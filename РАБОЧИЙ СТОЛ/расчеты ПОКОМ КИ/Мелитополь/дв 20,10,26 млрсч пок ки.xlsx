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BBD06E9-9DC4-45A0-B721-559A8C9E17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01" i="1" l="1"/>
  <c r="V114" i="1"/>
  <c r="AM114" i="1" s="1"/>
  <c r="AN8" i="1"/>
  <c r="AN9" i="1"/>
  <c r="AN12" i="1"/>
  <c r="AN13" i="1"/>
  <c r="AN14" i="1"/>
  <c r="AN15" i="1"/>
  <c r="AN16" i="1"/>
  <c r="AN17" i="1"/>
  <c r="AN18" i="1"/>
  <c r="AN19" i="1"/>
  <c r="AN21" i="1"/>
  <c r="AN23" i="1"/>
  <c r="AN24" i="1"/>
  <c r="AN25" i="1"/>
  <c r="AN27" i="1"/>
  <c r="AN28" i="1"/>
  <c r="AN30" i="1"/>
  <c r="AN31" i="1"/>
  <c r="AN32" i="1"/>
  <c r="AN33" i="1"/>
  <c r="AN34" i="1"/>
  <c r="AN35" i="1"/>
  <c r="AN36" i="1"/>
  <c r="AN37" i="1"/>
  <c r="AN38" i="1"/>
  <c r="AN41" i="1"/>
  <c r="AN42" i="1"/>
  <c r="AN43" i="1"/>
  <c r="AN44" i="1"/>
  <c r="AN47" i="1"/>
  <c r="AN48" i="1"/>
  <c r="AN49" i="1"/>
  <c r="AN51" i="1"/>
  <c r="AN52" i="1"/>
  <c r="AN54" i="1"/>
  <c r="AN56" i="1"/>
  <c r="AN57" i="1"/>
  <c r="AN59" i="1"/>
  <c r="AN63" i="1"/>
  <c r="AN64" i="1"/>
  <c r="AN67" i="1"/>
  <c r="AN68" i="1"/>
  <c r="AN69" i="1"/>
  <c r="AN70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5" i="1"/>
  <c r="AN89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4" i="1"/>
  <c r="AN105" i="1"/>
  <c r="AN106" i="1"/>
  <c r="AN108" i="1"/>
  <c r="AN109" i="1"/>
  <c r="AN110" i="1"/>
  <c r="AN111" i="1"/>
  <c r="AN112" i="1"/>
  <c r="AN113" i="1"/>
  <c r="AN114" i="1"/>
  <c r="AN115" i="1"/>
  <c r="AN117" i="1"/>
  <c r="AN118" i="1"/>
  <c r="AN119" i="1"/>
  <c r="AN120" i="1"/>
  <c r="AN121" i="1"/>
  <c r="AN124" i="1"/>
  <c r="AN127" i="1"/>
  <c r="AN128" i="1"/>
  <c r="AN129" i="1"/>
  <c r="AN130" i="1"/>
  <c r="AN131" i="1"/>
  <c r="AN6" i="1"/>
  <c r="AM101" i="1"/>
  <c r="X7" i="1" l="1"/>
  <c r="Y7" i="1"/>
  <c r="X22" i="1"/>
  <c r="U22" i="1" s="1"/>
  <c r="Y22" i="1"/>
  <c r="X35" i="1"/>
  <c r="U35" i="1" s="1"/>
  <c r="V35" i="1" s="1"/>
  <c r="AM35" i="1" s="1"/>
  <c r="Y35" i="1"/>
  <c r="X39" i="1"/>
  <c r="U39" i="1" s="1"/>
  <c r="Y39" i="1"/>
  <c r="X45" i="1"/>
  <c r="U45" i="1" s="1"/>
  <c r="Y45" i="1"/>
  <c r="X50" i="1"/>
  <c r="U50" i="1" s="1"/>
  <c r="Y50" i="1"/>
  <c r="X51" i="1"/>
  <c r="U51" i="1" s="1"/>
  <c r="V51" i="1" s="1"/>
  <c r="AM51" i="1" s="1"/>
  <c r="Y51" i="1"/>
  <c r="X55" i="1"/>
  <c r="U55" i="1" s="1"/>
  <c r="Y55" i="1"/>
  <c r="X58" i="1"/>
  <c r="U58" i="1" s="1"/>
  <c r="Y58" i="1"/>
  <c r="X66" i="1"/>
  <c r="U66" i="1" s="1"/>
  <c r="Y66" i="1"/>
  <c r="X67" i="1"/>
  <c r="U67" i="1" s="1"/>
  <c r="V67" i="1" s="1"/>
  <c r="AM67" i="1" s="1"/>
  <c r="Y67" i="1"/>
  <c r="X76" i="1"/>
  <c r="U76" i="1" s="1"/>
  <c r="V76" i="1" s="1"/>
  <c r="AM76" i="1" s="1"/>
  <c r="Y76" i="1"/>
  <c r="X84" i="1"/>
  <c r="U84" i="1" s="1"/>
  <c r="Y84" i="1"/>
  <c r="X90" i="1"/>
  <c r="U90" i="1" s="1"/>
  <c r="Y90" i="1"/>
  <c r="X101" i="1"/>
  <c r="Y101" i="1"/>
  <c r="X102" i="1"/>
  <c r="U102" i="1" s="1"/>
  <c r="V102" i="1" s="1"/>
  <c r="AM102" i="1" s="1"/>
  <c r="Y102" i="1"/>
  <c r="X103" i="1"/>
  <c r="U103" i="1" s="1"/>
  <c r="Y103" i="1"/>
  <c r="X113" i="1"/>
  <c r="U113" i="1" s="1"/>
  <c r="V113" i="1" s="1"/>
  <c r="AM113" i="1" s="1"/>
  <c r="Y113" i="1"/>
  <c r="X114" i="1"/>
  <c r="Y114" i="1"/>
  <c r="X122" i="1"/>
  <c r="U122" i="1" s="1"/>
  <c r="Y122" i="1"/>
  <c r="X123" i="1"/>
  <c r="U123" i="1" s="1"/>
  <c r="Y123" i="1"/>
  <c r="X125" i="1"/>
  <c r="U125" i="1" s="1"/>
  <c r="Y125" i="1"/>
  <c r="U8" i="1"/>
  <c r="V8" i="1" s="1"/>
  <c r="AM8" i="1" s="1"/>
  <c r="U12" i="1"/>
  <c r="V12" i="1" s="1"/>
  <c r="AM12" i="1" s="1"/>
  <c r="U13" i="1"/>
  <c r="V13" i="1" s="1"/>
  <c r="AM13" i="1" s="1"/>
  <c r="U14" i="1"/>
  <c r="V14" i="1" s="1"/>
  <c r="AM14" i="1" s="1"/>
  <c r="U15" i="1"/>
  <c r="V15" i="1" s="1"/>
  <c r="AM15" i="1" s="1"/>
  <c r="U16" i="1"/>
  <c r="V16" i="1" s="1"/>
  <c r="AM16" i="1" s="1"/>
  <c r="U17" i="1"/>
  <c r="V17" i="1" s="1"/>
  <c r="AM17" i="1" s="1"/>
  <c r="U18" i="1"/>
  <c r="V18" i="1" s="1"/>
  <c r="AM18" i="1" s="1"/>
  <c r="U19" i="1"/>
  <c r="V19" i="1" s="1"/>
  <c r="AM19" i="1" s="1"/>
  <c r="U21" i="1"/>
  <c r="V21" i="1" s="1"/>
  <c r="AM21" i="1" s="1"/>
  <c r="U23" i="1"/>
  <c r="V23" i="1" s="1"/>
  <c r="AM23" i="1" s="1"/>
  <c r="U24" i="1"/>
  <c r="V24" i="1" s="1"/>
  <c r="AM24" i="1" s="1"/>
  <c r="U25" i="1"/>
  <c r="V25" i="1" s="1"/>
  <c r="AM25" i="1" s="1"/>
  <c r="U27" i="1"/>
  <c r="V27" i="1" s="1"/>
  <c r="AM27" i="1" s="1"/>
  <c r="U28" i="1"/>
  <c r="V28" i="1" s="1"/>
  <c r="AM28" i="1" s="1"/>
  <c r="U32" i="1"/>
  <c r="V32" i="1" s="1"/>
  <c r="AM32" i="1" s="1"/>
  <c r="U33" i="1"/>
  <c r="V33" i="1" s="1"/>
  <c r="AM33" i="1" s="1"/>
  <c r="U34" i="1"/>
  <c r="V34" i="1" s="1"/>
  <c r="AM34" i="1" s="1"/>
  <c r="U36" i="1"/>
  <c r="V36" i="1" s="1"/>
  <c r="AM36" i="1" s="1"/>
  <c r="U37" i="1"/>
  <c r="V37" i="1" s="1"/>
  <c r="AM37" i="1" s="1"/>
  <c r="U38" i="1"/>
  <c r="V38" i="1" s="1"/>
  <c r="AM38" i="1" s="1"/>
  <c r="U41" i="1"/>
  <c r="V41" i="1" s="1"/>
  <c r="AM41" i="1" s="1"/>
  <c r="U42" i="1"/>
  <c r="V42" i="1" s="1"/>
  <c r="AM42" i="1" s="1"/>
  <c r="U44" i="1"/>
  <c r="V44" i="1" s="1"/>
  <c r="AM44" i="1" s="1"/>
  <c r="U47" i="1"/>
  <c r="V47" i="1" s="1"/>
  <c r="AM47" i="1" s="1"/>
  <c r="U48" i="1"/>
  <c r="V48" i="1" s="1"/>
  <c r="AM48" i="1" s="1"/>
  <c r="U49" i="1"/>
  <c r="V49" i="1" s="1"/>
  <c r="AM49" i="1" s="1"/>
  <c r="U54" i="1"/>
  <c r="V54" i="1" s="1"/>
  <c r="AM54" i="1" s="1"/>
  <c r="U56" i="1"/>
  <c r="V56" i="1" s="1"/>
  <c r="AM56" i="1" s="1"/>
  <c r="U57" i="1"/>
  <c r="V57" i="1" s="1"/>
  <c r="AM57" i="1" s="1"/>
  <c r="U59" i="1"/>
  <c r="V59" i="1" s="1"/>
  <c r="AM59" i="1" s="1"/>
  <c r="U62" i="1"/>
  <c r="U63" i="1"/>
  <c r="V63" i="1" s="1"/>
  <c r="AM63" i="1" s="1"/>
  <c r="U68" i="1"/>
  <c r="V68" i="1" s="1"/>
  <c r="AM68" i="1" s="1"/>
  <c r="U69" i="1"/>
  <c r="V69" i="1" s="1"/>
  <c r="AM69" i="1" s="1"/>
  <c r="U70" i="1"/>
  <c r="V70" i="1" s="1"/>
  <c r="AM70" i="1" s="1"/>
  <c r="U72" i="1"/>
  <c r="V72" i="1" s="1"/>
  <c r="AM72" i="1" s="1"/>
  <c r="U73" i="1"/>
  <c r="V73" i="1" s="1"/>
  <c r="AM73" i="1" s="1"/>
  <c r="U74" i="1"/>
  <c r="V74" i="1" s="1"/>
  <c r="AM74" i="1" s="1"/>
  <c r="U75" i="1"/>
  <c r="V75" i="1" s="1"/>
  <c r="AM75" i="1" s="1"/>
  <c r="U77" i="1"/>
  <c r="V77" i="1" s="1"/>
  <c r="AM77" i="1" s="1"/>
  <c r="U78" i="1"/>
  <c r="V78" i="1" s="1"/>
  <c r="AM78" i="1" s="1"/>
  <c r="U79" i="1"/>
  <c r="V79" i="1" s="1"/>
  <c r="AM79" i="1" s="1"/>
  <c r="U80" i="1"/>
  <c r="V80" i="1" s="1"/>
  <c r="AM80" i="1" s="1"/>
  <c r="U81" i="1"/>
  <c r="V81" i="1" s="1"/>
  <c r="AM81" i="1" s="1"/>
  <c r="U82" i="1"/>
  <c r="V82" i="1" s="1"/>
  <c r="AM82" i="1" s="1"/>
  <c r="U83" i="1"/>
  <c r="V83" i="1" s="1"/>
  <c r="AM83" i="1" s="1"/>
  <c r="U85" i="1"/>
  <c r="V85" i="1" s="1"/>
  <c r="AM85" i="1" s="1"/>
  <c r="U89" i="1"/>
  <c r="V89" i="1" s="1"/>
  <c r="AM89" i="1" s="1"/>
  <c r="U91" i="1"/>
  <c r="V91" i="1" s="1"/>
  <c r="AM91" i="1" s="1"/>
  <c r="U92" i="1"/>
  <c r="V92" i="1" s="1"/>
  <c r="AM92" i="1" s="1"/>
  <c r="U93" i="1"/>
  <c r="V93" i="1" s="1"/>
  <c r="AM93" i="1" s="1"/>
  <c r="U94" i="1"/>
  <c r="V94" i="1" s="1"/>
  <c r="AM94" i="1" s="1"/>
  <c r="U95" i="1"/>
  <c r="V95" i="1" s="1"/>
  <c r="AM95" i="1" s="1"/>
  <c r="U96" i="1"/>
  <c r="V96" i="1" s="1"/>
  <c r="AM96" i="1" s="1"/>
  <c r="U97" i="1"/>
  <c r="V97" i="1" s="1"/>
  <c r="AM97" i="1" s="1"/>
  <c r="U98" i="1"/>
  <c r="V98" i="1" s="1"/>
  <c r="AM98" i="1" s="1"/>
  <c r="U99" i="1"/>
  <c r="V99" i="1" s="1"/>
  <c r="AM99" i="1" s="1"/>
  <c r="U100" i="1"/>
  <c r="V100" i="1" s="1"/>
  <c r="AM100" i="1" s="1"/>
  <c r="U104" i="1"/>
  <c r="V104" i="1" s="1"/>
  <c r="AM104" i="1" s="1"/>
  <c r="U105" i="1"/>
  <c r="V105" i="1" s="1"/>
  <c r="AM105" i="1" s="1"/>
  <c r="U108" i="1"/>
  <c r="V108" i="1" s="1"/>
  <c r="AM108" i="1" s="1"/>
  <c r="U109" i="1"/>
  <c r="V109" i="1" s="1"/>
  <c r="AM109" i="1" s="1"/>
  <c r="U110" i="1"/>
  <c r="V110" i="1" s="1"/>
  <c r="AM110" i="1" s="1"/>
  <c r="U112" i="1"/>
  <c r="V112" i="1" s="1"/>
  <c r="AM112" i="1" s="1"/>
  <c r="U115" i="1"/>
  <c r="V115" i="1" s="1"/>
  <c r="AM115" i="1" s="1"/>
  <c r="U117" i="1"/>
  <c r="V117" i="1" s="1"/>
  <c r="AM117" i="1" s="1"/>
  <c r="U118" i="1"/>
  <c r="V118" i="1" s="1"/>
  <c r="AM118" i="1" s="1"/>
  <c r="U119" i="1"/>
  <c r="V119" i="1" s="1"/>
  <c r="AM119" i="1" s="1"/>
  <c r="U120" i="1"/>
  <c r="V120" i="1" s="1"/>
  <c r="AM120" i="1" s="1"/>
  <c r="U121" i="1"/>
  <c r="V121" i="1" s="1"/>
  <c r="AM121" i="1" s="1"/>
  <c r="U124" i="1"/>
  <c r="V124" i="1" s="1"/>
  <c r="AM124" i="1" s="1"/>
  <c r="U127" i="1"/>
  <c r="V127" i="1" s="1"/>
  <c r="AM127" i="1" s="1"/>
  <c r="U128" i="1"/>
  <c r="V128" i="1" s="1"/>
  <c r="AM128" i="1" s="1"/>
  <c r="U129" i="1"/>
  <c r="V129" i="1" s="1"/>
  <c r="AM129" i="1" s="1"/>
  <c r="U130" i="1"/>
  <c r="V130" i="1" s="1"/>
  <c r="AM130" i="1" s="1"/>
  <c r="U131" i="1"/>
  <c r="V131" i="1" s="1"/>
  <c r="AM131" i="1" s="1"/>
  <c r="U6" i="1"/>
  <c r="V6" i="1" s="1"/>
  <c r="V62" i="1" l="1"/>
  <c r="AM62" i="1" s="1"/>
  <c r="W62" i="1"/>
  <c r="AN62" i="1" s="1"/>
  <c r="V125" i="1"/>
  <c r="AM125" i="1" s="1"/>
  <c r="W125" i="1"/>
  <c r="AN125" i="1" s="1"/>
  <c r="V123" i="1"/>
  <c r="AM123" i="1" s="1"/>
  <c r="W123" i="1"/>
  <c r="AN123" i="1" s="1"/>
  <c r="V122" i="1"/>
  <c r="AM122" i="1" s="1"/>
  <c r="W122" i="1"/>
  <c r="AN122" i="1" s="1"/>
  <c r="V103" i="1"/>
  <c r="AM103" i="1" s="1"/>
  <c r="W103" i="1"/>
  <c r="AN103" i="1" s="1"/>
  <c r="V90" i="1"/>
  <c r="AM90" i="1" s="1"/>
  <c r="W90" i="1"/>
  <c r="AN90" i="1" s="1"/>
  <c r="V84" i="1"/>
  <c r="AM84" i="1" s="1"/>
  <c r="W84" i="1"/>
  <c r="AN84" i="1" s="1"/>
  <c r="V66" i="1"/>
  <c r="AM66" i="1" s="1"/>
  <c r="W66" i="1"/>
  <c r="AN66" i="1" s="1"/>
  <c r="V58" i="1"/>
  <c r="AM58" i="1" s="1"/>
  <c r="W58" i="1"/>
  <c r="AN58" i="1" s="1"/>
  <c r="V55" i="1"/>
  <c r="AM55" i="1" s="1"/>
  <c r="W55" i="1"/>
  <c r="AN55" i="1" s="1"/>
  <c r="V50" i="1"/>
  <c r="AM50" i="1" s="1"/>
  <c r="W50" i="1"/>
  <c r="AN50" i="1" s="1"/>
  <c r="V45" i="1"/>
  <c r="AM45" i="1" s="1"/>
  <c r="W45" i="1"/>
  <c r="AN45" i="1" s="1"/>
  <c r="V39" i="1"/>
  <c r="AM39" i="1" s="1"/>
  <c r="W39" i="1"/>
  <c r="AN39" i="1" s="1"/>
  <c r="V22" i="1"/>
  <c r="AM22" i="1" s="1"/>
  <c r="W22" i="1"/>
  <c r="AN22" i="1" s="1"/>
  <c r="AM6" i="1"/>
  <c r="X5" i="1"/>
  <c r="S69" i="1" l="1"/>
  <c r="Z69" i="1" s="1"/>
  <c r="S131" i="1"/>
  <c r="L131" i="1"/>
  <c r="S130" i="1"/>
  <c r="L130" i="1"/>
  <c r="S129" i="1"/>
  <c r="Z129" i="1" s="1"/>
  <c r="L129" i="1"/>
  <c r="S128" i="1"/>
  <c r="Z128" i="1" s="1"/>
  <c r="L128" i="1"/>
  <c r="S127" i="1"/>
  <c r="Z127" i="1" s="1"/>
  <c r="L127" i="1"/>
  <c r="S126" i="1"/>
  <c r="AA126" i="1" s="1"/>
  <c r="L126" i="1"/>
  <c r="S125" i="1"/>
  <c r="Z125" i="1" s="1"/>
  <c r="L125" i="1"/>
  <c r="S124" i="1"/>
  <c r="L124" i="1"/>
  <c r="S123" i="1"/>
  <c r="L123" i="1"/>
  <c r="S122" i="1"/>
  <c r="L122" i="1"/>
  <c r="S121" i="1"/>
  <c r="L121" i="1"/>
  <c r="S120" i="1"/>
  <c r="L120" i="1"/>
  <c r="S119" i="1"/>
  <c r="Z119" i="1" s="1"/>
  <c r="L119" i="1"/>
  <c r="S118" i="1"/>
  <c r="L118" i="1"/>
  <c r="F118" i="1"/>
  <c r="S117" i="1"/>
  <c r="Z117" i="1" s="1"/>
  <c r="L117" i="1"/>
  <c r="S116" i="1"/>
  <c r="L116" i="1"/>
  <c r="S115" i="1"/>
  <c r="Z115" i="1" s="1"/>
  <c r="L115" i="1"/>
  <c r="S114" i="1"/>
  <c r="Z114" i="1" s="1"/>
  <c r="L114" i="1"/>
  <c r="S113" i="1"/>
  <c r="Z113" i="1" s="1"/>
  <c r="L113" i="1"/>
  <c r="S112" i="1"/>
  <c r="L112" i="1"/>
  <c r="S111" i="1"/>
  <c r="T111" i="1" s="1"/>
  <c r="U111" i="1" s="1"/>
  <c r="V111" i="1" s="1"/>
  <c r="AM111" i="1" s="1"/>
  <c r="L111" i="1"/>
  <c r="S110" i="1"/>
  <c r="L110" i="1"/>
  <c r="S109" i="1"/>
  <c r="Z109" i="1" s="1"/>
  <c r="L109" i="1"/>
  <c r="S108" i="1"/>
  <c r="Z108" i="1" s="1"/>
  <c r="L108" i="1"/>
  <c r="S107" i="1"/>
  <c r="L107" i="1"/>
  <c r="S106" i="1"/>
  <c r="T106" i="1" s="1"/>
  <c r="U106" i="1" s="1"/>
  <c r="V106" i="1" s="1"/>
  <c r="AM106" i="1" s="1"/>
  <c r="L106" i="1"/>
  <c r="S105" i="1"/>
  <c r="L105" i="1"/>
  <c r="S104" i="1"/>
  <c r="L104" i="1"/>
  <c r="S103" i="1"/>
  <c r="Z103" i="1" s="1"/>
  <c r="L103" i="1"/>
  <c r="S102" i="1"/>
  <c r="AA102" i="1" s="1"/>
  <c r="L102" i="1"/>
  <c r="S101" i="1"/>
  <c r="Z101" i="1" s="1"/>
  <c r="L101" i="1"/>
  <c r="S100" i="1"/>
  <c r="Z100" i="1" s="1"/>
  <c r="L100" i="1"/>
  <c r="S99" i="1"/>
  <c r="L99" i="1"/>
  <c r="S98" i="1"/>
  <c r="Z98" i="1" s="1"/>
  <c r="L98" i="1"/>
  <c r="S97" i="1"/>
  <c r="Z97" i="1" s="1"/>
  <c r="L97" i="1"/>
  <c r="S96" i="1"/>
  <c r="Z96" i="1" s="1"/>
  <c r="L96" i="1"/>
  <c r="S95" i="1"/>
  <c r="Z95" i="1" s="1"/>
  <c r="L95" i="1"/>
  <c r="S94" i="1"/>
  <c r="Z94" i="1" s="1"/>
  <c r="L94" i="1"/>
  <c r="S93" i="1"/>
  <c r="L93" i="1"/>
  <c r="S92" i="1"/>
  <c r="Z92" i="1" s="1"/>
  <c r="L92" i="1"/>
  <c r="S91" i="1"/>
  <c r="Z91" i="1" s="1"/>
  <c r="L91" i="1"/>
  <c r="S90" i="1"/>
  <c r="Z90" i="1" s="1"/>
  <c r="L90" i="1"/>
  <c r="S89" i="1"/>
  <c r="Z89" i="1" s="1"/>
  <c r="L89" i="1"/>
  <c r="S88" i="1"/>
  <c r="AA88" i="1" s="1"/>
  <c r="L88" i="1"/>
  <c r="S87" i="1"/>
  <c r="T87" i="1" s="1"/>
  <c r="U87" i="1" s="1"/>
  <c r="L87" i="1"/>
  <c r="S86" i="1"/>
  <c r="AA86" i="1" s="1"/>
  <c r="L86" i="1"/>
  <c r="S85" i="1"/>
  <c r="L85" i="1"/>
  <c r="S84" i="1"/>
  <c r="T84" i="1" s="1"/>
  <c r="L84" i="1"/>
  <c r="S83" i="1"/>
  <c r="L83" i="1"/>
  <c r="S82" i="1"/>
  <c r="Z82" i="1" s="1"/>
  <c r="L82" i="1"/>
  <c r="S81" i="1"/>
  <c r="L81" i="1"/>
  <c r="S80" i="1"/>
  <c r="Z80" i="1" s="1"/>
  <c r="L80" i="1"/>
  <c r="S79" i="1"/>
  <c r="L79" i="1"/>
  <c r="S78" i="1"/>
  <c r="Z78" i="1" s="1"/>
  <c r="L78" i="1"/>
  <c r="S77" i="1"/>
  <c r="Z77" i="1" s="1"/>
  <c r="L77" i="1"/>
  <c r="S76" i="1"/>
  <c r="L76" i="1"/>
  <c r="S75" i="1"/>
  <c r="Z75" i="1" s="1"/>
  <c r="L75" i="1"/>
  <c r="S74" i="1"/>
  <c r="Z74" i="1" s="1"/>
  <c r="L74" i="1"/>
  <c r="S73" i="1"/>
  <c r="Z73" i="1" s="1"/>
  <c r="L73" i="1"/>
  <c r="S72" i="1"/>
  <c r="Z72" i="1" s="1"/>
  <c r="L72" i="1"/>
  <c r="S71" i="1"/>
  <c r="T71" i="1" s="1"/>
  <c r="U71" i="1" s="1"/>
  <c r="L71" i="1"/>
  <c r="S70" i="1"/>
  <c r="Z70" i="1" s="1"/>
  <c r="L70" i="1"/>
  <c r="L69" i="1"/>
  <c r="S68" i="1"/>
  <c r="L68" i="1"/>
  <c r="S67" i="1"/>
  <c r="Z67" i="1" s="1"/>
  <c r="L67" i="1"/>
  <c r="S66" i="1"/>
  <c r="Z66" i="1" s="1"/>
  <c r="L66" i="1"/>
  <c r="S65" i="1"/>
  <c r="T65" i="1" s="1"/>
  <c r="U65" i="1" s="1"/>
  <c r="L65" i="1"/>
  <c r="S64" i="1"/>
  <c r="L64" i="1"/>
  <c r="S63" i="1"/>
  <c r="Z63" i="1" s="1"/>
  <c r="L63" i="1"/>
  <c r="S62" i="1"/>
  <c r="Z62" i="1" s="1"/>
  <c r="L62" i="1"/>
  <c r="S61" i="1"/>
  <c r="T61" i="1" s="1"/>
  <c r="U61" i="1" s="1"/>
  <c r="L61" i="1"/>
  <c r="S60" i="1"/>
  <c r="T60" i="1" s="1"/>
  <c r="U60" i="1" s="1"/>
  <c r="L60" i="1"/>
  <c r="S59" i="1"/>
  <c r="Z59" i="1" s="1"/>
  <c r="L59" i="1"/>
  <c r="S58" i="1"/>
  <c r="Z58" i="1" s="1"/>
  <c r="L58" i="1"/>
  <c r="S57" i="1"/>
  <c r="Z57" i="1" s="1"/>
  <c r="L57" i="1"/>
  <c r="S56" i="1"/>
  <c r="Z56" i="1" s="1"/>
  <c r="L56" i="1"/>
  <c r="F55" i="1"/>
  <c r="E55" i="1"/>
  <c r="L55" i="1" s="1"/>
  <c r="S54" i="1"/>
  <c r="Z54" i="1" s="1"/>
  <c r="L54" i="1"/>
  <c r="S53" i="1"/>
  <c r="T53" i="1" s="1"/>
  <c r="U53" i="1" s="1"/>
  <c r="L53" i="1"/>
  <c r="S52" i="1"/>
  <c r="L52" i="1"/>
  <c r="S51" i="1"/>
  <c r="Z51" i="1" s="1"/>
  <c r="L51" i="1"/>
  <c r="S50" i="1"/>
  <c r="Z50" i="1" s="1"/>
  <c r="L50" i="1"/>
  <c r="S49" i="1"/>
  <c r="Z49" i="1" s="1"/>
  <c r="L49" i="1"/>
  <c r="S48" i="1"/>
  <c r="Z48" i="1" s="1"/>
  <c r="L48" i="1"/>
  <c r="S47" i="1"/>
  <c r="Z47" i="1" s="1"/>
  <c r="L47" i="1"/>
  <c r="S46" i="1"/>
  <c r="T46" i="1" s="1"/>
  <c r="U46" i="1" s="1"/>
  <c r="L46" i="1"/>
  <c r="S45" i="1"/>
  <c r="Z45" i="1" s="1"/>
  <c r="L45" i="1"/>
  <c r="S44" i="1"/>
  <c r="Z44" i="1" s="1"/>
  <c r="L44" i="1"/>
  <c r="S43" i="1"/>
  <c r="L43" i="1"/>
  <c r="S42" i="1"/>
  <c r="Z42" i="1" s="1"/>
  <c r="L42" i="1"/>
  <c r="S41" i="1"/>
  <c r="Z41" i="1" s="1"/>
  <c r="L41" i="1"/>
  <c r="S40" i="1"/>
  <c r="L40" i="1"/>
  <c r="S39" i="1"/>
  <c r="T39" i="1" s="1"/>
  <c r="L39" i="1"/>
  <c r="S38" i="1"/>
  <c r="Z38" i="1" s="1"/>
  <c r="L38" i="1"/>
  <c r="S37" i="1"/>
  <c r="Z37" i="1" s="1"/>
  <c r="L37" i="1"/>
  <c r="S36" i="1"/>
  <c r="Z36" i="1" s="1"/>
  <c r="L36" i="1"/>
  <c r="S35" i="1"/>
  <c r="Z35" i="1" s="1"/>
  <c r="L35" i="1"/>
  <c r="S34" i="1"/>
  <c r="Z34" i="1" s="1"/>
  <c r="L34" i="1"/>
  <c r="S33" i="1"/>
  <c r="Z33" i="1" s="1"/>
  <c r="L33" i="1"/>
  <c r="S32" i="1"/>
  <c r="Z32" i="1" s="1"/>
  <c r="L32" i="1"/>
  <c r="S31" i="1"/>
  <c r="T31" i="1" s="1"/>
  <c r="U31" i="1" s="1"/>
  <c r="V31" i="1" s="1"/>
  <c r="AM31" i="1" s="1"/>
  <c r="L31" i="1"/>
  <c r="S30" i="1"/>
  <c r="L30" i="1"/>
  <c r="S29" i="1"/>
  <c r="T29" i="1" s="1"/>
  <c r="U29" i="1" s="1"/>
  <c r="L29" i="1"/>
  <c r="S28" i="1"/>
  <c r="Z28" i="1" s="1"/>
  <c r="L28" i="1"/>
  <c r="S27" i="1"/>
  <c r="Z27" i="1" s="1"/>
  <c r="L27" i="1"/>
  <c r="S26" i="1"/>
  <c r="L26" i="1"/>
  <c r="S25" i="1"/>
  <c r="L25" i="1"/>
  <c r="S24" i="1"/>
  <c r="Z24" i="1" s="1"/>
  <c r="L24" i="1"/>
  <c r="S23" i="1"/>
  <c r="Z23" i="1" s="1"/>
  <c r="L23" i="1"/>
  <c r="S22" i="1"/>
  <c r="Z22" i="1" s="1"/>
  <c r="L22" i="1"/>
  <c r="S21" i="1"/>
  <c r="Z21" i="1" s="1"/>
  <c r="L21" i="1"/>
  <c r="S20" i="1"/>
  <c r="L20" i="1"/>
  <c r="S19" i="1"/>
  <c r="Z19" i="1" s="1"/>
  <c r="L19" i="1"/>
  <c r="S18" i="1"/>
  <c r="Z18" i="1" s="1"/>
  <c r="L18" i="1"/>
  <c r="S17" i="1"/>
  <c r="Z17" i="1" s="1"/>
  <c r="L17" i="1"/>
  <c r="S16" i="1"/>
  <c r="Z16" i="1" s="1"/>
  <c r="L16" i="1"/>
  <c r="S15" i="1"/>
  <c r="Z15" i="1" s="1"/>
  <c r="L15" i="1"/>
  <c r="S14" i="1"/>
  <c r="Z14" i="1" s="1"/>
  <c r="L14" i="1"/>
  <c r="S13" i="1"/>
  <c r="Z13" i="1" s="1"/>
  <c r="L13" i="1"/>
  <c r="S12" i="1"/>
  <c r="L12" i="1"/>
  <c r="S11" i="1"/>
  <c r="T11" i="1" s="1"/>
  <c r="U11" i="1" s="1"/>
  <c r="L11" i="1"/>
  <c r="S10" i="1"/>
  <c r="L10" i="1"/>
  <c r="S9" i="1"/>
  <c r="T9" i="1" s="1"/>
  <c r="U9" i="1" s="1"/>
  <c r="V9" i="1" s="1"/>
  <c r="AM9" i="1" s="1"/>
  <c r="L9" i="1"/>
  <c r="S8" i="1"/>
  <c r="Z8" i="1" s="1"/>
  <c r="L8" i="1"/>
  <c r="S7" i="1"/>
  <c r="L7" i="1"/>
  <c r="S6" i="1"/>
  <c r="Z6" i="1" s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V11" i="1" l="1"/>
  <c r="AM11" i="1" s="1"/>
  <c r="W11" i="1"/>
  <c r="AN11" i="1" s="1"/>
  <c r="V29" i="1"/>
  <c r="AM29" i="1" s="1"/>
  <c r="W29" i="1"/>
  <c r="AN29" i="1" s="1"/>
  <c r="V46" i="1"/>
  <c r="AM46" i="1" s="1"/>
  <c r="W46" i="1"/>
  <c r="AN46" i="1" s="1"/>
  <c r="V53" i="1"/>
  <c r="AM53" i="1" s="1"/>
  <c r="W53" i="1"/>
  <c r="AN53" i="1" s="1"/>
  <c r="V60" i="1"/>
  <c r="AM60" i="1" s="1"/>
  <c r="W60" i="1"/>
  <c r="AN60" i="1" s="1"/>
  <c r="V61" i="1"/>
  <c r="AM61" i="1" s="1"/>
  <c r="W61" i="1"/>
  <c r="AN61" i="1" s="1"/>
  <c r="V65" i="1"/>
  <c r="AM65" i="1" s="1"/>
  <c r="W65" i="1"/>
  <c r="AN65" i="1" s="1"/>
  <c r="V71" i="1"/>
  <c r="AM71" i="1" s="1"/>
  <c r="W71" i="1"/>
  <c r="AN71" i="1" s="1"/>
  <c r="V87" i="1"/>
  <c r="AM87" i="1" s="1"/>
  <c r="W87" i="1"/>
  <c r="AN87" i="1" s="1"/>
  <c r="T7" i="1"/>
  <c r="U7" i="1"/>
  <c r="Z71" i="1"/>
  <c r="AA76" i="1"/>
  <c r="Z76" i="1"/>
  <c r="AA79" i="1"/>
  <c r="Z79" i="1"/>
  <c r="AA81" i="1"/>
  <c r="Z81" i="1"/>
  <c r="AA83" i="1"/>
  <c r="Z83" i="1"/>
  <c r="Z84" i="1"/>
  <c r="AA85" i="1"/>
  <c r="Z85" i="1"/>
  <c r="Z87" i="1"/>
  <c r="AA93" i="1"/>
  <c r="Z93" i="1"/>
  <c r="AA99" i="1"/>
  <c r="Z99" i="1"/>
  <c r="AA104" i="1"/>
  <c r="Z104" i="1"/>
  <c r="AA105" i="1"/>
  <c r="Z105" i="1"/>
  <c r="Z106" i="1"/>
  <c r="AA110" i="1"/>
  <c r="Z110" i="1"/>
  <c r="Z111" i="1"/>
  <c r="AA112" i="1"/>
  <c r="Z112" i="1"/>
  <c r="Z7" i="1"/>
  <c r="Z9" i="1"/>
  <c r="Z11" i="1"/>
  <c r="AA12" i="1"/>
  <c r="Z12" i="1"/>
  <c r="AA25" i="1"/>
  <c r="Z25" i="1"/>
  <c r="Z29" i="1"/>
  <c r="Z31" i="1"/>
  <c r="Z39" i="1"/>
  <c r="Z46" i="1"/>
  <c r="Z53" i="1"/>
  <c r="Z60" i="1"/>
  <c r="Z61" i="1"/>
  <c r="Z65" i="1"/>
  <c r="AA68" i="1"/>
  <c r="Z68" i="1"/>
  <c r="AA118" i="1"/>
  <c r="Z118" i="1"/>
  <c r="AA120" i="1"/>
  <c r="Z120" i="1"/>
  <c r="AA121" i="1"/>
  <c r="Z121" i="1"/>
  <c r="AA122" i="1"/>
  <c r="Z122" i="1"/>
  <c r="AA124" i="1"/>
  <c r="Z124" i="1"/>
  <c r="AA130" i="1"/>
  <c r="Z130" i="1"/>
  <c r="AA131" i="1"/>
  <c r="Z131" i="1"/>
  <c r="AA106" i="1"/>
  <c r="AA98" i="1"/>
  <c r="T126" i="1"/>
  <c r="U126" i="1" s="1"/>
  <c r="E5" i="1"/>
  <c r="F5" i="1"/>
  <c r="AA100" i="1"/>
  <c r="AA128" i="1"/>
  <c r="AA6" i="1"/>
  <c r="AA8" i="1"/>
  <c r="AA13" i="1"/>
  <c r="AA17" i="1"/>
  <c r="AA19" i="1"/>
  <c r="AA21" i="1"/>
  <c r="AA26" i="1"/>
  <c r="T26" i="1"/>
  <c r="U26" i="1" s="1"/>
  <c r="AA28" i="1"/>
  <c r="AA32" i="1"/>
  <c r="AA34" i="1"/>
  <c r="AA36" i="1"/>
  <c r="AA40" i="1"/>
  <c r="T40" i="1"/>
  <c r="U40" i="1" s="1"/>
  <c r="AA42" i="1"/>
  <c r="AA44" i="1"/>
  <c r="AA48" i="1"/>
  <c r="AA50" i="1"/>
  <c r="AA52" i="1"/>
  <c r="T52" i="1"/>
  <c r="U52" i="1" s="1"/>
  <c r="V52" i="1" s="1"/>
  <c r="AM52" i="1" s="1"/>
  <c r="AA54" i="1"/>
  <c r="AA56" i="1"/>
  <c r="AA58" i="1"/>
  <c r="AA60" i="1"/>
  <c r="AA64" i="1"/>
  <c r="T64" i="1"/>
  <c r="U64" i="1" s="1"/>
  <c r="V64" i="1" s="1"/>
  <c r="AM64" i="1" s="1"/>
  <c r="AA66" i="1"/>
  <c r="AA69" i="1"/>
  <c r="AA74" i="1"/>
  <c r="AA82" i="1"/>
  <c r="AA95" i="1"/>
  <c r="AA107" i="1"/>
  <c r="T107" i="1"/>
  <c r="U107" i="1" s="1"/>
  <c r="AA114" i="1"/>
  <c r="AA116" i="1"/>
  <c r="T20" i="1"/>
  <c r="U20" i="1" s="1"/>
  <c r="L5" i="1"/>
  <c r="AA10" i="1"/>
  <c r="T10" i="1"/>
  <c r="U10" i="1" s="1"/>
  <c r="AA15" i="1"/>
  <c r="AA23" i="1"/>
  <c r="AA30" i="1"/>
  <c r="T30" i="1"/>
  <c r="U30" i="1" s="1"/>
  <c r="V30" i="1" s="1"/>
  <c r="AM30" i="1" s="1"/>
  <c r="AA38" i="1"/>
  <c r="AA46" i="1"/>
  <c r="AA62" i="1"/>
  <c r="AA70" i="1"/>
  <c r="AA72" i="1"/>
  <c r="AA77" i="1"/>
  <c r="AA91" i="1"/>
  <c r="AA108" i="1"/>
  <c r="AA113" i="1"/>
  <c r="AA115" i="1"/>
  <c r="AA117" i="1"/>
  <c r="T43" i="1"/>
  <c r="U43" i="1" s="1"/>
  <c r="V43" i="1" s="1"/>
  <c r="AM43" i="1" s="1"/>
  <c r="T116" i="1"/>
  <c r="U116" i="1" s="1"/>
  <c r="T86" i="1"/>
  <c r="U86" i="1" s="1"/>
  <c r="T88" i="1"/>
  <c r="U88" i="1" s="1"/>
  <c r="T102" i="1"/>
  <c r="T123" i="1"/>
  <c r="AA49" i="1"/>
  <c r="AA51" i="1"/>
  <c r="AA53" i="1"/>
  <c r="S55" i="1"/>
  <c r="AA55" i="1" s="1"/>
  <c r="AA78" i="1"/>
  <c r="AA80" i="1"/>
  <c r="AA84" i="1"/>
  <c r="AA90" i="1"/>
  <c r="AA92" i="1"/>
  <c r="AA94" i="1"/>
  <c r="AA96" i="1"/>
  <c r="AA11" i="1"/>
  <c r="AA7" i="1"/>
  <c r="AA9" i="1"/>
  <c r="AA14" i="1"/>
  <c r="AA16" i="1"/>
  <c r="AA18" i="1"/>
  <c r="AA20" i="1"/>
  <c r="AA22" i="1"/>
  <c r="AA24" i="1"/>
  <c r="AA27" i="1"/>
  <c r="AA29" i="1"/>
  <c r="AA31" i="1"/>
  <c r="AA33" i="1"/>
  <c r="AA35" i="1"/>
  <c r="AA37" i="1"/>
  <c r="AA39" i="1"/>
  <c r="AA41" i="1"/>
  <c r="AA43" i="1"/>
  <c r="AA45" i="1"/>
  <c r="AA47" i="1"/>
  <c r="AA57" i="1"/>
  <c r="AA59" i="1"/>
  <c r="AA61" i="1"/>
  <c r="AA63" i="1"/>
  <c r="AA65" i="1"/>
  <c r="AA67" i="1"/>
  <c r="AA71" i="1"/>
  <c r="AA73" i="1"/>
  <c r="AA75" i="1"/>
  <c r="AA87" i="1"/>
  <c r="AA89" i="1"/>
  <c r="AA97" i="1"/>
  <c r="AA101" i="1"/>
  <c r="AA103" i="1"/>
  <c r="AA109" i="1"/>
  <c r="AA111" i="1"/>
  <c r="AA119" i="1"/>
  <c r="AA123" i="1"/>
  <c r="AA125" i="1"/>
  <c r="AA127" i="1"/>
  <c r="AA129" i="1"/>
  <c r="W88" i="1" l="1"/>
  <c r="AN88" i="1" s="1"/>
  <c r="W116" i="1"/>
  <c r="AN116" i="1" s="1"/>
  <c r="W20" i="1"/>
  <c r="AN20" i="1" s="1"/>
  <c r="W40" i="1"/>
  <c r="AN40" i="1" s="1"/>
  <c r="W26" i="1"/>
  <c r="AN26" i="1" s="1"/>
  <c r="W126" i="1"/>
  <c r="AN126" i="1" s="1"/>
  <c r="W86" i="1"/>
  <c r="AN86" i="1" s="1"/>
  <c r="W10" i="1"/>
  <c r="AN10" i="1" s="1"/>
  <c r="W107" i="1"/>
  <c r="AN107" i="1" s="1"/>
  <c r="W7" i="1"/>
  <c r="Z55" i="1"/>
  <c r="Z102" i="1"/>
  <c r="Z86" i="1"/>
  <c r="Z43" i="1"/>
  <c r="Z30" i="1"/>
  <c r="Z10" i="1"/>
  <c r="Z107" i="1"/>
  <c r="Z123" i="1"/>
  <c r="Z88" i="1"/>
  <c r="Z116" i="1"/>
  <c r="Z20" i="1"/>
  <c r="Z64" i="1"/>
  <c r="Z52" i="1"/>
  <c r="Z40" i="1"/>
  <c r="Z26" i="1"/>
  <c r="Z126" i="1"/>
  <c r="U5" i="1"/>
  <c r="S5" i="1"/>
  <c r="AN7" i="1" l="1"/>
  <c r="AN5" i="1" s="1"/>
  <c r="AN1" i="1" s="1"/>
  <c r="W5" i="1"/>
  <c r="V7" i="1"/>
  <c r="V107" i="1"/>
  <c r="AM107" i="1" s="1"/>
  <c r="V10" i="1"/>
  <c r="AM10" i="1" s="1"/>
  <c r="V86" i="1"/>
  <c r="AM86" i="1" s="1"/>
  <c r="V126" i="1"/>
  <c r="AM126" i="1" s="1"/>
  <c r="V26" i="1"/>
  <c r="AM26" i="1" s="1"/>
  <c r="V40" i="1"/>
  <c r="AM40" i="1" s="1"/>
  <c r="V20" i="1"/>
  <c r="AM20" i="1" s="1"/>
  <c r="V116" i="1"/>
  <c r="AM116" i="1" s="1"/>
  <c r="V88" i="1"/>
  <c r="AM88" i="1" s="1"/>
  <c r="T5" i="1"/>
  <c r="AM7" i="1" l="1"/>
  <c r="AM5" i="1" s="1"/>
  <c r="AM1" i="1" s="1"/>
  <c r="V5" i="1"/>
</calcChain>
</file>

<file path=xl/sharedStrings.xml><?xml version="1.0" encoding="utf-8"?>
<sst xmlns="http://schemas.openxmlformats.org/spreadsheetml/2006/main" count="475" uniqueCount="193">
  <si>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</si>
  <si>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</si>
  <si>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</si>
  <si>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</si>
  <si>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</si>
  <si>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</si>
  <si>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</si>
  <si>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</si>
  <si>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</si>
  <si>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</si>
  <si>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</si>
  <si>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</si>
  <si>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</si>
  <si>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</si>
  <si>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</si>
  <si>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</si>
  <si>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</si>
  <si>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</si>
  <si>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</si>
  <si>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</si>
  <si>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</si>
  <si>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</si>
  <si>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</si>
  <si>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</si>
  <si>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</si>
  <si>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</si>
  <si>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</si>
  <si>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</si>
  <si>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</si>
  <si>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</si>
  <si>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</si>
  <si>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</si>
  <si>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</si>
  <si>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</si>
  <si>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</si>
  <si>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</si>
  <si>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</si>
  <si>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</si>
  <si>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</si>
  <si>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</si>
  <si>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</si>
  <si>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</si>
  <si>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</si>
  <si>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</si>
  <si>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</si>
  <si>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</si>
  <si>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</si>
  <si>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</si>
  <si>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</si>
  <si>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</si>
  <si>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</si>
  <si>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</si>
  <si>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</si>
  <si>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</si>
  <si>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</si>
  <si>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</si>
  <si>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</si>
  <si>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</si>
  <si>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</si>
  <si>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</si>
  <si>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</si>
  <si>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</si>
  <si>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</si>
  <si>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</si>
  <si>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</si>
  <si>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</si>
  <si>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</si>
  <si>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</si>
  <si>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</si>
  <si>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</si>
  <si>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</si>
  <si>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</si>
  <si>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</si>
  <si>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</si>
  <si>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</si>
  <si>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</si>
  <si>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</si>
  <si>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</si>
  <si>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</si>
  <si>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</si>
  <si>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</si>
  <si>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</si>
  <si>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</si>
  <si>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</si>
  <si>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</si>
  <si>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</si>
  <si>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</si>
  <si>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</si>
  <si>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</si>
  <si>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</si>
  <si>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</si>
  <si>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</si>
  <si>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</si>
  <si>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</si>
  <si>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</si>
  <si>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</si>
  <si>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</si>
  <si>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</si>
  <si>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</si>
  <si>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</si>
  <si>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</si>
  <si>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</si>
  <si>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</si>
  <si>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</si>
  <si>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</si>
  <si>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</si>
  <si>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</si>
  <si>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</si>
  <si>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</si>
  <si>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</si>
  <si>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</si>
  <si>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</si>
  <si>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</si>
  <si>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</si>
  <si>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</si>
  <si>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</si>
  <si>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</si>
  <si>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</si>
  <si>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</si>
  <si>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</si>
  <si>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</si>
  <si>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</si>
  <si>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</si>
  <si>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</si>
  <si>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</si>
  <si>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</si>
  <si>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</si>
  <si>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</si>
  <si>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</si>
  <si>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</si>
  <si>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</si>
  <si>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</si>
  <si>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</si>
  <si>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</si>
  <si>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</si>
  <si>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</si>
  <si>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</si>
  <si>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</si>
  <si>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</si>
  <si>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</si>
  <si>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</si>
  <si>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</si>
  <si>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</si>
  <si>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</si>
  <si>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</si>
  <si>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</si>
  <si>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</si>
  <si>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</si>
  <si>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</si>
  <si>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</si>
  <si>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</si>
  <si>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</si>
  <si>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</si>
  <si>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</si>
  <si>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</si>
  <si>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</si>
  <si>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</si>
  <si>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</si>
  <si>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</si>
  <si>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</si>
  <si>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</si>
  <si>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</si>
  <si>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</si>
  <si>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</si>
  <si>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</si>
  <si>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</si>
  <si>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</si>
  <si>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</si>
  <si>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</si>
  <si>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</si>
  <si>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</si>
  <si>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</si>
  <si>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</si>
  <si>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</si>
  <si>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</si>
  <si>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</si>
  <si>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</si>
  <si>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</si>
  <si>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</si>
  <si>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</si>
  <si>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</si>
  <si>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</si>
  <si>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какие-то манипуляции за 07 месяц!!!</t>
  </si>
  <si>
    <t>итого</t>
  </si>
  <si>
    <t>ТК</t>
  </si>
  <si>
    <t>Боярко</t>
  </si>
  <si>
    <t>ТК ком</t>
  </si>
  <si>
    <t>заказываем с 21,10,26</t>
  </si>
  <si>
    <t>дн</t>
  </si>
  <si>
    <t>заказ</t>
  </si>
  <si>
    <t>25,10,</t>
  </si>
  <si>
    <t>25,10,(2)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</si>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</sst>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010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12,10,</v>
          </cell>
          <cell r="P4" t="str">
            <v>17,10,</v>
          </cell>
          <cell r="Q4" t="str">
            <v>18,10,</v>
          </cell>
          <cell r="R4" t="str">
            <v>19,10,</v>
          </cell>
          <cell r="S4" t="str">
            <v>20,10,</v>
          </cell>
        </row>
        <row r="5">
          <cell r="E5">
            <v>23190.496000000003</v>
          </cell>
          <cell r="F5">
            <v>14600.867999999997</v>
          </cell>
          <cell r="K5">
            <v>24562.644</v>
          </cell>
          <cell r="L5">
            <v>-1372.1479999999997</v>
          </cell>
          <cell r="M5">
            <v>0</v>
          </cell>
          <cell r="N5">
            <v>0</v>
          </cell>
          <cell r="O5">
            <v>14451.274496800002</v>
          </cell>
          <cell r="P5">
            <v>6940.1054951887972</v>
          </cell>
          <cell r="Q5">
            <v>11406.431498411202</v>
          </cell>
          <cell r="R5">
            <v>9671.9104695999995</v>
          </cell>
          <cell r="S5">
            <v>4638.0991999999978</v>
          </cell>
          <cell r="T5">
            <v>8272.7739000000001</v>
          </cell>
          <cell r="U5">
            <v>6260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151.595</v>
          </cell>
          <cell r="D6">
            <v>107.443</v>
          </cell>
          <cell r="E6">
            <v>229.52699999999999</v>
          </cell>
          <cell r="F6">
            <v>28.596</v>
          </cell>
          <cell r="G6">
            <v>1</v>
          </cell>
          <cell r="H6">
            <v>50</v>
          </cell>
          <cell r="I6" t="str">
            <v>матрица</v>
          </cell>
          <cell r="K6">
            <v>228.85</v>
          </cell>
          <cell r="L6">
            <v>0.6769999999999925</v>
          </cell>
          <cell r="O6">
            <v>149.88524000000021</v>
          </cell>
          <cell r="P6">
            <v>123.44992760000009</v>
          </cell>
          <cell r="Q6">
            <v>221.38227240000009</v>
          </cell>
          <cell r="R6">
            <v>100</v>
          </cell>
          <cell r="S6">
            <v>45.9054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614.73500000000001</v>
          </cell>
          <cell r="D7">
            <v>223.39</v>
          </cell>
          <cell r="E7">
            <v>789.76800000000003</v>
          </cell>
          <cell r="F7">
            <v>16.838000000000001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719.90200000000004</v>
          </cell>
          <cell r="L7">
            <v>69.865999999999985</v>
          </cell>
          <cell r="O7">
            <v>240.50739999999999</v>
          </cell>
          <cell r="P7">
            <v>216.07968532000001</v>
          </cell>
          <cell r="Q7">
            <v>387.49485468000012</v>
          </cell>
          <cell r="R7">
            <v>296.42936999999972</v>
          </cell>
          <cell r="S7">
            <v>157.95359999999999</v>
          </cell>
          <cell r="T7">
            <v>580.14029000000005</v>
          </cell>
          <cell r="U7">
            <v>650</v>
          </cell>
          <cell r="V7" t="str">
            <v>Промо+ Сеть мера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446.02</v>
          </cell>
          <cell r="D8">
            <v>551.41099999999994</v>
          </cell>
          <cell r="E8">
            <v>543.08299999999997</v>
          </cell>
          <cell r="F8">
            <v>416.13099999999997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607.78</v>
          </cell>
          <cell r="L8">
            <v>-64.697000000000003</v>
          </cell>
          <cell r="O8">
            <v>132.6578199999999</v>
          </cell>
          <cell r="P8">
            <v>204.43007175999989</v>
          </cell>
          <cell r="Q8">
            <v>366.60364823999993</v>
          </cell>
          <cell r="R8">
            <v>220</v>
          </cell>
          <cell r="S8">
            <v>108.61659999999999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77</v>
          </cell>
          <cell r="D9">
            <v>3</v>
          </cell>
          <cell r="E9">
            <v>65</v>
          </cell>
          <cell r="F9">
            <v>12</v>
          </cell>
          <cell r="G9">
            <v>0.4</v>
          </cell>
          <cell r="H9">
            <v>50</v>
          </cell>
          <cell r="I9" t="str">
            <v>матрица</v>
          </cell>
          <cell r="K9">
            <v>68</v>
          </cell>
          <cell r="L9">
            <v>-3</v>
          </cell>
          <cell r="O9">
            <v>34.109999999999992</v>
          </cell>
          <cell r="P9">
            <v>0</v>
          </cell>
          <cell r="R9">
            <v>61.490000000000038</v>
          </cell>
          <cell r="S9">
            <v>13</v>
          </cell>
          <cell r="T9">
            <v>35.39999999999997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620</v>
          </cell>
          <cell r="D10">
            <v>3</v>
          </cell>
          <cell r="E10">
            <v>438</v>
          </cell>
          <cell r="F10">
            <v>156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461</v>
          </cell>
          <cell r="L10">
            <v>-23</v>
          </cell>
          <cell r="O10">
            <v>138.1539999999998</v>
          </cell>
          <cell r="P10">
            <v>0</v>
          </cell>
          <cell r="R10">
            <v>324.13600000000019</v>
          </cell>
          <cell r="S10">
            <v>87.6</v>
          </cell>
          <cell r="T10">
            <v>345.30999999999995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589</v>
          </cell>
          <cell r="D11">
            <v>3</v>
          </cell>
          <cell r="E11">
            <v>450</v>
          </cell>
          <cell r="F11">
            <v>122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467</v>
          </cell>
          <cell r="L11">
            <v>-17</v>
          </cell>
          <cell r="O11">
            <v>272.83399999999989</v>
          </cell>
          <cell r="P11">
            <v>0</v>
          </cell>
          <cell r="R11">
            <v>274.35599999999999</v>
          </cell>
          <cell r="S11">
            <v>90</v>
          </cell>
          <cell r="T11">
            <v>320.81000000000012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</v>
          </cell>
          <cell r="E13">
            <v>-2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18</v>
          </cell>
          <cell r="L13">
            <v>-20</v>
          </cell>
          <cell r="O13">
            <v>115.0599999999999</v>
          </cell>
          <cell r="P13">
            <v>0</v>
          </cell>
          <cell r="R13">
            <v>60</v>
          </cell>
          <cell r="S13">
            <v>-0.4</v>
          </cell>
          <cell r="T13">
            <v>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-1</v>
          </cell>
          <cell r="D14">
            <v>272</v>
          </cell>
          <cell r="E14">
            <v>106</v>
          </cell>
          <cell r="F14">
            <v>163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121</v>
          </cell>
          <cell r="L14">
            <v>-15</v>
          </cell>
          <cell r="O14">
            <v>150</v>
          </cell>
          <cell r="P14">
            <v>0</v>
          </cell>
          <cell r="R14">
            <v>90</v>
          </cell>
          <cell r="S14">
            <v>21.2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-5.4359999999999999</v>
          </cell>
          <cell r="D15">
            <v>802.53899999999999</v>
          </cell>
          <cell r="E15">
            <v>360.51799999999997</v>
          </cell>
          <cell r="F15">
            <v>425.65699999999998</v>
          </cell>
          <cell r="G15">
            <v>1</v>
          </cell>
          <cell r="H15">
            <v>70</v>
          </cell>
          <cell r="I15" t="str">
            <v>матрица</v>
          </cell>
          <cell r="K15">
            <v>365.76</v>
          </cell>
          <cell r="L15">
            <v>-5.2420000000000186</v>
          </cell>
          <cell r="O15">
            <v>150.55292000000011</v>
          </cell>
          <cell r="P15">
            <v>155.19574943999999</v>
          </cell>
          <cell r="Q15">
            <v>278.31193056000012</v>
          </cell>
          <cell r="R15">
            <v>0</v>
          </cell>
          <cell r="S15">
            <v>72.1036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3448.5010000000002</v>
          </cell>
          <cell r="D16">
            <v>19.957000000000001</v>
          </cell>
          <cell r="E16">
            <v>1804.0440000000001</v>
          </cell>
          <cell r="F16">
            <v>1620.809</v>
          </cell>
          <cell r="G16">
            <v>1</v>
          </cell>
          <cell r="H16">
            <v>50</v>
          </cell>
          <cell r="I16" t="str">
            <v>матрица</v>
          </cell>
          <cell r="K16">
            <v>1811.3</v>
          </cell>
          <cell r="L16">
            <v>-7.2559999999998581</v>
          </cell>
          <cell r="O16">
            <v>100</v>
          </cell>
          <cell r="P16">
            <v>953.57122000000072</v>
          </cell>
          <cell r="Q16">
            <v>1531</v>
          </cell>
          <cell r="R16">
            <v>0</v>
          </cell>
          <cell r="S16">
            <v>360.80880000000002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6.9160000000000004</v>
          </cell>
          <cell r="D17">
            <v>121.303</v>
          </cell>
          <cell r="E17">
            <v>43.801000000000002</v>
          </cell>
          <cell r="F17">
            <v>83.537999999999997</v>
          </cell>
          <cell r="G17">
            <v>1</v>
          </cell>
          <cell r="H17">
            <v>60</v>
          </cell>
          <cell r="I17" t="str">
            <v>матрица</v>
          </cell>
          <cell r="K17">
            <v>45.38</v>
          </cell>
          <cell r="L17">
            <v>-1.5790000000000006</v>
          </cell>
          <cell r="O17">
            <v>86.951680000000025</v>
          </cell>
          <cell r="P17">
            <v>6.0607999999999898</v>
          </cell>
          <cell r="R17">
            <v>0</v>
          </cell>
          <cell r="S17">
            <v>8.7602000000000011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4.4020000000000001</v>
          </cell>
          <cell r="D18">
            <v>63.347000000000001</v>
          </cell>
          <cell r="E18">
            <v>20.216000000000001</v>
          </cell>
          <cell r="F18">
            <v>47.533000000000001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18.2</v>
          </cell>
          <cell r="L18">
            <v>2.0160000000000018</v>
          </cell>
          <cell r="O18">
            <v>25.999579999999991</v>
          </cell>
          <cell r="P18">
            <v>33.300100000000008</v>
          </cell>
          <cell r="R18">
            <v>0</v>
          </cell>
          <cell r="S18">
            <v>4.0432000000000006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16.010999999999999</v>
          </cell>
          <cell r="D19">
            <v>8.4659999999999993</v>
          </cell>
          <cell r="E19">
            <v>18.908000000000001</v>
          </cell>
          <cell r="F19">
            <v>4.87</v>
          </cell>
          <cell r="G19">
            <v>1</v>
          </cell>
          <cell r="H19">
            <v>180</v>
          </cell>
          <cell r="I19" t="str">
            <v>матрица</v>
          </cell>
          <cell r="K19">
            <v>18.079999999999998</v>
          </cell>
          <cell r="L19">
            <v>0.82800000000000296</v>
          </cell>
          <cell r="O19">
            <v>80</v>
          </cell>
          <cell r="P19">
            <v>0</v>
          </cell>
          <cell r="R19">
            <v>30</v>
          </cell>
          <cell r="S19">
            <v>3.7816000000000001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199.233</v>
          </cell>
          <cell r="D20">
            <v>638.29399999999998</v>
          </cell>
          <cell r="E20">
            <v>540.03200000000004</v>
          </cell>
          <cell r="F20">
            <v>292.79199999999997</v>
          </cell>
          <cell r="G20">
            <v>1</v>
          </cell>
          <cell r="H20">
            <v>60</v>
          </cell>
          <cell r="I20" t="str">
            <v>матрица</v>
          </cell>
          <cell r="K20">
            <v>512.12</v>
          </cell>
          <cell r="L20">
            <v>27.912000000000035</v>
          </cell>
          <cell r="O20">
            <v>249.37422240000021</v>
          </cell>
          <cell r="P20">
            <v>163.04897347999989</v>
          </cell>
          <cell r="Q20">
            <v>292.39508651999972</v>
          </cell>
          <cell r="R20">
            <v>51.830577599999977</v>
          </cell>
          <cell r="S20">
            <v>108.00640000000001</v>
          </cell>
          <cell r="T20">
            <v>138.6295400000003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156.65100000000001</v>
          </cell>
          <cell r="D21">
            <v>5.3179999999999996</v>
          </cell>
          <cell r="E21">
            <v>82.423000000000002</v>
          </cell>
          <cell r="F21">
            <v>74.248999999999995</v>
          </cell>
          <cell r="G21">
            <v>1</v>
          </cell>
          <cell r="H21">
            <v>70</v>
          </cell>
          <cell r="I21" t="str">
            <v>матрица</v>
          </cell>
          <cell r="K21">
            <v>80.08</v>
          </cell>
          <cell r="L21">
            <v>2.3430000000000035</v>
          </cell>
          <cell r="O21">
            <v>81.81140000000002</v>
          </cell>
          <cell r="P21">
            <v>36.690775599999988</v>
          </cell>
          <cell r="Q21">
            <v>65.797424399999997</v>
          </cell>
          <cell r="R21">
            <v>80</v>
          </cell>
          <cell r="S21">
            <v>16.4846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0.60599999999999998</v>
          </cell>
          <cell r="D22">
            <v>458.90300000000002</v>
          </cell>
          <cell r="E22">
            <v>196.78700000000001</v>
          </cell>
          <cell r="F22">
            <v>261.40899999999999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203.02</v>
          </cell>
          <cell r="L22">
            <v>-6.2330000000000041</v>
          </cell>
          <cell r="O22">
            <v>185.76480000000001</v>
          </cell>
          <cell r="P22">
            <v>0</v>
          </cell>
          <cell r="R22">
            <v>0</v>
          </cell>
          <cell r="S22">
            <v>39.357399999999998</v>
          </cell>
          <cell r="U22">
            <v>150</v>
          </cell>
          <cell r="V22" t="str">
            <v>Промо+ Сеть мера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32.881999999999998</v>
          </cell>
          <cell r="E23">
            <v>29.149000000000001</v>
          </cell>
          <cell r="F23">
            <v>3.02</v>
          </cell>
          <cell r="G23">
            <v>1</v>
          </cell>
          <cell r="H23">
            <v>180</v>
          </cell>
          <cell r="I23" t="str">
            <v>матрица</v>
          </cell>
          <cell r="K23">
            <v>27.492999999999999</v>
          </cell>
          <cell r="L23">
            <v>1.6560000000000024</v>
          </cell>
          <cell r="O23">
            <v>60</v>
          </cell>
          <cell r="P23">
            <v>0</v>
          </cell>
          <cell r="R23">
            <v>40</v>
          </cell>
          <cell r="S23">
            <v>5.8298000000000005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-0.66</v>
          </cell>
          <cell r="D24">
            <v>411.03</v>
          </cell>
          <cell r="E24">
            <v>48.404000000000003</v>
          </cell>
          <cell r="F24">
            <v>354.94099999999997</v>
          </cell>
          <cell r="G24">
            <v>1</v>
          </cell>
          <cell r="H24">
            <v>70</v>
          </cell>
          <cell r="I24" t="str">
            <v>матрица</v>
          </cell>
          <cell r="K24">
            <v>67.900000000000006</v>
          </cell>
          <cell r="L24">
            <v>-19.496000000000002</v>
          </cell>
          <cell r="O24">
            <v>212.03765999999999</v>
          </cell>
          <cell r="P24">
            <v>78.145041919999983</v>
          </cell>
          <cell r="Q24">
            <v>140.13719807999999</v>
          </cell>
          <cell r="R24">
            <v>100</v>
          </cell>
          <cell r="S24">
            <v>9.6808000000000014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212.50299999999999</v>
          </cell>
          <cell r="D26">
            <v>2.63</v>
          </cell>
          <cell r="E26">
            <v>186.82599999999999</v>
          </cell>
          <cell r="F26">
            <v>10.207000000000001</v>
          </cell>
          <cell r="G26">
            <v>1</v>
          </cell>
          <cell r="H26">
            <v>30</v>
          </cell>
          <cell r="I26" t="str">
            <v>НЗвУЦ / матрица</v>
          </cell>
          <cell r="K26">
            <v>209.6</v>
          </cell>
          <cell r="L26">
            <v>-22.774000000000001</v>
          </cell>
          <cell r="O26">
            <v>0</v>
          </cell>
          <cell r="P26">
            <v>45.757426319999993</v>
          </cell>
          <cell r="Q26">
            <v>82.056613680000012</v>
          </cell>
          <cell r="R26">
            <v>82</v>
          </cell>
          <cell r="S26">
            <v>37.365200000000002</v>
          </cell>
          <cell r="T26">
            <v>190.99616000000003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8.923</v>
          </cell>
          <cell r="D27">
            <v>26.672999999999998</v>
          </cell>
          <cell r="E27">
            <v>37.197000000000003</v>
          </cell>
          <cell r="F27">
            <v>-1.601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64.2</v>
          </cell>
          <cell r="L27">
            <v>-27.003</v>
          </cell>
          <cell r="O27">
            <v>119.017</v>
          </cell>
          <cell r="P27">
            <v>87.747540000000015</v>
          </cell>
          <cell r="R27">
            <v>0</v>
          </cell>
          <cell r="S27">
            <v>7.4394000000000009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31.940999999999999</v>
          </cell>
          <cell r="D28">
            <v>580.54700000000003</v>
          </cell>
          <cell r="E28">
            <v>202.22499999999999</v>
          </cell>
          <cell r="F28">
            <v>386.423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304.59899999999999</v>
          </cell>
          <cell r="L28">
            <v>-102.374</v>
          </cell>
          <cell r="O28">
            <v>79.048339999999939</v>
          </cell>
          <cell r="P28">
            <v>92.426313480000061</v>
          </cell>
          <cell r="Q28">
            <v>165.74774652000011</v>
          </cell>
          <cell r="R28">
            <v>80</v>
          </cell>
          <cell r="S28">
            <v>40.445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1360.432</v>
          </cell>
          <cell r="D29">
            <v>9.23</v>
          </cell>
          <cell r="E29">
            <v>631.755</v>
          </cell>
          <cell r="F29">
            <v>718.60699999999997</v>
          </cell>
          <cell r="G29">
            <v>1</v>
          </cell>
          <cell r="H29">
            <v>40</v>
          </cell>
          <cell r="I29" t="str">
            <v>матрица</v>
          </cell>
          <cell r="K29">
            <v>583.6</v>
          </cell>
          <cell r="L29">
            <v>48.154999999999973</v>
          </cell>
          <cell r="O29">
            <v>0</v>
          </cell>
          <cell r="P29">
            <v>117.8806433199999</v>
          </cell>
          <cell r="Q29">
            <v>211.3948966799999</v>
          </cell>
          <cell r="R29">
            <v>176.08394999999999</v>
          </cell>
          <cell r="S29">
            <v>126.351</v>
          </cell>
          <cell r="T29">
            <v>165.8945100000002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32.11</v>
          </cell>
          <cell r="D30">
            <v>2.9</v>
          </cell>
          <cell r="E30">
            <v>30.562000000000001</v>
          </cell>
          <cell r="F30">
            <v>4.4480000000000004</v>
          </cell>
          <cell r="G30">
            <v>1</v>
          </cell>
          <cell r="H30">
            <v>40</v>
          </cell>
          <cell r="I30" t="str">
            <v>матрица</v>
          </cell>
          <cell r="K30">
            <v>28.3</v>
          </cell>
          <cell r="L30">
            <v>2.2620000000000005</v>
          </cell>
          <cell r="O30">
            <v>4.6096000000000004</v>
          </cell>
          <cell r="P30">
            <v>38.551280000000013</v>
          </cell>
          <cell r="R30">
            <v>0</v>
          </cell>
          <cell r="S30">
            <v>6.1124000000000001</v>
          </cell>
          <cell r="T30">
            <v>19.62751999999999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100.39100000000001</v>
          </cell>
          <cell r="D31">
            <v>34.664000000000001</v>
          </cell>
          <cell r="E31">
            <v>75.426000000000002</v>
          </cell>
          <cell r="F31">
            <v>52.421999999999997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75.8</v>
          </cell>
          <cell r="L31">
            <v>-0.37399999999999523</v>
          </cell>
          <cell r="O31">
            <v>20</v>
          </cell>
          <cell r="P31">
            <v>0</v>
          </cell>
          <cell r="R31">
            <v>15.4526</v>
          </cell>
          <cell r="S31">
            <v>15.0852</v>
          </cell>
          <cell r="T31">
            <v>78.062600000000032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0.876</v>
          </cell>
          <cell r="D32">
            <v>257.98700000000002</v>
          </cell>
          <cell r="E32">
            <v>61.218000000000004</v>
          </cell>
          <cell r="F32">
            <v>193.047</v>
          </cell>
          <cell r="G32">
            <v>1</v>
          </cell>
          <cell r="H32">
            <v>50</v>
          </cell>
          <cell r="I32" t="str">
            <v>матрица</v>
          </cell>
          <cell r="K32">
            <v>54.6</v>
          </cell>
          <cell r="L32">
            <v>6.6180000000000021</v>
          </cell>
          <cell r="O32">
            <v>80</v>
          </cell>
          <cell r="P32">
            <v>0</v>
          </cell>
          <cell r="R32">
            <v>0</v>
          </cell>
          <cell r="S32">
            <v>12.243600000000001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5.4880000000000004</v>
          </cell>
          <cell r="D33">
            <v>98.311000000000007</v>
          </cell>
          <cell r="E33">
            <v>-0.89200000000000002</v>
          </cell>
          <cell r="F33">
            <v>101.075</v>
          </cell>
          <cell r="G33">
            <v>1</v>
          </cell>
          <cell r="H33">
            <v>50</v>
          </cell>
          <cell r="I33" t="str">
            <v>матрица</v>
          </cell>
          <cell r="K33">
            <v>40.9</v>
          </cell>
          <cell r="L33">
            <v>-41.792000000000002</v>
          </cell>
          <cell r="O33">
            <v>100</v>
          </cell>
          <cell r="P33">
            <v>0</v>
          </cell>
          <cell r="R33">
            <v>0</v>
          </cell>
          <cell r="S33">
            <v>-0.1784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135</v>
          </cell>
          <cell r="D34">
            <v>324</v>
          </cell>
          <cell r="E34">
            <v>324</v>
          </cell>
          <cell r="F34">
            <v>126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448</v>
          </cell>
          <cell r="L34">
            <v>-124</v>
          </cell>
          <cell r="O34">
            <v>950.86000000000013</v>
          </cell>
          <cell r="P34">
            <v>342.76352000000009</v>
          </cell>
          <cell r="Q34">
            <v>614.6764800000002</v>
          </cell>
          <cell r="R34">
            <v>0</v>
          </cell>
          <cell r="S34">
            <v>64.8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173</v>
          </cell>
          <cell r="D35">
            <v>3</v>
          </cell>
          <cell r="E35">
            <v>163</v>
          </cell>
          <cell r="F35">
            <v>6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195</v>
          </cell>
          <cell r="L35">
            <v>-32</v>
          </cell>
          <cell r="O35">
            <v>358</v>
          </cell>
          <cell r="P35">
            <v>0</v>
          </cell>
          <cell r="R35">
            <v>99.840000000000046</v>
          </cell>
          <cell r="S35">
            <v>32.6</v>
          </cell>
          <cell r="U35">
            <v>100</v>
          </cell>
          <cell r="V35" t="str">
            <v>Сеть Мера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314</v>
          </cell>
          <cell r="D36">
            <v>6</v>
          </cell>
          <cell r="E36">
            <v>334</v>
          </cell>
          <cell r="F36">
            <v>-20</v>
          </cell>
          <cell r="G36">
            <v>0.4</v>
          </cell>
          <cell r="H36">
            <v>45</v>
          </cell>
          <cell r="I36" t="str">
            <v>матрица</v>
          </cell>
          <cell r="K36">
            <v>335</v>
          </cell>
          <cell r="L36">
            <v>-1</v>
          </cell>
          <cell r="O36">
            <v>267.40000000000009</v>
          </cell>
          <cell r="P36">
            <v>199.6566</v>
          </cell>
          <cell r="Q36">
            <v>358.04340000000002</v>
          </cell>
          <cell r="R36">
            <v>367.18999999999971</v>
          </cell>
          <cell r="S36">
            <v>66.8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67</v>
          </cell>
          <cell r="E37">
            <v>30</v>
          </cell>
          <cell r="F37">
            <v>30</v>
          </cell>
          <cell r="G37">
            <v>0.4</v>
          </cell>
          <cell r="H37">
            <v>40</v>
          </cell>
          <cell r="I37" t="str">
            <v>матрица</v>
          </cell>
          <cell r="K37">
            <v>35</v>
          </cell>
          <cell r="L37">
            <v>-5</v>
          </cell>
          <cell r="O37">
            <v>42.8</v>
          </cell>
          <cell r="P37">
            <v>0</v>
          </cell>
          <cell r="R37">
            <v>0</v>
          </cell>
          <cell r="S37">
            <v>6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72.62</v>
          </cell>
          <cell r="E38">
            <v>31.728999999999999</v>
          </cell>
          <cell r="F38">
            <v>40.890999999999998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29.5</v>
          </cell>
          <cell r="L38">
            <v>2.2289999999999992</v>
          </cell>
          <cell r="O38">
            <v>0</v>
          </cell>
          <cell r="P38">
            <v>0</v>
          </cell>
          <cell r="R38">
            <v>64.340800000000002</v>
          </cell>
          <cell r="S38">
            <v>6.3457999999999997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479</v>
          </cell>
          <cell r="D39">
            <v>300</v>
          </cell>
          <cell r="E39">
            <v>772</v>
          </cell>
          <cell r="F39">
            <v>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656</v>
          </cell>
          <cell r="L39">
            <v>116</v>
          </cell>
          <cell r="O39">
            <v>161.40000000000009</v>
          </cell>
          <cell r="P39">
            <v>176.55127999999991</v>
          </cell>
          <cell r="Q39">
            <v>316.60871999999978</v>
          </cell>
          <cell r="R39">
            <v>798.18000000000006</v>
          </cell>
          <cell r="S39">
            <v>154.4</v>
          </cell>
          <cell r="T39">
            <v>242.66000000000031</v>
          </cell>
          <cell r="U39">
            <v>1500</v>
          </cell>
          <cell r="V39" t="str">
            <v>Промо+ Сеть мера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20</v>
          </cell>
          <cell r="D40">
            <v>204</v>
          </cell>
          <cell r="E40">
            <v>152</v>
          </cell>
          <cell r="F40">
            <v>68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156</v>
          </cell>
          <cell r="L40">
            <v>-4</v>
          </cell>
          <cell r="O40">
            <v>100</v>
          </cell>
          <cell r="P40">
            <v>0</v>
          </cell>
          <cell r="R40">
            <v>0</v>
          </cell>
          <cell r="S40">
            <v>30.4</v>
          </cell>
          <cell r="T40">
            <v>166.39999999999998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49.481000000000002</v>
          </cell>
          <cell r="D41">
            <v>145.81399999999999</v>
          </cell>
          <cell r="E41">
            <v>55.267000000000003</v>
          </cell>
          <cell r="F41">
            <v>134.20099999999999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82.2</v>
          </cell>
          <cell r="L41">
            <v>-26.933</v>
          </cell>
          <cell r="O41">
            <v>137.69834000000009</v>
          </cell>
          <cell r="P41">
            <v>94.012017199999946</v>
          </cell>
          <cell r="Q41">
            <v>168.59138279999991</v>
          </cell>
          <cell r="R41">
            <v>0</v>
          </cell>
          <cell r="S41">
            <v>11.0534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101</v>
          </cell>
          <cell r="D42">
            <v>56</v>
          </cell>
          <cell r="E42">
            <v>116</v>
          </cell>
          <cell r="F42">
            <v>41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158</v>
          </cell>
          <cell r="L42">
            <v>-42</v>
          </cell>
          <cell r="O42">
            <v>86.5</v>
          </cell>
          <cell r="P42">
            <v>0</v>
          </cell>
          <cell r="R42">
            <v>124.37</v>
          </cell>
          <cell r="S42">
            <v>23.2</v>
          </cell>
          <cell r="T42">
            <v>20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D43">
            <v>234</v>
          </cell>
          <cell r="E43">
            <v>75</v>
          </cell>
          <cell r="F43">
            <v>156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77</v>
          </cell>
          <cell r="L43">
            <v>-2</v>
          </cell>
          <cell r="O43">
            <v>0</v>
          </cell>
          <cell r="P43">
            <v>0</v>
          </cell>
          <cell r="R43">
            <v>0</v>
          </cell>
          <cell r="S43">
            <v>15</v>
          </cell>
          <cell r="T43">
            <v>9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93.313000000000002</v>
          </cell>
          <cell r="D44">
            <v>1.4590000000000001</v>
          </cell>
          <cell r="E44">
            <v>91.15</v>
          </cell>
          <cell r="F44">
            <v>-3.6999999999999998E-2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132.4</v>
          </cell>
          <cell r="L44">
            <v>-41.25</v>
          </cell>
          <cell r="O44">
            <v>100</v>
          </cell>
          <cell r="P44">
            <v>105.70159787999999</v>
          </cell>
          <cell r="Q44">
            <v>189.55426212</v>
          </cell>
          <cell r="R44">
            <v>150</v>
          </cell>
          <cell r="S44">
            <v>18.23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60</v>
          </cell>
          <cell r="D45">
            <v>9</v>
          </cell>
          <cell r="E45">
            <v>65</v>
          </cell>
          <cell r="F45">
            <v>-7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116</v>
          </cell>
          <cell r="L45">
            <v>-51</v>
          </cell>
          <cell r="O45">
            <v>344.4</v>
          </cell>
          <cell r="P45">
            <v>172.22664</v>
          </cell>
          <cell r="Q45">
            <v>308.85336000000001</v>
          </cell>
          <cell r="R45">
            <v>80</v>
          </cell>
          <cell r="S45">
            <v>13</v>
          </cell>
          <cell r="U45">
            <v>140</v>
          </cell>
          <cell r="V45" t="str">
            <v>Сеть Мера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466</v>
          </cell>
          <cell r="D46">
            <v>6</v>
          </cell>
          <cell r="E46">
            <v>463</v>
          </cell>
          <cell r="G46">
            <v>0.4</v>
          </cell>
          <cell r="H46">
            <v>40</v>
          </cell>
          <cell r="I46" t="str">
            <v>матрица</v>
          </cell>
          <cell r="K46">
            <v>481</v>
          </cell>
          <cell r="L46">
            <v>-18</v>
          </cell>
          <cell r="O46">
            <v>0</v>
          </cell>
          <cell r="P46">
            <v>0</v>
          </cell>
          <cell r="R46">
            <v>404.48</v>
          </cell>
          <cell r="S46">
            <v>92.6</v>
          </cell>
          <cell r="T46">
            <v>521.52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24.530999999999999</v>
          </cell>
          <cell r="E47">
            <v>25.064</v>
          </cell>
          <cell r="F47">
            <v>-1.2470000000000001</v>
          </cell>
          <cell r="G47">
            <v>1</v>
          </cell>
          <cell r="H47">
            <v>50</v>
          </cell>
          <cell r="I47" t="str">
            <v>матрица</v>
          </cell>
          <cell r="K47">
            <v>24.15</v>
          </cell>
          <cell r="L47">
            <v>0.91400000000000148</v>
          </cell>
          <cell r="O47">
            <v>150</v>
          </cell>
          <cell r="P47">
            <v>4</v>
          </cell>
          <cell r="R47">
            <v>60</v>
          </cell>
          <cell r="S47">
            <v>5.0128000000000004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18.574999999999999</v>
          </cell>
          <cell r="D48">
            <v>274.57100000000003</v>
          </cell>
          <cell r="E48">
            <v>41.703000000000003</v>
          </cell>
          <cell r="F48">
            <v>249.66</v>
          </cell>
          <cell r="G48">
            <v>1</v>
          </cell>
          <cell r="H48">
            <v>50</v>
          </cell>
          <cell r="I48" t="str">
            <v>матрица</v>
          </cell>
          <cell r="K48">
            <v>83</v>
          </cell>
          <cell r="L48">
            <v>-41.296999999999997</v>
          </cell>
          <cell r="O48">
            <v>63.46958000000005</v>
          </cell>
          <cell r="P48">
            <v>0</v>
          </cell>
          <cell r="R48">
            <v>50</v>
          </cell>
          <cell r="S48">
            <v>8.3406000000000002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-2.3E-2</v>
          </cell>
          <cell r="D49">
            <v>89.819000000000003</v>
          </cell>
          <cell r="F49">
            <v>89.796000000000006</v>
          </cell>
          <cell r="G49">
            <v>1</v>
          </cell>
          <cell r="H49">
            <v>45</v>
          </cell>
          <cell r="I49" t="str">
            <v>НЕДОГРУЗ / матрица</v>
          </cell>
          <cell r="L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159</v>
          </cell>
          <cell r="D50">
            <v>3</v>
          </cell>
          <cell r="E50">
            <v>158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171</v>
          </cell>
          <cell r="L50">
            <v>-13</v>
          </cell>
          <cell r="O50">
            <v>223</v>
          </cell>
          <cell r="P50">
            <v>0</v>
          </cell>
          <cell r="R50">
            <v>223</v>
          </cell>
          <cell r="S50">
            <v>31.6</v>
          </cell>
          <cell r="U50">
            <v>150</v>
          </cell>
          <cell r="V50" t="str">
            <v>Сеть Мера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184</v>
          </cell>
          <cell r="D51">
            <v>3</v>
          </cell>
          <cell r="E51">
            <v>182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182</v>
          </cell>
          <cell r="L51">
            <v>0</v>
          </cell>
          <cell r="O51">
            <v>334.6</v>
          </cell>
          <cell r="P51">
            <v>0</v>
          </cell>
          <cell r="R51">
            <v>162.69</v>
          </cell>
          <cell r="S51">
            <v>36.4</v>
          </cell>
          <cell r="U51">
            <v>100</v>
          </cell>
          <cell r="V51" t="str">
            <v>Сеть Мера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123</v>
          </cell>
          <cell r="E52">
            <v>115</v>
          </cell>
          <cell r="F52">
            <v>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137</v>
          </cell>
          <cell r="L52">
            <v>-22</v>
          </cell>
          <cell r="O52">
            <v>0</v>
          </cell>
          <cell r="P52">
            <v>0</v>
          </cell>
          <cell r="R52">
            <v>176.32</v>
          </cell>
          <cell r="S52">
            <v>23</v>
          </cell>
          <cell r="T52">
            <v>75.680000000000007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174</v>
          </cell>
          <cell r="E53">
            <v>164</v>
          </cell>
          <cell r="F53">
            <v>5</v>
          </cell>
          <cell r="G53">
            <v>0.4</v>
          </cell>
          <cell r="H53">
            <v>40</v>
          </cell>
          <cell r="I53" t="str">
            <v>матрица</v>
          </cell>
          <cell r="K53">
            <v>180</v>
          </cell>
          <cell r="L53">
            <v>-16</v>
          </cell>
          <cell r="O53">
            <v>13.32000000000002</v>
          </cell>
          <cell r="P53">
            <v>0</v>
          </cell>
          <cell r="R53">
            <v>206.19</v>
          </cell>
          <cell r="S53">
            <v>32.799999999999997</v>
          </cell>
          <cell r="T53">
            <v>136.28999999999994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-0.28799999999999998</v>
          </cell>
          <cell r="D54">
            <v>130.42500000000001</v>
          </cell>
          <cell r="E54">
            <v>47.222999999999999</v>
          </cell>
          <cell r="F54">
            <v>82.914000000000001</v>
          </cell>
          <cell r="G54">
            <v>1</v>
          </cell>
          <cell r="H54">
            <v>50</v>
          </cell>
          <cell r="I54" t="str">
            <v>матрица</v>
          </cell>
          <cell r="K54">
            <v>48.9</v>
          </cell>
          <cell r="L54">
            <v>-1.6769999999999996</v>
          </cell>
          <cell r="O54">
            <v>150</v>
          </cell>
          <cell r="P54">
            <v>0</v>
          </cell>
          <cell r="R54">
            <v>40</v>
          </cell>
          <cell r="S54">
            <v>9.4445999999999994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575</v>
          </cell>
          <cell r="D55">
            <v>172</v>
          </cell>
          <cell r="E55">
            <v>620</v>
          </cell>
          <cell r="F55">
            <v>26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436</v>
          </cell>
          <cell r="L55">
            <v>184</v>
          </cell>
          <cell r="O55">
            <v>0</v>
          </cell>
          <cell r="P55">
            <v>126.76779999999999</v>
          </cell>
          <cell r="Q55">
            <v>227.3322</v>
          </cell>
          <cell r="R55">
            <v>1119.5899999999999</v>
          </cell>
          <cell r="S55">
            <v>124</v>
          </cell>
          <cell r="U55">
            <v>1000</v>
          </cell>
          <cell r="V55" t="str">
            <v>Сеть Мера+Есть потребность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70.704999999999998</v>
          </cell>
          <cell r="D56">
            <v>182.78399999999999</v>
          </cell>
          <cell r="E56">
            <v>78.614000000000004</v>
          </cell>
          <cell r="F56">
            <v>173.52799999999999</v>
          </cell>
          <cell r="G56">
            <v>1</v>
          </cell>
          <cell r="H56">
            <v>50</v>
          </cell>
          <cell r="I56" t="str">
            <v>матрица</v>
          </cell>
          <cell r="K56">
            <v>72.599999999999994</v>
          </cell>
          <cell r="L56">
            <v>6.01400000000001</v>
          </cell>
          <cell r="O56">
            <v>46.787559999999992</v>
          </cell>
          <cell r="P56">
            <v>0</v>
          </cell>
          <cell r="R56">
            <v>80</v>
          </cell>
          <cell r="S56">
            <v>15.722800000000001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84.15</v>
          </cell>
          <cell r="E57">
            <v>27.148</v>
          </cell>
          <cell r="F57">
            <v>55.658999999999999</v>
          </cell>
          <cell r="G57">
            <v>1</v>
          </cell>
          <cell r="H57">
            <v>55</v>
          </cell>
          <cell r="I57" t="str">
            <v>матрица</v>
          </cell>
          <cell r="K57">
            <v>24.4</v>
          </cell>
          <cell r="L57">
            <v>2.7480000000000011</v>
          </cell>
          <cell r="O57">
            <v>0</v>
          </cell>
          <cell r="P57">
            <v>0</v>
          </cell>
          <cell r="R57">
            <v>3.757199999999997</v>
          </cell>
          <cell r="S57">
            <v>5.4295999999999998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317</v>
          </cell>
          <cell r="E58">
            <v>297</v>
          </cell>
          <cell r="F58">
            <v>20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365</v>
          </cell>
          <cell r="L58">
            <v>-68</v>
          </cell>
          <cell r="O58">
            <v>307.8</v>
          </cell>
          <cell r="P58">
            <v>167.02132</v>
          </cell>
          <cell r="Q58">
            <v>299.51868000000002</v>
          </cell>
          <cell r="R58">
            <v>700</v>
          </cell>
          <cell r="S58">
            <v>59.4</v>
          </cell>
          <cell r="U58">
            <v>600</v>
          </cell>
          <cell r="V58" t="str">
            <v>Сеть Мера+Есть потребность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D59">
            <v>30</v>
          </cell>
          <cell r="E59">
            <v>21</v>
          </cell>
          <cell r="F59">
            <v>9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21</v>
          </cell>
          <cell r="L59">
            <v>0</v>
          </cell>
          <cell r="O59">
            <v>39.599999999999987</v>
          </cell>
          <cell r="P59">
            <v>0</v>
          </cell>
          <cell r="R59">
            <v>0</v>
          </cell>
          <cell r="S59">
            <v>4.2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31.378</v>
          </cell>
          <cell r="D60">
            <v>176.779</v>
          </cell>
          <cell r="E60">
            <v>125.312</v>
          </cell>
          <cell r="F60">
            <v>80.168999999999997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120.75</v>
          </cell>
          <cell r="L60">
            <v>4.5619999999999976</v>
          </cell>
          <cell r="O60">
            <v>0</v>
          </cell>
          <cell r="P60">
            <v>0</v>
          </cell>
          <cell r="R60">
            <v>25.878399999999999</v>
          </cell>
          <cell r="S60">
            <v>25.0624</v>
          </cell>
          <cell r="T60">
            <v>144.57659999999998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62.03</v>
          </cell>
          <cell r="D61">
            <v>245.11099999999999</v>
          </cell>
          <cell r="E61">
            <v>178.64699999999999</v>
          </cell>
          <cell r="F61">
            <v>123.083</v>
          </cell>
          <cell r="G61">
            <v>1</v>
          </cell>
          <cell r="H61">
            <v>40</v>
          </cell>
          <cell r="I61" t="str">
            <v>матрица</v>
          </cell>
          <cell r="K61">
            <v>179.2</v>
          </cell>
          <cell r="L61">
            <v>-0.55299999999999727</v>
          </cell>
          <cell r="O61">
            <v>0</v>
          </cell>
          <cell r="P61">
            <v>0</v>
          </cell>
          <cell r="R61">
            <v>73.577639999999946</v>
          </cell>
          <cell r="S61">
            <v>35.729399999999998</v>
          </cell>
          <cell r="T61">
            <v>196.36276000000007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290</v>
          </cell>
          <cell r="D62">
            <v>960</v>
          </cell>
          <cell r="E62">
            <v>166</v>
          </cell>
          <cell r="F62">
            <v>774</v>
          </cell>
          <cell r="G62">
            <v>0.4</v>
          </cell>
          <cell r="H62">
            <v>40</v>
          </cell>
          <cell r="I62" t="str">
            <v>матрица</v>
          </cell>
          <cell r="K62">
            <v>650</v>
          </cell>
          <cell r="L62">
            <v>-484</v>
          </cell>
          <cell r="O62">
            <v>0</v>
          </cell>
          <cell r="P62">
            <v>0</v>
          </cell>
          <cell r="R62">
            <v>0</v>
          </cell>
          <cell r="S62">
            <v>33.200000000000003</v>
          </cell>
          <cell r="T62">
            <v>500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290</v>
          </cell>
          <cell r="D63">
            <v>204</v>
          </cell>
          <cell r="E63">
            <v>358</v>
          </cell>
          <cell r="F63">
            <v>133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446</v>
          </cell>
          <cell r="L63">
            <v>-88</v>
          </cell>
          <cell r="O63">
            <v>487.90199999999982</v>
          </cell>
          <cell r="P63">
            <v>100.16052400000009</v>
          </cell>
          <cell r="Q63">
            <v>179.6174760000001</v>
          </cell>
          <cell r="R63">
            <v>200.4399999999998</v>
          </cell>
          <cell r="S63">
            <v>71.599999999999994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-0.114</v>
          </cell>
          <cell r="D64">
            <v>354.29300000000001</v>
          </cell>
          <cell r="E64">
            <v>119.42400000000001</v>
          </cell>
          <cell r="F64">
            <v>232.93799999999999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133.6</v>
          </cell>
          <cell r="L64">
            <v>-14.175999999999988</v>
          </cell>
          <cell r="O64">
            <v>0</v>
          </cell>
          <cell r="P64">
            <v>0</v>
          </cell>
          <cell r="R64">
            <v>0</v>
          </cell>
          <cell r="S64">
            <v>23.884800000000002</v>
          </cell>
          <cell r="T64">
            <v>29.794800000000009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1.4999999999999999E-2</v>
          </cell>
          <cell r="D65">
            <v>260.30900000000003</v>
          </cell>
          <cell r="E65">
            <v>115.41200000000001</v>
          </cell>
          <cell r="F65">
            <v>135.887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122.1</v>
          </cell>
          <cell r="L65">
            <v>-6.6879999999999882</v>
          </cell>
          <cell r="O65">
            <v>0</v>
          </cell>
          <cell r="P65">
            <v>0</v>
          </cell>
          <cell r="R65">
            <v>0</v>
          </cell>
          <cell r="S65">
            <v>23.0824</v>
          </cell>
          <cell r="T65">
            <v>118.01939999999999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2.645</v>
          </cell>
          <cell r="D66">
            <v>42.942999999999998</v>
          </cell>
          <cell r="E66">
            <v>42.036000000000001</v>
          </cell>
          <cell r="F66">
            <v>2.637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97.3</v>
          </cell>
          <cell r="L66">
            <v>-55.263999999999996</v>
          </cell>
          <cell r="O66">
            <v>100</v>
          </cell>
          <cell r="P66">
            <v>40</v>
          </cell>
          <cell r="R66">
            <v>50</v>
          </cell>
          <cell r="S66">
            <v>8.4071999999999996</v>
          </cell>
          <cell r="U66">
            <v>150</v>
          </cell>
          <cell r="V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-6.0999999999999999E-2</v>
          </cell>
          <cell r="F67">
            <v>-2.8109999999999999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6.5</v>
          </cell>
          <cell r="L67">
            <v>-6.5</v>
          </cell>
          <cell r="O67">
            <v>139.51259999999999</v>
          </cell>
          <cell r="P67">
            <v>43.228056079999988</v>
          </cell>
          <cell r="Q67">
            <v>77.520703919999988</v>
          </cell>
          <cell r="R67">
            <v>80</v>
          </cell>
          <cell r="S67">
            <v>0</v>
          </cell>
          <cell r="U67">
            <v>100</v>
          </cell>
          <cell r="V67" t="str">
            <v>Сеть Мера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49</v>
          </cell>
          <cell r="E68">
            <v>7</v>
          </cell>
          <cell r="F68">
            <v>42</v>
          </cell>
          <cell r="G68">
            <v>0</v>
          </cell>
          <cell r="H68">
            <v>70</v>
          </cell>
          <cell r="I68" t="str">
            <v>вывод</v>
          </cell>
          <cell r="K68">
            <v>6.8</v>
          </cell>
          <cell r="L68">
            <v>0.20000000000000018</v>
          </cell>
          <cell r="O68">
            <v>0</v>
          </cell>
          <cell r="P68">
            <v>0</v>
          </cell>
          <cell r="R68">
            <v>0</v>
          </cell>
          <cell r="S68">
            <v>1.4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22.681999999999999</v>
          </cell>
          <cell r="D69">
            <v>229.54</v>
          </cell>
          <cell r="E69">
            <v>21.474</v>
          </cell>
          <cell r="F69">
            <v>205.81</v>
          </cell>
          <cell r="G69">
            <v>1</v>
          </cell>
          <cell r="H69">
            <v>30</v>
          </cell>
          <cell r="I69" t="str">
            <v>НЗвУЦ / матрица</v>
          </cell>
          <cell r="K69">
            <v>64.349999999999994</v>
          </cell>
          <cell r="L69">
            <v>-42.875999999999991</v>
          </cell>
          <cell r="O69">
            <v>0</v>
          </cell>
          <cell r="P69">
            <v>0</v>
          </cell>
          <cell r="R69">
            <v>0</v>
          </cell>
          <cell r="S69">
            <v>4.2948000000000004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D70">
            <v>96</v>
          </cell>
          <cell r="E70">
            <v>32</v>
          </cell>
          <cell r="F70">
            <v>64</v>
          </cell>
          <cell r="G70">
            <v>0</v>
          </cell>
          <cell r="I70" t="str">
            <v>матрица</v>
          </cell>
          <cell r="K70">
            <v>26</v>
          </cell>
          <cell r="L70">
            <v>6</v>
          </cell>
          <cell r="O70">
            <v>0</v>
          </cell>
          <cell r="P70">
            <v>0</v>
          </cell>
          <cell r="R70">
            <v>0</v>
          </cell>
          <cell r="S70">
            <v>6.4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46</v>
          </cell>
          <cell r="D71">
            <v>152</v>
          </cell>
          <cell r="E71">
            <v>153</v>
          </cell>
          <cell r="F71">
            <v>45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117</v>
          </cell>
          <cell r="L71">
            <v>36</v>
          </cell>
          <cell r="O71">
            <v>99.200000000000017</v>
          </cell>
          <cell r="P71">
            <v>86.039999999999964</v>
          </cell>
          <cell r="R71">
            <v>0</v>
          </cell>
          <cell r="S71">
            <v>30.6</v>
          </cell>
          <cell r="T71">
            <v>106.36000000000004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143</v>
          </cell>
          <cell r="D72">
            <v>9</v>
          </cell>
          <cell r="E72">
            <v>59</v>
          </cell>
          <cell r="F72">
            <v>84</v>
          </cell>
          <cell r="G72">
            <v>0.4</v>
          </cell>
          <cell r="H72">
            <v>90</v>
          </cell>
          <cell r="I72" t="str">
            <v>матрица</v>
          </cell>
          <cell r="K72">
            <v>58</v>
          </cell>
          <cell r="L72">
            <v>1</v>
          </cell>
          <cell r="O72">
            <v>0</v>
          </cell>
          <cell r="P72">
            <v>53.400000000000013</v>
          </cell>
          <cell r="R72">
            <v>32.200000000000017</v>
          </cell>
          <cell r="S72">
            <v>11.8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176</v>
          </cell>
          <cell r="D73">
            <v>136</v>
          </cell>
          <cell r="E73">
            <v>117</v>
          </cell>
          <cell r="F73">
            <v>191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112</v>
          </cell>
          <cell r="L73">
            <v>5</v>
          </cell>
          <cell r="O73">
            <v>8</v>
          </cell>
          <cell r="P73">
            <v>37.697400000000023</v>
          </cell>
          <cell r="Q73">
            <v>67.602600000000024</v>
          </cell>
          <cell r="R73">
            <v>29.21999999999991</v>
          </cell>
          <cell r="S73">
            <v>23.4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91</v>
          </cell>
          <cell r="D74">
            <v>65</v>
          </cell>
          <cell r="E74">
            <v>71</v>
          </cell>
          <cell r="F74">
            <v>83</v>
          </cell>
          <cell r="G74">
            <v>0.35</v>
          </cell>
          <cell r="H74">
            <v>90</v>
          </cell>
          <cell r="I74" t="str">
            <v>матрица</v>
          </cell>
          <cell r="K74">
            <v>70</v>
          </cell>
          <cell r="L74">
            <v>1</v>
          </cell>
          <cell r="O74">
            <v>0</v>
          </cell>
          <cell r="P74">
            <v>41.334680000000013</v>
          </cell>
          <cell r="Q74">
            <v>74.125320000000031</v>
          </cell>
          <cell r="R74">
            <v>16.33999999999995</v>
          </cell>
          <cell r="S74">
            <v>14.2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D75">
            <v>150</v>
          </cell>
          <cell r="E75">
            <v>33</v>
          </cell>
          <cell r="F75">
            <v>117</v>
          </cell>
          <cell r="G75">
            <v>0.37</v>
          </cell>
          <cell r="H75">
            <v>50</v>
          </cell>
          <cell r="I75" t="str">
            <v>НЗвУЦ / матрица</v>
          </cell>
          <cell r="K75">
            <v>27</v>
          </cell>
          <cell r="L75">
            <v>6</v>
          </cell>
          <cell r="O75">
            <v>0</v>
          </cell>
          <cell r="P75">
            <v>0</v>
          </cell>
          <cell r="R75">
            <v>0</v>
          </cell>
          <cell r="S75">
            <v>6.6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D76">
            <v>56</v>
          </cell>
          <cell r="E76">
            <v>30</v>
          </cell>
          <cell r="F76">
            <v>26</v>
          </cell>
          <cell r="G76">
            <v>0</v>
          </cell>
          <cell r="I76" t="str">
            <v>матрица</v>
          </cell>
          <cell r="K76">
            <v>24</v>
          </cell>
          <cell r="L76">
            <v>6</v>
          </cell>
          <cell r="O76">
            <v>0</v>
          </cell>
          <cell r="P76">
            <v>0</v>
          </cell>
          <cell r="R76">
            <v>0</v>
          </cell>
          <cell r="S76">
            <v>6</v>
          </cell>
          <cell r="U76">
            <v>40</v>
          </cell>
          <cell r="V76" t="str">
            <v>Сеть Мера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54</v>
          </cell>
          <cell r="D77">
            <v>96</v>
          </cell>
          <cell r="E77">
            <v>78</v>
          </cell>
          <cell r="F77">
            <v>71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83</v>
          </cell>
          <cell r="L77">
            <v>-5</v>
          </cell>
          <cell r="O77">
            <v>156.91999999999999</v>
          </cell>
          <cell r="P77">
            <v>0</v>
          </cell>
          <cell r="R77">
            <v>0</v>
          </cell>
          <cell r="S77">
            <v>15.6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8</v>
          </cell>
          <cell r="D78">
            <v>12</v>
          </cell>
          <cell r="E78">
            <v>10</v>
          </cell>
          <cell r="F78">
            <v>8</v>
          </cell>
          <cell r="G78">
            <v>0.4</v>
          </cell>
          <cell r="H78">
            <v>55</v>
          </cell>
          <cell r="I78" t="str">
            <v>НЕДОГРУЗ / матрица</v>
          </cell>
          <cell r="K78">
            <v>14</v>
          </cell>
          <cell r="L78">
            <v>-4</v>
          </cell>
          <cell r="O78">
            <v>168.6</v>
          </cell>
          <cell r="P78">
            <v>59.519999999999968</v>
          </cell>
          <cell r="R78">
            <v>0</v>
          </cell>
          <cell r="S78">
            <v>2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4</v>
          </cell>
          <cell r="D79">
            <v>50</v>
          </cell>
          <cell r="E79">
            <v>6</v>
          </cell>
          <cell r="F79">
            <v>48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6</v>
          </cell>
          <cell r="L79">
            <v>0</v>
          </cell>
          <cell r="O79">
            <v>19.199999999999989</v>
          </cell>
          <cell r="P79">
            <v>0</v>
          </cell>
          <cell r="R79">
            <v>0</v>
          </cell>
          <cell r="S79">
            <v>1.2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75</v>
          </cell>
          <cell r="D80">
            <v>2</v>
          </cell>
          <cell r="E80">
            <v>22</v>
          </cell>
          <cell r="F80">
            <v>55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22</v>
          </cell>
          <cell r="L80">
            <v>0</v>
          </cell>
          <cell r="O80">
            <v>0</v>
          </cell>
          <cell r="P80">
            <v>0</v>
          </cell>
          <cell r="R80">
            <v>10.599999999999991</v>
          </cell>
          <cell r="S80">
            <v>4.4000000000000004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R81">
            <v>0</v>
          </cell>
          <cell r="S81">
            <v>0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R82">
            <v>0</v>
          </cell>
          <cell r="S82">
            <v>0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35.927</v>
          </cell>
          <cell r="D83">
            <v>2.8940000000000001</v>
          </cell>
          <cell r="E83">
            <v>5.7610000000000001</v>
          </cell>
          <cell r="F83">
            <v>33.06</v>
          </cell>
          <cell r="G83">
            <v>1</v>
          </cell>
          <cell r="H83">
            <v>55</v>
          </cell>
          <cell r="I83" t="str">
            <v>матрица</v>
          </cell>
          <cell r="K83">
            <v>4.5</v>
          </cell>
          <cell r="L83">
            <v>1.2610000000000001</v>
          </cell>
          <cell r="O83">
            <v>0</v>
          </cell>
          <cell r="P83">
            <v>0</v>
          </cell>
          <cell r="R83">
            <v>0</v>
          </cell>
          <cell r="S83">
            <v>1.1522000000000001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380.12400000000002</v>
          </cell>
          <cell r="D84">
            <v>6.0019999999999998</v>
          </cell>
          <cell r="E84">
            <v>279.01600000000002</v>
          </cell>
          <cell r="F84">
            <v>100.22799999999999</v>
          </cell>
          <cell r="G84">
            <v>1</v>
          </cell>
          <cell r="H84">
            <v>60</v>
          </cell>
          <cell r="I84" t="str">
            <v>матрица</v>
          </cell>
          <cell r="K84">
            <v>286.18</v>
          </cell>
          <cell r="L84">
            <v>-7.1639999999999873</v>
          </cell>
          <cell r="O84">
            <v>0</v>
          </cell>
          <cell r="P84">
            <v>116.21012224</v>
          </cell>
          <cell r="Q84">
            <v>208.39915776000001</v>
          </cell>
          <cell r="R84">
            <v>172.73820000000009</v>
          </cell>
          <cell r="S84">
            <v>55.803200000000004</v>
          </cell>
          <cell r="T84">
            <v>16.259719999999859</v>
          </cell>
          <cell r="U84">
            <v>250</v>
          </cell>
          <cell r="V84" t="str">
            <v>Сеть Мера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2191.2539999999999</v>
          </cell>
          <cell r="D86">
            <v>7.9950000000000001</v>
          </cell>
          <cell r="E86">
            <v>1968.2329999999999</v>
          </cell>
          <cell r="F86">
            <v>218.065</v>
          </cell>
          <cell r="G86">
            <v>1</v>
          </cell>
          <cell r="H86">
            <v>60</v>
          </cell>
          <cell r="I86" t="str">
            <v>матрица</v>
          </cell>
          <cell r="K86">
            <v>1943.5</v>
          </cell>
          <cell r="L86">
            <v>24.732999999999947</v>
          </cell>
          <cell r="O86">
            <v>800</v>
          </cell>
          <cell r="P86">
            <v>882.74990587999991</v>
          </cell>
          <cell r="Q86">
            <v>1583.0319541199999</v>
          </cell>
          <cell r="R86">
            <v>267.97099999999978</v>
          </cell>
          <cell r="S86">
            <v>393.64659999999998</v>
          </cell>
          <cell r="T86">
            <v>578.29474000000027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2399.8150000000001</v>
          </cell>
          <cell r="D87">
            <v>534.70500000000004</v>
          </cell>
          <cell r="E87">
            <v>1467.06</v>
          </cell>
          <cell r="F87">
            <v>1421.5609999999999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1481.5</v>
          </cell>
          <cell r="L87">
            <v>-14.440000000000055</v>
          </cell>
          <cell r="O87">
            <v>1130.506333999999</v>
          </cell>
          <cell r="P87">
            <v>0</v>
          </cell>
          <cell r="R87">
            <v>19.16706600000111</v>
          </cell>
          <cell r="S87">
            <v>293.41199999999998</v>
          </cell>
          <cell r="T87">
            <v>656.29759999999965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2163.7910000000002</v>
          </cell>
          <cell r="D88">
            <v>1518.7059999999999</v>
          </cell>
          <cell r="E88">
            <v>2940.7220000000002</v>
          </cell>
          <cell r="F88">
            <v>709.74199999999996</v>
          </cell>
          <cell r="G88">
            <v>1</v>
          </cell>
          <cell r="H88">
            <v>60</v>
          </cell>
          <cell r="I88" t="str">
            <v>матрица</v>
          </cell>
          <cell r="K88">
            <v>2919</v>
          </cell>
          <cell r="L88">
            <v>21.722000000000207</v>
          </cell>
          <cell r="O88">
            <v>1683.6812440000001</v>
          </cell>
          <cell r="P88">
            <v>919.18546900800015</v>
          </cell>
          <cell r="Q88">
            <v>1648.3717069920001</v>
          </cell>
          <cell r="R88">
            <v>302.75659999999988</v>
          </cell>
          <cell r="S88">
            <v>588.14440000000002</v>
          </cell>
          <cell r="T88">
            <v>1205.8513800000005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G89">
            <v>0</v>
          </cell>
          <cell r="I89" t="str">
            <v>НЕДОГРУЗ / матрица</v>
          </cell>
          <cell r="L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C90">
            <v>13</v>
          </cell>
          <cell r="D90">
            <v>62</v>
          </cell>
          <cell r="E90">
            <v>65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100</v>
          </cell>
          <cell r="L90">
            <v>-35</v>
          </cell>
          <cell r="O90">
            <v>100</v>
          </cell>
          <cell r="P90">
            <v>0</v>
          </cell>
          <cell r="R90">
            <v>80</v>
          </cell>
          <cell r="S90">
            <v>13</v>
          </cell>
          <cell r="U90">
            <v>150</v>
          </cell>
          <cell r="V90" t="str">
            <v>Сеть Мера+Есть потребность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1</v>
          </cell>
          <cell r="E91">
            <v>-5</v>
          </cell>
          <cell r="F91">
            <v>1</v>
          </cell>
          <cell r="G91">
            <v>0.3</v>
          </cell>
          <cell r="I91" t="str">
            <v>НЕДОГРУЗ / матрица</v>
          </cell>
          <cell r="K91">
            <v>8</v>
          </cell>
          <cell r="L91">
            <v>-13</v>
          </cell>
          <cell r="O91">
            <v>43.399999999999977</v>
          </cell>
          <cell r="P91">
            <v>0</v>
          </cell>
          <cell r="R91">
            <v>20</v>
          </cell>
          <cell r="S91">
            <v>-1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C92">
            <v>1</v>
          </cell>
          <cell r="E92">
            <v>-2</v>
          </cell>
          <cell r="F92">
            <v>1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12</v>
          </cell>
          <cell r="L92">
            <v>-14</v>
          </cell>
          <cell r="O92">
            <v>37.120000000000019</v>
          </cell>
          <cell r="P92">
            <v>46.479999999999983</v>
          </cell>
          <cell r="R92">
            <v>60</v>
          </cell>
          <cell r="S92">
            <v>-0.4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3</v>
          </cell>
          <cell r="L93">
            <v>-3</v>
          </cell>
          <cell r="O93">
            <v>0</v>
          </cell>
          <cell r="P93">
            <v>20</v>
          </cell>
          <cell r="R93">
            <v>40</v>
          </cell>
          <cell r="S93">
            <v>0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92</v>
          </cell>
          <cell r="D94">
            <v>72</v>
          </cell>
          <cell r="E94">
            <v>74</v>
          </cell>
          <cell r="F94">
            <v>89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75</v>
          </cell>
          <cell r="L94">
            <v>-1</v>
          </cell>
          <cell r="O94">
            <v>16.2</v>
          </cell>
          <cell r="P94">
            <v>0</v>
          </cell>
          <cell r="R94">
            <v>60</v>
          </cell>
          <cell r="S94">
            <v>14.8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44</v>
          </cell>
          <cell r="D95">
            <v>48</v>
          </cell>
          <cell r="E95">
            <v>15</v>
          </cell>
          <cell r="F95">
            <v>71</v>
          </cell>
          <cell r="G95">
            <v>0.3</v>
          </cell>
          <cell r="I95" t="str">
            <v>матрица</v>
          </cell>
          <cell r="K95">
            <v>19</v>
          </cell>
          <cell r="L95">
            <v>-4</v>
          </cell>
          <cell r="O95">
            <v>88.86</v>
          </cell>
          <cell r="P95">
            <v>4.5739999999999839</v>
          </cell>
          <cell r="R95">
            <v>20</v>
          </cell>
          <cell r="S95">
            <v>3</v>
          </cell>
        </row>
        <row r="96">
          <cell r="A96" t="str">
            <v xml:space="preserve"> 551  Колбаса Сливушка ТМ Вязанка в модифицированной газовой среде 0,11 кг нарезка  ПОКОМ</v>
          </cell>
          <cell r="B96" t="str">
            <v>шт</v>
          </cell>
          <cell r="D96">
            <v>24</v>
          </cell>
          <cell r="E96">
            <v>23</v>
          </cell>
          <cell r="F96">
            <v>1</v>
          </cell>
          <cell r="G96">
            <v>0</v>
          </cell>
          <cell r="I96" t="str">
            <v>матрица</v>
          </cell>
          <cell r="K96">
            <v>23</v>
          </cell>
          <cell r="L96">
            <v>0</v>
          </cell>
          <cell r="O96">
            <v>0</v>
          </cell>
          <cell r="P96">
            <v>0</v>
          </cell>
          <cell r="R96">
            <v>0</v>
          </cell>
          <cell r="S96">
            <v>4.5999999999999996</v>
          </cell>
        </row>
        <row r="97">
          <cell r="A97" t="str">
            <v xml:space="preserve"> 552  Ветчина Сливушка с индейкой ТМ Вязанка в модифицированной газовой среде 0,1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</row>
        <row r="98">
          <cell r="A98" t="str">
            <v xml:space="preserve"> 553  Ассорти колбас Мясорубская коллекция: Сервелат Делюкс, С балыком 0,08 кг нарезка  ПОКОМ</v>
          </cell>
          <cell r="B98" t="str">
            <v>шт</v>
          </cell>
          <cell r="C98">
            <v>39</v>
          </cell>
          <cell r="D98">
            <v>72</v>
          </cell>
          <cell r="E98">
            <v>68</v>
          </cell>
          <cell r="F98">
            <v>38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98</v>
          </cell>
          <cell r="L98">
            <v>-30</v>
          </cell>
          <cell r="O98">
            <v>82.779999999999973</v>
          </cell>
          <cell r="P98">
            <v>47.785840000000007</v>
          </cell>
          <cell r="Q98">
            <v>85.694160000000011</v>
          </cell>
          <cell r="R98">
            <v>100</v>
          </cell>
          <cell r="S98">
            <v>13.6</v>
          </cell>
        </row>
        <row r="99">
          <cell r="A99" t="str">
            <v xml:space="preserve"> 554  Колбаса Сервелат Мясорубский ТМ Стародворье в упаковке скин 0,08 кг нарезка  ПОКОМ</v>
          </cell>
          <cell r="B99" t="str">
            <v>шт</v>
          </cell>
          <cell r="C99">
            <v>41</v>
          </cell>
          <cell r="D99">
            <v>140</v>
          </cell>
          <cell r="E99">
            <v>56</v>
          </cell>
          <cell r="F99">
            <v>124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62</v>
          </cell>
          <cell r="L99">
            <v>-6</v>
          </cell>
          <cell r="O99">
            <v>200</v>
          </cell>
          <cell r="P99">
            <v>0</v>
          </cell>
          <cell r="R99">
            <v>80</v>
          </cell>
          <cell r="S99">
            <v>11.2</v>
          </cell>
        </row>
        <row r="100">
          <cell r="A100" t="str">
            <v xml:space="preserve"> 555  Колбаса Молокуша ТМ Вязанка в модифицированной газовой среде 0,17 кг нарезка  ПОКОМ</v>
          </cell>
          <cell r="B100" t="str">
            <v>шт</v>
          </cell>
          <cell r="G100">
            <v>0</v>
          </cell>
          <cell r="I100" t="str">
            <v>НЕДОГРУЗ / матрица</v>
          </cell>
          <cell r="L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</row>
        <row r="101">
          <cell r="A101" t="str">
            <v xml:space="preserve"> 556  Колбаса Сервелат Ореховый ТМ Вязанка в оболочке фиброуз в вакуумной упаковке, ВЕС  ПОКОМ</v>
          </cell>
          <cell r="B101" t="str">
            <v>кг</v>
          </cell>
          <cell r="C101">
            <v>-0.46500000000000002</v>
          </cell>
          <cell r="D101">
            <v>101.405</v>
          </cell>
          <cell r="E101">
            <v>100.8</v>
          </cell>
          <cell r="F101">
            <v>-1.3</v>
          </cell>
          <cell r="G101">
            <v>1</v>
          </cell>
          <cell r="H101">
            <v>40</v>
          </cell>
          <cell r="I101" t="str">
            <v>НЕДОГРУЗ / матрица</v>
          </cell>
          <cell r="K101">
            <v>108</v>
          </cell>
          <cell r="L101">
            <v>-7.2000000000000028</v>
          </cell>
          <cell r="O101">
            <v>250</v>
          </cell>
          <cell r="P101">
            <v>104.21932036</v>
          </cell>
          <cell r="Q101">
            <v>186.89609963999999</v>
          </cell>
          <cell r="R101">
            <v>80</v>
          </cell>
          <cell r="S101">
            <v>20.16</v>
          </cell>
          <cell r="U101">
            <v>200</v>
          </cell>
          <cell r="V101" t="str">
            <v>Промо</v>
          </cell>
        </row>
        <row r="102">
          <cell r="A102" t="str">
            <v xml:space="preserve"> 557  Колбаса Сервелат Финский ТМ Вязанка в оболочке фиброуз в вакуумной упаковке, ВЕС  ПОКОМ</v>
          </cell>
          <cell r="B102" t="str">
            <v>кг</v>
          </cell>
          <cell r="C102">
            <v>-1.409</v>
          </cell>
          <cell r="D102">
            <v>207.184</v>
          </cell>
          <cell r="E102">
            <v>139.97999999999999</v>
          </cell>
          <cell r="F102">
            <v>63.628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200.8</v>
          </cell>
          <cell r="L102">
            <v>-60.820000000000022</v>
          </cell>
          <cell r="O102">
            <v>150</v>
          </cell>
          <cell r="P102">
            <v>0</v>
          </cell>
          <cell r="R102">
            <v>30</v>
          </cell>
          <cell r="S102">
            <v>27.995999999999999</v>
          </cell>
          <cell r="T102">
            <v>64.32799999999996</v>
          </cell>
          <cell r="U102">
            <v>100</v>
          </cell>
          <cell r="V102" t="str">
            <v>Промо</v>
          </cell>
        </row>
        <row r="103">
          <cell r="A103" t="str">
            <v xml:space="preserve"> 558  Колбаса Балыковая НОВАЯ ВЕС Вязанка фиброуз в/у ПОКОМ</v>
          </cell>
          <cell r="B103" t="str">
            <v>кг</v>
          </cell>
          <cell r="D103">
            <v>262.29500000000002</v>
          </cell>
          <cell r="E103">
            <v>126.048</v>
          </cell>
          <cell r="F103">
            <v>131.27600000000001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152.19999999999999</v>
          </cell>
          <cell r="L103">
            <v>-26.151999999999987</v>
          </cell>
          <cell r="O103">
            <v>130</v>
          </cell>
          <cell r="P103">
            <v>0</v>
          </cell>
          <cell r="R103">
            <v>20</v>
          </cell>
          <cell r="S103">
            <v>25.209600000000002</v>
          </cell>
          <cell r="T103">
            <v>50</v>
          </cell>
          <cell r="U103">
            <v>180</v>
          </cell>
          <cell r="V103" t="str">
            <v>Промо</v>
          </cell>
        </row>
        <row r="104">
          <cell r="A104" t="str">
            <v xml:space="preserve"> 564  Сосиски Сочные 0,3 кг ТМ Вязанка  ПОКОМ</v>
          </cell>
          <cell r="B104" t="str">
            <v>шт</v>
          </cell>
          <cell r="G104">
            <v>0</v>
          </cell>
          <cell r="I104" t="str">
            <v>матрица</v>
          </cell>
          <cell r="L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</row>
        <row r="105">
          <cell r="A105" t="str">
            <v xml:space="preserve"> 569  Колбаса Балыковая ТМ Вязанка в оболочке фиброуз в вакуумной упаковке 0,28 кг срез.  ПОКОМ</v>
          </cell>
          <cell r="B105" t="str">
            <v>шт</v>
          </cell>
          <cell r="C105">
            <v>59</v>
          </cell>
          <cell r="D105">
            <v>155</v>
          </cell>
          <cell r="E105">
            <v>198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243</v>
          </cell>
          <cell r="L105">
            <v>-45</v>
          </cell>
          <cell r="O105">
            <v>200</v>
          </cell>
          <cell r="P105">
            <v>74.736080000000015</v>
          </cell>
          <cell r="Q105">
            <v>134.02392</v>
          </cell>
          <cell r="R105">
            <v>200</v>
          </cell>
          <cell r="S105">
            <v>39.6</v>
          </cell>
          <cell r="T105">
            <v>40</v>
          </cell>
        </row>
        <row r="106">
          <cell r="A106" t="str">
            <v xml:space="preserve"> 570  Колбаса Сервелат Финский ТМ Вязанка в оболочке фиброуз в вак. упаковке 0,28 кг срез  ПОКОМ</v>
          </cell>
          <cell r="B106" t="str">
            <v>шт</v>
          </cell>
          <cell r="C106">
            <v>-3</v>
          </cell>
          <cell r="D106">
            <v>421</v>
          </cell>
          <cell r="E106">
            <v>192</v>
          </cell>
          <cell r="F106">
            <v>217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196</v>
          </cell>
          <cell r="L106">
            <v>-4</v>
          </cell>
          <cell r="O106">
            <v>100</v>
          </cell>
          <cell r="P106">
            <v>0</v>
          </cell>
          <cell r="R106">
            <v>80</v>
          </cell>
          <cell r="S106">
            <v>38.4</v>
          </cell>
          <cell r="T106">
            <v>25.399999999999977</v>
          </cell>
        </row>
        <row r="107">
          <cell r="A107" t="str">
            <v xml:space="preserve"> 571  Колбаса Сервелат Ореховый ТМ Вязанка в оболочке фиброуз в вак. упаковке 0,28 кг срез  ПОКОМ</v>
          </cell>
          <cell r="B107" t="str">
            <v>шт</v>
          </cell>
          <cell r="C107">
            <v>3</v>
          </cell>
          <cell r="D107">
            <v>180</v>
          </cell>
          <cell r="E107">
            <v>179</v>
          </cell>
          <cell r="F107">
            <v>2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199</v>
          </cell>
          <cell r="L107">
            <v>-20</v>
          </cell>
          <cell r="O107">
            <v>100</v>
          </cell>
          <cell r="P107">
            <v>0</v>
          </cell>
          <cell r="R107">
            <v>50</v>
          </cell>
          <cell r="S107">
            <v>35.799999999999997</v>
          </cell>
          <cell r="T107">
            <v>241.79999999999995</v>
          </cell>
        </row>
        <row r="108">
          <cell r="A108" t="str">
            <v xml:space="preserve"> 574  Колбаса Сервелат Финский ТМ Вязанка в упаковке скин 0,09 кг нарезка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</row>
        <row r="109">
          <cell r="A109" t="str">
            <v xml:space="preserve"> 579  Колбаса Ветчинно-рубленая ТМ Особый рецепт в оболочке полиамид.ВЕС  ПОКОМ</v>
          </cell>
          <cell r="B109" t="str">
            <v>кг</v>
          </cell>
          <cell r="C109">
            <v>117.113</v>
          </cell>
          <cell r="E109">
            <v>12.396000000000001</v>
          </cell>
          <cell r="F109">
            <v>102.187</v>
          </cell>
          <cell r="G109">
            <v>1</v>
          </cell>
          <cell r="H109">
            <v>60</v>
          </cell>
          <cell r="I109" t="str">
            <v>матрица</v>
          </cell>
          <cell r="K109">
            <v>15</v>
          </cell>
          <cell r="L109">
            <v>-2.6039999999999992</v>
          </cell>
          <cell r="O109">
            <v>0</v>
          </cell>
          <cell r="P109">
            <v>0</v>
          </cell>
          <cell r="R109">
            <v>0</v>
          </cell>
          <cell r="S109">
            <v>2.4792000000000001</v>
          </cell>
        </row>
        <row r="110">
          <cell r="A110" t="str">
            <v xml:space="preserve"> 580  Ветчина Нежная с индейкой ТМ Особый рецепт в оболочке полиамид.ВЕС  ПОКОМ</v>
          </cell>
          <cell r="B110" t="str">
            <v>кг</v>
          </cell>
          <cell r="C110">
            <v>53.24</v>
          </cell>
          <cell r="E110">
            <v>20.196000000000002</v>
          </cell>
          <cell r="F110">
            <v>33.043999999999997</v>
          </cell>
          <cell r="G110">
            <v>1</v>
          </cell>
          <cell r="H110">
            <v>50</v>
          </cell>
          <cell r="I110" t="str">
            <v>матрица</v>
          </cell>
          <cell r="K110">
            <v>20</v>
          </cell>
          <cell r="L110">
            <v>0.19600000000000151</v>
          </cell>
          <cell r="O110">
            <v>51.036799999999992</v>
          </cell>
          <cell r="P110">
            <v>0</v>
          </cell>
          <cell r="R110">
            <v>0</v>
          </cell>
          <cell r="S110">
            <v>4.0392000000000001</v>
          </cell>
        </row>
        <row r="111">
          <cell r="A111" t="str">
            <v xml:space="preserve"> 583  Колбаса Балыковая ТМ Вязанка в упаковке скин 0,09 кг нарезка  ПОКОМ</v>
          </cell>
          <cell r="B111" t="str">
            <v>шт</v>
          </cell>
          <cell r="C111">
            <v>2</v>
          </cell>
          <cell r="D111">
            <v>80</v>
          </cell>
          <cell r="E111">
            <v>46</v>
          </cell>
          <cell r="F111">
            <v>35</v>
          </cell>
          <cell r="G111">
            <v>0.09</v>
          </cell>
          <cell r="I111" t="str">
            <v>НЕДОГРУЗ / матрица</v>
          </cell>
          <cell r="K111">
            <v>49</v>
          </cell>
          <cell r="L111">
            <v>-3</v>
          </cell>
          <cell r="O111">
            <v>59.399999999999977</v>
          </cell>
          <cell r="P111">
            <v>0</v>
          </cell>
          <cell r="R111">
            <v>0</v>
          </cell>
          <cell r="S111">
            <v>9.1999999999999993</v>
          </cell>
          <cell r="T111">
            <v>6.8000000000000114</v>
          </cell>
        </row>
        <row r="112">
          <cell r="A112" t="str">
            <v xml:space="preserve"> 584  Колбаса Сервелат Ореховый ТМ Вязанка в упаковке скин 0,09 кг нарезка  ПОКОМ</v>
          </cell>
          <cell r="B112" t="str">
            <v>шт</v>
          </cell>
          <cell r="G112">
            <v>0</v>
          </cell>
          <cell r="I112" t="str">
            <v>матрица</v>
          </cell>
          <cell r="L112">
            <v>0</v>
          </cell>
          <cell r="O112">
            <v>0</v>
          </cell>
          <cell r="P112">
            <v>0</v>
          </cell>
          <cell r="R112">
            <v>0</v>
          </cell>
          <cell r="S112">
            <v>0</v>
          </cell>
        </row>
        <row r="113">
          <cell r="A113" t="str">
            <v xml:space="preserve"> 585  Колбаса Молочная ТМ Стародворье в оболочке вектор НД ВЕС.  ПОКОМ</v>
          </cell>
          <cell r="B113" t="str">
            <v>кг</v>
          </cell>
          <cell r="C113">
            <v>51.713000000000001</v>
          </cell>
          <cell r="D113">
            <v>132.65799999999999</v>
          </cell>
          <cell r="E113">
            <v>129.22200000000001</v>
          </cell>
          <cell r="F113">
            <v>52.246000000000002</v>
          </cell>
          <cell r="G113">
            <v>1</v>
          </cell>
          <cell r="H113">
            <v>60</v>
          </cell>
          <cell r="I113" t="str">
            <v>НЕДОГРУЗ / матрица</v>
          </cell>
          <cell r="K113">
            <v>148.4</v>
          </cell>
          <cell r="L113">
            <v>-19.177999999999997</v>
          </cell>
          <cell r="O113">
            <v>93.015879999999981</v>
          </cell>
          <cell r="P113">
            <v>75.83791807999998</v>
          </cell>
          <cell r="Q113">
            <v>135.99984191999999</v>
          </cell>
          <cell r="R113">
            <v>120</v>
          </cell>
          <cell r="S113">
            <v>25.8444</v>
          </cell>
          <cell r="U113">
            <v>100</v>
          </cell>
          <cell r="V113" t="str">
            <v>Промо</v>
          </cell>
        </row>
        <row r="114">
          <cell r="A114" t="str">
            <v xml:space="preserve"> 586  Колбаса Мясная ТМ Стародворье в оболочке вектор НД ВЕС.  ПОКОМ</v>
          </cell>
          <cell r="B114" t="str">
            <v>кг</v>
          </cell>
          <cell r="C114">
            <v>4.8600000000000003</v>
          </cell>
          <cell r="D114">
            <v>148.619</v>
          </cell>
          <cell r="E114">
            <v>80.875</v>
          </cell>
          <cell r="F114">
            <v>70.962999999999994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103.85</v>
          </cell>
          <cell r="L114">
            <v>-22.974999999999994</v>
          </cell>
          <cell r="O114">
            <v>201.23882</v>
          </cell>
          <cell r="P114">
            <v>106.66906424</v>
          </cell>
          <cell r="Q114">
            <v>191.28921575999999</v>
          </cell>
          <cell r="R114">
            <v>80</v>
          </cell>
          <cell r="S114">
            <v>16.175000000000001</v>
          </cell>
          <cell r="U114">
            <v>100</v>
          </cell>
          <cell r="V114" t="str">
            <v>Промо</v>
          </cell>
        </row>
        <row r="115">
          <cell r="A115" t="str">
            <v xml:space="preserve"> 588 Колбаса Со шпиком ТМ Стародворье в оболочке вектор ВЕС  ПОКОМ</v>
          </cell>
          <cell r="B115" t="str">
            <v>кг</v>
          </cell>
          <cell r="C115">
            <v>84.227000000000004</v>
          </cell>
          <cell r="D115">
            <v>1.39</v>
          </cell>
          <cell r="E115">
            <v>33.286999999999999</v>
          </cell>
          <cell r="F115">
            <v>50.94</v>
          </cell>
          <cell r="G115">
            <v>1</v>
          </cell>
          <cell r="H115">
            <v>60</v>
          </cell>
          <cell r="I115" t="str">
            <v>НЕДОГРУЗ / матрица</v>
          </cell>
          <cell r="K115">
            <v>31.5</v>
          </cell>
          <cell r="L115">
            <v>1.786999999999999</v>
          </cell>
          <cell r="O115">
            <v>17.412734000000039</v>
          </cell>
          <cell r="P115">
            <v>0</v>
          </cell>
          <cell r="R115">
            <v>29.29506599999997</v>
          </cell>
          <cell r="S115">
            <v>6.6574</v>
          </cell>
        </row>
        <row r="116">
          <cell r="A116" t="str">
            <v xml:space="preserve"> 597  Колбаса Классическая ТМ Особый рецепт в оболочке полиамид ВЕС. ПОКОМ</v>
          </cell>
          <cell r="B116" t="str">
            <v>кг</v>
          </cell>
          <cell r="C116">
            <v>1675.579</v>
          </cell>
          <cell r="D116">
            <v>20.138000000000002</v>
          </cell>
          <cell r="E116">
            <v>1285.53</v>
          </cell>
          <cell r="F116">
            <v>357.49799999999999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1276</v>
          </cell>
          <cell r="L116">
            <v>9.5299999999999727</v>
          </cell>
          <cell r="O116">
            <v>451.37974239999988</v>
          </cell>
          <cell r="P116">
            <v>339.24079198080022</v>
          </cell>
          <cell r="Q116">
            <v>608.35918561920039</v>
          </cell>
          <cell r="R116">
            <v>0</v>
          </cell>
          <cell r="S116">
            <v>257.10599999999999</v>
          </cell>
          <cell r="T116">
            <v>1071.6882799999994</v>
          </cell>
        </row>
        <row r="117">
          <cell r="A117" t="str">
            <v xml:space="preserve"> 614  Буженина в пряном маринаде 0,25 кг консервы из мяса индейки ТМ Стародворье  ПОКОМ</v>
          </cell>
          <cell r="B117" t="str">
            <v>шт</v>
          </cell>
          <cell r="C117">
            <v>351</v>
          </cell>
          <cell r="E117">
            <v>18</v>
          </cell>
          <cell r="F117">
            <v>333</v>
          </cell>
          <cell r="G117">
            <v>0.25</v>
          </cell>
          <cell r="H117">
            <v>1096</v>
          </cell>
          <cell r="I117" t="str">
            <v>матрица</v>
          </cell>
          <cell r="K117">
            <v>18</v>
          </cell>
          <cell r="L117">
            <v>0</v>
          </cell>
          <cell r="O117">
            <v>0</v>
          </cell>
          <cell r="P117">
            <v>0</v>
          </cell>
          <cell r="R117">
            <v>0</v>
          </cell>
          <cell r="S117">
            <v>3.6</v>
          </cell>
        </row>
        <row r="118">
          <cell r="A118" t="str">
            <v xml:space="preserve"> 615  Гречка по-купечески с говядиной и овощами 0,325кг ТМ Стародворье  ПОКОМ</v>
          </cell>
          <cell r="B118" t="str">
            <v>шт</v>
          </cell>
          <cell r="C118">
            <v>348</v>
          </cell>
          <cell r="E118">
            <v>11</v>
          </cell>
          <cell r="F118">
            <v>387</v>
          </cell>
          <cell r="G118">
            <v>0.32500000000000001</v>
          </cell>
          <cell r="H118">
            <v>1096</v>
          </cell>
          <cell r="I118" t="str">
            <v>матрица</v>
          </cell>
          <cell r="K118">
            <v>11</v>
          </cell>
          <cell r="L118">
            <v>0</v>
          </cell>
          <cell r="O118">
            <v>0</v>
          </cell>
          <cell r="P118">
            <v>0</v>
          </cell>
          <cell r="R118">
            <v>0</v>
          </cell>
          <cell r="S118">
            <v>2.2000000000000002</v>
          </cell>
        </row>
        <row r="119">
          <cell r="A119" t="str">
            <v xml:space="preserve"> 616  Индейка томлёная в собственном соку 0,25кг ТМ Стародлворье Консервый из мяс.птицы  ПОКОМ</v>
          </cell>
          <cell r="B119" t="str">
            <v>шт</v>
          </cell>
          <cell r="C119">
            <v>460</v>
          </cell>
          <cell r="E119">
            <v>28</v>
          </cell>
          <cell r="F119">
            <v>432</v>
          </cell>
          <cell r="G119">
            <v>0.25</v>
          </cell>
          <cell r="H119">
            <v>1096</v>
          </cell>
          <cell r="I119" t="str">
            <v>НЕДОГРУЗ / матрица</v>
          </cell>
          <cell r="K119">
            <v>28</v>
          </cell>
          <cell r="L119">
            <v>0</v>
          </cell>
          <cell r="O119">
            <v>0</v>
          </cell>
          <cell r="P119">
            <v>0</v>
          </cell>
          <cell r="R119">
            <v>0</v>
          </cell>
          <cell r="S119">
            <v>5.6</v>
          </cell>
        </row>
        <row r="120">
          <cell r="A120" t="str">
            <v xml:space="preserve"> 633  Колбаса Мясная Классическая ТМ Вязанка в оболочке полиамид УМВ.ВЕС.  ПОКОМ</v>
          </cell>
          <cell r="B120" t="str">
            <v>кг</v>
          </cell>
          <cell r="D120">
            <v>11.885</v>
          </cell>
          <cell r="E120">
            <v>11.888</v>
          </cell>
          <cell r="F120">
            <v>-3.0000000000000001E-3</v>
          </cell>
          <cell r="G120">
            <v>0</v>
          </cell>
          <cell r="I120" t="str">
            <v>не в матрице</v>
          </cell>
          <cell r="K120">
            <v>8.1999999999999993</v>
          </cell>
          <cell r="L120">
            <v>3.6880000000000006</v>
          </cell>
          <cell r="R120">
            <v>0</v>
          </cell>
          <cell r="S120">
            <v>2.3776000000000002</v>
          </cell>
        </row>
        <row r="121">
          <cell r="A121" t="str">
            <v xml:space="preserve"> 636  Сосиски Датские ВЕС ТМ Зареченские продукты  ПОКОМ</v>
          </cell>
          <cell r="B121" t="str">
            <v>кг</v>
          </cell>
          <cell r="D121">
            <v>43.996000000000002</v>
          </cell>
          <cell r="G121">
            <v>0</v>
          </cell>
          <cell r="I121" t="str">
            <v>дубль</v>
          </cell>
          <cell r="J121" t="str">
            <v xml:space="preserve"> 318  Сосиски Датские ТМ Зареченские, ВЕС  ПОКОМ</v>
          </cell>
          <cell r="L121">
            <v>0</v>
          </cell>
          <cell r="R121">
            <v>0</v>
          </cell>
          <cell r="S121">
            <v>0</v>
          </cell>
        </row>
        <row r="122">
          <cell r="A122" t="str">
            <v>495  Колбаса Сочинка по-европейски с сочной грудинкой 0,3кг ТМ Стародворье  ПОКОМ</v>
          </cell>
          <cell r="B122" t="str">
            <v>шт</v>
          </cell>
          <cell r="D122">
            <v>90</v>
          </cell>
          <cell r="E122">
            <v>80</v>
          </cell>
          <cell r="F122">
            <v>-2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92</v>
          </cell>
          <cell r="L122">
            <v>-12</v>
          </cell>
          <cell r="O122">
            <v>150</v>
          </cell>
          <cell r="P122">
            <v>0</v>
          </cell>
          <cell r="R122">
            <v>80</v>
          </cell>
          <cell r="S122">
            <v>16</v>
          </cell>
          <cell r="U122">
            <v>150</v>
          </cell>
          <cell r="V122" t="str">
            <v>Сеть Мера</v>
          </cell>
        </row>
        <row r="123">
          <cell r="A123" t="str">
            <v>496  Колбаса Сочинка по-фински с сочным окроком 0,3кг ТМ Стародворье  ПОКОМ</v>
          </cell>
          <cell r="B123" t="str">
            <v>шт</v>
          </cell>
          <cell r="C123">
            <v>15</v>
          </cell>
          <cell r="D123">
            <v>92</v>
          </cell>
          <cell r="E123">
            <v>96</v>
          </cell>
          <cell r="F123">
            <v>-2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120</v>
          </cell>
          <cell r="L123">
            <v>-24</v>
          </cell>
          <cell r="O123">
            <v>150</v>
          </cell>
          <cell r="P123">
            <v>0</v>
          </cell>
          <cell r="R123">
            <v>50</v>
          </cell>
          <cell r="S123">
            <v>19.2</v>
          </cell>
          <cell r="T123">
            <v>13.199999999999989</v>
          </cell>
          <cell r="U123">
            <v>150</v>
          </cell>
          <cell r="V123" t="str">
            <v>Сеть Мера</v>
          </cell>
        </row>
        <row r="124">
          <cell r="A124" t="str">
            <v>503 Колбаса Филейская со шпиком ТМ Вязанка в оболочке полиамид.ПОКОМ</v>
          </cell>
          <cell r="B124" t="str">
            <v>кг</v>
          </cell>
          <cell r="C124">
            <v>4.1440000000000001</v>
          </cell>
          <cell r="D124">
            <v>54.802</v>
          </cell>
          <cell r="E124">
            <v>8.3019999999999996</v>
          </cell>
          <cell r="F124">
            <v>50.643999999999998</v>
          </cell>
          <cell r="G124">
            <v>1</v>
          </cell>
          <cell r="H124">
            <v>50</v>
          </cell>
          <cell r="I124" t="str">
            <v>матрица</v>
          </cell>
          <cell r="K124">
            <v>7.8</v>
          </cell>
          <cell r="L124">
            <v>0.50199999999999978</v>
          </cell>
          <cell r="O124">
            <v>27.217200000000009</v>
          </cell>
          <cell r="P124">
            <v>0</v>
          </cell>
          <cell r="R124">
            <v>0</v>
          </cell>
          <cell r="S124">
            <v>1.6603999999999999</v>
          </cell>
        </row>
        <row r="125">
          <cell r="A125" t="str">
            <v>515  Колбаса Сервелат Мясорубский Делюкс 0,3кг ТМ Стародворье  ПОКОМ</v>
          </cell>
          <cell r="B125" t="str">
            <v>шт</v>
          </cell>
          <cell r="D125">
            <v>84</v>
          </cell>
          <cell r="E125">
            <v>72</v>
          </cell>
          <cell r="F125">
            <v>5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79</v>
          </cell>
          <cell r="L125">
            <v>-7</v>
          </cell>
          <cell r="O125">
            <v>200</v>
          </cell>
          <cell r="P125">
            <v>0</v>
          </cell>
          <cell r="R125">
            <v>80</v>
          </cell>
          <cell r="S125">
            <v>14.4</v>
          </cell>
          <cell r="U125">
            <v>200</v>
          </cell>
          <cell r="V125" t="str">
            <v>Сеть Мера+Есть потребность</v>
          </cell>
        </row>
        <row r="126">
          <cell r="A126" t="str">
            <v>519  Грудинка 0,12 кг нарезка ТМ Стародворье  ПОКОМ</v>
          </cell>
          <cell r="B126" t="str">
            <v>шт</v>
          </cell>
          <cell r="C126">
            <v>90</v>
          </cell>
          <cell r="D126">
            <v>45</v>
          </cell>
          <cell r="E126">
            <v>99</v>
          </cell>
          <cell r="F126">
            <v>34</v>
          </cell>
          <cell r="G126">
            <v>0.12</v>
          </cell>
          <cell r="H126">
            <v>45</v>
          </cell>
          <cell r="I126" t="str">
            <v>НЕДОГРУЗ / матрица</v>
          </cell>
          <cell r="K126">
            <v>96</v>
          </cell>
          <cell r="L126">
            <v>3</v>
          </cell>
          <cell r="O126">
            <v>12.67999999999998</v>
          </cell>
          <cell r="P126">
            <v>0</v>
          </cell>
          <cell r="R126">
            <v>40</v>
          </cell>
          <cell r="S126">
            <v>19.8</v>
          </cell>
          <cell r="T126">
            <v>111.32000000000002</v>
          </cell>
        </row>
        <row r="127">
          <cell r="A127" t="str">
            <v>БОНУС_ 334  Паштет Любительский ТМ Стародворье ламистер 0,1 кг  ПОКОМ</v>
          </cell>
          <cell r="B127" t="str">
            <v>шт</v>
          </cell>
          <cell r="C127">
            <v>72</v>
          </cell>
          <cell r="D127">
            <v>50</v>
          </cell>
          <cell r="E127">
            <v>87</v>
          </cell>
          <cell r="F127">
            <v>35</v>
          </cell>
          <cell r="G127">
            <v>0</v>
          </cell>
          <cell r="I127" t="str">
            <v>бонус</v>
          </cell>
          <cell r="J127" t="str">
            <v xml:space="preserve"> 334  Паштет Любительский ТМ Стародворье ламистер 0,1 кг  ПОКОМ</v>
          </cell>
          <cell r="K127">
            <v>91</v>
          </cell>
          <cell r="L127">
            <v>-4</v>
          </cell>
          <cell r="O127">
            <v>0</v>
          </cell>
          <cell r="P127">
            <v>0</v>
          </cell>
          <cell r="R127">
            <v>0</v>
          </cell>
          <cell r="S127">
            <v>17.399999999999999</v>
          </cell>
        </row>
        <row r="128">
          <cell r="A128" t="str">
            <v>БОНУС_615  Гречка по-купечески с говядиной и овощами 0,325кг ТМ Стародворье  ПОКОМ</v>
          </cell>
          <cell r="B128" t="str">
            <v>шт</v>
          </cell>
          <cell r="C128">
            <v>50</v>
          </cell>
          <cell r="F128">
            <v>50</v>
          </cell>
          <cell r="G128">
            <v>0</v>
          </cell>
          <cell r="I128" t="str">
            <v>бонус</v>
          </cell>
          <cell r="J128" t="str">
            <v xml:space="preserve"> 615  Гречка по-купечески с говядиной и овощами 0,325кг ТМ Стародворье  ПОКОМ</v>
          </cell>
          <cell r="L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</row>
        <row r="129">
          <cell r="A129" t="str">
            <v>Колбаса варено-копченая Сервелат Европейский ТМ Вязанка вес</v>
          </cell>
          <cell r="B129" t="str">
            <v>кг</v>
          </cell>
          <cell r="G129">
            <v>1</v>
          </cell>
          <cell r="I129" t="str">
            <v>матрица</v>
          </cell>
          <cell r="L129">
            <v>0</v>
          </cell>
          <cell r="P129">
            <v>0</v>
          </cell>
          <cell r="R129">
            <v>0</v>
          </cell>
          <cell r="S129">
            <v>0</v>
          </cell>
        </row>
        <row r="130">
          <cell r="A130" t="str">
            <v>Сардельки «Шпикачки Зареченские» Весовой полиамид ТМ «Зареченские продукты»</v>
          </cell>
          <cell r="B130" t="str">
            <v>кг</v>
          </cell>
          <cell r="G130">
            <v>0</v>
          </cell>
          <cell r="I130" t="str">
            <v>матрица</v>
          </cell>
          <cell r="L130">
            <v>0</v>
          </cell>
          <cell r="P130">
            <v>0</v>
          </cell>
          <cell r="R130">
            <v>0</v>
          </cell>
          <cell r="S130">
            <v>0</v>
          </cell>
        </row>
        <row r="131">
          <cell r="A131" t="str">
            <v>Сосиски Ганноверские Бордо Весовые П/а мгс Баварушка</v>
          </cell>
          <cell r="B131" t="str">
            <v>кг</v>
          </cell>
          <cell r="G131">
            <v>0</v>
          </cell>
          <cell r="I131" t="str">
            <v>матрица</v>
          </cell>
          <cell r="L131">
            <v>0</v>
          </cell>
          <cell r="P131">
            <v>0</v>
          </cell>
          <cell r="R131">
            <v>0</v>
          </cell>
          <cell r="S1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6" sqref="AL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7" style="19" customWidth="1"/>
    <col min="25" max="25" width="9.28515625" style="19" customWidth="1"/>
    <col min="26" max="27" width="5" customWidth="1"/>
    <col min="28" max="37" width="6" customWidth="1"/>
    <col min="38" max="38" width="14.42578125" customWidth="1"/>
    <col min="39" max="40" width="7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2.4</v>
      </c>
      <c r="V1" s="20"/>
      <c r="W1" s="20">
        <v>0.3533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>
        <f>AM2-AM5</f>
        <v>-2</v>
      </c>
      <c r="AN1" s="1">
        <f>AN2-AN5</f>
        <v>0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188</v>
      </c>
      <c r="V2" s="1"/>
      <c r="W2" s="1" t="s">
        <v>192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>
        <v>8700</v>
      </c>
      <c r="AN2" s="1">
        <v>4328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183</v>
      </c>
      <c r="V3" s="3" t="s">
        <v>189</v>
      </c>
      <c r="W3" s="3" t="s">
        <v>189</v>
      </c>
      <c r="X3" s="3" t="s">
        <v>184</v>
      </c>
      <c r="Y3" s="3" t="s">
        <v>186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190</v>
      </c>
      <c r="W4" s="1" t="s">
        <v>191</v>
      </c>
      <c r="X4" s="1" t="s">
        <v>185</v>
      </c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 t="s">
        <v>190</v>
      </c>
      <c r="AN4" s="1" t="s">
        <v>191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23190.496000000003</v>
      </c>
      <c r="F5" s="4">
        <f>SUM(F6:F500)</f>
        <v>14600.867999999997</v>
      </c>
      <c r="G5" s="7"/>
      <c r="H5" s="1"/>
      <c r="I5" s="1"/>
      <c r="J5" s="1"/>
      <c r="K5" s="4">
        <f t="shared" ref="K5:X5" si="0">SUM(K6:K500)</f>
        <v>24562.644</v>
      </c>
      <c r="L5" s="4">
        <f t="shared" si="0"/>
        <v>-1372.1479999999997</v>
      </c>
      <c r="M5" s="4">
        <f t="shared" si="0"/>
        <v>0</v>
      </c>
      <c r="N5" s="4">
        <f t="shared" si="0"/>
        <v>0</v>
      </c>
      <c r="O5" s="4">
        <f t="shared" si="0"/>
        <v>14451.274496800002</v>
      </c>
      <c r="P5" s="4">
        <f t="shared" si="0"/>
        <v>6940.1054951887972</v>
      </c>
      <c r="Q5" s="4">
        <f t="shared" si="0"/>
        <v>11406.431498411202</v>
      </c>
      <c r="R5" s="4">
        <f t="shared" si="0"/>
        <v>9671.9104695999995</v>
      </c>
      <c r="S5" s="4">
        <f t="shared" si="0"/>
        <v>4638.0991999999978</v>
      </c>
      <c r="T5" s="4">
        <f t="shared" si="0"/>
        <v>8272.7739000000001</v>
      </c>
      <c r="U5" s="4">
        <f t="shared" si="0"/>
        <v>18461.513890000002</v>
      </c>
      <c r="V5" s="4">
        <f t="shared" si="0"/>
        <v>12320.541978898997</v>
      </c>
      <c r="W5" s="4">
        <f t="shared" ref="W5" si="1">SUM(W6:W500)</f>
        <v>6140.971911100999</v>
      </c>
      <c r="X5" s="4">
        <f t="shared" si="0"/>
        <v>6260</v>
      </c>
      <c r="Y5" s="4"/>
      <c r="Z5" s="1"/>
      <c r="AA5" s="1"/>
      <c r="AB5" s="4">
        <f t="shared" ref="AB5:AK5" si="2">SUM(AB6:AB500)</f>
        <v>4737.6146000000026</v>
      </c>
      <c r="AC5" s="4">
        <f t="shared" si="2"/>
        <v>4522.8595999999998</v>
      </c>
      <c r="AD5" s="4">
        <f t="shared" si="2"/>
        <v>4525.7226000000001</v>
      </c>
      <c r="AE5" s="4">
        <f t="shared" si="2"/>
        <v>3707.9130000000014</v>
      </c>
      <c r="AF5" s="4">
        <f t="shared" si="2"/>
        <v>3031.0155999999997</v>
      </c>
      <c r="AG5" s="4">
        <f t="shared" si="2"/>
        <v>4350.671199999998</v>
      </c>
      <c r="AH5" s="4">
        <f t="shared" si="2"/>
        <v>4904.365200000002</v>
      </c>
      <c r="AI5" s="4">
        <f t="shared" si="2"/>
        <v>3851.2469999999998</v>
      </c>
      <c r="AJ5" s="4">
        <f t="shared" si="2"/>
        <v>3544.3655999999996</v>
      </c>
      <c r="AK5" s="4">
        <f t="shared" si="2"/>
        <v>4366.5824000000002</v>
      </c>
      <c r="AL5" s="1"/>
      <c r="AM5" s="4">
        <f>SUM(AM6:AM500)</f>
        <v>8702</v>
      </c>
      <c r="AN5" s="4">
        <f>SUM(AN6:AN500)</f>
        <v>4328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38</v>
      </c>
      <c r="C6" s="1">
        <v>151.595</v>
      </c>
      <c r="D6" s="1">
        <v>107.443</v>
      </c>
      <c r="E6" s="1">
        <v>229.52699999999999</v>
      </c>
      <c r="F6" s="1">
        <v>28.596</v>
      </c>
      <c r="G6" s="7">
        <v>1</v>
      </c>
      <c r="H6" s="1">
        <v>50</v>
      </c>
      <c r="I6" s="1" t="s">
        <v>39</v>
      </c>
      <c r="J6" s="1"/>
      <c r="K6" s="1">
        <v>228.85</v>
      </c>
      <c r="L6" s="1">
        <f t="shared" ref="L6:L37" si="3">E6-K6</f>
        <v>0.6769999999999925</v>
      </c>
      <c r="M6" s="1"/>
      <c r="N6" s="1"/>
      <c r="O6" s="1">
        <v>149.88524000000021</v>
      </c>
      <c r="P6" s="1">
        <v>123.44992760000009</v>
      </c>
      <c r="Q6" s="1">
        <v>221.38227240000009</v>
      </c>
      <c r="R6" s="1">
        <v>100</v>
      </c>
      <c r="S6" s="1">
        <f t="shared" ref="S6:S37" si="4">E6/5</f>
        <v>45.9054</v>
      </c>
      <c r="T6" s="5"/>
      <c r="U6" s="5">
        <f>T6</f>
        <v>0</v>
      </c>
      <c r="V6" s="5">
        <f>U6-W6</f>
        <v>0</v>
      </c>
      <c r="W6" s="5"/>
      <c r="X6" s="18"/>
      <c r="Y6" s="18"/>
      <c r="Z6" s="1">
        <f>(F6+O6+P6+Q6+R6+U6)/S6</f>
        <v>13.578216070440522</v>
      </c>
      <c r="AA6" s="1">
        <f t="shared" ref="AA6:AA37" si="5">(F6+O6+P6+Q6+R6)/S6</f>
        <v>13.578216070440522</v>
      </c>
      <c r="AB6" s="1">
        <v>57.410400000000003</v>
      </c>
      <c r="AC6" s="1">
        <v>53.832000000000008</v>
      </c>
      <c r="AD6" s="1">
        <v>41.213000000000001</v>
      </c>
      <c r="AE6" s="1">
        <v>33.127000000000002</v>
      </c>
      <c r="AF6" s="1">
        <v>41.628599999999999</v>
      </c>
      <c r="AG6" s="1">
        <v>51.911800000000007</v>
      </c>
      <c r="AH6" s="1">
        <v>45.526799999999987</v>
      </c>
      <c r="AI6" s="1">
        <v>48.9602</v>
      </c>
      <c r="AJ6" s="1">
        <v>51.963999999999999</v>
      </c>
      <c r="AK6" s="1">
        <v>47.075599999999987</v>
      </c>
      <c r="AL6" s="1"/>
      <c r="AM6" s="1">
        <f>ROUND(G6*V6,0)</f>
        <v>0</v>
      </c>
      <c r="AN6" s="1">
        <f>ROUND(G6*W6,0)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40</v>
      </c>
      <c r="B7" s="1" t="s">
        <v>38</v>
      </c>
      <c r="C7" s="1">
        <v>614.73500000000001</v>
      </c>
      <c r="D7" s="1">
        <v>223.39</v>
      </c>
      <c r="E7" s="1">
        <v>789.76800000000003</v>
      </c>
      <c r="F7" s="1">
        <v>16.838000000000001</v>
      </c>
      <c r="G7" s="7">
        <v>1</v>
      </c>
      <c r="H7" s="1">
        <v>45</v>
      </c>
      <c r="I7" s="1" t="s">
        <v>39</v>
      </c>
      <c r="J7" s="1"/>
      <c r="K7" s="1">
        <v>719.90200000000004</v>
      </c>
      <c r="L7" s="1">
        <f t="shared" si="3"/>
        <v>69.865999999999985</v>
      </c>
      <c r="M7" s="1"/>
      <c r="N7" s="1"/>
      <c r="O7" s="1">
        <v>240.50739999999999</v>
      </c>
      <c r="P7" s="1">
        <v>216.07968532000001</v>
      </c>
      <c r="Q7" s="1">
        <v>387.49485468000012</v>
      </c>
      <c r="R7" s="1">
        <v>296.42936999999972</v>
      </c>
      <c r="S7" s="1">
        <f t="shared" si="4"/>
        <v>157.95359999999999</v>
      </c>
      <c r="T7" s="5">
        <f t="shared" ref="T7:T11" si="6">11*S7-R7-Q7-P7-O7-F7</f>
        <v>580.14029000000005</v>
      </c>
      <c r="U7" s="5">
        <f>X7+S7*$U$1</f>
        <v>1029.0886399999999</v>
      </c>
      <c r="V7" s="5">
        <f t="shared" ref="V7:V70" si="7">U7-W7</f>
        <v>665.51162348799994</v>
      </c>
      <c r="W7" s="5">
        <f>U7*$W$1</f>
        <v>363.577016512</v>
      </c>
      <c r="X7" s="18">
        <f>VLOOKUP(A7,[1]Sheet!$A:$V,21,0)</f>
        <v>650</v>
      </c>
      <c r="Y7" s="18" t="str">
        <f>VLOOKUP(A7,[1]Sheet!$A:$V,22,0)</f>
        <v>Промо+ Сеть мера</v>
      </c>
      <c r="Z7" s="1">
        <f t="shared" ref="Z7:Z70" si="8">(F7+O7+P7+Q7+R7+U7)/S7</f>
        <v>13.842279948035371</v>
      </c>
      <c r="AA7" s="1">
        <f t="shared" si="5"/>
        <v>7.3271474027815753</v>
      </c>
      <c r="AB7" s="1">
        <v>151.01939999999999</v>
      </c>
      <c r="AC7" s="1">
        <v>118.3934</v>
      </c>
      <c r="AD7" s="1">
        <v>105.9102</v>
      </c>
      <c r="AE7" s="1">
        <v>100.71339999999999</v>
      </c>
      <c r="AF7" s="1">
        <v>105.5562</v>
      </c>
      <c r="AG7" s="1">
        <v>133.8338</v>
      </c>
      <c r="AH7" s="1">
        <v>135.83600000000001</v>
      </c>
      <c r="AI7" s="1">
        <v>156.815</v>
      </c>
      <c r="AJ7" s="1">
        <v>166.25960000000001</v>
      </c>
      <c r="AK7" s="1">
        <v>139.351</v>
      </c>
      <c r="AL7" s="1"/>
      <c r="AM7" s="1">
        <f t="shared" ref="AM7:AN70" si="9">ROUND(G7*V7,0)</f>
        <v>666</v>
      </c>
      <c r="AN7" s="1">
        <f t="shared" ref="AN7:AN70" si="10">ROUND(G7*W7,0)</f>
        <v>364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38</v>
      </c>
      <c r="C8" s="1">
        <v>446.02</v>
      </c>
      <c r="D8" s="1">
        <v>551.41099999999994</v>
      </c>
      <c r="E8" s="1">
        <v>543.08299999999997</v>
      </c>
      <c r="F8" s="1">
        <v>416.13099999999997</v>
      </c>
      <c r="G8" s="7">
        <v>1</v>
      </c>
      <c r="H8" s="1">
        <v>45</v>
      </c>
      <c r="I8" s="10" t="s">
        <v>42</v>
      </c>
      <c r="J8" s="1"/>
      <c r="K8" s="1">
        <v>607.78</v>
      </c>
      <c r="L8" s="1">
        <f t="shared" si="3"/>
        <v>-64.697000000000003</v>
      </c>
      <c r="M8" s="1"/>
      <c r="N8" s="1"/>
      <c r="O8" s="1">
        <v>132.6578199999999</v>
      </c>
      <c r="P8" s="1">
        <v>204.43007175999989</v>
      </c>
      <c r="Q8" s="1">
        <v>366.60364823999993</v>
      </c>
      <c r="R8" s="1">
        <v>220</v>
      </c>
      <c r="S8" s="1">
        <f t="shared" si="4"/>
        <v>108.61659999999999</v>
      </c>
      <c r="T8" s="5"/>
      <c r="U8" s="5">
        <f t="shared" ref="U8:U70" si="11">T8</f>
        <v>0</v>
      </c>
      <c r="V8" s="5">
        <f t="shared" si="7"/>
        <v>0</v>
      </c>
      <c r="W8" s="5"/>
      <c r="X8" s="18"/>
      <c r="Y8" s="18"/>
      <c r="Z8" s="1">
        <f t="shared" si="8"/>
        <v>12.33533861306651</v>
      </c>
      <c r="AA8" s="1">
        <f t="shared" si="5"/>
        <v>12.33533861306651</v>
      </c>
      <c r="AB8" s="1">
        <v>135.95779999999999</v>
      </c>
      <c r="AC8" s="1">
        <v>119.3532</v>
      </c>
      <c r="AD8" s="1">
        <v>114.3492</v>
      </c>
      <c r="AE8" s="1">
        <v>109.2606</v>
      </c>
      <c r="AF8" s="1">
        <v>102.4</v>
      </c>
      <c r="AG8" s="1">
        <v>131.2944</v>
      </c>
      <c r="AH8" s="1">
        <v>141.90940000000001</v>
      </c>
      <c r="AI8" s="1">
        <v>146.2636</v>
      </c>
      <c r="AJ8" s="1">
        <v>144.55119999999999</v>
      </c>
      <c r="AK8" s="1">
        <v>137.82640000000001</v>
      </c>
      <c r="AL8" s="1"/>
      <c r="AM8" s="1">
        <f t="shared" si="9"/>
        <v>0</v>
      </c>
      <c r="AN8" s="1">
        <f t="shared" si="10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43</v>
      </c>
      <c r="B9" s="1" t="s">
        <v>44</v>
      </c>
      <c r="C9" s="1">
        <v>77</v>
      </c>
      <c r="D9" s="1">
        <v>3</v>
      </c>
      <c r="E9" s="1">
        <v>65</v>
      </c>
      <c r="F9" s="1">
        <v>12</v>
      </c>
      <c r="G9" s="7">
        <v>0.4</v>
      </c>
      <c r="H9" s="1">
        <v>50</v>
      </c>
      <c r="I9" s="1" t="s">
        <v>39</v>
      </c>
      <c r="J9" s="1"/>
      <c r="K9" s="1">
        <v>68</v>
      </c>
      <c r="L9" s="1">
        <f t="shared" si="3"/>
        <v>-3</v>
      </c>
      <c r="M9" s="1"/>
      <c r="N9" s="1"/>
      <c r="O9" s="1">
        <v>34.109999999999992</v>
      </c>
      <c r="P9" s="1">
        <v>0</v>
      </c>
      <c r="Q9" s="1"/>
      <c r="R9" s="1">
        <v>61.490000000000038</v>
      </c>
      <c r="S9" s="1">
        <f t="shared" si="4"/>
        <v>13</v>
      </c>
      <c r="T9" s="5">
        <f t="shared" si="6"/>
        <v>35.39999999999997</v>
      </c>
      <c r="U9" s="5">
        <f t="shared" si="11"/>
        <v>35.39999999999997</v>
      </c>
      <c r="V9" s="5">
        <f t="shared" si="7"/>
        <v>35.39999999999997</v>
      </c>
      <c r="W9" s="5"/>
      <c r="X9" s="18"/>
      <c r="Y9" s="18"/>
      <c r="Z9" s="1">
        <f t="shared" si="8"/>
        <v>11</v>
      </c>
      <c r="AA9" s="1">
        <f t="shared" si="5"/>
        <v>8.2769230769230795</v>
      </c>
      <c r="AB9" s="1">
        <v>10.8</v>
      </c>
      <c r="AC9" s="1">
        <v>8</v>
      </c>
      <c r="AD9" s="1">
        <v>10.6</v>
      </c>
      <c r="AE9" s="1">
        <v>9</v>
      </c>
      <c r="AF9" s="1">
        <v>2.4</v>
      </c>
      <c r="AG9" s="1">
        <v>4.8</v>
      </c>
      <c r="AH9" s="1">
        <v>11</v>
      </c>
      <c r="AI9" s="1">
        <v>12.4</v>
      </c>
      <c r="AJ9" s="1">
        <v>6.8</v>
      </c>
      <c r="AK9" s="1">
        <v>2.4</v>
      </c>
      <c r="AL9" s="1" t="s">
        <v>45</v>
      </c>
      <c r="AM9" s="1">
        <f t="shared" si="9"/>
        <v>14</v>
      </c>
      <c r="AN9" s="1">
        <f t="shared" si="10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46</v>
      </c>
      <c r="B10" s="1" t="s">
        <v>44</v>
      </c>
      <c r="C10" s="1">
        <v>620</v>
      </c>
      <c r="D10" s="1">
        <v>3</v>
      </c>
      <c r="E10" s="1">
        <v>438</v>
      </c>
      <c r="F10" s="1">
        <v>156</v>
      </c>
      <c r="G10" s="7">
        <v>0.45</v>
      </c>
      <c r="H10" s="1">
        <v>45</v>
      </c>
      <c r="I10" s="1" t="s">
        <v>39</v>
      </c>
      <c r="J10" s="1"/>
      <c r="K10" s="1">
        <v>461</v>
      </c>
      <c r="L10" s="1">
        <f t="shared" si="3"/>
        <v>-23</v>
      </c>
      <c r="M10" s="1"/>
      <c r="N10" s="1"/>
      <c r="O10" s="1">
        <v>138.1539999999998</v>
      </c>
      <c r="P10" s="1">
        <v>0</v>
      </c>
      <c r="Q10" s="1"/>
      <c r="R10" s="1">
        <v>324.13600000000019</v>
      </c>
      <c r="S10" s="1">
        <f t="shared" si="4"/>
        <v>87.6</v>
      </c>
      <c r="T10" s="5">
        <f t="shared" si="6"/>
        <v>345.30999999999995</v>
      </c>
      <c r="U10" s="5">
        <f>T10+S10*$U$1</f>
        <v>555.54999999999995</v>
      </c>
      <c r="V10" s="5">
        <f t="shared" si="7"/>
        <v>359.27418499999999</v>
      </c>
      <c r="W10" s="5">
        <f t="shared" ref="W10:W11" si="12">U10*$W$1</f>
        <v>196.27581499999999</v>
      </c>
      <c r="X10" s="18"/>
      <c r="Y10" s="18"/>
      <c r="Z10" s="1">
        <f t="shared" si="8"/>
        <v>13.4</v>
      </c>
      <c r="AA10" s="1">
        <f t="shared" si="5"/>
        <v>7.0581050228310502</v>
      </c>
      <c r="AB10" s="1">
        <v>64.599999999999994</v>
      </c>
      <c r="AC10" s="1">
        <v>59.8</v>
      </c>
      <c r="AD10" s="1">
        <v>65.8</v>
      </c>
      <c r="AE10" s="1">
        <v>36.799999999999997</v>
      </c>
      <c r="AF10" s="1">
        <v>32.4</v>
      </c>
      <c r="AG10" s="1">
        <v>56.8</v>
      </c>
      <c r="AH10" s="1">
        <v>83.4</v>
      </c>
      <c r="AI10" s="1">
        <v>47.4</v>
      </c>
      <c r="AJ10" s="1">
        <v>37.4</v>
      </c>
      <c r="AK10" s="1">
        <v>73.8</v>
      </c>
      <c r="AL10" s="1"/>
      <c r="AM10" s="1">
        <f t="shared" si="9"/>
        <v>162</v>
      </c>
      <c r="AN10" s="1">
        <f t="shared" si="10"/>
        <v>88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44</v>
      </c>
      <c r="C11" s="1">
        <v>589</v>
      </c>
      <c r="D11" s="1">
        <v>3</v>
      </c>
      <c r="E11" s="1">
        <v>450</v>
      </c>
      <c r="F11" s="1">
        <v>122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3"/>
        <v>-17</v>
      </c>
      <c r="M11" s="1"/>
      <c r="N11" s="1"/>
      <c r="O11" s="1">
        <v>272.83399999999989</v>
      </c>
      <c r="P11" s="1">
        <v>0</v>
      </c>
      <c r="Q11" s="1"/>
      <c r="R11" s="1">
        <v>274.35599999999999</v>
      </c>
      <c r="S11" s="1">
        <f t="shared" si="4"/>
        <v>90</v>
      </c>
      <c r="T11" s="5">
        <f t="shared" si="6"/>
        <v>320.81000000000012</v>
      </c>
      <c r="U11" s="5">
        <f>T11+S11*$U$1</f>
        <v>536.81000000000017</v>
      </c>
      <c r="V11" s="5">
        <f t="shared" si="7"/>
        <v>347.15502700000013</v>
      </c>
      <c r="W11" s="5">
        <f t="shared" si="12"/>
        <v>189.65497300000007</v>
      </c>
      <c r="X11" s="18"/>
      <c r="Y11" s="18"/>
      <c r="Z11" s="1">
        <f t="shared" si="8"/>
        <v>13.4</v>
      </c>
      <c r="AA11" s="1">
        <f t="shared" si="5"/>
        <v>7.4354444444444425</v>
      </c>
      <c r="AB11" s="1">
        <v>70.599999999999994</v>
      </c>
      <c r="AC11" s="1">
        <v>66.8</v>
      </c>
      <c r="AD11" s="1">
        <v>75.400000000000006</v>
      </c>
      <c r="AE11" s="1">
        <v>50.2</v>
      </c>
      <c r="AF11" s="1">
        <v>48.6</v>
      </c>
      <c r="AG11" s="1">
        <v>72</v>
      </c>
      <c r="AH11" s="1">
        <v>91.4</v>
      </c>
      <c r="AI11" s="1">
        <v>49.8</v>
      </c>
      <c r="AJ11" s="1">
        <v>6.8</v>
      </c>
      <c r="AK11" s="1">
        <v>54.6</v>
      </c>
      <c r="AL11" s="1"/>
      <c r="AM11" s="1">
        <f t="shared" si="9"/>
        <v>156</v>
      </c>
      <c r="AN11" s="1">
        <f t="shared" si="10"/>
        <v>85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3"/>
        <v>0</v>
      </c>
      <c r="M12" s="11"/>
      <c r="N12" s="11"/>
      <c r="O12" s="11">
        <v>0</v>
      </c>
      <c r="P12" s="11">
        <v>0</v>
      </c>
      <c r="Q12" s="11"/>
      <c r="R12" s="11">
        <v>0</v>
      </c>
      <c r="S12" s="11">
        <f t="shared" si="4"/>
        <v>0</v>
      </c>
      <c r="T12" s="13"/>
      <c r="U12" s="5">
        <f t="shared" si="11"/>
        <v>0</v>
      </c>
      <c r="V12" s="5">
        <f t="shared" si="7"/>
        <v>0</v>
      </c>
      <c r="W12" s="5"/>
      <c r="X12" s="18"/>
      <c r="Y12" s="18"/>
      <c r="Z12" s="1" t="e">
        <f t="shared" si="8"/>
        <v>#DIV/0!</v>
      </c>
      <c r="AA12" s="11" t="e">
        <f t="shared" si="5"/>
        <v>#DIV/0!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 t="s">
        <v>49</v>
      </c>
      <c r="AM12" s="1">
        <f t="shared" si="9"/>
        <v>0</v>
      </c>
      <c r="AN12" s="1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44</v>
      </c>
      <c r="C13" s="1">
        <v>2</v>
      </c>
      <c r="D13" s="1"/>
      <c r="E13" s="1">
        <v>-2</v>
      </c>
      <c r="F13" s="1"/>
      <c r="G13" s="7">
        <v>0.3</v>
      </c>
      <c r="H13" s="1">
        <v>40</v>
      </c>
      <c r="I13" s="10" t="s">
        <v>42</v>
      </c>
      <c r="J13" s="1"/>
      <c r="K13" s="1">
        <v>18</v>
      </c>
      <c r="L13" s="1">
        <f t="shared" si="3"/>
        <v>-20</v>
      </c>
      <c r="M13" s="1"/>
      <c r="N13" s="1"/>
      <c r="O13" s="1">
        <v>115.0599999999999</v>
      </c>
      <c r="P13" s="1">
        <v>0</v>
      </c>
      <c r="Q13" s="1"/>
      <c r="R13" s="1">
        <v>60</v>
      </c>
      <c r="S13" s="1">
        <f t="shared" si="4"/>
        <v>-0.4</v>
      </c>
      <c r="T13" s="5">
        <v>50</v>
      </c>
      <c r="U13" s="5">
        <f t="shared" si="11"/>
        <v>50</v>
      </c>
      <c r="V13" s="5">
        <f t="shared" si="7"/>
        <v>50</v>
      </c>
      <c r="W13" s="5"/>
      <c r="X13" s="18"/>
      <c r="Y13" s="18"/>
      <c r="Z13" s="1">
        <f t="shared" si="8"/>
        <v>-562.64999999999964</v>
      </c>
      <c r="AA13" s="1">
        <f t="shared" si="5"/>
        <v>-437.64999999999969</v>
      </c>
      <c r="AB13" s="1">
        <v>3.6</v>
      </c>
      <c r="AC13" s="1">
        <v>15.2</v>
      </c>
      <c r="AD13" s="1">
        <v>28.4</v>
      </c>
      <c r="AE13" s="1">
        <v>23.8</v>
      </c>
      <c r="AF13" s="1">
        <v>10.4</v>
      </c>
      <c r="AG13" s="1">
        <v>6.6</v>
      </c>
      <c r="AH13" s="1">
        <v>9.4</v>
      </c>
      <c r="AI13" s="1">
        <v>18</v>
      </c>
      <c r="AJ13" s="1">
        <v>15.8</v>
      </c>
      <c r="AK13" s="1">
        <v>12.4</v>
      </c>
      <c r="AL13" s="1"/>
      <c r="AM13" s="1">
        <f t="shared" si="9"/>
        <v>15</v>
      </c>
      <c r="AN13" s="1">
        <f t="shared" si="10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44</v>
      </c>
      <c r="C14" s="1">
        <v>-1</v>
      </c>
      <c r="D14" s="1">
        <v>272</v>
      </c>
      <c r="E14" s="1">
        <v>106</v>
      </c>
      <c r="F14" s="1">
        <v>163</v>
      </c>
      <c r="G14" s="7">
        <v>0.17</v>
      </c>
      <c r="H14" s="1">
        <v>180</v>
      </c>
      <c r="I14" s="1" t="s">
        <v>39</v>
      </c>
      <c r="J14" s="1"/>
      <c r="K14" s="1">
        <v>121</v>
      </c>
      <c r="L14" s="1">
        <f t="shared" si="3"/>
        <v>-15</v>
      </c>
      <c r="M14" s="1"/>
      <c r="N14" s="1"/>
      <c r="O14" s="1">
        <v>150</v>
      </c>
      <c r="P14" s="1">
        <v>0</v>
      </c>
      <c r="Q14" s="1"/>
      <c r="R14" s="1">
        <v>90</v>
      </c>
      <c r="S14" s="1">
        <f t="shared" si="4"/>
        <v>21.2</v>
      </c>
      <c r="T14" s="5"/>
      <c r="U14" s="5">
        <f t="shared" si="11"/>
        <v>0</v>
      </c>
      <c r="V14" s="5">
        <f t="shared" si="7"/>
        <v>0</v>
      </c>
      <c r="W14" s="5"/>
      <c r="X14" s="18"/>
      <c r="Y14" s="18"/>
      <c r="Z14" s="1">
        <f t="shared" si="8"/>
        <v>19.009433962264151</v>
      </c>
      <c r="AA14" s="1">
        <f t="shared" si="5"/>
        <v>19.009433962264151</v>
      </c>
      <c r="AB14" s="1">
        <v>20.2</v>
      </c>
      <c r="AC14" s="1">
        <v>27.4</v>
      </c>
      <c r="AD14" s="1">
        <v>31.4</v>
      </c>
      <c r="AE14" s="1">
        <v>28</v>
      </c>
      <c r="AF14" s="1">
        <v>18.399999999999999</v>
      </c>
      <c r="AG14" s="1">
        <v>21.4</v>
      </c>
      <c r="AH14" s="1">
        <v>23.8</v>
      </c>
      <c r="AI14" s="1">
        <v>21.8</v>
      </c>
      <c r="AJ14" s="1">
        <v>26.6</v>
      </c>
      <c r="AK14" s="1">
        <v>37.6</v>
      </c>
      <c r="AL14" s="1"/>
      <c r="AM14" s="1">
        <f t="shared" si="9"/>
        <v>0</v>
      </c>
      <c r="AN14" s="1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38</v>
      </c>
      <c r="C15" s="1">
        <v>-5.4359999999999999</v>
      </c>
      <c r="D15" s="1">
        <v>802.53899999999999</v>
      </c>
      <c r="E15" s="1">
        <v>360.51799999999997</v>
      </c>
      <c r="F15" s="1">
        <v>425.65699999999998</v>
      </c>
      <c r="G15" s="7">
        <v>1</v>
      </c>
      <c r="H15" s="1">
        <v>70</v>
      </c>
      <c r="I15" s="1" t="s">
        <v>39</v>
      </c>
      <c r="J15" s="1"/>
      <c r="K15" s="1">
        <v>365.76</v>
      </c>
      <c r="L15" s="1">
        <f t="shared" si="3"/>
        <v>-5.2420000000000186</v>
      </c>
      <c r="M15" s="1"/>
      <c r="N15" s="1"/>
      <c r="O15" s="1">
        <v>150.55292000000011</v>
      </c>
      <c r="P15" s="1">
        <v>155.19574943999999</v>
      </c>
      <c r="Q15" s="1">
        <v>278.31193056000012</v>
      </c>
      <c r="R15" s="1">
        <v>0</v>
      </c>
      <c r="S15" s="1">
        <f t="shared" si="4"/>
        <v>72.1036</v>
      </c>
      <c r="T15" s="5"/>
      <c r="U15" s="5">
        <f t="shared" si="11"/>
        <v>0</v>
      </c>
      <c r="V15" s="5">
        <f t="shared" si="7"/>
        <v>0</v>
      </c>
      <c r="W15" s="5"/>
      <c r="X15" s="18"/>
      <c r="Y15" s="18"/>
      <c r="Z15" s="1">
        <f t="shared" si="8"/>
        <v>14.003705778907019</v>
      </c>
      <c r="AA15" s="1">
        <f t="shared" si="5"/>
        <v>14.003705778907019</v>
      </c>
      <c r="AB15" s="1">
        <v>70.689599999999999</v>
      </c>
      <c r="AC15" s="1">
        <v>97.368799999999993</v>
      </c>
      <c r="AD15" s="1">
        <v>94.670199999999994</v>
      </c>
      <c r="AE15" s="1">
        <v>89.588999999999999</v>
      </c>
      <c r="AF15" s="1">
        <v>90.510599999999997</v>
      </c>
      <c r="AG15" s="1">
        <v>100.626</v>
      </c>
      <c r="AH15" s="1">
        <v>92.771199999999993</v>
      </c>
      <c r="AI15" s="1">
        <v>95.892600000000002</v>
      </c>
      <c r="AJ15" s="1">
        <v>55.573</v>
      </c>
      <c r="AK15" s="1">
        <v>47.542000000000002</v>
      </c>
      <c r="AL15" s="1"/>
      <c r="AM15" s="1">
        <f t="shared" si="9"/>
        <v>0</v>
      </c>
      <c r="AN15" s="1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38</v>
      </c>
      <c r="C16" s="1">
        <v>3448.5010000000002</v>
      </c>
      <c r="D16" s="1">
        <v>19.957000000000001</v>
      </c>
      <c r="E16" s="1">
        <v>1804.0440000000001</v>
      </c>
      <c r="F16" s="1">
        <v>1620.809</v>
      </c>
      <c r="G16" s="7">
        <v>1</v>
      </c>
      <c r="H16" s="1">
        <v>50</v>
      </c>
      <c r="I16" s="1" t="s">
        <v>39</v>
      </c>
      <c r="J16" s="1"/>
      <c r="K16" s="1">
        <v>1811.3</v>
      </c>
      <c r="L16" s="1">
        <f t="shared" si="3"/>
        <v>-7.2559999999998581</v>
      </c>
      <c r="M16" s="1"/>
      <c r="N16" s="1"/>
      <c r="O16" s="1">
        <v>100</v>
      </c>
      <c r="P16" s="1">
        <v>953.57122000000072</v>
      </c>
      <c r="Q16" s="1">
        <v>1531</v>
      </c>
      <c r="R16" s="1">
        <v>0</v>
      </c>
      <c r="S16" s="1">
        <f t="shared" si="4"/>
        <v>360.80880000000002</v>
      </c>
      <c r="T16" s="5"/>
      <c r="U16" s="5">
        <f t="shared" si="11"/>
        <v>0</v>
      </c>
      <c r="V16" s="5">
        <f t="shared" si="7"/>
        <v>0</v>
      </c>
      <c r="W16" s="5"/>
      <c r="X16" s="18"/>
      <c r="Y16" s="18"/>
      <c r="Z16" s="1">
        <f t="shared" si="8"/>
        <v>11.655425865444526</v>
      </c>
      <c r="AA16" s="1">
        <f t="shared" si="5"/>
        <v>11.655425865444526</v>
      </c>
      <c r="AB16" s="1">
        <v>399.93380000000002</v>
      </c>
      <c r="AC16" s="1">
        <v>420.62419999999997</v>
      </c>
      <c r="AD16" s="1">
        <v>363.17439999999999</v>
      </c>
      <c r="AE16" s="1">
        <v>291.7568</v>
      </c>
      <c r="AF16" s="1">
        <v>277.7518</v>
      </c>
      <c r="AG16" s="1">
        <v>456.89760000000001</v>
      </c>
      <c r="AH16" s="1">
        <v>478.92079999999999</v>
      </c>
      <c r="AI16" s="1">
        <v>258.6986</v>
      </c>
      <c r="AJ16" s="1">
        <v>257.84679999999997</v>
      </c>
      <c r="AK16" s="1">
        <v>458.24740000000003</v>
      </c>
      <c r="AL16" s="1"/>
      <c r="AM16" s="1">
        <f t="shared" si="9"/>
        <v>0</v>
      </c>
      <c r="AN16" s="1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54</v>
      </c>
      <c r="B17" s="1" t="s">
        <v>38</v>
      </c>
      <c r="C17" s="1">
        <v>6.9160000000000004</v>
      </c>
      <c r="D17" s="1">
        <v>121.303</v>
      </c>
      <c r="E17" s="1">
        <v>43.801000000000002</v>
      </c>
      <c r="F17" s="1">
        <v>83.537999999999997</v>
      </c>
      <c r="G17" s="7">
        <v>1</v>
      </c>
      <c r="H17" s="1">
        <v>60</v>
      </c>
      <c r="I17" s="1" t="s">
        <v>39</v>
      </c>
      <c r="J17" s="1"/>
      <c r="K17" s="1">
        <v>45.38</v>
      </c>
      <c r="L17" s="1">
        <f t="shared" si="3"/>
        <v>-1.5790000000000006</v>
      </c>
      <c r="M17" s="1"/>
      <c r="N17" s="1"/>
      <c r="O17" s="1">
        <v>86.951680000000025</v>
      </c>
      <c r="P17" s="1">
        <v>6.0607999999999898</v>
      </c>
      <c r="Q17" s="1"/>
      <c r="R17" s="1">
        <v>0</v>
      </c>
      <c r="S17" s="1">
        <f t="shared" si="4"/>
        <v>8.7602000000000011</v>
      </c>
      <c r="T17" s="5"/>
      <c r="U17" s="5">
        <f t="shared" si="11"/>
        <v>0</v>
      </c>
      <c r="V17" s="5">
        <f t="shared" si="7"/>
        <v>0</v>
      </c>
      <c r="W17" s="5"/>
      <c r="X17" s="18"/>
      <c r="Y17" s="18"/>
      <c r="Z17" s="1">
        <f t="shared" si="8"/>
        <v>20.15370425332755</v>
      </c>
      <c r="AA17" s="1">
        <f t="shared" si="5"/>
        <v>20.15370425332755</v>
      </c>
      <c r="AB17" s="1">
        <v>11.5122</v>
      </c>
      <c r="AC17" s="1">
        <v>18.504799999999999</v>
      </c>
      <c r="AD17" s="1">
        <v>19.042400000000001</v>
      </c>
      <c r="AE17" s="1">
        <v>14.878399999999999</v>
      </c>
      <c r="AF17" s="1">
        <v>11.510199999999999</v>
      </c>
      <c r="AG17" s="1">
        <v>12.4178</v>
      </c>
      <c r="AH17" s="1">
        <v>14.5106</v>
      </c>
      <c r="AI17" s="1">
        <v>12.775399999999999</v>
      </c>
      <c r="AJ17" s="1">
        <v>14.9314</v>
      </c>
      <c r="AK17" s="1">
        <v>22.7486</v>
      </c>
      <c r="AL17" s="1"/>
      <c r="AM17" s="1">
        <f t="shared" si="9"/>
        <v>0</v>
      </c>
      <c r="AN17" s="1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38</v>
      </c>
      <c r="C18" s="1">
        <v>4.4020000000000001</v>
      </c>
      <c r="D18" s="1">
        <v>63.347000000000001</v>
      </c>
      <c r="E18" s="1">
        <v>20.216000000000001</v>
      </c>
      <c r="F18" s="1">
        <v>47.533000000000001</v>
      </c>
      <c r="G18" s="7">
        <v>1</v>
      </c>
      <c r="H18" s="1">
        <v>60</v>
      </c>
      <c r="I18" s="1" t="s">
        <v>39</v>
      </c>
      <c r="J18" s="1"/>
      <c r="K18" s="1">
        <v>18.2</v>
      </c>
      <c r="L18" s="1">
        <f t="shared" si="3"/>
        <v>2.0160000000000018</v>
      </c>
      <c r="M18" s="1"/>
      <c r="N18" s="1"/>
      <c r="O18" s="1">
        <v>25.999579999999991</v>
      </c>
      <c r="P18" s="1">
        <v>33.300100000000008</v>
      </c>
      <c r="Q18" s="1"/>
      <c r="R18" s="1">
        <v>0</v>
      </c>
      <c r="S18" s="1">
        <f t="shared" si="4"/>
        <v>4.0432000000000006</v>
      </c>
      <c r="T18" s="5"/>
      <c r="U18" s="5">
        <f t="shared" si="11"/>
        <v>0</v>
      </c>
      <c r="V18" s="5">
        <f t="shared" si="7"/>
        <v>0</v>
      </c>
      <c r="W18" s="5"/>
      <c r="X18" s="18"/>
      <c r="Y18" s="18"/>
      <c r="Z18" s="1">
        <f t="shared" si="8"/>
        <v>26.422803719825879</v>
      </c>
      <c r="AA18" s="1">
        <f t="shared" si="5"/>
        <v>26.422803719825879</v>
      </c>
      <c r="AB18" s="1">
        <v>3.8719999999999999</v>
      </c>
      <c r="AC18" s="1">
        <v>8.979000000000001</v>
      </c>
      <c r="AD18" s="1">
        <v>8.0944000000000003</v>
      </c>
      <c r="AE18" s="1">
        <v>5.9447999999999999</v>
      </c>
      <c r="AF18" s="1">
        <v>8.2210000000000001</v>
      </c>
      <c r="AG18" s="1">
        <v>7.7796000000000003</v>
      </c>
      <c r="AH18" s="1">
        <v>6.7598000000000003</v>
      </c>
      <c r="AI18" s="1">
        <v>6.5474000000000014</v>
      </c>
      <c r="AJ18" s="1">
        <v>4.7682000000000002</v>
      </c>
      <c r="AK18" s="1">
        <v>-0.16520000000000001</v>
      </c>
      <c r="AL18" s="1"/>
      <c r="AM18" s="1">
        <f t="shared" si="9"/>
        <v>0</v>
      </c>
      <c r="AN18" s="1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38</v>
      </c>
      <c r="C19" s="1">
        <v>16.010999999999999</v>
      </c>
      <c r="D19" s="1">
        <v>8.4659999999999993</v>
      </c>
      <c r="E19" s="1">
        <v>18.908000000000001</v>
      </c>
      <c r="F19" s="1">
        <v>4.87</v>
      </c>
      <c r="G19" s="7">
        <v>1</v>
      </c>
      <c r="H19" s="1">
        <v>180</v>
      </c>
      <c r="I19" s="1" t="s">
        <v>39</v>
      </c>
      <c r="J19" s="1"/>
      <c r="K19" s="1">
        <v>18.079999999999998</v>
      </c>
      <c r="L19" s="1">
        <f t="shared" si="3"/>
        <v>0.82800000000000296</v>
      </c>
      <c r="M19" s="1"/>
      <c r="N19" s="1"/>
      <c r="O19" s="1">
        <v>80</v>
      </c>
      <c r="P19" s="1">
        <v>0</v>
      </c>
      <c r="Q19" s="1"/>
      <c r="R19" s="1">
        <v>30</v>
      </c>
      <c r="S19" s="1">
        <f t="shared" si="4"/>
        <v>3.7816000000000001</v>
      </c>
      <c r="T19" s="5"/>
      <c r="U19" s="5">
        <f t="shared" si="11"/>
        <v>0</v>
      </c>
      <c r="V19" s="5">
        <f t="shared" si="7"/>
        <v>0</v>
      </c>
      <c r="W19" s="5"/>
      <c r="X19" s="18"/>
      <c r="Y19" s="18"/>
      <c r="Z19" s="1">
        <f t="shared" si="8"/>
        <v>30.376031309498625</v>
      </c>
      <c r="AA19" s="1">
        <f t="shared" si="5"/>
        <v>30.376031309498625</v>
      </c>
      <c r="AB19" s="1">
        <v>4.8881999999999994</v>
      </c>
      <c r="AC19" s="1">
        <v>4.0566000000000004</v>
      </c>
      <c r="AD19" s="1">
        <v>4.6651999999999996</v>
      </c>
      <c r="AE19" s="1">
        <v>3.0566</v>
      </c>
      <c r="AF19" s="1">
        <v>2.3746</v>
      </c>
      <c r="AG19" s="1">
        <v>4.1432000000000002</v>
      </c>
      <c r="AH19" s="1">
        <v>3.944</v>
      </c>
      <c r="AI19" s="1">
        <v>3.7222</v>
      </c>
      <c r="AJ19" s="1">
        <v>3.6394000000000002</v>
      </c>
      <c r="AK19" s="1">
        <v>2.7559999999999998</v>
      </c>
      <c r="AL19" s="1"/>
      <c r="AM19" s="1">
        <f t="shared" si="9"/>
        <v>0</v>
      </c>
      <c r="AN19" s="1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38</v>
      </c>
      <c r="C20" s="1">
        <v>199.233</v>
      </c>
      <c r="D20" s="1">
        <v>638.29399999999998</v>
      </c>
      <c r="E20" s="1">
        <v>540.03200000000004</v>
      </c>
      <c r="F20" s="1">
        <v>292.79199999999997</v>
      </c>
      <c r="G20" s="7">
        <v>1</v>
      </c>
      <c r="H20" s="1">
        <v>60</v>
      </c>
      <c r="I20" s="1" t="s">
        <v>39</v>
      </c>
      <c r="J20" s="1"/>
      <c r="K20" s="1">
        <v>512.12</v>
      </c>
      <c r="L20" s="1">
        <f t="shared" si="3"/>
        <v>27.912000000000035</v>
      </c>
      <c r="M20" s="1"/>
      <c r="N20" s="1"/>
      <c r="O20" s="1">
        <v>249.37422240000021</v>
      </c>
      <c r="P20" s="1">
        <v>163.04897347999989</v>
      </c>
      <c r="Q20" s="1">
        <v>292.39508651999972</v>
      </c>
      <c r="R20" s="1">
        <v>51.830577599999977</v>
      </c>
      <c r="S20" s="1">
        <f t="shared" si="4"/>
        <v>108.00640000000001</v>
      </c>
      <c r="T20" s="5">
        <f t="shared" ref="T20" si="13">11*S20-R20-Q20-P20-O20-F20</f>
        <v>138.6295400000003</v>
      </c>
      <c r="U20" s="5">
        <f>T20+S20*$U$1</f>
        <v>397.84490000000034</v>
      </c>
      <c r="V20" s="5">
        <f t="shared" si="7"/>
        <v>257.2862968300002</v>
      </c>
      <c r="W20" s="5">
        <f>U20*$W$1</f>
        <v>140.55860317000011</v>
      </c>
      <c r="X20" s="18"/>
      <c r="Y20" s="18"/>
      <c r="Z20" s="1">
        <f t="shared" si="8"/>
        <v>13.399999999999999</v>
      </c>
      <c r="AA20" s="1">
        <f t="shared" si="5"/>
        <v>9.7164692092320415</v>
      </c>
      <c r="AB20" s="1">
        <v>116.05880000000001</v>
      </c>
      <c r="AC20" s="1">
        <v>109.3682</v>
      </c>
      <c r="AD20" s="1">
        <v>106.7038</v>
      </c>
      <c r="AE20" s="1">
        <v>93.757199999999997</v>
      </c>
      <c r="AF20" s="1">
        <v>83.564999999999998</v>
      </c>
      <c r="AG20" s="1">
        <v>101.2552</v>
      </c>
      <c r="AH20" s="1">
        <v>100.88</v>
      </c>
      <c r="AI20" s="1">
        <v>96.459800000000001</v>
      </c>
      <c r="AJ20" s="1">
        <v>91.898200000000003</v>
      </c>
      <c r="AK20" s="1">
        <v>89.878</v>
      </c>
      <c r="AL20" s="1"/>
      <c r="AM20" s="1">
        <f t="shared" si="9"/>
        <v>257</v>
      </c>
      <c r="AN20" s="1">
        <f t="shared" si="10"/>
        <v>141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38</v>
      </c>
      <c r="C21" s="1">
        <v>156.65100000000001</v>
      </c>
      <c r="D21" s="1">
        <v>5.3179999999999996</v>
      </c>
      <c r="E21" s="1">
        <v>82.423000000000002</v>
      </c>
      <c r="F21" s="1">
        <v>74.248999999999995</v>
      </c>
      <c r="G21" s="7">
        <v>1</v>
      </c>
      <c r="H21" s="1">
        <v>70</v>
      </c>
      <c r="I21" s="1" t="s">
        <v>39</v>
      </c>
      <c r="J21" s="1"/>
      <c r="K21" s="1">
        <v>80.08</v>
      </c>
      <c r="L21" s="1">
        <f t="shared" si="3"/>
        <v>2.3430000000000035</v>
      </c>
      <c r="M21" s="1"/>
      <c r="N21" s="1"/>
      <c r="O21" s="1">
        <v>81.81140000000002</v>
      </c>
      <c r="P21" s="1">
        <v>36.690775599999988</v>
      </c>
      <c r="Q21" s="1">
        <v>65.797424399999997</v>
      </c>
      <c r="R21" s="1">
        <v>80</v>
      </c>
      <c r="S21" s="1">
        <f t="shared" si="4"/>
        <v>16.4846</v>
      </c>
      <c r="T21" s="5"/>
      <c r="U21" s="5">
        <f t="shared" si="11"/>
        <v>0</v>
      </c>
      <c r="V21" s="5">
        <f t="shared" si="7"/>
        <v>0</v>
      </c>
      <c r="W21" s="5"/>
      <c r="X21" s="18"/>
      <c r="Y21" s="18"/>
      <c r="Z21" s="1">
        <f t="shared" si="8"/>
        <v>20.537265083775161</v>
      </c>
      <c r="AA21" s="1">
        <f t="shared" si="5"/>
        <v>20.537265083775161</v>
      </c>
      <c r="AB21" s="1">
        <v>22.352799999999998</v>
      </c>
      <c r="AC21" s="1">
        <v>24.495999999999999</v>
      </c>
      <c r="AD21" s="1">
        <v>22.382200000000001</v>
      </c>
      <c r="AE21" s="1">
        <v>17.047799999999999</v>
      </c>
      <c r="AF21" s="1">
        <v>9.0492000000000008</v>
      </c>
      <c r="AG21" s="1">
        <v>3.8969999999999998</v>
      </c>
      <c r="AH21" s="1">
        <v>14.3156</v>
      </c>
      <c r="AI21" s="1">
        <v>26.117000000000001</v>
      </c>
      <c r="AJ21" s="1">
        <v>34.8842</v>
      </c>
      <c r="AK21" s="1">
        <v>28.196200000000001</v>
      </c>
      <c r="AL21" s="1"/>
      <c r="AM21" s="1">
        <f t="shared" si="9"/>
        <v>0</v>
      </c>
      <c r="AN21" s="1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38</v>
      </c>
      <c r="C22" s="1">
        <v>0.60599999999999998</v>
      </c>
      <c r="D22" s="1">
        <v>458.90300000000002</v>
      </c>
      <c r="E22" s="1">
        <v>196.78700000000001</v>
      </c>
      <c r="F22" s="1">
        <v>261.40899999999999</v>
      </c>
      <c r="G22" s="7">
        <v>1</v>
      </c>
      <c r="H22" s="1">
        <v>70</v>
      </c>
      <c r="I22" s="1" t="s">
        <v>39</v>
      </c>
      <c r="J22" s="1"/>
      <c r="K22" s="1">
        <v>203.02</v>
      </c>
      <c r="L22" s="1">
        <f t="shared" si="3"/>
        <v>-6.2330000000000041</v>
      </c>
      <c r="M22" s="1"/>
      <c r="N22" s="1"/>
      <c r="O22" s="1">
        <v>185.76480000000001</v>
      </c>
      <c r="P22" s="1">
        <v>0</v>
      </c>
      <c r="Q22" s="1"/>
      <c r="R22" s="1">
        <v>0</v>
      </c>
      <c r="S22" s="1">
        <f t="shared" si="4"/>
        <v>39.357399999999998</v>
      </c>
      <c r="T22" s="5"/>
      <c r="U22" s="5">
        <f>X22</f>
        <v>150</v>
      </c>
      <c r="V22" s="5">
        <f t="shared" si="7"/>
        <v>97.004999999999995</v>
      </c>
      <c r="W22" s="5">
        <f>U22*$W$1</f>
        <v>52.994999999999997</v>
      </c>
      <c r="X22" s="18">
        <f>VLOOKUP(A22,[1]Sheet!$A:$V,21,0)</f>
        <v>150</v>
      </c>
      <c r="Y22" s="18" t="str">
        <f>VLOOKUP(A22,[1]Sheet!$A:$V,22,0)</f>
        <v>Промо+ Сеть мера</v>
      </c>
      <c r="Z22" s="1">
        <f t="shared" si="8"/>
        <v>15.173100865402695</v>
      </c>
      <c r="AA22" s="1">
        <f t="shared" si="5"/>
        <v>11.361873497741215</v>
      </c>
      <c r="AB22" s="1">
        <v>11.5404</v>
      </c>
      <c r="AC22" s="1">
        <v>28.758400000000002</v>
      </c>
      <c r="AD22" s="1">
        <v>53.684199999999997</v>
      </c>
      <c r="AE22" s="1">
        <v>41.608600000000003</v>
      </c>
      <c r="AF22" s="1">
        <v>49.029400000000003</v>
      </c>
      <c r="AG22" s="1">
        <v>62.423000000000002</v>
      </c>
      <c r="AH22" s="1">
        <v>34.194200000000002</v>
      </c>
      <c r="AI22" s="1">
        <v>23.361799999999999</v>
      </c>
      <c r="AJ22" s="1">
        <v>40.968800000000002</v>
      </c>
      <c r="AK22" s="1">
        <v>54.458799999999997</v>
      </c>
      <c r="AL22" s="1"/>
      <c r="AM22" s="1">
        <f t="shared" si="9"/>
        <v>97</v>
      </c>
      <c r="AN22" s="1">
        <f t="shared" si="10"/>
        <v>53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38</v>
      </c>
      <c r="C23" s="1">
        <v>32.881999999999998</v>
      </c>
      <c r="D23" s="1"/>
      <c r="E23" s="1">
        <v>29.149000000000001</v>
      </c>
      <c r="F23" s="1">
        <v>3.02</v>
      </c>
      <c r="G23" s="7">
        <v>1</v>
      </c>
      <c r="H23" s="1">
        <v>180</v>
      </c>
      <c r="I23" s="1" t="s">
        <v>39</v>
      </c>
      <c r="J23" s="1"/>
      <c r="K23" s="1">
        <v>27.492999999999999</v>
      </c>
      <c r="L23" s="1">
        <f t="shared" si="3"/>
        <v>1.6560000000000024</v>
      </c>
      <c r="M23" s="1"/>
      <c r="N23" s="1"/>
      <c r="O23" s="1">
        <v>60</v>
      </c>
      <c r="P23" s="1">
        <v>0</v>
      </c>
      <c r="Q23" s="1"/>
      <c r="R23" s="1">
        <v>40</v>
      </c>
      <c r="S23" s="1">
        <f t="shared" si="4"/>
        <v>5.8298000000000005</v>
      </c>
      <c r="T23" s="5"/>
      <c r="U23" s="5">
        <f t="shared" si="11"/>
        <v>0</v>
      </c>
      <c r="V23" s="5">
        <f t="shared" si="7"/>
        <v>0</v>
      </c>
      <c r="W23" s="5"/>
      <c r="X23" s="18"/>
      <c r="Y23" s="18"/>
      <c r="Z23" s="1">
        <f t="shared" si="8"/>
        <v>17.671275172390132</v>
      </c>
      <c r="AA23" s="1">
        <f t="shared" si="5"/>
        <v>17.671275172390132</v>
      </c>
      <c r="AB23" s="1">
        <v>7.3730000000000002</v>
      </c>
      <c r="AC23" s="1">
        <v>6.6054000000000004</v>
      </c>
      <c r="AD23" s="1">
        <v>5.7629999999999999</v>
      </c>
      <c r="AE23" s="1">
        <v>3.7181999999999999</v>
      </c>
      <c r="AF23" s="1">
        <v>3.5988000000000002</v>
      </c>
      <c r="AG23" s="1">
        <v>5.1424000000000003</v>
      </c>
      <c r="AH23" s="1">
        <v>4.5293999999999999</v>
      </c>
      <c r="AI23" s="1">
        <v>3.9744000000000002</v>
      </c>
      <c r="AJ23" s="1">
        <v>3.9765999999999999</v>
      </c>
      <c r="AK23" s="1">
        <v>3.8353999999999999</v>
      </c>
      <c r="AL23" s="1"/>
      <c r="AM23" s="1">
        <f t="shared" si="9"/>
        <v>0</v>
      </c>
      <c r="AN23" s="1">
        <f t="shared" si="10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38</v>
      </c>
      <c r="C24" s="1">
        <v>-0.66</v>
      </c>
      <c r="D24" s="1">
        <v>411.03</v>
      </c>
      <c r="E24" s="1">
        <v>48.404000000000003</v>
      </c>
      <c r="F24" s="1">
        <v>354.94099999999997</v>
      </c>
      <c r="G24" s="7">
        <v>1</v>
      </c>
      <c r="H24" s="1">
        <v>70</v>
      </c>
      <c r="I24" s="1" t="s">
        <v>39</v>
      </c>
      <c r="J24" s="1"/>
      <c r="K24" s="1">
        <v>67.900000000000006</v>
      </c>
      <c r="L24" s="1">
        <f t="shared" si="3"/>
        <v>-19.496000000000002</v>
      </c>
      <c r="M24" s="1"/>
      <c r="N24" s="1"/>
      <c r="O24" s="1">
        <v>212.03765999999999</v>
      </c>
      <c r="P24" s="1">
        <v>78.145041919999983</v>
      </c>
      <c r="Q24" s="1">
        <v>140.13719807999999</v>
      </c>
      <c r="R24" s="1">
        <v>100</v>
      </c>
      <c r="S24" s="1">
        <f t="shared" si="4"/>
        <v>9.6808000000000014</v>
      </c>
      <c r="T24" s="5"/>
      <c r="U24" s="5">
        <f t="shared" si="11"/>
        <v>0</v>
      </c>
      <c r="V24" s="5">
        <f t="shared" si="7"/>
        <v>0</v>
      </c>
      <c r="W24" s="5"/>
      <c r="X24" s="18"/>
      <c r="Y24" s="18"/>
      <c r="Z24" s="1">
        <f t="shared" si="8"/>
        <v>91.445014874803718</v>
      </c>
      <c r="AA24" s="1">
        <f t="shared" si="5"/>
        <v>91.445014874803718</v>
      </c>
      <c r="AB24" s="1">
        <v>38.4602</v>
      </c>
      <c r="AC24" s="1">
        <v>59.980400000000003</v>
      </c>
      <c r="AD24" s="1">
        <v>59.779200000000003</v>
      </c>
      <c r="AE24" s="1">
        <v>49.711799999999997</v>
      </c>
      <c r="AF24" s="1">
        <v>20.7958</v>
      </c>
      <c r="AG24" s="1">
        <v>15.2098</v>
      </c>
      <c r="AH24" s="1">
        <v>26.774000000000001</v>
      </c>
      <c r="AI24" s="1">
        <v>43.232399999999998</v>
      </c>
      <c r="AJ24" s="1">
        <v>29.524999999999999</v>
      </c>
      <c r="AK24" s="1">
        <v>20.725000000000001</v>
      </c>
      <c r="AL24" s="1"/>
      <c r="AM24" s="1">
        <f t="shared" si="9"/>
        <v>0</v>
      </c>
      <c r="AN24" s="1">
        <f t="shared" si="10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3"/>
        <v>0</v>
      </c>
      <c r="M25" s="11"/>
      <c r="N25" s="11"/>
      <c r="O25" s="11">
        <v>0</v>
      </c>
      <c r="P25" s="11">
        <v>0</v>
      </c>
      <c r="Q25" s="11"/>
      <c r="R25" s="11">
        <v>0</v>
      </c>
      <c r="S25" s="11">
        <f t="shared" si="4"/>
        <v>0</v>
      </c>
      <c r="T25" s="13"/>
      <c r="U25" s="5">
        <f t="shared" si="11"/>
        <v>0</v>
      </c>
      <c r="V25" s="5">
        <f t="shared" si="7"/>
        <v>0</v>
      </c>
      <c r="W25" s="5"/>
      <c r="X25" s="18"/>
      <c r="Y25" s="18"/>
      <c r="Z25" s="1" t="e">
        <f t="shared" si="8"/>
        <v>#DIV/0!</v>
      </c>
      <c r="AA25" s="11" t="e">
        <f t="shared" si="5"/>
        <v>#DIV/0!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 t="s">
        <v>49</v>
      </c>
      <c r="AM25" s="1">
        <f t="shared" si="9"/>
        <v>0</v>
      </c>
      <c r="AN25" s="1">
        <f t="shared" si="10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38</v>
      </c>
      <c r="C26" s="1">
        <v>212.50299999999999</v>
      </c>
      <c r="D26" s="1">
        <v>2.63</v>
      </c>
      <c r="E26" s="1">
        <v>186.82599999999999</v>
      </c>
      <c r="F26" s="1">
        <v>10.207000000000001</v>
      </c>
      <c r="G26" s="7">
        <v>1</v>
      </c>
      <c r="H26" s="1">
        <v>30</v>
      </c>
      <c r="I26" s="9" t="s">
        <v>64</v>
      </c>
      <c r="J26" s="1"/>
      <c r="K26" s="1">
        <v>209.6</v>
      </c>
      <c r="L26" s="1">
        <f t="shared" si="3"/>
        <v>-22.774000000000001</v>
      </c>
      <c r="M26" s="1"/>
      <c r="N26" s="1"/>
      <c r="O26" s="1">
        <v>0</v>
      </c>
      <c r="P26" s="1">
        <v>45.757426319999993</v>
      </c>
      <c r="Q26" s="1">
        <v>82.056613680000012</v>
      </c>
      <c r="R26" s="1">
        <v>82</v>
      </c>
      <c r="S26" s="1">
        <f t="shared" si="4"/>
        <v>37.365200000000002</v>
      </c>
      <c r="T26" s="5">
        <f t="shared" ref="T26:T65" si="14">11*S26-R26-Q26-P26-O26-F26</f>
        <v>190.99616000000003</v>
      </c>
      <c r="U26" s="5">
        <f t="shared" si="11"/>
        <v>190.99616000000003</v>
      </c>
      <c r="V26" s="5">
        <f t="shared" si="7"/>
        <v>123.51721667200002</v>
      </c>
      <c r="W26" s="5">
        <f>U26*$W$1</f>
        <v>67.478943328000014</v>
      </c>
      <c r="X26" s="18"/>
      <c r="Y26" s="18"/>
      <c r="Z26" s="1">
        <f t="shared" si="8"/>
        <v>11</v>
      </c>
      <c r="AA26" s="1">
        <f t="shared" si="5"/>
        <v>5.8883945489385843</v>
      </c>
      <c r="AB26" s="1">
        <v>37.8568</v>
      </c>
      <c r="AC26" s="1">
        <v>32.292400000000001</v>
      </c>
      <c r="AD26" s="1">
        <v>32.898400000000002</v>
      </c>
      <c r="AE26" s="1">
        <v>27.629000000000001</v>
      </c>
      <c r="AF26" s="1">
        <v>6.3411999999999997</v>
      </c>
      <c r="AG26" s="1">
        <v>10.604200000000001</v>
      </c>
      <c r="AH26" s="1">
        <v>23.606999999999999</v>
      </c>
      <c r="AI26" s="1">
        <v>42.3446</v>
      </c>
      <c r="AJ26" s="1">
        <v>36.757199999999997</v>
      </c>
      <c r="AK26" s="1">
        <v>5.3428000000000004</v>
      </c>
      <c r="AL26" s="1" t="s">
        <v>65</v>
      </c>
      <c r="AM26" s="1">
        <f t="shared" si="9"/>
        <v>124</v>
      </c>
      <c r="AN26" s="1">
        <f t="shared" si="10"/>
        <v>67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38</v>
      </c>
      <c r="C27" s="1">
        <v>8.923</v>
      </c>
      <c r="D27" s="1">
        <v>26.672999999999998</v>
      </c>
      <c r="E27" s="1">
        <v>37.197000000000003</v>
      </c>
      <c r="F27" s="1">
        <v>-1.601</v>
      </c>
      <c r="G27" s="7">
        <v>1</v>
      </c>
      <c r="H27" s="1">
        <v>40</v>
      </c>
      <c r="I27" s="10" t="s">
        <v>42</v>
      </c>
      <c r="J27" s="1"/>
      <c r="K27" s="1">
        <v>64.2</v>
      </c>
      <c r="L27" s="1">
        <f t="shared" si="3"/>
        <v>-27.003</v>
      </c>
      <c r="M27" s="1"/>
      <c r="N27" s="1"/>
      <c r="O27" s="1">
        <v>119.017</v>
      </c>
      <c r="P27" s="1">
        <v>87.747540000000015</v>
      </c>
      <c r="Q27" s="1"/>
      <c r="R27" s="1">
        <v>0</v>
      </c>
      <c r="S27" s="1">
        <f t="shared" si="4"/>
        <v>7.4394000000000009</v>
      </c>
      <c r="T27" s="5"/>
      <c r="U27" s="5">
        <f t="shared" si="11"/>
        <v>0</v>
      </c>
      <c r="V27" s="5">
        <f t="shared" si="7"/>
        <v>0</v>
      </c>
      <c r="W27" s="5"/>
      <c r="X27" s="18"/>
      <c r="Y27" s="18"/>
      <c r="Z27" s="1">
        <f t="shared" si="8"/>
        <v>27.577968653386023</v>
      </c>
      <c r="AA27" s="1">
        <f t="shared" si="5"/>
        <v>27.577968653386023</v>
      </c>
      <c r="AB27" s="1">
        <v>13.057</v>
      </c>
      <c r="AC27" s="1">
        <v>16.609400000000001</v>
      </c>
      <c r="AD27" s="1">
        <v>17.7974</v>
      </c>
      <c r="AE27" s="1">
        <v>8.8981999999999992</v>
      </c>
      <c r="AF27" s="1">
        <v>0</v>
      </c>
      <c r="AG27" s="1">
        <v>0</v>
      </c>
      <c r="AH27" s="1">
        <v>7.3483999999999998</v>
      </c>
      <c r="AI27" s="1">
        <v>12.615399999999999</v>
      </c>
      <c r="AJ27" s="1">
        <v>10.5562</v>
      </c>
      <c r="AK27" s="1">
        <v>5.1772</v>
      </c>
      <c r="AL27" s="1"/>
      <c r="AM27" s="1">
        <f t="shared" si="9"/>
        <v>0</v>
      </c>
      <c r="AN27" s="1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38</v>
      </c>
      <c r="C28" s="1">
        <v>31.940999999999999</v>
      </c>
      <c r="D28" s="1">
        <v>580.54700000000003</v>
      </c>
      <c r="E28" s="1">
        <v>202.22499999999999</v>
      </c>
      <c r="F28" s="1">
        <v>386.423</v>
      </c>
      <c r="G28" s="7">
        <v>1</v>
      </c>
      <c r="H28" s="1">
        <v>30</v>
      </c>
      <c r="I28" s="10" t="s">
        <v>42</v>
      </c>
      <c r="J28" s="1"/>
      <c r="K28" s="1">
        <v>304.59899999999999</v>
      </c>
      <c r="L28" s="1">
        <f t="shared" si="3"/>
        <v>-102.374</v>
      </c>
      <c r="M28" s="1"/>
      <c r="N28" s="1"/>
      <c r="O28" s="1">
        <v>79.048339999999939</v>
      </c>
      <c r="P28" s="1">
        <v>92.426313480000061</v>
      </c>
      <c r="Q28" s="1">
        <v>165.74774652000011</v>
      </c>
      <c r="R28" s="1">
        <v>80</v>
      </c>
      <c r="S28" s="1">
        <f t="shared" si="4"/>
        <v>40.445</v>
      </c>
      <c r="T28" s="5"/>
      <c r="U28" s="5">
        <f t="shared" si="11"/>
        <v>0</v>
      </c>
      <c r="V28" s="5">
        <f t="shared" si="7"/>
        <v>0</v>
      </c>
      <c r="W28" s="5"/>
      <c r="X28" s="18"/>
      <c r="Y28" s="18"/>
      <c r="Z28" s="1">
        <f t="shared" si="8"/>
        <v>19.870080356039068</v>
      </c>
      <c r="AA28" s="1">
        <f t="shared" si="5"/>
        <v>19.870080356039068</v>
      </c>
      <c r="AB28" s="1">
        <v>57.122799999999998</v>
      </c>
      <c r="AC28" s="1">
        <v>66.4786</v>
      </c>
      <c r="AD28" s="1">
        <v>64.301599999999993</v>
      </c>
      <c r="AE28" s="1">
        <v>64.790199999999999</v>
      </c>
      <c r="AF28" s="1">
        <v>41.290999999999997</v>
      </c>
      <c r="AG28" s="1">
        <v>19.9512</v>
      </c>
      <c r="AH28" s="1">
        <v>38.483400000000003</v>
      </c>
      <c r="AI28" s="1">
        <v>61.430199999999999</v>
      </c>
      <c r="AJ28" s="1">
        <v>40.460999999999999</v>
      </c>
      <c r="AK28" s="1">
        <v>34.136399999999988</v>
      </c>
      <c r="AL28" s="1"/>
      <c r="AM28" s="1">
        <f t="shared" si="9"/>
        <v>0</v>
      </c>
      <c r="AN28" s="1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38</v>
      </c>
      <c r="C29" s="1">
        <v>1360.432</v>
      </c>
      <c r="D29" s="1">
        <v>9.23</v>
      </c>
      <c r="E29" s="1">
        <v>631.755</v>
      </c>
      <c r="F29" s="1">
        <v>718.60699999999997</v>
      </c>
      <c r="G29" s="7">
        <v>1</v>
      </c>
      <c r="H29" s="1">
        <v>40</v>
      </c>
      <c r="I29" s="1" t="s">
        <v>39</v>
      </c>
      <c r="J29" s="1"/>
      <c r="K29" s="1">
        <v>583.6</v>
      </c>
      <c r="L29" s="1">
        <f t="shared" si="3"/>
        <v>48.154999999999973</v>
      </c>
      <c r="M29" s="1"/>
      <c r="N29" s="1"/>
      <c r="O29" s="1">
        <v>0</v>
      </c>
      <c r="P29" s="1">
        <v>117.8806433199999</v>
      </c>
      <c r="Q29" s="1">
        <v>211.3948966799999</v>
      </c>
      <c r="R29" s="1">
        <v>176.08394999999999</v>
      </c>
      <c r="S29" s="1">
        <f t="shared" si="4"/>
        <v>126.351</v>
      </c>
      <c r="T29" s="5">
        <f t="shared" si="14"/>
        <v>165.8945100000002</v>
      </c>
      <c r="U29" s="5">
        <f>T29+S29*$U$1</f>
        <v>469.13691000000017</v>
      </c>
      <c r="V29" s="5">
        <f t="shared" si="7"/>
        <v>303.3908396970001</v>
      </c>
      <c r="W29" s="5">
        <f>U29*$W$1</f>
        <v>165.74607030300007</v>
      </c>
      <c r="X29" s="18"/>
      <c r="Y29" s="18"/>
      <c r="Z29" s="1">
        <f t="shared" si="8"/>
        <v>13.4</v>
      </c>
      <c r="AA29" s="1">
        <f t="shared" si="5"/>
        <v>9.6870344516466016</v>
      </c>
      <c r="AB29" s="1">
        <v>140.11259999999999</v>
      </c>
      <c r="AC29" s="1">
        <v>119.8394</v>
      </c>
      <c r="AD29" s="1">
        <v>111.0528</v>
      </c>
      <c r="AE29" s="1">
        <v>94.69</v>
      </c>
      <c r="AF29" s="1">
        <v>89.814400000000006</v>
      </c>
      <c r="AG29" s="1">
        <v>149.56479999999999</v>
      </c>
      <c r="AH29" s="1">
        <v>192.89240000000001</v>
      </c>
      <c r="AI29" s="1">
        <v>98.930399999999992</v>
      </c>
      <c r="AJ29" s="1">
        <v>1.2E-2</v>
      </c>
      <c r="AK29" s="1">
        <v>79.461600000000004</v>
      </c>
      <c r="AL29" s="1"/>
      <c r="AM29" s="1">
        <f t="shared" si="9"/>
        <v>303</v>
      </c>
      <c r="AN29" s="1">
        <f t="shared" si="10"/>
        <v>166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38</v>
      </c>
      <c r="C30" s="1">
        <v>32.11</v>
      </c>
      <c r="D30" s="1">
        <v>2.9</v>
      </c>
      <c r="E30" s="1">
        <v>30.562000000000001</v>
      </c>
      <c r="F30" s="1">
        <v>4.4480000000000004</v>
      </c>
      <c r="G30" s="7">
        <v>1</v>
      </c>
      <c r="H30" s="1">
        <v>40</v>
      </c>
      <c r="I30" s="1" t="s">
        <v>39</v>
      </c>
      <c r="J30" s="1"/>
      <c r="K30" s="1">
        <v>28.3</v>
      </c>
      <c r="L30" s="1">
        <f t="shared" si="3"/>
        <v>2.2620000000000005</v>
      </c>
      <c r="M30" s="1"/>
      <c r="N30" s="1"/>
      <c r="O30" s="1">
        <v>4.6096000000000004</v>
      </c>
      <c r="P30" s="1">
        <v>38.551280000000013</v>
      </c>
      <c r="Q30" s="1"/>
      <c r="R30" s="1">
        <v>0</v>
      </c>
      <c r="S30" s="1">
        <f t="shared" si="4"/>
        <v>6.1124000000000001</v>
      </c>
      <c r="T30" s="5">
        <f t="shared" si="14"/>
        <v>19.62751999999999</v>
      </c>
      <c r="U30" s="5">
        <f t="shared" si="11"/>
        <v>19.62751999999999</v>
      </c>
      <c r="V30" s="5">
        <f t="shared" si="7"/>
        <v>19.62751999999999</v>
      </c>
      <c r="W30" s="5"/>
      <c r="X30" s="18"/>
      <c r="Y30" s="18"/>
      <c r="Z30" s="1">
        <f t="shared" si="8"/>
        <v>11</v>
      </c>
      <c r="AA30" s="1">
        <f t="shared" si="5"/>
        <v>7.7889012499182009</v>
      </c>
      <c r="AB30" s="1">
        <v>4.9554</v>
      </c>
      <c r="AC30" s="1">
        <v>5.2368000000000006</v>
      </c>
      <c r="AD30" s="1">
        <v>3.7707999999999999</v>
      </c>
      <c r="AE30" s="1">
        <v>0</v>
      </c>
      <c r="AF30" s="1">
        <v>-0.13400000000000001</v>
      </c>
      <c r="AG30" s="1">
        <v>3.38</v>
      </c>
      <c r="AH30" s="1">
        <v>3.5139999999999998</v>
      </c>
      <c r="AI30" s="1">
        <v>0.9071999999999999</v>
      </c>
      <c r="AJ30" s="1">
        <v>5.9954000000000001</v>
      </c>
      <c r="AK30" s="1">
        <v>6.6069999999999993</v>
      </c>
      <c r="AL30" s="1"/>
      <c r="AM30" s="1">
        <f t="shared" si="9"/>
        <v>20</v>
      </c>
      <c r="AN30" s="1">
        <f t="shared" si="10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70</v>
      </c>
      <c r="B31" s="1" t="s">
        <v>38</v>
      </c>
      <c r="C31" s="1">
        <v>100.39100000000001</v>
      </c>
      <c r="D31" s="1">
        <v>34.664000000000001</v>
      </c>
      <c r="E31" s="1">
        <v>75.426000000000002</v>
      </c>
      <c r="F31" s="1">
        <v>52.421999999999997</v>
      </c>
      <c r="G31" s="7">
        <v>1</v>
      </c>
      <c r="H31" s="1">
        <v>30</v>
      </c>
      <c r="I31" s="10" t="s">
        <v>42</v>
      </c>
      <c r="J31" s="1"/>
      <c r="K31" s="1">
        <v>75.8</v>
      </c>
      <c r="L31" s="1">
        <f t="shared" si="3"/>
        <v>-0.37399999999999523</v>
      </c>
      <c r="M31" s="1"/>
      <c r="N31" s="1"/>
      <c r="O31" s="1">
        <v>20</v>
      </c>
      <c r="P31" s="1">
        <v>0</v>
      </c>
      <c r="Q31" s="1"/>
      <c r="R31" s="1">
        <v>15.4526</v>
      </c>
      <c r="S31" s="1">
        <f t="shared" si="4"/>
        <v>15.0852</v>
      </c>
      <c r="T31" s="5">
        <f t="shared" si="14"/>
        <v>78.062600000000032</v>
      </c>
      <c r="U31" s="5">
        <f t="shared" si="11"/>
        <v>78.062600000000032</v>
      </c>
      <c r="V31" s="5">
        <f t="shared" si="7"/>
        <v>78.062600000000032</v>
      </c>
      <c r="W31" s="5"/>
      <c r="X31" s="18"/>
      <c r="Y31" s="18"/>
      <c r="Z31" s="1">
        <f t="shared" si="8"/>
        <v>11.000000000000002</v>
      </c>
      <c r="AA31" s="1">
        <f t="shared" si="5"/>
        <v>5.8252194203590273</v>
      </c>
      <c r="AB31" s="1">
        <v>9.6898</v>
      </c>
      <c r="AC31" s="1">
        <v>1.4954000000000001</v>
      </c>
      <c r="AD31" s="1">
        <v>-0.752</v>
      </c>
      <c r="AE31" s="1">
        <v>-0.97</v>
      </c>
      <c r="AF31" s="1">
        <v>-0.218</v>
      </c>
      <c r="AG31" s="1">
        <v>10.932600000000001</v>
      </c>
      <c r="AH31" s="1">
        <v>12.9648</v>
      </c>
      <c r="AI31" s="1">
        <v>-4.0000000000000002E-4</v>
      </c>
      <c r="AJ31" s="1">
        <v>1.3251999999999999</v>
      </c>
      <c r="AK31" s="1">
        <v>13.872400000000001</v>
      </c>
      <c r="AL31" s="1"/>
      <c r="AM31" s="1">
        <f t="shared" si="9"/>
        <v>78</v>
      </c>
      <c r="AN31" s="1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38</v>
      </c>
      <c r="C32" s="1">
        <v>0.876</v>
      </c>
      <c r="D32" s="1">
        <v>257.98700000000002</v>
      </c>
      <c r="E32" s="1">
        <v>61.218000000000004</v>
      </c>
      <c r="F32" s="1">
        <v>193.047</v>
      </c>
      <c r="G32" s="7">
        <v>1</v>
      </c>
      <c r="H32" s="1">
        <v>50</v>
      </c>
      <c r="I32" s="1" t="s">
        <v>39</v>
      </c>
      <c r="J32" s="1"/>
      <c r="K32" s="1">
        <v>54.6</v>
      </c>
      <c r="L32" s="1">
        <f t="shared" si="3"/>
        <v>6.6180000000000021</v>
      </c>
      <c r="M32" s="1"/>
      <c r="N32" s="1"/>
      <c r="O32" s="1">
        <v>80</v>
      </c>
      <c r="P32" s="1">
        <v>0</v>
      </c>
      <c r="Q32" s="1"/>
      <c r="R32" s="1">
        <v>0</v>
      </c>
      <c r="S32" s="1">
        <f t="shared" si="4"/>
        <v>12.243600000000001</v>
      </c>
      <c r="T32" s="5"/>
      <c r="U32" s="5">
        <f t="shared" si="11"/>
        <v>0</v>
      </c>
      <c r="V32" s="5">
        <f t="shared" si="7"/>
        <v>0</v>
      </c>
      <c r="W32" s="5"/>
      <c r="X32" s="18"/>
      <c r="Y32" s="18"/>
      <c r="Z32" s="1">
        <f t="shared" si="8"/>
        <v>22.301202260772975</v>
      </c>
      <c r="AA32" s="1">
        <f t="shared" si="5"/>
        <v>22.301202260772975</v>
      </c>
      <c r="AB32" s="1">
        <v>6.5584000000000007</v>
      </c>
      <c r="AC32" s="1">
        <v>10.5198</v>
      </c>
      <c r="AD32" s="1">
        <v>18.317599999999999</v>
      </c>
      <c r="AE32" s="1">
        <v>15.9734</v>
      </c>
      <c r="AF32" s="1">
        <v>13.6462</v>
      </c>
      <c r="AG32" s="1">
        <v>19.478000000000002</v>
      </c>
      <c r="AH32" s="1">
        <v>10.740600000000001</v>
      </c>
      <c r="AI32" s="1">
        <v>3.1267999999999998</v>
      </c>
      <c r="AJ32" s="1">
        <v>19.297999999999998</v>
      </c>
      <c r="AK32" s="1">
        <v>26.091999999999999</v>
      </c>
      <c r="AL32" s="1"/>
      <c r="AM32" s="1">
        <f t="shared" si="9"/>
        <v>0</v>
      </c>
      <c r="AN32" s="1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38</v>
      </c>
      <c r="C33" s="1">
        <v>5.4880000000000004</v>
      </c>
      <c r="D33" s="1">
        <v>98.311000000000007</v>
      </c>
      <c r="E33" s="1">
        <v>-0.89200000000000002</v>
      </c>
      <c r="F33" s="1">
        <v>101.075</v>
      </c>
      <c r="G33" s="7">
        <v>1</v>
      </c>
      <c r="H33" s="1">
        <v>50</v>
      </c>
      <c r="I33" s="1" t="s">
        <v>39</v>
      </c>
      <c r="J33" s="1"/>
      <c r="K33" s="1">
        <v>40.9</v>
      </c>
      <c r="L33" s="1">
        <f t="shared" si="3"/>
        <v>-41.792000000000002</v>
      </c>
      <c r="M33" s="1"/>
      <c r="N33" s="1"/>
      <c r="O33" s="1">
        <v>100</v>
      </c>
      <c r="P33" s="1">
        <v>0</v>
      </c>
      <c r="Q33" s="1"/>
      <c r="R33" s="1">
        <v>0</v>
      </c>
      <c r="S33" s="1">
        <f t="shared" si="4"/>
        <v>-0.1784</v>
      </c>
      <c r="T33" s="5"/>
      <c r="U33" s="5">
        <f t="shared" si="11"/>
        <v>0</v>
      </c>
      <c r="V33" s="5">
        <f t="shared" si="7"/>
        <v>0</v>
      </c>
      <c r="W33" s="5"/>
      <c r="X33" s="18"/>
      <c r="Y33" s="18"/>
      <c r="Z33" s="1">
        <f t="shared" si="8"/>
        <v>-1127.1020179372197</v>
      </c>
      <c r="AA33" s="1">
        <f t="shared" si="5"/>
        <v>-1127.1020179372197</v>
      </c>
      <c r="AB33" s="1">
        <v>0.92579999999999996</v>
      </c>
      <c r="AC33" s="1">
        <v>6.6242000000000001</v>
      </c>
      <c r="AD33" s="1">
        <v>13.944000000000001</v>
      </c>
      <c r="AE33" s="1">
        <v>10.803599999999999</v>
      </c>
      <c r="AF33" s="1">
        <v>4.2084000000000001</v>
      </c>
      <c r="AG33" s="1">
        <v>2.0131999999999999</v>
      </c>
      <c r="AH33" s="1">
        <v>5.2670000000000003</v>
      </c>
      <c r="AI33" s="1">
        <v>7.9817999999999998</v>
      </c>
      <c r="AJ33" s="1">
        <v>10.100199999999999</v>
      </c>
      <c r="AK33" s="1">
        <v>10.1</v>
      </c>
      <c r="AL33" s="1"/>
      <c r="AM33" s="1">
        <f t="shared" si="9"/>
        <v>0</v>
      </c>
      <c r="AN33" s="1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73</v>
      </c>
      <c r="B34" s="1" t="s">
        <v>44</v>
      </c>
      <c r="C34" s="1">
        <v>135</v>
      </c>
      <c r="D34" s="1">
        <v>324</v>
      </c>
      <c r="E34" s="1">
        <v>324</v>
      </c>
      <c r="F34" s="1">
        <v>126</v>
      </c>
      <c r="G34" s="7">
        <v>0.4</v>
      </c>
      <c r="H34" s="1">
        <v>45</v>
      </c>
      <c r="I34" s="10" t="s">
        <v>42</v>
      </c>
      <c r="J34" s="1"/>
      <c r="K34" s="1">
        <v>448</v>
      </c>
      <c r="L34" s="1">
        <f t="shared" si="3"/>
        <v>-124</v>
      </c>
      <c r="M34" s="1"/>
      <c r="N34" s="1"/>
      <c r="O34" s="1">
        <v>950.86000000000013</v>
      </c>
      <c r="P34" s="1">
        <v>342.76352000000009</v>
      </c>
      <c r="Q34" s="1">
        <v>614.6764800000002</v>
      </c>
      <c r="R34" s="1">
        <v>0</v>
      </c>
      <c r="S34" s="1">
        <f t="shared" si="4"/>
        <v>64.8</v>
      </c>
      <c r="T34" s="5"/>
      <c r="U34" s="5">
        <f t="shared" si="11"/>
        <v>0</v>
      </c>
      <c r="V34" s="5">
        <f t="shared" si="7"/>
        <v>0</v>
      </c>
      <c r="W34" s="5"/>
      <c r="X34" s="18"/>
      <c r="Y34" s="18"/>
      <c r="Z34" s="1">
        <f t="shared" si="8"/>
        <v>31.393518518518523</v>
      </c>
      <c r="AA34" s="1">
        <f t="shared" si="5"/>
        <v>31.393518518518523</v>
      </c>
      <c r="AB34" s="1">
        <v>103.2</v>
      </c>
      <c r="AC34" s="1">
        <v>168.4</v>
      </c>
      <c r="AD34" s="1">
        <v>133</v>
      </c>
      <c r="AE34" s="1">
        <v>89.8</v>
      </c>
      <c r="AF34" s="1">
        <v>51</v>
      </c>
      <c r="AG34" s="1">
        <v>40.799999999999997</v>
      </c>
      <c r="AH34" s="1">
        <v>105.6</v>
      </c>
      <c r="AI34" s="1">
        <v>80.8</v>
      </c>
      <c r="AJ34" s="1">
        <v>39.799999999999997</v>
      </c>
      <c r="AK34" s="1">
        <v>23.4</v>
      </c>
      <c r="AL34" s="1"/>
      <c r="AM34" s="1">
        <f t="shared" si="9"/>
        <v>0</v>
      </c>
      <c r="AN34" s="1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44</v>
      </c>
      <c r="C35" s="1">
        <v>173</v>
      </c>
      <c r="D35" s="1">
        <v>3</v>
      </c>
      <c r="E35" s="1">
        <v>163</v>
      </c>
      <c r="F35" s="1">
        <v>6</v>
      </c>
      <c r="G35" s="7">
        <v>0.45</v>
      </c>
      <c r="H35" s="1">
        <v>50</v>
      </c>
      <c r="I35" s="1" t="s">
        <v>39</v>
      </c>
      <c r="J35" s="1"/>
      <c r="K35" s="1">
        <v>195</v>
      </c>
      <c r="L35" s="1">
        <f t="shared" si="3"/>
        <v>-32</v>
      </c>
      <c r="M35" s="1"/>
      <c r="N35" s="1"/>
      <c r="O35" s="1">
        <v>358</v>
      </c>
      <c r="P35" s="1">
        <v>0</v>
      </c>
      <c r="Q35" s="1"/>
      <c r="R35" s="1">
        <v>99.840000000000046</v>
      </c>
      <c r="S35" s="1">
        <f t="shared" si="4"/>
        <v>32.6</v>
      </c>
      <c r="T35" s="5"/>
      <c r="U35" s="5">
        <f>X35</f>
        <v>100</v>
      </c>
      <c r="V35" s="5">
        <f t="shared" si="7"/>
        <v>100</v>
      </c>
      <c r="W35" s="5"/>
      <c r="X35" s="18">
        <f>VLOOKUP(A35,[1]Sheet!$A:$V,21,0)</f>
        <v>100</v>
      </c>
      <c r="Y35" s="18" t="str">
        <f>VLOOKUP(A35,[1]Sheet!$A:$V,22,0)</f>
        <v>Сеть Мера</v>
      </c>
      <c r="Z35" s="1">
        <f t="shared" si="8"/>
        <v>17.295705521472392</v>
      </c>
      <c r="AA35" s="1">
        <f t="shared" si="5"/>
        <v>14.228220858895705</v>
      </c>
      <c r="AB35" s="1">
        <v>41.6</v>
      </c>
      <c r="AC35" s="1">
        <v>38.6</v>
      </c>
      <c r="AD35" s="1">
        <v>52.6</v>
      </c>
      <c r="AE35" s="1">
        <v>25.8</v>
      </c>
      <c r="AF35" s="1">
        <v>12.8</v>
      </c>
      <c r="AG35" s="1">
        <v>24</v>
      </c>
      <c r="AH35" s="1">
        <v>29.4</v>
      </c>
      <c r="AI35" s="1">
        <v>42.2</v>
      </c>
      <c r="AJ35" s="1">
        <v>38.799999999999997</v>
      </c>
      <c r="AK35" s="1">
        <v>24.4</v>
      </c>
      <c r="AL35" s="1"/>
      <c r="AM35" s="1">
        <f t="shared" si="9"/>
        <v>45</v>
      </c>
      <c r="AN35" s="1">
        <f t="shared" si="10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44</v>
      </c>
      <c r="C36" s="1">
        <v>314</v>
      </c>
      <c r="D36" s="1">
        <v>6</v>
      </c>
      <c r="E36" s="1">
        <v>334</v>
      </c>
      <c r="F36" s="1">
        <v>-20</v>
      </c>
      <c r="G36" s="7">
        <v>0.4</v>
      </c>
      <c r="H36" s="1">
        <v>45</v>
      </c>
      <c r="I36" s="1" t="s">
        <v>39</v>
      </c>
      <c r="J36" s="1"/>
      <c r="K36" s="1">
        <v>335</v>
      </c>
      <c r="L36" s="1">
        <f t="shared" si="3"/>
        <v>-1</v>
      </c>
      <c r="M36" s="1"/>
      <c r="N36" s="1"/>
      <c r="O36" s="1">
        <v>267.40000000000009</v>
      </c>
      <c r="P36" s="1">
        <v>199.6566</v>
      </c>
      <c r="Q36" s="1">
        <v>358.04340000000002</v>
      </c>
      <c r="R36" s="1">
        <v>367.18999999999971</v>
      </c>
      <c r="S36" s="1">
        <f t="shared" si="4"/>
        <v>66.8</v>
      </c>
      <c r="T36" s="5"/>
      <c r="U36" s="5">
        <f t="shared" si="11"/>
        <v>0</v>
      </c>
      <c r="V36" s="5">
        <f t="shared" si="7"/>
        <v>0</v>
      </c>
      <c r="W36" s="5"/>
      <c r="X36" s="18"/>
      <c r="Y36" s="18"/>
      <c r="Z36" s="1">
        <f t="shared" si="8"/>
        <v>17.549251497005987</v>
      </c>
      <c r="AA36" s="1">
        <f t="shared" si="5"/>
        <v>17.549251497005987</v>
      </c>
      <c r="AB36" s="1">
        <v>104.6</v>
      </c>
      <c r="AC36" s="1">
        <v>81</v>
      </c>
      <c r="AD36" s="1">
        <v>54.2</v>
      </c>
      <c r="AE36" s="1">
        <v>14.8</v>
      </c>
      <c r="AF36" s="1">
        <v>11.2</v>
      </c>
      <c r="AG36" s="1">
        <v>27.4</v>
      </c>
      <c r="AH36" s="1">
        <v>58.2</v>
      </c>
      <c r="AI36" s="1">
        <v>44.4</v>
      </c>
      <c r="AJ36" s="1">
        <v>18</v>
      </c>
      <c r="AK36" s="1">
        <v>19.2</v>
      </c>
      <c r="AL36" s="1"/>
      <c r="AM36" s="1">
        <f t="shared" si="9"/>
        <v>0</v>
      </c>
      <c r="AN36" s="1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44</v>
      </c>
      <c r="C37" s="1"/>
      <c r="D37" s="1">
        <v>67</v>
      </c>
      <c r="E37" s="1">
        <v>30</v>
      </c>
      <c r="F37" s="1">
        <v>30</v>
      </c>
      <c r="G37" s="7">
        <v>0.4</v>
      </c>
      <c r="H37" s="1">
        <v>40</v>
      </c>
      <c r="I37" s="1" t="s">
        <v>39</v>
      </c>
      <c r="J37" s="1"/>
      <c r="K37" s="1">
        <v>35</v>
      </c>
      <c r="L37" s="1">
        <f t="shared" si="3"/>
        <v>-5</v>
      </c>
      <c r="M37" s="1"/>
      <c r="N37" s="1"/>
      <c r="O37" s="1">
        <v>42.8</v>
      </c>
      <c r="P37" s="1">
        <v>0</v>
      </c>
      <c r="Q37" s="1"/>
      <c r="R37" s="1">
        <v>0</v>
      </c>
      <c r="S37" s="1">
        <f t="shared" si="4"/>
        <v>6</v>
      </c>
      <c r="T37" s="5"/>
      <c r="U37" s="5">
        <f t="shared" si="11"/>
        <v>0</v>
      </c>
      <c r="V37" s="5">
        <f t="shared" si="7"/>
        <v>0</v>
      </c>
      <c r="W37" s="5"/>
      <c r="X37" s="18"/>
      <c r="Y37" s="18"/>
      <c r="Z37" s="1">
        <f t="shared" si="8"/>
        <v>12.133333333333333</v>
      </c>
      <c r="AA37" s="1">
        <f t="shared" si="5"/>
        <v>12.133333333333333</v>
      </c>
      <c r="AB37" s="1">
        <v>3</v>
      </c>
      <c r="AC37" s="1">
        <v>2</v>
      </c>
      <c r="AD37" s="1">
        <v>8.1999999999999993</v>
      </c>
      <c r="AE37" s="1">
        <v>8.1999999999999993</v>
      </c>
      <c r="AF37" s="1">
        <v>3.2</v>
      </c>
      <c r="AG37" s="1">
        <v>3</v>
      </c>
      <c r="AH37" s="1">
        <v>0</v>
      </c>
      <c r="AI37" s="1">
        <v>0</v>
      </c>
      <c r="AJ37" s="1">
        <v>0</v>
      </c>
      <c r="AK37" s="1">
        <v>0</v>
      </c>
      <c r="AL37" s="1"/>
      <c r="AM37" s="1">
        <f t="shared" si="9"/>
        <v>0</v>
      </c>
      <c r="AN37" s="1">
        <f t="shared" si="10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38</v>
      </c>
      <c r="C38" s="1">
        <v>72.62</v>
      </c>
      <c r="D38" s="1"/>
      <c r="E38" s="1">
        <v>31.728999999999999</v>
      </c>
      <c r="F38" s="1">
        <v>40.890999999999998</v>
      </c>
      <c r="G38" s="7">
        <v>1</v>
      </c>
      <c r="H38" s="1">
        <v>45</v>
      </c>
      <c r="I38" s="10" t="s">
        <v>42</v>
      </c>
      <c r="J38" s="1"/>
      <c r="K38" s="1">
        <v>29.5</v>
      </c>
      <c r="L38" s="1">
        <f t="shared" ref="L38:L69" si="15">E38-K38</f>
        <v>2.2289999999999992</v>
      </c>
      <c r="M38" s="1"/>
      <c r="N38" s="1"/>
      <c r="O38" s="1">
        <v>0</v>
      </c>
      <c r="P38" s="1">
        <v>0</v>
      </c>
      <c r="Q38" s="1"/>
      <c r="R38" s="1">
        <v>64.340800000000002</v>
      </c>
      <c r="S38" s="1">
        <f t="shared" ref="S38:S69" si="16">E38/5</f>
        <v>6.3457999999999997</v>
      </c>
      <c r="T38" s="5"/>
      <c r="U38" s="5">
        <f t="shared" si="11"/>
        <v>0</v>
      </c>
      <c r="V38" s="5">
        <f t="shared" si="7"/>
        <v>0</v>
      </c>
      <c r="W38" s="5"/>
      <c r="X38" s="18"/>
      <c r="Y38" s="18"/>
      <c r="Z38" s="1">
        <f t="shared" si="8"/>
        <v>16.582905228655171</v>
      </c>
      <c r="AA38" s="1">
        <f t="shared" ref="AA38:AA69" si="17">(F38+O38+P38+Q38+R38)/S38</f>
        <v>16.582905228655171</v>
      </c>
      <c r="AB38" s="1">
        <v>9.2354000000000003</v>
      </c>
      <c r="AC38" s="1">
        <v>5.1078000000000001</v>
      </c>
      <c r="AD38" s="1">
        <v>5.5014000000000003</v>
      </c>
      <c r="AE38" s="1">
        <v>5.5655999999999999</v>
      </c>
      <c r="AF38" s="1">
        <v>6.1146000000000003</v>
      </c>
      <c r="AG38" s="1">
        <v>8.9586000000000006</v>
      </c>
      <c r="AH38" s="1">
        <v>5.7417999999999996</v>
      </c>
      <c r="AI38" s="1">
        <v>7.9707999999999997</v>
      </c>
      <c r="AJ38" s="1">
        <v>13.5688</v>
      </c>
      <c r="AK38" s="1">
        <v>10.417999999999999</v>
      </c>
      <c r="AL38" s="1"/>
      <c r="AM38" s="1">
        <f t="shared" si="9"/>
        <v>0</v>
      </c>
      <c r="AN38" s="1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44</v>
      </c>
      <c r="C39" s="1">
        <v>479</v>
      </c>
      <c r="D39" s="1">
        <v>300</v>
      </c>
      <c r="E39" s="1">
        <v>772</v>
      </c>
      <c r="F39" s="1">
        <v>3</v>
      </c>
      <c r="G39" s="7">
        <v>0.1</v>
      </c>
      <c r="H39" s="1">
        <v>731</v>
      </c>
      <c r="I39" s="1" t="s">
        <v>39</v>
      </c>
      <c r="J39" s="1"/>
      <c r="K39" s="1">
        <v>656</v>
      </c>
      <c r="L39" s="1">
        <f t="shared" si="15"/>
        <v>116</v>
      </c>
      <c r="M39" s="1"/>
      <c r="N39" s="1"/>
      <c r="O39" s="1">
        <v>161.40000000000009</v>
      </c>
      <c r="P39" s="1">
        <v>176.55127999999991</v>
      </c>
      <c r="Q39" s="1">
        <v>316.60871999999978</v>
      </c>
      <c r="R39" s="1">
        <v>798.18000000000006</v>
      </c>
      <c r="S39" s="1">
        <f t="shared" si="16"/>
        <v>154.4</v>
      </c>
      <c r="T39" s="5">
        <f t="shared" si="14"/>
        <v>242.66000000000031</v>
      </c>
      <c r="U39" s="5">
        <f>X39</f>
        <v>1500</v>
      </c>
      <c r="V39" s="5">
        <f t="shared" si="7"/>
        <v>970.05</v>
      </c>
      <c r="W39" s="5">
        <f t="shared" ref="W39:W40" si="18">U39*$W$1</f>
        <v>529.95000000000005</v>
      </c>
      <c r="X39" s="18">
        <f>VLOOKUP(A39,[1]Sheet!$A:$V,21,0)</f>
        <v>1500</v>
      </c>
      <c r="Y39" s="18" t="str">
        <f>VLOOKUP(A39,[1]Sheet!$A:$V,22,0)</f>
        <v>Промо+ Сеть мера</v>
      </c>
      <c r="Z39" s="1">
        <f t="shared" si="8"/>
        <v>19.143393782383416</v>
      </c>
      <c r="AA39" s="1">
        <f t="shared" si="17"/>
        <v>9.4283678756476661</v>
      </c>
      <c r="AB39" s="1">
        <v>147.6</v>
      </c>
      <c r="AC39" s="1">
        <v>101.6</v>
      </c>
      <c r="AD39" s="1">
        <v>90.2</v>
      </c>
      <c r="AE39" s="1">
        <v>82.6</v>
      </c>
      <c r="AF39" s="1">
        <v>90.4</v>
      </c>
      <c r="AG39" s="1">
        <v>95.8</v>
      </c>
      <c r="AH39" s="1">
        <v>118.6</v>
      </c>
      <c r="AI39" s="1">
        <v>125.2</v>
      </c>
      <c r="AJ39" s="1">
        <v>102.8</v>
      </c>
      <c r="AK39" s="1">
        <v>113.8</v>
      </c>
      <c r="AL39" s="1"/>
      <c r="AM39" s="1">
        <f t="shared" si="9"/>
        <v>97</v>
      </c>
      <c r="AN39" s="1">
        <f t="shared" si="10"/>
        <v>53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44</v>
      </c>
      <c r="C40" s="1">
        <v>20</v>
      </c>
      <c r="D40" s="1">
        <v>204</v>
      </c>
      <c r="E40" s="1">
        <v>152</v>
      </c>
      <c r="F40" s="1">
        <v>68</v>
      </c>
      <c r="G40" s="7">
        <v>0.35</v>
      </c>
      <c r="H40" s="1">
        <v>40</v>
      </c>
      <c r="I40" s="10" t="s">
        <v>42</v>
      </c>
      <c r="J40" s="1"/>
      <c r="K40" s="1">
        <v>156</v>
      </c>
      <c r="L40" s="1">
        <f t="shared" si="15"/>
        <v>-4</v>
      </c>
      <c r="M40" s="1"/>
      <c r="N40" s="1"/>
      <c r="O40" s="1">
        <v>100</v>
      </c>
      <c r="P40" s="1">
        <v>0</v>
      </c>
      <c r="Q40" s="1"/>
      <c r="R40" s="1">
        <v>0</v>
      </c>
      <c r="S40" s="1">
        <f t="shared" si="16"/>
        <v>30.4</v>
      </c>
      <c r="T40" s="5">
        <f t="shared" si="14"/>
        <v>166.39999999999998</v>
      </c>
      <c r="U40" s="5">
        <f t="shared" si="11"/>
        <v>166.39999999999998</v>
      </c>
      <c r="V40" s="5">
        <f t="shared" si="7"/>
        <v>107.61087999999998</v>
      </c>
      <c r="W40" s="5">
        <f t="shared" si="18"/>
        <v>58.78911999999999</v>
      </c>
      <c r="X40" s="18"/>
      <c r="Y40" s="18"/>
      <c r="Z40" s="1">
        <f t="shared" si="8"/>
        <v>11</v>
      </c>
      <c r="AA40" s="1">
        <f t="shared" si="17"/>
        <v>5.5263157894736841</v>
      </c>
      <c r="AB40" s="1">
        <v>6.4</v>
      </c>
      <c r="AC40" s="1">
        <v>1.6</v>
      </c>
      <c r="AD40" s="1">
        <v>-0.4</v>
      </c>
      <c r="AE40" s="1">
        <v>-0.4</v>
      </c>
      <c r="AF40" s="1">
        <v>-0.2</v>
      </c>
      <c r="AG40" s="1">
        <v>-0.2</v>
      </c>
      <c r="AH40" s="1">
        <v>4.8</v>
      </c>
      <c r="AI40" s="1">
        <v>9.8000000000000007</v>
      </c>
      <c r="AJ40" s="1">
        <v>10.8</v>
      </c>
      <c r="AK40" s="1">
        <v>5.6</v>
      </c>
      <c r="AL40" s="1"/>
      <c r="AM40" s="1">
        <f t="shared" si="9"/>
        <v>38</v>
      </c>
      <c r="AN40" s="1">
        <f t="shared" si="10"/>
        <v>21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38</v>
      </c>
      <c r="C41" s="1">
        <v>49.481000000000002</v>
      </c>
      <c r="D41" s="1">
        <v>145.81399999999999</v>
      </c>
      <c r="E41" s="1">
        <v>55.267000000000003</v>
      </c>
      <c r="F41" s="1">
        <v>134.20099999999999</v>
      </c>
      <c r="G41" s="7">
        <v>1</v>
      </c>
      <c r="H41" s="1">
        <v>40</v>
      </c>
      <c r="I41" s="1" t="s">
        <v>39</v>
      </c>
      <c r="J41" s="1"/>
      <c r="K41" s="1">
        <v>82.2</v>
      </c>
      <c r="L41" s="1">
        <f t="shared" si="15"/>
        <v>-26.933</v>
      </c>
      <c r="M41" s="1"/>
      <c r="N41" s="1"/>
      <c r="O41" s="1">
        <v>137.69834000000009</v>
      </c>
      <c r="P41" s="1">
        <v>94.012017199999946</v>
      </c>
      <c r="Q41" s="1">
        <v>168.59138279999991</v>
      </c>
      <c r="R41" s="1">
        <v>0</v>
      </c>
      <c r="S41" s="1">
        <f t="shared" si="16"/>
        <v>11.0534</v>
      </c>
      <c r="T41" s="5"/>
      <c r="U41" s="5">
        <f t="shared" si="11"/>
        <v>0</v>
      </c>
      <c r="V41" s="5">
        <f t="shared" si="7"/>
        <v>0</v>
      </c>
      <c r="W41" s="5"/>
      <c r="X41" s="18"/>
      <c r="Y41" s="18"/>
      <c r="Z41" s="1">
        <f t="shared" si="8"/>
        <v>48.356409792462038</v>
      </c>
      <c r="AA41" s="1">
        <f t="shared" si="17"/>
        <v>48.356409792462038</v>
      </c>
      <c r="AB41" s="1">
        <v>39.805599999999998</v>
      </c>
      <c r="AC41" s="1">
        <v>42.555999999999997</v>
      </c>
      <c r="AD41" s="1">
        <v>35.138599999999997</v>
      </c>
      <c r="AE41" s="1">
        <v>27.880199999999999</v>
      </c>
      <c r="AF41" s="1">
        <v>5.6612</v>
      </c>
      <c r="AG41" s="1">
        <v>4.0103999999999997</v>
      </c>
      <c r="AH41" s="1">
        <v>14.308199999999999</v>
      </c>
      <c r="AI41" s="1">
        <v>28.140599999999999</v>
      </c>
      <c r="AJ41" s="1">
        <v>19.882000000000001</v>
      </c>
      <c r="AK41" s="1">
        <v>1.5982000000000001</v>
      </c>
      <c r="AL41" s="1"/>
      <c r="AM41" s="1">
        <f t="shared" si="9"/>
        <v>0</v>
      </c>
      <c r="AN41" s="1">
        <f t="shared" si="10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44</v>
      </c>
      <c r="C42" s="1">
        <v>101</v>
      </c>
      <c r="D42" s="1">
        <v>56</v>
      </c>
      <c r="E42" s="1">
        <v>116</v>
      </c>
      <c r="F42" s="1">
        <v>41</v>
      </c>
      <c r="G42" s="7">
        <v>0.4</v>
      </c>
      <c r="H42" s="1">
        <v>40</v>
      </c>
      <c r="I42" s="10" t="s">
        <v>42</v>
      </c>
      <c r="J42" s="1"/>
      <c r="K42" s="1">
        <v>158</v>
      </c>
      <c r="L42" s="1">
        <f t="shared" si="15"/>
        <v>-42</v>
      </c>
      <c r="M42" s="1"/>
      <c r="N42" s="1"/>
      <c r="O42" s="1">
        <v>86.5</v>
      </c>
      <c r="P42" s="1">
        <v>0</v>
      </c>
      <c r="Q42" s="1"/>
      <c r="R42" s="1">
        <v>124.37</v>
      </c>
      <c r="S42" s="1">
        <f t="shared" si="16"/>
        <v>23.2</v>
      </c>
      <c r="T42" s="5">
        <v>20</v>
      </c>
      <c r="U42" s="5">
        <f t="shared" si="11"/>
        <v>20</v>
      </c>
      <c r="V42" s="5">
        <f t="shared" si="7"/>
        <v>20</v>
      </c>
      <c r="W42" s="5"/>
      <c r="X42" s="18"/>
      <c r="Y42" s="18"/>
      <c r="Z42" s="1">
        <f t="shared" si="8"/>
        <v>11.718534482758621</v>
      </c>
      <c r="AA42" s="1">
        <f t="shared" si="17"/>
        <v>10.85646551724138</v>
      </c>
      <c r="AB42" s="1">
        <v>23.8</v>
      </c>
      <c r="AC42" s="1">
        <v>13</v>
      </c>
      <c r="AD42" s="1">
        <v>20</v>
      </c>
      <c r="AE42" s="1">
        <v>15</v>
      </c>
      <c r="AF42" s="1">
        <v>8.4</v>
      </c>
      <c r="AG42" s="1">
        <v>20.6</v>
      </c>
      <c r="AH42" s="1">
        <v>18.8</v>
      </c>
      <c r="AI42" s="1">
        <v>8</v>
      </c>
      <c r="AJ42" s="1">
        <v>13.8</v>
      </c>
      <c r="AK42" s="1">
        <v>28.2</v>
      </c>
      <c r="AL42" s="1"/>
      <c r="AM42" s="1">
        <f t="shared" si="9"/>
        <v>8</v>
      </c>
      <c r="AN42" s="1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44</v>
      </c>
      <c r="C43" s="1"/>
      <c r="D43" s="1">
        <v>234</v>
      </c>
      <c r="E43" s="1">
        <v>75</v>
      </c>
      <c r="F43" s="1">
        <v>156</v>
      </c>
      <c r="G43" s="7">
        <v>0.4</v>
      </c>
      <c r="H43" s="1">
        <v>45</v>
      </c>
      <c r="I43" s="10" t="s">
        <v>42</v>
      </c>
      <c r="J43" s="1"/>
      <c r="K43" s="1">
        <v>77</v>
      </c>
      <c r="L43" s="1">
        <f t="shared" si="15"/>
        <v>-2</v>
      </c>
      <c r="M43" s="1"/>
      <c r="N43" s="1"/>
      <c r="O43" s="1">
        <v>0</v>
      </c>
      <c r="P43" s="1">
        <v>0</v>
      </c>
      <c r="Q43" s="1"/>
      <c r="R43" s="1">
        <v>0</v>
      </c>
      <c r="S43" s="1">
        <f t="shared" si="16"/>
        <v>15</v>
      </c>
      <c r="T43" s="5">
        <f t="shared" si="14"/>
        <v>9</v>
      </c>
      <c r="U43" s="5">
        <f t="shared" si="11"/>
        <v>9</v>
      </c>
      <c r="V43" s="5">
        <f t="shared" si="7"/>
        <v>9</v>
      </c>
      <c r="W43" s="5"/>
      <c r="X43" s="18"/>
      <c r="Y43" s="18"/>
      <c r="Z43" s="1">
        <f t="shared" si="8"/>
        <v>11</v>
      </c>
      <c r="AA43" s="1">
        <f t="shared" si="17"/>
        <v>10.4</v>
      </c>
      <c r="AB43" s="1">
        <v>2.8</v>
      </c>
      <c r="AC43" s="1">
        <v>6.8</v>
      </c>
      <c r="AD43" s="1">
        <v>17.2</v>
      </c>
      <c r="AE43" s="1">
        <v>18.600000000000001</v>
      </c>
      <c r="AF43" s="1">
        <v>11.8</v>
      </c>
      <c r="AG43" s="1">
        <v>21.6</v>
      </c>
      <c r="AH43" s="1">
        <v>17.399999999999999</v>
      </c>
      <c r="AI43" s="1">
        <v>19</v>
      </c>
      <c r="AJ43" s="1">
        <v>32</v>
      </c>
      <c r="AK43" s="1">
        <v>33.4</v>
      </c>
      <c r="AL43" s="1"/>
      <c r="AM43" s="1">
        <f t="shared" si="9"/>
        <v>4</v>
      </c>
      <c r="AN43" s="1">
        <f t="shared" si="10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38</v>
      </c>
      <c r="C44" s="1">
        <v>93.313000000000002</v>
      </c>
      <c r="D44" s="1">
        <v>1.4590000000000001</v>
      </c>
      <c r="E44" s="1">
        <v>91.15</v>
      </c>
      <c r="F44" s="1">
        <v>-3.6999999999999998E-2</v>
      </c>
      <c r="G44" s="7">
        <v>1</v>
      </c>
      <c r="H44" s="1">
        <v>40</v>
      </c>
      <c r="I44" s="10" t="s">
        <v>42</v>
      </c>
      <c r="J44" s="1"/>
      <c r="K44" s="1">
        <v>132.4</v>
      </c>
      <c r="L44" s="1">
        <f t="shared" si="15"/>
        <v>-41.25</v>
      </c>
      <c r="M44" s="1"/>
      <c r="N44" s="1"/>
      <c r="O44" s="1">
        <v>100</v>
      </c>
      <c r="P44" s="1">
        <v>105.70159787999999</v>
      </c>
      <c r="Q44" s="1">
        <v>189.55426212</v>
      </c>
      <c r="R44" s="1">
        <v>150</v>
      </c>
      <c r="S44" s="1">
        <f t="shared" si="16"/>
        <v>18.23</v>
      </c>
      <c r="T44" s="5"/>
      <c r="U44" s="5">
        <f t="shared" si="11"/>
        <v>0</v>
      </c>
      <c r="V44" s="5">
        <f t="shared" si="7"/>
        <v>0</v>
      </c>
      <c r="W44" s="5"/>
      <c r="X44" s="18"/>
      <c r="Y44" s="18"/>
      <c r="Z44" s="1">
        <f t="shared" si="8"/>
        <v>29.907781678551835</v>
      </c>
      <c r="AA44" s="1">
        <f t="shared" si="17"/>
        <v>29.907781678551835</v>
      </c>
      <c r="AB44" s="1">
        <v>44.752000000000002</v>
      </c>
      <c r="AC44" s="1">
        <v>35.374600000000001</v>
      </c>
      <c r="AD44" s="1">
        <v>11.3222</v>
      </c>
      <c r="AE44" s="1">
        <v>2.0312000000000001</v>
      </c>
      <c r="AF44" s="1">
        <v>-0.43519999999999998</v>
      </c>
      <c r="AG44" s="1">
        <v>8.0980000000000008</v>
      </c>
      <c r="AH44" s="1">
        <v>18.626799999999999</v>
      </c>
      <c r="AI44" s="1">
        <v>12.271599999999999</v>
      </c>
      <c r="AJ44" s="1">
        <v>3.7730000000000001</v>
      </c>
      <c r="AK44" s="1">
        <v>0.57640000000000002</v>
      </c>
      <c r="AL44" s="1"/>
      <c r="AM44" s="1">
        <f t="shared" si="9"/>
        <v>0</v>
      </c>
      <c r="AN44" s="1">
        <f t="shared" si="10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44</v>
      </c>
      <c r="C45" s="1">
        <v>60</v>
      </c>
      <c r="D45" s="1">
        <v>9</v>
      </c>
      <c r="E45" s="1">
        <v>65</v>
      </c>
      <c r="F45" s="1">
        <v>-7</v>
      </c>
      <c r="G45" s="7">
        <v>0.35</v>
      </c>
      <c r="H45" s="1">
        <v>40</v>
      </c>
      <c r="I45" s="10" t="s">
        <v>42</v>
      </c>
      <c r="J45" s="1"/>
      <c r="K45" s="1">
        <v>116</v>
      </c>
      <c r="L45" s="1">
        <f t="shared" si="15"/>
        <v>-51</v>
      </c>
      <c r="M45" s="1"/>
      <c r="N45" s="1"/>
      <c r="O45" s="1">
        <v>344.4</v>
      </c>
      <c r="P45" s="1">
        <v>172.22664</v>
      </c>
      <c r="Q45" s="1">
        <v>308.85336000000001</v>
      </c>
      <c r="R45" s="1">
        <v>80</v>
      </c>
      <c r="S45" s="1">
        <f t="shared" si="16"/>
        <v>13</v>
      </c>
      <c r="T45" s="5"/>
      <c r="U45" s="5">
        <f>X45</f>
        <v>140</v>
      </c>
      <c r="V45" s="5">
        <f t="shared" si="7"/>
        <v>90.537999999999997</v>
      </c>
      <c r="W45" s="5">
        <f t="shared" ref="W45:W46" si="19">U45*$W$1</f>
        <v>49.462000000000003</v>
      </c>
      <c r="X45" s="18">
        <f>VLOOKUP(A45,[1]Sheet!$A:$V,21,0)</f>
        <v>140</v>
      </c>
      <c r="Y45" s="18" t="str">
        <f>VLOOKUP(A45,[1]Sheet!$A:$V,22,0)</f>
        <v>Сеть Мера</v>
      </c>
      <c r="Z45" s="1">
        <f t="shared" si="8"/>
        <v>79.883076923076928</v>
      </c>
      <c r="AA45" s="1">
        <f t="shared" si="17"/>
        <v>69.113846153846154</v>
      </c>
      <c r="AB45" s="1">
        <v>40</v>
      </c>
      <c r="AC45" s="1">
        <v>62.8</v>
      </c>
      <c r="AD45" s="1">
        <v>48.4</v>
      </c>
      <c r="AE45" s="1">
        <v>13.8</v>
      </c>
      <c r="AF45" s="1">
        <v>2</v>
      </c>
      <c r="AG45" s="1">
        <v>2</v>
      </c>
      <c r="AH45" s="1">
        <v>32</v>
      </c>
      <c r="AI45" s="1">
        <v>47.4</v>
      </c>
      <c r="AJ45" s="1">
        <v>23.6</v>
      </c>
      <c r="AK45" s="1">
        <v>31.8</v>
      </c>
      <c r="AL45" s="1"/>
      <c r="AM45" s="1">
        <f t="shared" si="9"/>
        <v>32</v>
      </c>
      <c r="AN45" s="1">
        <f t="shared" si="10"/>
        <v>17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44</v>
      </c>
      <c r="C46" s="1">
        <v>466</v>
      </c>
      <c r="D46" s="1">
        <v>6</v>
      </c>
      <c r="E46" s="1">
        <v>463</v>
      </c>
      <c r="F46" s="1"/>
      <c r="G46" s="7">
        <v>0.4</v>
      </c>
      <c r="H46" s="1">
        <v>40</v>
      </c>
      <c r="I46" s="1" t="s">
        <v>39</v>
      </c>
      <c r="J46" s="1"/>
      <c r="K46" s="1">
        <v>481</v>
      </c>
      <c r="L46" s="1">
        <f t="shared" si="15"/>
        <v>-18</v>
      </c>
      <c r="M46" s="1"/>
      <c r="N46" s="1"/>
      <c r="O46" s="1">
        <v>0</v>
      </c>
      <c r="P46" s="1">
        <v>0</v>
      </c>
      <c r="Q46" s="1"/>
      <c r="R46" s="1">
        <v>404.48</v>
      </c>
      <c r="S46" s="1">
        <f t="shared" si="16"/>
        <v>92.6</v>
      </c>
      <c r="T46" s="5">
        <f>10*S46-R46-Q46-P46-O46-F46</f>
        <v>521.52</v>
      </c>
      <c r="U46" s="5">
        <f t="shared" si="11"/>
        <v>521.52</v>
      </c>
      <c r="V46" s="5">
        <f t="shared" si="7"/>
        <v>337.26698399999998</v>
      </c>
      <c r="W46" s="5">
        <f t="shared" si="19"/>
        <v>184.253016</v>
      </c>
      <c r="X46" s="18"/>
      <c r="Y46" s="18"/>
      <c r="Z46" s="1">
        <f t="shared" si="8"/>
        <v>10</v>
      </c>
      <c r="AA46" s="1">
        <f t="shared" si="17"/>
        <v>4.368034557235422</v>
      </c>
      <c r="AB46" s="1">
        <v>67.2</v>
      </c>
      <c r="AC46" s="1">
        <v>16</v>
      </c>
      <c r="AD46" s="1">
        <v>13.8</v>
      </c>
      <c r="AE46" s="1">
        <v>7.6</v>
      </c>
      <c r="AF46" s="1">
        <v>21.8</v>
      </c>
      <c r="AG46" s="1">
        <v>56.4</v>
      </c>
      <c r="AH46" s="1">
        <v>58.2</v>
      </c>
      <c r="AI46" s="1">
        <v>23.2</v>
      </c>
      <c r="AJ46" s="1">
        <v>2.4</v>
      </c>
      <c r="AK46" s="1">
        <v>34</v>
      </c>
      <c r="AL46" s="1"/>
      <c r="AM46" s="1">
        <f t="shared" si="9"/>
        <v>135</v>
      </c>
      <c r="AN46" s="1">
        <f t="shared" si="10"/>
        <v>74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38</v>
      </c>
      <c r="C47" s="1">
        <v>24.530999999999999</v>
      </c>
      <c r="D47" s="1"/>
      <c r="E47" s="1">
        <v>25.064</v>
      </c>
      <c r="F47" s="1">
        <v>-1.2470000000000001</v>
      </c>
      <c r="G47" s="7">
        <v>1</v>
      </c>
      <c r="H47" s="1">
        <v>50</v>
      </c>
      <c r="I47" s="1" t="s">
        <v>39</v>
      </c>
      <c r="J47" s="1"/>
      <c r="K47" s="1">
        <v>24.15</v>
      </c>
      <c r="L47" s="1">
        <f t="shared" si="15"/>
        <v>0.91400000000000148</v>
      </c>
      <c r="M47" s="1"/>
      <c r="N47" s="1"/>
      <c r="O47" s="1">
        <v>150</v>
      </c>
      <c r="P47" s="1">
        <v>4</v>
      </c>
      <c r="Q47" s="1"/>
      <c r="R47" s="1">
        <v>60</v>
      </c>
      <c r="S47" s="1">
        <f t="shared" si="16"/>
        <v>5.0128000000000004</v>
      </c>
      <c r="T47" s="5"/>
      <c r="U47" s="5">
        <f t="shared" si="11"/>
        <v>0</v>
      </c>
      <c r="V47" s="5">
        <f t="shared" si="7"/>
        <v>0</v>
      </c>
      <c r="W47" s="5"/>
      <c r="X47" s="18"/>
      <c r="Y47" s="18"/>
      <c r="Z47" s="1">
        <f t="shared" si="8"/>
        <v>42.441948611554416</v>
      </c>
      <c r="AA47" s="1">
        <f t="shared" si="17"/>
        <v>42.441948611554416</v>
      </c>
      <c r="AB47" s="1">
        <v>13.6998</v>
      </c>
      <c r="AC47" s="1">
        <v>15.008599999999999</v>
      </c>
      <c r="AD47" s="1">
        <v>11.4558</v>
      </c>
      <c r="AE47" s="1">
        <v>8.1006</v>
      </c>
      <c r="AF47" s="1">
        <v>5.1276000000000002</v>
      </c>
      <c r="AG47" s="1">
        <v>4.0519999999999996</v>
      </c>
      <c r="AH47" s="1">
        <v>8.6585999999999999</v>
      </c>
      <c r="AI47" s="1">
        <v>12.7052</v>
      </c>
      <c r="AJ47" s="1">
        <v>13.9094</v>
      </c>
      <c r="AK47" s="1">
        <v>13.914</v>
      </c>
      <c r="AL47" s="1"/>
      <c r="AM47" s="1">
        <f t="shared" si="9"/>
        <v>0</v>
      </c>
      <c r="AN47" s="1">
        <f t="shared" si="10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87</v>
      </c>
      <c r="B48" s="1" t="s">
        <v>38</v>
      </c>
      <c r="C48" s="1">
        <v>18.574999999999999</v>
      </c>
      <c r="D48" s="1">
        <v>274.57100000000003</v>
      </c>
      <c r="E48" s="1">
        <v>41.703000000000003</v>
      </c>
      <c r="F48" s="1">
        <v>249.66</v>
      </c>
      <c r="G48" s="7">
        <v>1</v>
      </c>
      <c r="H48" s="1">
        <v>50</v>
      </c>
      <c r="I48" s="1" t="s">
        <v>39</v>
      </c>
      <c r="J48" s="1"/>
      <c r="K48" s="1">
        <v>83</v>
      </c>
      <c r="L48" s="1">
        <f t="shared" si="15"/>
        <v>-41.296999999999997</v>
      </c>
      <c r="M48" s="1"/>
      <c r="N48" s="1"/>
      <c r="O48" s="1">
        <v>63.46958000000005</v>
      </c>
      <c r="P48" s="1">
        <v>0</v>
      </c>
      <c r="Q48" s="1"/>
      <c r="R48" s="1">
        <v>50</v>
      </c>
      <c r="S48" s="1">
        <f t="shared" si="16"/>
        <v>8.3406000000000002</v>
      </c>
      <c r="T48" s="5"/>
      <c r="U48" s="5">
        <f t="shared" si="11"/>
        <v>0</v>
      </c>
      <c r="V48" s="5">
        <f t="shared" si="7"/>
        <v>0</v>
      </c>
      <c r="W48" s="5"/>
      <c r="X48" s="18"/>
      <c r="Y48" s="18"/>
      <c r="Z48" s="1">
        <f t="shared" si="8"/>
        <v>43.537584826031704</v>
      </c>
      <c r="AA48" s="1">
        <f t="shared" si="17"/>
        <v>43.537584826031704</v>
      </c>
      <c r="AB48" s="1">
        <v>18.558800000000002</v>
      </c>
      <c r="AC48" s="1">
        <v>26.272600000000001</v>
      </c>
      <c r="AD48" s="1">
        <v>32.82</v>
      </c>
      <c r="AE48" s="1">
        <v>28.619399999999999</v>
      </c>
      <c r="AF48" s="1">
        <v>16.1906</v>
      </c>
      <c r="AG48" s="1">
        <v>24.096800000000002</v>
      </c>
      <c r="AH48" s="1">
        <v>23.748799999999999</v>
      </c>
      <c r="AI48" s="1">
        <v>26.533999999999999</v>
      </c>
      <c r="AJ48" s="1">
        <v>34.277000000000001</v>
      </c>
      <c r="AK48" s="1">
        <v>28.886399999999998</v>
      </c>
      <c r="AL48" s="1"/>
      <c r="AM48" s="1">
        <f t="shared" si="9"/>
        <v>0</v>
      </c>
      <c r="AN48" s="1">
        <f t="shared" si="10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38</v>
      </c>
      <c r="C49" s="1">
        <v>-2.3E-2</v>
      </c>
      <c r="D49" s="1">
        <v>89.819000000000003</v>
      </c>
      <c r="E49" s="1"/>
      <c r="F49" s="1">
        <v>89.796000000000006</v>
      </c>
      <c r="G49" s="7">
        <v>1</v>
      </c>
      <c r="H49" s="1">
        <v>45</v>
      </c>
      <c r="I49" s="10" t="s">
        <v>42</v>
      </c>
      <c r="J49" s="1"/>
      <c r="K49" s="1"/>
      <c r="L49" s="1">
        <f t="shared" si="15"/>
        <v>0</v>
      </c>
      <c r="M49" s="1"/>
      <c r="N49" s="1"/>
      <c r="O49" s="1">
        <v>0</v>
      </c>
      <c r="P49" s="1">
        <v>0</v>
      </c>
      <c r="Q49" s="1"/>
      <c r="R49" s="1">
        <v>0</v>
      </c>
      <c r="S49" s="1">
        <f t="shared" si="16"/>
        <v>0</v>
      </c>
      <c r="T49" s="5"/>
      <c r="U49" s="5">
        <f t="shared" si="11"/>
        <v>0</v>
      </c>
      <c r="V49" s="5">
        <f t="shared" si="7"/>
        <v>0</v>
      </c>
      <c r="W49" s="5"/>
      <c r="X49" s="18"/>
      <c r="Y49" s="18"/>
      <c r="Z49" s="1" t="e">
        <f t="shared" si="8"/>
        <v>#DIV/0!</v>
      </c>
      <c r="AA49" s="1" t="e">
        <f t="shared" si="17"/>
        <v>#DIV/0!</v>
      </c>
      <c r="AB49" s="1">
        <v>0</v>
      </c>
      <c r="AC49" s="1">
        <v>0</v>
      </c>
      <c r="AD49" s="1">
        <v>1.2236</v>
      </c>
      <c r="AE49" s="1">
        <v>7.2441999999999993</v>
      </c>
      <c r="AF49" s="1">
        <v>6.0206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/>
      <c r="AM49" s="1">
        <f t="shared" si="9"/>
        <v>0</v>
      </c>
      <c r="AN49" s="1">
        <f t="shared" si="10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89</v>
      </c>
      <c r="B50" s="1" t="s">
        <v>44</v>
      </c>
      <c r="C50" s="1">
        <v>159</v>
      </c>
      <c r="D50" s="1">
        <v>3</v>
      </c>
      <c r="E50" s="1">
        <v>158</v>
      </c>
      <c r="F50" s="1"/>
      <c r="G50" s="7">
        <v>0.45</v>
      </c>
      <c r="H50" s="1">
        <v>50</v>
      </c>
      <c r="I50" s="1" t="s">
        <v>39</v>
      </c>
      <c r="J50" s="1"/>
      <c r="K50" s="1">
        <v>171</v>
      </c>
      <c r="L50" s="1">
        <f t="shared" si="15"/>
        <v>-13</v>
      </c>
      <c r="M50" s="1"/>
      <c r="N50" s="1"/>
      <c r="O50" s="1">
        <v>223</v>
      </c>
      <c r="P50" s="1">
        <v>0</v>
      </c>
      <c r="Q50" s="1"/>
      <c r="R50" s="1">
        <v>223</v>
      </c>
      <c r="S50" s="1">
        <f t="shared" si="16"/>
        <v>31.6</v>
      </c>
      <c r="T50" s="5"/>
      <c r="U50" s="5">
        <f t="shared" ref="U50:U51" si="20">X50</f>
        <v>150</v>
      </c>
      <c r="V50" s="5">
        <f t="shared" si="7"/>
        <v>97.004999999999995</v>
      </c>
      <c r="W50" s="5">
        <f>U50*$W$1</f>
        <v>52.994999999999997</v>
      </c>
      <c r="X50" s="18">
        <f>VLOOKUP(A50,[1]Sheet!$A:$V,21,0)</f>
        <v>150</v>
      </c>
      <c r="Y50" s="18" t="str">
        <f>VLOOKUP(A50,[1]Sheet!$A:$V,22,0)</f>
        <v>Сеть Мера</v>
      </c>
      <c r="Z50" s="1">
        <f t="shared" si="8"/>
        <v>18.860759493670884</v>
      </c>
      <c r="AA50" s="1">
        <f t="shared" si="17"/>
        <v>14.11392405063291</v>
      </c>
      <c r="AB50" s="1">
        <v>40</v>
      </c>
      <c r="AC50" s="1">
        <v>31.4</v>
      </c>
      <c r="AD50" s="1">
        <v>33</v>
      </c>
      <c r="AE50" s="1">
        <v>16.2</v>
      </c>
      <c r="AF50" s="1">
        <v>12.4</v>
      </c>
      <c r="AG50" s="1">
        <v>16.399999999999999</v>
      </c>
      <c r="AH50" s="1">
        <v>16.8</v>
      </c>
      <c r="AI50" s="1">
        <v>30.2</v>
      </c>
      <c r="AJ50" s="1">
        <v>32</v>
      </c>
      <c r="AK50" s="1">
        <v>21.6</v>
      </c>
      <c r="AL50" s="1"/>
      <c r="AM50" s="1">
        <f t="shared" si="9"/>
        <v>44</v>
      </c>
      <c r="AN50" s="1">
        <f t="shared" si="10"/>
        <v>24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90</v>
      </c>
      <c r="B51" s="1" t="s">
        <v>44</v>
      </c>
      <c r="C51" s="1">
        <v>184</v>
      </c>
      <c r="D51" s="1">
        <v>3</v>
      </c>
      <c r="E51" s="1">
        <v>182</v>
      </c>
      <c r="F51" s="1"/>
      <c r="G51" s="7">
        <v>0.45</v>
      </c>
      <c r="H51" s="1">
        <v>50</v>
      </c>
      <c r="I51" s="1" t="s">
        <v>39</v>
      </c>
      <c r="J51" s="1"/>
      <c r="K51" s="1">
        <v>182</v>
      </c>
      <c r="L51" s="1">
        <f t="shared" si="15"/>
        <v>0</v>
      </c>
      <c r="M51" s="1"/>
      <c r="N51" s="1"/>
      <c r="O51" s="1">
        <v>334.6</v>
      </c>
      <c r="P51" s="1">
        <v>0</v>
      </c>
      <c r="Q51" s="1"/>
      <c r="R51" s="1">
        <v>162.69</v>
      </c>
      <c r="S51" s="1">
        <f t="shared" si="16"/>
        <v>36.4</v>
      </c>
      <c r="T51" s="5"/>
      <c r="U51" s="5">
        <f t="shared" si="20"/>
        <v>100</v>
      </c>
      <c r="V51" s="5">
        <f t="shared" si="7"/>
        <v>100</v>
      </c>
      <c r="W51" s="5"/>
      <c r="X51" s="18">
        <f>VLOOKUP(A51,[1]Sheet!$A:$V,21,0)</f>
        <v>100</v>
      </c>
      <c r="Y51" s="18" t="str">
        <f>VLOOKUP(A51,[1]Sheet!$A:$V,22,0)</f>
        <v>Сеть Мера</v>
      </c>
      <c r="Z51" s="1">
        <f t="shared" si="8"/>
        <v>16.409065934065932</v>
      </c>
      <c r="AA51" s="1">
        <f t="shared" si="17"/>
        <v>13.661813186813188</v>
      </c>
      <c r="AB51" s="1">
        <v>44.6</v>
      </c>
      <c r="AC51" s="1">
        <v>40.200000000000003</v>
      </c>
      <c r="AD51" s="1">
        <v>48.6</v>
      </c>
      <c r="AE51" s="1">
        <v>21.8</v>
      </c>
      <c r="AF51" s="1">
        <v>18.600000000000001</v>
      </c>
      <c r="AG51" s="1">
        <v>27.6</v>
      </c>
      <c r="AH51" s="1">
        <v>28</v>
      </c>
      <c r="AI51" s="1">
        <v>43.8</v>
      </c>
      <c r="AJ51" s="1">
        <v>41.6</v>
      </c>
      <c r="AK51" s="1">
        <v>24.2</v>
      </c>
      <c r="AL51" s="1"/>
      <c r="AM51" s="1">
        <f t="shared" si="9"/>
        <v>45</v>
      </c>
      <c r="AN51" s="1">
        <f t="shared" si="1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91</v>
      </c>
      <c r="B52" s="1" t="s">
        <v>44</v>
      </c>
      <c r="C52" s="1">
        <v>123</v>
      </c>
      <c r="D52" s="1"/>
      <c r="E52" s="1">
        <v>115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137</v>
      </c>
      <c r="L52" s="1">
        <f t="shared" si="15"/>
        <v>-22</v>
      </c>
      <c r="M52" s="1"/>
      <c r="N52" s="1"/>
      <c r="O52" s="1">
        <v>0</v>
      </c>
      <c r="P52" s="1">
        <v>0</v>
      </c>
      <c r="Q52" s="1"/>
      <c r="R52" s="1">
        <v>176.32</v>
      </c>
      <c r="S52" s="1">
        <f t="shared" si="16"/>
        <v>23</v>
      </c>
      <c r="T52" s="5">
        <f t="shared" si="14"/>
        <v>75.680000000000007</v>
      </c>
      <c r="U52" s="5">
        <f t="shared" si="11"/>
        <v>75.680000000000007</v>
      </c>
      <c r="V52" s="5">
        <f t="shared" si="7"/>
        <v>75.680000000000007</v>
      </c>
      <c r="W52" s="5"/>
      <c r="X52" s="18"/>
      <c r="Y52" s="18"/>
      <c r="Z52" s="1">
        <f t="shared" si="8"/>
        <v>11</v>
      </c>
      <c r="AA52" s="1">
        <f t="shared" si="17"/>
        <v>7.7095652173913036</v>
      </c>
      <c r="AB52" s="1">
        <v>24.8</v>
      </c>
      <c r="AC52" s="1">
        <v>1.6</v>
      </c>
      <c r="AD52" s="1">
        <v>0.8</v>
      </c>
      <c r="AE52" s="1">
        <v>2.6</v>
      </c>
      <c r="AF52" s="1">
        <v>2.6</v>
      </c>
      <c r="AG52" s="1">
        <v>13.6</v>
      </c>
      <c r="AH52" s="1">
        <v>18</v>
      </c>
      <c r="AI52" s="1">
        <v>5.2</v>
      </c>
      <c r="AJ52" s="1">
        <v>0.6</v>
      </c>
      <c r="AK52" s="1">
        <v>0.6</v>
      </c>
      <c r="AL52" s="1"/>
      <c r="AM52" s="1">
        <f t="shared" si="9"/>
        <v>30</v>
      </c>
      <c r="AN52" s="1">
        <f t="shared" si="1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92</v>
      </c>
      <c r="B53" s="1" t="s">
        <v>44</v>
      </c>
      <c r="C53" s="1">
        <v>174</v>
      </c>
      <c r="D53" s="1"/>
      <c r="E53" s="1">
        <v>164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180</v>
      </c>
      <c r="L53" s="1">
        <f t="shared" si="15"/>
        <v>-16</v>
      </c>
      <c r="M53" s="1"/>
      <c r="N53" s="1"/>
      <c r="O53" s="1">
        <v>13.32000000000002</v>
      </c>
      <c r="P53" s="1">
        <v>0</v>
      </c>
      <c r="Q53" s="1"/>
      <c r="R53" s="1">
        <v>206.19</v>
      </c>
      <c r="S53" s="1">
        <f t="shared" si="16"/>
        <v>32.799999999999997</v>
      </c>
      <c r="T53" s="5">
        <f t="shared" si="14"/>
        <v>136.28999999999994</v>
      </c>
      <c r="U53" s="5">
        <f t="shared" si="11"/>
        <v>136.28999999999994</v>
      </c>
      <c r="V53" s="5">
        <f t="shared" si="7"/>
        <v>88.138742999999948</v>
      </c>
      <c r="W53" s="5">
        <f>U53*$W$1</f>
        <v>48.15125699999998</v>
      </c>
      <c r="X53" s="18"/>
      <c r="Y53" s="18"/>
      <c r="Z53" s="1">
        <f t="shared" si="8"/>
        <v>11</v>
      </c>
      <c r="AA53" s="1">
        <f t="shared" si="17"/>
        <v>6.8448170731707325</v>
      </c>
      <c r="AB53" s="1">
        <v>31.4</v>
      </c>
      <c r="AC53" s="1">
        <v>12.8</v>
      </c>
      <c r="AD53" s="1">
        <v>16.600000000000001</v>
      </c>
      <c r="AE53" s="1">
        <v>10.199999999999999</v>
      </c>
      <c r="AF53" s="1">
        <v>5.8</v>
      </c>
      <c r="AG53" s="1">
        <v>21.8</v>
      </c>
      <c r="AH53" s="1">
        <v>21.6</v>
      </c>
      <c r="AI53" s="1">
        <v>10.199999999999999</v>
      </c>
      <c r="AJ53" s="1">
        <v>13.4</v>
      </c>
      <c r="AK53" s="1">
        <v>20.6</v>
      </c>
      <c r="AL53" s="1"/>
      <c r="AM53" s="1">
        <f t="shared" si="9"/>
        <v>35</v>
      </c>
      <c r="AN53" s="1">
        <f t="shared" si="10"/>
        <v>19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93</v>
      </c>
      <c r="B54" s="1" t="s">
        <v>38</v>
      </c>
      <c r="C54" s="1">
        <v>-0.28799999999999998</v>
      </c>
      <c r="D54" s="1">
        <v>130.42500000000001</v>
      </c>
      <c r="E54" s="1">
        <v>47.222999999999999</v>
      </c>
      <c r="F54" s="1">
        <v>82.914000000000001</v>
      </c>
      <c r="G54" s="7">
        <v>1</v>
      </c>
      <c r="H54" s="1">
        <v>50</v>
      </c>
      <c r="I54" s="1" t="s">
        <v>39</v>
      </c>
      <c r="J54" s="1"/>
      <c r="K54" s="1">
        <v>48.9</v>
      </c>
      <c r="L54" s="1">
        <f t="shared" si="15"/>
        <v>-1.6769999999999996</v>
      </c>
      <c r="M54" s="1"/>
      <c r="N54" s="1"/>
      <c r="O54" s="1">
        <v>150</v>
      </c>
      <c r="P54" s="1">
        <v>0</v>
      </c>
      <c r="Q54" s="1"/>
      <c r="R54" s="1">
        <v>40</v>
      </c>
      <c r="S54" s="1">
        <f t="shared" si="16"/>
        <v>9.4445999999999994</v>
      </c>
      <c r="T54" s="5"/>
      <c r="U54" s="5">
        <f t="shared" si="11"/>
        <v>0</v>
      </c>
      <c r="V54" s="5">
        <f t="shared" si="7"/>
        <v>0</v>
      </c>
      <c r="W54" s="5"/>
      <c r="X54" s="18"/>
      <c r="Y54" s="18"/>
      <c r="Z54" s="1">
        <f t="shared" si="8"/>
        <v>28.896300531520659</v>
      </c>
      <c r="AA54" s="1">
        <f t="shared" si="17"/>
        <v>28.896300531520659</v>
      </c>
      <c r="AB54" s="1">
        <v>5.6942000000000004</v>
      </c>
      <c r="AC54" s="1">
        <v>13.5944</v>
      </c>
      <c r="AD54" s="1">
        <v>20.284400000000002</v>
      </c>
      <c r="AE54" s="1">
        <v>13.1692</v>
      </c>
      <c r="AF54" s="1">
        <v>12.071400000000001</v>
      </c>
      <c r="AG54" s="1">
        <v>14.194000000000001</v>
      </c>
      <c r="AH54" s="1">
        <v>12.063599999999999</v>
      </c>
      <c r="AI54" s="1">
        <v>14.1008</v>
      </c>
      <c r="AJ54" s="1">
        <v>15.144</v>
      </c>
      <c r="AK54" s="1">
        <v>11.5428</v>
      </c>
      <c r="AL54" s="1"/>
      <c r="AM54" s="1">
        <f t="shared" si="9"/>
        <v>0</v>
      </c>
      <c r="AN54" s="1">
        <f t="shared" si="1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94</v>
      </c>
      <c r="B55" s="1" t="s">
        <v>44</v>
      </c>
      <c r="C55" s="1">
        <v>575</v>
      </c>
      <c r="D55" s="1">
        <v>172</v>
      </c>
      <c r="E55" s="15">
        <f>533+E127</f>
        <v>620</v>
      </c>
      <c r="F55" s="15">
        <f>-9+F127</f>
        <v>26</v>
      </c>
      <c r="G55" s="7">
        <v>0.1</v>
      </c>
      <c r="H55" s="1">
        <v>731</v>
      </c>
      <c r="I55" s="1" t="s">
        <v>39</v>
      </c>
      <c r="J55" s="1"/>
      <c r="K55" s="1">
        <v>436</v>
      </c>
      <c r="L55" s="1">
        <f t="shared" si="15"/>
        <v>184</v>
      </c>
      <c r="M55" s="1"/>
      <c r="N55" s="1"/>
      <c r="O55" s="1">
        <v>0</v>
      </c>
      <c r="P55" s="1">
        <v>126.76779999999999</v>
      </c>
      <c r="Q55" s="1">
        <v>227.3322</v>
      </c>
      <c r="R55" s="1">
        <v>1119.5899999999999</v>
      </c>
      <c r="S55" s="1">
        <f t="shared" si="16"/>
        <v>124</v>
      </c>
      <c r="T55" s="5"/>
      <c r="U55" s="5">
        <f>X55</f>
        <v>1000</v>
      </c>
      <c r="V55" s="5">
        <f t="shared" si="7"/>
        <v>646.70000000000005</v>
      </c>
      <c r="W55" s="5">
        <f>U55*$W$1</f>
        <v>353.3</v>
      </c>
      <c r="X55" s="18">
        <f>VLOOKUP(A55,[1]Sheet!$A:$V,21,0)</f>
        <v>1000</v>
      </c>
      <c r="Y55" s="18" t="str">
        <f>VLOOKUP(A55,[1]Sheet!$A:$V,22,0)</f>
        <v>Сеть Мера+Есть потребность</v>
      </c>
      <c r="Z55" s="1">
        <f t="shared" si="8"/>
        <v>20.158790322580646</v>
      </c>
      <c r="AA55" s="1">
        <f t="shared" si="17"/>
        <v>12.094274193548388</v>
      </c>
      <c r="AB55" s="1">
        <v>140.6</v>
      </c>
      <c r="AC55" s="1">
        <v>71</v>
      </c>
      <c r="AD55" s="1">
        <v>53.4</v>
      </c>
      <c r="AE55" s="1">
        <v>52.8</v>
      </c>
      <c r="AF55" s="1">
        <v>55.6</v>
      </c>
      <c r="AG55" s="1">
        <v>75.400000000000006</v>
      </c>
      <c r="AH55" s="1">
        <v>102</v>
      </c>
      <c r="AI55" s="1">
        <v>110.4</v>
      </c>
      <c r="AJ55" s="1">
        <v>101.6</v>
      </c>
      <c r="AK55" s="1">
        <v>110.4</v>
      </c>
      <c r="AL55" s="1"/>
      <c r="AM55" s="1">
        <f t="shared" si="9"/>
        <v>65</v>
      </c>
      <c r="AN55" s="1">
        <f t="shared" si="10"/>
        <v>35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95</v>
      </c>
      <c r="B56" s="1" t="s">
        <v>38</v>
      </c>
      <c r="C56" s="1">
        <v>70.704999999999998</v>
      </c>
      <c r="D56" s="1">
        <v>182.78399999999999</v>
      </c>
      <c r="E56" s="1">
        <v>78.614000000000004</v>
      </c>
      <c r="F56" s="1">
        <v>173.52799999999999</v>
      </c>
      <c r="G56" s="7">
        <v>1</v>
      </c>
      <c r="H56" s="1">
        <v>50</v>
      </c>
      <c r="I56" s="1" t="s">
        <v>39</v>
      </c>
      <c r="J56" s="1"/>
      <c r="K56" s="1">
        <v>72.599999999999994</v>
      </c>
      <c r="L56" s="1">
        <f t="shared" si="15"/>
        <v>6.01400000000001</v>
      </c>
      <c r="M56" s="1"/>
      <c r="N56" s="1"/>
      <c r="O56" s="1">
        <v>46.787559999999992</v>
      </c>
      <c r="P56" s="1">
        <v>0</v>
      </c>
      <c r="Q56" s="1"/>
      <c r="R56" s="1">
        <v>80</v>
      </c>
      <c r="S56" s="1">
        <f t="shared" si="16"/>
        <v>15.722800000000001</v>
      </c>
      <c r="T56" s="5"/>
      <c r="U56" s="5">
        <f t="shared" si="11"/>
        <v>0</v>
      </c>
      <c r="V56" s="5">
        <f t="shared" si="7"/>
        <v>0</v>
      </c>
      <c r="W56" s="5"/>
      <c r="X56" s="18"/>
      <c r="Y56" s="18"/>
      <c r="Z56" s="1">
        <f t="shared" si="8"/>
        <v>19.100641107181925</v>
      </c>
      <c r="AA56" s="1">
        <f t="shared" si="17"/>
        <v>19.100641107181925</v>
      </c>
      <c r="AB56" s="1">
        <v>17.816400000000002</v>
      </c>
      <c r="AC56" s="1">
        <v>17.171199999999999</v>
      </c>
      <c r="AD56" s="1">
        <v>25.500599999999999</v>
      </c>
      <c r="AE56" s="1">
        <v>22.254799999999999</v>
      </c>
      <c r="AF56" s="1">
        <v>15.750999999999999</v>
      </c>
      <c r="AG56" s="1">
        <v>20.5718</v>
      </c>
      <c r="AH56" s="1">
        <v>20.8672</v>
      </c>
      <c r="AI56" s="1">
        <v>22.484000000000002</v>
      </c>
      <c r="AJ56" s="1">
        <v>23.589200000000002</v>
      </c>
      <c r="AK56" s="1">
        <v>20.336200000000002</v>
      </c>
      <c r="AL56" s="1"/>
      <c r="AM56" s="1">
        <f t="shared" si="9"/>
        <v>0</v>
      </c>
      <c r="AN56" s="1">
        <f t="shared" si="10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96</v>
      </c>
      <c r="B57" s="1" t="s">
        <v>38</v>
      </c>
      <c r="C57" s="1">
        <v>84.15</v>
      </c>
      <c r="D57" s="1"/>
      <c r="E57" s="1">
        <v>27.148</v>
      </c>
      <c r="F57" s="1">
        <v>55.658999999999999</v>
      </c>
      <c r="G57" s="7">
        <v>1</v>
      </c>
      <c r="H57" s="1">
        <v>55</v>
      </c>
      <c r="I57" s="1" t="s">
        <v>39</v>
      </c>
      <c r="J57" s="1"/>
      <c r="K57" s="1">
        <v>24.4</v>
      </c>
      <c r="L57" s="1">
        <f t="shared" si="15"/>
        <v>2.7480000000000011</v>
      </c>
      <c r="M57" s="1"/>
      <c r="N57" s="1"/>
      <c r="O57" s="1">
        <v>0</v>
      </c>
      <c r="P57" s="1">
        <v>0</v>
      </c>
      <c r="Q57" s="1"/>
      <c r="R57" s="1">
        <v>3.757199999999997</v>
      </c>
      <c r="S57" s="1">
        <f t="shared" si="16"/>
        <v>5.4295999999999998</v>
      </c>
      <c r="T57" s="5"/>
      <c r="U57" s="5">
        <f t="shared" si="11"/>
        <v>0</v>
      </c>
      <c r="V57" s="5">
        <f t="shared" si="7"/>
        <v>0</v>
      </c>
      <c r="W57" s="5"/>
      <c r="X57" s="18"/>
      <c r="Y57" s="18"/>
      <c r="Z57" s="1">
        <f t="shared" si="8"/>
        <v>10.943016060114925</v>
      </c>
      <c r="AA57" s="1">
        <f t="shared" si="17"/>
        <v>10.943016060114925</v>
      </c>
      <c r="AB57" s="1">
        <v>5.7375999999999996</v>
      </c>
      <c r="AC57" s="1">
        <v>5.17</v>
      </c>
      <c r="AD57" s="1">
        <v>7.0688000000000004</v>
      </c>
      <c r="AE57" s="1">
        <v>6.5191999999999997</v>
      </c>
      <c r="AF57" s="1">
        <v>1.8912</v>
      </c>
      <c r="AG57" s="1">
        <v>1.9228000000000001</v>
      </c>
      <c r="AH57" s="1">
        <v>7.3528000000000002</v>
      </c>
      <c r="AI57" s="1">
        <v>10.632199999999999</v>
      </c>
      <c r="AJ57" s="1">
        <v>8.7439999999999998</v>
      </c>
      <c r="AK57" s="1">
        <v>8.1340000000000003</v>
      </c>
      <c r="AL57" s="1"/>
      <c r="AM57" s="1">
        <f t="shared" si="9"/>
        <v>0</v>
      </c>
      <c r="AN57" s="1">
        <f t="shared" si="10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97</v>
      </c>
      <c r="B58" s="1" t="s">
        <v>44</v>
      </c>
      <c r="C58" s="1">
        <v>317</v>
      </c>
      <c r="D58" s="1"/>
      <c r="E58" s="1">
        <v>297</v>
      </c>
      <c r="F58" s="1">
        <v>20</v>
      </c>
      <c r="G58" s="7">
        <v>0.1</v>
      </c>
      <c r="H58" s="1">
        <v>731</v>
      </c>
      <c r="I58" s="1" t="s">
        <v>39</v>
      </c>
      <c r="J58" s="1"/>
      <c r="K58" s="1">
        <v>365</v>
      </c>
      <c r="L58" s="1">
        <f t="shared" si="15"/>
        <v>-68</v>
      </c>
      <c r="M58" s="1"/>
      <c r="N58" s="1"/>
      <c r="O58" s="1">
        <v>307.8</v>
      </c>
      <c r="P58" s="1">
        <v>167.02132</v>
      </c>
      <c r="Q58" s="1">
        <v>299.51868000000002</v>
      </c>
      <c r="R58" s="1">
        <v>700</v>
      </c>
      <c r="S58" s="1">
        <f t="shared" si="16"/>
        <v>59.4</v>
      </c>
      <c r="T58" s="5"/>
      <c r="U58" s="5">
        <f>X58</f>
        <v>600</v>
      </c>
      <c r="V58" s="5">
        <f t="shared" si="7"/>
        <v>388.02</v>
      </c>
      <c r="W58" s="5">
        <f>U58*$W$1</f>
        <v>211.98</v>
      </c>
      <c r="X58" s="18">
        <f>VLOOKUP(A58,[1]Sheet!$A:$V,21,0)</f>
        <v>600</v>
      </c>
      <c r="Y58" s="18" t="str">
        <f>VLOOKUP(A58,[1]Sheet!$A:$V,22,0)</f>
        <v>Сеть Мера+Есть потребность</v>
      </c>
      <c r="Z58" s="1">
        <f t="shared" si="8"/>
        <v>35.258249158249164</v>
      </c>
      <c r="AA58" s="1">
        <f t="shared" si="17"/>
        <v>25.15723905723906</v>
      </c>
      <c r="AB58" s="1">
        <v>97</v>
      </c>
      <c r="AC58" s="1">
        <v>77.400000000000006</v>
      </c>
      <c r="AD58" s="1">
        <v>61.4</v>
      </c>
      <c r="AE58" s="1">
        <v>38.799999999999997</v>
      </c>
      <c r="AF58" s="1">
        <v>44.6</v>
      </c>
      <c r="AG58" s="1">
        <v>58</v>
      </c>
      <c r="AH58" s="1">
        <v>67.400000000000006</v>
      </c>
      <c r="AI58" s="1">
        <v>77.8</v>
      </c>
      <c r="AJ58" s="1">
        <v>72.400000000000006</v>
      </c>
      <c r="AK58" s="1">
        <v>69.2</v>
      </c>
      <c r="AL58" s="1"/>
      <c r="AM58" s="1">
        <f t="shared" si="9"/>
        <v>39</v>
      </c>
      <c r="AN58" s="1">
        <f t="shared" si="10"/>
        <v>21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98</v>
      </c>
      <c r="B59" s="1" t="s">
        <v>44</v>
      </c>
      <c r="C59" s="1"/>
      <c r="D59" s="1">
        <v>30</v>
      </c>
      <c r="E59" s="1">
        <v>21</v>
      </c>
      <c r="F59" s="1">
        <v>9</v>
      </c>
      <c r="G59" s="7">
        <v>0.4</v>
      </c>
      <c r="H59" s="1">
        <v>50</v>
      </c>
      <c r="I59" s="1" t="s">
        <v>39</v>
      </c>
      <c r="J59" s="1"/>
      <c r="K59" s="1">
        <v>21</v>
      </c>
      <c r="L59" s="1">
        <f t="shared" si="15"/>
        <v>0</v>
      </c>
      <c r="M59" s="1"/>
      <c r="N59" s="1"/>
      <c r="O59" s="1">
        <v>39.599999999999987</v>
      </c>
      <c r="P59" s="1">
        <v>0</v>
      </c>
      <c r="Q59" s="1"/>
      <c r="R59" s="1">
        <v>0</v>
      </c>
      <c r="S59" s="1">
        <f t="shared" si="16"/>
        <v>4.2</v>
      </c>
      <c r="T59" s="5"/>
      <c r="U59" s="5">
        <f t="shared" si="11"/>
        <v>0</v>
      </c>
      <c r="V59" s="5">
        <f t="shared" si="7"/>
        <v>0</v>
      </c>
      <c r="W59" s="5"/>
      <c r="X59" s="18"/>
      <c r="Y59" s="18"/>
      <c r="Z59" s="1">
        <f t="shared" si="8"/>
        <v>11.571428571428568</v>
      </c>
      <c r="AA59" s="1">
        <f t="shared" si="17"/>
        <v>11.571428571428568</v>
      </c>
      <c r="AB59" s="1">
        <v>4</v>
      </c>
      <c r="AC59" s="1">
        <v>4.4000000000000004</v>
      </c>
      <c r="AD59" s="1">
        <v>5.6</v>
      </c>
      <c r="AE59" s="1">
        <v>4</v>
      </c>
      <c r="AF59" s="1">
        <v>3.4</v>
      </c>
      <c r="AG59" s="1">
        <v>3.6</v>
      </c>
      <c r="AH59" s="1">
        <v>2.4</v>
      </c>
      <c r="AI59" s="1">
        <v>2.6</v>
      </c>
      <c r="AJ59" s="1">
        <v>4.5999999999999996</v>
      </c>
      <c r="AK59" s="1">
        <v>6</v>
      </c>
      <c r="AL59" s="1"/>
      <c r="AM59" s="1">
        <f t="shared" si="9"/>
        <v>0</v>
      </c>
      <c r="AN59" s="1">
        <f t="shared" si="10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99</v>
      </c>
      <c r="B60" s="1" t="s">
        <v>38</v>
      </c>
      <c r="C60" s="1">
        <v>31.378</v>
      </c>
      <c r="D60" s="1">
        <v>176.779</v>
      </c>
      <c r="E60" s="1">
        <v>125.312</v>
      </c>
      <c r="F60" s="1">
        <v>80.168999999999997</v>
      </c>
      <c r="G60" s="7">
        <v>1</v>
      </c>
      <c r="H60" s="1">
        <v>40</v>
      </c>
      <c r="I60" s="10" t="s">
        <v>42</v>
      </c>
      <c r="J60" s="1"/>
      <c r="K60" s="1">
        <v>120.75</v>
      </c>
      <c r="L60" s="1">
        <f t="shared" si="15"/>
        <v>4.5619999999999976</v>
      </c>
      <c r="M60" s="1"/>
      <c r="N60" s="1"/>
      <c r="O60" s="1">
        <v>0</v>
      </c>
      <c r="P60" s="1">
        <v>0</v>
      </c>
      <c r="Q60" s="1"/>
      <c r="R60" s="1">
        <v>25.878399999999999</v>
      </c>
      <c r="S60" s="1">
        <f t="shared" si="16"/>
        <v>25.0624</v>
      </c>
      <c r="T60" s="5">
        <f>10*S60-R60-Q60-P60-O60-F60</f>
        <v>144.57659999999998</v>
      </c>
      <c r="U60" s="5">
        <f t="shared" si="11"/>
        <v>144.57659999999998</v>
      </c>
      <c r="V60" s="5">
        <f t="shared" si="7"/>
        <v>93.497687219999989</v>
      </c>
      <c r="W60" s="5">
        <f t="shared" ref="W60:W62" si="21">U60*$W$1</f>
        <v>51.078912779999996</v>
      </c>
      <c r="X60" s="18"/>
      <c r="Y60" s="18"/>
      <c r="Z60" s="1">
        <f t="shared" si="8"/>
        <v>9.9999999999999982</v>
      </c>
      <c r="AA60" s="1">
        <f t="shared" si="17"/>
        <v>4.23133458886619</v>
      </c>
      <c r="AB60" s="1">
        <v>15.049200000000001</v>
      </c>
      <c r="AC60" s="1">
        <v>12.201599999999999</v>
      </c>
      <c r="AD60" s="1">
        <v>18.538799999999998</v>
      </c>
      <c r="AE60" s="1">
        <v>17.831600000000002</v>
      </c>
      <c r="AF60" s="1">
        <v>21.148399999999999</v>
      </c>
      <c r="AG60" s="1">
        <v>25.391999999999999</v>
      </c>
      <c r="AH60" s="1">
        <v>18.513999999999999</v>
      </c>
      <c r="AI60" s="1">
        <v>18.356999999999999</v>
      </c>
      <c r="AJ60" s="1">
        <v>11.759600000000001</v>
      </c>
      <c r="AK60" s="1">
        <v>9.4784000000000006</v>
      </c>
      <c r="AL60" s="1"/>
      <c r="AM60" s="1">
        <f t="shared" si="9"/>
        <v>93</v>
      </c>
      <c r="AN60" s="1">
        <f t="shared" si="10"/>
        <v>51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100</v>
      </c>
      <c r="B61" s="1" t="s">
        <v>38</v>
      </c>
      <c r="C61" s="1">
        <v>62.03</v>
      </c>
      <c r="D61" s="1">
        <v>245.11099999999999</v>
      </c>
      <c r="E61" s="1">
        <v>178.64699999999999</v>
      </c>
      <c r="F61" s="1">
        <v>123.083</v>
      </c>
      <c r="G61" s="7">
        <v>1</v>
      </c>
      <c r="H61" s="1">
        <v>40</v>
      </c>
      <c r="I61" s="1" t="s">
        <v>39</v>
      </c>
      <c r="J61" s="1"/>
      <c r="K61" s="1">
        <v>179.2</v>
      </c>
      <c r="L61" s="1">
        <f t="shared" si="15"/>
        <v>-0.55299999999999727</v>
      </c>
      <c r="M61" s="1"/>
      <c r="N61" s="1"/>
      <c r="O61" s="1">
        <v>0</v>
      </c>
      <c r="P61" s="1">
        <v>0</v>
      </c>
      <c r="Q61" s="1"/>
      <c r="R61" s="1">
        <v>73.577639999999946</v>
      </c>
      <c r="S61" s="1">
        <f t="shared" si="16"/>
        <v>35.729399999999998</v>
      </c>
      <c r="T61" s="5">
        <f t="shared" si="14"/>
        <v>196.36276000000007</v>
      </c>
      <c r="U61" s="5">
        <f t="shared" si="11"/>
        <v>196.36276000000007</v>
      </c>
      <c r="V61" s="5">
        <f t="shared" si="7"/>
        <v>126.98779689200005</v>
      </c>
      <c r="W61" s="5">
        <f t="shared" si="21"/>
        <v>69.374963108000017</v>
      </c>
      <c r="X61" s="18"/>
      <c r="Y61" s="18"/>
      <c r="Z61" s="1">
        <f t="shared" si="8"/>
        <v>11.000000000000002</v>
      </c>
      <c r="AA61" s="1">
        <f t="shared" si="17"/>
        <v>5.5041685558671558</v>
      </c>
      <c r="AB61" s="1">
        <v>26.42</v>
      </c>
      <c r="AC61" s="1">
        <v>21.918600000000001</v>
      </c>
      <c r="AD61" s="1">
        <v>25.319600000000001</v>
      </c>
      <c r="AE61" s="1">
        <v>25.4392</v>
      </c>
      <c r="AF61" s="1">
        <v>25.886600000000001</v>
      </c>
      <c r="AG61" s="1">
        <v>33.364400000000003</v>
      </c>
      <c r="AH61" s="1">
        <v>30.392399999999999</v>
      </c>
      <c r="AI61" s="1">
        <v>17.517199999999999</v>
      </c>
      <c r="AJ61" s="1">
        <v>9.0928000000000004</v>
      </c>
      <c r="AK61" s="1">
        <v>26.732800000000001</v>
      </c>
      <c r="AL61" s="1"/>
      <c r="AM61" s="1">
        <f t="shared" si="9"/>
        <v>127</v>
      </c>
      <c r="AN61" s="1">
        <f t="shared" si="10"/>
        <v>69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101</v>
      </c>
      <c r="B62" s="1" t="s">
        <v>44</v>
      </c>
      <c r="C62" s="1">
        <v>290</v>
      </c>
      <c r="D62" s="1">
        <v>960</v>
      </c>
      <c r="E62" s="1">
        <v>166</v>
      </c>
      <c r="F62" s="1">
        <v>774</v>
      </c>
      <c r="G62" s="7">
        <v>0.4</v>
      </c>
      <c r="H62" s="1">
        <v>40</v>
      </c>
      <c r="I62" s="1" t="s">
        <v>39</v>
      </c>
      <c r="J62" s="1"/>
      <c r="K62" s="1">
        <v>650</v>
      </c>
      <c r="L62" s="1">
        <f t="shared" si="15"/>
        <v>-484</v>
      </c>
      <c r="M62" s="1"/>
      <c r="N62" s="1"/>
      <c r="O62" s="1">
        <v>0</v>
      </c>
      <c r="P62" s="1">
        <v>0</v>
      </c>
      <c r="Q62" s="1"/>
      <c r="R62" s="1">
        <v>0</v>
      </c>
      <c r="S62" s="1">
        <f t="shared" si="16"/>
        <v>33.200000000000003</v>
      </c>
      <c r="T62" s="5">
        <v>500</v>
      </c>
      <c r="U62" s="5">
        <f t="shared" si="11"/>
        <v>500</v>
      </c>
      <c r="V62" s="5">
        <f t="shared" si="7"/>
        <v>323.35000000000002</v>
      </c>
      <c r="W62" s="5">
        <f t="shared" si="21"/>
        <v>176.65</v>
      </c>
      <c r="X62" s="18"/>
      <c r="Y62" s="18"/>
      <c r="Z62" s="1">
        <f t="shared" si="8"/>
        <v>38.373493975903614</v>
      </c>
      <c r="AA62" s="1">
        <f t="shared" si="17"/>
        <v>23.31325301204819</v>
      </c>
      <c r="AB62" s="1">
        <v>31</v>
      </c>
      <c r="AC62" s="1">
        <v>15.8</v>
      </c>
      <c r="AD62" s="1">
        <v>65.599999999999994</v>
      </c>
      <c r="AE62" s="1">
        <v>92.6</v>
      </c>
      <c r="AF62" s="1">
        <v>30.4</v>
      </c>
      <c r="AG62" s="1">
        <v>50.8</v>
      </c>
      <c r="AH62" s="1">
        <v>50.2</v>
      </c>
      <c r="AI62" s="1">
        <v>31.2</v>
      </c>
      <c r="AJ62" s="1">
        <v>50.4</v>
      </c>
      <c r="AK62" s="1">
        <v>19.2</v>
      </c>
      <c r="AL62" s="17" t="s">
        <v>182</v>
      </c>
      <c r="AM62" s="1">
        <f t="shared" si="9"/>
        <v>129</v>
      </c>
      <c r="AN62" s="1">
        <f t="shared" si="10"/>
        <v>71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103</v>
      </c>
      <c r="B63" s="1" t="s">
        <v>44</v>
      </c>
      <c r="C63" s="1">
        <v>290</v>
      </c>
      <c r="D63" s="1">
        <v>204</v>
      </c>
      <c r="E63" s="1">
        <v>358</v>
      </c>
      <c r="F63" s="1">
        <v>133</v>
      </c>
      <c r="G63" s="7">
        <v>0.4</v>
      </c>
      <c r="H63" s="1">
        <v>40</v>
      </c>
      <c r="I63" s="10" t="s">
        <v>42</v>
      </c>
      <c r="J63" s="1"/>
      <c r="K63" s="1">
        <v>446</v>
      </c>
      <c r="L63" s="1">
        <f t="shared" si="15"/>
        <v>-88</v>
      </c>
      <c r="M63" s="1"/>
      <c r="N63" s="1"/>
      <c r="O63" s="1">
        <v>487.90199999999982</v>
      </c>
      <c r="P63" s="1">
        <v>100.16052400000009</v>
      </c>
      <c r="Q63" s="1">
        <v>179.6174760000001</v>
      </c>
      <c r="R63" s="1">
        <v>200.4399999999998</v>
      </c>
      <c r="S63" s="1">
        <f t="shared" si="16"/>
        <v>71.599999999999994</v>
      </c>
      <c r="T63" s="5"/>
      <c r="U63" s="5">
        <f t="shared" si="11"/>
        <v>0</v>
      </c>
      <c r="V63" s="5">
        <f t="shared" si="7"/>
        <v>0</v>
      </c>
      <c r="W63" s="5"/>
      <c r="X63" s="18"/>
      <c r="Y63" s="18"/>
      <c r="Z63" s="1">
        <f t="shared" si="8"/>
        <v>15.378770949720669</v>
      </c>
      <c r="AA63" s="1">
        <f t="shared" si="17"/>
        <v>15.378770949720669</v>
      </c>
      <c r="AB63" s="1">
        <v>105.6</v>
      </c>
      <c r="AC63" s="1">
        <v>90</v>
      </c>
      <c r="AD63" s="1">
        <v>86.6</v>
      </c>
      <c r="AE63" s="1">
        <v>60.4</v>
      </c>
      <c r="AF63" s="1">
        <v>48.4</v>
      </c>
      <c r="AG63" s="1">
        <v>73.400000000000006</v>
      </c>
      <c r="AH63" s="1">
        <v>82.2</v>
      </c>
      <c r="AI63" s="1">
        <v>73.2</v>
      </c>
      <c r="AJ63" s="1">
        <v>43.6</v>
      </c>
      <c r="AK63" s="1">
        <v>59</v>
      </c>
      <c r="AL63" s="1"/>
      <c r="AM63" s="1">
        <f t="shared" si="9"/>
        <v>0</v>
      </c>
      <c r="AN63" s="1">
        <f t="shared" si="10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104</v>
      </c>
      <c r="B64" s="1" t="s">
        <v>38</v>
      </c>
      <c r="C64" s="1">
        <v>-0.114</v>
      </c>
      <c r="D64" s="1">
        <v>354.29300000000001</v>
      </c>
      <c r="E64" s="1">
        <v>119.42400000000001</v>
      </c>
      <c r="F64" s="1">
        <v>232.93799999999999</v>
      </c>
      <c r="G64" s="7">
        <v>1</v>
      </c>
      <c r="H64" s="1">
        <v>40</v>
      </c>
      <c r="I64" s="10" t="s">
        <v>42</v>
      </c>
      <c r="J64" s="1"/>
      <c r="K64" s="1">
        <v>133.6</v>
      </c>
      <c r="L64" s="1">
        <f t="shared" si="15"/>
        <v>-14.175999999999988</v>
      </c>
      <c r="M64" s="1"/>
      <c r="N64" s="1"/>
      <c r="O64" s="1">
        <v>0</v>
      </c>
      <c r="P64" s="1">
        <v>0</v>
      </c>
      <c r="Q64" s="1"/>
      <c r="R64" s="1">
        <v>0</v>
      </c>
      <c r="S64" s="1">
        <f t="shared" si="16"/>
        <v>23.884800000000002</v>
      </c>
      <c r="T64" s="5">
        <f t="shared" si="14"/>
        <v>29.794800000000009</v>
      </c>
      <c r="U64" s="5">
        <f t="shared" si="11"/>
        <v>29.794800000000009</v>
      </c>
      <c r="V64" s="5">
        <f t="shared" si="7"/>
        <v>29.794800000000009</v>
      </c>
      <c r="W64" s="5"/>
      <c r="X64" s="18"/>
      <c r="Y64" s="18"/>
      <c r="Z64" s="1">
        <f t="shared" si="8"/>
        <v>10.999999999999998</v>
      </c>
      <c r="AA64" s="1">
        <f t="shared" si="17"/>
        <v>9.7525622990353682</v>
      </c>
      <c r="AB64" s="1">
        <v>2.0099999999999998</v>
      </c>
      <c r="AC64" s="1">
        <v>-0.17960000000000001</v>
      </c>
      <c r="AD64" s="1">
        <v>17.416</v>
      </c>
      <c r="AE64" s="1">
        <v>29.5578</v>
      </c>
      <c r="AF64" s="1">
        <v>16.490200000000002</v>
      </c>
      <c r="AG64" s="1">
        <v>4.1694000000000004</v>
      </c>
      <c r="AH64" s="1">
        <v>-0.17899999999999999</v>
      </c>
      <c r="AI64" s="1">
        <v>9.9154</v>
      </c>
      <c r="AJ64" s="1">
        <v>12.6272</v>
      </c>
      <c r="AK64" s="1">
        <v>2.1669999999999998</v>
      </c>
      <c r="AL64" s="1"/>
      <c r="AM64" s="1">
        <f t="shared" si="9"/>
        <v>30</v>
      </c>
      <c r="AN64" s="1">
        <f t="shared" si="10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105</v>
      </c>
      <c r="B65" s="1" t="s">
        <v>38</v>
      </c>
      <c r="C65" s="1">
        <v>1.4999999999999999E-2</v>
      </c>
      <c r="D65" s="1">
        <v>260.30900000000003</v>
      </c>
      <c r="E65" s="1">
        <v>115.41200000000001</v>
      </c>
      <c r="F65" s="1">
        <v>135.887</v>
      </c>
      <c r="G65" s="7">
        <v>1</v>
      </c>
      <c r="H65" s="1">
        <v>40</v>
      </c>
      <c r="I65" s="10" t="s">
        <v>42</v>
      </c>
      <c r="J65" s="1"/>
      <c r="K65" s="1">
        <v>122.1</v>
      </c>
      <c r="L65" s="1">
        <f t="shared" si="15"/>
        <v>-6.6879999999999882</v>
      </c>
      <c r="M65" s="1"/>
      <c r="N65" s="1"/>
      <c r="O65" s="1">
        <v>0</v>
      </c>
      <c r="P65" s="1">
        <v>0</v>
      </c>
      <c r="Q65" s="1"/>
      <c r="R65" s="1">
        <v>0</v>
      </c>
      <c r="S65" s="1">
        <f t="shared" si="16"/>
        <v>23.0824</v>
      </c>
      <c r="T65" s="5">
        <f t="shared" si="14"/>
        <v>118.01939999999999</v>
      </c>
      <c r="U65" s="5">
        <f t="shared" si="11"/>
        <v>118.01939999999999</v>
      </c>
      <c r="V65" s="5">
        <f t="shared" si="7"/>
        <v>76.323145979999993</v>
      </c>
      <c r="W65" s="5">
        <f t="shared" ref="W65:W66" si="22">U65*$W$1</f>
        <v>41.696254019999998</v>
      </c>
      <c r="X65" s="18"/>
      <c r="Y65" s="18"/>
      <c r="Z65" s="1">
        <f t="shared" si="8"/>
        <v>11</v>
      </c>
      <c r="AA65" s="1">
        <f t="shared" si="17"/>
        <v>5.8870394759643716</v>
      </c>
      <c r="AB65" s="1">
        <v>2.1776</v>
      </c>
      <c r="AC65" s="1">
        <v>5.6093999999999999</v>
      </c>
      <c r="AD65" s="1">
        <v>15.3596</v>
      </c>
      <c r="AE65" s="1">
        <v>19.2516</v>
      </c>
      <c r="AF65" s="1">
        <v>15.604200000000001</v>
      </c>
      <c r="AG65" s="1">
        <v>5.9226000000000001</v>
      </c>
      <c r="AH65" s="1">
        <v>0</v>
      </c>
      <c r="AI65" s="1">
        <v>-0.1804</v>
      </c>
      <c r="AJ65" s="1">
        <v>-0.1804</v>
      </c>
      <c r="AK65" s="1">
        <v>0</v>
      </c>
      <c r="AL65" s="1"/>
      <c r="AM65" s="1">
        <f t="shared" si="9"/>
        <v>76</v>
      </c>
      <c r="AN65" s="1">
        <f t="shared" si="10"/>
        <v>42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106</v>
      </c>
      <c r="B66" s="1" t="s">
        <v>38</v>
      </c>
      <c r="C66" s="1">
        <v>2.645</v>
      </c>
      <c r="D66" s="1">
        <v>42.942999999999998</v>
      </c>
      <c r="E66" s="1">
        <v>42.036000000000001</v>
      </c>
      <c r="F66" s="1">
        <v>2.637</v>
      </c>
      <c r="G66" s="7">
        <v>1</v>
      </c>
      <c r="H66" s="1">
        <v>40</v>
      </c>
      <c r="I66" s="10" t="s">
        <v>42</v>
      </c>
      <c r="J66" s="1"/>
      <c r="K66" s="1">
        <v>97.3</v>
      </c>
      <c r="L66" s="1">
        <f t="shared" si="15"/>
        <v>-55.263999999999996</v>
      </c>
      <c r="M66" s="1"/>
      <c r="N66" s="1"/>
      <c r="O66" s="1">
        <v>100</v>
      </c>
      <c r="P66" s="1">
        <v>40</v>
      </c>
      <c r="Q66" s="1"/>
      <c r="R66" s="1">
        <v>50</v>
      </c>
      <c r="S66" s="1">
        <f t="shared" si="16"/>
        <v>8.4071999999999996</v>
      </c>
      <c r="T66" s="5"/>
      <c r="U66" s="5">
        <f t="shared" ref="U66:U67" si="23">X66</f>
        <v>150</v>
      </c>
      <c r="V66" s="5">
        <f t="shared" si="7"/>
        <v>97.004999999999995</v>
      </c>
      <c r="W66" s="5">
        <f t="shared" si="22"/>
        <v>52.994999999999997</v>
      </c>
      <c r="X66" s="18">
        <f>VLOOKUP(A66,[1]Sheet!$A:$V,21,0)</f>
        <v>150</v>
      </c>
      <c r="Y66" s="18" t="str">
        <f>VLOOKUP(A66,[1]Sheet!$A:$V,22,0)</f>
        <v>Промо</v>
      </c>
      <c r="Z66" s="1">
        <f t="shared" si="8"/>
        <v>40.755186031021033</v>
      </c>
      <c r="AA66" s="1">
        <f t="shared" si="17"/>
        <v>22.913336188029309</v>
      </c>
      <c r="AB66" s="1">
        <v>-4.0000000000000002E-4</v>
      </c>
      <c r="AC66" s="1">
        <v>2.7374000000000001</v>
      </c>
      <c r="AD66" s="1">
        <v>13.338800000000001</v>
      </c>
      <c r="AE66" s="1">
        <v>10.784000000000001</v>
      </c>
      <c r="AF66" s="1">
        <v>-0.50700000000000001</v>
      </c>
      <c r="AG66" s="1">
        <v>12.529400000000001</v>
      </c>
      <c r="AH66" s="1">
        <v>13.0364</v>
      </c>
      <c r="AI66" s="1">
        <v>-0.42159999999999997</v>
      </c>
      <c r="AJ66" s="1">
        <v>-1.1474</v>
      </c>
      <c r="AK66" s="1">
        <v>-1.9256</v>
      </c>
      <c r="AL66" s="1"/>
      <c r="AM66" s="1">
        <f t="shared" si="9"/>
        <v>97</v>
      </c>
      <c r="AN66" s="1">
        <f t="shared" si="10"/>
        <v>53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107</v>
      </c>
      <c r="B67" s="1" t="s">
        <v>38</v>
      </c>
      <c r="C67" s="1">
        <v>-6.0999999999999999E-2</v>
      </c>
      <c r="D67" s="1"/>
      <c r="E67" s="1"/>
      <c r="F67" s="1">
        <v>-2.8109999999999999</v>
      </c>
      <c r="G67" s="7">
        <v>1</v>
      </c>
      <c r="H67" s="1">
        <v>40</v>
      </c>
      <c r="I67" s="10" t="s">
        <v>42</v>
      </c>
      <c r="J67" s="1"/>
      <c r="K67" s="1">
        <v>6.5</v>
      </c>
      <c r="L67" s="1">
        <f t="shared" si="15"/>
        <v>-6.5</v>
      </c>
      <c r="M67" s="1"/>
      <c r="N67" s="1"/>
      <c r="O67" s="1">
        <v>139.51259999999999</v>
      </c>
      <c r="P67" s="1">
        <v>43.228056079999988</v>
      </c>
      <c r="Q67" s="1">
        <v>77.520703919999988</v>
      </c>
      <c r="R67" s="1">
        <v>80</v>
      </c>
      <c r="S67" s="1">
        <f t="shared" si="16"/>
        <v>0</v>
      </c>
      <c r="T67" s="5"/>
      <c r="U67" s="5">
        <f t="shared" si="23"/>
        <v>100</v>
      </c>
      <c r="V67" s="5">
        <f t="shared" si="7"/>
        <v>100</v>
      </c>
      <c r="W67" s="5"/>
      <c r="X67" s="18">
        <f>VLOOKUP(A67,[1]Sheet!$A:$V,21,0)</f>
        <v>100</v>
      </c>
      <c r="Y67" s="18" t="str">
        <f>VLOOKUP(A67,[1]Sheet!$A:$V,22,0)</f>
        <v>Сеть Мера</v>
      </c>
      <c r="Z67" s="1" t="e">
        <f t="shared" si="8"/>
        <v>#DIV/0!</v>
      </c>
      <c r="AA67" s="1" t="e">
        <f t="shared" si="17"/>
        <v>#DIV/0!</v>
      </c>
      <c r="AB67" s="1">
        <v>2.1753999999999998</v>
      </c>
      <c r="AC67" s="1">
        <v>18.389600000000002</v>
      </c>
      <c r="AD67" s="1">
        <v>20.5762</v>
      </c>
      <c r="AE67" s="1">
        <v>4.3620000000000001</v>
      </c>
      <c r="AF67" s="1">
        <v>0</v>
      </c>
      <c r="AG67" s="1">
        <v>-0.18459999999999999</v>
      </c>
      <c r="AH67" s="1">
        <v>-0.18459999999999999</v>
      </c>
      <c r="AI67" s="1">
        <v>9.6046000000000014</v>
      </c>
      <c r="AJ67" s="1">
        <v>11.9552</v>
      </c>
      <c r="AK67" s="1">
        <v>1.9862</v>
      </c>
      <c r="AL67" s="1"/>
      <c r="AM67" s="1">
        <f t="shared" si="9"/>
        <v>100</v>
      </c>
      <c r="AN67" s="1">
        <f t="shared" si="10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1" t="s">
        <v>108</v>
      </c>
      <c r="B68" s="11" t="s">
        <v>44</v>
      </c>
      <c r="C68" s="11">
        <v>49</v>
      </c>
      <c r="D68" s="11"/>
      <c r="E68" s="11">
        <v>7</v>
      </c>
      <c r="F68" s="11">
        <v>42</v>
      </c>
      <c r="G68" s="12">
        <v>0</v>
      </c>
      <c r="H68" s="11">
        <v>70</v>
      </c>
      <c r="I68" s="11" t="s">
        <v>109</v>
      </c>
      <c r="J68" s="11"/>
      <c r="K68" s="11">
        <v>6.8</v>
      </c>
      <c r="L68" s="11">
        <f t="shared" si="15"/>
        <v>0.20000000000000018</v>
      </c>
      <c r="M68" s="11"/>
      <c r="N68" s="11"/>
      <c r="O68" s="11">
        <v>0</v>
      </c>
      <c r="P68" s="11">
        <v>0</v>
      </c>
      <c r="Q68" s="11"/>
      <c r="R68" s="11">
        <v>0</v>
      </c>
      <c r="S68" s="11">
        <f t="shared" si="16"/>
        <v>1.4</v>
      </c>
      <c r="T68" s="13"/>
      <c r="U68" s="5">
        <f t="shared" si="11"/>
        <v>0</v>
      </c>
      <c r="V68" s="5">
        <f t="shared" si="7"/>
        <v>0</v>
      </c>
      <c r="W68" s="5"/>
      <c r="X68" s="18"/>
      <c r="Y68" s="18"/>
      <c r="Z68" s="1">
        <f t="shared" si="8"/>
        <v>30.000000000000004</v>
      </c>
      <c r="AA68" s="11">
        <f t="shared" si="17"/>
        <v>30.000000000000004</v>
      </c>
      <c r="AB68" s="11">
        <v>2.2000000000000002</v>
      </c>
      <c r="AC68" s="11">
        <v>3.4</v>
      </c>
      <c r="AD68" s="11">
        <v>2.8</v>
      </c>
      <c r="AE68" s="11">
        <v>1.4</v>
      </c>
      <c r="AF68" s="11">
        <v>2</v>
      </c>
      <c r="AG68" s="11">
        <v>5.4</v>
      </c>
      <c r="AH68" s="11">
        <v>5.2</v>
      </c>
      <c r="AI68" s="11">
        <v>1.2</v>
      </c>
      <c r="AJ68" s="11">
        <v>1.8</v>
      </c>
      <c r="AK68" s="11">
        <v>2.6</v>
      </c>
      <c r="AL68" s="14" t="s">
        <v>102</v>
      </c>
      <c r="AM68" s="1">
        <f t="shared" si="9"/>
        <v>0</v>
      </c>
      <c r="AN68" s="1">
        <f t="shared" si="10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110</v>
      </c>
      <c r="B69" s="1" t="s">
        <v>38</v>
      </c>
      <c r="C69" s="1">
        <v>22.681999999999999</v>
      </c>
      <c r="D69" s="1">
        <v>229.54</v>
      </c>
      <c r="E69" s="1">
        <v>21.474</v>
      </c>
      <c r="F69" s="1">
        <v>205.81</v>
      </c>
      <c r="G69" s="7">
        <v>1</v>
      </c>
      <c r="H69" s="1">
        <v>30</v>
      </c>
      <c r="I69" s="9" t="s">
        <v>64</v>
      </c>
      <c r="J69" s="1"/>
      <c r="K69" s="1">
        <v>64.349999999999994</v>
      </c>
      <c r="L69" s="1">
        <f t="shared" si="15"/>
        <v>-42.875999999999991</v>
      </c>
      <c r="M69" s="1"/>
      <c r="N69" s="1"/>
      <c r="O69" s="1">
        <v>0</v>
      </c>
      <c r="P69" s="1">
        <v>0</v>
      </c>
      <c r="Q69" s="1"/>
      <c r="R69" s="1">
        <v>0</v>
      </c>
      <c r="S69" s="1">
        <f t="shared" si="16"/>
        <v>4.2948000000000004</v>
      </c>
      <c r="T69" s="5"/>
      <c r="U69" s="5">
        <f t="shared" si="11"/>
        <v>0</v>
      </c>
      <c r="V69" s="5">
        <f t="shared" si="7"/>
        <v>0</v>
      </c>
      <c r="W69" s="5"/>
      <c r="X69" s="18"/>
      <c r="Y69" s="18"/>
      <c r="Z69" s="1">
        <f t="shared" si="8"/>
        <v>47.920741361646641</v>
      </c>
      <c r="AA69" s="1">
        <f t="shared" si="17"/>
        <v>47.920741361646641</v>
      </c>
      <c r="AB69" s="1">
        <v>8.5107999999999997</v>
      </c>
      <c r="AC69" s="1">
        <v>6.101</v>
      </c>
      <c r="AD69" s="1">
        <v>20.2256</v>
      </c>
      <c r="AE69" s="1">
        <v>33.010000000000012</v>
      </c>
      <c r="AF69" s="1">
        <v>46.162199999999999</v>
      </c>
      <c r="AG69" s="1">
        <v>67.846599999999995</v>
      </c>
      <c r="AH69" s="1">
        <v>64.872</v>
      </c>
      <c r="AI69" s="1">
        <v>28.677600000000002</v>
      </c>
      <c r="AJ69" s="1">
        <v>16.969799999999999</v>
      </c>
      <c r="AK69" s="1">
        <v>56.541999999999987</v>
      </c>
      <c r="AL69" s="1" t="s">
        <v>111</v>
      </c>
      <c r="AM69" s="1">
        <f t="shared" si="9"/>
        <v>0</v>
      </c>
      <c r="AN69" s="1">
        <f t="shared" si="10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1" t="s">
        <v>112</v>
      </c>
      <c r="B70" s="11" t="s">
        <v>44</v>
      </c>
      <c r="C70" s="11"/>
      <c r="D70" s="11">
        <v>96</v>
      </c>
      <c r="E70" s="11">
        <v>32</v>
      </c>
      <c r="F70" s="11">
        <v>64</v>
      </c>
      <c r="G70" s="12">
        <v>0</v>
      </c>
      <c r="H70" s="11"/>
      <c r="I70" s="11" t="s">
        <v>39</v>
      </c>
      <c r="J70" s="11"/>
      <c r="K70" s="11">
        <v>26</v>
      </c>
      <c r="L70" s="11">
        <f t="shared" ref="L70:L101" si="24">E70-K70</f>
        <v>6</v>
      </c>
      <c r="M70" s="11"/>
      <c r="N70" s="11"/>
      <c r="O70" s="11">
        <v>0</v>
      </c>
      <c r="P70" s="11">
        <v>0</v>
      </c>
      <c r="Q70" s="11"/>
      <c r="R70" s="11">
        <v>0</v>
      </c>
      <c r="S70" s="11">
        <f t="shared" ref="S70:S101" si="25">E70/5</f>
        <v>6.4</v>
      </c>
      <c r="T70" s="13"/>
      <c r="U70" s="5">
        <f t="shared" si="11"/>
        <v>0</v>
      </c>
      <c r="V70" s="5">
        <f t="shared" si="7"/>
        <v>0</v>
      </c>
      <c r="W70" s="5"/>
      <c r="X70" s="18"/>
      <c r="Y70" s="18"/>
      <c r="Z70" s="1">
        <f t="shared" si="8"/>
        <v>10</v>
      </c>
      <c r="AA70" s="11">
        <f t="shared" ref="AA70:AA101" si="26">(F70+O70+P70+Q70+R70)/S70</f>
        <v>10</v>
      </c>
      <c r="AB70" s="11">
        <v>0.8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 t="s">
        <v>49</v>
      </c>
      <c r="AM70" s="1">
        <f t="shared" si="9"/>
        <v>0</v>
      </c>
      <c r="AN70" s="1">
        <f t="shared" si="10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113</v>
      </c>
      <c r="B71" s="1" t="s">
        <v>44</v>
      </c>
      <c r="C71" s="1">
        <v>46</v>
      </c>
      <c r="D71" s="1">
        <v>152</v>
      </c>
      <c r="E71" s="1">
        <v>153</v>
      </c>
      <c r="F71" s="1">
        <v>45</v>
      </c>
      <c r="G71" s="7">
        <v>0.6</v>
      </c>
      <c r="H71" s="1">
        <v>60</v>
      </c>
      <c r="I71" s="1" t="s">
        <v>39</v>
      </c>
      <c r="J71" s="1"/>
      <c r="K71" s="1">
        <v>117</v>
      </c>
      <c r="L71" s="1">
        <f t="shared" si="24"/>
        <v>36</v>
      </c>
      <c r="M71" s="1"/>
      <c r="N71" s="1"/>
      <c r="O71" s="1">
        <v>99.200000000000017</v>
      </c>
      <c r="P71" s="1">
        <v>86.039999999999964</v>
      </c>
      <c r="Q71" s="1"/>
      <c r="R71" s="1">
        <v>0</v>
      </c>
      <c r="S71" s="1">
        <f t="shared" si="25"/>
        <v>30.6</v>
      </c>
      <c r="T71" s="5">
        <f t="shared" ref="T71" si="27">11*S71-R71-Q71-P71-O71-F71</f>
        <v>106.36000000000004</v>
      </c>
      <c r="U71" s="5">
        <f t="shared" ref="U71:U131" si="28">T71</f>
        <v>106.36000000000004</v>
      </c>
      <c r="V71" s="5">
        <f t="shared" ref="V71:V131" si="29">U71-W71</f>
        <v>68.783012000000028</v>
      </c>
      <c r="W71" s="5">
        <f>U71*$W$1</f>
        <v>37.576988000000014</v>
      </c>
      <c r="X71" s="18"/>
      <c r="Y71" s="18"/>
      <c r="Z71" s="1">
        <f t="shared" ref="Z71:Z131" si="30">(F71+O71+P71+Q71+R71+U71)/S71</f>
        <v>11</v>
      </c>
      <c r="AA71" s="1">
        <f t="shared" si="26"/>
        <v>7.5241830065359467</v>
      </c>
      <c r="AB71" s="1">
        <v>18.2</v>
      </c>
      <c r="AC71" s="1">
        <v>16.399999999999999</v>
      </c>
      <c r="AD71" s="1">
        <v>19.600000000000001</v>
      </c>
      <c r="AE71" s="1">
        <v>4.8</v>
      </c>
      <c r="AF71" s="1">
        <v>2.6</v>
      </c>
      <c r="AG71" s="1">
        <v>6.4</v>
      </c>
      <c r="AH71" s="1">
        <v>4.4000000000000004</v>
      </c>
      <c r="AI71" s="1">
        <v>12.2</v>
      </c>
      <c r="AJ71" s="1">
        <v>12.4</v>
      </c>
      <c r="AK71" s="1">
        <v>9.4</v>
      </c>
      <c r="AL71" s="1"/>
      <c r="AM71" s="1">
        <f t="shared" ref="AM71:AN131" si="31">ROUND(G71*V71,0)</f>
        <v>41</v>
      </c>
      <c r="AN71" s="1">
        <f t="shared" ref="AN71:AN131" si="32">ROUND(G71*W71,0)</f>
        <v>23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114</v>
      </c>
      <c r="B72" s="1" t="s">
        <v>44</v>
      </c>
      <c r="C72" s="1">
        <v>143</v>
      </c>
      <c r="D72" s="1">
        <v>9</v>
      </c>
      <c r="E72" s="1">
        <v>59</v>
      </c>
      <c r="F72" s="1">
        <v>84</v>
      </c>
      <c r="G72" s="7">
        <v>0.4</v>
      </c>
      <c r="H72" s="1">
        <v>90</v>
      </c>
      <c r="I72" s="1" t="s">
        <v>39</v>
      </c>
      <c r="J72" s="1"/>
      <c r="K72" s="1">
        <v>58</v>
      </c>
      <c r="L72" s="1">
        <f t="shared" si="24"/>
        <v>1</v>
      </c>
      <c r="M72" s="1"/>
      <c r="N72" s="1"/>
      <c r="O72" s="1">
        <v>0</v>
      </c>
      <c r="P72" s="1">
        <v>53.400000000000013</v>
      </c>
      <c r="Q72" s="1"/>
      <c r="R72" s="1">
        <v>32.200000000000017</v>
      </c>
      <c r="S72" s="1">
        <f t="shared" si="25"/>
        <v>11.8</v>
      </c>
      <c r="T72" s="5"/>
      <c r="U72" s="5">
        <f t="shared" si="28"/>
        <v>0</v>
      </c>
      <c r="V72" s="5">
        <f t="shared" si="29"/>
        <v>0</v>
      </c>
      <c r="W72" s="5"/>
      <c r="X72" s="18"/>
      <c r="Y72" s="18"/>
      <c r="Z72" s="1">
        <f t="shared" si="30"/>
        <v>14.372881355932204</v>
      </c>
      <c r="AA72" s="1">
        <f t="shared" si="26"/>
        <v>14.372881355932204</v>
      </c>
      <c r="AB72" s="1">
        <v>15.8</v>
      </c>
      <c r="AC72" s="1">
        <v>14</v>
      </c>
      <c r="AD72" s="1">
        <v>12.4</v>
      </c>
      <c r="AE72" s="1">
        <v>11.4</v>
      </c>
      <c r="AF72" s="1">
        <v>7.4</v>
      </c>
      <c r="AG72" s="1">
        <v>9.6</v>
      </c>
      <c r="AH72" s="1">
        <v>19.2</v>
      </c>
      <c r="AI72" s="1">
        <v>22</v>
      </c>
      <c r="AJ72" s="1">
        <v>22.8</v>
      </c>
      <c r="AK72" s="1">
        <v>20</v>
      </c>
      <c r="AL72" s="1"/>
      <c r="AM72" s="1">
        <f t="shared" si="31"/>
        <v>0</v>
      </c>
      <c r="AN72" s="1">
        <f t="shared" si="32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115</v>
      </c>
      <c r="B73" s="1" t="s">
        <v>44</v>
      </c>
      <c r="C73" s="1">
        <v>176</v>
      </c>
      <c r="D73" s="1">
        <v>136</v>
      </c>
      <c r="E73" s="1">
        <v>117</v>
      </c>
      <c r="F73" s="1">
        <v>191</v>
      </c>
      <c r="G73" s="7">
        <v>0.33</v>
      </c>
      <c r="H73" s="1">
        <v>60</v>
      </c>
      <c r="I73" s="10" t="s">
        <v>42</v>
      </c>
      <c r="J73" s="1"/>
      <c r="K73" s="1">
        <v>112</v>
      </c>
      <c r="L73" s="1">
        <f t="shared" si="24"/>
        <v>5</v>
      </c>
      <c r="M73" s="1"/>
      <c r="N73" s="1"/>
      <c r="O73" s="1">
        <v>8</v>
      </c>
      <c r="P73" s="1">
        <v>37.697400000000023</v>
      </c>
      <c r="Q73" s="1">
        <v>67.602600000000024</v>
      </c>
      <c r="R73" s="1">
        <v>29.21999999999991</v>
      </c>
      <c r="S73" s="1">
        <f t="shared" si="25"/>
        <v>23.4</v>
      </c>
      <c r="T73" s="5"/>
      <c r="U73" s="5">
        <f t="shared" si="28"/>
        <v>0</v>
      </c>
      <c r="V73" s="5">
        <f t="shared" si="29"/>
        <v>0</v>
      </c>
      <c r="W73" s="5"/>
      <c r="X73" s="18"/>
      <c r="Y73" s="18"/>
      <c r="Z73" s="1">
        <f t="shared" si="30"/>
        <v>14.252991452991454</v>
      </c>
      <c r="AA73" s="1">
        <f t="shared" si="26"/>
        <v>14.252991452991454</v>
      </c>
      <c r="AB73" s="1">
        <v>29.2</v>
      </c>
      <c r="AC73" s="1">
        <v>29.8</v>
      </c>
      <c r="AD73" s="1">
        <v>30.6</v>
      </c>
      <c r="AE73" s="1">
        <v>31.6</v>
      </c>
      <c r="AF73" s="1">
        <v>20.6</v>
      </c>
      <c r="AG73" s="1">
        <v>5.4</v>
      </c>
      <c r="AH73" s="1">
        <v>20.8</v>
      </c>
      <c r="AI73" s="1">
        <v>42.2</v>
      </c>
      <c r="AJ73" s="1">
        <v>45</v>
      </c>
      <c r="AK73" s="1">
        <v>41.8</v>
      </c>
      <c r="AL73" s="1"/>
      <c r="AM73" s="1">
        <f t="shared" si="31"/>
        <v>0</v>
      </c>
      <c r="AN73" s="1">
        <f t="shared" si="32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116</v>
      </c>
      <c r="B74" s="1" t="s">
        <v>44</v>
      </c>
      <c r="C74" s="1">
        <v>91</v>
      </c>
      <c r="D74" s="1">
        <v>65</v>
      </c>
      <c r="E74" s="1">
        <v>71</v>
      </c>
      <c r="F74" s="1">
        <v>83</v>
      </c>
      <c r="G74" s="7">
        <v>0.35</v>
      </c>
      <c r="H74" s="1">
        <v>90</v>
      </c>
      <c r="I74" s="1" t="s">
        <v>39</v>
      </c>
      <c r="J74" s="1"/>
      <c r="K74" s="1">
        <v>70</v>
      </c>
      <c r="L74" s="1">
        <f t="shared" si="24"/>
        <v>1</v>
      </c>
      <c r="M74" s="1"/>
      <c r="N74" s="1"/>
      <c r="O74" s="1">
        <v>0</v>
      </c>
      <c r="P74" s="1">
        <v>41.334680000000013</v>
      </c>
      <c r="Q74" s="1">
        <v>74.125320000000031</v>
      </c>
      <c r="R74" s="1">
        <v>16.33999999999995</v>
      </c>
      <c r="S74" s="1">
        <f t="shared" si="25"/>
        <v>14.2</v>
      </c>
      <c r="T74" s="5"/>
      <c r="U74" s="5">
        <f t="shared" si="28"/>
        <v>0</v>
      </c>
      <c r="V74" s="5">
        <f t="shared" si="29"/>
        <v>0</v>
      </c>
      <c r="W74" s="5"/>
      <c r="X74" s="18"/>
      <c r="Y74" s="18"/>
      <c r="Z74" s="1">
        <f t="shared" si="30"/>
        <v>15.126760563380282</v>
      </c>
      <c r="AA74" s="1">
        <f t="shared" si="26"/>
        <v>15.126760563380282</v>
      </c>
      <c r="AB74" s="1">
        <v>19.399999999999999</v>
      </c>
      <c r="AC74" s="1">
        <v>18.600000000000001</v>
      </c>
      <c r="AD74" s="1">
        <v>14.6</v>
      </c>
      <c r="AE74" s="1">
        <v>12</v>
      </c>
      <c r="AF74" s="1">
        <v>18.2</v>
      </c>
      <c r="AG74" s="1">
        <v>18</v>
      </c>
      <c r="AH74" s="1">
        <v>19.399999999999999</v>
      </c>
      <c r="AI74" s="1">
        <v>18.600000000000001</v>
      </c>
      <c r="AJ74" s="1">
        <v>22.4</v>
      </c>
      <c r="AK74" s="1">
        <v>23.8</v>
      </c>
      <c r="AL74" s="1"/>
      <c r="AM74" s="1">
        <f t="shared" si="31"/>
        <v>0</v>
      </c>
      <c r="AN74" s="1">
        <f t="shared" si="32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117</v>
      </c>
      <c r="B75" s="1" t="s">
        <v>44</v>
      </c>
      <c r="C75" s="1"/>
      <c r="D75" s="1">
        <v>150</v>
      </c>
      <c r="E75" s="1">
        <v>33</v>
      </c>
      <c r="F75" s="1">
        <v>117</v>
      </c>
      <c r="G75" s="7">
        <v>0.37</v>
      </c>
      <c r="H75" s="1">
        <v>50</v>
      </c>
      <c r="I75" s="9" t="s">
        <v>64</v>
      </c>
      <c r="J75" s="1"/>
      <c r="K75" s="1">
        <v>27</v>
      </c>
      <c r="L75" s="1">
        <f t="shared" si="24"/>
        <v>6</v>
      </c>
      <c r="M75" s="1"/>
      <c r="N75" s="1"/>
      <c r="O75" s="1">
        <v>0</v>
      </c>
      <c r="P75" s="1">
        <v>0</v>
      </c>
      <c r="Q75" s="1"/>
      <c r="R75" s="1">
        <v>0</v>
      </c>
      <c r="S75" s="1">
        <f t="shared" si="25"/>
        <v>6.6</v>
      </c>
      <c r="T75" s="5"/>
      <c r="U75" s="5">
        <f t="shared" si="28"/>
        <v>0</v>
      </c>
      <c r="V75" s="5">
        <f t="shared" si="29"/>
        <v>0</v>
      </c>
      <c r="W75" s="5"/>
      <c r="X75" s="18"/>
      <c r="Y75" s="18"/>
      <c r="Z75" s="1">
        <f t="shared" si="30"/>
        <v>17.727272727272727</v>
      </c>
      <c r="AA75" s="1">
        <f t="shared" si="26"/>
        <v>17.727272727272727</v>
      </c>
      <c r="AB75" s="1">
        <v>0</v>
      </c>
      <c r="AC75" s="1">
        <v>0</v>
      </c>
      <c r="AD75" s="1">
        <v>11.8</v>
      </c>
      <c r="AE75" s="1">
        <v>14.4</v>
      </c>
      <c r="AF75" s="1">
        <v>9.8000000000000007</v>
      </c>
      <c r="AG75" s="1">
        <v>15.8</v>
      </c>
      <c r="AH75" s="1">
        <v>15</v>
      </c>
      <c r="AI75" s="1">
        <v>26</v>
      </c>
      <c r="AJ75" s="1">
        <v>27.8</v>
      </c>
      <c r="AK75" s="1">
        <v>18.2</v>
      </c>
      <c r="AL75" s="1" t="s">
        <v>118</v>
      </c>
      <c r="AM75" s="1">
        <f t="shared" si="31"/>
        <v>0</v>
      </c>
      <c r="AN75" s="1">
        <f t="shared" si="32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1" t="s">
        <v>119</v>
      </c>
      <c r="B76" s="11" t="s">
        <v>44</v>
      </c>
      <c r="C76" s="11"/>
      <c r="D76" s="11">
        <v>56</v>
      </c>
      <c r="E76" s="11">
        <v>30</v>
      </c>
      <c r="F76" s="11">
        <v>26</v>
      </c>
      <c r="G76" s="12">
        <v>0.6</v>
      </c>
      <c r="H76" s="11"/>
      <c r="I76" s="11" t="s">
        <v>39</v>
      </c>
      <c r="J76" s="11"/>
      <c r="K76" s="11">
        <v>24</v>
      </c>
      <c r="L76" s="11">
        <f t="shared" si="24"/>
        <v>6</v>
      </c>
      <c r="M76" s="11"/>
      <c r="N76" s="11"/>
      <c r="O76" s="11">
        <v>0</v>
      </c>
      <c r="P76" s="11">
        <v>0</v>
      </c>
      <c r="Q76" s="11"/>
      <c r="R76" s="11">
        <v>0</v>
      </c>
      <c r="S76" s="11">
        <f t="shared" si="25"/>
        <v>6</v>
      </c>
      <c r="T76" s="13"/>
      <c r="U76" s="5">
        <f>X76</f>
        <v>40</v>
      </c>
      <c r="V76" s="5">
        <f t="shared" si="29"/>
        <v>40</v>
      </c>
      <c r="W76" s="5"/>
      <c r="X76" s="18">
        <f>VLOOKUP(A76,[1]Sheet!$A:$V,21,0)</f>
        <v>40</v>
      </c>
      <c r="Y76" s="18" t="str">
        <f>VLOOKUP(A76,[1]Sheet!$A:$V,22,0)</f>
        <v>Сеть Мера</v>
      </c>
      <c r="Z76" s="1">
        <f t="shared" si="30"/>
        <v>11</v>
      </c>
      <c r="AA76" s="11">
        <f t="shared" si="26"/>
        <v>4.333333333333333</v>
      </c>
      <c r="AB76" s="11">
        <v>0.8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 t="s">
        <v>187</v>
      </c>
      <c r="AM76" s="1">
        <f t="shared" si="31"/>
        <v>24</v>
      </c>
      <c r="AN76" s="1">
        <f t="shared" si="32"/>
        <v>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120</v>
      </c>
      <c r="B77" s="1" t="s">
        <v>44</v>
      </c>
      <c r="C77" s="1">
        <v>54</v>
      </c>
      <c r="D77" s="1">
        <v>96</v>
      </c>
      <c r="E77" s="1">
        <v>78</v>
      </c>
      <c r="F77" s="1">
        <v>71</v>
      </c>
      <c r="G77" s="7">
        <v>0.33</v>
      </c>
      <c r="H77" s="1">
        <v>40</v>
      </c>
      <c r="I77" s="1" t="s">
        <v>39</v>
      </c>
      <c r="J77" s="1"/>
      <c r="K77" s="1">
        <v>83</v>
      </c>
      <c r="L77" s="1">
        <f t="shared" si="24"/>
        <v>-5</v>
      </c>
      <c r="M77" s="1"/>
      <c r="N77" s="1"/>
      <c r="O77" s="1">
        <v>156.91999999999999</v>
      </c>
      <c r="P77" s="1">
        <v>0</v>
      </c>
      <c r="Q77" s="1"/>
      <c r="R77" s="1">
        <v>0</v>
      </c>
      <c r="S77" s="1">
        <f t="shared" si="25"/>
        <v>15.6</v>
      </c>
      <c r="T77" s="5"/>
      <c r="U77" s="5">
        <f t="shared" si="28"/>
        <v>0</v>
      </c>
      <c r="V77" s="5">
        <f t="shared" si="29"/>
        <v>0</v>
      </c>
      <c r="W77" s="5"/>
      <c r="X77" s="18"/>
      <c r="Y77" s="18"/>
      <c r="Z77" s="1">
        <f t="shared" si="30"/>
        <v>14.61025641025641</v>
      </c>
      <c r="AA77" s="1">
        <f t="shared" si="26"/>
        <v>14.61025641025641</v>
      </c>
      <c r="AB77" s="1">
        <v>20</v>
      </c>
      <c r="AC77" s="1">
        <v>23.8</v>
      </c>
      <c r="AD77" s="1">
        <v>26.8</v>
      </c>
      <c r="AE77" s="1">
        <v>17.600000000000001</v>
      </c>
      <c r="AF77" s="1">
        <v>13</v>
      </c>
      <c r="AG77" s="1">
        <v>15.2</v>
      </c>
      <c r="AH77" s="1">
        <v>20.8</v>
      </c>
      <c r="AI77" s="1">
        <v>14.8</v>
      </c>
      <c r="AJ77" s="1">
        <v>0.2</v>
      </c>
      <c r="AK77" s="1">
        <v>11.2</v>
      </c>
      <c r="AL77" s="1"/>
      <c r="AM77" s="1">
        <f t="shared" si="31"/>
        <v>0</v>
      </c>
      <c r="AN77" s="1">
        <f t="shared" si="32"/>
        <v>0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121</v>
      </c>
      <c r="B78" s="1" t="s">
        <v>44</v>
      </c>
      <c r="C78" s="1">
        <v>8</v>
      </c>
      <c r="D78" s="1">
        <v>12</v>
      </c>
      <c r="E78" s="1">
        <v>10</v>
      </c>
      <c r="F78" s="1">
        <v>8</v>
      </c>
      <c r="G78" s="7">
        <v>0.4</v>
      </c>
      <c r="H78" s="1">
        <v>55</v>
      </c>
      <c r="I78" s="10" t="s">
        <v>42</v>
      </c>
      <c r="J78" s="1"/>
      <c r="K78" s="1">
        <v>14</v>
      </c>
      <c r="L78" s="1">
        <f t="shared" si="24"/>
        <v>-4</v>
      </c>
      <c r="M78" s="1"/>
      <c r="N78" s="1"/>
      <c r="O78" s="1">
        <v>168.6</v>
      </c>
      <c r="P78" s="1">
        <v>59.519999999999968</v>
      </c>
      <c r="Q78" s="1"/>
      <c r="R78" s="1">
        <v>0</v>
      </c>
      <c r="S78" s="1">
        <f t="shared" si="25"/>
        <v>2</v>
      </c>
      <c r="T78" s="5"/>
      <c r="U78" s="5">
        <f t="shared" si="28"/>
        <v>0</v>
      </c>
      <c r="V78" s="5">
        <f t="shared" si="29"/>
        <v>0</v>
      </c>
      <c r="W78" s="5"/>
      <c r="X78" s="18"/>
      <c r="Y78" s="18"/>
      <c r="Z78" s="1">
        <f t="shared" si="30"/>
        <v>118.05999999999997</v>
      </c>
      <c r="AA78" s="1">
        <f t="shared" si="26"/>
        <v>118.05999999999997</v>
      </c>
      <c r="AB78" s="1">
        <v>2.8</v>
      </c>
      <c r="AC78" s="1">
        <v>17.2</v>
      </c>
      <c r="AD78" s="1">
        <v>25</v>
      </c>
      <c r="AE78" s="1">
        <v>9.4</v>
      </c>
      <c r="AF78" s="1">
        <v>0.6</v>
      </c>
      <c r="AG78" s="1">
        <v>0.2</v>
      </c>
      <c r="AH78" s="1">
        <v>0.2</v>
      </c>
      <c r="AI78" s="1">
        <v>12.6</v>
      </c>
      <c r="AJ78" s="1">
        <v>15.4</v>
      </c>
      <c r="AK78" s="1">
        <v>12.6</v>
      </c>
      <c r="AL78" s="1" t="s">
        <v>122</v>
      </c>
      <c r="AM78" s="1">
        <f t="shared" si="31"/>
        <v>0</v>
      </c>
      <c r="AN78" s="1">
        <f t="shared" si="32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123</v>
      </c>
      <c r="B79" s="1" t="s">
        <v>44</v>
      </c>
      <c r="C79" s="1">
        <v>4</v>
      </c>
      <c r="D79" s="1">
        <v>50</v>
      </c>
      <c r="E79" s="1">
        <v>6</v>
      </c>
      <c r="F79" s="1">
        <v>48</v>
      </c>
      <c r="G79" s="7">
        <v>0.35</v>
      </c>
      <c r="H79" s="1">
        <v>40</v>
      </c>
      <c r="I79" s="10" t="s">
        <v>42</v>
      </c>
      <c r="J79" s="1"/>
      <c r="K79" s="1">
        <v>6</v>
      </c>
      <c r="L79" s="1">
        <f t="shared" si="24"/>
        <v>0</v>
      </c>
      <c r="M79" s="1"/>
      <c r="N79" s="1"/>
      <c r="O79" s="1">
        <v>19.199999999999989</v>
      </c>
      <c r="P79" s="1">
        <v>0</v>
      </c>
      <c r="Q79" s="1"/>
      <c r="R79" s="1">
        <v>0</v>
      </c>
      <c r="S79" s="1">
        <f t="shared" si="25"/>
        <v>1.2</v>
      </c>
      <c r="T79" s="5"/>
      <c r="U79" s="5">
        <f t="shared" si="28"/>
        <v>0</v>
      </c>
      <c r="V79" s="5">
        <f t="shared" si="29"/>
        <v>0</v>
      </c>
      <c r="W79" s="5"/>
      <c r="X79" s="18"/>
      <c r="Y79" s="18"/>
      <c r="Z79" s="1">
        <f t="shared" si="30"/>
        <v>55.999999999999993</v>
      </c>
      <c r="AA79" s="1">
        <f t="shared" si="26"/>
        <v>55.999999999999993</v>
      </c>
      <c r="AB79" s="1">
        <v>2.6</v>
      </c>
      <c r="AC79" s="1">
        <v>3.6</v>
      </c>
      <c r="AD79" s="1">
        <v>5.6</v>
      </c>
      <c r="AE79" s="1">
        <v>6</v>
      </c>
      <c r="AF79" s="1">
        <v>2.6</v>
      </c>
      <c r="AG79" s="1">
        <v>0</v>
      </c>
      <c r="AH79" s="1">
        <v>0</v>
      </c>
      <c r="AI79" s="1">
        <v>-0.2</v>
      </c>
      <c r="AJ79" s="1">
        <v>-0.2</v>
      </c>
      <c r="AK79" s="1">
        <v>0</v>
      </c>
      <c r="AL79" s="1"/>
      <c r="AM79" s="1">
        <f t="shared" si="31"/>
        <v>0</v>
      </c>
      <c r="AN79" s="1">
        <f t="shared" si="32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124</v>
      </c>
      <c r="B80" s="1" t="s">
        <v>44</v>
      </c>
      <c r="C80" s="1">
        <v>75</v>
      </c>
      <c r="D80" s="1">
        <v>2</v>
      </c>
      <c r="E80" s="1">
        <v>22</v>
      </c>
      <c r="F80" s="1">
        <v>55</v>
      </c>
      <c r="G80" s="7">
        <v>0.35</v>
      </c>
      <c r="H80" s="1">
        <v>45</v>
      </c>
      <c r="I80" s="10" t="s">
        <v>42</v>
      </c>
      <c r="J80" s="1"/>
      <c r="K80" s="1">
        <v>22</v>
      </c>
      <c r="L80" s="1">
        <f t="shared" si="24"/>
        <v>0</v>
      </c>
      <c r="M80" s="1"/>
      <c r="N80" s="1"/>
      <c r="O80" s="1">
        <v>0</v>
      </c>
      <c r="P80" s="1">
        <v>0</v>
      </c>
      <c r="Q80" s="1"/>
      <c r="R80" s="1">
        <v>10.599999999999991</v>
      </c>
      <c r="S80" s="1">
        <f t="shared" si="25"/>
        <v>4.4000000000000004</v>
      </c>
      <c r="T80" s="5"/>
      <c r="U80" s="5">
        <f t="shared" si="28"/>
        <v>0</v>
      </c>
      <c r="V80" s="5">
        <f t="shared" si="29"/>
        <v>0</v>
      </c>
      <c r="W80" s="5"/>
      <c r="X80" s="18"/>
      <c r="Y80" s="18"/>
      <c r="Z80" s="1">
        <f t="shared" si="30"/>
        <v>14.909090909090907</v>
      </c>
      <c r="AA80" s="1">
        <f t="shared" si="26"/>
        <v>14.909090909090907</v>
      </c>
      <c r="AB80" s="1">
        <v>5.8</v>
      </c>
      <c r="AC80" s="1">
        <v>4.2</v>
      </c>
      <c r="AD80" s="1">
        <v>5.2</v>
      </c>
      <c r="AE80" s="1">
        <v>5.8</v>
      </c>
      <c r="AF80" s="1">
        <v>2.8</v>
      </c>
      <c r="AG80" s="1">
        <v>3.6</v>
      </c>
      <c r="AH80" s="1">
        <v>8</v>
      </c>
      <c r="AI80" s="1">
        <v>7.8</v>
      </c>
      <c r="AJ80" s="1">
        <v>2.8</v>
      </c>
      <c r="AK80" s="1">
        <v>2.6</v>
      </c>
      <c r="AL80" s="1"/>
      <c r="AM80" s="1">
        <f t="shared" si="31"/>
        <v>0</v>
      </c>
      <c r="AN80" s="1">
        <f t="shared" si="32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1" t="s">
        <v>125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24"/>
        <v>0</v>
      </c>
      <c r="M81" s="11"/>
      <c r="N81" s="11"/>
      <c r="O81" s="11">
        <v>0</v>
      </c>
      <c r="P81" s="11">
        <v>0</v>
      </c>
      <c r="Q81" s="11"/>
      <c r="R81" s="11">
        <v>0</v>
      </c>
      <c r="S81" s="11">
        <f t="shared" si="25"/>
        <v>0</v>
      </c>
      <c r="T81" s="13"/>
      <c r="U81" s="5">
        <f t="shared" si="28"/>
        <v>0</v>
      </c>
      <c r="V81" s="5">
        <f t="shared" si="29"/>
        <v>0</v>
      </c>
      <c r="W81" s="5"/>
      <c r="X81" s="18"/>
      <c r="Y81" s="18"/>
      <c r="Z81" s="1" t="e">
        <f t="shared" si="30"/>
        <v>#DIV/0!</v>
      </c>
      <c r="AA81" s="11" t="e">
        <f t="shared" si="26"/>
        <v>#DIV/0!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 t="s">
        <v>49</v>
      </c>
      <c r="AM81" s="1">
        <f t="shared" si="31"/>
        <v>0</v>
      </c>
      <c r="AN81" s="1">
        <f t="shared" si="32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126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24"/>
        <v>0</v>
      </c>
      <c r="M82" s="11"/>
      <c r="N82" s="11"/>
      <c r="O82" s="11">
        <v>0</v>
      </c>
      <c r="P82" s="11">
        <v>0</v>
      </c>
      <c r="Q82" s="11"/>
      <c r="R82" s="11">
        <v>0</v>
      </c>
      <c r="S82" s="11">
        <f t="shared" si="25"/>
        <v>0</v>
      </c>
      <c r="T82" s="13"/>
      <c r="U82" s="5">
        <f t="shared" si="28"/>
        <v>0</v>
      </c>
      <c r="V82" s="5">
        <f t="shared" si="29"/>
        <v>0</v>
      </c>
      <c r="W82" s="5"/>
      <c r="X82" s="18"/>
      <c r="Y82" s="18"/>
      <c r="Z82" s="1" t="e">
        <f t="shared" si="30"/>
        <v>#DIV/0!</v>
      </c>
      <c r="AA82" s="11" t="e">
        <f t="shared" si="26"/>
        <v>#DIV/0!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 t="s">
        <v>49</v>
      </c>
      <c r="AM82" s="1">
        <f t="shared" si="31"/>
        <v>0</v>
      </c>
      <c r="AN82" s="1">
        <f t="shared" si="32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127</v>
      </c>
      <c r="B83" s="1" t="s">
        <v>38</v>
      </c>
      <c r="C83" s="1">
        <v>35.927</v>
      </c>
      <c r="D83" s="1">
        <v>2.8940000000000001</v>
      </c>
      <c r="E83" s="1">
        <v>5.7610000000000001</v>
      </c>
      <c r="F83" s="1">
        <v>33.06</v>
      </c>
      <c r="G83" s="7">
        <v>1</v>
      </c>
      <c r="H83" s="1">
        <v>55</v>
      </c>
      <c r="I83" s="1" t="s">
        <v>39</v>
      </c>
      <c r="J83" s="1"/>
      <c r="K83" s="1">
        <v>4.5</v>
      </c>
      <c r="L83" s="1">
        <f t="shared" si="24"/>
        <v>1.2610000000000001</v>
      </c>
      <c r="M83" s="1"/>
      <c r="N83" s="1"/>
      <c r="O83" s="1">
        <v>0</v>
      </c>
      <c r="P83" s="1">
        <v>0</v>
      </c>
      <c r="Q83" s="1"/>
      <c r="R83" s="1">
        <v>0</v>
      </c>
      <c r="S83" s="1">
        <f t="shared" si="25"/>
        <v>1.1522000000000001</v>
      </c>
      <c r="T83" s="5"/>
      <c r="U83" s="5">
        <f t="shared" si="28"/>
        <v>0</v>
      </c>
      <c r="V83" s="5">
        <f t="shared" si="29"/>
        <v>0</v>
      </c>
      <c r="W83" s="5"/>
      <c r="X83" s="18"/>
      <c r="Y83" s="18"/>
      <c r="Z83" s="1">
        <f t="shared" si="30"/>
        <v>28.692935254296128</v>
      </c>
      <c r="AA83" s="1">
        <f t="shared" si="26"/>
        <v>28.692935254296128</v>
      </c>
      <c r="AB83" s="1">
        <v>0.57720000000000005</v>
      </c>
      <c r="AC83" s="1">
        <v>0.28799999999999998</v>
      </c>
      <c r="AD83" s="1">
        <v>2.8824000000000001</v>
      </c>
      <c r="AE83" s="1">
        <v>2.8820000000000001</v>
      </c>
      <c r="AF83" s="1">
        <v>1.3373999999999999</v>
      </c>
      <c r="AG83" s="1">
        <v>2.1970000000000001</v>
      </c>
      <c r="AH83" s="1">
        <v>2.008</v>
      </c>
      <c r="AI83" s="1">
        <v>1.1468</v>
      </c>
      <c r="AJ83" s="1">
        <v>1.1457999999999999</v>
      </c>
      <c r="AK83" s="1">
        <v>4.5876000000000001</v>
      </c>
      <c r="AL83" s="14" t="s">
        <v>102</v>
      </c>
      <c r="AM83" s="1">
        <f t="shared" si="31"/>
        <v>0</v>
      </c>
      <c r="AN83" s="1">
        <f t="shared" si="32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128</v>
      </c>
      <c r="B84" s="1" t="s">
        <v>38</v>
      </c>
      <c r="C84" s="1">
        <v>380.12400000000002</v>
      </c>
      <c r="D84" s="1">
        <v>6.0019999999999998</v>
      </c>
      <c r="E84" s="1">
        <v>279.01600000000002</v>
      </c>
      <c r="F84" s="1">
        <v>100.22799999999999</v>
      </c>
      <c r="G84" s="7">
        <v>1</v>
      </c>
      <c r="H84" s="1">
        <v>60</v>
      </c>
      <c r="I84" s="1" t="s">
        <v>39</v>
      </c>
      <c r="J84" s="1"/>
      <c r="K84" s="1">
        <v>286.18</v>
      </c>
      <c r="L84" s="1">
        <f t="shared" si="24"/>
        <v>-7.1639999999999873</v>
      </c>
      <c r="M84" s="1"/>
      <c r="N84" s="1"/>
      <c r="O84" s="1">
        <v>0</v>
      </c>
      <c r="P84" s="1">
        <v>116.21012224</v>
      </c>
      <c r="Q84" s="1">
        <v>208.39915776000001</v>
      </c>
      <c r="R84" s="1">
        <v>172.73820000000009</v>
      </c>
      <c r="S84" s="1">
        <f t="shared" si="25"/>
        <v>55.803200000000004</v>
      </c>
      <c r="T84" s="5">
        <f t="shared" ref="T84" si="33">11*S84-R84-Q84-P84-O84-F84</f>
        <v>16.259719999999859</v>
      </c>
      <c r="U84" s="5">
        <f>X84</f>
        <v>250</v>
      </c>
      <c r="V84" s="5">
        <f t="shared" si="29"/>
        <v>161.67500000000001</v>
      </c>
      <c r="W84" s="5">
        <f>U84*$W$1</f>
        <v>88.325000000000003</v>
      </c>
      <c r="X84" s="18">
        <f>VLOOKUP(A84,[1]Sheet!$A:$V,21,0)</f>
        <v>250</v>
      </c>
      <c r="Y84" s="18" t="str">
        <f>VLOOKUP(A84,[1]Sheet!$A:$V,22,0)</f>
        <v>Сеть Мера</v>
      </c>
      <c r="Z84" s="1">
        <f t="shared" si="30"/>
        <v>15.18865369727901</v>
      </c>
      <c r="AA84" s="1">
        <f t="shared" si="26"/>
        <v>10.708623878200534</v>
      </c>
      <c r="AB84" s="1">
        <v>60.8352</v>
      </c>
      <c r="AC84" s="1">
        <v>49.9208</v>
      </c>
      <c r="AD84" s="1">
        <v>30.628799999999998</v>
      </c>
      <c r="AE84" s="1">
        <v>20.229199999999999</v>
      </c>
      <c r="AF84" s="1">
        <v>34.7806</v>
      </c>
      <c r="AG84" s="1">
        <v>52.466999999999999</v>
      </c>
      <c r="AH84" s="1">
        <v>56.910799999999988</v>
      </c>
      <c r="AI84" s="1">
        <v>48.402000000000001</v>
      </c>
      <c r="AJ84" s="1">
        <v>24.439399999999999</v>
      </c>
      <c r="AK84" s="1">
        <v>27.4984</v>
      </c>
      <c r="AL84" s="1"/>
      <c r="AM84" s="1">
        <f t="shared" si="31"/>
        <v>162</v>
      </c>
      <c r="AN84" s="1">
        <f t="shared" si="32"/>
        <v>88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1" t="s">
        <v>129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24"/>
        <v>0</v>
      </c>
      <c r="M85" s="11"/>
      <c r="N85" s="11"/>
      <c r="O85" s="11">
        <v>0</v>
      </c>
      <c r="P85" s="11">
        <v>0</v>
      </c>
      <c r="Q85" s="11"/>
      <c r="R85" s="11">
        <v>0</v>
      </c>
      <c r="S85" s="11">
        <f t="shared" si="25"/>
        <v>0</v>
      </c>
      <c r="T85" s="13"/>
      <c r="U85" s="5">
        <f t="shared" si="28"/>
        <v>0</v>
      </c>
      <c r="V85" s="5">
        <f t="shared" si="29"/>
        <v>0</v>
      </c>
      <c r="W85" s="5"/>
      <c r="X85" s="18"/>
      <c r="Y85" s="18"/>
      <c r="Z85" s="1" t="e">
        <f t="shared" si="30"/>
        <v>#DIV/0!</v>
      </c>
      <c r="AA85" s="11" t="e">
        <f t="shared" si="26"/>
        <v>#DIV/0!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 t="s">
        <v>49</v>
      </c>
      <c r="AM85" s="1">
        <f t="shared" si="31"/>
        <v>0</v>
      </c>
      <c r="AN85" s="1">
        <f t="shared" si="32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130</v>
      </c>
      <c r="B86" s="1" t="s">
        <v>38</v>
      </c>
      <c r="C86" s="1">
        <v>2191.2539999999999</v>
      </c>
      <c r="D86" s="1">
        <v>7.9950000000000001</v>
      </c>
      <c r="E86" s="1">
        <v>1968.2329999999999</v>
      </c>
      <c r="F86" s="1">
        <v>218.065</v>
      </c>
      <c r="G86" s="7">
        <v>1</v>
      </c>
      <c r="H86" s="1">
        <v>60</v>
      </c>
      <c r="I86" s="1" t="s">
        <v>39</v>
      </c>
      <c r="J86" s="1"/>
      <c r="K86" s="1">
        <v>1943.5</v>
      </c>
      <c r="L86" s="1">
        <f t="shared" si="24"/>
        <v>24.732999999999947</v>
      </c>
      <c r="M86" s="1"/>
      <c r="N86" s="1"/>
      <c r="O86" s="1">
        <v>800</v>
      </c>
      <c r="P86" s="1">
        <v>882.74990587999991</v>
      </c>
      <c r="Q86" s="1">
        <v>1583.0319541199999</v>
      </c>
      <c r="R86" s="1">
        <v>267.97099999999978</v>
      </c>
      <c r="S86" s="1">
        <f t="shared" si="25"/>
        <v>393.64659999999998</v>
      </c>
      <c r="T86" s="5">
        <f t="shared" ref="T86:T88" si="34">11*S86-R86-Q86-P86-O86-F86</f>
        <v>578.29474000000027</v>
      </c>
      <c r="U86" s="5">
        <f t="shared" ref="U86:U88" si="35">T86+S86*$U$1</f>
        <v>1523.0465800000002</v>
      </c>
      <c r="V86" s="5">
        <f t="shared" si="29"/>
        <v>984.95422328600011</v>
      </c>
      <c r="W86" s="5">
        <f t="shared" ref="W86:W88" si="36">U86*$W$1</f>
        <v>538.09235671400006</v>
      </c>
      <c r="X86" s="18"/>
      <c r="Y86" s="18"/>
      <c r="Z86" s="1">
        <f t="shared" si="30"/>
        <v>13.399999999999999</v>
      </c>
      <c r="AA86" s="1">
        <f t="shared" si="26"/>
        <v>9.5309291633663271</v>
      </c>
      <c r="AB86" s="1">
        <v>413.71640000000002</v>
      </c>
      <c r="AC86" s="1">
        <v>388.93459999999999</v>
      </c>
      <c r="AD86" s="1">
        <v>339.1968</v>
      </c>
      <c r="AE86" s="1">
        <v>286.21859999999998</v>
      </c>
      <c r="AF86" s="1">
        <v>236.22059999999999</v>
      </c>
      <c r="AG86" s="1">
        <v>396.76139999999998</v>
      </c>
      <c r="AH86" s="1">
        <v>420.71499999999997</v>
      </c>
      <c r="AI86" s="1">
        <v>308.27960000000002</v>
      </c>
      <c r="AJ86" s="1">
        <v>325.30099999999999</v>
      </c>
      <c r="AK86" s="1">
        <v>326.5376</v>
      </c>
      <c r="AL86" s="1"/>
      <c r="AM86" s="1">
        <f t="shared" si="31"/>
        <v>985</v>
      </c>
      <c r="AN86" s="1">
        <f t="shared" si="32"/>
        <v>538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131</v>
      </c>
      <c r="B87" s="1" t="s">
        <v>38</v>
      </c>
      <c r="C87" s="1">
        <v>2399.8150000000001</v>
      </c>
      <c r="D87" s="1">
        <v>534.70500000000004</v>
      </c>
      <c r="E87" s="1">
        <v>1467.06</v>
      </c>
      <c r="F87" s="1">
        <v>1421.5609999999999</v>
      </c>
      <c r="G87" s="7">
        <v>1</v>
      </c>
      <c r="H87" s="1">
        <v>60</v>
      </c>
      <c r="I87" s="1" t="s">
        <v>39</v>
      </c>
      <c r="J87" s="1"/>
      <c r="K87" s="1">
        <v>1481.5</v>
      </c>
      <c r="L87" s="1">
        <f t="shared" si="24"/>
        <v>-14.440000000000055</v>
      </c>
      <c r="M87" s="1"/>
      <c r="N87" s="1"/>
      <c r="O87" s="1">
        <v>1130.506333999999</v>
      </c>
      <c r="P87" s="1">
        <v>0</v>
      </c>
      <c r="Q87" s="1"/>
      <c r="R87" s="1">
        <v>19.16706600000111</v>
      </c>
      <c r="S87" s="1">
        <f t="shared" si="25"/>
        <v>293.41199999999998</v>
      </c>
      <c r="T87" s="5">
        <f t="shared" si="34"/>
        <v>656.29759999999965</v>
      </c>
      <c r="U87" s="5">
        <f t="shared" si="35"/>
        <v>1360.4863999999995</v>
      </c>
      <c r="V87" s="5">
        <f t="shared" si="29"/>
        <v>879.82655487999978</v>
      </c>
      <c r="W87" s="5">
        <f t="shared" si="36"/>
        <v>480.65984511999983</v>
      </c>
      <c r="X87" s="18"/>
      <c r="Y87" s="18"/>
      <c r="Z87" s="1">
        <f t="shared" si="30"/>
        <v>13.399999999999999</v>
      </c>
      <c r="AA87" s="1">
        <f t="shared" si="26"/>
        <v>8.7632216814581536</v>
      </c>
      <c r="AB87" s="1">
        <v>260.69920000000002</v>
      </c>
      <c r="AC87" s="1">
        <v>280.9298</v>
      </c>
      <c r="AD87" s="1">
        <v>353.3408</v>
      </c>
      <c r="AE87" s="1">
        <v>302.86380000000003</v>
      </c>
      <c r="AF87" s="1">
        <v>260.61439999999999</v>
      </c>
      <c r="AG87" s="1">
        <v>367.82960000000003</v>
      </c>
      <c r="AH87" s="1">
        <v>400.35739999999998</v>
      </c>
      <c r="AI87" s="1">
        <v>226.09520000000001</v>
      </c>
      <c r="AJ87" s="1">
        <v>213.601</v>
      </c>
      <c r="AK87" s="1">
        <v>424.48739999999998</v>
      </c>
      <c r="AL87" s="1"/>
      <c r="AM87" s="1">
        <f t="shared" si="31"/>
        <v>880</v>
      </c>
      <c r="AN87" s="1">
        <f t="shared" si="32"/>
        <v>481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132</v>
      </c>
      <c r="B88" s="1" t="s">
        <v>38</v>
      </c>
      <c r="C88" s="1">
        <v>2163.7910000000002</v>
      </c>
      <c r="D88" s="1">
        <v>1518.7059999999999</v>
      </c>
      <c r="E88" s="1">
        <v>2940.7220000000002</v>
      </c>
      <c r="F88" s="1">
        <v>709.74199999999996</v>
      </c>
      <c r="G88" s="7">
        <v>1</v>
      </c>
      <c r="H88" s="1">
        <v>60</v>
      </c>
      <c r="I88" s="1" t="s">
        <v>39</v>
      </c>
      <c r="J88" s="1"/>
      <c r="K88" s="1">
        <v>2919</v>
      </c>
      <c r="L88" s="1">
        <f t="shared" si="24"/>
        <v>21.722000000000207</v>
      </c>
      <c r="M88" s="1"/>
      <c r="N88" s="1"/>
      <c r="O88" s="1">
        <v>1683.6812440000001</v>
      </c>
      <c r="P88" s="1">
        <v>919.18546900800015</v>
      </c>
      <c r="Q88" s="1">
        <v>1648.3717069920001</v>
      </c>
      <c r="R88" s="1">
        <v>302.75659999999988</v>
      </c>
      <c r="S88" s="1">
        <f t="shared" si="25"/>
        <v>588.14440000000002</v>
      </c>
      <c r="T88" s="5">
        <f t="shared" si="34"/>
        <v>1205.8513800000005</v>
      </c>
      <c r="U88" s="5">
        <f t="shared" si="35"/>
        <v>2617.3979400000007</v>
      </c>
      <c r="V88" s="5">
        <f t="shared" si="29"/>
        <v>1692.6712477980004</v>
      </c>
      <c r="W88" s="5">
        <f t="shared" si="36"/>
        <v>924.72669220200032</v>
      </c>
      <c r="X88" s="18"/>
      <c r="Y88" s="18"/>
      <c r="Z88" s="1">
        <f t="shared" si="30"/>
        <v>13.400000000000002</v>
      </c>
      <c r="AA88" s="1">
        <f t="shared" si="26"/>
        <v>8.9497358471831081</v>
      </c>
      <c r="AB88" s="1">
        <v>602.5548</v>
      </c>
      <c r="AC88" s="1">
        <v>562.23620000000005</v>
      </c>
      <c r="AD88" s="1">
        <v>529.54259999999999</v>
      </c>
      <c r="AE88" s="1">
        <v>466.50040000000001</v>
      </c>
      <c r="AF88" s="1">
        <v>384.19439999999997</v>
      </c>
      <c r="AG88" s="1">
        <v>552.39200000000005</v>
      </c>
      <c r="AH88" s="1">
        <v>575.57240000000002</v>
      </c>
      <c r="AI88" s="1">
        <v>383.57479999999998</v>
      </c>
      <c r="AJ88" s="1">
        <v>417.62419999999997</v>
      </c>
      <c r="AK88" s="1">
        <v>559.40539999999999</v>
      </c>
      <c r="AL88" s="1"/>
      <c r="AM88" s="1">
        <f t="shared" si="31"/>
        <v>1693</v>
      </c>
      <c r="AN88" s="1">
        <f t="shared" si="32"/>
        <v>925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1" t="s">
        <v>133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24"/>
        <v>0</v>
      </c>
      <c r="M89" s="11"/>
      <c r="N89" s="11"/>
      <c r="O89" s="11">
        <v>0</v>
      </c>
      <c r="P89" s="11">
        <v>0</v>
      </c>
      <c r="Q89" s="11"/>
      <c r="R89" s="11">
        <v>0</v>
      </c>
      <c r="S89" s="11">
        <f t="shared" si="25"/>
        <v>0</v>
      </c>
      <c r="T89" s="13"/>
      <c r="U89" s="5">
        <f t="shared" si="28"/>
        <v>0</v>
      </c>
      <c r="V89" s="5">
        <f t="shared" si="29"/>
        <v>0</v>
      </c>
      <c r="W89" s="5"/>
      <c r="X89" s="18"/>
      <c r="Y89" s="18"/>
      <c r="Z89" s="1" t="e">
        <f t="shared" si="30"/>
        <v>#DIV/0!</v>
      </c>
      <c r="AA89" s="11" t="e">
        <f t="shared" si="26"/>
        <v>#DIV/0!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 t="s">
        <v>49</v>
      </c>
      <c r="AM89" s="1">
        <f t="shared" si="31"/>
        <v>0</v>
      </c>
      <c r="AN89" s="1">
        <f t="shared" si="32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134</v>
      </c>
      <c r="B90" s="1" t="s">
        <v>44</v>
      </c>
      <c r="C90" s="1">
        <v>13</v>
      </c>
      <c r="D90" s="1">
        <v>62</v>
      </c>
      <c r="E90" s="1">
        <v>65</v>
      </c>
      <c r="F90" s="1"/>
      <c r="G90" s="7">
        <v>0.3</v>
      </c>
      <c r="H90" s="1">
        <v>40</v>
      </c>
      <c r="I90" s="10" t="s">
        <v>42</v>
      </c>
      <c r="J90" s="1"/>
      <c r="K90" s="1">
        <v>100</v>
      </c>
      <c r="L90" s="1">
        <f t="shared" si="24"/>
        <v>-35</v>
      </c>
      <c r="M90" s="1"/>
      <c r="N90" s="1"/>
      <c r="O90" s="1">
        <v>100</v>
      </c>
      <c r="P90" s="1">
        <v>0</v>
      </c>
      <c r="Q90" s="1"/>
      <c r="R90" s="1">
        <v>80</v>
      </c>
      <c r="S90" s="1">
        <f t="shared" si="25"/>
        <v>13</v>
      </c>
      <c r="T90" s="5"/>
      <c r="U90" s="5">
        <f>X90</f>
        <v>150</v>
      </c>
      <c r="V90" s="5">
        <f t="shared" si="29"/>
        <v>97.004999999999995</v>
      </c>
      <c r="W90" s="5">
        <f>U90*$W$1</f>
        <v>52.994999999999997</v>
      </c>
      <c r="X90" s="18">
        <f>VLOOKUP(A90,[1]Sheet!$A:$V,21,0)</f>
        <v>150</v>
      </c>
      <c r="Y90" s="18" t="str">
        <f>VLOOKUP(A90,[1]Sheet!$A:$V,22,0)</f>
        <v>Сеть Мера+Есть потребность</v>
      </c>
      <c r="Z90" s="1">
        <f t="shared" si="30"/>
        <v>25.384615384615383</v>
      </c>
      <c r="AA90" s="1">
        <f t="shared" si="26"/>
        <v>13.846153846153847</v>
      </c>
      <c r="AB90" s="1">
        <v>4</v>
      </c>
      <c r="AC90" s="1">
        <v>1</v>
      </c>
      <c r="AD90" s="1">
        <v>-0.6</v>
      </c>
      <c r="AE90" s="1">
        <v>-0.6</v>
      </c>
      <c r="AF90" s="1">
        <v>0</v>
      </c>
      <c r="AG90" s="1">
        <v>0</v>
      </c>
      <c r="AH90" s="1">
        <v>-0.2</v>
      </c>
      <c r="AI90" s="1">
        <v>-0.4</v>
      </c>
      <c r="AJ90" s="1">
        <v>-0.2</v>
      </c>
      <c r="AK90" s="1">
        <v>0</v>
      </c>
      <c r="AL90" s="1"/>
      <c r="AM90" s="1">
        <f t="shared" si="31"/>
        <v>29</v>
      </c>
      <c r="AN90" s="1">
        <f t="shared" si="32"/>
        <v>16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135</v>
      </c>
      <c r="B91" s="1" t="s">
        <v>44</v>
      </c>
      <c r="C91" s="1">
        <v>1</v>
      </c>
      <c r="D91" s="1"/>
      <c r="E91" s="1">
        <v>-5</v>
      </c>
      <c r="F91" s="1">
        <v>1</v>
      </c>
      <c r="G91" s="7">
        <v>0.3</v>
      </c>
      <c r="H91" s="1"/>
      <c r="I91" s="10" t="s">
        <v>42</v>
      </c>
      <c r="J91" s="1"/>
      <c r="K91" s="1">
        <v>8</v>
      </c>
      <c r="L91" s="1">
        <f t="shared" si="24"/>
        <v>-13</v>
      </c>
      <c r="M91" s="1"/>
      <c r="N91" s="1"/>
      <c r="O91" s="1">
        <v>43.399999999999977</v>
      </c>
      <c r="P91" s="1">
        <v>0</v>
      </c>
      <c r="Q91" s="1"/>
      <c r="R91" s="1">
        <v>20</v>
      </c>
      <c r="S91" s="1">
        <f t="shared" si="25"/>
        <v>-1</v>
      </c>
      <c r="T91" s="5"/>
      <c r="U91" s="5">
        <f t="shared" si="28"/>
        <v>0</v>
      </c>
      <c r="V91" s="5">
        <f t="shared" si="29"/>
        <v>0</v>
      </c>
      <c r="W91" s="5"/>
      <c r="X91" s="18"/>
      <c r="Y91" s="18"/>
      <c r="Z91" s="1">
        <f t="shared" si="30"/>
        <v>-64.399999999999977</v>
      </c>
      <c r="AA91" s="1">
        <f t="shared" si="26"/>
        <v>-64.399999999999977</v>
      </c>
      <c r="AB91" s="1">
        <v>1.8</v>
      </c>
      <c r="AC91" s="1">
        <v>11.4</v>
      </c>
      <c r="AD91" s="1">
        <v>19.399999999999999</v>
      </c>
      <c r="AE91" s="1">
        <v>18</v>
      </c>
      <c r="AF91" s="1">
        <v>14</v>
      </c>
      <c r="AG91" s="1">
        <v>16.600000000000001</v>
      </c>
      <c r="AH91" s="1">
        <v>10.8</v>
      </c>
      <c r="AI91" s="1">
        <v>0.6</v>
      </c>
      <c r="AJ91" s="1">
        <v>0</v>
      </c>
      <c r="AK91" s="1">
        <v>15.4</v>
      </c>
      <c r="AL91" s="1"/>
      <c r="AM91" s="1">
        <f t="shared" si="31"/>
        <v>0</v>
      </c>
      <c r="AN91" s="1">
        <f t="shared" si="32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136</v>
      </c>
      <c r="B92" s="1" t="s">
        <v>44</v>
      </c>
      <c r="C92" s="1">
        <v>1</v>
      </c>
      <c r="D92" s="1"/>
      <c r="E92" s="1">
        <v>-2</v>
      </c>
      <c r="F92" s="1">
        <v>1</v>
      </c>
      <c r="G92" s="7">
        <v>7.0000000000000007E-2</v>
      </c>
      <c r="H92" s="1">
        <v>90</v>
      </c>
      <c r="I92" s="10" t="s">
        <v>42</v>
      </c>
      <c r="J92" s="1"/>
      <c r="K92" s="1">
        <v>12</v>
      </c>
      <c r="L92" s="1">
        <f t="shared" si="24"/>
        <v>-14</v>
      </c>
      <c r="M92" s="1"/>
      <c r="N92" s="1"/>
      <c r="O92" s="1">
        <v>37.120000000000019</v>
      </c>
      <c r="P92" s="1">
        <v>46.479999999999983</v>
      </c>
      <c r="Q92" s="1"/>
      <c r="R92" s="1">
        <v>60</v>
      </c>
      <c r="S92" s="1">
        <f t="shared" si="25"/>
        <v>-0.4</v>
      </c>
      <c r="T92" s="5"/>
      <c r="U92" s="5">
        <f t="shared" si="28"/>
        <v>0</v>
      </c>
      <c r="V92" s="5">
        <f t="shared" si="29"/>
        <v>0</v>
      </c>
      <c r="W92" s="5"/>
      <c r="X92" s="18"/>
      <c r="Y92" s="18"/>
      <c r="Z92" s="1">
        <f t="shared" si="30"/>
        <v>-361.49999999999994</v>
      </c>
      <c r="AA92" s="1">
        <f t="shared" si="26"/>
        <v>-361.49999999999994</v>
      </c>
      <c r="AB92" s="1">
        <v>0.6</v>
      </c>
      <c r="AC92" s="1">
        <v>6</v>
      </c>
      <c r="AD92" s="1">
        <v>11.8</v>
      </c>
      <c r="AE92" s="1">
        <v>6.6</v>
      </c>
      <c r="AF92" s="1">
        <v>1.4</v>
      </c>
      <c r="AG92" s="1">
        <v>6.2</v>
      </c>
      <c r="AH92" s="1">
        <v>10.8</v>
      </c>
      <c r="AI92" s="1">
        <v>6</v>
      </c>
      <c r="AJ92" s="1">
        <v>0</v>
      </c>
      <c r="AK92" s="1">
        <v>3.6</v>
      </c>
      <c r="AL92" s="1"/>
      <c r="AM92" s="1">
        <f t="shared" si="31"/>
        <v>0</v>
      </c>
      <c r="AN92" s="1">
        <f t="shared" si="32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137</v>
      </c>
      <c r="B93" s="1" t="s">
        <v>44</v>
      </c>
      <c r="C93" s="1"/>
      <c r="D93" s="1"/>
      <c r="E93" s="1"/>
      <c r="F93" s="1"/>
      <c r="G93" s="7">
        <v>7.0000000000000007E-2</v>
      </c>
      <c r="H93" s="1">
        <v>90</v>
      </c>
      <c r="I93" s="10" t="s">
        <v>42</v>
      </c>
      <c r="J93" s="1"/>
      <c r="K93" s="1">
        <v>3</v>
      </c>
      <c r="L93" s="1">
        <f t="shared" si="24"/>
        <v>-3</v>
      </c>
      <c r="M93" s="1"/>
      <c r="N93" s="1"/>
      <c r="O93" s="1">
        <v>0</v>
      </c>
      <c r="P93" s="1">
        <v>20</v>
      </c>
      <c r="Q93" s="1"/>
      <c r="R93" s="1">
        <v>40</v>
      </c>
      <c r="S93" s="1">
        <f t="shared" si="25"/>
        <v>0</v>
      </c>
      <c r="T93" s="5"/>
      <c r="U93" s="5">
        <f t="shared" si="28"/>
        <v>0</v>
      </c>
      <c r="V93" s="5">
        <f t="shared" si="29"/>
        <v>0</v>
      </c>
      <c r="W93" s="5"/>
      <c r="X93" s="18"/>
      <c r="Y93" s="18"/>
      <c r="Z93" s="1" t="e">
        <f t="shared" si="30"/>
        <v>#DIV/0!</v>
      </c>
      <c r="AA93" s="1" t="e">
        <f t="shared" si="26"/>
        <v>#DIV/0!</v>
      </c>
      <c r="AB93" s="1">
        <v>0</v>
      </c>
      <c r="AC93" s="1">
        <v>0</v>
      </c>
      <c r="AD93" s="1">
        <v>0</v>
      </c>
      <c r="AE93" s="1">
        <v>0</v>
      </c>
      <c r="AF93" s="1">
        <v>1.6</v>
      </c>
      <c r="AG93" s="1">
        <v>7.6</v>
      </c>
      <c r="AH93" s="1">
        <v>9.6</v>
      </c>
      <c r="AI93" s="1">
        <v>4.5999999999999996</v>
      </c>
      <c r="AJ93" s="1">
        <v>4.5999999999999996</v>
      </c>
      <c r="AK93" s="1">
        <v>8.1999999999999993</v>
      </c>
      <c r="AL93" s="1"/>
      <c r="AM93" s="1">
        <f t="shared" si="31"/>
        <v>0</v>
      </c>
      <c r="AN93" s="1">
        <f t="shared" si="32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138</v>
      </c>
      <c r="B94" s="1" t="s">
        <v>44</v>
      </c>
      <c r="C94" s="1">
        <v>92</v>
      </c>
      <c r="D94" s="1">
        <v>72</v>
      </c>
      <c r="E94" s="1">
        <v>74</v>
      </c>
      <c r="F94" s="1">
        <v>89</v>
      </c>
      <c r="G94" s="7">
        <v>7.0000000000000007E-2</v>
      </c>
      <c r="H94" s="1">
        <v>90</v>
      </c>
      <c r="I94" s="1" t="s">
        <v>39</v>
      </c>
      <c r="J94" s="1"/>
      <c r="K94" s="1">
        <v>75</v>
      </c>
      <c r="L94" s="1">
        <f t="shared" si="24"/>
        <v>-1</v>
      </c>
      <c r="M94" s="1"/>
      <c r="N94" s="1"/>
      <c r="O94" s="1">
        <v>16.2</v>
      </c>
      <c r="P94" s="1">
        <v>0</v>
      </c>
      <c r="Q94" s="1"/>
      <c r="R94" s="1">
        <v>60</v>
      </c>
      <c r="S94" s="1">
        <f t="shared" si="25"/>
        <v>14.8</v>
      </c>
      <c r="T94" s="5"/>
      <c r="U94" s="5">
        <f t="shared" si="28"/>
        <v>0</v>
      </c>
      <c r="V94" s="5">
        <f t="shared" si="29"/>
        <v>0</v>
      </c>
      <c r="W94" s="5"/>
      <c r="X94" s="18"/>
      <c r="Y94" s="18"/>
      <c r="Z94" s="1">
        <f t="shared" si="30"/>
        <v>11.162162162162161</v>
      </c>
      <c r="AA94" s="1">
        <f t="shared" si="26"/>
        <v>11.162162162162161</v>
      </c>
      <c r="AB94" s="1">
        <v>9.1999999999999993</v>
      </c>
      <c r="AC94" s="1">
        <v>5.6</v>
      </c>
      <c r="AD94" s="1">
        <v>14.4</v>
      </c>
      <c r="AE94" s="1">
        <v>12</v>
      </c>
      <c r="AF94" s="1">
        <v>5.6</v>
      </c>
      <c r="AG94" s="1">
        <v>12.2</v>
      </c>
      <c r="AH94" s="1">
        <v>13.8</v>
      </c>
      <c r="AI94" s="1">
        <v>10</v>
      </c>
      <c r="AJ94" s="1">
        <v>10.199999999999999</v>
      </c>
      <c r="AK94" s="1">
        <v>13.6</v>
      </c>
      <c r="AL94" s="1"/>
      <c r="AM94" s="1">
        <f t="shared" si="31"/>
        <v>0</v>
      </c>
      <c r="AN94" s="1">
        <f t="shared" si="32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139</v>
      </c>
      <c r="B95" s="1" t="s">
        <v>44</v>
      </c>
      <c r="C95" s="1">
        <v>44</v>
      </c>
      <c r="D95" s="1">
        <v>48</v>
      </c>
      <c r="E95" s="1">
        <v>15</v>
      </c>
      <c r="F95" s="1">
        <v>71</v>
      </c>
      <c r="G95" s="7">
        <v>0.3</v>
      </c>
      <c r="H95" s="1"/>
      <c r="I95" s="1" t="s">
        <v>39</v>
      </c>
      <c r="J95" s="1"/>
      <c r="K95" s="1">
        <v>19</v>
      </c>
      <c r="L95" s="1">
        <f t="shared" si="24"/>
        <v>-4</v>
      </c>
      <c r="M95" s="1"/>
      <c r="N95" s="1"/>
      <c r="O95" s="1">
        <v>88.86</v>
      </c>
      <c r="P95" s="1">
        <v>4.5739999999999839</v>
      </c>
      <c r="Q95" s="1"/>
      <c r="R95" s="1">
        <v>20</v>
      </c>
      <c r="S95" s="1">
        <f t="shared" si="25"/>
        <v>3</v>
      </c>
      <c r="T95" s="5"/>
      <c r="U95" s="5">
        <f t="shared" si="28"/>
        <v>0</v>
      </c>
      <c r="V95" s="5">
        <f t="shared" si="29"/>
        <v>0</v>
      </c>
      <c r="W95" s="5"/>
      <c r="X95" s="18"/>
      <c r="Y95" s="18"/>
      <c r="Z95" s="1">
        <f t="shared" si="30"/>
        <v>61.478000000000002</v>
      </c>
      <c r="AA95" s="1">
        <f t="shared" si="26"/>
        <v>61.478000000000002</v>
      </c>
      <c r="AB95" s="1">
        <v>8.1999999999999993</v>
      </c>
      <c r="AC95" s="1">
        <v>15</v>
      </c>
      <c r="AD95" s="1">
        <v>16.8</v>
      </c>
      <c r="AE95" s="1">
        <v>11.8</v>
      </c>
      <c r="AF95" s="1">
        <v>9</v>
      </c>
      <c r="AG95" s="1">
        <v>18.600000000000001</v>
      </c>
      <c r="AH95" s="1">
        <v>14.6</v>
      </c>
      <c r="AI95" s="1">
        <v>1.4</v>
      </c>
      <c r="AJ95" s="1">
        <v>0</v>
      </c>
      <c r="AK95" s="1">
        <v>15.4</v>
      </c>
      <c r="AL95" s="14" t="s">
        <v>102</v>
      </c>
      <c r="AM95" s="1">
        <f t="shared" si="31"/>
        <v>0</v>
      </c>
      <c r="AN95" s="1">
        <f t="shared" si="32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140</v>
      </c>
      <c r="B96" s="11" t="s">
        <v>44</v>
      </c>
      <c r="C96" s="11"/>
      <c r="D96" s="11">
        <v>24</v>
      </c>
      <c r="E96" s="11">
        <v>23</v>
      </c>
      <c r="F96" s="11">
        <v>1</v>
      </c>
      <c r="G96" s="12">
        <v>0</v>
      </c>
      <c r="H96" s="11"/>
      <c r="I96" s="11" t="s">
        <v>39</v>
      </c>
      <c r="J96" s="11"/>
      <c r="K96" s="11">
        <v>23</v>
      </c>
      <c r="L96" s="11">
        <f t="shared" si="24"/>
        <v>0</v>
      </c>
      <c r="M96" s="11"/>
      <c r="N96" s="11"/>
      <c r="O96" s="11">
        <v>0</v>
      </c>
      <c r="P96" s="11">
        <v>0</v>
      </c>
      <c r="Q96" s="11"/>
      <c r="R96" s="11">
        <v>0</v>
      </c>
      <c r="S96" s="11">
        <f t="shared" si="25"/>
        <v>4.5999999999999996</v>
      </c>
      <c r="T96" s="13"/>
      <c r="U96" s="5">
        <f t="shared" si="28"/>
        <v>0</v>
      </c>
      <c r="V96" s="5">
        <f t="shared" si="29"/>
        <v>0</v>
      </c>
      <c r="W96" s="5"/>
      <c r="X96" s="18"/>
      <c r="Y96" s="18"/>
      <c r="Z96" s="1">
        <f t="shared" si="30"/>
        <v>0.21739130434782611</v>
      </c>
      <c r="AA96" s="11">
        <f t="shared" si="26"/>
        <v>0.21739130434782611</v>
      </c>
      <c r="AB96" s="11">
        <v>1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 t="s">
        <v>49</v>
      </c>
      <c r="AM96" s="1">
        <f t="shared" si="31"/>
        <v>0</v>
      </c>
      <c r="AN96" s="1">
        <f t="shared" si="32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1" t="s">
        <v>141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24"/>
        <v>0</v>
      </c>
      <c r="M97" s="11"/>
      <c r="N97" s="11"/>
      <c r="O97" s="11">
        <v>0</v>
      </c>
      <c r="P97" s="11">
        <v>0</v>
      </c>
      <c r="Q97" s="11"/>
      <c r="R97" s="11">
        <v>0</v>
      </c>
      <c r="S97" s="11">
        <f t="shared" si="25"/>
        <v>0</v>
      </c>
      <c r="T97" s="13"/>
      <c r="U97" s="5">
        <f t="shared" si="28"/>
        <v>0</v>
      </c>
      <c r="V97" s="5">
        <f t="shared" si="29"/>
        <v>0</v>
      </c>
      <c r="W97" s="5"/>
      <c r="X97" s="18"/>
      <c r="Y97" s="18"/>
      <c r="Z97" s="1" t="e">
        <f t="shared" si="30"/>
        <v>#DIV/0!</v>
      </c>
      <c r="AA97" s="11" t="e">
        <f t="shared" si="26"/>
        <v>#DIV/0!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 t="s">
        <v>49</v>
      </c>
      <c r="AM97" s="1">
        <f t="shared" si="31"/>
        <v>0</v>
      </c>
      <c r="AN97" s="1">
        <f t="shared" si="32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142</v>
      </c>
      <c r="B98" s="1" t="s">
        <v>44</v>
      </c>
      <c r="C98" s="1">
        <v>39</v>
      </c>
      <c r="D98" s="1">
        <v>72</v>
      </c>
      <c r="E98" s="1">
        <v>68</v>
      </c>
      <c r="F98" s="1">
        <v>38</v>
      </c>
      <c r="G98" s="7">
        <v>0.08</v>
      </c>
      <c r="H98" s="1">
        <v>45</v>
      </c>
      <c r="I98" s="1" t="s">
        <v>39</v>
      </c>
      <c r="J98" s="1"/>
      <c r="K98" s="1">
        <v>98</v>
      </c>
      <c r="L98" s="1">
        <f t="shared" si="24"/>
        <v>-30</v>
      </c>
      <c r="M98" s="1"/>
      <c r="N98" s="1"/>
      <c r="O98" s="1">
        <v>82.779999999999973</v>
      </c>
      <c r="P98" s="1">
        <v>47.785840000000007</v>
      </c>
      <c r="Q98" s="1">
        <v>85.694160000000011</v>
      </c>
      <c r="R98" s="1">
        <v>100</v>
      </c>
      <c r="S98" s="1">
        <f t="shared" si="25"/>
        <v>13.6</v>
      </c>
      <c r="T98" s="5"/>
      <c r="U98" s="5">
        <f t="shared" si="28"/>
        <v>0</v>
      </c>
      <c r="V98" s="5">
        <f t="shared" si="29"/>
        <v>0</v>
      </c>
      <c r="W98" s="5"/>
      <c r="X98" s="18"/>
      <c r="Y98" s="18"/>
      <c r="Z98" s="1">
        <f t="shared" si="30"/>
        <v>26.048529411764704</v>
      </c>
      <c r="AA98" s="1">
        <f t="shared" si="26"/>
        <v>26.048529411764704</v>
      </c>
      <c r="AB98" s="1">
        <v>22.2</v>
      </c>
      <c r="AC98" s="1">
        <v>22.8</v>
      </c>
      <c r="AD98" s="1">
        <v>20</v>
      </c>
      <c r="AE98" s="1">
        <v>15.4</v>
      </c>
      <c r="AF98" s="1">
        <v>10</v>
      </c>
      <c r="AG98" s="1">
        <v>16</v>
      </c>
      <c r="AH98" s="1">
        <v>14.8</v>
      </c>
      <c r="AI98" s="1">
        <v>10.4</v>
      </c>
      <c r="AJ98" s="1">
        <v>12.6</v>
      </c>
      <c r="AK98" s="1">
        <v>23.2</v>
      </c>
      <c r="AL98" s="1"/>
      <c r="AM98" s="1">
        <f t="shared" si="31"/>
        <v>0</v>
      </c>
      <c r="AN98" s="1">
        <f t="shared" si="32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143</v>
      </c>
      <c r="B99" s="1" t="s">
        <v>44</v>
      </c>
      <c r="C99" s="1">
        <v>41</v>
      </c>
      <c r="D99" s="1">
        <v>140</v>
      </c>
      <c r="E99" s="1">
        <v>56</v>
      </c>
      <c r="F99" s="1">
        <v>124</v>
      </c>
      <c r="G99" s="7">
        <v>0.08</v>
      </c>
      <c r="H99" s="1">
        <v>45</v>
      </c>
      <c r="I99" s="1" t="s">
        <v>39</v>
      </c>
      <c r="J99" s="1"/>
      <c r="K99" s="1">
        <v>62</v>
      </c>
      <c r="L99" s="1">
        <f t="shared" si="24"/>
        <v>-6</v>
      </c>
      <c r="M99" s="1"/>
      <c r="N99" s="1"/>
      <c r="O99" s="1">
        <v>200</v>
      </c>
      <c r="P99" s="1">
        <v>0</v>
      </c>
      <c r="Q99" s="1"/>
      <c r="R99" s="1">
        <v>80</v>
      </c>
      <c r="S99" s="1">
        <f t="shared" si="25"/>
        <v>11.2</v>
      </c>
      <c r="T99" s="5"/>
      <c r="U99" s="5">
        <f t="shared" si="28"/>
        <v>0</v>
      </c>
      <c r="V99" s="5">
        <f t="shared" si="29"/>
        <v>0</v>
      </c>
      <c r="W99" s="5"/>
      <c r="X99" s="18"/>
      <c r="Y99" s="18"/>
      <c r="Z99" s="1">
        <f t="shared" si="30"/>
        <v>36.071428571428577</v>
      </c>
      <c r="AA99" s="1">
        <f t="shared" si="26"/>
        <v>36.071428571428577</v>
      </c>
      <c r="AB99" s="1">
        <v>21.6</v>
      </c>
      <c r="AC99" s="1">
        <v>20.6</v>
      </c>
      <c r="AD99" s="1">
        <v>24.4</v>
      </c>
      <c r="AE99" s="1">
        <v>19.600000000000001</v>
      </c>
      <c r="AF99" s="1">
        <v>13.6</v>
      </c>
      <c r="AG99" s="1">
        <v>22.6</v>
      </c>
      <c r="AH99" s="1">
        <v>19.8</v>
      </c>
      <c r="AI99" s="1">
        <v>14.4</v>
      </c>
      <c r="AJ99" s="1">
        <v>21.2</v>
      </c>
      <c r="AK99" s="1">
        <v>28</v>
      </c>
      <c r="AL99" s="1"/>
      <c r="AM99" s="1">
        <f t="shared" si="31"/>
        <v>0</v>
      </c>
      <c r="AN99" s="1">
        <f t="shared" si="32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1" t="s">
        <v>144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24"/>
        <v>0</v>
      </c>
      <c r="M100" s="11"/>
      <c r="N100" s="11"/>
      <c r="O100" s="11">
        <v>0</v>
      </c>
      <c r="P100" s="11">
        <v>0</v>
      </c>
      <c r="Q100" s="11"/>
      <c r="R100" s="11">
        <v>0</v>
      </c>
      <c r="S100" s="11">
        <f t="shared" si="25"/>
        <v>0</v>
      </c>
      <c r="T100" s="13"/>
      <c r="U100" s="5">
        <f t="shared" si="28"/>
        <v>0</v>
      </c>
      <c r="V100" s="5">
        <f t="shared" si="29"/>
        <v>0</v>
      </c>
      <c r="W100" s="5"/>
      <c r="X100" s="18"/>
      <c r="Y100" s="18"/>
      <c r="Z100" s="1" t="e">
        <f t="shared" si="30"/>
        <v>#DIV/0!</v>
      </c>
      <c r="AA100" s="11" t="e">
        <f t="shared" si="26"/>
        <v>#DIV/0!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 t="s">
        <v>49</v>
      </c>
      <c r="AM100" s="1">
        <f t="shared" si="31"/>
        <v>0</v>
      </c>
      <c r="AN100" s="1">
        <f t="shared" si="32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145</v>
      </c>
      <c r="B101" s="1" t="s">
        <v>38</v>
      </c>
      <c r="C101" s="1">
        <v>-0.46500000000000002</v>
      </c>
      <c r="D101" s="1">
        <v>101.405</v>
      </c>
      <c r="E101" s="1">
        <v>100.8</v>
      </c>
      <c r="F101" s="1">
        <v>-1.3</v>
      </c>
      <c r="G101" s="7">
        <v>1</v>
      </c>
      <c r="H101" s="1">
        <v>40</v>
      </c>
      <c r="I101" s="10" t="s">
        <v>42</v>
      </c>
      <c r="J101" s="1"/>
      <c r="K101" s="1">
        <v>108</v>
      </c>
      <c r="L101" s="1">
        <f t="shared" si="24"/>
        <v>-7.2000000000000028</v>
      </c>
      <c r="M101" s="1"/>
      <c r="N101" s="1"/>
      <c r="O101" s="1">
        <v>250</v>
      </c>
      <c r="P101" s="1">
        <v>104.21932036</v>
      </c>
      <c r="Q101" s="1">
        <v>186.89609963999999</v>
      </c>
      <c r="R101" s="1">
        <v>80</v>
      </c>
      <c r="S101" s="1">
        <f t="shared" si="25"/>
        <v>20.16</v>
      </c>
      <c r="T101" s="5"/>
      <c r="U101" s="5">
        <v>100</v>
      </c>
      <c r="V101" s="5">
        <f t="shared" si="29"/>
        <v>100</v>
      </c>
      <c r="W101" s="5"/>
      <c r="X101" s="18">
        <f>VLOOKUP(A101,[1]Sheet!$A:$V,21,0)</f>
        <v>200</v>
      </c>
      <c r="Y101" s="18" t="str">
        <f>VLOOKUP(A101,[1]Sheet!$A:$V,22,0)</f>
        <v>Промо</v>
      </c>
      <c r="Z101" s="1">
        <f t="shared" si="30"/>
        <v>35.705129960317457</v>
      </c>
      <c r="AA101" s="1">
        <f t="shared" si="26"/>
        <v>30.744812499999995</v>
      </c>
      <c r="AB101" s="1">
        <v>35.839799999999997</v>
      </c>
      <c r="AC101" s="1">
        <v>45.436199999999999</v>
      </c>
      <c r="AD101" s="1">
        <v>34.459000000000003</v>
      </c>
      <c r="AE101" s="1">
        <v>16.585999999999999</v>
      </c>
      <c r="AF101" s="1">
        <v>0</v>
      </c>
      <c r="AG101" s="1">
        <v>20.5106</v>
      </c>
      <c r="AH101" s="1">
        <v>20.366599999999998</v>
      </c>
      <c r="AI101" s="1">
        <v>-0.28820000000000001</v>
      </c>
      <c r="AJ101" s="1">
        <v>0.71740000000000004</v>
      </c>
      <c r="AK101" s="1">
        <v>13.458399999999999</v>
      </c>
      <c r="AL101" s="1"/>
      <c r="AM101" s="1">
        <f t="shared" si="31"/>
        <v>100</v>
      </c>
      <c r="AN101" s="1">
        <f t="shared" si="32"/>
        <v>0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146</v>
      </c>
      <c r="B102" s="1" t="s">
        <v>38</v>
      </c>
      <c r="C102" s="1">
        <v>-1.409</v>
      </c>
      <c r="D102" s="1">
        <v>207.184</v>
      </c>
      <c r="E102" s="1">
        <v>139.97999999999999</v>
      </c>
      <c r="F102" s="1">
        <v>63.628</v>
      </c>
      <c r="G102" s="7">
        <v>1</v>
      </c>
      <c r="H102" s="1">
        <v>40</v>
      </c>
      <c r="I102" s="10" t="s">
        <v>42</v>
      </c>
      <c r="J102" s="1"/>
      <c r="K102" s="1">
        <v>200.8</v>
      </c>
      <c r="L102" s="1">
        <f t="shared" ref="L102:L131" si="37">E102-K102</f>
        <v>-60.820000000000022</v>
      </c>
      <c r="M102" s="1"/>
      <c r="N102" s="1"/>
      <c r="O102" s="1">
        <v>150</v>
      </c>
      <c r="P102" s="1">
        <v>0</v>
      </c>
      <c r="Q102" s="1"/>
      <c r="R102" s="1">
        <v>30</v>
      </c>
      <c r="S102" s="1">
        <f t="shared" ref="S102:S131" si="38">E102/5</f>
        <v>27.995999999999999</v>
      </c>
      <c r="T102" s="5">
        <f t="shared" ref="T102" si="39">11*S102-R102-Q102-P102-O102-F102</f>
        <v>64.32799999999996</v>
      </c>
      <c r="U102" s="5">
        <f t="shared" ref="U102:U103" si="40">X102</f>
        <v>100</v>
      </c>
      <c r="V102" s="5">
        <f t="shared" si="29"/>
        <v>100</v>
      </c>
      <c r="W102" s="5"/>
      <c r="X102" s="18">
        <f>VLOOKUP(A102,[1]Sheet!$A:$V,21,0)</f>
        <v>100</v>
      </c>
      <c r="Y102" s="18" t="str">
        <f>VLOOKUP(A102,[1]Sheet!$A:$V,22,0)</f>
        <v>Промо</v>
      </c>
      <c r="Z102" s="1">
        <f t="shared" si="30"/>
        <v>12.274182026003714</v>
      </c>
      <c r="AA102" s="1">
        <f t="shared" ref="AA102:AA131" si="41">(F102+O102+P102+Q102+R102)/S102</f>
        <v>8.7022431775967988</v>
      </c>
      <c r="AB102" s="1">
        <v>6.5793999999999997</v>
      </c>
      <c r="AC102" s="1">
        <v>-0.29099999999999998</v>
      </c>
      <c r="AD102" s="1">
        <v>0.28179999999999999</v>
      </c>
      <c r="AE102" s="1">
        <v>12.805999999999999</v>
      </c>
      <c r="AF102" s="1">
        <v>12.2332</v>
      </c>
      <c r="AG102" s="1">
        <v>15.862399999999999</v>
      </c>
      <c r="AH102" s="1">
        <v>15.4284</v>
      </c>
      <c r="AI102" s="1">
        <v>11.6716</v>
      </c>
      <c r="AJ102" s="1">
        <v>31.165600000000001</v>
      </c>
      <c r="AK102" s="1">
        <v>32.430599999999998</v>
      </c>
      <c r="AL102" s="1"/>
      <c r="AM102" s="1">
        <f t="shared" si="31"/>
        <v>100</v>
      </c>
      <c r="AN102" s="1">
        <f t="shared" si="32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147</v>
      </c>
      <c r="B103" s="1" t="s">
        <v>38</v>
      </c>
      <c r="C103" s="1"/>
      <c r="D103" s="1">
        <v>262.29500000000002</v>
      </c>
      <c r="E103" s="1">
        <v>126.048</v>
      </c>
      <c r="F103" s="1">
        <v>131.27600000000001</v>
      </c>
      <c r="G103" s="7">
        <v>1</v>
      </c>
      <c r="H103" s="1">
        <v>40</v>
      </c>
      <c r="I103" s="10" t="s">
        <v>42</v>
      </c>
      <c r="J103" s="1"/>
      <c r="K103" s="1">
        <v>152.19999999999999</v>
      </c>
      <c r="L103" s="1">
        <f t="shared" si="37"/>
        <v>-26.151999999999987</v>
      </c>
      <c r="M103" s="1"/>
      <c r="N103" s="1"/>
      <c r="O103" s="1">
        <v>130</v>
      </c>
      <c r="P103" s="1">
        <v>0</v>
      </c>
      <c r="Q103" s="1"/>
      <c r="R103" s="1">
        <v>20</v>
      </c>
      <c r="S103" s="1">
        <f t="shared" si="38"/>
        <v>25.209600000000002</v>
      </c>
      <c r="T103" s="5">
        <v>50</v>
      </c>
      <c r="U103" s="5">
        <f t="shared" si="40"/>
        <v>180</v>
      </c>
      <c r="V103" s="5">
        <f t="shared" si="29"/>
        <v>116.40600000000001</v>
      </c>
      <c r="W103" s="5">
        <f>U103*$W$1</f>
        <v>63.594000000000001</v>
      </c>
      <c r="X103" s="18">
        <f>VLOOKUP(A103,[1]Sheet!$A:$V,21,0)</f>
        <v>180</v>
      </c>
      <c r="Y103" s="18" t="str">
        <f>VLOOKUP(A103,[1]Sheet!$A:$V,22,0)</f>
        <v>Промо</v>
      </c>
      <c r="Z103" s="1">
        <f t="shared" si="30"/>
        <v>18.297632647880171</v>
      </c>
      <c r="AA103" s="1">
        <f t="shared" si="41"/>
        <v>11.157495557248032</v>
      </c>
      <c r="AB103" s="1">
        <v>9.3978000000000002</v>
      </c>
      <c r="AC103" s="1">
        <v>0.58120000000000005</v>
      </c>
      <c r="AD103" s="1">
        <v>17.0002</v>
      </c>
      <c r="AE103" s="1">
        <v>17.857399999999998</v>
      </c>
      <c r="AF103" s="1">
        <v>0</v>
      </c>
      <c r="AG103" s="1">
        <v>0</v>
      </c>
      <c r="AH103" s="1">
        <v>-0.14299999999999999</v>
      </c>
      <c r="AI103" s="1">
        <v>-0.28339999999999999</v>
      </c>
      <c r="AJ103" s="1">
        <v>-0.42299999999999999</v>
      </c>
      <c r="AK103" s="1">
        <v>-0.71120000000000005</v>
      </c>
      <c r="AL103" s="1"/>
      <c r="AM103" s="1">
        <f t="shared" si="31"/>
        <v>116</v>
      </c>
      <c r="AN103" s="1">
        <f t="shared" si="32"/>
        <v>64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1" t="s">
        <v>148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37"/>
        <v>0</v>
      </c>
      <c r="M104" s="11"/>
      <c r="N104" s="11"/>
      <c r="O104" s="11">
        <v>0</v>
      </c>
      <c r="P104" s="11">
        <v>0</v>
      </c>
      <c r="Q104" s="11"/>
      <c r="R104" s="11">
        <v>0</v>
      </c>
      <c r="S104" s="11">
        <f t="shared" si="38"/>
        <v>0</v>
      </c>
      <c r="T104" s="13"/>
      <c r="U104" s="5">
        <f t="shared" si="28"/>
        <v>0</v>
      </c>
      <c r="V104" s="5">
        <f t="shared" si="29"/>
        <v>0</v>
      </c>
      <c r="W104" s="5"/>
      <c r="X104" s="18"/>
      <c r="Y104" s="18"/>
      <c r="Z104" s="1" t="e">
        <f t="shared" si="30"/>
        <v>#DIV/0!</v>
      </c>
      <c r="AA104" s="11" t="e">
        <f t="shared" si="41"/>
        <v>#DIV/0!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 t="s">
        <v>149</v>
      </c>
      <c r="AM104" s="1">
        <f t="shared" si="31"/>
        <v>0</v>
      </c>
      <c r="AN104" s="1">
        <f t="shared" si="32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150</v>
      </c>
      <c r="B105" s="1" t="s">
        <v>44</v>
      </c>
      <c r="C105" s="1">
        <v>59</v>
      </c>
      <c r="D105" s="1">
        <v>155</v>
      </c>
      <c r="E105" s="1">
        <v>198</v>
      </c>
      <c r="F105" s="1"/>
      <c r="G105" s="7">
        <v>0.28000000000000003</v>
      </c>
      <c r="H105" s="1">
        <v>40</v>
      </c>
      <c r="I105" s="10" t="s">
        <v>42</v>
      </c>
      <c r="J105" s="1"/>
      <c r="K105" s="1">
        <v>243</v>
      </c>
      <c r="L105" s="1">
        <f t="shared" si="37"/>
        <v>-45</v>
      </c>
      <c r="M105" s="1"/>
      <c r="N105" s="1"/>
      <c r="O105" s="1">
        <v>200</v>
      </c>
      <c r="P105" s="1">
        <v>74.736080000000015</v>
      </c>
      <c r="Q105" s="1">
        <v>134.02392</v>
      </c>
      <c r="R105" s="1">
        <v>200</v>
      </c>
      <c r="S105" s="1">
        <f t="shared" si="38"/>
        <v>39.6</v>
      </c>
      <c r="T105" s="5">
        <v>40</v>
      </c>
      <c r="U105" s="5">
        <f t="shared" si="28"/>
        <v>40</v>
      </c>
      <c r="V105" s="5">
        <f t="shared" si="29"/>
        <v>40</v>
      </c>
      <c r="W105" s="5"/>
      <c r="X105" s="18"/>
      <c r="Y105" s="18"/>
      <c r="Z105" s="1">
        <f t="shared" si="30"/>
        <v>16.382828282828282</v>
      </c>
      <c r="AA105" s="1">
        <f t="shared" si="41"/>
        <v>15.372727272727271</v>
      </c>
      <c r="AB105" s="1">
        <v>48.6</v>
      </c>
      <c r="AC105" s="1">
        <v>43.6</v>
      </c>
      <c r="AD105" s="1">
        <v>34.4</v>
      </c>
      <c r="AE105" s="1">
        <v>17.399999999999999</v>
      </c>
      <c r="AF105" s="1">
        <v>-1</v>
      </c>
      <c r="AG105" s="1">
        <v>-0.6</v>
      </c>
      <c r="AH105" s="1">
        <v>28.2</v>
      </c>
      <c r="AI105" s="1">
        <v>28.6</v>
      </c>
      <c r="AJ105" s="1">
        <v>0</v>
      </c>
      <c r="AK105" s="1">
        <v>7.6</v>
      </c>
      <c r="AL105" s="1"/>
      <c r="AM105" s="1">
        <f t="shared" si="31"/>
        <v>11</v>
      </c>
      <c r="AN105" s="1">
        <f t="shared" si="32"/>
        <v>0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151</v>
      </c>
      <c r="B106" s="1" t="s">
        <v>44</v>
      </c>
      <c r="C106" s="1">
        <v>-3</v>
      </c>
      <c r="D106" s="1">
        <v>421</v>
      </c>
      <c r="E106" s="1">
        <v>192</v>
      </c>
      <c r="F106" s="1">
        <v>217</v>
      </c>
      <c r="G106" s="7">
        <v>0.28000000000000003</v>
      </c>
      <c r="H106" s="1">
        <v>40</v>
      </c>
      <c r="I106" s="10" t="s">
        <v>42</v>
      </c>
      <c r="J106" s="1"/>
      <c r="K106" s="1">
        <v>196</v>
      </c>
      <c r="L106" s="1">
        <f t="shared" si="37"/>
        <v>-4</v>
      </c>
      <c r="M106" s="1"/>
      <c r="N106" s="1"/>
      <c r="O106" s="1">
        <v>100</v>
      </c>
      <c r="P106" s="1">
        <v>0</v>
      </c>
      <c r="Q106" s="1"/>
      <c r="R106" s="1">
        <v>80</v>
      </c>
      <c r="S106" s="1">
        <f t="shared" si="38"/>
        <v>38.4</v>
      </c>
      <c r="T106" s="5">
        <f t="shared" ref="T106:T107" si="42">11*S106-R106-Q106-P106-O106-F106</f>
        <v>25.399999999999977</v>
      </c>
      <c r="U106" s="5">
        <f t="shared" si="28"/>
        <v>25.399999999999977</v>
      </c>
      <c r="V106" s="5">
        <f t="shared" si="29"/>
        <v>25.399999999999977</v>
      </c>
      <c r="W106" s="5"/>
      <c r="X106" s="18"/>
      <c r="Y106" s="18"/>
      <c r="Z106" s="1">
        <f t="shared" si="30"/>
        <v>11</v>
      </c>
      <c r="AA106" s="1">
        <f t="shared" si="41"/>
        <v>10.338541666666668</v>
      </c>
      <c r="AB106" s="1">
        <v>12.6</v>
      </c>
      <c r="AC106" s="1">
        <v>5.8</v>
      </c>
      <c r="AD106" s="1">
        <v>1</v>
      </c>
      <c r="AE106" s="1">
        <v>33.6</v>
      </c>
      <c r="AF106" s="1">
        <v>47.8</v>
      </c>
      <c r="AG106" s="1">
        <v>45.6</v>
      </c>
      <c r="AH106" s="1">
        <v>29.2</v>
      </c>
      <c r="AI106" s="1">
        <v>-1</v>
      </c>
      <c r="AJ106" s="1">
        <v>-0.6</v>
      </c>
      <c r="AK106" s="1">
        <v>12.2</v>
      </c>
      <c r="AL106" s="1"/>
      <c r="AM106" s="1">
        <f t="shared" si="31"/>
        <v>7</v>
      </c>
      <c r="AN106" s="1">
        <f t="shared" si="32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152</v>
      </c>
      <c r="B107" s="1" t="s">
        <v>44</v>
      </c>
      <c r="C107" s="1">
        <v>3</v>
      </c>
      <c r="D107" s="1">
        <v>180</v>
      </c>
      <c r="E107" s="1">
        <v>179</v>
      </c>
      <c r="F107" s="1">
        <v>2</v>
      </c>
      <c r="G107" s="7">
        <v>0.28000000000000003</v>
      </c>
      <c r="H107" s="1">
        <v>40</v>
      </c>
      <c r="I107" s="10" t="s">
        <v>42</v>
      </c>
      <c r="J107" s="1"/>
      <c r="K107" s="1">
        <v>199</v>
      </c>
      <c r="L107" s="1">
        <f t="shared" si="37"/>
        <v>-20</v>
      </c>
      <c r="M107" s="1"/>
      <c r="N107" s="1"/>
      <c r="O107" s="1">
        <v>100</v>
      </c>
      <c r="P107" s="1">
        <v>0</v>
      </c>
      <c r="Q107" s="1"/>
      <c r="R107" s="1">
        <v>50</v>
      </c>
      <c r="S107" s="1">
        <f t="shared" si="38"/>
        <v>35.799999999999997</v>
      </c>
      <c r="T107" s="5">
        <f t="shared" si="42"/>
        <v>241.79999999999995</v>
      </c>
      <c r="U107" s="5">
        <f t="shared" si="28"/>
        <v>241.79999999999995</v>
      </c>
      <c r="V107" s="5">
        <f t="shared" si="29"/>
        <v>156.37205999999998</v>
      </c>
      <c r="W107" s="5">
        <f>U107*$W$1</f>
        <v>85.427939999999978</v>
      </c>
      <c r="X107" s="18"/>
      <c r="Y107" s="18"/>
      <c r="Z107" s="1">
        <f t="shared" si="30"/>
        <v>11</v>
      </c>
      <c r="AA107" s="1">
        <f t="shared" si="41"/>
        <v>4.2458100558659222</v>
      </c>
      <c r="AB107" s="1">
        <v>6</v>
      </c>
      <c r="AC107" s="1">
        <v>-0.4</v>
      </c>
      <c r="AD107" s="1">
        <v>-0.2</v>
      </c>
      <c r="AE107" s="1">
        <v>-0.2</v>
      </c>
      <c r="AF107" s="1">
        <v>-0.2</v>
      </c>
      <c r="AG107" s="1">
        <v>19.600000000000001</v>
      </c>
      <c r="AH107" s="1">
        <v>49.2</v>
      </c>
      <c r="AI107" s="1">
        <v>29.4</v>
      </c>
      <c r="AJ107" s="1">
        <v>0.4</v>
      </c>
      <c r="AK107" s="1">
        <v>10.6</v>
      </c>
      <c r="AL107" s="1"/>
      <c r="AM107" s="1">
        <f t="shared" si="31"/>
        <v>44</v>
      </c>
      <c r="AN107" s="1">
        <f t="shared" si="32"/>
        <v>24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1" t="s">
        <v>153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37"/>
        <v>0</v>
      </c>
      <c r="M108" s="11"/>
      <c r="N108" s="11"/>
      <c r="O108" s="11">
        <v>0</v>
      </c>
      <c r="P108" s="11">
        <v>0</v>
      </c>
      <c r="Q108" s="11"/>
      <c r="R108" s="11">
        <v>0</v>
      </c>
      <c r="S108" s="11">
        <f t="shared" si="38"/>
        <v>0</v>
      </c>
      <c r="T108" s="13"/>
      <c r="U108" s="5">
        <f t="shared" si="28"/>
        <v>0</v>
      </c>
      <c r="V108" s="5">
        <f t="shared" si="29"/>
        <v>0</v>
      </c>
      <c r="W108" s="5"/>
      <c r="X108" s="18"/>
      <c r="Y108" s="18"/>
      <c r="Z108" s="1" t="e">
        <f t="shared" si="30"/>
        <v>#DIV/0!</v>
      </c>
      <c r="AA108" s="11" t="e">
        <f t="shared" si="41"/>
        <v>#DIV/0!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 t="s">
        <v>49</v>
      </c>
      <c r="AM108" s="1">
        <f t="shared" si="31"/>
        <v>0</v>
      </c>
      <c r="AN108" s="1">
        <f t="shared" si="32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154</v>
      </c>
      <c r="B109" s="1" t="s">
        <v>38</v>
      </c>
      <c r="C109" s="1">
        <v>117.113</v>
      </c>
      <c r="D109" s="1"/>
      <c r="E109" s="1">
        <v>12.396000000000001</v>
      </c>
      <c r="F109" s="1">
        <v>102.187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37"/>
        <v>-2.6039999999999992</v>
      </c>
      <c r="M109" s="1"/>
      <c r="N109" s="1"/>
      <c r="O109" s="1">
        <v>0</v>
      </c>
      <c r="P109" s="1">
        <v>0</v>
      </c>
      <c r="Q109" s="1"/>
      <c r="R109" s="1">
        <v>0</v>
      </c>
      <c r="S109" s="1">
        <f t="shared" si="38"/>
        <v>2.4792000000000001</v>
      </c>
      <c r="T109" s="5"/>
      <c r="U109" s="5">
        <f t="shared" si="28"/>
        <v>0</v>
      </c>
      <c r="V109" s="5">
        <f t="shared" si="29"/>
        <v>0</v>
      </c>
      <c r="W109" s="5"/>
      <c r="X109" s="18"/>
      <c r="Y109" s="18"/>
      <c r="Z109" s="1">
        <f t="shared" si="30"/>
        <v>41.217731526298806</v>
      </c>
      <c r="AA109" s="1">
        <f t="shared" si="41"/>
        <v>41.217731526298806</v>
      </c>
      <c r="AB109" s="1">
        <v>2.9740000000000002</v>
      </c>
      <c r="AC109" s="1">
        <v>4.4543999999999997</v>
      </c>
      <c r="AD109" s="1">
        <v>6.4551999999999996</v>
      </c>
      <c r="AE109" s="1">
        <v>4.9847999999999999</v>
      </c>
      <c r="AF109" s="1">
        <v>1.3324</v>
      </c>
      <c r="AG109" s="1">
        <v>0.84160000000000001</v>
      </c>
      <c r="AH109" s="1">
        <v>5.0156000000000001</v>
      </c>
      <c r="AI109" s="1">
        <v>13.5182</v>
      </c>
      <c r="AJ109" s="1">
        <v>13.540800000000001</v>
      </c>
      <c r="AK109" s="1">
        <v>6.0069999999999997</v>
      </c>
      <c r="AL109" s="14" t="s">
        <v>102</v>
      </c>
      <c r="AM109" s="1">
        <f t="shared" si="31"/>
        <v>0</v>
      </c>
      <c r="AN109" s="1">
        <f t="shared" si="32"/>
        <v>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155</v>
      </c>
      <c r="B110" s="1" t="s">
        <v>38</v>
      </c>
      <c r="C110" s="1">
        <v>53.24</v>
      </c>
      <c r="D110" s="1"/>
      <c r="E110" s="1">
        <v>20.196000000000002</v>
      </c>
      <c r="F110" s="1">
        <v>33.043999999999997</v>
      </c>
      <c r="G110" s="7">
        <v>1</v>
      </c>
      <c r="H110" s="1">
        <v>50</v>
      </c>
      <c r="I110" s="1" t="s">
        <v>39</v>
      </c>
      <c r="J110" s="1"/>
      <c r="K110" s="1">
        <v>20</v>
      </c>
      <c r="L110" s="1">
        <f t="shared" si="37"/>
        <v>0.19600000000000151</v>
      </c>
      <c r="M110" s="1"/>
      <c r="N110" s="1"/>
      <c r="O110" s="1">
        <v>51.036799999999992</v>
      </c>
      <c r="P110" s="1">
        <v>0</v>
      </c>
      <c r="Q110" s="1"/>
      <c r="R110" s="1">
        <v>0</v>
      </c>
      <c r="S110" s="1">
        <f t="shared" si="38"/>
        <v>4.0392000000000001</v>
      </c>
      <c r="T110" s="5"/>
      <c r="U110" s="5">
        <f t="shared" si="28"/>
        <v>0</v>
      </c>
      <c r="V110" s="5">
        <f t="shared" si="29"/>
        <v>0</v>
      </c>
      <c r="W110" s="5"/>
      <c r="X110" s="18"/>
      <c r="Y110" s="18"/>
      <c r="Z110" s="1">
        <f t="shared" si="30"/>
        <v>20.81620122796593</v>
      </c>
      <c r="AA110" s="1">
        <f t="shared" si="41"/>
        <v>20.81620122796593</v>
      </c>
      <c r="AB110" s="1">
        <v>3.0364</v>
      </c>
      <c r="AC110" s="1">
        <v>5.5724</v>
      </c>
      <c r="AD110" s="1">
        <v>9.1123999999999992</v>
      </c>
      <c r="AE110" s="1">
        <v>6.056</v>
      </c>
      <c r="AF110" s="1">
        <v>3.4940000000000002</v>
      </c>
      <c r="AG110" s="1">
        <v>4.9979999999999993</v>
      </c>
      <c r="AH110" s="1">
        <v>5.8792</v>
      </c>
      <c r="AI110" s="1">
        <v>11.348599999999999</v>
      </c>
      <c r="AJ110" s="1">
        <v>10.4556</v>
      </c>
      <c r="AK110" s="1">
        <v>3.9902000000000002</v>
      </c>
      <c r="AL110" s="14" t="s">
        <v>102</v>
      </c>
      <c r="AM110" s="1">
        <f t="shared" si="31"/>
        <v>0</v>
      </c>
      <c r="AN110" s="1">
        <f t="shared" si="32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156</v>
      </c>
      <c r="B111" s="1" t="s">
        <v>44</v>
      </c>
      <c r="C111" s="1">
        <v>2</v>
      </c>
      <c r="D111" s="1">
        <v>80</v>
      </c>
      <c r="E111" s="1">
        <v>46</v>
      </c>
      <c r="F111" s="1">
        <v>35</v>
      </c>
      <c r="G111" s="7">
        <v>0.09</v>
      </c>
      <c r="H111" s="1"/>
      <c r="I111" s="10" t="s">
        <v>42</v>
      </c>
      <c r="J111" s="1"/>
      <c r="K111" s="1">
        <v>49</v>
      </c>
      <c r="L111" s="1">
        <f t="shared" si="37"/>
        <v>-3</v>
      </c>
      <c r="M111" s="1"/>
      <c r="N111" s="1"/>
      <c r="O111" s="1">
        <v>59.399999999999977</v>
      </c>
      <c r="P111" s="1">
        <v>0</v>
      </c>
      <c r="Q111" s="1"/>
      <c r="R111" s="1">
        <v>0</v>
      </c>
      <c r="S111" s="1">
        <f t="shared" si="38"/>
        <v>9.1999999999999993</v>
      </c>
      <c r="T111" s="5">
        <f t="shared" ref="T111" si="43">11*S111-R111-Q111-P111-O111-F111</f>
        <v>6.8000000000000114</v>
      </c>
      <c r="U111" s="5">
        <f t="shared" si="28"/>
        <v>6.8000000000000114</v>
      </c>
      <c r="V111" s="5">
        <f t="shared" si="29"/>
        <v>6.8000000000000114</v>
      </c>
      <c r="W111" s="5"/>
      <c r="X111" s="18"/>
      <c r="Y111" s="18"/>
      <c r="Z111" s="1">
        <f t="shared" si="30"/>
        <v>11</v>
      </c>
      <c r="AA111" s="1">
        <f t="shared" si="41"/>
        <v>10.260869565217389</v>
      </c>
      <c r="AB111" s="1">
        <v>7</v>
      </c>
      <c r="AC111" s="1">
        <v>8.8000000000000007</v>
      </c>
      <c r="AD111" s="1">
        <v>11.6</v>
      </c>
      <c r="AE111" s="1">
        <v>9.8000000000000007</v>
      </c>
      <c r="AF111" s="1">
        <v>6.6</v>
      </c>
      <c r="AG111" s="1">
        <v>5</v>
      </c>
      <c r="AH111" s="1">
        <v>2.8</v>
      </c>
      <c r="AI111" s="1">
        <v>0.4</v>
      </c>
      <c r="AJ111" s="1">
        <v>2.8</v>
      </c>
      <c r="AK111" s="1">
        <v>10.6</v>
      </c>
      <c r="AL111" s="1"/>
      <c r="AM111" s="1">
        <f t="shared" si="31"/>
        <v>1</v>
      </c>
      <c r="AN111" s="1">
        <f t="shared" si="32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1" t="s">
        <v>157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37"/>
        <v>0</v>
      </c>
      <c r="M112" s="11"/>
      <c r="N112" s="11"/>
      <c r="O112" s="11">
        <v>0</v>
      </c>
      <c r="P112" s="11">
        <v>0</v>
      </c>
      <c r="Q112" s="11"/>
      <c r="R112" s="11">
        <v>0</v>
      </c>
      <c r="S112" s="11">
        <f t="shared" si="38"/>
        <v>0</v>
      </c>
      <c r="T112" s="13"/>
      <c r="U112" s="5">
        <f t="shared" si="28"/>
        <v>0</v>
      </c>
      <c r="V112" s="5">
        <f t="shared" si="29"/>
        <v>0</v>
      </c>
      <c r="W112" s="5"/>
      <c r="X112" s="18"/>
      <c r="Y112" s="18"/>
      <c r="Z112" s="1" t="e">
        <f t="shared" si="30"/>
        <v>#DIV/0!</v>
      </c>
      <c r="AA112" s="11" t="e">
        <f t="shared" si="41"/>
        <v>#DIV/0!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 t="s">
        <v>49</v>
      </c>
      <c r="AM112" s="1">
        <f t="shared" si="31"/>
        <v>0</v>
      </c>
      <c r="AN112" s="1">
        <f t="shared" si="32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158</v>
      </c>
      <c r="B113" s="1" t="s">
        <v>38</v>
      </c>
      <c r="C113" s="1">
        <v>51.713000000000001</v>
      </c>
      <c r="D113" s="1">
        <v>132.65799999999999</v>
      </c>
      <c r="E113" s="1">
        <v>129.22200000000001</v>
      </c>
      <c r="F113" s="1">
        <v>52.246000000000002</v>
      </c>
      <c r="G113" s="7">
        <v>1</v>
      </c>
      <c r="H113" s="1">
        <v>60</v>
      </c>
      <c r="I113" s="10" t="s">
        <v>42</v>
      </c>
      <c r="J113" s="1"/>
      <c r="K113" s="1">
        <v>148.4</v>
      </c>
      <c r="L113" s="1">
        <f t="shared" si="37"/>
        <v>-19.177999999999997</v>
      </c>
      <c r="M113" s="1"/>
      <c r="N113" s="1"/>
      <c r="O113" s="1">
        <v>93.015879999999981</v>
      </c>
      <c r="P113" s="1">
        <v>75.83791807999998</v>
      </c>
      <c r="Q113" s="1">
        <v>135.99984191999999</v>
      </c>
      <c r="R113" s="1">
        <v>120</v>
      </c>
      <c r="S113" s="1">
        <f t="shared" si="38"/>
        <v>25.8444</v>
      </c>
      <c r="T113" s="5"/>
      <c r="U113" s="5">
        <f t="shared" ref="U113" si="44">X113</f>
        <v>100</v>
      </c>
      <c r="V113" s="5">
        <f t="shared" si="29"/>
        <v>100</v>
      </c>
      <c r="W113" s="5"/>
      <c r="X113" s="18">
        <f>VLOOKUP(A113,[1]Sheet!$A:$V,21,0)</f>
        <v>100</v>
      </c>
      <c r="Y113" s="18" t="str">
        <f>VLOOKUP(A113,[1]Sheet!$A:$V,22,0)</f>
        <v>Промо</v>
      </c>
      <c r="Z113" s="1">
        <f t="shared" si="30"/>
        <v>22.329775115692371</v>
      </c>
      <c r="AA113" s="1">
        <f t="shared" si="41"/>
        <v>18.460464936311151</v>
      </c>
      <c r="AB113" s="1">
        <v>34.096800000000002</v>
      </c>
      <c r="AC113" s="1">
        <v>33.693600000000004</v>
      </c>
      <c r="AD113" s="1">
        <v>28.686</v>
      </c>
      <c r="AE113" s="1">
        <v>22.612400000000001</v>
      </c>
      <c r="AF113" s="1">
        <v>22.637599999999999</v>
      </c>
      <c r="AG113" s="1">
        <v>27.105399999999999</v>
      </c>
      <c r="AH113" s="1">
        <v>27.293199999999999</v>
      </c>
      <c r="AI113" s="1">
        <v>31.0916</v>
      </c>
      <c r="AJ113" s="1">
        <v>23.963999999999999</v>
      </c>
      <c r="AK113" s="1">
        <v>24.394400000000001</v>
      </c>
      <c r="AL113" s="1"/>
      <c r="AM113" s="1">
        <f t="shared" si="31"/>
        <v>100</v>
      </c>
      <c r="AN113" s="1">
        <f t="shared" si="32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159</v>
      </c>
      <c r="B114" s="1" t="s">
        <v>38</v>
      </c>
      <c r="C114" s="1">
        <v>4.8600000000000003</v>
      </c>
      <c r="D114" s="1">
        <v>148.619</v>
      </c>
      <c r="E114" s="1">
        <v>80.875</v>
      </c>
      <c r="F114" s="1">
        <v>70.962999999999994</v>
      </c>
      <c r="G114" s="7">
        <v>1</v>
      </c>
      <c r="H114" s="1">
        <v>60</v>
      </c>
      <c r="I114" s="1" t="s">
        <v>39</v>
      </c>
      <c r="J114" s="1"/>
      <c r="K114" s="1">
        <v>103.85</v>
      </c>
      <c r="L114" s="1">
        <f t="shared" si="37"/>
        <v>-22.974999999999994</v>
      </c>
      <c r="M114" s="1"/>
      <c r="N114" s="1"/>
      <c r="O114" s="1">
        <v>201.23882</v>
      </c>
      <c r="P114" s="1">
        <v>106.66906424</v>
      </c>
      <c r="Q114" s="1">
        <v>191.28921575999999</v>
      </c>
      <c r="R114" s="1">
        <v>80</v>
      </c>
      <c r="S114" s="1">
        <f t="shared" si="38"/>
        <v>16.175000000000001</v>
      </c>
      <c r="T114" s="5"/>
      <c r="U114" s="5">
        <v>50</v>
      </c>
      <c r="V114" s="5">
        <f t="shared" si="29"/>
        <v>50</v>
      </c>
      <c r="W114" s="5"/>
      <c r="X114" s="18">
        <f>VLOOKUP(A114,[1]Sheet!$A:$V,21,0)</f>
        <v>100</v>
      </c>
      <c r="Y114" s="18" t="str">
        <f>VLOOKUP(A114,[1]Sheet!$A:$V,22,0)</f>
        <v>Промо</v>
      </c>
      <c r="Z114" s="1">
        <f t="shared" si="30"/>
        <v>43.286559505409585</v>
      </c>
      <c r="AA114" s="1">
        <f t="shared" si="41"/>
        <v>40.195369397217931</v>
      </c>
      <c r="AB114" s="1">
        <v>30.338000000000001</v>
      </c>
      <c r="AC114" s="1">
        <v>45.3508</v>
      </c>
      <c r="AD114" s="1">
        <v>34.774000000000001</v>
      </c>
      <c r="AE114" s="1">
        <v>25.2286</v>
      </c>
      <c r="AF114" s="1">
        <v>23.5992</v>
      </c>
      <c r="AG114" s="1">
        <v>31.338799999999999</v>
      </c>
      <c r="AH114" s="1">
        <v>29.66</v>
      </c>
      <c r="AI114" s="1">
        <v>32.9238</v>
      </c>
      <c r="AJ114" s="1">
        <v>39.220199999999998</v>
      </c>
      <c r="AK114" s="1">
        <v>45.087000000000003</v>
      </c>
      <c r="AL114" s="1"/>
      <c r="AM114" s="1">
        <f t="shared" si="31"/>
        <v>50</v>
      </c>
      <c r="AN114" s="1">
        <f t="shared" si="32"/>
        <v>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160</v>
      </c>
      <c r="B115" s="1" t="s">
        <v>38</v>
      </c>
      <c r="C115" s="1">
        <v>84.227000000000004</v>
      </c>
      <c r="D115" s="1">
        <v>1.39</v>
      </c>
      <c r="E115" s="1">
        <v>33.286999999999999</v>
      </c>
      <c r="F115" s="1">
        <v>50.94</v>
      </c>
      <c r="G115" s="7">
        <v>1</v>
      </c>
      <c r="H115" s="1">
        <v>60</v>
      </c>
      <c r="I115" s="10" t="s">
        <v>42</v>
      </c>
      <c r="J115" s="1"/>
      <c r="K115" s="1">
        <v>31.5</v>
      </c>
      <c r="L115" s="1">
        <f t="shared" si="37"/>
        <v>1.786999999999999</v>
      </c>
      <c r="M115" s="1"/>
      <c r="N115" s="1"/>
      <c r="O115" s="1">
        <v>17.412734000000039</v>
      </c>
      <c r="P115" s="1">
        <v>0</v>
      </c>
      <c r="Q115" s="1"/>
      <c r="R115" s="1">
        <v>29.29506599999997</v>
      </c>
      <c r="S115" s="1">
        <f t="shared" si="38"/>
        <v>6.6574</v>
      </c>
      <c r="T115" s="5"/>
      <c r="U115" s="5">
        <f t="shared" si="28"/>
        <v>0</v>
      </c>
      <c r="V115" s="5">
        <f t="shared" si="29"/>
        <v>0</v>
      </c>
      <c r="W115" s="5"/>
      <c r="X115" s="18"/>
      <c r="Y115" s="18"/>
      <c r="Z115" s="1">
        <f t="shared" si="30"/>
        <v>14.667557905488632</v>
      </c>
      <c r="AA115" s="1">
        <f t="shared" si="41"/>
        <v>14.667557905488632</v>
      </c>
      <c r="AB115" s="1">
        <v>8.7114000000000011</v>
      </c>
      <c r="AC115" s="1">
        <v>7.2957999999999998</v>
      </c>
      <c r="AD115" s="1">
        <v>9.3412000000000006</v>
      </c>
      <c r="AE115" s="1">
        <v>6.0305999999999997</v>
      </c>
      <c r="AF115" s="1">
        <v>2.9855999999999998</v>
      </c>
      <c r="AG115" s="1">
        <v>10.257199999999999</v>
      </c>
      <c r="AH115" s="1">
        <v>11.1214</v>
      </c>
      <c r="AI115" s="1">
        <v>6.5174000000000003</v>
      </c>
      <c r="AJ115" s="1">
        <v>7.8681999999999999</v>
      </c>
      <c r="AK115" s="1">
        <v>14.795</v>
      </c>
      <c r="AL115" s="1"/>
      <c r="AM115" s="1">
        <f t="shared" si="31"/>
        <v>0</v>
      </c>
      <c r="AN115" s="1">
        <f t="shared" si="32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161</v>
      </c>
      <c r="B116" s="1" t="s">
        <v>38</v>
      </c>
      <c r="C116" s="1">
        <v>1675.579</v>
      </c>
      <c r="D116" s="1">
        <v>20.138000000000002</v>
      </c>
      <c r="E116" s="1">
        <v>1285.53</v>
      </c>
      <c r="F116" s="1">
        <v>357.49799999999999</v>
      </c>
      <c r="G116" s="7">
        <v>1</v>
      </c>
      <c r="H116" s="1">
        <v>60</v>
      </c>
      <c r="I116" s="1" t="s">
        <v>39</v>
      </c>
      <c r="J116" s="1"/>
      <c r="K116" s="1">
        <v>1276</v>
      </c>
      <c r="L116" s="1">
        <f t="shared" si="37"/>
        <v>9.5299999999999727</v>
      </c>
      <c r="M116" s="1"/>
      <c r="N116" s="1"/>
      <c r="O116" s="1">
        <v>451.37974239999988</v>
      </c>
      <c r="P116" s="1">
        <v>339.24079198080022</v>
      </c>
      <c r="Q116" s="1">
        <v>608.35918561920039</v>
      </c>
      <c r="R116" s="1">
        <v>0</v>
      </c>
      <c r="S116" s="1">
        <f t="shared" si="38"/>
        <v>257.10599999999999</v>
      </c>
      <c r="T116" s="5">
        <f t="shared" ref="T116" si="45">11*S116-R116-Q116-P116-O116-F116</f>
        <v>1071.6882799999994</v>
      </c>
      <c r="U116" s="5">
        <f>T116+S116*$U$1</f>
        <v>1688.7426799999994</v>
      </c>
      <c r="V116" s="5">
        <f t="shared" si="29"/>
        <v>1092.1098911559995</v>
      </c>
      <c r="W116" s="5">
        <f>U116*$W$1</f>
        <v>596.63278884399983</v>
      </c>
      <c r="X116" s="18"/>
      <c r="Y116" s="18"/>
      <c r="Z116" s="1">
        <f t="shared" si="30"/>
        <v>13.4</v>
      </c>
      <c r="AA116" s="1">
        <f t="shared" si="41"/>
        <v>6.8317259029349788</v>
      </c>
      <c r="AB116" s="1">
        <v>200.36799999999999</v>
      </c>
      <c r="AC116" s="1">
        <v>217.51920000000001</v>
      </c>
      <c r="AD116" s="1">
        <v>206.75880000000001</v>
      </c>
      <c r="AE116" s="1">
        <v>144.517</v>
      </c>
      <c r="AF116" s="1">
        <v>123.8562</v>
      </c>
      <c r="AG116" s="1">
        <v>248.13579999999999</v>
      </c>
      <c r="AH116" s="1">
        <v>262.48399999999998</v>
      </c>
      <c r="AI116" s="1">
        <v>125.1674</v>
      </c>
      <c r="AJ116" s="1">
        <v>148.19280000000001</v>
      </c>
      <c r="AK116" s="1">
        <v>178.65039999999999</v>
      </c>
      <c r="AL116" s="1"/>
      <c r="AM116" s="1">
        <f t="shared" si="31"/>
        <v>1092</v>
      </c>
      <c r="AN116" s="1">
        <f t="shared" si="32"/>
        <v>597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 t="s">
        <v>162</v>
      </c>
      <c r="B117" s="1" t="s">
        <v>44</v>
      </c>
      <c r="C117" s="1">
        <v>351</v>
      </c>
      <c r="D117" s="1"/>
      <c r="E117" s="1">
        <v>18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18</v>
      </c>
      <c r="L117" s="1">
        <f t="shared" si="37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>
        <f t="shared" si="38"/>
        <v>3.6</v>
      </c>
      <c r="T117" s="5"/>
      <c r="U117" s="5">
        <f t="shared" si="28"/>
        <v>0</v>
      </c>
      <c r="V117" s="5">
        <f t="shared" si="29"/>
        <v>0</v>
      </c>
      <c r="W117" s="5"/>
      <c r="X117" s="18"/>
      <c r="Y117" s="18"/>
      <c r="Z117" s="1">
        <f t="shared" si="30"/>
        <v>92.5</v>
      </c>
      <c r="AA117" s="1">
        <f t="shared" si="41"/>
        <v>92.5</v>
      </c>
      <c r="AB117" s="1">
        <v>6.2</v>
      </c>
      <c r="AC117" s="1">
        <v>3.8</v>
      </c>
      <c r="AD117" s="1">
        <v>7.2</v>
      </c>
      <c r="AE117" s="1">
        <v>10.6</v>
      </c>
      <c r="AF117" s="1">
        <v>7.2</v>
      </c>
      <c r="AG117" s="1">
        <v>8</v>
      </c>
      <c r="AH117" s="1">
        <v>11</v>
      </c>
      <c r="AI117" s="1">
        <v>16.600000000000001</v>
      </c>
      <c r="AJ117" s="1">
        <v>36.4</v>
      </c>
      <c r="AK117" s="1">
        <v>43.4</v>
      </c>
      <c r="AL117" s="14" t="s">
        <v>102</v>
      </c>
      <c r="AM117" s="1">
        <f t="shared" si="31"/>
        <v>0</v>
      </c>
      <c r="AN117" s="1">
        <f t="shared" si="32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163</v>
      </c>
      <c r="B118" s="1" t="s">
        <v>44</v>
      </c>
      <c r="C118" s="1">
        <v>348</v>
      </c>
      <c r="D118" s="1"/>
      <c r="E118" s="1">
        <v>11</v>
      </c>
      <c r="F118" s="15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11</v>
      </c>
      <c r="L118" s="1">
        <f t="shared" si="37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>
        <f t="shared" si="38"/>
        <v>2.2000000000000002</v>
      </c>
      <c r="T118" s="5"/>
      <c r="U118" s="5">
        <f t="shared" si="28"/>
        <v>0</v>
      </c>
      <c r="V118" s="5">
        <f t="shared" si="29"/>
        <v>0</v>
      </c>
      <c r="W118" s="5"/>
      <c r="X118" s="18"/>
      <c r="Y118" s="18"/>
      <c r="Z118" s="1">
        <f t="shared" si="30"/>
        <v>175.90909090909091</v>
      </c>
      <c r="AA118" s="1">
        <f t="shared" si="41"/>
        <v>175.90909090909091</v>
      </c>
      <c r="AB118" s="1">
        <v>4.8</v>
      </c>
      <c r="AC118" s="1">
        <v>4</v>
      </c>
      <c r="AD118" s="1">
        <v>4.5999999999999996</v>
      </c>
      <c r="AE118" s="1">
        <v>5.4</v>
      </c>
      <c r="AF118" s="1">
        <v>3.6</v>
      </c>
      <c r="AG118" s="1">
        <v>3.6</v>
      </c>
      <c r="AH118" s="1">
        <v>7</v>
      </c>
      <c r="AI118" s="1">
        <v>11.6</v>
      </c>
      <c r="AJ118" s="1">
        <v>21</v>
      </c>
      <c r="AK118" s="1">
        <v>27.8</v>
      </c>
      <c r="AL118" s="14" t="s">
        <v>102</v>
      </c>
      <c r="AM118" s="1">
        <f t="shared" si="31"/>
        <v>0</v>
      </c>
      <c r="AN118" s="1">
        <f t="shared" si="32"/>
        <v>0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164</v>
      </c>
      <c r="B119" s="1" t="s">
        <v>44</v>
      </c>
      <c r="C119" s="1">
        <v>460</v>
      </c>
      <c r="D119" s="1"/>
      <c r="E119" s="1">
        <v>28</v>
      </c>
      <c r="F119" s="1">
        <v>432</v>
      </c>
      <c r="G119" s="7">
        <v>0.25</v>
      </c>
      <c r="H119" s="1">
        <v>1096</v>
      </c>
      <c r="I119" s="10" t="s">
        <v>42</v>
      </c>
      <c r="J119" s="1"/>
      <c r="K119" s="1">
        <v>28</v>
      </c>
      <c r="L119" s="1">
        <f t="shared" si="37"/>
        <v>0</v>
      </c>
      <c r="M119" s="1"/>
      <c r="N119" s="1"/>
      <c r="O119" s="1">
        <v>0</v>
      </c>
      <c r="P119" s="1">
        <v>0</v>
      </c>
      <c r="Q119" s="1"/>
      <c r="R119" s="1">
        <v>0</v>
      </c>
      <c r="S119" s="1">
        <f t="shared" si="38"/>
        <v>5.6</v>
      </c>
      <c r="T119" s="5"/>
      <c r="U119" s="5">
        <f t="shared" si="28"/>
        <v>0</v>
      </c>
      <c r="V119" s="5">
        <f t="shared" si="29"/>
        <v>0</v>
      </c>
      <c r="W119" s="5"/>
      <c r="X119" s="18"/>
      <c r="Y119" s="18"/>
      <c r="Z119" s="1">
        <f t="shared" si="30"/>
        <v>77.142857142857153</v>
      </c>
      <c r="AA119" s="1">
        <f t="shared" si="41"/>
        <v>77.142857142857153</v>
      </c>
      <c r="AB119" s="1">
        <v>10</v>
      </c>
      <c r="AC119" s="1">
        <v>7.8</v>
      </c>
      <c r="AD119" s="1">
        <v>9.4</v>
      </c>
      <c r="AE119" s="1">
        <v>10.4</v>
      </c>
      <c r="AF119" s="1">
        <v>4.8</v>
      </c>
      <c r="AG119" s="1">
        <v>2.4</v>
      </c>
      <c r="AH119" s="1">
        <v>13</v>
      </c>
      <c r="AI119" s="1">
        <v>19.8</v>
      </c>
      <c r="AJ119" s="1">
        <v>38</v>
      </c>
      <c r="AK119" s="1">
        <v>49.6</v>
      </c>
      <c r="AL119" s="14" t="s">
        <v>102</v>
      </c>
      <c r="AM119" s="1">
        <f t="shared" si="31"/>
        <v>0</v>
      </c>
      <c r="AN119" s="1">
        <f t="shared" si="32"/>
        <v>0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1" t="s">
        <v>165</v>
      </c>
      <c r="B120" s="11" t="s">
        <v>38</v>
      </c>
      <c r="C120" s="11"/>
      <c r="D120" s="11">
        <v>11.885</v>
      </c>
      <c r="E120" s="11">
        <v>11.888</v>
      </c>
      <c r="F120" s="11">
        <v>-3.0000000000000001E-3</v>
      </c>
      <c r="G120" s="12">
        <v>0</v>
      </c>
      <c r="H120" s="11"/>
      <c r="I120" s="11" t="s">
        <v>166</v>
      </c>
      <c r="J120" s="11"/>
      <c r="K120" s="11">
        <v>8.1999999999999993</v>
      </c>
      <c r="L120" s="11">
        <f t="shared" si="37"/>
        <v>3.6880000000000006</v>
      </c>
      <c r="M120" s="11"/>
      <c r="N120" s="11"/>
      <c r="O120" s="11"/>
      <c r="P120" s="11"/>
      <c r="Q120" s="11"/>
      <c r="R120" s="11">
        <v>0</v>
      </c>
      <c r="S120" s="11">
        <f t="shared" si="38"/>
        <v>2.3776000000000002</v>
      </c>
      <c r="T120" s="13"/>
      <c r="U120" s="5">
        <f t="shared" si="28"/>
        <v>0</v>
      </c>
      <c r="V120" s="5">
        <f t="shared" si="29"/>
        <v>0</v>
      </c>
      <c r="W120" s="5"/>
      <c r="X120" s="18"/>
      <c r="Y120" s="18"/>
      <c r="Z120" s="1">
        <f t="shared" si="30"/>
        <v>-1.2617765814266486E-3</v>
      </c>
      <c r="AA120" s="11">
        <f t="shared" si="41"/>
        <v>-1.2617765814266486E-3</v>
      </c>
      <c r="AB120" s="11">
        <v>0.39679999999999999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/>
      <c r="AM120" s="1">
        <f t="shared" si="31"/>
        <v>0</v>
      </c>
      <c r="AN120" s="1">
        <f t="shared" si="32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1" t="s">
        <v>167</v>
      </c>
      <c r="B121" s="11" t="s">
        <v>38</v>
      </c>
      <c r="C121" s="11"/>
      <c r="D121" s="11">
        <v>43.996000000000002</v>
      </c>
      <c r="E121" s="11"/>
      <c r="F121" s="11"/>
      <c r="G121" s="12">
        <v>0</v>
      </c>
      <c r="H121" s="11"/>
      <c r="I121" s="11" t="s">
        <v>168</v>
      </c>
      <c r="J121" s="11" t="s">
        <v>88</v>
      </c>
      <c r="K121" s="11"/>
      <c r="L121" s="11">
        <f t="shared" si="37"/>
        <v>0</v>
      </c>
      <c r="M121" s="11"/>
      <c r="N121" s="11"/>
      <c r="O121" s="11"/>
      <c r="P121" s="11"/>
      <c r="Q121" s="11"/>
      <c r="R121" s="11">
        <v>0</v>
      </c>
      <c r="S121" s="11">
        <f t="shared" si="38"/>
        <v>0</v>
      </c>
      <c r="T121" s="13"/>
      <c r="U121" s="5">
        <f t="shared" si="28"/>
        <v>0</v>
      </c>
      <c r="V121" s="5">
        <f t="shared" si="29"/>
        <v>0</v>
      </c>
      <c r="W121" s="5"/>
      <c r="X121" s="18"/>
      <c r="Y121" s="18"/>
      <c r="Z121" s="1" t="e">
        <f t="shared" si="30"/>
        <v>#DIV/0!</v>
      </c>
      <c r="AA121" s="11" t="e">
        <f t="shared" si="41"/>
        <v>#DIV/0!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/>
      <c r="AM121" s="1">
        <f t="shared" si="31"/>
        <v>0</v>
      </c>
      <c r="AN121" s="1">
        <f t="shared" si="32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169</v>
      </c>
      <c r="B122" s="1" t="s">
        <v>44</v>
      </c>
      <c r="C122" s="1"/>
      <c r="D122" s="1">
        <v>90</v>
      </c>
      <c r="E122" s="1">
        <v>80</v>
      </c>
      <c r="F122" s="1">
        <v>-2</v>
      </c>
      <c r="G122" s="7">
        <v>0.3</v>
      </c>
      <c r="H122" s="1">
        <v>40</v>
      </c>
      <c r="I122" s="10" t="s">
        <v>42</v>
      </c>
      <c r="J122" s="1"/>
      <c r="K122" s="1">
        <v>92</v>
      </c>
      <c r="L122" s="1">
        <f t="shared" si="37"/>
        <v>-12</v>
      </c>
      <c r="M122" s="1"/>
      <c r="N122" s="1"/>
      <c r="O122" s="1">
        <v>150</v>
      </c>
      <c r="P122" s="1">
        <v>0</v>
      </c>
      <c r="Q122" s="1"/>
      <c r="R122" s="1">
        <v>80</v>
      </c>
      <c r="S122" s="1">
        <f t="shared" si="38"/>
        <v>16</v>
      </c>
      <c r="T122" s="5"/>
      <c r="U122" s="5">
        <f t="shared" ref="U122:U123" si="46">X122</f>
        <v>150</v>
      </c>
      <c r="V122" s="5">
        <f t="shared" si="29"/>
        <v>97.004999999999995</v>
      </c>
      <c r="W122" s="5">
        <f t="shared" ref="W122:W123" si="47">U122*$W$1</f>
        <v>52.994999999999997</v>
      </c>
      <c r="X122" s="18">
        <f>VLOOKUP(A122,[1]Sheet!$A:$V,21,0)</f>
        <v>150</v>
      </c>
      <c r="Y122" s="18" t="str">
        <f>VLOOKUP(A122,[1]Sheet!$A:$V,22,0)</f>
        <v>Сеть Мера</v>
      </c>
      <c r="Z122" s="1">
        <f t="shared" si="30"/>
        <v>23.625</v>
      </c>
      <c r="AA122" s="1">
        <f t="shared" si="41"/>
        <v>14.25</v>
      </c>
      <c r="AB122" s="1">
        <v>2.6</v>
      </c>
      <c r="AC122" s="1">
        <v>0</v>
      </c>
      <c r="AD122" s="1">
        <v>-0.6</v>
      </c>
      <c r="AE122" s="1">
        <v>-0.6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/>
      <c r="AM122" s="1">
        <f t="shared" si="31"/>
        <v>29</v>
      </c>
      <c r="AN122" s="1">
        <f t="shared" si="32"/>
        <v>16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170</v>
      </c>
      <c r="B123" s="1" t="s">
        <v>44</v>
      </c>
      <c r="C123" s="1">
        <v>15</v>
      </c>
      <c r="D123" s="1">
        <v>92</v>
      </c>
      <c r="E123" s="1">
        <v>96</v>
      </c>
      <c r="F123" s="1">
        <v>-2</v>
      </c>
      <c r="G123" s="7">
        <v>0.3</v>
      </c>
      <c r="H123" s="1">
        <v>40</v>
      </c>
      <c r="I123" s="10" t="s">
        <v>42</v>
      </c>
      <c r="J123" s="1"/>
      <c r="K123" s="1">
        <v>120</v>
      </c>
      <c r="L123" s="1">
        <f t="shared" si="37"/>
        <v>-24</v>
      </c>
      <c r="M123" s="1"/>
      <c r="N123" s="1"/>
      <c r="O123" s="1">
        <v>150</v>
      </c>
      <c r="P123" s="1">
        <v>0</v>
      </c>
      <c r="Q123" s="1"/>
      <c r="R123" s="1">
        <v>50</v>
      </c>
      <c r="S123" s="1">
        <f t="shared" si="38"/>
        <v>19.2</v>
      </c>
      <c r="T123" s="5">
        <f t="shared" ref="T123" si="48">11*S123-R123-Q123-P123-O123-F123</f>
        <v>13.199999999999989</v>
      </c>
      <c r="U123" s="5">
        <f t="shared" si="46"/>
        <v>150</v>
      </c>
      <c r="V123" s="5">
        <f t="shared" si="29"/>
        <v>97.004999999999995</v>
      </c>
      <c r="W123" s="5">
        <f t="shared" si="47"/>
        <v>52.994999999999997</v>
      </c>
      <c r="X123" s="18">
        <f>VLOOKUP(A123,[1]Sheet!$A:$V,21,0)</f>
        <v>150</v>
      </c>
      <c r="Y123" s="18" t="str">
        <f>VLOOKUP(A123,[1]Sheet!$A:$V,22,0)</f>
        <v>Сеть Мера</v>
      </c>
      <c r="Z123" s="1">
        <f t="shared" si="30"/>
        <v>18.125</v>
      </c>
      <c r="AA123" s="1">
        <f t="shared" si="41"/>
        <v>10.3125</v>
      </c>
      <c r="AB123" s="1">
        <v>6</v>
      </c>
      <c r="AC123" s="1">
        <v>0.4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 t="s">
        <v>171</v>
      </c>
      <c r="AM123" s="1">
        <f t="shared" si="31"/>
        <v>29</v>
      </c>
      <c r="AN123" s="1">
        <f t="shared" si="32"/>
        <v>16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 t="s">
        <v>172</v>
      </c>
      <c r="B124" s="1" t="s">
        <v>38</v>
      </c>
      <c r="C124" s="1">
        <v>4.1440000000000001</v>
      </c>
      <c r="D124" s="1">
        <v>54.802</v>
      </c>
      <c r="E124" s="1">
        <v>8.3019999999999996</v>
      </c>
      <c r="F124" s="1">
        <v>50.643999999999998</v>
      </c>
      <c r="G124" s="7">
        <v>1</v>
      </c>
      <c r="H124" s="1">
        <v>50</v>
      </c>
      <c r="I124" s="1" t="s">
        <v>39</v>
      </c>
      <c r="J124" s="1"/>
      <c r="K124" s="1">
        <v>7.8</v>
      </c>
      <c r="L124" s="1">
        <f t="shared" si="37"/>
        <v>0.50199999999999978</v>
      </c>
      <c r="M124" s="1"/>
      <c r="N124" s="1"/>
      <c r="O124" s="1">
        <v>27.217200000000009</v>
      </c>
      <c r="P124" s="1">
        <v>0</v>
      </c>
      <c r="Q124" s="1"/>
      <c r="R124" s="1">
        <v>0</v>
      </c>
      <c r="S124" s="1">
        <f t="shared" si="38"/>
        <v>1.6603999999999999</v>
      </c>
      <c r="T124" s="5"/>
      <c r="U124" s="5">
        <f t="shared" si="28"/>
        <v>0</v>
      </c>
      <c r="V124" s="5">
        <f t="shared" si="29"/>
        <v>0</v>
      </c>
      <c r="W124" s="5"/>
      <c r="X124" s="18"/>
      <c r="Y124" s="18"/>
      <c r="Z124" s="1">
        <f t="shared" si="30"/>
        <v>46.893037822211525</v>
      </c>
      <c r="AA124" s="1">
        <f t="shared" si="41"/>
        <v>46.893037822211525</v>
      </c>
      <c r="AB124" s="1">
        <v>2.5038</v>
      </c>
      <c r="AC124" s="1">
        <v>2.488</v>
      </c>
      <c r="AD124" s="1">
        <v>6.0106000000000002</v>
      </c>
      <c r="AE124" s="1">
        <v>5.7350000000000003</v>
      </c>
      <c r="AF124" s="1">
        <v>3.012</v>
      </c>
      <c r="AG124" s="1">
        <v>2.4746000000000001</v>
      </c>
      <c r="AH124" s="1">
        <v>1.3877999999999999</v>
      </c>
      <c r="AI124" s="1">
        <v>2.2162000000000002</v>
      </c>
      <c r="AJ124" s="1">
        <v>3.0968</v>
      </c>
      <c r="AK124" s="1">
        <v>4.5128000000000004</v>
      </c>
      <c r="AL124" s="1"/>
      <c r="AM124" s="1">
        <f t="shared" si="31"/>
        <v>0</v>
      </c>
      <c r="AN124" s="1">
        <f t="shared" si="32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 t="s">
        <v>173</v>
      </c>
      <c r="B125" s="1" t="s">
        <v>44</v>
      </c>
      <c r="C125" s="1"/>
      <c r="D125" s="1">
        <v>84</v>
      </c>
      <c r="E125" s="1">
        <v>72</v>
      </c>
      <c r="F125" s="1">
        <v>5</v>
      </c>
      <c r="G125" s="7">
        <v>0.3</v>
      </c>
      <c r="H125" s="1">
        <v>40</v>
      </c>
      <c r="I125" s="10" t="s">
        <v>42</v>
      </c>
      <c r="J125" s="1"/>
      <c r="K125" s="1">
        <v>79</v>
      </c>
      <c r="L125" s="1">
        <f t="shared" si="37"/>
        <v>-7</v>
      </c>
      <c r="M125" s="1"/>
      <c r="N125" s="1"/>
      <c r="O125" s="1">
        <v>200</v>
      </c>
      <c r="P125" s="1">
        <v>0</v>
      </c>
      <c r="Q125" s="1"/>
      <c r="R125" s="1">
        <v>80</v>
      </c>
      <c r="S125" s="1">
        <f t="shared" si="38"/>
        <v>14.4</v>
      </c>
      <c r="T125" s="5"/>
      <c r="U125" s="5">
        <f>X125</f>
        <v>200</v>
      </c>
      <c r="V125" s="5">
        <f t="shared" si="29"/>
        <v>129.34</v>
      </c>
      <c r="W125" s="5">
        <f t="shared" ref="W125:W126" si="49">U125*$W$1</f>
        <v>70.66</v>
      </c>
      <c r="X125" s="18">
        <f>VLOOKUP(A125,[1]Sheet!$A:$V,21,0)</f>
        <v>200</v>
      </c>
      <c r="Y125" s="18" t="str">
        <f>VLOOKUP(A125,[1]Sheet!$A:$V,22,0)</f>
        <v>Сеть Мера+Есть потребность</v>
      </c>
      <c r="Z125" s="1">
        <f t="shared" si="30"/>
        <v>33.680555555555557</v>
      </c>
      <c r="AA125" s="1">
        <f t="shared" si="41"/>
        <v>19.791666666666668</v>
      </c>
      <c r="AB125" s="1">
        <v>-0.4</v>
      </c>
      <c r="AC125" s="1">
        <v>-0.2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-0.4</v>
      </c>
      <c r="AL125" s="1"/>
      <c r="AM125" s="1">
        <f t="shared" si="31"/>
        <v>39</v>
      </c>
      <c r="AN125" s="1">
        <f t="shared" si="32"/>
        <v>21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 t="s">
        <v>174</v>
      </c>
      <c r="B126" s="1" t="s">
        <v>44</v>
      </c>
      <c r="C126" s="1">
        <v>90</v>
      </c>
      <c r="D126" s="1">
        <v>45</v>
      </c>
      <c r="E126" s="1">
        <v>99</v>
      </c>
      <c r="F126" s="1">
        <v>34</v>
      </c>
      <c r="G126" s="7">
        <v>0.12</v>
      </c>
      <c r="H126" s="1">
        <v>45</v>
      </c>
      <c r="I126" s="10" t="s">
        <v>42</v>
      </c>
      <c r="J126" s="1"/>
      <c r="K126" s="1">
        <v>96</v>
      </c>
      <c r="L126" s="1">
        <f t="shared" si="37"/>
        <v>3</v>
      </c>
      <c r="M126" s="1"/>
      <c r="N126" s="1"/>
      <c r="O126" s="1">
        <v>12.67999999999998</v>
      </c>
      <c r="P126" s="1">
        <v>0</v>
      </c>
      <c r="Q126" s="1"/>
      <c r="R126" s="1">
        <v>40</v>
      </c>
      <c r="S126" s="1">
        <f t="shared" si="38"/>
        <v>19.8</v>
      </c>
      <c r="T126" s="5">
        <f>10*S126-R126-Q126-P126-O126-F126</f>
        <v>111.32000000000002</v>
      </c>
      <c r="U126" s="5">
        <f t="shared" si="28"/>
        <v>111.32000000000002</v>
      </c>
      <c r="V126" s="5">
        <f t="shared" si="29"/>
        <v>71.990644000000003</v>
      </c>
      <c r="W126" s="5">
        <f t="shared" si="49"/>
        <v>39.329356000000011</v>
      </c>
      <c r="X126" s="18"/>
      <c r="Y126" s="18"/>
      <c r="Z126" s="1">
        <f t="shared" si="30"/>
        <v>10</v>
      </c>
      <c r="AA126" s="1">
        <f t="shared" si="41"/>
        <v>4.3777777777777764</v>
      </c>
      <c r="AB126" s="1">
        <v>10.4</v>
      </c>
      <c r="AC126" s="1">
        <v>5.8</v>
      </c>
      <c r="AD126" s="1">
        <v>12.2</v>
      </c>
      <c r="AE126" s="1">
        <v>10.4</v>
      </c>
      <c r="AF126" s="1">
        <v>4.4000000000000004</v>
      </c>
      <c r="AG126" s="1">
        <v>7.4</v>
      </c>
      <c r="AH126" s="1">
        <v>10.199999999999999</v>
      </c>
      <c r="AI126" s="1">
        <v>5.8</v>
      </c>
      <c r="AJ126" s="1">
        <v>-0.2</v>
      </c>
      <c r="AK126" s="1">
        <v>-0.2</v>
      </c>
      <c r="AL126" s="1"/>
      <c r="AM126" s="1">
        <f t="shared" si="31"/>
        <v>9</v>
      </c>
      <c r="AN126" s="1">
        <f t="shared" si="32"/>
        <v>5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1" t="s">
        <v>175</v>
      </c>
      <c r="B127" s="11" t="s">
        <v>44</v>
      </c>
      <c r="C127" s="11">
        <v>72</v>
      </c>
      <c r="D127" s="11">
        <v>50</v>
      </c>
      <c r="E127" s="15">
        <v>87</v>
      </c>
      <c r="F127" s="15">
        <v>35</v>
      </c>
      <c r="G127" s="12">
        <v>0</v>
      </c>
      <c r="H127" s="11"/>
      <c r="I127" s="11" t="s">
        <v>176</v>
      </c>
      <c r="J127" s="11" t="s">
        <v>94</v>
      </c>
      <c r="K127" s="11">
        <v>91</v>
      </c>
      <c r="L127" s="11">
        <f t="shared" si="37"/>
        <v>-4</v>
      </c>
      <c r="M127" s="11"/>
      <c r="N127" s="11"/>
      <c r="O127" s="11">
        <v>0</v>
      </c>
      <c r="P127" s="11">
        <v>0</v>
      </c>
      <c r="Q127" s="11"/>
      <c r="R127" s="11">
        <v>0</v>
      </c>
      <c r="S127" s="11">
        <f t="shared" si="38"/>
        <v>17.399999999999999</v>
      </c>
      <c r="T127" s="13"/>
      <c r="U127" s="5">
        <f t="shared" si="28"/>
        <v>0</v>
      </c>
      <c r="V127" s="5">
        <f t="shared" si="29"/>
        <v>0</v>
      </c>
      <c r="W127" s="5"/>
      <c r="X127" s="18"/>
      <c r="Y127" s="18"/>
      <c r="Z127" s="1">
        <f t="shared" si="30"/>
        <v>2.0114942528735633</v>
      </c>
      <c r="AA127" s="11">
        <f t="shared" si="41"/>
        <v>2.0114942528735633</v>
      </c>
      <c r="AB127" s="11">
        <v>23</v>
      </c>
      <c r="AC127" s="11">
        <v>15.6</v>
      </c>
      <c r="AD127" s="11">
        <v>14.8</v>
      </c>
      <c r="AE127" s="11">
        <v>12.2</v>
      </c>
      <c r="AF127" s="11">
        <v>12.2</v>
      </c>
      <c r="AG127" s="11">
        <v>15.8</v>
      </c>
      <c r="AH127" s="11">
        <v>28.6</v>
      </c>
      <c r="AI127" s="11">
        <v>32</v>
      </c>
      <c r="AJ127" s="11">
        <v>33</v>
      </c>
      <c r="AK127" s="11">
        <v>41.6</v>
      </c>
      <c r="AL127" s="11"/>
      <c r="AM127" s="1">
        <f t="shared" si="31"/>
        <v>0</v>
      </c>
      <c r="AN127" s="1">
        <f t="shared" si="32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1" t="s">
        <v>177</v>
      </c>
      <c r="B128" s="11" t="s">
        <v>44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176</v>
      </c>
      <c r="J128" s="11" t="s">
        <v>163</v>
      </c>
      <c r="K128" s="11"/>
      <c r="L128" s="11">
        <f t="shared" si="37"/>
        <v>0</v>
      </c>
      <c r="M128" s="11"/>
      <c r="N128" s="11"/>
      <c r="O128" s="11">
        <v>0</v>
      </c>
      <c r="P128" s="11">
        <v>0</v>
      </c>
      <c r="Q128" s="11"/>
      <c r="R128" s="11">
        <v>0</v>
      </c>
      <c r="S128" s="11">
        <f t="shared" si="38"/>
        <v>0</v>
      </c>
      <c r="T128" s="13"/>
      <c r="U128" s="5">
        <f t="shared" si="28"/>
        <v>0</v>
      </c>
      <c r="V128" s="5">
        <f t="shared" si="29"/>
        <v>0</v>
      </c>
      <c r="W128" s="5"/>
      <c r="X128" s="18"/>
      <c r="Y128" s="18"/>
      <c r="Z128" s="1" t="e">
        <f t="shared" si="30"/>
        <v>#DIV/0!</v>
      </c>
      <c r="AA128" s="11" t="e">
        <f t="shared" si="41"/>
        <v>#DIV/0!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/>
      <c r="AM128" s="1">
        <f t="shared" si="31"/>
        <v>0</v>
      </c>
      <c r="AN128" s="1">
        <f t="shared" si="32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 t="s">
        <v>178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37"/>
        <v>0</v>
      </c>
      <c r="M129" s="1"/>
      <c r="N129" s="1"/>
      <c r="O129" s="1"/>
      <c r="P129" s="1">
        <v>0</v>
      </c>
      <c r="Q129" s="1"/>
      <c r="R129" s="1">
        <v>0</v>
      </c>
      <c r="S129" s="1">
        <f t="shared" si="38"/>
        <v>0</v>
      </c>
      <c r="T129" s="5"/>
      <c r="U129" s="5">
        <f t="shared" si="28"/>
        <v>0</v>
      </c>
      <c r="V129" s="5">
        <f t="shared" si="29"/>
        <v>0</v>
      </c>
      <c r="W129" s="5"/>
      <c r="X129" s="18"/>
      <c r="Y129" s="18"/>
      <c r="Z129" s="1" t="e">
        <f t="shared" si="30"/>
        <v>#DIV/0!</v>
      </c>
      <c r="AA129" s="1" t="e">
        <f t="shared" si="41"/>
        <v>#DIV/0!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 t="s">
        <v>179</v>
      </c>
      <c r="AM129" s="1">
        <f t="shared" si="31"/>
        <v>0</v>
      </c>
      <c r="AN129" s="1">
        <f t="shared" si="32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1" t="s">
        <v>180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37"/>
        <v>0</v>
      </c>
      <c r="M130" s="11"/>
      <c r="N130" s="11"/>
      <c r="O130" s="11"/>
      <c r="P130" s="11">
        <v>0</v>
      </c>
      <c r="Q130" s="11"/>
      <c r="R130" s="11">
        <v>0</v>
      </c>
      <c r="S130" s="11">
        <f t="shared" si="38"/>
        <v>0</v>
      </c>
      <c r="T130" s="13"/>
      <c r="U130" s="5">
        <f t="shared" si="28"/>
        <v>0</v>
      </c>
      <c r="V130" s="5">
        <f t="shared" si="29"/>
        <v>0</v>
      </c>
      <c r="W130" s="5"/>
      <c r="X130" s="18"/>
      <c r="Y130" s="18"/>
      <c r="Z130" s="1" t="e">
        <f t="shared" si="30"/>
        <v>#DIV/0!</v>
      </c>
      <c r="AA130" s="11" t="e">
        <f t="shared" si="41"/>
        <v>#DIV/0!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 t="s">
        <v>49</v>
      </c>
      <c r="AM130" s="1">
        <f t="shared" si="31"/>
        <v>0</v>
      </c>
      <c r="AN130" s="1">
        <f t="shared" si="32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1" t="s">
        <v>181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37"/>
        <v>0</v>
      </c>
      <c r="M131" s="11"/>
      <c r="N131" s="11"/>
      <c r="O131" s="11"/>
      <c r="P131" s="11">
        <v>0</v>
      </c>
      <c r="Q131" s="11"/>
      <c r="R131" s="11">
        <v>0</v>
      </c>
      <c r="S131" s="11">
        <f t="shared" si="38"/>
        <v>0</v>
      </c>
      <c r="T131" s="13"/>
      <c r="U131" s="5">
        <f t="shared" si="28"/>
        <v>0</v>
      </c>
      <c r="V131" s="5">
        <f t="shared" si="29"/>
        <v>0</v>
      </c>
      <c r="W131" s="5"/>
      <c r="X131" s="18"/>
      <c r="Y131" s="18"/>
      <c r="Z131" s="1" t="e">
        <f t="shared" si="30"/>
        <v>#DIV/0!</v>
      </c>
      <c r="AA131" s="11" t="e">
        <f t="shared" si="41"/>
        <v>#DIV/0!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 t="s">
        <v>49</v>
      </c>
      <c r="AM131" s="1">
        <f t="shared" si="31"/>
        <v>0</v>
      </c>
      <c r="AN131" s="1">
        <f t="shared" si="32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M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2026-10-20T11:02:19Z</dcterms:created>
  <dcterms:modified xsi:type="dcterms:W3CDTF">2026-10-21T10:13:24Z</dcterms:modified>
</cp:coreProperties>
</file>