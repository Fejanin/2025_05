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A9AA81F7-365B-4F1F-8AA4-D8B3F2EC16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6" i="1"/>
  <c r="Q96" i="1" l="1"/>
  <c r="Q7" i="1"/>
  <c r="Q8" i="1"/>
  <c r="Q9" i="1"/>
  <c r="Q10" i="1"/>
  <c r="Q11" i="1"/>
  <c r="R11" i="1" s="1"/>
  <c r="Q12" i="1"/>
  <c r="Q13" i="1"/>
  <c r="Q14" i="1"/>
  <c r="R14" i="1" s="1"/>
  <c r="Q15" i="1"/>
  <c r="R15" i="1" s="1"/>
  <c r="Q16" i="1"/>
  <c r="Q17" i="1"/>
  <c r="S17" i="1" s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R31" i="1" s="1"/>
  <c r="Q32" i="1"/>
  <c r="Q33" i="1"/>
  <c r="Q34" i="1"/>
  <c r="Q35" i="1"/>
  <c r="Q36" i="1"/>
  <c r="Q37" i="1"/>
  <c r="Q38" i="1"/>
  <c r="Q39" i="1"/>
  <c r="Q40" i="1"/>
  <c r="R40" i="1" s="1"/>
  <c r="Q41" i="1"/>
  <c r="Q42" i="1"/>
  <c r="Q43" i="1"/>
  <c r="Q44" i="1"/>
  <c r="Q45" i="1"/>
  <c r="Q46" i="1"/>
  <c r="Q47" i="1"/>
  <c r="R47" i="1" s="1"/>
  <c r="Q48" i="1"/>
  <c r="R48" i="1" s="1"/>
  <c r="Q49" i="1"/>
  <c r="Q50" i="1"/>
  <c r="Q51" i="1"/>
  <c r="S51" i="1" s="1"/>
  <c r="Q52" i="1"/>
  <c r="Q53" i="1"/>
  <c r="Q54" i="1"/>
  <c r="Q55" i="1"/>
  <c r="Q56" i="1"/>
  <c r="R56" i="1" s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R72" i="1" s="1"/>
  <c r="Q73" i="1"/>
  <c r="Q74" i="1"/>
  <c r="Q75" i="1"/>
  <c r="Q76" i="1"/>
  <c r="Q77" i="1"/>
  <c r="Q78" i="1"/>
  <c r="Q79" i="1"/>
  <c r="Q80" i="1"/>
  <c r="R80" i="1" s="1"/>
  <c r="Q81" i="1"/>
  <c r="Q82" i="1"/>
  <c r="Q83" i="1"/>
  <c r="Q84" i="1"/>
  <c r="Q85" i="1"/>
  <c r="R85" i="1" s="1"/>
  <c r="Q86" i="1"/>
  <c r="R86" i="1" s="1"/>
  <c r="Q87" i="1"/>
  <c r="Q88" i="1"/>
  <c r="Q89" i="1"/>
  <c r="Q90" i="1"/>
  <c r="Q91" i="1"/>
  <c r="Q92" i="1"/>
  <c r="Q93" i="1"/>
  <c r="S93" i="1" s="1"/>
  <c r="Q94" i="1"/>
  <c r="S94" i="1" s="1"/>
  <c r="Q95" i="1"/>
  <c r="S95" i="1" s="1"/>
  <c r="Q97" i="1"/>
  <c r="Q98" i="1"/>
  <c r="Q99" i="1"/>
  <c r="Q100" i="1"/>
  <c r="Q101" i="1"/>
  <c r="Q102" i="1"/>
  <c r="Q103" i="1"/>
  <c r="Q104" i="1"/>
  <c r="Q105" i="1"/>
  <c r="Q106" i="1"/>
  <c r="Q107" i="1"/>
  <c r="R107" i="1" s="1"/>
  <c r="Q108" i="1"/>
  <c r="Q109" i="1"/>
  <c r="Q110" i="1"/>
  <c r="Q111" i="1"/>
  <c r="Q112" i="1"/>
  <c r="Q113" i="1"/>
  <c r="Q114" i="1"/>
  <c r="Q6" i="1"/>
  <c r="T6" i="1" s="1"/>
  <c r="S114" i="1" l="1"/>
  <c r="S112" i="1"/>
  <c r="S110" i="1"/>
  <c r="S108" i="1"/>
  <c r="S106" i="1"/>
  <c r="S104" i="1"/>
  <c r="S102" i="1"/>
  <c r="S100" i="1"/>
  <c r="S98" i="1"/>
  <c r="S96" i="1"/>
  <c r="S92" i="1"/>
  <c r="S90" i="1"/>
  <c r="S88" i="1"/>
  <c r="S86" i="1"/>
  <c r="S84" i="1"/>
  <c r="S82" i="1"/>
  <c r="S80" i="1"/>
  <c r="S78" i="1"/>
  <c r="S64" i="1"/>
  <c r="S50" i="1"/>
  <c r="S48" i="1"/>
  <c r="S46" i="1"/>
  <c r="S44" i="1"/>
  <c r="S42" i="1"/>
  <c r="S40" i="1"/>
  <c r="S38" i="1"/>
  <c r="S36" i="1"/>
  <c r="S34" i="1"/>
  <c r="S32" i="1"/>
  <c r="S30" i="1"/>
  <c r="S28" i="1"/>
  <c r="S26" i="1"/>
  <c r="S24" i="1"/>
  <c r="S22" i="1"/>
  <c r="S20" i="1"/>
  <c r="S18" i="1"/>
  <c r="S56" i="1"/>
  <c r="S72" i="1"/>
  <c r="R76" i="1"/>
  <c r="S8" i="1"/>
  <c r="S12" i="1"/>
  <c r="S16" i="1"/>
  <c r="S54" i="1"/>
  <c r="S58" i="1"/>
  <c r="S62" i="1"/>
  <c r="S66" i="1"/>
  <c r="S70" i="1"/>
  <c r="S74" i="1"/>
  <c r="S91" i="1"/>
  <c r="S87" i="1"/>
  <c r="S83" i="1"/>
  <c r="S75" i="1"/>
  <c r="S71" i="1"/>
  <c r="S67" i="1"/>
  <c r="S63" i="1"/>
  <c r="S59" i="1"/>
  <c r="S55" i="1"/>
  <c r="S11" i="1"/>
  <c r="S7" i="1"/>
  <c r="S9" i="1"/>
  <c r="S13" i="1"/>
  <c r="S15" i="1"/>
  <c r="S53" i="1"/>
  <c r="S57" i="1"/>
  <c r="S61" i="1"/>
  <c r="S65" i="1"/>
  <c r="S69" i="1"/>
  <c r="S73" i="1"/>
  <c r="S77" i="1"/>
  <c r="R79" i="1"/>
  <c r="S79" i="1" s="1"/>
  <c r="S81" i="1"/>
  <c r="S85" i="1"/>
  <c r="S89" i="1"/>
  <c r="S113" i="1"/>
  <c r="S111" i="1"/>
  <c r="S109" i="1"/>
  <c r="S107" i="1"/>
  <c r="S105" i="1"/>
  <c r="S103" i="1"/>
  <c r="S101" i="1"/>
  <c r="S99" i="1"/>
  <c r="S97" i="1"/>
  <c r="S49" i="1"/>
  <c r="S47" i="1"/>
  <c r="S45" i="1"/>
  <c r="S43" i="1"/>
  <c r="S41" i="1"/>
  <c r="S39" i="1"/>
  <c r="S37" i="1"/>
  <c r="S35" i="1"/>
  <c r="S33" i="1"/>
  <c r="S31" i="1"/>
  <c r="S29" i="1"/>
  <c r="S27" i="1"/>
  <c r="S25" i="1"/>
  <c r="S23" i="1"/>
  <c r="S21" i="1"/>
  <c r="S19" i="1"/>
  <c r="T113" i="1"/>
  <c r="T109" i="1"/>
  <c r="T105" i="1"/>
  <c r="T101" i="1"/>
  <c r="T97" i="1"/>
  <c r="T93" i="1"/>
  <c r="T89" i="1"/>
  <c r="T85" i="1"/>
  <c r="T81" i="1"/>
  <c r="T77" i="1"/>
  <c r="T73" i="1"/>
  <c r="T69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9" i="1"/>
  <c r="S6" i="1"/>
  <c r="T111" i="1"/>
  <c r="T107" i="1"/>
  <c r="T103" i="1"/>
  <c r="T99" i="1"/>
  <c r="T95" i="1"/>
  <c r="T91" i="1"/>
  <c r="T87" i="1"/>
  <c r="T83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27" i="1"/>
  <c r="T23" i="1"/>
  <c r="T19" i="1"/>
  <c r="T15" i="1"/>
  <c r="T11" i="1"/>
  <c r="T7" i="1"/>
  <c r="T114" i="1"/>
  <c r="T112" i="1"/>
  <c r="T110" i="1"/>
  <c r="T108" i="1"/>
  <c r="T106" i="1"/>
  <c r="T104" i="1"/>
  <c r="T102" i="1"/>
  <c r="T100" i="1"/>
  <c r="T98" i="1"/>
  <c r="T96" i="1"/>
  <c r="T94" i="1"/>
  <c r="T92" i="1"/>
  <c r="T90" i="1"/>
  <c r="T88" i="1"/>
  <c r="T86" i="1"/>
  <c r="T84" i="1"/>
  <c r="T82" i="1"/>
  <c r="T80" i="1"/>
  <c r="T78" i="1"/>
  <c r="T7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8" i="1"/>
  <c r="T16" i="1"/>
  <c r="T14" i="1"/>
  <c r="T12" i="1"/>
  <c r="T10" i="1"/>
  <c r="T8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W5" i="1"/>
  <c r="V5" i="1"/>
  <c r="U5" i="1"/>
  <c r="Q5" i="1"/>
  <c r="P5" i="1"/>
  <c r="O5" i="1"/>
  <c r="N5" i="1"/>
  <c r="M5" i="1"/>
  <c r="K5" i="1"/>
  <c r="F5" i="1"/>
  <c r="E5" i="1"/>
  <c r="S14" i="1" l="1"/>
  <c r="S10" i="1"/>
  <c r="S52" i="1"/>
  <c r="S60" i="1"/>
  <c r="S68" i="1"/>
  <c r="S76" i="1"/>
  <c r="R5" i="1"/>
  <c r="L5" i="1"/>
  <c r="AD5" i="1" l="1"/>
</calcChain>
</file>

<file path=xl/sharedStrings.xml><?xml version="1.0" encoding="utf-8"?>
<sst xmlns="http://schemas.openxmlformats.org/spreadsheetml/2006/main" count="375" uniqueCount="257">
  <si>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</si>
  <si>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</si>
  <si>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</si>
  <si>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</si>
  <si>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</si>
  <si>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</si>
  <si>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</si>
  <si>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</si>
  <si>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</si>
  <si>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</si>
  <si>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</si>
  <si>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</si>
  <si>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</si>
  <si>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</si>
  <si>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</si>
  <si>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</si>
  <si>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</si>
  <si>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</si>
  <si>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</si>
  <si>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</si>
  <si>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</si>
  <si>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</si>
  <si>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</si>
  <si>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</si>
  <si>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</si>
  <si>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</si>
  <si>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</si>
  <si>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</si>
  <si>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</si>
  <si>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</si>
  <si>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</si>
  <si>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</si>
  <si>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</si>
  <si>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</si>
  <si>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</si>
  <si>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</si>
  <si>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</si>
  <si>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</si>
  <si>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</si>
  <si>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</si>
  <si>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</si>
  <si>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нужно увеличить продажи!!!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</si>
  <si>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</si>
  <si>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</si>
  <si>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</si>
  <si>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</si>
  <si>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</si>
  <si>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</si>
  <si>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</si>
  <si>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</si>
  <si>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</si>
  <si>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</si>
  <si>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</si>
  <si>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</si>
  <si>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</si>
  <si>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</si>
  <si>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</si>
  <si>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</si>
  <si>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</si>
  <si>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</si>
  <si>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</si>
  <si>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</si>
  <si>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</si>
  <si>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</si>
  <si>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</si>
  <si>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</si>
  <si>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</si>
  <si>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</si>
  <si>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</si>
  <si>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</si>
  <si>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</si>
  <si>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</si>
  <si>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</si>
  <si>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</si>
  <si>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</si>
  <si>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</si>
  <si>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</si>
  <si>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</si>
  <si>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</si>
  <si>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</si>
  <si>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</si>
  <si>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</si>
  <si>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</si>
  <si>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</si>
  <si>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</si>
  <si>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</si>
  <si>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</si>
  <si>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</si>
  <si>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</si>
  <si>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</si>
  <si>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</si>
  <si>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</si>
  <si>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</si>
  <si>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</si>
  <si>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</si>
  <si>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</si>
  <si>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</si>
  <si>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</si>
  <si>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</si>
  <si>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</si>
  <si>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</si>
  <si>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</si>
  <si>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</si>
  <si>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</si>
  <si>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</si>
  <si>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</si>
  <si>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</si>
  <si>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</si>
  <si>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</si>
  <si>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</si>
  <si>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</si>
  <si>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</si>
  <si>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</si>
  <si>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</si>
  <si>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</si>
  <si>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</si>
  <si>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</si>
  <si>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</si>
  <si>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</si>
  <si>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</si>
  <si>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</si>
  <si>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</si>
  <si>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</si>
  <si>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</si>
  <si>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</si>
  <si>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</si>
  <si>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</si>
  <si>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</si>
  <si>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</si>
  <si>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</si>
  <si>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</si>
  <si>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</si>
  <si>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</si>
  <si>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</si>
  <si>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</si>
  <si>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</si>
  <si>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</si>
  <si>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</si>
  <si>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</si>
  <si>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</si>
  <si>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</si>
  <si>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</si>
  <si>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</si>
  <si>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</si>
  <si>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</si>
  <si>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</si>
  <si>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</si>
  <si>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</si>
  <si>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</si>
  <si>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</si>
  <si>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</si>
  <si>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</si>
  <si>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</si>
  <si>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</si>
  <si>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</si>
  <si>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</si>
  <si>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</si>
  <si>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</si>
  <si>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</si>
  <si>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</si>
  <si>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</si>
  <si>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</si>
  <si>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</si>
  <si>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</si>
  <si>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</si>
  <si>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</si>
  <si>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</si>
  <si>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</si>
  <si>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</si>
  <si>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</si>
  <si>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</si>
  <si>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</si>
  <si>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</si>
  <si>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</si>
  <si>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</si>
  <si>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</si>
  <si>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</si>
  <si>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</si>
  <si>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</si>
  <si>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</si>
  <si>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</si>
  <si>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</si>
  <si>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</si>
  <si>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</si>
  <si>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</si>
  <si>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</si>
  <si>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</si>
  <si>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</si>
  <si>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</si>
  <si>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</si>
  <si>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</si>
  <si>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</si>
  <si>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</si>
  <si>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</si>
  <si>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</si>
  <si>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</si>
  <si>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</si>
  <si>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</si>
  <si>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</si>
  <si>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</si>
  <si>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</si>
  <si>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</si>
  <si>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</si>
  <si>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</si>
  <si>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</si>
  <si>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</si>
  <si>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</si>
  <si>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</si>
  <si>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</si>
  <si>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</si>
  <si>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</si>
  <si>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</si>
  <si>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</si>
  <si>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</si>
  <si>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</si>
  <si>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</si>
  <si>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</si>
  <si>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</si>
  <si>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</si>
  <si>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</si>
  <si>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</si>
  <si>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</si>
  <si>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</si>
  <si>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</si>
  <si>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</si>
  <si>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</si>
  <si>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</si>
  <si>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</si>
  <si>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</si>
  <si>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</si>
  <si>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</si>
  <si>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</si>
  <si>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</si>
  <si>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</si>
  <si>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</si>
  <si>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</si>
  <si>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</si>
  <si>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</si>
  <si>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</si>
  <si>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</si>
  <si>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</si>
  <si>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</si>
  <si>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</si>
  <si>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</si>
  <si>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</si>
  <si>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</si>
  <si>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</si>
  <si>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</si>
  <si>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</si>
  <si>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</si>
  <si>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</si>
  <si>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70 шт списаны (04,07,26 - недостача)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</si>
  <si>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</si>
  <si>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219</t>
    </r>
  </si>
  <si>
    <t>159 шт списание (04,07,26 - инвентаризация)</t>
  </si>
  <si>
    <t>заказ</t>
  </si>
  <si>
    <t>12,07,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</si>
</sst>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7" sqref="AC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8" width="6" customWidth="1"/>
    <col min="29" max="29" width="49.14062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13.3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255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256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20276.700000000008</v>
      </c>
      <c r="F5" s="4">
        <f>SUM(F6:F499)</f>
        <v>28167.655999999992</v>
      </c>
      <c r="G5" s="7"/>
      <c r="H5" s="1"/>
      <c r="I5" s="1"/>
      <c r="J5" s="1"/>
      <c r="K5" s="4">
        <f t="shared" ref="K5:R5" si="0">SUM(K6:K499)</f>
        <v>22460.327000000001</v>
      </c>
      <c r="L5" s="4">
        <f t="shared" si="0"/>
        <v>-2183.627</v>
      </c>
      <c r="M5" s="4">
        <f t="shared" si="0"/>
        <v>0</v>
      </c>
      <c r="N5" s="4">
        <f t="shared" si="0"/>
        <v>0</v>
      </c>
      <c r="O5" s="4">
        <f t="shared" si="0"/>
        <v>22768.023551999995</v>
      </c>
      <c r="P5" s="4">
        <f t="shared" si="0"/>
        <v>12257.773219999997</v>
      </c>
      <c r="Q5" s="4">
        <f t="shared" si="0"/>
        <v>4055.3399999999997</v>
      </c>
      <c r="R5" s="4">
        <f t="shared" si="0"/>
        <v>4415.19846856</v>
      </c>
      <c r="S5" s="1"/>
      <c r="T5" s="1"/>
      <c r="U5" s="4">
        <f t="shared" ref="U5:AB5" si="1">SUM(U6:U499)</f>
        <v>4898.6857999999975</v>
      </c>
      <c r="V5" s="4">
        <f t="shared" si="1"/>
        <v>4550.7333999999973</v>
      </c>
      <c r="W5" s="4">
        <f t="shared" si="1"/>
        <v>4480.2221999999965</v>
      </c>
      <c r="X5" s="4">
        <f t="shared" si="1"/>
        <v>4810.1486000000023</v>
      </c>
      <c r="Y5" s="4">
        <f t="shared" si="1"/>
        <v>4879.3427999999994</v>
      </c>
      <c r="Z5" s="4">
        <f t="shared" si="1"/>
        <v>3849.490400000001</v>
      </c>
      <c r="AA5" s="4">
        <f t="shared" si="1"/>
        <v>4507.9129999999977</v>
      </c>
      <c r="AB5" s="4">
        <f t="shared" si="1"/>
        <v>4556.157000000002</v>
      </c>
      <c r="AC5" s="1"/>
      <c r="AD5" s="4">
        <f>SUM(AD6:AD499)</f>
        <v>3952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476.79300000000001</v>
      </c>
      <c r="D6" s="1">
        <v>1162.8520000000001</v>
      </c>
      <c r="E6" s="1">
        <v>279.08499999999998</v>
      </c>
      <c r="F6" s="1">
        <v>1248.154</v>
      </c>
      <c r="G6" s="7">
        <v>1</v>
      </c>
      <c r="H6" s="1"/>
      <c r="I6" s="1" t="s">
        <v>34</v>
      </c>
      <c r="J6" s="1"/>
      <c r="K6" s="1">
        <v>248.98</v>
      </c>
      <c r="L6" s="1">
        <f t="shared" ref="L6:L37" si="2">E6-K6</f>
        <v>30.10499999999999</v>
      </c>
      <c r="M6" s="1"/>
      <c r="N6" s="1"/>
      <c r="O6" s="1"/>
      <c r="P6" s="1"/>
      <c r="Q6" s="1">
        <f>E6/5</f>
        <v>55.816999999999993</v>
      </c>
      <c r="R6" s="5"/>
      <c r="S6" s="1">
        <f>(F6+O6+P6+R6)/Q6</f>
        <v>22.361538599351455</v>
      </c>
      <c r="T6" s="1">
        <f>(F6+O6+P6)/Q6</f>
        <v>22.361538599351455</v>
      </c>
      <c r="U6" s="1">
        <v>53.811199999999999</v>
      </c>
      <c r="V6" s="1">
        <v>54.4542</v>
      </c>
      <c r="W6" s="1">
        <v>78.643600000000006</v>
      </c>
      <c r="X6" s="1">
        <v>81.141999999999996</v>
      </c>
      <c r="Y6" s="1">
        <v>56.725999999999999</v>
      </c>
      <c r="Z6" s="1">
        <v>56.728200000000001</v>
      </c>
      <c r="AA6" s="1">
        <v>58.592599999999997</v>
      </c>
      <c r="AB6" s="1">
        <v>59.230600000000003</v>
      </c>
      <c r="AC6" s="17" t="s">
        <v>41</v>
      </c>
      <c r="AD6" s="1">
        <f>ROUND(G6*R6,0)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33</v>
      </c>
      <c r="C7" s="1">
        <v>933.44100000000003</v>
      </c>
      <c r="D7" s="1">
        <v>529.62900000000002</v>
      </c>
      <c r="E7" s="1">
        <v>741.05399999999997</v>
      </c>
      <c r="F7" s="1">
        <v>419.04899999999998</v>
      </c>
      <c r="G7" s="7">
        <v>1</v>
      </c>
      <c r="H7" s="1"/>
      <c r="I7" s="1" t="s">
        <v>36</v>
      </c>
      <c r="J7" s="1"/>
      <c r="K7" s="1">
        <v>708.05</v>
      </c>
      <c r="L7" s="1">
        <f t="shared" si="2"/>
        <v>33.004000000000019</v>
      </c>
      <c r="M7" s="1"/>
      <c r="N7" s="1"/>
      <c r="O7" s="1">
        <v>875.09742000000006</v>
      </c>
      <c r="P7" s="1">
        <v>640.29417999999987</v>
      </c>
      <c r="Q7" s="1">
        <f t="shared" ref="Q7:Q70" si="3">E7/5</f>
        <v>148.21080000000001</v>
      </c>
      <c r="R7" s="5"/>
      <c r="S7" s="1">
        <f t="shared" ref="S7:S70" si="4">(F7+O7+P7+R7)/Q7</f>
        <v>13.051954378493335</v>
      </c>
      <c r="T7" s="1">
        <f t="shared" ref="T7:T70" si="5">(F7+O7+P7)/Q7</f>
        <v>13.051954378493335</v>
      </c>
      <c r="U7" s="1">
        <v>187.27260000000001</v>
      </c>
      <c r="V7" s="1">
        <v>139.0446</v>
      </c>
      <c r="W7" s="1">
        <v>77.631399999999999</v>
      </c>
      <c r="X7" s="1">
        <v>85.131200000000007</v>
      </c>
      <c r="Y7" s="1">
        <v>120.83459999999999</v>
      </c>
      <c r="Z7" s="1">
        <v>53.919400000000003</v>
      </c>
      <c r="AA7" s="1">
        <v>103.55159999999999</v>
      </c>
      <c r="AB7" s="1">
        <v>110.9192</v>
      </c>
      <c r="AC7" s="1"/>
      <c r="AD7" s="1">
        <f t="shared" ref="AD7:AD70" si="6">ROUND(G7*R7,0)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33</v>
      </c>
      <c r="C8" s="1">
        <v>967.57</v>
      </c>
      <c r="D8" s="1">
        <v>239.10599999999999</v>
      </c>
      <c r="E8" s="1">
        <v>710.31200000000001</v>
      </c>
      <c r="F8" s="1">
        <v>411.96800000000002</v>
      </c>
      <c r="G8" s="7">
        <v>1</v>
      </c>
      <c r="H8" s="1"/>
      <c r="I8" s="1" t="s">
        <v>38</v>
      </c>
      <c r="J8" s="1"/>
      <c r="K8" s="1">
        <v>717.84400000000005</v>
      </c>
      <c r="L8" s="1">
        <f t="shared" si="2"/>
        <v>-7.5320000000000391</v>
      </c>
      <c r="M8" s="1"/>
      <c r="N8" s="1"/>
      <c r="O8" s="1">
        <v>841.85323999999991</v>
      </c>
      <c r="P8" s="1">
        <v>633.55316000000005</v>
      </c>
      <c r="Q8" s="1">
        <f t="shared" si="3"/>
        <v>142.0624</v>
      </c>
      <c r="R8" s="5"/>
      <c r="S8" s="1">
        <f t="shared" si="4"/>
        <v>13.285530865309893</v>
      </c>
      <c r="T8" s="1">
        <f t="shared" si="5"/>
        <v>13.285530865309893</v>
      </c>
      <c r="U8" s="1">
        <v>183.81639999999999</v>
      </c>
      <c r="V8" s="1">
        <v>143.90119999999999</v>
      </c>
      <c r="W8" s="1">
        <v>28.558599999999998</v>
      </c>
      <c r="X8" s="1">
        <v>19.2348</v>
      </c>
      <c r="Y8" s="1">
        <v>136.8586</v>
      </c>
      <c r="Z8" s="1">
        <v>61.915200000000013</v>
      </c>
      <c r="AA8" s="1">
        <v>120.94499999999999</v>
      </c>
      <c r="AB8" s="1">
        <v>110.595</v>
      </c>
      <c r="AC8" s="1"/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40</v>
      </c>
      <c r="C9" s="1">
        <v>72</v>
      </c>
      <c r="D9" s="1"/>
      <c r="E9" s="1">
        <v>2</v>
      </c>
      <c r="F9" s="1"/>
      <c r="G9" s="7">
        <v>0.4</v>
      </c>
      <c r="H9" s="1"/>
      <c r="I9" s="1"/>
      <c r="J9" s="1"/>
      <c r="K9" s="1">
        <v>29</v>
      </c>
      <c r="L9" s="1">
        <f t="shared" si="2"/>
        <v>-27</v>
      </c>
      <c r="M9" s="1"/>
      <c r="N9" s="1"/>
      <c r="O9" s="1"/>
      <c r="P9" s="1"/>
      <c r="Q9" s="1">
        <f t="shared" si="3"/>
        <v>0.4</v>
      </c>
      <c r="R9" s="5">
        <v>16</v>
      </c>
      <c r="S9" s="1">
        <f t="shared" si="4"/>
        <v>40</v>
      </c>
      <c r="T9" s="1">
        <f t="shared" si="5"/>
        <v>0</v>
      </c>
      <c r="U9" s="1">
        <v>1.4</v>
      </c>
      <c r="V9" s="1">
        <v>2</v>
      </c>
      <c r="W9" s="1">
        <v>2.2000000000000002</v>
      </c>
      <c r="X9" s="1">
        <v>1.2</v>
      </c>
      <c r="Y9" s="1">
        <v>1</v>
      </c>
      <c r="Z9" s="1">
        <v>0</v>
      </c>
      <c r="AA9" s="1">
        <v>0</v>
      </c>
      <c r="AB9" s="1">
        <v>0</v>
      </c>
      <c r="AC9" s="9" t="s">
        <v>251</v>
      </c>
      <c r="AD9" s="1">
        <f t="shared" si="6"/>
        <v>6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40</v>
      </c>
      <c r="C10" s="1">
        <v>302</v>
      </c>
      <c r="D10" s="1">
        <v>502</v>
      </c>
      <c r="E10" s="1">
        <v>270</v>
      </c>
      <c r="F10" s="1">
        <v>520</v>
      </c>
      <c r="G10" s="7">
        <v>0.45</v>
      </c>
      <c r="H10" s="1"/>
      <c r="I10" s="1" t="s">
        <v>43</v>
      </c>
      <c r="J10" s="1"/>
      <c r="K10" s="1">
        <v>268</v>
      </c>
      <c r="L10" s="1">
        <f t="shared" si="2"/>
        <v>2</v>
      </c>
      <c r="M10" s="1"/>
      <c r="N10" s="1"/>
      <c r="O10" s="1">
        <v>167.8</v>
      </c>
      <c r="P10" s="1">
        <v>70.399999999999864</v>
      </c>
      <c r="Q10" s="1">
        <f t="shared" si="3"/>
        <v>54</v>
      </c>
      <c r="R10" s="5"/>
      <c r="S10" s="1">
        <f t="shared" si="4"/>
        <v>14.040740740740738</v>
      </c>
      <c r="T10" s="1">
        <f t="shared" si="5"/>
        <v>14.040740740740738</v>
      </c>
      <c r="U10" s="1">
        <v>66.599999999999994</v>
      </c>
      <c r="V10" s="1">
        <v>69</v>
      </c>
      <c r="W10" s="1">
        <v>72.599999999999994</v>
      </c>
      <c r="X10" s="1">
        <v>51</v>
      </c>
      <c r="Y10" s="1">
        <v>59.6</v>
      </c>
      <c r="Z10" s="1">
        <v>-0.4</v>
      </c>
      <c r="AA10" s="1">
        <v>12.8</v>
      </c>
      <c r="AB10" s="1">
        <v>48</v>
      </c>
      <c r="AC10" s="1"/>
      <c r="AD10" s="1">
        <f t="shared" si="6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40</v>
      </c>
      <c r="C11" s="1">
        <v>931</v>
      </c>
      <c r="D11" s="1">
        <v>371</v>
      </c>
      <c r="E11" s="1">
        <v>359</v>
      </c>
      <c r="F11" s="1">
        <v>836</v>
      </c>
      <c r="G11" s="7">
        <v>0.45</v>
      </c>
      <c r="H11" s="1"/>
      <c r="I11" s="1" t="s">
        <v>45</v>
      </c>
      <c r="J11" s="1"/>
      <c r="K11" s="1">
        <v>350</v>
      </c>
      <c r="L11" s="1">
        <f t="shared" si="2"/>
        <v>9</v>
      </c>
      <c r="M11" s="1"/>
      <c r="N11" s="1"/>
      <c r="O11" s="1"/>
      <c r="P11" s="1">
        <v>19</v>
      </c>
      <c r="Q11" s="1">
        <f t="shared" si="3"/>
        <v>71.8</v>
      </c>
      <c r="R11" s="5">
        <f>$R$1*Q11-P11-O11-F11</f>
        <v>99.940000000000055</v>
      </c>
      <c r="S11" s="1">
        <f t="shared" si="4"/>
        <v>13.3</v>
      </c>
      <c r="T11" s="1">
        <f t="shared" si="5"/>
        <v>11.90807799442897</v>
      </c>
      <c r="U11" s="1">
        <v>78</v>
      </c>
      <c r="V11" s="1">
        <v>73.2</v>
      </c>
      <c r="W11" s="1">
        <v>69</v>
      </c>
      <c r="X11" s="1">
        <v>81.8</v>
      </c>
      <c r="Y11" s="1">
        <v>64.8</v>
      </c>
      <c r="Z11" s="1">
        <v>39.799999999999997</v>
      </c>
      <c r="AA11" s="1">
        <v>75.599999999999994</v>
      </c>
      <c r="AB11" s="1">
        <v>77</v>
      </c>
      <c r="AC11" s="1"/>
      <c r="AD11" s="1">
        <f t="shared" si="6"/>
        <v>45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40</v>
      </c>
      <c r="C12" s="1">
        <v>172</v>
      </c>
      <c r="D12" s="1">
        <v>49</v>
      </c>
      <c r="E12" s="1">
        <v>70</v>
      </c>
      <c r="F12" s="1">
        <v>112</v>
      </c>
      <c r="G12" s="7">
        <v>0.3</v>
      </c>
      <c r="H12" s="1"/>
      <c r="I12" s="1" t="s">
        <v>47</v>
      </c>
      <c r="J12" s="1"/>
      <c r="K12" s="1">
        <v>84</v>
      </c>
      <c r="L12" s="1">
        <f t="shared" si="2"/>
        <v>-14</v>
      </c>
      <c r="M12" s="1"/>
      <c r="N12" s="1"/>
      <c r="O12" s="1">
        <v>39.080000000000013</v>
      </c>
      <c r="P12" s="1">
        <v>78.919999999999987</v>
      </c>
      <c r="Q12" s="1">
        <f t="shared" si="3"/>
        <v>14</v>
      </c>
      <c r="R12" s="5"/>
      <c r="S12" s="1">
        <f t="shared" si="4"/>
        <v>16.428571428571427</v>
      </c>
      <c r="T12" s="1">
        <f t="shared" si="5"/>
        <v>16.428571428571427</v>
      </c>
      <c r="U12" s="1">
        <v>18</v>
      </c>
      <c r="V12" s="1">
        <v>14.4</v>
      </c>
      <c r="W12" s="1">
        <v>9.4</v>
      </c>
      <c r="X12" s="1">
        <v>11.6</v>
      </c>
      <c r="Y12" s="1">
        <v>16</v>
      </c>
      <c r="Z12" s="1">
        <v>8.6</v>
      </c>
      <c r="AA12" s="1">
        <v>17.2</v>
      </c>
      <c r="AB12" s="1">
        <v>11.4</v>
      </c>
      <c r="AC12" s="1"/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40</v>
      </c>
      <c r="C13" s="1">
        <v>167</v>
      </c>
      <c r="D13" s="1">
        <v>359</v>
      </c>
      <c r="E13" s="1">
        <v>91</v>
      </c>
      <c r="F13" s="1">
        <v>403</v>
      </c>
      <c r="G13" s="7">
        <v>0.17</v>
      </c>
      <c r="H13" s="1"/>
      <c r="I13" s="1" t="s">
        <v>49</v>
      </c>
      <c r="J13" s="1"/>
      <c r="K13" s="1">
        <v>86</v>
      </c>
      <c r="L13" s="1">
        <f t="shared" si="2"/>
        <v>5</v>
      </c>
      <c r="M13" s="1"/>
      <c r="N13" s="1"/>
      <c r="O13" s="1"/>
      <c r="P13" s="1"/>
      <c r="Q13" s="1">
        <f t="shared" si="3"/>
        <v>18.2</v>
      </c>
      <c r="R13" s="5"/>
      <c r="S13" s="1">
        <f t="shared" si="4"/>
        <v>22.142857142857142</v>
      </c>
      <c r="T13" s="1">
        <f t="shared" si="5"/>
        <v>22.142857142857142</v>
      </c>
      <c r="U13" s="1">
        <v>30.6</v>
      </c>
      <c r="V13" s="1">
        <v>32.799999999999997</v>
      </c>
      <c r="W13" s="1">
        <v>24.6</v>
      </c>
      <c r="X13" s="1">
        <v>22.6</v>
      </c>
      <c r="Y13" s="1">
        <v>25</v>
      </c>
      <c r="Z13" s="1">
        <v>14.8</v>
      </c>
      <c r="AA13" s="1">
        <v>12</v>
      </c>
      <c r="AB13" s="1">
        <v>10.4</v>
      </c>
      <c r="AC13" s="10" t="s">
        <v>252</v>
      </c>
      <c r="AD13" s="1">
        <f t="shared" si="6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33</v>
      </c>
      <c r="C14" s="1">
        <v>429.78800000000001</v>
      </c>
      <c r="D14" s="1">
        <v>328.05700000000002</v>
      </c>
      <c r="E14" s="1">
        <v>429.64</v>
      </c>
      <c r="F14" s="1">
        <v>215.471</v>
      </c>
      <c r="G14" s="7">
        <v>1</v>
      </c>
      <c r="H14" s="1"/>
      <c r="I14" s="1" t="s">
        <v>51</v>
      </c>
      <c r="J14" s="1"/>
      <c r="K14" s="1">
        <v>412.28</v>
      </c>
      <c r="L14" s="1">
        <f t="shared" si="2"/>
        <v>17.360000000000014</v>
      </c>
      <c r="M14" s="1"/>
      <c r="N14" s="1"/>
      <c r="O14" s="1"/>
      <c r="P14" s="1">
        <v>301.05499999999989</v>
      </c>
      <c r="Q14" s="1">
        <f t="shared" si="3"/>
        <v>85.927999999999997</v>
      </c>
      <c r="R14" s="5">
        <f>$R$1*Q14-P14-O14-F14</f>
        <v>626.31640000000016</v>
      </c>
      <c r="S14" s="1">
        <f t="shared" si="4"/>
        <v>13.3</v>
      </c>
      <c r="T14" s="1">
        <f t="shared" si="5"/>
        <v>6.0111488688204062</v>
      </c>
      <c r="U14" s="1">
        <v>52.177999999999997</v>
      </c>
      <c r="V14" s="1">
        <v>15.4452</v>
      </c>
      <c r="W14" s="1">
        <v>54.483400000000003</v>
      </c>
      <c r="X14" s="1">
        <v>91.662400000000005</v>
      </c>
      <c r="Y14" s="1">
        <v>84.409599999999998</v>
      </c>
      <c r="Z14" s="1">
        <v>76.513199999999998</v>
      </c>
      <c r="AA14" s="1">
        <v>84.661199999999994</v>
      </c>
      <c r="AB14" s="1">
        <v>73.17</v>
      </c>
      <c r="AC14" s="1"/>
      <c r="AD14" s="1">
        <f t="shared" si="6"/>
        <v>626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52</v>
      </c>
      <c r="B15" s="1" t="s">
        <v>33</v>
      </c>
      <c r="C15" s="1">
        <v>611.56600000000003</v>
      </c>
      <c r="D15" s="1">
        <v>3784.529</v>
      </c>
      <c r="E15" s="1">
        <v>1706.374</v>
      </c>
      <c r="F15" s="1">
        <v>1376.423</v>
      </c>
      <c r="G15" s="7">
        <v>1</v>
      </c>
      <c r="H15" s="1"/>
      <c r="I15" s="1" t="s">
        <v>53</v>
      </c>
      <c r="J15" s="1"/>
      <c r="K15" s="1">
        <v>1819.5</v>
      </c>
      <c r="L15" s="1">
        <f t="shared" si="2"/>
        <v>-113.12599999999998</v>
      </c>
      <c r="M15" s="1"/>
      <c r="N15" s="1"/>
      <c r="O15" s="1"/>
      <c r="P15" s="1">
        <v>1950.5427999999999</v>
      </c>
      <c r="Q15" s="1">
        <f t="shared" si="3"/>
        <v>341.27480000000003</v>
      </c>
      <c r="R15" s="5">
        <f t="shared" ref="R15" si="7">$R$1*Q15-P15-O15-F15</f>
        <v>1211.9890400000002</v>
      </c>
      <c r="S15" s="1">
        <f t="shared" si="4"/>
        <v>13.3</v>
      </c>
      <c r="T15" s="1">
        <f t="shared" si="5"/>
        <v>9.7486418569434363</v>
      </c>
      <c r="U15" s="1">
        <v>267.3186</v>
      </c>
      <c r="V15" s="1">
        <v>211.0538</v>
      </c>
      <c r="W15" s="1">
        <v>419.64319999999998</v>
      </c>
      <c r="X15" s="1">
        <v>440.71100000000001</v>
      </c>
      <c r="Y15" s="1">
        <v>273.9434</v>
      </c>
      <c r="Z15" s="1">
        <v>349.3664</v>
      </c>
      <c r="AA15" s="1">
        <v>403.61200000000002</v>
      </c>
      <c r="AB15" s="1">
        <v>369.06459999999998</v>
      </c>
      <c r="AC15" s="1"/>
      <c r="AD15" s="1">
        <f t="shared" si="6"/>
        <v>1212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54</v>
      </c>
      <c r="B16" s="1" t="s">
        <v>33</v>
      </c>
      <c r="C16" s="1">
        <v>43.6</v>
      </c>
      <c r="D16" s="1">
        <v>210.6</v>
      </c>
      <c r="E16" s="1">
        <v>41.484999999999999</v>
      </c>
      <c r="F16" s="1">
        <v>142.49</v>
      </c>
      <c r="G16" s="7">
        <v>1</v>
      </c>
      <c r="H16" s="1"/>
      <c r="I16" s="1" t="s">
        <v>55</v>
      </c>
      <c r="J16" s="1"/>
      <c r="K16" s="1">
        <v>45.6</v>
      </c>
      <c r="L16" s="1">
        <f t="shared" si="2"/>
        <v>-4.115000000000002</v>
      </c>
      <c r="M16" s="1"/>
      <c r="N16" s="1"/>
      <c r="O16" s="1">
        <v>86.049840000000017</v>
      </c>
      <c r="P16" s="1"/>
      <c r="Q16" s="1">
        <f t="shared" si="3"/>
        <v>8.2970000000000006</v>
      </c>
      <c r="R16" s="5"/>
      <c r="S16" s="1">
        <f t="shared" si="4"/>
        <v>27.544876461371583</v>
      </c>
      <c r="T16" s="1">
        <f t="shared" si="5"/>
        <v>27.544876461371583</v>
      </c>
      <c r="U16" s="1">
        <v>16.942399999999999</v>
      </c>
      <c r="V16" s="1">
        <v>19.0762</v>
      </c>
      <c r="W16" s="1">
        <v>18.809999999999999</v>
      </c>
      <c r="X16" s="1">
        <v>20.7744</v>
      </c>
      <c r="Y16" s="1">
        <v>21.4712</v>
      </c>
      <c r="Z16" s="1">
        <v>20.5778</v>
      </c>
      <c r="AA16" s="1">
        <v>18.390999999999998</v>
      </c>
      <c r="AB16" s="1">
        <v>21.386600000000001</v>
      </c>
      <c r="AC16" s="1"/>
      <c r="AD16" s="1">
        <f t="shared" si="6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1" t="s">
        <v>56</v>
      </c>
      <c r="B17" s="11" t="s">
        <v>33</v>
      </c>
      <c r="C17" s="11">
        <v>-0.28699999999999998</v>
      </c>
      <c r="D17" s="11">
        <v>1023.544</v>
      </c>
      <c r="E17" s="11"/>
      <c r="F17" s="11"/>
      <c r="G17" s="12">
        <v>0</v>
      </c>
      <c r="H17" s="11"/>
      <c r="I17" s="11" t="s">
        <v>57</v>
      </c>
      <c r="J17" s="11" t="s">
        <v>58</v>
      </c>
      <c r="K17" s="11">
        <v>60</v>
      </c>
      <c r="L17" s="11">
        <f t="shared" si="2"/>
        <v>-60</v>
      </c>
      <c r="M17" s="11"/>
      <c r="N17" s="11"/>
      <c r="O17" s="11"/>
      <c r="P17" s="11"/>
      <c r="Q17" s="11">
        <f t="shared" si="3"/>
        <v>0</v>
      </c>
      <c r="R17" s="13"/>
      <c r="S17" s="11" t="e">
        <f t="shared" si="4"/>
        <v>#DIV/0!</v>
      </c>
      <c r="T17" s="11" t="e">
        <f t="shared" si="5"/>
        <v>#DIV/0!</v>
      </c>
      <c r="U17" s="11">
        <v>-0.56640000000000001</v>
      </c>
      <c r="V17" s="11">
        <v>-0.56640000000000001</v>
      </c>
      <c r="W17" s="11">
        <v>217.79259999999999</v>
      </c>
      <c r="X17" s="11">
        <v>360.17320000000001</v>
      </c>
      <c r="Y17" s="11">
        <v>309.18419999999998</v>
      </c>
      <c r="Z17" s="11">
        <v>303.96140000000003</v>
      </c>
      <c r="AA17" s="11">
        <v>282.35140000000001</v>
      </c>
      <c r="AB17" s="11">
        <v>325.00940000000003</v>
      </c>
      <c r="AC17" s="11" t="s">
        <v>59</v>
      </c>
      <c r="AD17" s="1">
        <f t="shared" si="6"/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60</v>
      </c>
      <c r="B18" s="1" t="s">
        <v>33</v>
      </c>
      <c r="C18" s="1">
        <v>33.787999999999997</v>
      </c>
      <c r="D18" s="1">
        <v>26.452999999999999</v>
      </c>
      <c r="E18" s="1">
        <v>23.027000000000001</v>
      </c>
      <c r="F18" s="1">
        <v>23.716999999999999</v>
      </c>
      <c r="G18" s="7">
        <v>1</v>
      </c>
      <c r="H18" s="1"/>
      <c r="I18" s="1" t="s">
        <v>61</v>
      </c>
      <c r="J18" s="1"/>
      <c r="K18" s="1">
        <v>21.9</v>
      </c>
      <c r="L18" s="1">
        <f t="shared" si="2"/>
        <v>1.1270000000000024</v>
      </c>
      <c r="M18" s="1"/>
      <c r="N18" s="1"/>
      <c r="O18" s="1">
        <v>111.65483999999999</v>
      </c>
      <c r="P18" s="1">
        <v>14.67456000000001</v>
      </c>
      <c r="Q18" s="1">
        <f t="shared" si="3"/>
        <v>4.6054000000000004</v>
      </c>
      <c r="R18" s="5"/>
      <c r="S18" s="1">
        <f t="shared" si="4"/>
        <v>32.58053589264776</v>
      </c>
      <c r="T18" s="1">
        <f t="shared" si="5"/>
        <v>32.58053589264776</v>
      </c>
      <c r="U18" s="1">
        <v>12.081200000000001</v>
      </c>
      <c r="V18" s="1">
        <v>12.433199999999999</v>
      </c>
      <c r="W18" s="1">
        <v>2.8418000000000001</v>
      </c>
      <c r="X18" s="1">
        <v>0</v>
      </c>
      <c r="Y18" s="1">
        <v>7.9376000000000007</v>
      </c>
      <c r="Z18" s="1">
        <v>1.6040000000000001</v>
      </c>
      <c r="AA18" s="1">
        <v>3.9266000000000001</v>
      </c>
      <c r="AB18" s="1">
        <v>2.3201999999999998</v>
      </c>
      <c r="AC18" s="1"/>
      <c r="AD18" s="1">
        <f t="shared" si="6"/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62</v>
      </c>
      <c r="B19" s="1" t="s">
        <v>33</v>
      </c>
      <c r="C19" s="1">
        <v>39.095999999999997</v>
      </c>
      <c r="D19" s="1">
        <v>18.388000000000002</v>
      </c>
      <c r="E19" s="1">
        <v>19.132000000000001</v>
      </c>
      <c r="F19" s="1">
        <v>18.521000000000001</v>
      </c>
      <c r="G19" s="7">
        <v>1</v>
      </c>
      <c r="H19" s="1"/>
      <c r="I19" s="1" t="s">
        <v>63</v>
      </c>
      <c r="J19" s="1"/>
      <c r="K19" s="1">
        <v>27.41</v>
      </c>
      <c r="L19" s="1">
        <f t="shared" si="2"/>
        <v>-8.2779999999999987</v>
      </c>
      <c r="M19" s="1"/>
      <c r="N19" s="1"/>
      <c r="O19" s="1">
        <v>24.039400000000011</v>
      </c>
      <c r="P19" s="1">
        <v>37.887799999999977</v>
      </c>
      <c r="Q19" s="1">
        <f t="shared" si="3"/>
        <v>3.8264000000000005</v>
      </c>
      <c r="R19" s="5"/>
      <c r="S19" s="1">
        <f t="shared" si="4"/>
        <v>21.024513903407897</v>
      </c>
      <c r="T19" s="1">
        <f t="shared" si="5"/>
        <v>21.024513903407897</v>
      </c>
      <c r="U19" s="1">
        <v>6.4126000000000003</v>
      </c>
      <c r="V19" s="1">
        <v>4.5920000000000014</v>
      </c>
      <c r="W19" s="1">
        <v>0.43180000000000002</v>
      </c>
      <c r="X19" s="1">
        <v>1.2968</v>
      </c>
      <c r="Y19" s="1">
        <v>3.1156000000000001</v>
      </c>
      <c r="Z19" s="1">
        <v>1.7052</v>
      </c>
      <c r="AA19" s="1">
        <v>3.2547999999999999</v>
      </c>
      <c r="AB19" s="1">
        <v>3.6768000000000001</v>
      </c>
      <c r="AC19" s="1"/>
      <c r="AD19" s="1">
        <f t="shared" si="6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64</v>
      </c>
      <c r="B20" s="1" t="s">
        <v>33</v>
      </c>
      <c r="C20" s="1">
        <v>334.31099999999998</v>
      </c>
      <c r="D20" s="1">
        <v>1421.309</v>
      </c>
      <c r="E20" s="1">
        <v>461.584</v>
      </c>
      <c r="F20" s="1">
        <v>906.97400000000005</v>
      </c>
      <c r="G20" s="7">
        <v>1</v>
      </c>
      <c r="H20" s="1"/>
      <c r="I20" s="1" t="s">
        <v>65</v>
      </c>
      <c r="J20" s="1"/>
      <c r="K20" s="1">
        <v>434.72</v>
      </c>
      <c r="L20" s="1">
        <f t="shared" si="2"/>
        <v>26.863999999999976</v>
      </c>
      <c r="M20" s="1"/>
      <c r="N20" s="1"/>
      <c r="O20" s="1"/>
      <c r="P20" s="1">
        <v>313.79939999999988</v>
      </c>
      <c r="Q20" s="1">
        <f t="shared" si="3"/>
        <v>92.316800000000001</v>
      </c>
      <c r="R20" s="5"/>
      <c r="S20" s="1">
        <f t="shared" si="4"/>
        <v>13.223740424278137</v>
      </c>
      <c r="T20" s="1">
        <f t="shared" si="5"/>
        <v>13.223740424278137</v>
      </c>
      <c r="U20" s="1">
        <v>112.2612</v>
      </c>
      <c r="V20" s="1">
        <v>109.2184</v>
      </c>
      <c r="W20" s="1">
        <v>102.24079999999999</v>
      </c>
      <c r="X20" s="1">
        <v>114.7664</v>
      </c>
      <c r="Y20" s="1">
        <v>94.618399999999994</v>
      </c>
      <c r="Z20" s="1">
        <v>100.66679999999999</v>
      </c>
      <c r="AA20" s="1">
        <v>104.90519999999999</v>
      </c>
      <c r="AB20" s="1">
        <v>78.773400000000009</v>
      </c>
      <c r="AC20" s="1"/>
      <c r="AD20" s="1">
        <f t="shared" si="6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66</v>
      </c>
      <c r="B21" s="1" t="s">
        <v>33</v>
      </c>
      <c r="C21" s="1">
        <v>1.3280000000000001</v>
      </c>
      <c r="D21" s="1">
        <v>281.43799999999999</v>
      </c>
      <c r="E21" s="1">
        <v>43.182000000000002</v>
      </c>
      <c r="F21" s="1">
        <v>187.136</v>
      </c>
      <c r="G21" s="7">
        <v>1</v>
      </c>
      <c r="H21" s="1"/>
      <c r="I21" s="1" t="s">
        <v>67</v>
      </c>
      <c r="J21" s="1"/>
      <c r="K21" s="1">
        <v>78.2</v>
      </c>
      <c r="L21" s="1">
        <f t="shared" si="2"/>
        <v>-35.018000000000001</v>
      </c>
      <c r="M21" s="1"/>
      <c r="N21" s="1"/>
      <c r="O21" s="1"/>
      <c r="P21" s="1"/>
      <c r="Q21" s="1">
        <f t="shared" si="3"/>
        <v>8.6364000000000001</v>
      </c>
      <c r="R21" s="5"/>
      <c r="S21" s="1">
        <f t="shared" si="4"/>
        <v>21.66828771247279</v>
      </c>
      <c r="T21" s="1">
        <f t="shared" si="5"/>
        <v>21.66828771247279</v>
      </c>
      <c r="U21" s="1">
        <v>5.4560000000000004</v>
      </c>
      <c r="V21" s="1">
        <v>17.258400000000002</v>
      </c>
      <c r="W21" s="1">
        <v>23.96</v>
      </c>
      <c r="X21" s="1">
        <v>16.3932</v>
      </c>
      <c r="Y21" s="1">
        <v>14.417999999999999</v>
      </c>
      <c r="Z21" s="1">
        <v>13.342599999999999</v>
      </c>
      <c r="AA21" s="1">
        <v>12.1364</v>
      </c>
      <c r="AB21" s="1">
        <v>18.9848</v>
      </c>
      <c r="AC21" s="1"/>
      <c r="AD21" s="1">
        <f t="shared" si="6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68</v>
      </c>
      <c r="B22" s="1" t="s">
        <v>33</v>
      </c>
      <c r="C22" s="1">
        <v>250.464</v>
      </c>
      <c r="D22" s="1">
        <v>565.197</v>
      </c>
      <c r="E22" s="1">
        <v>186.786</v>
      </c>
      <c r="F22" s="1">
        <v>446.62400000000002</v>
      </c>
      <c r="G22" s="7">
        <v>1</v>
      </c>
      <c r="H22" s="1"/>
      <c r="I22" s="1" t="s">
        <v>69</v>
      </c>
      <c r="J22" s="1"/>
      <c r="K22" s="1">
        <v>177.88</v>
      </c>
      <c r="L22" s="1">
        <f t="shared" si="2"/>
        <v>8.9060000000000059</v>
      </c>
      <c r="M22" s="1"/>
      <c r="N22" s="1"/>
      <c r="O22" s="1">
        <v>159.5375600000001</v>
      </c>
      <c r="P22" s="1">
        <v>28.313240000000061</v>
      </c>
      <c r="Q22" s="1">
        <f t="shared" si="3"/>
        <v>37.357199999999999</v>
      </c>
      <c r="R22" s="5"/>
      <c r="S22" s="1">
        <f t="shared" si="4"/>
        <v>16.984003083742898</v>
      </c>
      <c r="T22" s="1">
        <f t="shared" si="5"/>
        <v>16.984003083742898</v>
      </c>
      <c r="U22" s="1">
        <v>53.085400000000007</v>
      </c>
      <c r="V22" s="1">
        <v>53.475800000000007</v>
      </c>
      <c r="W22" s="1">
        <v>57.174599999999998</v>
      </c>
      <c r="X22" s="1">
        <v>54.511600000000001</v>
      </c>
      <c r="Y22" s="1">
        <v>38.178800000000003</v>
      </c>
      <c r="Z22" s="1">
        <v>33.288400000000003</v>
      </c>
      <c r="AA22" s="1">
        <v>42.434199999999997</v>
      </c>
      <c r="AB22" s="1">
        <v>31.876799999999999</v>
      </c>
      <c r="AC22" s="1"/>
      <c r="AD22" s="1">
        <f t="shared" si="6"/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70</v>
      </c>
      <c r="B23" s="1" t="s">
        <v>33</v>
      </c>
      <c r="C23" s="1">
        <v>35.234000000000002</v>
      </c>
      <c r="D23" s="1">
        <v>10.218</v>
      </c>
      <c r="E23" s="1">
        <v>17.719000000000001</v>
      </c>
      <c r="F23" s="1">
        <v>19.172000000000001</v>
      </c>
      <c r="G23" s="7">
        <v>1</v>
      </c>
      <c r="H23" s="1"/>
      <c r="I23" s="1" t="s">
        <v>71</v>
      </c>
      <c r="J23" s="1"/>
      <c r="K23" s="1">
        <v>19.350000000000001</v>
      </c>
      <c r="L23" s="1">
        <f t="shared" si="2"/>
        <v>-1.6310000000000002</v>
      </c>
      <c r="M23" s="1"/>
      <c r="N23" s="1"/>
      <c r="O23" s="1">
        <v>37.319239999999994</v>
      </c>
      <c r="P23" s="1">
        <v>24.144359999999988</v>
      </c>
      <c r="Q23" s="1">
        <f t="shared" si="3"/>
        <v>3.5438000000000001</v>
      </c>
      <c r="R23" s="5"/>
      <c r="S23" s="1">
        <f t="shared" si="4"/>
        <v>22.753992888989217</v>
      </c>
      <c r="T23" s="1">
        <f t="shared" si="5"/>
        <v>22.753992888989217</v>
      </c>
      <c r="U23" s="1">
        <v>6.9477999999999991</v>
      </c>
      <c r="V23" s="1">
        <v>5.1381999999999994</v>
      </c>
      <c r="W23" s="1">
        <v>0.43819999999999998</v>
      </c>
      <c r="X23" s="1">
        <v>0.87339999999999995</v>
      </c>
      <c r="Y23" s="1">
        <v>3.0621999999999998</v>
      </c>
      <c r="Z23" s="1">
        <v>3.3464</v>
      </c>
      <c r="AA23" s="1">
        <v>1.7766</v>
      </c>
      <c r="AB23" s="1">
        <v>2.7141999999999999</v>
      </c>
      <c r="AC23" s="1"/>
      <c r="AD23" s="1">
        <f t="shared" si="6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72</v>
      </c>
      <c r="B24" s="1" t="s">
        <v>33</v>
      </c>
      <c r="C24" s="1">
        <v>431.11099999999999</v>
      </c>
      <c r="D24" s="1">
        <v>526.36400000000003</v>
      </c>
      <c r="E24" s="1">
        <v>230.68299999999999</v>
      </c>
      <c r="F24" s="1">
        <v>488.59</v>
      </c>
      <c r="G24" s="7">
        <v>1</v>
      </c>
      <c r="H24" s="1"/>
      <c r="I24" s="1" t="s">
        <v>73</v>
      </c>
      <c r="J24" s="1"/>
      <c r="K24" s="1">
        <v>220.18</v>
      </c>
      <c r="L24" s="1">
        <f t="shared" si="2"/>
        <v>10.502999999999986</v>
      </c>
      <c r="M24" s="1"/>
      <c r="N24" s="1"/>
      <c r="O24" s="1">
        <v>155.3171200000001</v>
      </c>
      <c r="P24" s="1">
        <v>159.37627999999989</v>
      </c>
      <c r="Q24" s="1">
        <f t="shared" si="3"/>
        <v>46.136600000000001</v>
      </c>
      <c r="R24" s="5"/>
      <c r="S24" s="1">
        <f t="shared" si="4"/>
        <v>17.410979569365754</v>
      </c>
      <c r="T24" s="1">
        <f t="shared" si="5"/>
        <v>17.410979569365754</v>
      </c>
      <c r="U24" s="1">
        <v>69.900199999999998</v>
      </c>
      <c r="V24" s="1">
        <v>60.441600000000008</v>
      </c>
      <c r="W24" s="1">
        <v>43.510000000000012</v>
      </c>
      <c r="X24" s="1">
        <v>49.888800000000003</v>
      </c>
      <c r="Y24" s="1">
        <v>52.990400000000001</v>
      </c>
      <c r="Z24" s="1">
        <v>39.368600000000001</v>
      </c>
      <c r="AA24" s="1">
        <v>52.986800000000002</v>
      </c>
      <c r="AB24" s="1">
        <v>42.601999999999997</v>
      </c>
      <c r="AC24" s="1"/>
      <c r="AD24" s="1">
        <f t="shared" si="6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74</v>
      </c>
      <c r="B25" s="1" t="s">
        <v>33</v>
      </c>
      <c r="C25" s="1">
        <v>34.036999999999999</v>
      </c>
      <c r="D25" s="1">
        <v>19.218</v>
      </c>
      <c r="E25" s="1">
        <v>13.282</v>
      </c>
      <c r="F25" s="1">
        <v>28.620999999999999</v>
      </c>
      <c r="G25" s="7">
        <v>1</v>
      </c>
      <c r="H25" s="1"/>
      <c r="I25" s="1" t="s">
        <v>75</v>
      </c>
      <c r="J25" s="1"/>
      <c r="K25" s="1">
        <v>14.8</v>
      </c>
      <c r="L25" s="1">
        <f t="shared" si="2"/>
        <v>-1.5180000000000007</v>
      </c>
      <c r="M25" s="1"/>
      <c r="N25" s="1"/>
      <c r="O25" s="1">
        <v>28.694680000000002</v>
      </c>
      <c r="P25" s="1"/>
      <c r="Q25" s="1">
        <f t="shared" si="3"/>
        <v>2.6564000000000001</v>
      </c>
      <c r="R25" s="5"/>
      <c r="S25" s="1">
        <f t="shared" si="4"/>
        <v>21.576449329920191</v>
      </c>
      <c r="T25" s="1">
        <f t="shared" si="5"/>
        <v>21.576449329920191</v>
      </c>
      <c r="U25" s="1">
        <v>4.1875999999999998</v>
      </c>
      <c r="V25" s="1">
        <v>4.7523999999999997</v>
      </c>
      <c r="W25" s="1">
        <v>1.1226</v>
      </c>
      <c r="X25" s="1">
        <v>4.2080000000000002</v>
      </c>
      <c r="Y25" s="1">
        <v>8.168000000000001</v>
      </c>
      <c r="Z25" s="1">
        <v>2.4500000000000002</v>
      </c>
      <c r="AA25" s="1">
        <v>3.4954000000000001</v>
      </c>
      <c r="AB25" s="1">
        <v>9.4819999999999993</v>
      </c>
      <c r="AC25" s="1"/>
      <c r="AD25" s="1">
        <f t="shared" si="6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76</v>
      </c>
      <c r="B26" s="1" t="s">
        <v>33</v>
      </c>
      <c r="C26" s="1">
        <v>-20.736000000000001</v>
      </c>
      <c r="D26" s="1">
        <v>182.40799999999999</v>
      </c>
      <c r="E26" s="1">
        <v>31.225999999999999</v>
      </c>
      <c r="F26" s="1">
        <v>92.064999999999998</v>
      </c>
      <c r="G26" s="7">
        <v>1</v>
      </c>
      <c r="H26" s="1"/>
      <c r="I26" s="1" t="s">
        <v>77</v>
      </c>
      <c r="J26" s="1"/>
      <c r="K26" s="1">
        <v>35.1</v>
      </c>
      <c r="L26" s="1">
        <f t="shared" si="2"/>
        <v>-3.8740000000000023</v>
      </c>
      <c r="M26" s="1"/>
      <c r="N26" s="1"/>
      <c r="O26" s="1">
        <v>334.14555999999999</v>
      </c>
      <c r="P26" s="1"/>
      <c r="Q26" s="1">
        <f t="shared" si="3"/>
        <v>6.2451999999999996</v>
      </c>
      <c r="R26" s="5"/>
      <c r="S26" s="1">
        <f t="shared" si="4"/>
        <v>68.246102606802026</v>
      </c>
      <c r="T26" s="1">
        <f t="shared" si="5"/>
        <v>68.246102606802026</v>
      </c>
      <c r="U26" s="1">
        <v>23.9664</v>
      </c>
      <c r="V26" s="1">
        <v>38.5518</v>
      </c>
      <c r="W26" s="1">
        <v>15.353400000000001</v>
      </c>
      <c r="X26" s="1">
        <v>1.7964</v>
      </c>
      <c r="Y26" s="1">
        <v>17.0366</v>
      </c>
      <c r="Z26" s="1">
        <v>5.8121999999999998</v>
      </c>
      <c r="AA26" s="1">
        <v>19.634599999999999</v>
      </c>
      <c r="AB26" s="1">
        <v>21.001200000000001</v>
      </c>
      <c r="AC26" s="1"/>
      <c r="AD26" s="1">
        <f t="shared" si="6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78</v>
      </c>
      <c r="B27" s="1" t="s">
        <v>33</v>
      </c>
      <c r="C27" s="1">
        <v>136.83199999999999</v>
      </c>
      <c r="D27" s="1">
        <v>513.86300000000006</v>
      </c>
      <c r="E27" s="1">
        <v>237.49199999999999</v>
      </c>
      <c r="F27" s="1">
        <v>294.89299999999997</v>
      </c>
      <c r="G27" s="7">
        <v>1</v>
      </c>
      <c r="H27" s="1"/>
      <c r="I27" s="1" t="s">
        <v>79</v>
      </c>
      <c r="J27" s="1"/>
      <c r="K27" s="1">
        <v>253.7</v>
      </c>
      <c r="L27" s="1">
        <f t="shared" si="2"/>
        <v>-16.207999999999998</v>
      </c>
      <c r="M27" s="1"/>
      <c r="N27" s="1"/>
      <c r="O27" s="1">
        <v>366.00639999999981</v>
      </c>
      <c r="P27" s="1">
        <v>114.12384</v>
      </c>
      <c r="Q27" s="1">
        <f t="shared" si="3"/>
        <v>47.498399999999997</v>
      </c>
      <c r="R27" s="5"/>
      <c r="S27" s="1">
        <f t="shared" si="4"/>
        <v>16.316828356323576</v>
      </c>
      <c r="T27" s="1">
        <f t="shared" si="5"/>
        <v>16.316828356323576</v>
      </c>
      <c r="U27" s="1">
        <v>64.634600000000006</v>
      </c>
      <c r="V27" s="1">
        <v>63.067999999999998</v>
      </c>
      <c r="W27" s="1">
        <v>57.167600000000007</v>
      </c>
      <c r="X27" s="1">
        <v>56.127000000000002</v>
      </c>
      <c r="Y27" s="1">
        <v>46.794800000000002</v>
      </c>
      <c r="Z27" s="1">
        <v>46.891800000000003</v>
      </c>
      <c r="AA27" s="1">
        <v>38.828800000000001</v>
      </c>
      <c r="AB27" s="1">
        <v>52.742199999999997</v>
      </c>
      <c r="AC27" s="1"/>
      <c r="AD27" s="1">
        <f t="shared" si="6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80</v>
      </c>
      <c r="B28" s="1" t="s">
        <v>33</v>
      </c>
      <c r="C28" s="1">
        <v>195.179</v>
      </c>
      <c r="D28" s="1">
        <v>453.50400000000002</v>
      </c>
      <c r="E28" s="1">
        <v>273.25200000000001</v>
      </c>
      <c r="F28" s="1">
        <v>302.928</v>
      </c>
      <c r="G28" s="7">
        <v>1</v>
      </c>
      <c r="H28" s="1"/>
      <c r="I28" s="1" t="s">
        <v>81</v>
      </c>
      <c r="J28" s="1"/>
      <c r="K28" s="1">
        <v>444.8</v>
      </c>
      <c r="L28" s="1">
        <f t="shared" si="2"/>
        <v>-171.548</v>
      </c>
      <c r="M28" s="1"/>
      <c r="N28" s="1"/>
      <c r="O28" s="1"/>
      <c r="P28" s="1">
        <v>487.62979999999999</v>
      </c>
      <c r="Q28" s="1">
        <f t="shared" si="3"/>
        <v>54.650400000000005</v>
      </c>
      <c r="R28" s="5"/>
      <c r="S28" s="1">
        <f t="shared" si="4"/>
        <v>14.465727606751276</v>
      </c>
      <c r="T28" s="1">
        <f t="shared" si="5"/>
        <v>14.465727606751276</v>
      </c>
      <c r="U28" s="1">
        <v>63.486400000000003</v>
      </c>
      <c r="V28" s="1">
        <v>25.735800000000001</v>
      </c>
      <c r="W28" s="1">
        <v>17.547999999999998</v>
      </c>
      <c r="X28" s="1">
        <v>63.722400000000007</v>
      </c>
      <c r="Y28" s="1">
        <v>111.14619999999999</v>
      </c>
      <c r="Z28" s="1">
        <v>73.176400000000001</v>
      </c>
      <c r="AA28" s="1">
        <v>86.483800000000002</v>
      </c>
      <c r="AB28" s="1">
        <v>88.993200000000002</v>
      </c>
      <c r="AC28" s="1"/>
      <c r="AD28" s="1">
        <f t="shared" si="6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82</v>
      </c>
      <c r="B29" s="1" t="s">
        <v>33</v>
      </c>
      <c r="C29" s="1">
        <v>1.96</v>
      </c>
      <c r="D29" s="1">
        <v>1385.1410000000001</v>
      </c>
      <c r="E29" s="1">
        <v>-2.4900000000000002</v>
      </c>
      <c r="F29" s="1">
        <v>1012.112</v>
      </c>
      <c r="G29" s="7">
        <v>1</v>
      </c>
      <c r="H29" s="1"/>
      <c r="I29" s="1" t="s">
        <v>83</v>
      </c>
      <c r="J29" s="1"/>
      <c r="K29" s="1">
        <v>281.85000000000002</v>
      </c>
      <c r="L29" s="1">
        <f t="shared" si="2"/>
        <v>-284.34000000000003</v>
      </c>
      <c r="M29" s="1"/>
      <c r="N29" s="1"/>
      <c r="O29" s="1">
        <v>1298.42976</v>
      </c>
      <c r="P29" s="1"/>
      <c r="Q29" s="1">
        <f t="shared" si="3"/>
        <v>-0.49800000000000005</v>
      </c>
      <c r="R29" s="5"/>
      <c r="S29" s="1">
        <f t="shared" si="4"/>
        <v>-4639.6420883534129</v>
      </c>
      <c r="T29" s="1">
        <f t="shared" si="5"/>
        <v>-4639.6420883534129</v>
      </c>
      <c r="U29" s="1">
        <v>74.856799999999993</v>
      </c>
      <c r="V29" s="1">
        <v>185.2568</v>
      </c>
      <c r="W29" s="1">
        <v>162.31219999999999</v>
      </c>
      <c r="X29" s="1">
        <v>71.218600000000009</v>
      </c>
      <c r="Y29" s="1">
        <v>218.88560000000001</v>
      </c>
      <c r="Z29" s="1">
        <v>80.849599999999995</v>
      </c>
      <c r="AA29" s="1">
        <v>144.97579999999999</v>
      </c>
      <c r="AB29" s="1">
        <v>140.4692</v>
      </c>
      <c r="AC29" s="1"/>
      <c r="AD29" s="1">
        <f t="shared" si="6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84</v>
      </c>
      <c r="B30" s="1" t="s">
        <v>33</v>
      </c>
      <c r="C30" s="1">
        <v>-16.491</v>
      </c>
      <c r="D30" s="1">
        <v>40.555999999999997</v>
      </c>
      <c r="E30" s="1"/>
      <c r="F30" s="1"/>
      <c r="G30" s="7">
        <v>1</v>
      </c>
      <c r="H30" s="1"/>
      <c r="I30" s="1" t="s">
        <v>85</v>
      </c>
      <c r="J30" s="1"/>
      <c r="K30" s="1"/>
      <c r="L30" s="1">
        <f t="shared" si="2"/>
        <v>0</v>
      </c>
      <c r="M30" s="1"/>
      <c r="N30" s="1"/>
      <c r="O30" s="1">
        <v>24.989159999999998</v>
      </c>
      <c r="P30" s="1">
        <v>30</v>
      </c>
      <c r="Q30" s="1">
        <f t="shared" si="3"/>
        <v>0</v>
      </c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0.64379999999999993</v>
      </c>
      <c r="W30" s="1">
        <v>5.3945999999999996</v>
      </c>
      <c r="X30" s="1">
        <v>16.281400000000001</v>
      </c>
      <c r="Y30" s="1">
        <v>15.133800000000001</v>
      </c>
      <c r="Z30" s="1">
        <v>11.8508</v>
      </c>
      <c r="AA30" s="1">
        <v>11.727399999999999</v>
      </c>
      <c r="AB30" s="1">
        <v>17.645800000000001</v>
      </c>
      <c r="AC30" s="1"/>
      <c r="AD30" s="1">
        <f t="shared" si="6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86</v>
      </c>
      <c r="B31" s="1" t="s">
        <v>33</v>
      </c>
      <c r="C31" s="1">
        <v>14.065</v>
      </c>
      <c r="D31" s="1">
        <v>77.201999999999998</v>
      </c>
      <c r="E31" s="1">
        <v>52.439</v>
      </c>
      <c r="F31" s="1">
        <v>33.872</v>
      </c>
      <c r="G31" s="7">
        <v>1</v>
      </c>
      <c r="H31" s="1"/>
      <c r="I31" s="1" t="s">
        <v>87</v>
      </c>
      <c r="J31" s="1"/>
      <c r="K31" s="1">
        <v>56.5</v>
      </c>
      <c r="L31" s="1">
        <f t="shared" si="2"/>
        <v>-4.0609999999999999</v>
      </c>
      <c r="M31" s="1"/>
      <c r="N31" s="1"/>
      <c r="O31" s="1"/>
      <c r="P31" s="1">
        <v>53.581087999999987</v>
      </c>
      <c r="Q31" s="1">
        <f t="shared" si="3"/>
        <v>10.4878</v>
      </c>
      <c r="R31" s="5">
        <f t="shared" ref="R31" si="8">11*Q31-P31-O31-F31</f>
        <v>27.91271200000002</v>
      </c>
      <c r="S31" s="1">
        <f t="shared" si="4"/>
        <v>11</v>
      </c>
      <c r="T31" s="1">
        <f t="shared" si="5"/>
        <v>8.3385541295600589</v>
      </c>
      <c r="U31" s="1">
        <v>6.930200000000001</v>
      </c>
      <c r="V31" s="1">
        <v>4.702</v>
      </c>
      <c r="W31" s="1">
        <v>11.2216</v>
      </c>
      <c r="X31" s="1">
        <v>18.107199999999999</v>
      </c>
      <c r="Y31" s="1">
        <v>2.2928000000000002</v>
      </c>
      <c r="Z31" s="1">
        <v>11.4916</v>
      </c>
      <c r="AA31" s="1">
        <v>10.300800000000001</v>
      </c>
      <c r="AB31" s="1">
        <v>11.0518</v>
      </c>
      <c r="AC31" s="1"/>
      <c r="AD31" s="1">
        <f t="shared" si="6"/>
        <v>28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88</v>
      </c>
      <c r="B32" s="1" t="s">
        <v>33</v>
      </c>
      <c r="C32" s="1">
        <v>63.396000000000001</v>
      </c>
      <c r="D32" s="1">
        <v>38.982999999999997</v>
      </c>
      <c r="E32" s="1">
        <v>64.837999999999994</v>
      </c>
      <c r="F32" s="1">
        <v>20.146999999999998</v>
      </c>
      <c r="G32" s="7">
        <v>1</v>
      </c>
      <c r="H32" s="1"/>
      <c r="I32" s="1" t="s">
        <v>89</v>
      </c>
      <c r="J32" s="1"/>
      <c r="K32" s="1">
        <v>69.8</v>
      </c>
      <c r="L32" s="1">
        <f t="shared" si="2"/>
        <v>-4.9620000000000033</v>
      </c>
      <c r="M32" s="1"/>
      <c r="N32" s="1"/>
      <c r="O32" s="1">
        <v>164.54040000000001</v>
      </c>
      <c r="P32" s="1">
        <v>93.548400000000015</v>
      </c>
      <c r="Q32" s="1">
        <f t="shared" si="3"/>
        <v>12.967599999999999</v>
      </c>
      <c r="R32" s="5"/>
      <c r="S32" s="1">
        <f t="shared" si="4"/>
        <v>21.456229371664769</v>
      </c>
      <c r="T32" s="1">
        <f t="shared" si="5"/>
        <v>21.456229371664769</v>
      </c>
      <c r="U32" s="1">
        <v>22.8354</v>
      </c>
      <c r="V32" s="1">
        <v>18.087</v>
      </c>
      <c r="W32" s="1">
        <v>8.8298000000000005</v>
      </c>
      <c r="X32" s="1">
        <v>14.561199999999999</v>
      </c>
      <c r="Y32" s="1">
        <v>13.348000000000001</v>
      </c>
      <c r="Z32" s="1">
        <v>11</v>
      </c>
      <c r="AA32" s="1">
        <v>17.146799999999999</v>
      </c>
      <c r="AB32" s="1">
        <v>11.792199999999999</v>
      </c>
      <c r="AC32" s="1"/>
      <c r="AD32" s="1">
        <f t="shared" si="6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90</v>
      </c>
      <c r="B33" s="1" t="s">
        <v>33</v>
      </c>
      <c r="C33" s="1">
        <v>36.04</v>
      </c>
      <c r="D33" s="1">
        <v>53.89</v>
      </c>
      <c r="E33" s="1">
        <v>39.972000000000001</v>
      </c>
      <c r="F33" s="1">
        <v>25.995000000000001</v>
      </c>
      <c r="G33" s="7">
        <v>1</v>
      </c>
      <c r="H33" s="1"/>
      <c r="I33" s="1" t="s">
        <v>91</v>
      </c>
      <c r="J33" s="1"/>
      <c r="K33" s="1">
        <v>38.6</v>
      </c>
      <c r="L33" s="1">
        <f t="shared" si="2"/>
        <v>1.3719999999999999</v>
      </c>
      <c r="M33" s="1"/>
      <c r="N33" s="1"/>
      <c r="O33" s="1">
        <v>146.64171999999999</v>
      </c>
      <c r="P33" s="1">
        <v>62.580080000000002</v>
      </c>
      <c r="Q33" s="1">
        <f t="shared" si="3"/>
        <v>7.9944000000000006</v>
      </c>
      <c r="R33" s="5"/>
      <c r="S33" s="1">
        <f t="shared" si="4"/>
        <v>29.422695887120984</v>
      </c>
      <c r="T33" s="1">
        <f t="shared" si="5"/>
        <v>29.422695887120984</v>
      </c>
      <c r="U33" s="1">
        <v>17.6374</v>
      </c>
      <c r="V33" s="1">
        <v>15.8256</v>
      </c>
      <c r="W33" s="1">
        <v>2.5464000000000002</v>
      </c>
      <c r="X33" s="1">
        <v>3.4506000000000001</v>
      </c>
      <c r="Y33" s="1">
        <v>11.9902</v>
      </c>
      <c r="Z33" s="1">
        <v>6.7331999999999992</v>
      </c>
      <c r="AA33" s="1">
        <v>7.7528000000000006</v>
      </c>
      <c r="AB33" s="1">
        <v>11.283200000000001</v>
      </c>
      <c r="AC33" s="1"/>
      <c r="AD33" s="1">
        <f t="shared" si="6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92</v>
      </c>
      <c r="B34" s="1" t="s">
        <v>33</v>
      </c>
      <c r="C34" s="1">
        <v>36.604999999999997</v>
      </c>
      <c r="D34" s="1">
        <v>27.922000000000001</v>
      </c>
      <c r="E34" s="1">
        <v>36.390999999999998</v>
      </c>
      <c r="F34" s="1">
        <v>25.053000000000001</v>
      </c>
      <c r="G34" s="7">
        <v>1</v>
      </c>
      <c r="H34" s="1"/>
      <c r="I34" s="1" t="s">
        <v>93</v>
      </c>
      <c r="J34" s="1"/>
      <c r="K34" s="1">
        <v>34.1</v>
      </c>
      <c r="L34" s="1">
        <f t="shared" si="2"/>
        <v>2.2909999999999968</v>
      </c>
      <c r="M34" s="1"/>
      <c r="N34" s="1"/>
      <c r="O34" s="1">
        <v>104.70644</v>
      </c>
      <c r="P34" s="1">
        <v>43.947760000000002</v>
      </c>
      <c r="Q34" s="1">
        <f t="shared" si="3"/>
        <v>7.2782</v>
      </c>
      <c r="R34" s="5"/>
      <c r="S34" s="1">
        <f t="shared" si="4"/>
        <v>23.866780247863481</v>
      </c>
      <c r="T34" s="1">
        <f t="shared" si="5"/>
        <v>23.866780247863481</v>
      </c>
      <c r="U34" s="1">
        <v>13.0936</v>
      </c>
      <c r="V34" s="1">
        <v>11.2852</v>
      </c>
      <c r="W34" s="1">
        <v>0.90340000000000009</v>
      </c>
      <c r="X34" s="1">
        <v>1.6257999999999999</v>
      </c>
      <c r="Y34" s="1">
        <v>9.5920000000000005</v>
      </c>
      <c r="Z34" s="1">
        <v>4.7031999999999998</v>
      </c>
      <c r="AA34" s="1">
        <v>8.8510000000000009</v>
      </c>
      <c r="AB34" s="1">
        <v>6.9379999999999997</v>
      </c>
      <c r="AC34" s="1"/>
      <c r="AD34" s="1">
        <f t="shared" si="6"/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94</v>
      </c>
      <c r="B35" s="1" t="s">
        <v>40</v>
      </c>
      <c r="C35" s="1">
        <v>1615</v>
      </c>
      <c r="D35" s="1">
        <v>155</v>
      </c>
      <c r="E35" s="1">
        <v>1047</v>
      </c>
      <c r="F35" s="1">
        <v>629</v>
      </c>
      <c r="G35" s="7">
        <v>0.4</v>
      </c>
      <c r="H35" s="1"/>
      <c r="I35" s="1" t="s">
        <v>95</v>
      </c>
      <c r="J35" s="1"/>
      <c r="K35" s="1">
        <v>1088</v>
      </c>
      <c r="L35" s="1">
        <f t="shared" si="2"/>
        <v>-41</v>
      </c>
      <c r="M35" s="1"/>
      <c r="N35" s="1"/>
      <c r="O35" s="1">
        <v>1508.08</v>
      </c>
      <c r="P35" s="1">
        <v>687.12000000000035</v>
      </c>
      <c r="Q35" s="1">
        <f t="shared" si="3"/>
        <v>209.4</v>
      </c>
      <c r="R35" s="5"/>
      <c r="S35" s="1">
        <f t="shared" si="4"/>
        <v>13.487106017191978</v>
      </c>
      <c r="T35" s="1">
        <f t="shared" si="5"/>
        <v>13.487106017191978</v>
      </c>
      <c r="U35" s="1">
        <v>257.60000000000002</v>
      </c>
      <c r="V35" s="1">
        <v>219.4</v>
      </c>
      <c r="W35" s="1">
        <v>128</v>
      </c>
      <c r="X35" s="1">
        <v>182.4</v>
      </c>
      <c r="Y35" s="1">
        <v>197.2</v>
      </c>
      <c r="Z35" s="1">
        <v>91.4</v>
      </c>
      <c r="AA35" s="1">
        <v>215.4</v>
      </c>
      <c r="AB35" s="1">
        <v>161.80000000000001</v>
      </c>
      <c r="AC35" s="1"/>
      <c r="AD35" s="1">
        <f t="shared" si="6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96</v>
      </c>
      <c r="B36" s="1" t="s">
        <v>40</v>
      </c>
      <c r="C36" s="1">
        <v>301</v>
      </c>
      <c r="D36" s="1">
        <v>396</v>
      </c>
      <c r="E36" s="1">
        <v>212</v>
      </c>
      <c r="F36" s="1">
        <v>311</v>
      </c>
      <c r="G36" s="7">
        <v>0.45</v>
      </c>
      <c r="H36" s="1"/>
      <c r="I36" s="1" t="s">
        <v>97</v>
      </c>
      <c r="J36" s="1"/>
      <c r="K36" s="1">
        <v>213</v>
      </c>
      <c r="L36" s="1">
        <f t="shared" si="2"/>
        <v>-1</v>
      </c>
      <c r="M36" s="1"/>
      <c r="N36" s="1"/>
      <c r="O36" s="1">
        <v>335.95999999999992</v>
      </c>
      <c r="P36" s="1">
        <v>15.240000000000119</v>
      </c>
      <c r="Q36" s="1">
        <f t="shared" si="3"/>
        <v>42.4</v>
      </c>
      <c r="R36" s="5"/>
      <c r="S36" s="1">
        <f t="shared" si="4"/>
        <v>15.617924528301888</v>
      </c>
      <c r="T36" s="1">
        <f t="shared" si="5"/>
        <v>15.617924528301888</v>
      </c>
      <c r="U36" s="1">
        <v>58.6</v>
      </c>
      <c r="V36" s="1">
        <v>62.8</v>
      </c>
      <c r="W36" s="1">
        <v>53</v>
      </c>
      <c r="X36" s="1">
        <v>51.6</v>
      </c>
      <c r="Y36" s="1">
        <v>32.6</v>
      </c>
      <c r="Z36" s="1">
        <v>47</v>
      </c>
      <c r="AA36" s="1">
        <v>33</v>
      </c>
      <c r="AB36" s="1">
        <v>54.6</v>
      </c>
      <c r="AC36" s="1"/>
      <c r="AD36" s="1">
        <f t="shared" si="6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98</v>
      </c>
      <c r="B37" s="1" t="s">
        <v>40</v>
      </c>
      <c r="C37" s="1">
        <v>131</v>
      </c>
      <c r="D37" s="1">
        <v>365</v>
      </c>
      <c r="E37" s="1">
        <v>171</v>
      </c>
      <c r="F37" s="1">
        <v>255</v>
      </c>
      <c r="G37" s="7">
        <v>0.4</v>
      </c>
      <c r="H37" s="1"/>
      <c r="I37" s="1" t="s">
        <v>99</v>
      </c>
      <c r="J37" s="1"/>
      <c r="K37" s="1">
        <v>265</v>
      </c>
      <c r="L37" s="1">
        <f t="shared" si="2"/>
        <v>-94</v>
      </c>
      <c r="M37" s="1"/>
      <c r="N37" s="1"/>
      <c r="O37" s="1">
        <v>598.42000000000007</v>
      </c>
      <c r="P37" s="1">
        <v>5.5799999999999272</v>
      </c>
      <c r="Q37" s="1">
        <f t="shared" si="3"/>
        <v>34.200000000000003</v>
      </c>
      <c r="R37" s="5"/>
      <c r="S37" s="1">
        <f t="shared" si="4"/>
        <v>25.116959064327482</v>
      </c>
      <c r="T37" s="1">
        <f t="shared" si="5"/>
        <v>25.116959064327482</v>
      </c>
      <c r="U37" s="1">
        <v>69.8</v>
      </c>
      <c r="V37" s="1">
        <v>72.599999999999994</v>
      </c>
      <c r="W37" s="1">
        <v>49.8</v>
      </c>
      <c r="X37" s="1">
        <v>42.2</v>
      </c>
      <c r="Y37" s="1">
        <v>54.6</v>
      </c>
      <c r="Z37" s="1">
        <v>24.8</v>
      </c>
      <c r="AA37" s="1">
        <v>36.6</v>
      </c>
      <c r="AB37" s="1">
        <v>65</v>
      </c>
      <c r="AC37" s="1"/>
      <c r="AD37" s="1">
        <f t="shared" si="6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100</v>
      </c>
      <c r="B38" s="1" t="s">
        <v>40</v>
      </c>
      <c r="C38" s="1">
        <v>1</v>
      </c>
      <c r="D38" s="1">
        <v>101</v>
      </c>
      <c r="E38" s="1">
        <v>3</v>
      </c>
      <c r="F38" s="1">
        <v>91</v>
      </c>
      <c r="G38" s="7">
        <v>0.4</v>
      </c>
      <c r="H38" s="1"/>
      <c r="I38" s="1" t="s">
        <v>101</v>
      </c>
      <c r="J38" s="1"/>
      <c r="K38" s="1">
        <v>8</v>
      </c>
      <c r="L38" s="1">
        <f t="shared" ref="L38:L69" si="9">E38-K38</f>
        <v>-5</v>
      </c>
      <c r="M38" s="1"/>
      <c r="N38" s="1"/>
      <c r="O38" s="1">
        <v>59.239999999999988</v>
      </c>
      <c r="P38" s="1"/>
      <c r="Q38" s="1">
        <f t="shared" si="3"/>
        <v>0.6</v>
      </c>
      <c r="R38" s="5"/>
      <c r="S38" s="1">
        <f t="shared" si="4"/>
        <v>250.39999999999998</v>
      </c>
      <c r="T38" s="1">
        <f t="shared" si="5"/>
        <v>250.39999999999998</v>
      </c>
      <c r="U38" s="1">
        <v>9.8000000000000007</v>
      </c>
      <c r="V38" s="1">
        <v>11.2</v>
      </c>
      <c r="W38" s="1">
        <v>12.6</v>
      </c>
      <c r="X38" s="1">
        <v>11.2</v>
      </c>
      <c r="Y38" s="1">
        <v>2.8</v>
      </c>
      <c r="Z38" s="1">
        <v>3.2</v>
      </c>
      <c r="AA38" s="1">
        <v>3</v>
      </c>
      <c r="AB38" s="1">
        <v>5.4</v>
      </c>
      <c r="AC38" s="1"/>
      <c r="AD38" s="1">
        <f t="shared" si="6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102</v>
      </c>
      <c r="B39" s="1" t="s">
        <v>33</v>
      </c>
      <c r="C39" s="1">
        <v>8.2729999999999997</v>
      </c>
      <c r="D39" s="1">
        <v>46.290999999999997</v>
      </c>
      <c r="E39" s="1"/>
      <c r="F39" s="1">
        <v>38.588999999999999</v>
      </c>
      <c r="G39" s="7">
        <v>1</v>
      </c>
      <c r="H39" s="1"/>
      <c r="I39" s="1" t="s">
        <v>103</v>
      </c>
      <c r="J39" s="1"/>
      <c r="K39" s="1">
        <v>19.399999999999999</v>
      </c>
      <c r="L39" s="1">
        <f t="shared" si="9"/>
        <v>-19.399999999999999</v>
      </c>
      <c r="M39" s="1"/>
      <c r="N39" s="1"/>
      <c r="O39" s="1">
        <v>29.466840000000001</v>
      </c>
      <c r="P39" s="1"/>
      <c r="Q39" s="1">
        <f t="shared" si="3"/>
        <v>0</v>
      </c>
      <c r="R39" s="5"/>
      <c r="S39" s="1" t="e">
        <f t="shared" si="4"/>
        <v>#DIV/0!</v>
      </c>
      <c r="T39" s="1" t="e">
        <f t="shared" si="5"/>
        <v>#DIV/0!</v>
      </c>
      <c r="U39" s="1">
        <v>1.1624000000000001</v>
      </c>
      <c r="V39" s="1">
        <v>4.9401999999999999</v>
      </c>
      <c r="W39" s="1">
        <v>3.7778</v>
      </c>
      <c r="X39" s="1">
        <v>0</v>
      </c>
      <c r="Y39" s="1">
        <v>1.9923999999999999</v>
      </c>
      <c r="Z39" s="1">
        <v>5.5179999999999998</v>
      </c>
      <c r="AA39" s="1">
        <v>3.1657999999999999</v>
      </c>
      <c r="AB39" s="1">
        <v>2.5695999999999999</v>
      </c>
      <c r="AC39" s="17" t="s">
        <v>41</v>
      </c>
      <c r="AD39" s="1">
        <f t="shared" si="6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104</v>
      </c>
      <c r="B40" s="1" t="s">
        <v>40</v>
      </c>
      <c r="C40" s="1">
        <v>359</v>
      </c>
      <c r="D40" s="1">
        <v>180</v>
      </c>
      <c r="E40" s="1">
        <v>354</v>
      </c>
      <c r="F40" s="1">
        <v>29</v>
      </c>
      <c r="G40" s="7">
        <v>0.1</v>
      </c>
      <c r="H40" s="1"/>
      <c r="I40" s="1" t="s">
        <v>105</v>
      </c>
      <c r="J40" s="1"/>
      <c r="K40" s="1">
        <v>252</v>
      </c>
      <c r="L40" s="1">
        <f t="shared" si="9"/>
        <v>102</v>
      </c>
      <c r="M40" s="1"/>
      <c r="N40" s="1"/>
      <c r="O40" s="1">
        <v>639.16</v>
      </c>
      <c r="P40" s="1">
        <v>243.04</v>
      </c>
      <c r="Q40" s="1">
        <f t="shared" si="3"/>
        <v>70.8</v>
      </c>
      <c r="R40" s="5">
        <f>$R$1*Q40-P40-O40-F40</f>
        <v>30.440000000000055</v>
      </c>
      <c r="S40" s="1">
        <f t="shared" si="4"/>
        <v>13.3</v>
      </c>
      <c r="T40" s="1">
        <f t="shared" si="5"/>
        <v>12.87005649717514</v>
      </c>
      <c r="U40" s="1">
        <v>84.6</v>
      </c>
      <c r="V40" s="1">
        <v>73.8</v>
      </c>
      <c r="W40" s="1">
        <v>21.4</v>
      </c>
      <c r="X40" s="1">
        <v>7.4</v>
      </c>
      <c r="Y40" s="1">
        <v>77.599999999999994</v>
      </c>
      <c r="Z40" s="1">
        <v>32.4</v>
      </c>
      <c r="AA40" s="1">
        <v>20.8</v>
      </c>
      <c r="AB40" s="1">
        <v>43.4</v>
      </c>
      <c r="AC40" s="1"/>
      <c r="AD40" s="1">
        <f t="shared" si="6"/>
        <v>3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106</v>
      </c>
      <c r="B41" s="1" t="s">
        <v>40</v>
      </c>
      <c r="C41" s="1">
        <v>242</v>
      </c>
      <c r="D41" s="1">
        <v>65</v>
      </c>
      <c r="E41" s="1">
        <v>152</v>
      </c>
      <c r="F41" s="1">
        <v>69</v>
      </c>
      <c r="G41" s="7">
        <v>0.35</v>
      </c>
      <c r="H41" s="1"/>
      <c r="I41" s="1" t="s">
        <v>107</v>
      </c>
      <c r="J41" s="1"/>
      <c r="K41" s="1">
        <v>179</v>
      </c>
      <c r="L41" s="1">
        <f t="shared" si="9"/>
        <v>-27</v>
      </c>
      <c r="M41" s="1"/>
      <c r="N41" s="1"/>
      <c r="O41" s="1">
        <v>148.68</v>
      </c>
      <c r="P41" s="1">
        <v>128.32</v>
      </c>
      <c r="Q41" s="1">
        <f t="shared" si="3"/>
        <v>30.4</v>
      </c>
      <c r="R41" s="5"/>
      <c r="S41" s="1">
        <f t="shared" si="4"/>
        <v>11.381578947368421</v>
      </c>
      <c r="T41" s="1">
        <f t="shared" si="5"/>
        <v>11.381578947368421</v>
      </c>
      <c r="U41" s="1">
        <v>34</v>
      </c>
      <c r="V41" s="1">
        <v>27.4</v>
      </c>
      <c r="W41" s="1">
        <v>7.6</v>
      </c>
      <c r="X41" s="1">
        <v>13.6</v>
      </c>
      <c r="Y41" s="1">
        <v>27.2</v>
      </c>
      <c r="Z41" s="1">
        <v>18.2</v>
      </c>
      <c r="AA41" s="1">
        <v>25.4</v>
      </c>
      <c r="AB41" s="1">
        <v>23</v>
      </c>
      <c r="AC41" s="1"/>
      <c r="AD41" s="1">
        <f t="shared" si="6"/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108</v>
      </c>
      <c r="B42" s="1" t="s">
        <v>33</v>
      </c>
      <c r="C42" s="1">
        <v>106.345</v>
      </c>
      <c r="D42" s="1">
        <v>86.545000000000002</v>
      </c>
      <c r="E42" s="1">
        <v>56.543999999999997</v>
      </c>
      <c r="F42" s="1">
        <v>66.388000000000005</v>
      </c>
      <c r="G42" s="7">
        <v>1</v>
      </c>
      <c r="H42" s="1"/>
      <c r="I42" s="1" t="s">
        <v>109</v>
      </c>
      <c r="J42" s="1"/>
      <c r="K42" s="1">
        <v>71.099999999999994</v>
      </c>
      <c r="L42" s="1">
        <f t="shared" si="9"/>
        <v>-14.555999999999997</v>
      </c>
      <c r="M42" s="1"/>
      <c r="N42" s="1"/>
      <c r="O42" s="1">
        <v>175.09031999999999</v>
      </c>
      <c r="P42" s="1">
        <v>31.50707999999997</v>
      </c>
      <c r="Q42" s="1">
        <f t="shared" si="3"/>
        <v>11.3088</v>
      </c>
      <c r="R42" s="5"/>
      <c r="S42" s="1">
        <f t="shared" si="4"/>
        <v>24.139201329937745</v>
      </c>
      <c r="T42" s="1">
        <f t="shared" si="5"/>
        <v>24.139201329937745</v>
      </c>
      <c r="U42" s="1">
        <v>21.493200000000002</v>
      </c>
      <c r="V42" s="1">
        <v>20.497599999999998</v>
      </c>
      <c r="W42" s="1">
        <v>6.5640000000000001</v>
      </c>
      <c r="X42" s="1">
        <v>8.2590000000000003</v>
      </c>
      <c r="Y42" s="1">
        <v>17.3644</v>
      </c>
      <c r="Z42" s="1">
        <v>10.4474</v>
      </c>
      <c r="AA42" s="1">
        <v>16.349599999999999</v>
      </c>
      <c r="AB42" s="1">
        <v>13.042199999999999</v>
      </c>
      <c r="AC42" s="1"/>
      <c r="AD42" s="1">
        <f t="shared" si="6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110</v>
      </c>
      <c r="B43" s="1" t="s">
        <v>40</v>
      </c>
      <c r="C43" s="1">
        <v>120</v>
      </c>
      <c r="D43" s="1">
        <v>247</v>
      </c>
      <c r="E43" s="1">
        <v>84</v>
      </c>
      <c r="F43" s="1">
        <v>198</v>
      </c>
      <c r="G43" s="7">
        <v>0.4</v>
      </c>
      <c r="H43" s="1"/>
      <c r="I43" s="1" t="s">
        <v>111</v>
      </c>
      <c r="J43" s="1"/>
      <c r="K43" s="1">
        <v>103</v>
      </c>
      <c r="L43" s="1">
        <f t="shared" si="9"/>
        <v>-19</v>
      </c>
      <c r="M43" s="1"/>
      <c r="N43" s="1"/>
      <c r="O43" s="1">
        <v>69.160000000000025</v>
      </c>
      <c r="P43" s="1">
        <v>27.239999999999949</v>
      </c>
      <c r="Q43" s="1">
        <f t="shared" si="3"/>
        <v>16.8</v>
      </c>
      <c r="R43" s="5"/>
      <c r="S43" s="1">
        <f t="shared" si="4"/>
        <v>17.523809523809522</v>
      </c>
      <c r="T43" s="1">
        <f t="shared" si="5"/>
        <v>17.523809523809522</v>
      </c>
      <c r="U43" s="1">
        <v>27.2</v>
      </c>
      <c r="V43" s="1">
        <v>28.8</v>
      </c>
      <c r="W43" s="1">
        <v>33</v>
      </c>
      <c r="X43" s="1">
        <v>28.78</v>
      </c>
      <c r="Y43" s="1">
        <v>18</v>
      </c>
      <c r="Z43" s="1">
        <v>15.6</v>
      </c>
      <c r="AA43" s="1">
        <v>21.8</v>
      </c>
      <c r="AB43" s="1">
        <v>30.2</v>
      </c>
      <c r="AC43" s="1"/>
      <c r="AD43" s="1">
        <f t="shared" si="6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112</v>
      </c>
      <c r="B44" s="1" t="s">
        <v>40</v>
      </c>
      <c r="C44" s="1">
        <v>137</v>
      </c>
      <c r="D44" s="1">
        <v>334</v>
      </c>
      <c r="E44" s="1">
        <v>107</v>
      </c>
      <c r="F44" s="1">
        <v>352</v>
      </c>
      <c r="G44" s="7">
        <v>0.4</v>
      </c>
      <c r="H44" s="1"/>
      <c r="I44" s="1" t="s">
        <v>113</v>
      </c>
      <c r="J44" s="1"/>
      <c r="K44" s="1">
        <v>117</v>
      </c>
      <c r="L44" s="1">
        <f t="shared" si="9"/>
        <v>-10</v>
      </c>
      <c r="M44" s="1"/>
      <c r="N44" s="1"/>
      <c r="O44" s="1"/>
      <c r="P44" s="1"/>
      <c r="Q44" s="1">
        <f t="shared" si="3"/>
        <v>21.4</v>
      </c>
      <c r="R44" s="5"/>
      <c r="S44" s="1">
        <f t="shared" si="4"/>
        <v>16.448598130841123</v>
      </c>
      <c r="T44" s="1">
        <f t="shared" si="5"/>
        <v>16.448598130841123</v>
      </c>
      <c r="U44" s="1">
        <v>24.4</v>
      </c>
      <c r="V44" s="1">
        <v>27.8</v>
      </c>
      <c r="W44" s="1">
        <v>42</v>
      </c>
      <c r="X44" s="1">
        <v>32</v>
      </c>
      <c r="Y44" s="1">
        <v>16.8</v>
      </c>
      <c r="Z44" s="1">
        <v>16</v>
      </c>
      <c r="AA44" s="1">
        <v>12.2</v>
      </c>
      <c r="AB44" s="1">
        <v>37.6</v>
      </c>
      <c r="AC44" s="1"/>
      <c r="AD44" s="1">
        <f t="shared" si="6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114</v>
      </c>
      <c r="B45" s="1" t="s">
        <v>33</v>
      </c>
      <c r="C45" s="1">
        <v>48.343000000000004</v>
      </c>
      <c r="D45" s="1">
        <v>22.646999999999998</v>
      </c>
      <c r="E45" s="1">
        <v>55.09</v>
      </c>
      <c r="F45" s="1">
        <v>3.0750000000000002</v>
      </c>
      <c r="G45" s="7">
        <v>1</v>
      </c>
      <c r="H45" s="1"/>
      <c r="I45" s="1" t="s">
        <v>115</v>
      </c>
      <c r="J45" s="1"/>
      <c r="K45" s="1">
        <v>68.2</v>
      </c>
      <c r="L45" s="1">
        <f t="shared" si="9"/>
        <v>-13.11</v>
      </c>
      <c r="M45" s="1"/>
      <c r="N45" s="1"/>
      <c r="O45" s="1">
        <v>108.49267999999999</v>
      </c>
      <c r="P45" s="1">
        <v>55.305919999999979</v>
      </c>
      <c r="Q45" s="1">
        <f t="shared" si="3"/>
        <v>11.018000000000001</v>
      </c>
      <c r="R45" s="5"/>
      <c r="S45" s="1">
        <f t="shared" si="4"/>
        <v>15.145543655835903</v>
      </c>
      <c r="T45" s="1">
        <f t="shared" si="5"/>
        <v>15.145543655835903</v>
      </c>
      <c r="U45" s="1">
        <v>14.236800000000001</v>
      </c>
      <c r="V45" s="1">
        <v>11.3324</v>
      </c>
      <c r="W45" s="1">
        <v>1.7376</v>
      </c>
      <c r="X45" s="1">
        <v>1.3106</v>
      </c>
      <c r="Y45" s="1">
        <v>10.1592</v>
      </c>
      <c r="Z45" s="1">
        <v>6.6159999999999997</v>
      </c>
      <c r="AA45" s="1">
        <v>7.5105999999999993</v>
      </c>
      <c r="AB45" s="1">
        <v>10.436199999999999</v>
      </c>
      <c r="AC45" s="1"/>
      <c r="AD45" s="1">
        <f t="shared" si="6"/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116</v>
      </c>
      <c r="B46" s="1" t="s">
        <v>33</v>
      </c>
      <c r="C46" s="1">
        <v>125.739</v>
      </c>
      <c r="D46" s="1">
        <v>55.66</v>
      </c>
      <c r="E46" s="1">
        <v>94.44</v>
      </c>
      <c r="F46" s="1">
        <v>61.372</v>
      </c>
      <c r="G46" s="7">
        <v>1</v>
      </c>
      <c r="H46" s="1"/>
      <c r="I46" s="1" t="s">
        <v>117</v>
      </c>
      <c r="J46" s="1"/>
      <c r="K46" s="1">
        <v>112.5</v>
      </c>
      <c r="L46" s="1">
        <f t="shared" si="9"/>
        <v>-18.060000000000002</v>
      </c>
      <c r="M46" s="1"/>
      <c r="N46" s="1"/>
      <c r="O46" s="1">
        <v>157.36224000000001</v>
      </c>
      <c r="P46" s="1">
        <v>85.098759999999984</v>
      </c>
      <c r="Q46" s="1">
        <f t="shared" si="3"/>
        <v>18.887999999999998</v>
      </c>
      <c r="R46" s="5"/>
      <c r="S46" s="1">
        <f t="shared" si="4"/>
        <v>16.086033460398138</v>
      </c>
      <c r="T46" s="1">
        <f t="shared" si="5"/>
        <v>16.086033460398138</v>
      </c>
      <c r="U46" s="1">
        <v>24.991</v>
      </c>
      <c r="V46" s="1">
        <v>20.183199999999999</v>
      </c>
      <c r="W46" s="1">
        <v>12.035600000000001</v>
      </c>
      <c r="X46" s="1">
        <v>17.441600000000001</v>
      </c>
      <c r="Y46" s="1">
        <v>20.315000000000001</v>
      </c>
      <c r="Z46" s="1">
        <v>4.5293999999999999</v>
      </c>
      <c r="AA46" s="1">
        <v>18.5532</v>
      </c>
      <c r="AB46" s="1">
        <v>18.1004</v>
      </c>
      <c r="AC46" s="1"/>
      <c r="AD46" s="1">
        <f t="shared" si="6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118</v>
      </c>
      <c r="B47" s="1" t="s">
        <v>40</v>
      </c>
      <c r="C47" s="1">
        <v>634</v>
      </c>
      <c r="D47" s="1">
        <v>160</v>
      </c>
      <c r="E47" s="1">
        <v>359</v>
      </c>
      <c r="F47" s="1">
        <v>319</v>
      </c>
      <c r="G47" s="7">
        <v>0.35</v>
      </c>
      <c r="H47" s="1"/>
      <c r="I47" s="1" t="s">
        <v>119</v>
      </c>
      <c r="J47" s="1"/>
      <c r="K47" s="1">
        <v>360</v>
      </c>
      <c r="L47" s="1">
        <f t="shared" si="9"/>
        <v>-1</v>
      </c>
      <c r="M47" s="1"/>
      <c r="N47" s="1"/>
      <c r="O47" s="1">
        <v>348.33599999999979</v>
      </c>
      <c r="P47" s="1">
        <v>178.06400000000031</v>
      </c>
      <c r="Q47" s="1">
        <f t="shared" si="3"/>
        <v>71.8</v>
      </c>
      <c r="R47" s="5">
        <f t="shared" ref="R47:R48" si="10">$R$1*Q47-P47-O47-F47</f>
        <v>109.53999999999996</v>
      </c>
      <c r="S47" s="1">
        <f t="shared" si="4"/>
        <v>13.3</v>
      </c>
      <c r="T47" s="1">
        <f t="shared" si="5"/>
        <v>11.774373259052927</v>
      </c>
      <c r="U47" s="1">
        <v>77.2</v>
      </c>
      <c r="V47" s="1">
        <v>67.97999999999999</v>
      </c>
      <c r="W47" s="1">
        <v>25.58</v>
      </c>
      <c r="X47" s="1">
        <v>37.4</v>
      </c>
      <c r="Y47" s="1">
        <v>78</v>
      </c>
      <c r="Z47" s="1">
        <v>40</v>
      </c>
      <c r="AA47" s="1">
        <v>84.2</v>
      </c>
      <c r="AB47" s="1">
        <v>87.8</v>
      </c>
      <c r="AC47" s="1"/>
      <c r="AD47" s="1">
        <f t="shared" si="6"/>
        <v>38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120</v>
      </c>
      <c r="B48" s="1" t="s">
        <v>40</v>
      </c>
      <c r="C48" s="1">
        <v>98</v>
      </c>
      <c r="D48" s="1">
        <v>612</v>
      </c>
      <c r="E48" s="1">
        <v>210</v>
      </c>
      <c r="F48" s="1">
        <v>434</v>
      </c>
      <c r="G48" s="7">
        <v>0.4</v>
      </c>
      <c r="H48" s="1"/>
      <c r="I48" s="1" t="s">
        <v>121</v>
      </c>
      <c r="J48" s="1"/>
      <c r="K48" s="1">
        <v>303</v>
      </c>
      <c r="L48" s="1">
        <f t="shared" si="9"/>
        <v>-93</v>
      </c>
      <c r="M48" s="1"/>
      <c r="N48" s="1"/>
      <c r="O48" s="1"/>
      <c r="P48" s="1"/>
      <c r="Q48" s="1">
        <f t="shared" si="3"/>
        <v>42</v>
      </c>
      <c r="R48" s="5">
        <f t="shared" si="10"/>
        <v>124.60000000000002</v>
      </c>
      <c r="S48" s="1">
        <f t="shared" si="4"/>
        <v>13.3</v>
      </c>
      <c r="T48" s="1">
        <f t="shared" si="5"/>
        <v>10.333333333333334</v>
      </c>
      <c r="U48" s="1">
        <v>28.6</v>
      </c>
      <c r="V48" s="1">
        <v>26.6</v>
      </c>
      <c r="W48" s="1">
        <v>50.2</v>
      </c>
      <c r="X48" s="1">
        <v>51.4</v>
      </c>
      <c r="Y48" s="1">
        <v>73.400000000000006</v>
      </c>
      <c r="Z48" s="1">
        <v>46.6</v>
      </c>
      <c r="AA48" s="1">
        <v>53</v>
      </c>
      <c r="AB48" s="1">
        <v>77</v>
      </c>
      <c r="AC48" s="1"/>
      <c r="AD48" s="1">
        <f t="shared" si="6"/>
        <v>50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122</v>
      </c>
      <c r="B49" s="1" t="s">
        <v>33</v>
      </c>
      <c r="C49" s="1">
        <v>1.3560000000000001</v>
      </c>
      <c r="D49" s="1">
        <v>50.317999999999998</v>
      </c>
      <c r="E49" s="1">
        <v>13.461</v>
      </c>
      <c r="F49" s="1">
        <v>34.094000000000001</v>
      </c>
      <c r="G49" s="7">
        <v>1</v>
      </c>
      <c r="H49" s="1"/>
      <c r="I49" s="1" t="s">
        <v>123</v>
      </c>
      <c r="J49" s="1"/>
      <c r="K49" s="1">
        <v>18.899999999999999</v>
      </c>
      <c r="L49" s="1">
        <f t="shared" si="9"/>
        <v>-5.4389999999999983</v>
      </c>
      <c r="M49" s="1"/>
      <c r="N49" s="1"/>
      <c r="O49" s="1">
        <v>72.656800000000004</v>
      </c>
      <c r="P49" s="1"/>
      <c r="Q49" s="1">
        <f t="shared" si="3"/>
        <v>2.6922000000000001</v>
      </c>
      <c r="R49" s="5"/>
      <c r="S49" s="1">
        <f t="shared" si="4"/>
        <v>39.651883218185866</v>
      </c>
      <c r="T49" s="1">
        <f t="shared" si="5"/>
        <v>39.651883218185866</v>
      </c>
      <c r="U49" s="1">
        <v>6.4640000000000004</v>
      </c>
      <c r="V49" s="1">
        <v>7.74</v>
      </c>
      <c r="W49" s="1">
        <v>4.5076000000000001</v>
      </c>
      <c r="X49" s="1">
        <v>6.4640000000000004</v>
      </c>
      <c r="Y49" s="1">
        <v>6.4567999999999994</v>
      </c>
      <c r="Z49" s="1">
        <v>6.7715999999999994</v>
      </c>
      <c r="AA49" s="1">
        <v>7.5808000000000009</v>
      </c>
      <c r="AB49" s="1">
        <v>7.5367999999999986</v>
      </c>
      <c r="AC49" s="1"/>
      <c r="AD49" s="1">
        <f t="shared" si="6"/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124</v>
      </c>
      <c r="B50" s="1" t="s">
        <v>33</v>
      </c>
      <c r="C50" s="1">
        <v>163.75200000000001</v>
      </c>
      <c r="D50" s="1">
        <v>53.082000000000001</v>
      </c>
      <c r="E50" s="1">
        <v>87.424999999999997</v>
      </c>
      <c r="F50" s="1">
        <v>103.599</v>
      </c>
      <c r="G50" s="7">
        <v>1</v>
      </c>
      <c r="H50" s="1"/>
      <c r="I50" s="1" t="s">
        <v>125</v>
      </c>
      <c r="J50" s="1"/>
      <c r="K50" s="1">
        <v>83.15</v>
      </c>
      <c r="L50" s="1">
        <f t="shared" si="9"/>
        <v>4.2749999999999915</v>
      </c>
      <c r="M50" s="1"/>
      <c r="N50" s="1"/>
      <c r="O50" s="1">
        <v>177.90880000000001</v>
      </c>
      <c r="P50" s="1">
        <v>77.971400000000017</v>
      </c>
      <c r="Q50" s="1">
        <f t="shared" si="3"/>
        <v>17.484999999999999</v>
      </c>
      <c r="R50" s="5"/>
      <c r="S50" s="1">
        <f t="shared" si="4"/>
        <v>20.559290820703463</v>
      </c>
      <c r="T50" s="1">
        <f t="shared" si="5"/>
        <v>20.559290820703463</v>
      </c>
      <c r="U50" s="1">
        <v>29.415600000000001</v>
      </c>
      <c r="V50" s="1">
        <v>25.074000000000002</v>
      </c>
      <c r="W50" s="1">
        <v>17.300999999999998</v>
      </c>
      <c r="X50" s="1">
        <v>22.004999999999999</v>
      </c>
      <c r="Y50" s="1">
        <v>25.757400000000001</v>
      </c>
      <c r="Z50" s="1">
        <v>6.9251999999999994</v>
      </c>
      <c r="AA50" s="1">
        <v>16.209599999999998</v>
      </c>
      <c r="AB50" s="1">
        <v>15.2142</v>
      </c>
      <c r="AC50" s="1"/>
      <c r="AD50" s="1">
        <f t="shared" si="6"/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1" t="s">
        <v>126</v>
      </c>
      <c r="B51" s="11" t="s">
        <v>33</v>
      </c>
      <c r="C51" s="11">
        <v>-4.0000000000000001E-3</v>
      </c>
      <c r="D51" s="11">
        <v>4.0000000000000001E-3</v>
      </c>
      <c r="E51" s="11">
        <v>-0.81399999999999995</v>
      </c>
      <c r="F51" s="11"/>
      <c r="G51" s="12">
        <v>0</v>
      </c>
      <c r="H51" s="11"/>
      <c r="I51" s="11" t="s">
        <v>127</v>
      </c>
      <c r="J51" s="11"/>
      <c r="K51" s="11"/>
      <c r="L51" s="11">
        <f t="shared" si="9"/>
        <v>-0.81399999999999995</v>
      </c>
      <c r="M51" s="11"/>
      <c r="N51" s="11"/>
      <c r="O51" s="11"/>
      <c r="P51" s="11"/>
      <c r="Q51" s="11">
        <f t="shared" si="3"/>
        <v>-0.1628</v>
      </c>
      <c r="R51" s="13"/>
      <c r="S51" s="11">
        <f t="shared" si="4"/>
        <v>0</v>
      </c>
      <c r="T51" s="11">
        <f t="shared" si="5"/>
        <v>0</v>
      </c>
      <c r="U51" s="11">
        <v>0</v>
      </c>
      <c r="V51" s="11">
        <v>0</v>
      </c>
      <c r="W51" s="11">
        <v>0</v>
      </c>
      <c r="X51" s="11">
        <v>0</v>
      </c>
      <c r="Y51" s="11">
        <v>0.48699999999999999</v>
      </c>
      <c r="Z51" s="11">
        <v>2.7557999999999998</v>
      </c>
      <c r="AA51" s="11">
        <v>2.5966</v>
      </c>
      <c r="AB51" s="11">
        <v>1.4636</v>
      </c>
      <c r="AC51" s="11"/>
      <c r="AD51" s="1">
        <f t="shared" si="6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128</v>
      </c>
      <c r="B52" s="1" t="s">
        <v>33</v>
      </c>
      <c r="C52" s="1">
        <v>-0.39500000000000002</v>
      </c>
      <c r="D52" s="1">
        <v>79.673000000000002</v>
      </c>
      <c r="E52" s="1"/>
      <c r="F52" s="1">
        <v>54.139000000000003</v>
      </c>
      <c r="G52" s="7">
        <v>1</v>
      </c>
      <c r="H52" s="1"/>
      <c r="I52" s="1" t="s">
        <v>129</v>
      </c>
      <c r="J52" s="1"/>
      <c r="K52" s="1">
        <v>22</v>
      </c>
      <c r="L52" s="1">
        <f t="shared" si="9"/>
        <v>-22</v>
      </c>
      <c r="M52" s="1"/>
      <c r="N52" s="1"/>
      <c r="O52" s="1"/>
      <c r="P52" s="1"/>
      <c r="Q52" s="1">
        <f t="shared" si="3"/>
        <v>0</v>
      </c>
      <c r="R52" s="5"/>
      <c r="S52" s="1" t="e">
        <f t="shared" si="4"/>
        <v>#DIV/0!</v>
      </c>
      <c r="T52" s="1" t="e">
        <f t="shared" si="5"/>
        <v>#DIV/0!</v>
      </c>
      <c r="U52" s="1">
        <v>0</v>
      </c>
      <c r="V52" s="1">
        <v>0</v>
      </c>
      <c r="W52" s="1">
        <v>-0.30359999999999998</v>
      </c>
      <c r="X52" s="1">
        <v>2.0486</v>
      </c>
      <c r="Y52" s="1">
        <v>29.5078</v>
      </c>
      <c r="Z52" s="1">
        <v>3.2395999999999998</v>
      </c>
      <c r="AA52" s="1">
        <v>14.295199999999999</v>
      </c>
      <c r="AB52" s="1">
        <v>18.4956</v>
      </c>
      <c r="AC52" s="1"/>
      <c r="AD52" s="1">
        <f t="shared" si="6"/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130</v>
      </c>
      <c r="B53" s="1" t="s">
        <v>40</v>
      </c>
      <c r="C53" s="1">
        <v>146</v>
      </c>
      <c r="D53" s="1">
        <v>339</v>
      </c>
      <c r="E53" s="1">
        <v>104</v>
      </c>
      <c r="F53" s="1">
        <v>262</v>
      </c>
      <c r="G53" s="7">
        <v>0.45</v>
      </c>
      <c r="H53" s="1"/>
      <c r="I53" s="1" t="s">
        <v>131</v>
      </c>
      <c r="J53" s="1"/>
      <c r="K53" s="1">
        <v>115</v>
      </c>
      <c r="L53" s="1">
        <f t="shared" si="9"/>
        <v>-11</v>
      </c>
      <c r="M53" s="1"/>
      <c r="N53" s="1"/>
      <c r="O53" s="1"/>
      <c r="P53" s="1"/>
      <c r="Q53" s="1">
        <f t="shared" si="3"/>
        <v>20.8</v>
      </c>
      <c r="R53" s="5"/>
      <c r="S53" s="1">
        <f t="shared" si="4"/>
        <v>12.596153846153845</v>
      </c>
      <c r="T53" s="1">
        <f t="shared" si="5"/>
        <v>12.596153846153845</v>
      </c>
      <c r="U53" s="1">
        <v>17.399999999999999</v>
      </c>
      <c r="V53" s="1">
        <v>23</v>
      </c>
      <c r="W53" s="1">
        <v>36</v>
      </c>
      <c r="X53" s="1">
        <v>29</v>
      </c>
      <c r="Y53" s="1">
        <v>28</v>
      </c>
      <c r="Z53" s="1">
        <v>7.2</v>
      </c>
      <c r="AA53" s="1">
        <v>42.6</v>
      </c>
      <c r="AB53" s="1">
        <v>32</v>
      </c>
      <c r="AC53" s="1"/>
      <c r="AD53" s="1">
        <f t="shared" si="6"/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132</v>
      </c>
      <c r="B54" s="1" t="s">
        <v>40</v>
      </c>
      <c r="C54" s="1">
        <v>259</v>
      </c>
      <c r="D54" s="1">
        <v>253</v>
      </c>
      <c r="E54" s="1">
        <v>178</v>
      </c>
      <c r="F54" s="1">
        <v>288</v>
      </c>
      <c r="G54" s="7">
        <v>0.45</v>
      </c>
      <c r="H54" s="1"/>
      <c r="I54" s="1" t="s">
        <v>133</v>
      </c>
      <c r="J54" s="1"/>
      <c r="K54" s="1">
        <v>179</v>
      </c>
      <c r="L54" s="1">
        <f t="shared" si="9"/>
        <v>-1</v>
      </c>
      <c r="M54" s="1"/>
      <c r="N54" s="1"/>
      <c r="O54" s="1">
        <v>97.981999999999957</v>
      </c>
      <c r="P54" s="1">
        <v>84.218000000000075</v>
      </c>
      <c r="Q54" s="1">
        <f t="shared" si="3"/>
        <v>35.6</v>
      </c>
      <c r="R54" s="5"/>
      <c r="S54" s="1">
        <f t="shared" si="4"/>
        <v>13.207865168539326</v>
      </c>
      <c r="T54" s="1">
        <f t="shared" si="5"/>
        <v>13.207865168539326</v>
      </c>
      <c r="U54" s="1">
        <v>40.6</v>
      </c>
      <c r="V54" s="1">
        <v>40.4</v>
      </c>
      <c r="W54" s="1">
        <v>42.6</v>
      </c>
      <c r="X54" s="1">
        <v>49.2</v>
      </c>
      <c r="Y54" s="1">
        <v>37</v>
      </c>
      <c r="Z54" s="1">
        <v>23.4</v>
      </c>
      <c r="AA54" s="1">
        <v>35.200000000000003</v>
      </c>
      <c r="AB54" s="1">
        <v>34.799999999999997</v>
      </c>
      <c r="AC54" s="1"/>
      <c r="AD54" s="1">
        <f t="shared" si="6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134</v>
      </c>
      <c r="B55" s="1" t="s">
        <v>40</v>
      </c>
      <c r="C55" s="1">
        <v>5</v>
      </c>
      <c r="D55" s="1">
        <v>146</v>
      </c>
      <c r="E55" s="1">
        <v>6</v>
      </c>
      <c r="F55" s="1">
        <v>129</v>
      </c>
      <c r="G55" s="7">
        <v>0.4</v>
      </c>
      <c r="H55" s="1"/>
      <c r="I55" s="1" t="s">
        <v>135</v>
      </c>
      <c r="J55" s="1"/>
      <c r="K55" s="1">
        <v>42</v>
      </c>
      <c r="L55" s="1">
        <f t="shared" si="9"/>
        <v>-36</v>
      </c>
      <c r="M55" s="1"/>
      <c r="N55" s="1"/>
      <c r="O55" s="1">
        <v>186.2</v>
      </c>
      <c r="P55" s="1"/>
      <c r="Q55" s="1">
        <f t="shared" si="3"/>
        <v>1.2</v>
      </c>
      <c r="R55" s="5"/>
      <c r="S55" s="1">
        <f t="shared" si="4"/>
        <v>262.66666666666669</v>
      </c>
      <c r="T55" s="1">
        <f t="shared" si="5"/>
        <v>262.66666666666669</v>
      </c>
      <c r="U55" s="1">
        <v>11.8</v>
      </c>
      <c r="V55" s="1">
        <v>23</v>
      </c>
      <c r="W55" s="1">
        <v>16.399999999999999</v>
      </c>
      <c r="X55" s="1">
        <v>12.2</v>
      </c>
      <c r="Y55" s="1">
        <v>18.399999999999999</v>
      </c>
      <c r="Z55" s="1">
        <v>16.2</v>
      </c>
      <c r="AA55" s="1">
        <v>23.8</v>
      </c>
      <c r="AB55" s="1">
        <v>30.2</v>
      </c>
      <c r="AC55" s="1"/>
      <c r="AD55" s="1">
        <f t="shared" si="6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136</v>
      </c>
      <c r="B56" s="1" t="s">
        <v>40</v>
      </c>
      <c r="C56" s="1">
        <v>52</v>
      </c>
      <c r="D56" s="1">
        <v>123</v>
      </c>
      <c r="E56" s="1">
        <v>71</v>
      </c>
      <c r="F56" s="1">
        <v>34</v>
      </c>
      <c r="G56" s="7">
        <v>0.4</v>
      </c>
      <c r="H56" s="1"/>
      <c r="I56" s="1" t="s">
        <v>137</v>
      </c>
      <c r="J56" s="1"/>
      <c r="K56" s="1">
        <v>98</v>
      </c>
      <c r="L56" s="1">
        <f t="shared" si="9"/>
        <v>-27</v>
      </c>
      <c r="M56" s="1"/>
      <c r="N56" s="1"/>
      <c r="O56" s="1"/>
      <c r="P56" s="1">
        <v>5.4320000000000022</v>
      </c>
      <c r="Q56" s="1">
        <f t="shared" si="3"/>
        <v>14.2</v>
      </c>
      <c r="R56" s="5">
        <f>9*Q56-P56-O56-F56</f>
        <v>88.367999999999995</v>
      </c>
      <c r="S56" s="1">
        <f t="shared" si="4"/>
        <v>9</v>
      </c>
      <c r="T56" s="1">
        <f t="shared" si="5"/>
        <v>2.7769014084507044</v>
      </c>
      <c r="U56" s="1">
        <v>6</v>
      </c>
      <c r="V56" s="1">
        <v>0.4</v>
      </c>
      <c r="W56" s="1">
        <v>11</v>
      </c>
      <c r="X56" s="1">
        <v>18.8</v>
      </c>
      <c r="Y56" s="1">
        <v>16.600000000000001</v>
      </c>
      <c r="Z56" s="1">
        <v>18</v>
      </c>
      <c r="AA56" s="1">
        <v>25.2</v>
      </c>
      <c r="AB56" s="1">
        <v>27.6</v>
      </c>
      <c r="AC56" s="1"/>
      <c r="AD56" s="1">
        <f t="shared" si="6"/>
        <v>35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138</v>
      </c>
      <c r="B57" s="1" t="s">
        <v>33</v>
      </c>
      <c r="C57" s="1">
        <v>102.64100000000001</v>
      </c>
      <c r="D57" s="1">
        <v>107.32299999999999</v>
      </c>
      <c r="E57" s="1">
        <v>117.374</v>
      </c>
      <c r="F57" s="1">
        <v>59.625</v>
      </c>
      <c r="G57" s="7">
        <v>1</v>
      </c>
      <c r="H57" s="1"/>
      <c r="I57" s="1" t="s">
        <v>139</v>
      </c>
      <c r="J57" s="1"/>
      <c r="K57" s="1">
        <v>110.55</v>
      </c>
      <c r="L57" s="1">
        <f t="shared" si="9"/>
        <v>6.8239999999999981</v>
      </c>
      <c r="M57" s="1"/>
      <c r="N57" s="1"/>
      <c r="O57" s="1">
        <v>243.05604</v>
      </c>
      <c r="P57" s="1">
        <v>56.80016000000002</v>
      </c>
      <c r="Q57" s="1">
        <f t="shared" si="3"/>
        <v>23.474799999999998</v>
      </c>
      <c r="R57" s="5"/>
      <c r="S57" s="1">
        <f t="shared" si="4"/>
        <v>15.313493618688979</v>
      </c>
      <c r="T57" s="1">
        <f t="shared" si="5"/>
        <v>15.313493618688979</v>
      </c>
      <c r="U57" s="1">
        <v>30.131599999999999</v>
      </c>
      <c r="V57" s="1">
        <v>27.6572</v>
      </c>
      <c r="W57" s="1">
        <v>10.188000000000001</v>
      </c>
      <c r="X57" s="1">
        <v>11.5906</v>
      </c>
      <c r="Y57" s="1">
        <v>24.2422</v>
      </c>
      <c r="Z57" s="1">
        <v>12.941000000000001</v>
      </c>
      <c r="AA57" s="1">
        <v>20.411799999999999</v>
      </c>
      <c r="AB57" s="1">
        <v>15.2996</v>
      </c>
      <c r="AC57" s="1"/>
      <c r="AD57" s="1">
        <f t="shared" si="6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140</v>
      </c>
      <c r="B58" s="1" t="s">
        <v>40</v>
      </c>
      <c r="C58" s="1">
        <v>1</v>
      </c>
      <c r="D58" s="1">
        <v>563</v>
      </c>
      <c r="E58" s="1">
        <v>110</v>
      </c>
      <c r="F58" s="1">
        <v>380</v>
      </c>
      <c r="G58" s="7">
        <v>0.1</v>
      </c>
      <c r="H58" s="1"/>
      <c r="I58" s="1" t="s">
        <v>141</v>
      </c>
      <c r="J58" s="1"/>
      <c r="K58" s="1">
        <v>99</v>
      </c>
      <c r="L58" s="1">
        <f t="shared" si="9"/>
        <v>11</v>
      </c>
      <c r="M58" s="1"/>
      <c r="N58" s="1"/>
      <c r="O58" s="1">
        <v>307.47000000000003</v>
      </c>
      <c r="P58" s="1"/>
      <c r="Q58" s="1">
        <f t="shared" si="3"/>
        <v>22</v>
      </c>
      <c r="R58" s="5"/>
      <c r="S58" s="1">
        <f t="shared" si="4"/>
        <v>31.248636363636365</v>
      </c>
      <c r="T58" s="1">
        <f t="shared" si="5"/>
        <v>31.248636363636365</v>
      </c>
      <c r="U58" s="1">
        <v>45</v>
      </c>
      <c r="V58" s="1">
        <v>59.4</v>
      </c>
      <c r="W58" s="1">
        <v>43.8</v>
      </c>
      <c r="X58" s="1">
        <v>44</v>
      </c>
      <c r="Y58" s="1">
        <v>24.6</v>
      </c>
      <c r="Z58" s="1">
        <v>34.6</v>
      </c>
      <c r="AA58" s="1">
        <v>19.2</v>
      </c>
      <c r="AB58" s="1">
        <v>28.4</v>
      </c>
      <c r="AC58" s="1"/>
      <c r="AD58" s="1">
        <f t="shared" si="6"/>
        <v>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142</v>
      </c>
      <c r="B59" s="1" t="s">
        <v>33</v>
      </c>
      <c r="C59" s="1">
        <v>44.151000000000003</v>
      </c>
      <c r="D59" s="1">
        <v>273.24</v>
      </c>
      <c r="E59" s="1">
        <v>80.873999999999995</v>
      </c>
      <c r="F59" s="1">
        <v>225.631</v>
      </c>
      <c r="G59" s="7">
        <v>1</v>
      </c>
      <c r="H59" s="1"/>
      <c r="I59" s="1" t="s">
        <v>143</v>
      </c>
      <c r="J59" s="1"/>
      <c r="K59" s="1">
        <v>69.25</v>
      </c>
      <c r="L59" s="1">
        <f t="shared" si="9"/>
        <v>11.623999999999995</v>
      </c>
      <c r="M59" s="1"/>
      <c r="N59" s="1"/>
      <c r="O59" s="1"/>
      <c r="P59" s="1">
        <v>31.75839999999998</v>
      </c>
      <c r="Q59" s="1">
        <f t="shared" si="3"/>
        <v>16.174799999999998</v>
      </c>
      <c r="R59" s="5"/>
      <c r="S59" s="1">
        <f t="shared" si="4"/>
        <v>15.912988104953385</v>
      </c>
      <c r="T59" s="1">
        <f t="shared" si="5"/>
        <v>15.912988104953385</v>
      </c>
      <c r="U59" s="1">
        <v>20.6662</v>
      </c>
      <c r="V59" s="1">
        <v>20.6676</v>
      </c>
      <c r="W59" s="1">
        <v>20.402799999999999</v>
      </c>
      <c r="X59" s="1">
        <v>18.515999999999998</v>
      </c>
      <c r="Y59" s="1">
        <v>5.1243999999999996</v>
      </c>
      <c r="Z59" s="1">
        <v>12.113200000000001</v>
      </c>
      <c r="AA59" s="1">
        <v>9.4244000000000003</v>
      </c>
      <c r="AB59" s="1">
        <v>10.9678</v>
      </c>
      <c r="AC59" s="1"/>
      <c r="AD59" s="1">
        <f t="shared" si="6"/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144</v>
      </c>
      <c r="B60" s="1" t="s">
        <v>33</v>
      </c>
      <c r="C60" s="1">
        <v>5.5E-2</v>
      </c>
      <c r="D60" s="1">
        <v>56.667999999999999</v>
      </c>
      <c r="E60" s="1">
        <v>13.526</v>
      </c>
      <c r="F60" s="1">
        <v>43.197000000000003</v>
      </c>
      <c r="G60" s="7">
        <v>1</v>
      </c>
      <c r="H60" s="1"/>
      <c r="I60" s="1" t="s">
        <v>145</v>
      </c>
      <c r="J60" s="1"/>
      <c r="K60" s="1">
        <v>14</v>
      </c>
      <c r="L60" s="1">
        <f t="shared" si="9"/>
        <v>-0.4740000000000002</v>
      </c>
      <c r="M60" s="1"/>
      <c r="N60" s="1"/>
      <c r="O60" s="1"/>
      <c r="P60" s="1">
        <v>10</v>
      </c>
      <c r="Q60" s="1">
        <f t="shared" si="3"/>
        <v>2.7052</v>
      </c>
      <c r="R60" s="5"/>
      <c r="S60" s="1">
        <f t="shared" si="4"/>
        <v>19.664719798905811</v>
      </c>
      <c r="T60" s="1">
        <f t="shared" si="5"/>
        <v>19.664719798905811</v>
      </c>
      <c r="U60" s="1">
        <v>1.0808</v>
      </c>
      <c r="V60" s="1">
        <v>2.1631999999999998</v>
      </c>
      <c r="W60" s="1">
        <v>5.6636000000000006</v>
      </c>
      <c r="X60" s="1">
        <v>6.7619999999999996</v>
      </c>
      <c r="Y60" s="1">
        <v>3.774</v>
      </c>
      <c r="Z60" s="1">
        <v>3.25</v>
      </c>
      <c r="AA60" s="1">
        <v>3.2517999999999998</v>
      </c>
      <c r="AB60" s="1">
        <v>5.1604000000000001</v>
      </c>
      <c r="AC60" s="1"/>
      <c r="AD60" s="1">
        <f t="shared" si="6"/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146</v>
      </c>
      <c r="B61" s="1" t="s">
        <v>40</v>
      </c>
      <c r="C61" s="1">
        <v>126</v>
      </c>
      <c r="D61" s="1">
        <v>347</v>
      </c>
      <c r="E61" s="1">
        <v>163</v>
      </c>
      <c r="F61" s="1">
        <v>300</v>
      </c>
      <c r="G61" s="7">
        <v>0.1</v>
      </c>
      <c r="H61" s="1"/>
      <c r="I61" s="1" t="s">
        <v>147</v>
      </c>
      <c r="J61" s="1"/>
      <c r="K61" s="1">
        <v>118</v>
      </c>
      <c r="L61" s="1">
        <f t="shared" si="9"/>
        <v>45</v>
      </c>
      <c r="M61" s="1"/>
      <c r="N61" s="1"/>
      <c r="O61" s="1">
        <v>282.60000000000002</v>
      </c>
      <c r="P61" s="1">
        <v>21.800000000000072</v>
      </c>
      <c r="Q61" s="1">
        <f t="shared" si="3"/>
        <v>32.6</v>
      </c>
      <c r="R61" s="5"/>
      <c r="S61" s="1">
        <f t="shared" si="4"/>
        <v>18.539877300613497</v>
      </c>
      <c r="T61" s="1">
        <f t="shared" si="5"/>
        <v>18.539877300613497</v>
      </c>
      <c r="U61" s="1">
        <v>50.2</v>
      </c>
      <c r="V61" s="1">
        <v>53</v>
      </c>
      <c r="W61" s="1">
        <v>35.6</v>
      </c>
      <c r="X61" s="1">
        <v>34</v>
      </c>
      <c r="Y61" s="1">
        <v>33</v>
      </c>
      <c r="Z61" s="1">
        <v>26.2</v>
      </c>
      <c r="AA61" s="1">
        <v>19.600000000000001</v>
      </c>
      <c r="AB61" s="1">
        <v>33.4</v>
      </c>
      <c r="AC61" s="1"/>
      <c r="AD61" s="1">
        <f t="shared" si="6"/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148</v>
      </c>
      <c r="B62" s="1" t="s">
        <v>40</v>
      </c>
      <c r="C62" s="1">
        <v>19</v>
      </c>
      <c r="D62" s="1">
        <v>59</v>
      </c>
      <c r="E62" s="1">
        <v>18</v>
      </c>
      <c r="F62" s="1">
        <v>41</v>
      </c>
      <c r="G62" s="7">
        <v>0.4</v>
      </c>
      <c r="H62" s="1"/>
      <c r="I62" s="1" t="s">
        <v>149</v>
      </c>
      <c r="J62" s="1"/>
      <c r="K62" s="1">
        <v>29</v>
      </c>
      <c r="L62" s="1">
        <f t="shared" si="9"/>
        <v>-11</v>
      </c>
      <c r="M62" s="1"/>
      <c r="N62" s="1"/>
      <c r="O62" s="1"/>
      <c r="P62" s="1"/>
      <c r="Q62" s="1">
        <f t="shared" si="3"/>
        <v>3.6</v>
      </c>
      <c r="R62" s="5"/>
      <c r="S62" s="1">
        <f t="shared" si="4"/>
        <v>11.388888888888889</v>
      </c>
      <c r="T62" s="1">
        <f t="shared" si="5"/>
        <v>11.388888888888889</v>
      </c>
      <c r="U62" s="1">
        <v>3</v>
      </c>
      <c r="V62" s="1">
        <v>2.2000000000000002</v>
      </c>
      <c r="W62" s="1">
        <v>5.2</v>
      </c>
      <c r="X62" s="1">
        <v>5.4</v>
      </c>
      <c r="Y62" s="1">
        <v>4.2</v>
      </c>
      <c r="Z62" s="1">
        <v>4.4000000000000004</v>
      </c>
      <c r="AA62" s="1">
        <v>6.6</v>
      </c>
      <c r="AB62" s="1">
        <v>4</v>
      </c>
      <c r="AC62" s="1"/>
      <c r="AD62" s="1">
        <f t="shared" si="6"/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150</v>
      </c>
      <c r="B63" s="1" t="s">
        <v>33</v>
      </c>
      <c r="C63" s="1">
        <v>0.41699999999999998</v>
      </c>
      <c r="D63" s="1">
        <v>26.236000000000001</v>
      </c>
      <c r="E63" s="1"/>
      <c r="F63" s="1">
        <v>24.882000000000001</v>
      </c>
      <c r="G63" s="7">
        <v>1</v>
      </c>
      <c r="H63" s="1"/>
      <c r="I63" s="1" t="s">
        <v>151</v>
      </c>
      <c r="J63" s="1"/>
      <c r="K63" s="1">
        <v>12.8</v>
      </c>
      <c r="L63" s="1">
        <f t="shared" si="9"/>
        <v>-12.8</v>
      </c>
      <c r="M63" s="1"/>
      <c r="N63" s="1"/>
      <c r="O63" s="1"/>
      <c r="P63" s="1">
        <v>10</v>
      </c>
      <c r="Q63" s="1">
        <f t="shared" si="3"/>
        <v>0</v>
      </c>
      <c r="R63" s="5"/>
      <c r="S63" s="1" t="e">
        <f t="shared" si="4"/>
        <v>#DIV/0!</v>
      </c>
      <c r="T63" s="1" t="e">
        <f t="shared" si="5"/>
        <v>#DIV/0!</v>
      </c>
      <c r="U63" s="1">
        <v>0</v>
      </c>
      <c r="V63" s="1">
        <v>0</v>
      </c>
      <c r="W63" s="1">
        <v>3.2136</v>
      </c>
      <c r="X63" s="1">
        <v>3.2136</v>
      </c>
      <c r="Y63" s="1">
        <v>1.5266</v>
      </c>
      <c r="Z63" s="1">
        <v>2.9758</v>
      </c>
      <c r="AA63" s="1">
        <v>3.5434000000000001</v>
      </c>
      <c r="AB63" s="1">
        <v>2.2618</v>
      </c>
      <c r="AC63" s="1"/>
      <c r="AD63" s="1">
        <f t="shared" si="6"/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152</v>
      </c>
      <c r="B64" s="1" t="s">
        <v>33</v>
      </c>
      <c r="C64" s="1">
        <v>2.2770000000000001</v>
      </c>
      <c r="D64" s="1">
        <v>216.28700000000001</v>
      </c>
      <c r="E64" s="1">
        <v>24.314</v>
      </c>
      <c r="F64" s="1">
        <v>182.958</v>
      </c>
      <c r="G64" s="7">
        <v>1</v>
      </c>
      <c r="H64" s="1"/>
      <c r="I64" s="1" t="s">
        <v>153</v>
      </c>
      <c r="J64" s="1"/>
      <c r="K64" s="1">
        <v>28.5</v>
      </c>
      <c r="L64" s="1">
        <f t="shared" si="9"/>
        <v>-4.1859999999999999</v>
      </c>
      <c r="M64" s="1"/>
      <c r="N64" s="1"/>
      <c r="O64" s="1"/>
      <c r="P64" s="1"/>
      <c r="Q64" s="1">
        <f t="shared" si="3"/>
        <v>4.8628</v>
      </c>
      <c r="R64" s="5"/>
      <c r="S64" s="1">
        <f t="shared" si="4"/>
        <v>37.624002632228347</v>
      </c>
      <c r="T64" s="1">
        <f t="shared" si="5"/>
        <v>37.624002632228347</v>
      </c>
      <c r="U64" s="1">
        <v>0</v>
      </c>
      <c r="V64" s="1">
        <v>1.8466</v>
      </c>
      <c r="W64" s="1">
        <v>17.136600000000001</v>
      </c>
      <c r="X64" s="1">
        <v>19.513000000000002</v>
      </c>
      <c r="Y64" s="1">
        <v>-6.1999999999999998E-3</v>
      </c>
      <c r="Z64" s="1">
        <v>10.728199999999999</v>
      </c>
      <c r="AA64" s="1">
        <v>2.1617999999999999</v>
      </c>
      <c r="AB64" s="1">
        <v>3.5118</v>
      </c>
      <c r="AC64" s="1"/>
      <c r="AD64" s="1">
        <f t="shared" si="6"/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154</v>
      </c>
      <c r="B65" s="1" t="s">
        <v>40</v>
      </c>
      <c r="C65" s="1">
        <v>659</v>
      </c>
      <c r="D65" s="1">
        <v>300</v>
      </c>
      <c r="E65" s="1">
        <v>358</v>
      </c>
      <c r="F65" s="1">
        <v>370</v>
      </c>
      <c r="G65" s="7">
        <v>0.4</v>
      </c>
      <c r="H65" s="1"/>
      <c r="I65" s="1" t="s">
        <v>155</v>
      </c>
      <c r="J65" s="1"/>
      <c r="K65" s="1">
        <v>364</v>
      </c>
      <c r="L65" s="1">
        <f t="shared" si="9"/>
        <v>-6</v>
      </c>
      <c r="M65" s="1"/>
      <c r="N65" s="1"/>
      <c r="O65" s="1">
        <v>668.76</v>
      </c>
      <c r="P65" s="1">
        <v>161.83999999999989</v>
      </c>
      <c r="Q65" s="1">
        <f t="shared" si="3"/>
        <v>71.599999999999994</v>
      </c>
      <c r="R65" s="5"/>
      <c r="S65" s="1">
        <f t="shared" si="4"/>
        <v>16.768156424581004</v>
      </c>
      <c r="T65" s="1">
        <f t="shared" si="5"/>
        <v>16.768156424581004</v>
      </c>
      <c r="U65" s="1">
        <v>109.6</v>
      </c>
      <c r="V65" s="1">
        <v>96.8</v>
      </c>
      <c r="W65" s="1">
        <v>28.4</v>
      </c>
      <c r="X65" s="1">
        <v>40</v>
      </c>
      <c r="Y65" s="1">
        <v>106.4</v>
      </c>
      <c r="Z65" s="1">
        <v>50.4</v>
      </c>
      <c r="AA65" s="1">
        <v>89</v>
      </c>
      <c r="AB65" s="1">
        <v>75.8</v>
      </c>
      <c r="AC65" s="1"/>
      <c r="AD65" s="1">
        <f t="shared" si="6"/>
        <v>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156</v>
      </c>
      <c r="B66" s="1" t="s">
        <v>40</v>
      </c>
      <c r="C66" s="1">
        <v>147</v>
      </c>
      <c r="D66" s="1">
        <v>359</v>
      </c>
      <c r="E66" s="1">
        <v>187</v>
      </c>
      <c r="F66" s="1">
        <v>275</v>
      </c>
      <c r="G66" s="7">
        <v>0.4</v>
      </c>
      <c r="H66" s="1"/>
      <c r="I66" s="1" t="s">
        <v>157</v>
      </c>
      <c r="J66" s="1"/>
      <c r="K66" s="1">
        <v>249</v>
      </c>
      <c r="L66" s="1">
        <f t="shared" si="9"/>
        <v>-62</v>
      </c>
      <c r="M66" s="1"/>
      <c r="N66" s="1"/>
      <c r="O66" s="1">
        <v>628.7199999999998</v>
      </c>
      <c r="P66" s="1"/>
      <c r="Q66" s="1">
        <f t="shared" si="3"/>
        <v>37.4</v>
      </c>
      <c r="R66" s="5"/>
      <c r="S66" s="1">
        <f t="shared" si="4"/>
        <v>24.16363636363636</v>
      </c>
      <c r="T66" s="1">
        <f t="shared" si="5"/>
        <v>24.16363636363636</v>
      </c>
      <c r="U66" s="1">
        <v>71.599999999999994</v>
      </c>
      <c r="V66" s="1">
        <v>76.599999999999994</v>
      </c>
      <c r="W66" s="1">
        <v>54.2</v>
      </c>
      <c r="X66" s="1">
        <v>24</v>
      </c>
      <c r="Y66" s="1">
        <v>59.8</v>
      </c>
      <c r="Z66" s="1">
        <v>28.2</v>
      </c>
      <c r="AA66" s="1">
        <v>41</v>
      </c>
      <c r="AB66" s="1">
        <v>67.8</v>
      </c>
      <c r="AC66" s="1"/>
      <c r="AD66" s="1">
        <f t="shared" si="6"/>
        <v>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158</v>
      </c>
      <c r="B67" s="1" t="s">
        <v>33</v>
      </c>
      <c r="C67" s="1">
        <v>3.2839999999999998</v>
      </c>
      <c r="D67" s="1">
        <v>417.18700000000001</v>
      </c>
      <c r="E67" s="1">
        <v>78.694999999999993</v>
      </c>
      <c r="F67" s="1">
        <v>233.107</v>
      </c>
      <c r="G67" s="7">
        <v>1</v>
      </c>
      <c r="H67" s="1"/>
      <c r="I67" s="1" t="s">
        <v>159</v>
      </c>
      <c r="J67" s="1"/>
      <c r="K67" s="1">
        <v>110.8</v>
      </c>
      <c r="L67" s="1">
        <f t="shared" si="9"/>
        <v>-32.105000000000004</v>
      </c>
      <c r="M67" s="1"/>
      <c r="N67" s="1"/>
      <c r="O67" s="1"/>
      <c r="P67" s="1"/>
      <c r="Q67" s="1">
        <f t="shared" si="3"/>
        <v>15.738999999999999</v>
      </c>
      <c r="R67" s="5"/>
      <c r="S67" s="1">
        <f t="shared" si="4"/>
        <v>14.810788487197408</v>
      </c>
      <c r="T67" s="1">
        <f t="shared" si="5"/>
        <v>14.810788487197408</v>
      </c>
      <c r="U67" s="1">
        <v>10.629</v>
      </c>
      <c r="V67" s="1">
        <v>20.083200000000001</v>
      </c>
      <c r="W67" s="1">
        <v>31.709599999999998</v>
      </c>
      <c r="X67" s="1">
        <v>30.7652</v>
      </c>
      <c r="Y67" s="1">
        <v>27.3794</v>
      </c>
      <c r="Z67" s="1">
        <v>29.851400000000002</v>
      </c>
      <c r="AA67" s="1">
        <v>27.0808</v>
      </c>
      <c r="AB67" s="1">
        <v>20.95</v>
      </c>
      <c r="AC67" s="1"/>
      <c r="AD67" s="1">
        <f t="shared" si="6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160</v>
      </c>
      <c r="B68" s="1" t="s">
        <v>33</v>
      </c>
      <c r="C68" s="1">
        <v>-0.437</v>
      </c>
      <c r="D68" s="1">
        <v>301.06599999999997</v>
      </c>
      <c r="E68" s="1">
        <v>59.405000000000001</v>
      </c>
      <c r="F68" s="1">
        <v>187.43700000000001</v>
      </c>
      <c r="G68" s="7">
        <v>1</v>
      </c>
      <c r="H68" s="1"/>
      <c r="I68" s="1" t="s">
        <v>161</v>
      </c>
      <c r="J68" s="1"/>
      <c r="K68" s="1">
        <v>74</v>
      </c>
      <c r="L68" s="1">
        <f t="shared" si="9"/>
        <v>-14.594999999999999</v>
      </c>
      <c r="M68" s="1"/>
      <c r="N68" s="1"/>
      <c r="O68" s="1">
        <v>178.69411999999991</v>
      </c>
      <c r="P68" s="1"/>
      <c r="Q68" s="1">
        <f t="shared" si="3"/>
        <v>11.881</v>
      </c>
      <c r="R68" s="5"/>
      <c r="S68" s="1">
        <f t="shared" si="4"/>
        <v>30.8165238616278</v>
      </c>
      <c r="T68" s="1">
        <f t="shared" si="5"/>
        <v>30.8165238616278</v>
      </c>
      <c r="U68" s="1">
        <v>23.1356</v>
      </c>
      <c r="V68" s="1">
        <v>31.2576</v>
      </c>
      <c r="W68" s="1">
        <v>30.326599999999999</v>
      </c>
      <c r="X68" s="1">
        <v>27.802</v>
      </c>
      <c r="Y68" s="1">
        <v>26.757999999999999</v>
      </c>
      <c r="Z68" s="1">
        <v>25.724399999999999</v>
      </c>
      <c r="AA68" s="1">
        <v>24.2698</v>
      </c>
      <c r="AB68" s="1">
        <v>23.049399999999999</v>
      </c>
      <c r="AC68" s="1"/>
      <c r="AD68" s="1">
        <f t="shared" si="6"/>
        <v>0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162</v>
      </c>
      <c r="B69" s="1" t="s">
        <v>33</v>
      </c>
      <c r="C69" s="1">
        <v>329.45600000000002</v>
      </c>
      <c r="D69" s="1">
        <v>570.245</v>
      </c>
      <c r="E69" s="1">
        <v>367.38499999999999</v>
      </c>
      <c r="F69" s="1">
        <v>192.149</v>
      </c>
      <c r="G69" s="7">
        <v>1</v>
      </c>
      <c r="H69" s="1"/>
      <c r="I69" s="1" t="s">
        <v>163</v>
      </c>
      <c r="J69" s="1"/>
      <c r="K69" s="1">
        <v>341.8</v>
      </c>
      <c r="L69" s="1">
        <f t="shared" si="9"/>
        <v>25.58499999999998</v>
      </c>
      <c r="M69" s="1"/>
      <c r="N69" s="1"/>
      <c r="O69" s="1">
        <v>811.15199999999982</v>
      </c>
      <c r="P69" s="1">
        <v>275.89066999999989</v>
      </c>
      <c r="Q69" s="1">
        <f t="shared" si="3"/>
        <v>73.477000000000004</v>
      </c>
      <c r="R69" s="5"/>
      <c r="S69" s="1">
        <f t="shared" si="4"/>
        <v>17.409416143827315</v>
      </c>
      <c r="T69" s="1">
        <f t="shared" si="5"/>
        <v>17.409416143827315</v>
      </c>
      <c r="U69" s="1">
        <v>111.7908</v>
      </c>
      <c r="V69" s="1">
        <v>92.128999999999991</v>
      </c>
      <c r="W69" s="1">
        <v>74.011400000000009</v>
      </c>
      <c r="X69" s="1">
        <v>96.486999999999995</v>
      </c>
      <c r="Y69" s="1">
        <v>88.301000000000002</v>
      </c>
      <c r="Z69" s="1">
        <v>78.686999999999998</v>
      </c>
      <c r="AA69" s="1">
        <v>85.581600000000009</v>
      </c>
      <c r="AB69" s="1">
        <v>81.859200000000001</v>
      </c>
      <c r="AC69" s="1"/>
      <c r="AD69" s="1">
        <f t="shared" si="6"/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164</v>
      </c>
      <c r="B70" s="1" t="s">
        <v>33</v>
      </c>
      <c r="C70" s="1">
        <v>3.2269999999999999</v>
      </c>
      <c r="D70" s="1">
        <v>469.017</v>
      </c>
      <c r="E70" s="1">
        <v>78.135999999999996</v>
      </c>
      <c r="F70" s="1">
        <v>293.68799999999999</v>
      </c>
      <c r="G70" s="7">
        <v>1</v>
      </c>
      <c r="H70" s="1"/>
      <c r="I70" s="1" t="s">
        <v>165</v>
      </c>
      <c r="J70" s="1"/>
      <c r="K70" s="1">
        <v>108.1</v>
      </c>
      <c r="L70" s="1">
        <f t="shared" ref="L70:L101" si="11">E70-K70</f>
        <v>-29.963999999999999</v>
      </c>
      <c r="M70" s="1"/>
      <c r="N70" s="1"/>
      <c r="O70" s="1">
        <v>80.299000000000049</v>
      </c>
      <c r="P70" s="1"/>
      <c r="Q70" s="1">
        <f t="shared" si="3"/>
        <v>15.627199999999998</v>
      </c>
      <c r="R70" s="5"/>
      <c r="S70" s="1">
        <f t="shared" si="4"/>
        <v>23.931798402784892</v>
      </c>
      <c r="T70" s="1">
        <f t="shared" si="5"/>
        <v>23.931798402784892</v>
      </c>
      <c r="U70" s="1">
        <v>17.955400000000001</v>
      </c>
      <c r="V70" s="1">
        <v>33.378999999999998</v>
      </c>
      <c r="W70" s="1">
        <v>41.163799999999988</v>
      </c>
      <c r="X70" s="1">
        <v>30.2788</v>
      </c>
      <c r="Y70" s="1">
        <v>22.077200000000001</v>
      </c>
      <c r="Z70" s="1">
        <v>26.0336</v>
      </c>
      <c r="AA70" s="1">
        <v>22.261199999999999</v>
      </c>
      <c r="AB70" s="1">
        <v>28.153199999999998</v>
      </c>
      <c r="AC70" s="1"/>
      <c r="AD70" s="1">
        <f t="shared" si="6"/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166</v>
      </c>
      <c r="B71" s="1" t="s">
        <v>40</v>
      </c>
      <c r="C71" s="1">
        <v>25</v>
      </c>
      <c r="D71" s="1">
        <v>19</v>
      </c>
      <c r="E71" s="1">
        <v>9</v>
      </c>
      <c r="F71" s="1">
        <v>28</v>
      </c>
      <c r="G71" s="7">
        <v>0.6</v>
      </c>
      <c r="H71" s="1"/>
      <c r="I71" s="1" t="s">
        <v>167</v>
      </c>
      <c r="J71" s="1"/>
      <c r="K71" s="1">
        <v>10</v>
      </c>
      <c r="L71" s="1">
        <f t="shared" si="11"/>
        <v>-1</v>
      </c>
      <c r="M71" s="1"/>
      <c r="N71" s="1"/>
      <c r="O71" s="1"/>
      <c r="P71" s="1">
        <v>18.599999999999991</v>
      </c>
      <c r="Q71" s="1">
        <f t="shared" ref="Q71:Q114" si="12">E71/5</f>
        <v>1.8</v>
      </c>
      <c r="R71" s="5"/>
      <c r="S71" s="1">
        <f t="shared" ref="S71:S114" si="13">(F71+O71+P71+R71)/Q71</f>
        <v>25.888888888888886</v>
      </c>
      <c r="T71" s="1">
        <f t="shared" ref="T71:T114" si="14">(F71+O71+P71)/Q71</f>
        <v>25.888888888888886</v>
      </c>
      <c r="U71" s="1">
        <v>2.8</v>
      </c>
      <c r="V71" s="1">
        <v>2.2000000000000002</v>
      </c>
      <c r="W71" s="1">
        <v>2</v>
      </c>
      <c r="X71" s="1">
        <v>3</v>
      </c>
      <c r="Y71" s="1">
        <v>4.8</v>
      </c>
      <c r="Z71" s="1">
        <v>2.8</v>
      </c>
      <c r="AA71" s="1">
        <v>3.2</v>
      </c>
      <c r="AB71" s="1">
        <v>5</v>
      </c>
      <c r="AC71" s="1"/>
      <c r="AD71" s="1">
        <f t="shared" ref="AD71:AD114" si="15">ROUND(G71*R71,0)</f>
        <v>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168</v>
      </c>
      <c r="B72" s="1" t="s">
        <v>33</v>
      </c>
      <c r="C72" s="1">
        <v>366.47300000000001</v>
      </c>
      <c r="D72" s="1">
        <v>288.86900000000003</v>
      </c>
      <c r="E72" s="1">
        <v>425.76600000000002</v>
      </c>
      <c r="F72" s="1">
        <v>168.648</v>
      </c>
      <c r="G72" s="7">
        <v>1</v>
      </c>
      <c r="H72" s="1"/>
      <c r="I72" s="1" t="s">
        <v>169</v>
      </c>
      <c r="J72" s="1"/>
      <c r="K72" s="1">
        <v>440.15</v>
      </c>
      <c r="L72" s="1">
        <f t="shared" si="11"/>
        <v>-14.383999999999958</v>
      </c>
      <c r="M72" s="1"/>
      <c r="N72" s="1"/>
      <c r="O72" s="1"/>
      <c r="P72" s="1">
        <v>265.12380000000002</v>
      </c>
      <c r="Q72" s="1">
        <f t="shared" si="12"/>
        <v>85.153199999999998</v>
      </c>
      <c r="R72" s="5">
        <f>$R$1*Q72-P72-O72-F72-Q72</f>
        <v>613.61255999999992</v>
      </c>
      <c r="S72" s="1">
        <f t="shared" si="13"/>
        <v>12.3</v>
      </c>
      <c r="T72" s="1">
        <f t="shared" si="14"/>
        <v>5.0940164315609984</v>
      </c>
      <c r="U72" s="1">
        <v>45.728400000000001</v>
      </c>
      <c r="V72" s="1">
        <v>6.1534000000000004</v>
      </c>
      <c r="W72" s="1">
        <v>39.178400000000003</v>
      </c>
      <c r="X72" s="1">
        <v>76.381600000000006</v>
      </c>
      <c r="Y72" s="1">
        <v>39.561799999999998</v>
      </c>
      <c r="Z72" s="1">
        <v>37.741399999999999</v>
      </c>
      <c r="AA72" s="1">
        <v>33.580399999999997</v>
      </c>
      <c r="AB72" s="1">
        <v>16.098800000000001</v>
      </c>
      <c r="AC72" s="1"/>
      <c r="AD72" s="1">
        <f t="shared" si="15"/>
        <v>614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170</v>
      </c>
      <c r="B73" s="1" t="s">
        <v>40</v>
      </c>
      <c r="C73" s="1">
        <v>20</v>
      </c>
      <c r="D73" s="1">
        <v>159</v>
      </c>
      <c r="E73" s="1">
        <v>19</v>
      </c>
      <c r="F73" s="1">
        <v>99</v>
      </c>
      <c r="G73" s="7">
        <v>0.6</v>
      </c>
      <c r="H73" s="1"/>
      <c r="I73" s="1" t="s">
        <v>171</v>
      </c>
      <c r="J73" s="1"/>
      <c r="K73" s="1">
        <v>41</v>
      </c>
      <c r="L73" s="1">
        <f t="shared" si="11"/>
        <v>-22</v>
      </c>
      <c r="M73" s="1"/>
      <c r="N73" s="1"/>
      <c r="O73" s="1">
        <v>91.44</v>
      </c>
      <c r="P73" s="1"/>
      <c r="Q73" s="1">
        <f t="shared" si="12"/>
        <v>3.8</v>
      </c>
      <c r="R73" s="5"/>
      <c r="S73" s="1">
        <f t="shared" si="13"/>
        <v>50.11578947368421</v>
      </c>
      <c r="T73" s="1">
        <f t="shared" si="14"/>
        <v>50.11578947368421</v>
      </c>
      <c r="U73" s="1">
        <v>12.6</v>
      </c>
      <c r="V73" s="1">
        <v>15.2</v>
      </c>
      <c r="W73" s="1">
        <v>13.6</v>
      </c>
      <c r="X73" s="1">
        <v>12.6</v>
      </c>
      <c r="Y73" s="1">
        <v>14.2</v>
      </c>
      <c r="Z73" s="1">
        <v>5.8</v>
      </c>
      <c r="AA73" s="1">
        <v>16.600000000000001</v>
      </c>
      <c r="AB73" s="1">
        <v>10</v>
      </c>
      <c r="AC73" s="1"/>
      <c r="AD73" s="1">
        <f t="shared" si="15"/>
        <v>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172</v>
      </c>
      <c r="B74" s="1" t="s">
        <v>40</v>
      </c>
      <c r="C74" s="1">
        <v>247</v>
      </c>
      <c r="D74" s="1">
        <v>49</v>
      </c>
      <c r="E74" s="1">
        <v>98</v>
      </c>
      <c r="F74" s="1">
        <v>162</v>
      </c>
      <c r="G74" s="7">
        <v>0.4</v>
      </c>
      <c r="H74" s="1"/>
      <c r="I74" s="1" t="s">
        <v>173</v>
      </c>
      <c r="J74" s="1"/>
      <c r="K74" s="1">
        <v>99</v>
      </c>
      <c r="L74" s="1">
        <f t="shared" si="11"/>
        <v>-1</v>
      </c>
      <c r="M74" s="1"/>
      <c r="N74" s="1"/>
      <c r="O74" s="1">
        <v>66.2</v>
      </c>
      <c r="P74" s="1">
        <v>120.2</v>
      </c>
      <c r="Q74" s="1">
        <f t="shared" si="12"/>
        <v>19.600000000000001</v>
      </c>
      <c r="R74" s="5"/>
      <c r="S74" s="1">
        <f t="shared" si="13"/>
        <v>17.77551020408163</v>
      </c>
      <c r="T74" s="1">
        <f t="shared" si="14"/>
        <v>17.77551020408163</v>
      </c>
      <c r="U74" s="1">
        <v>29.2</v>
      </c>
      <c r="V74" s="1">
        <v>21</v>
      </c>
      <c r="W74" s="1">
        <v>5.2</v>
      </c>
      <c r="X74" s="1">
        <v>7.6</v>
      </c>
      <c r="Y74" s="1">
        <v>17.2</v>
      </c>
      <c r="Z74" s="1">
        <v>7</v>
      </c>
      <c r="AA74" s="1">
        <v>15.8</v>
      </c>
      <c r="AB74" s="1">
        <v>14.8</v>
      </c>
      <c r="AC74" s="1"/>
      <c r="AD74" s="1">
        <f t="shared" si="15"/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174</v>
      </c>
      <c r="B75" s="1" t="s">
        <v>40</v>
      </c>
      <c r="C75" s="1">
        <v>187</v>
      </c>
      <c r="D75" s="1">
        <v>36</v>
      </c>
      <c r="E75" s="1">
        <v>154</v>
      </c>
      <c r="F75" s="1">
        <v>34</v>
      </c>
      <c r="G75" s="7">
        <v>0.33</v>
      </c>
      <c r="H75" s="1"/>
      <c r="I75" s="1" t="s">
        <v>175</v>
      </c>
      <c r="J75" s="1"/>
      <c r="K75" s="1">
        <v>153</v>
      </c>
      <c r="L75" s="1">
        <f t="shared" si="11"/>
        <v>1</v>
      </c>
      <c r="M75" s="1"/>
      <c r="N75" s="1"/>
      <c r="O75" s="1">
        <v>229.24</v>
      </c>
      <c r="P75" s="1">
        <v>165.96</v>
      </c>
      <c r="Q75" s="1">
        <f t="shared" si="12"/>
        <v>30.8</v>
      </c>
      <c r="R75" s="5"/>
      <c r="S75" s="1">
        <f t="shared" si="13"/>
        <v>13.935064935064936</v>
      </c>
      <c r="T75" s="1">
        <f t="shared" si="14"/>
        <v>13.935064935064936</v>
      </c>
      <c r="U75" s="1">
        <v>40.200000000000003</v>
      </c>
      <c r="V75" s="1">
        <v>28.2</v>
      </c>
      <c r="W75" s="1">
        <v>8</v>
      </c>
      <c r="X75" s="1">
        <v>14</v>
      </c>
      <c r="Y75" s="1">
        <v>18.399999999999999</v>
      </c>
      <c r="Z75" s="1">
        <v>12.4</v>
      </c>
      <c r="AA75" s="1">
        <v>21.6</v>
      </c>
      <c r="AB75" s="1">
        <v>21</v>
      </c>
      <c r="AC75" s="1"/>
      <c r="AD75" s="1">
        <f t="shared" si="15"/>
        <v>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176</v>
      </c>
      <c r="B76" s="1" t="s">
        <v>40</v>
      </c>
      <c r="C76" s="1">
        <v>186</v>
      </c>
      <c r="D76" s="1">
        <v>28</v>
      </c>
      <c r="E76" s="1">
        <v>91</v>
      </c>
      <c r="F76" s="1">
        <v>95</v>
      </c>
      <c r="G76" s="7">
        <v>0.35</v>
      </c>
      <c r="H76" s="1"/>
      <c r="I76" s="1" t="s">
        <v>177</v>
      </c>
      <c r="J76" s="1"/>
      <c r="K76" s="1">
        <v>103</v>
      </c>
      <c r="L76" s="1">
        <f t="shared" si="11"/>
        <v>-12</v>
      </c>
      <c r="M76" s="1"/>
      <c r="N76" s="1"/>
      <c r="O76" s="1"/>
      <c r="P76" s="1">
        <v>79</v>
      </c>
      <c r="Q76" s="1">
        <f t="shared" si="12"/>
        <v>18.2</v>
      </c>
      <c r="R76" s="5">
        <f t="shared" ref="R76:R79" si="16">11*Q76-P76-O76-F76</f>
        <v>26.199999999999989</v>
      </c>
      <c r="S76" s="1">
        <f t="shared" si="13"/>
        <v>11</v>
      </c>
      <c r="T76" s="1">
        <f t="shared" si="14"/>
        <v>9.5604395604395602</v>
      </c>
      <c r="U76" s="1">
        <v>15</v>
      </c>
      <c r="V76" s="1">
        <v>7.4</v>
      </c>
      <c r="W76" s="1">
        <v>9</v>
      </c>
      <c r="X76" s="1">
        <v>16.2</v>
      </c>
      <c r="Y76" s="1">
        <v>9</v>
      </c>
      <c r="Z76" s="1">
        <v>5.8</v>
      </c>
      <c r="AA76" s="1">
        <v>14</v>
      </c>
      <c r="AB76" s="1">
        <v>15.2</v>
      </c>
      <c r="AC76" s="1"/>
      <c r="AD76" s="1">
        <f t="shared" si="15"/>
        <v>9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178</v>
      </c>
      <c r="B77" s="1" t="s">
        <v>40</v>
      </c>
      <c r="C77" s="1">
        <v>-37</v>
      </c>
      <c r="D77" s="1">
        <v>450</v>
      </c>
      <c r="E77" s="1">
        <v>91</v>
      </c>
      <c r="F77" s="1">
        <v>298</v>
      </c>
      <c r="G77" s="7">
        <v>0.37</v>
      </c>
      <c r="H77" s="1"/>
      <c r="I77" s="1" t="s">
        <v>179</v>
      </c>
      <c r="J77" s="1"/>
      <c r="K77" s="1">
        <v>122</v>
      </c>
      <c r="L77" s="1">
        <f t="shared" si="11"/>
        <v>-31</v>
      </c>
      <c r="M77" s="1"/>
      <c r="N77" s="1"/>
      <c r="O77" s="1">
        <v>287.08240000000001</v>
      </c>
      <c r="P77" s="1"/>
      <c r="Q77" s="1">
        <f t="shared" si="12"/>
        <v>18.2</v>
      </c>
      <c r="R77" s="5"/>
      <c r="S77" s="1">
        <f t="shared" si="13"/>
        <v>32.147384615384617</v>
      </c>
      <c r="T77" s="1">
        <f t="shared" si="14"/>
        <v>32.147384615384617</v>
      </c>
      <c r="U77" s="1">
        <v>32.4</v>
      </c>
      <c r="V77" s="1">
        <v>44</v>
      </c>
      <c r="W77" s="1">
        <v>41.8</v>
      </c>
      <c r="X77" s="1">
        <v>34</v>
      </c>
      <c r="Y77" s="1">
        <v>22.4</v>
      </c>
      <c r="Z77" s="1">
        <v>41.6</v>
      </c>
      <c r="AA77" s="1">
        <v>29.4</v>
      </c>
      <c r="AB77" s="1">
        <v>38.799999999999997</v>
      </c>
      <c r="AC77" s="1"/>
      <c r="AD77" s="1">
        <f t="shared" si="15"/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180</v>
      </c>
      <c r="B78" s="1" t="s">
        <v>40</v>
      </c>
      <c r="C78" s="1">
        <v>5</v>
      </c>
      <c r="D78" s="1">
        <v>103</v>
      </c>
      <c r="E78" s="1">
        <v>4</v>
      </c>
      <c r="F78" s="1">
        <v>90</v>
      </c>
      <c r="G78" s="7">
        <v>0.33</v>
      </c>
      <c r="H78" s="1"/>
      <c r="I78" s="1" t="s">
        <v>181</v>
      </c>
      <c r="J78" s="1"/>
      <c r="K78" s="1">
        <v>9</v>
      </c>
      <c r="L78" s="1">
        <f t="shared" si="11"/>
        <v>-5</v>
      </c>
      <c r="M78" s="1"/>
      <c r="N78" s="1"/>
      <c r="O78" s="1">
        <v>59.839999999999989</v>
      </c>
      <c r="P78" s="1"/>
      <c r="Q78" s="1">
        <f t="shared" si="12"/>
        <v>0.8</v>
      </c>
      <c r="R78" s="5"/>
      <c r="S78" s="1">
        <f t="shared" si="13"/>
        <v>187.29999999999995</v>
      </c>
      <c r="T78" s="1">
        <f t="shared" si="14"/>
        <v>187.29999999999995</v>
      </c>
      <c r="U78" s="1">
        <v>7.4</v>
      </c>
      <c r="V78" s="1">
        <v>11.2</v>
      </c>
      <c r="W78" s="1">
        <v>12.2</v>
      </c>
      <c r="X78" s="1">
        <v>8.1999999999999993</v>
      </c>
      <c r="Y78" s="1">
        <v>1</v>
      </c>
      <c r="Z78" s="1">
        <v>11.6</v>
      </c>
      <c r="AA78" s="1">
        <v>9.1999999999999993</v>
      </c>
      <c r="AB78" s="1">
        <v>10.8</v>
      </c>
      <c r="AC78" s="1"/>
      <c r="AD78" s="1">
        <f t="shared" si="15"/>
        <v>0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182</v>
      </c>
      <c r="B79" s="1" t="s">
        <v>40</v>
      </c>
      <c r="C79" s="1">
        <v>199</v>
      </c>
      <c r="D79" s="1">
        <v>26</v>
      </c>
      <c r="E79" s="1">
        <v>113</v>
      </c>
      <c r="F79" s="1">
        <v>22</v>
      </c>
      <c r="G79" s="7">
        <v>0.4</v>
      </c>
      <c r="H79" s="1"/>
      <c r="I79" s="1" t="s">
        <v>183</v>
      </c>
      <c r="J79" s="1"/>
      <c r="K79" s="1">
        <v>111</v>
      </c>
      <c r="L79" s="1">
        <f t="shared" si="11"/>
        <v>2</v>
      </c>
      <c r="M79" s="1"/>
      <c r="N79" s="1"/>
      <c r="O79" s="1"/>
      <c r="P79" s="1">
        <v>109</v>
      </c>
      <c r="Q79" s="1">
        <f t="shared" si="12"/>
        <v>22.6</v>
      </c>
      <c r="R79" s="5">
        <f t="shared" si="16"/>
        <v>117.60000000000002</v>
      </c>
      <c r="S79" s="1">
        <f t="shared" si="13"/>
        <v>11</v>
      </c>
      <c r="T79" s="1">
        <f t="shared" si="14"/>
        <v>5.7964601769911503</v>
      </c>
      <c r="U79" s="1">
        <v>18</v>
      </c>
      <c r="V79" s="1">
        <v>12.6</v>
      </c>
      <c r="W79" s="1">
        <v>8.1999999999999993</v>
      </c>
      <c r="X79" s="1">
        <v>11.4</v>
      </c>
      <c r="Y79" s="1">
        <v>16.2</v>
      </c>
      <c r="Z79" s="1">
        <v>8.4</v>
      </c>
      <c r="AA79" s="1">
        <v>13.4</v>
      </c>
      <c r="AB79" s="1">
        <v>18.600000000000001</v>
      </c>
      <c r="AC79" s="1"/>
      <c r="AD79" s="1">
        <f t="shared" si="15"/>
        <v>47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184</v>
      </c>
      <c r="B80" s="1" t="s">
        <v>40</v>
      </c>
      <c r="C80" s="1">
        <v>10</v>
      </c>
      <c r="D80" s="1">
        <v>56</v>
      </c>
      <c r="E80" s="1">
        <v>31</v>
      </c>
      <c r="F80" s="1">
        <v>21</v>
      </c>
      <c r="G80" s="7">
        <v>0.35</v>
      </c>
      <c r="H80" s="1"/>
      <c r="I80" s="1" t="s">
        <v>185</v>
      </c>
      <c r="J80" s="1"/>
      <c r="K80" s="1">
        <v>34</v>
      </c>
      <c r="L80" s="1">
        <f t="shared" si="11"/>
        <v>-3</v>
      </c>
      <c r="M80" s="1"/>
      <c r="N80" s="1"/>
      <c r="O80" s="1"/>
      <c r="P80" s="1"/>
      <c r="Q80" s="1">
        <f t="shared" si="12"/>
        <v>6.2</v>
      </c>
      <c r="R80" s="5">
        <f>9*Q80-P80-O80-F80</f>
        <v>34.800000000000004</v>
      </c>
      <c r="S80" s="1">
        <f t="shared" si="13"/>
        <v>9</v>
      </c>
      <c r="T80" s="1">
        <f t="shared" si="14"/>
        <v>3.3870967741935485</v>
      </c>
      <c r="U80" s="1">
        <v>4.5999999999999996</v>
      </c>
      <c r="V80" s="1">
        <v>7</v>
      </c>
      <c r="W80" s="1">
        <v>11.8</v>
      </c>
      <c r="X80" s="1">
        <v>13</v>
      </c>
      <c r="Y80" s="1">
        <v>0.6</v>
      </c>
      <c r="Z80" s="1">
        <v>5.8</v>
      </c>
      <c r="AA80" s="1">
        <v>5.4</v>
      </c>
      <c r="AB80" s="1">
        <v>2.8</v>
      </c>
      <c r="AC80" s="1"/>
      <c r="AD80" s="1">
        <f t="shared" si="15"/>
        <v>12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186</v>
      </c>
      <c r="B81" s="1" t="s">
        <v>40</v>
      </c>
      <c r="C81" s="1">
        <v>-4</v>
      </c>
      <c r="D81" s="1">
        <v>144</v>
      </c>
      <c r="E81" s="1">
        <v>6</v>
      </c>
      <c r="F81" s="1">
        <v>134</v>
      </c>
      <c r="G81" s="7">
        <v>0.35</v>
      </c>
      <c r="H81" s="1"/>
      <c r="I81" s="1" t="s">
        <v>187</v>
      </c>
      <c r="J81" s="1"/>
      <c r="K81" s="1">
        <v>4</v>
      </c>
      <c r="L81" s="1">
        <f t="shared" si="11"/>
        <v>2</v>
      </c>
      <c r="M81" s="1"/>
      <c r="N81" s="1"/>
      <c r="O81" s="1"/>
      <c r="P81" s="1"/>
      <c r="Q81" s="1">
        <f t="shared" si="12"/>
        <v>1.2</v>
      </c>
      <c r="R81" s="5"/>
      <c r="S81" s="1">
        <f t="shared" si="13"/>
        <v>111.66666666666667</v>
      </c>
      <c r="T81" s="1">
        <f t="shared" si="14"/>
        <v>111.66666666666667</v>
      </c>
      <c r="U81" s="1">
        <v>0</v>
      </c>
      <c r="V81" s="1">
        <v>6</v>
      </c>
      <c r="W81" s="1">
        <v>13.2</v>
      </c>
      <c r="X81" s="1">
        <v>11.8</v>
      </c>
      <c r="Y81" s="1">
        <v>4</v>
      </c>
      <c r="Z81" s="1">
        <v>-2.2000000000000002</v>
      </c>
      <c r="AA81" s="1">
        <v>10.8</v>
      </c>
      <c r="AB81" s="1">
        <v>8.6</v>
      </c>
      <c r="AC81" s="1"/>
      <c r="AD81" s="1">
        <f t="shared" si="15"/>
        <v>0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188</v>
      </c>
      <c r="B82" s="1" t="s">
        <v>40</v>
      </c>
      <c r="C82" s="1">
        <v>77</v>
      </c>
      <c r="D82" s="1">
        <v>127</v>
      </c>
      <c r="E82" s="1">
        <v>72</v>
      </c>
      <c r="F82" s="1">
        <v>72</v>
      </c>
      <c r="G82" s="7">
        <v>0.4</v>
      </c>
      <c r="H82" s="1"/>
      <c r="I82" s="1" t="s">
        <v>189</v>
      </c>
      <c r="J82" s="1"/>
      <c r="K82" s="1">
        <v>87</v>
      </c>
      <c r="L82" s="1">
        <f t="shared" si="11"/>
        <v>-15</v>
      </c>
      <c r="M82" s="1"/>
      <c r="N82" s="1"/>
      <c r="O82" s="1"/>
      <c r="P82" s="1">
        <v>84</v>
      </c>
      <c r="Q82" s="1">
        <f t="shared" si="12"/>
        <v>14.4</v>
      </c>
      <c r="R82" s="5">
        <v>8</v>
      </c>
      <c r="S82" s="1">
        <f t="shared" si="13"/>
        <v>11.388888888888889</v>
      </c>
      <c r="T82" s="1">
        <f t="shared" si="14"/>
        <v>10.833333333333334</v>
      </c>
      <c r="U82" s="1">
        <v>13.8</v>
      </c>
      <c r="V82" s="1">
        <v>10.6</v>
      </c>
      <c r="W82" s="1">
        <v>13.8</v>
      </c>
      <c r="X82" s="1">
        <v>12.8</v>
      </c>
      <c r="Y82" s="1">
        <v>11.4</v>
      </c>
      <c r="Z82" s="1">
        <v>6.6</v>
      </c>
      <c r="AA82" s="1">
        <v>11.8</v>
      </c>
      <c r="AB82" s="1">
        <v>17.600000000000001</v>
      </c>
      <c r="AC82" s="1"/>
      <c r="AD82" s="1">
        <f t="shared" si="15"/>
        <v>3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190</v>
      </c>
      <c r="B83" s="1" t="s">
        <v>33</v>
      </c>
      <c r="C83" s="1">
        <v>4.173</v>
      </c>
      <c r="D83" s="1">
        <v>27.49</v>
      </c>
      <c r="E83" s="1">
        <v>1.446</v>
      </c>
      <c r="F83" s="1">
        <v>23.068000000000001</v>
      </c>
      <c r="G83" s="7">
        <v>1</v>
      </c>
      <c r="H83" s="1"/>
      <c r="I83" s="1" t="s">
        <v>191</v>
      </c>
      <c r="J83" s="1"/>
      <c r="K83" s="1">
        <v>6.4</v>
      </c>
      <c r="L83" s="1">
        <f t="shared" si="11"/>
        <v>-4.9540000000000006</v>
      </c>
      <c r="M83" s="1"/>
      <c r="N83" s="1"/>
      <c r="O83" s="1">
        <v>14.337759999999999</v>
      </c>
      <c r="P83" s="1"/>
      <c r="Q83" s="1">
        <f t="shared" si="12"/>
        <v>0.28920000000000001</v>
      </c>
      <c r="R83" s="5"/>
      <c r="S83" s="1">
        <f t="shared" si="13"/>
        <v>129.34218533886585</v>
      </c>
      <c r="T83" s="1">
        <f t="shared" si="14"/>
        <v>129.34218533886585</v>
      </c>
      <c r="U83" s="1">
        <v>0.57919999999999994</v>
      </c>
      <c r="V83" s="1">
        <v>2.3048000000000002</v>
      </c>
      <c r="W83" s="1">
        <v>1.7256</v>
      </c>
      <c r="X83" s="1">
        <v>2.31</v>
      </c>
      <c r="Y83" s="1">
        <v>2.3452000000000002</v>
      </c>
      <c r="Z83" s="1">
        <v>1.4443999999999999</v>
      </c>
      <c r="AA83" s="1">
        <v>2.5912000000000002</v>
      </c>
      <c r="AB83" s="1">
        <v>3.7688000000000001</v>
      </c>
      <c r="AC83" s="1"/>
      <c r="AD83" s="1">
        <f t="shared" si="15"/>
        <v>0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192</v>
      </c>
      <c r="B84" s="1" t="s">
        <v>33</v>
      </c>
      <c r="C84" s="1">
        <v>52.658000000000001</v>
      </c>
      <c r="D84" s="1">
        <v>781.904</v>
      </c>
      <c r="E84" s="1">
        <v>166.46</v>
      </c>
      <c r="F84" s="1">
        <v>437.59199999999998</v>
      </c>
      <c r="G84" s="7">
        <v>1</v>
      </c>
      <c r="H84" s="1"/>
      <c r="I84" s="1" t="s">
        <v>193</v>
      </c>
      <c r="J84" s="1"/>
      <c r="K84" s="1">
        <v>201.36</v>
      </c>
      <c r="L84" s="1">
        <f t="shared" si="11"/>
        <v>-34.900000000000006</v>
      </c>
      <c r="M84" s="1"/>
      <c r="N84" s="1"/>
      <c r="O84" s="1">
        <v>298.99789199999998</v>
      </c>
      <c r="P84" s="1"/>
      <c r="Q84" s="1">
        <f t="shared" si="12"/>
        <v>33.292000000000002</v>
      </c>
      <c r="R84" s="5"/>
      <c r="S84" s="1">
        <f t="shared" si="13"/>
        <v>22.125131923585243</v>
      </c>
      <c r="T84" s="1">
        <f t="shared" si="14"/>
        <v>22.125131923585243</v>
      </c>
      <c r="U84" s="1">
        <v>50.997199999999999</v>
      </c>
      <c r="V84" s="1">
        <v>63.35</v>
      </c>
      <c r="W84" s="1">
        <v>57.907600000000002</v>
      </c>
      <c r="X84" s="1">
        <v>54.795200000000001</v>
      </c>
      <c r="Y84" s="1">
        <v>50.4236</v>
      </c>
      <c r="Z84" s="1">
        <v>37.101199999999999</v>
      </c>
      <c r="AA84" s="1">
        <v>60.118399999999987</v>
      </c>
      <c r="AB84" s="1">
        <v>40.016800000000003</v>
      </c>
      <c r="AC84" s="1"/>
      <c r="AD84" s="1">
        <f t="shared" si="15"/>
        <v>0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194</v>
      </c>
      <c r="B85" s="1" t="s">
        <v>33</v>
      </c>
      <c r="C85" s="1">
        <v>1038.414</v>
      </c>
      <c r="D85" s="1">
        <v>2381.643</v>
      </c>
      <c r="E85" s="1">
        <v>1439.88</v>
      </c>
      <c r="F85" s="1">
        <v>1310.453</v>
      </c>
      <c r="G85" s="7">
        <v>1</v>
      </c>
      <c r="H85" s="1"/>
      <c r="I85" s="1" t="s">
        <v>195</v>
      </c>
      <c r="J85" s="1"/>
      <c r="K85" s="1">
        <v>1495</v>
      </c>
      <c r="L85" s="1">
        <f t="shared" si="11"/>
        <v>-55.119999999999891</v>
      </c>
      <c r="M85" s="1"/>
      <c r="N85" s="1"/>
      <c r="O85" s="1">
        <v>453.72905008000072</v>
      </c>
      <c r="P85" s="1">
        <v>1242.213958</v>
      </c>
      <c r="Q85" s="1">
        <f t="shared" si="12"/>
        <v>287.976</v>
      </c>
      <c r="R85" s="5">
        <f t="shared" ref="R85:R86" si="17">$R$1*Q85-P85-O85-F85</f>
        <v>823.6847919199995</v>
      </c>
      <c r="S85" s="1">
        <f t="shared" si="13"/>
        <v>13.3</v>
      </c>
      <c r="T85" s="1">
        <f t="shared" si="14"/>
        <v>10.439745006806126</v>
      </c>
      <c r="U85" s="1">
        <v>270.93779999999998</v>
      </c>
      <c r="V85" s="1">
        <v>197.911</v>
      </c>
      <c r="W85" s="1">
        <v>281.72179999999997</v>
      </c>
      <c r="X85" s="1">
        <v>365.83620000000002</v>
      </c>
      <c r="Y85" s="1">
        <v>364.94260000000003</v>
      </c>
      <c r="Z85" s="1">
        <v>298.39519999999999</v>
      </c>
      <c r="AA85" s="1">
        <v>305.68599999999998</v>
      </c>
      <c r="AB85" s="1">
        <v>315.7912</v>
      </c>
      <c r="AC85" s="1"/>
      <c r="AD85" s="1">
        <f t="shared" si="15"/>
        <v>824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196</v>
      </c>
      <c r="B86" s="1" t="s">
        <v>33</v>
      </c>
      <c r="C86" s="1">
        <v>1230.056</v>
      </c>
      <c r="D86" s="1">
        <v>2925.8470000000002</v>
      </c>
      <c r="E86" s="1">
        <v>1747.4659999999999</v>
      </c>
      <c r="F86" s="1">
        <v>1339.9880000000001</v>
      </c>
      <c r="G86" s="7">
        <v>1</v>
      </c>
      <c r="H86" s="1"/>
      <c r="I86" s="1" t="s">
        <v>197</v>
      </c>
      <c r="J86" s="1"/>
      <c r="K86" s="1">
        <v>1822.8</v>
      </c>
      <c r="L86" s="1">
        <f t="shared" si="11"/>
        <v>-75.33400000000006</v>
      </c>
      <c r="M86" s="1"/>
      <c r="N86" s="1"/>
      <c r="O86" s="1">
        <v>1641.5546793599999</v>
      </c>
      <c r="P86" s="1">
        <v>1412.6137160000001</v>
      </c>
      <c r="Q86" s="1">
        <f t="shared" si="12"/>
        <v>349.4932</v>
      </c>
      <c r="R86" s="5">
        <f t="shared" si="17"/>
        <v>254.10316464000061</v>
      </c>
      <c r="S86" s="1">
        <f t="shared" si="13"/>
        <v>13.3</v>
      </c>
      <c r="T86" s="1">
        <f t="shared" si="14"/>
        <v>12.572938172645419</v>
      </c>
      <c r="U86" s="1">
        <v>374.82220000000001</v>
      </c>
      <c r="V86" s="1">
        <v>291.64859999999999</v>
      </c>
      <c r="W86" s="1">
        <v>348.50799999999998</v>
      </c>
      <c r="X86" s="1">
        <v>351.85340000000002</v>
      </c>
      <c r="Y86" s="1">
        <v>259.17039999999997</v>
      </c>
      <c r="Z86" s="1">
        <v>199.94980000000001</v>
      </c>
      <c r="AA86" s="1">
        <v>215.18979999999999</v>
      </c>
      <c r="AB86" s="1">
        <v>195.42420000000001</v>
      </c>
      <c r="AC86" s="1"/>
      <c r="AD86" s="1">
        <f t="shared" si="15"/>
        <v>254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198</v>
      </c>
      <c r="B87" s="1" t="s">
        <v>33</v>
      </c>
      <c r="C87" s="1">
        <v>2007.107</v>
      </c>
      <c r="D87" s="1">
        <v>4679.2439999999997</v>
      </c>
      <c r="E87" s="1">
        <v>2349.0920000000001</v>
      </c>
      <c r="F87" s="1">
        <v>2339.5300000000002</v>
      </c>
      <c r="G87" s="7">
        <v>1</v>
      </c>
      <c r="H87" s="1"/>
      <c r="I87" s="1" t="s">
        <v>199</v>
      </c>
      <c r="J87" s="1"/>
      <c r="K87" s="1">
        <v>2433.5</v>
      </c>
      <c r="L87" s="1">
        <f t="shared" si="11"/>
        <v>-84.407999999999902</v>
      </c>
      <c r="M87" s="1"/>
      <c r="N87" s="1"/>
      <c r="O87" s="1">
        <v>4242.5290860799996</v>
      </c>
      <c r="P87" s="1">
        <v>154.85404799999989</v>
      </c>
      <c r="Q87" s="1">
        <f t="shared" si="12"/>
        <v>469.8184</v>
      </c>
      <c r="R87" s="5"/>
      <c r="S87" s="1">
        <f t="shared" si="13"/>
        <v>14.339398231486891</v>
      </c>
      <c r="T87" s="1">
        <f t="shared" si="14"/>
        <v>14.339398231486891</v>
      </c>
      <c r="U87" s="1">
        <v>607.09460000000001</v>
      </c>
      <c r="V87" s="1">
        <v>618.89179999999999</v>
      </c>
      <c r="W87" s="1">
        <v>622.35180000000003</v>
      </c>
      <c r="X87" s="1">
        <v>606.17020000000002</v>
      </c>
      <c r="Y87" s="1">
        <v>528.50659999999993</v>
      </c>
      <c r="Z87" s="1">
        <v>517.31659999999999</v>
      </c>
      <c r="AA87" s="1">
        <v>479.43520000000001</v>
      </c>
      <c r="AB87" s="1">
        <v>457.28120000000001</v>
      </c>
      <c r="AC87" s="1"/>
      <c r="AD87" s="1">
        <f t="shared" si="15"/>
        <v>0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200</v>
      </c>
      <c r="B88" s="1" t="s">
        <v>40</v>
      </c>
      <c r="C88" s="1">
        <v>12</v>
      </c>
      <c r="D88" s="1">
        <v>320</v>
      </c>
      <c r="E88" s="1">
        <v>40</v>
      </c>
      <c r="F88" s="1">
        <v>202</v>
      </c>
      <c r="G88" s="7">
        <v>0.3</v>
      </c>
      <c r="H88" s="1"/>
      <c r="I88" s="1" t="s">
        <v>201</v>
      </c>
      <c r="J88" s="1"/>
      <c r="K88" s="1">
        <v>148</v>
      </c>
      <c r="L88" s="1">
        <f t="shared" si="11"/>
        <v>-108</v>
      </c>
      <c r="M88" s="1"/>
      <c r="N88" s="1"/>
      <c r="O88" s="1"/>
      <c r="P88" s="1"/>
      <c r="Q88" s="1">
        <f t="shared" si="12"/>
        <v>8</v>
      </c>
      <c r="R88" s="5"/>
      <c r="S88" s="1">
        <f t="shared" si="13"/>
        <v>25.25</v>
      </c>
      <c r="T88" s="1">
        <f t="shared" si="14"/>
        <v>25.25</v>
      </c>
      <c r="U88" s="1">
        <v>5</v>
      </c>
      <c r="V88" s="1">
        <v>21</v>
      </c>
      <c r="W88" s="1">
        <v>27.8</v>
      </c>
      <c r="X88" s="1">
        <v>22.8</v>
      </c>
      <c r="Y88" s="1">
        <v>24</v>
      </c>
      <c r="Z88" s="1">
        <v>24.4</v>
      </c>
      <c r="AA88" s="1">
        <v>24</v>
      </c>
      <c r="AB88" s="1">
        <v>29.6</v>
      </c>
      <c r="AC88" s="1"/>
      <c r="AD88" s="1">
        <f t="shared" si="15"/>
        <v>0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202</v>
      </c>
      <c r="B89" s="1" t="s">
        <v>40</v>
      </c>
      <c r="C89" s="1">
        <v>107</v>
      </c>
      <c r="D89" s="1">
        <v>41</v>
      </c>
      <c r="E89" s="1">
        <v>46</v>
      </c>
      <c r="F89" s="1">
        <v>83</v>
      </c>
      <c r="G89" s="7">
        <v>7.0000000000000007E-2</v>
      </c>
      <c r="H89" s="1"/>
      <c r="I89" s="1" t="s">
        <v>203</v>
      </c>
      <c r="J89" s="1"/>
      <c r="K89" s="1">
        <v>51</v>
      </c>
      <c r="L89" s="1">
        <f t="shared" si="11"/>
        <v>-5</v>
      </c>
      <c r="M89" s="1"/>
      <c r="N89" s="1"/>
      <c r="O89" s="1"/>
      <c r="P89" s="1">
        <v>44.800000000000011</v>
      </c>
      <c r="Q89" s="1">
        <f t="shared" si="12"/>
        <v>9.1999999999999993</v>
      </c>
      <c r="R89" s="5"/>
      <c r="S89" s="1">
        <f t="shared" si="13"/>
        <v>13.89130434782609</v>
      </c>
      <c r="T89" s="1">
        <f t="shared" si="14"/>
        <v>13.89130434782609</v>
      </c>
      <c r="U89" s="1">
        <v>11.4</v>
      </c>
      <c r="V89" s="1">
        <v>6.8</v>
      </c>
      <c r="W89" s="1">
        <v>7.6</v>
      </c>
      <c r="X89" s="1">
        <v>13.6</v>
      </c>
      <c r="Y89" s="1">
        <v>8.4</v>
      </c>
      <c r="Z89" s="1">
        <v>7.6</v>
      </c>
      <c r="AA89" s="1">
        <v>9.1999999999999993</v>
      </c>
      <c r="AB89" s="1">
        <v>17.600000000000001</v>
      </c>
      <c r="AC89" s="1"/>
      <c r="AD89" s="1">
        <f t="shared" si="15"/>
        <v>0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204</v>
      </c>
      <c r="B90" s="1" t="s">
        <v>40</v>
      </c>
      <c r="C90" s="1">
        <v>73</v>
      </c>
      <c r="D90" s="1">
        <v>40</v>
      </c>
      <c r="E90" s="1">
        <v>50</v>
      </c>
      <c r="F90" s="1">
        <v>45</v>
      </c>
      <c r="G90" s="7">
        <v>7.0000000000000007E-2</v>
      </c>
      <c r="H90" s="1"/>
      <c r="I90" s="1"/>
      <c r="J90" s="1"/>
      <c r="K90" s="1">
        <v>59</v>
      </c>
      <c r="L90" s="1">
        <f t="shared" si="11"/>
        <v>-9</v>
      </c>
      <c r="M90" s="1"/>
      <c r="N90" s="1"/>
      <c r="O90" s="1">
        <v>22.11999999999999</v>
      </c>
      <c r="P90" s="1">
        <v>99.680000000000021</v>
      </c>
      <c r="Q90" s="1">
        <f t="shared" si="12"/>
        <v>10</v>
      </c>
      <c r="R90" s="5"/>
      <c r="S90" s="1">
        <f t="shared" si="13"/>
        <v>16.68</v>
      </c>
      <c r="T90" s="1">
        <f t="shared" si="14"/>
        <v>16.68</v>
      </c>
      <c r="U90" s="1">
        <v>12.4</v>
      </c>
      <c r="V90" s="1">
        <v>6.6</v>
      </c>
      <c r="W90" s="1">
        <v>1.8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/>
      <c r="AD90" s="1">
        <f t="shared" si="15"/>
        <v>0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205</v>
      </c>
      <c r="B91" s="1" t="s">
        <v>40</v>
      </c>
      <c r="C91" s="1">
        <v>45</v>
      </c>
      <c r="D91" s="1">
        <v>47</v>
      </c>
      <c r="E91" s="1">
        <v>25</v>
      </c>
      <c r="F91" s="1">
        <v>18</v>
      </c>
      <c r="G91" s="7">
        <v>7.0000000000000007E-2</v>
      </c>
      <c r="H91" s="1"/>
      <c r="I91" s="1" t="s">
        <v>206</v>
      </c>
      <c r="J91" s="1"/>
      <c r="K91" s="1">
        <v>41</v>
      </c>
      <c r="L91" s="1">
        <f t="shared" si="11"/>
        <v>-16</v>
      </c>
      <c r="M91" s="1"/>
      <c r="N91" s="1"/>
      <c r="O91" s="1">
        <v>58.8</v>
      </c>
      <c r="P91" s="1">
        <v>61.000000000000007</v>
      </c>
      <c r="Q91" s="1">
        <f t="shared" si="12"/>
        <v>5</v>
      </c>
      <c r="R91" s="5"/>
      <c r="S91" s="1">
        <f t="shared" si="13"/>
        <v>27.560000000000002</v>
      </c>
      <c r="T91" s="1">
        <f t="shared" si="14"/>
        <v>27.560000000000002</v>
      </c>
      <c r="U91" s="1">
        <v>12.4</v>
      </c>
      <c r="V91" s="1">
        <v>9</v>
      </c>
      <c r="W91" s="1">
        <v>4.5999999999999996</v>
      </c>
      <c r="X91" s="1">
        <v>7.2</v>
      </c>
      <c r="Y91" s="1">
        <v>6.8</v>
      </c>
      <c r="Z91" s="1">
        <v>7.4</v>
      </c>
      <c r="AA91" s="1">
        <v>7.6</v>
      </c>
      <c r="AB91" s="1">
        <v>11.6</v>
      </c>
      <c r="AC91" s="1"/>
      <c r="AD91" s="1">
        <f t="shared" si="15"/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207</v>
      </c>
      <c r="B92" s="1" t="s">
        <v>40</v>
      </c>
      <c r="C92" s="1">
        <v>92</v>
      </c>
      <c r="D92" s="1">
        <v>15</v>
      </c>
      <c r="E92" s="1">
        <v>76</v>
      </c>
      <c r="F92" s="1">
        <v>25</v>
      </c>
      <c r="G92" s="7">
        <v>0.05</v>
      </c>
      <c r="H92" s="1"/>
      <c r="I92" s="1" t="s">
        <v>208</v>
      </c>
      <c r="J92" s="1"/>
      <c r="K92" s="1">
        <v>78</v>
      </c>
      <c r="L92" s="1">
        <f t="shared" si="11"/>
        <v>-2</v>
      </c>
      <c r="M92" s="1"/>
      <c r="N92" s="1"/>
      <c r="O92" s="1">
        <v>51</v>
      </c>
      <c r="P92" s="1">
        <v>155.19999999999999</v>
      </c>
      <c r="Q92" s="1">
        <f t="shared" si="12"/>
        <v>15.2</v>
      </c>
      <c r="R92" s="5"/>
      <c r="S92" s="1">
        <f t="shared" si="13"/>
        <v>15.210526315789474</v>
      </c>
      <c r="T92" s="1">
        <f t="shared" si="14"/>
        <v>15.210526315789474</v>
      </c>
      <c r="U92" s="1">
        <v>20.2</v>
      </c>
      <c r="V92" s="1">
        <v>10</v>
      </c>
      <c r="W92" s="1">
        <v>3.6</v>
      </c>
      <c r="X92" s="1">
        <v>5.4</v>
      </c>
      <c r="Y92" s="1">
        <v>10.4</v>
      </c>
      <c r="Z92" s="1">
        <v>6</v>
      </c>
      <c r="AA92" s="1">
        <v>9.4</v>
      </c>
      <c r="AB92" s="1">
        <v>10.6</v>
      </c>
      <c r="AC92" s="1"/>
      <c r="AD92" s="1">
        <f t="shared" si="15"/>
        <v>0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4" t="s">
        <v>209</v>
      </c>
      <c r="B93" s="14" t="s">
        <v>40</v>
      </c>
      <c r="C93" s="14">
        <v>-2</v>
      </c>
      <c r="D93" s="14">
        <v>6</v>
      </c>
      <c r="E93" s="14">
        <v>-5</v>
      </c>
      <c r="F93" s="14">
        <v>1</v>
      </c>
      <c r="G93" s="15">
        <v>5.5E-2</v>
      </c>
      <c r="H93" s="14"/>
      <c r="I93" s="14" t="s">
        <v>210</v>
      </c>
      <c r="J93" s="14"/>
      <c r="K93" s="14">
        <v>6</v>
      </c>
      <c r="L93" s="14">
        <f t="shared" si="11"/>
        <v>-11</v>
      </c>
      <c r="M93" s="14"/>
      <c r="N93" s="14"/>
      <c r="O93" s="14">
        <v>32.188000000000002</v>
      </c>
      <c r="P93" s="14">
        <v>0</v>
      </c>
      <c r="Q93" s="14">
        <f t="shared" si="12"/>
        <v>-1</v>
      </c>
      <c r="R93" s="16"/>
      <c r="S93" s="14">
        <f t="shared" si="13"/>
        <v>-33.188000000000002</v>
      </c>
      <c r="T93" s="14">
        <f t="shared" si="14"/>
        <v>-33.188000000000002</v>
      </c>
      <c r="U93" s="14">
        <v>2</v>
      </c>
      <c r="V93" s="14">
        <v>6.4</v>
      </c>
      <c r="W93" s="14">
        <v>11</v>
      </c>
      <c r="X93" s="14">
        <v>12.8</v>
      </c>
      <c r="Y93" s="14">
        <v>7</v>
      </c>
      <c r="Z93" s="14">
        <v>11</v>
      </c>
      <c r="AA93" s="14">
        <v>11.8</v>
      </c>
      <c r="AB93" s="14">
        <v>12.6</v>
      </c>
      <c r="AC93" s="14" t="s">
        <v>211</v>
      </c>
      <c r="AD93" s="1">
        <f t="shared" si="15"/>
        <v>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4" t="s">
        <v>212</v>
      </c>
      <c r="B94" s="14" t="s">
        <v>40</v>
      </c>
      <c r="C94" s="14">
        <v>35</v>
      </c>
      <c r="D94" s="14">
        <v>78</v>
      </c>
      <c r="E94" s="14">
        <v>39</v>
      </c>
      <c r="F94" s="14">
        <v>54</v>
      </c>
      <c r="G94" s="15">
        <v>5.5E-2</v>
      </c>
      <c r="H94" s="14"/>
      <c r="I94" s="14" t="s">
        <v>213</v>
      </c>
      <c r="J94" s="14"/>
      <c r="K94" s="14">
        <v>42</v>
      </c>
      <c r="L94" s="14">
        <f t="shared" si="11"/>
        <v>-3</v>
      </c>
      <c r="M94" s="14"/>
      <c r="N94" s="14"/>
      <c r="O94" s="14">
        <v>49.28</v>
      </c>
      <c r="P94" s="14">
        <v>0</v>
      </c>
      <c r="Q94" s="14">
        <f t="shared" si="12"/>
        <v>7.8</v>
      </c>
      <c r="R94" s="16"/>
      <c r="S94" s="14">
        <f t="shared" si="13"/>
        <v>13.241025641025642</v>
      </c>
      <c r="T94" s="14">
        <f t="shared" si="14"/>
        <v>13.241025641025642</v>
      </c>
      <c r="U94" s="14">
        <v>12.6</v>
      </c>
      <c r="V94" s="14">
        <v>9.4</v>
      </c>
      <c r="W94" s="14">
        <v>9.4</v>
      </c>
      <c r="X94" s="14">
        <v>7.8</v>
      </c>
      <c r="Y94" s="14">
        <v>0.8</v>
      </c>
      <c r="Z94" s="14">
        <v>11.2</v>
      </c>
      <c r="AA94" s="14">
        <v>7.4</v>
      </c>
      <c r="AB94" s="14">
        <v>10.8</v>
      </c>
      <c r="AC94" s="14" t="s">
        <v>211</v>
      </c>
      <c r="AD94" s="1">
        <f t="shared" si="15"/>
        <v>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1" t="s">
        <v>214</v>
      </c>
      <c r="B95" s="11" t="s">
        <v>33</v>
      </c>
      <c r="C95" s="11">
        <v>166.39400000000001</v>
      </c>
      <c r="D95" s="11">
        <v>23.948</v>
      </c>
      <c r="E95" s="11">
        <v>51.13</v>
      </c>
      <c r="F95" s="11">
        <v>123.334</v>
      </c>
      <c r="G95" s="12">
        <v>0</v>
      </c>
      <c r="H95" s="11"/>
      <c r="I95" s="11" t="s">
        <v>215</v>
      </c>
      <c r="J95" s="11"/>
      <c r="K95" s="11">
        <v>45.6</v>
      </c>
      <c r="L95" s="11">
        <f t="shared" si="11"/>
        <v>5.5300000000000011</v>
      </c>
      <c r="M95" s="11"/>
      <c r="N95" s="11"/>
      <c r="O95" s="11"/>
      <c r="P95" s="11"/>
      <c r="Q95" s="11">
        <f t="shared" si="12"/>
        <v>10.226000000000001</v>
      </c>
      <c r="R95" s="13"/>
      <c r="S95" s="11">
        <f t="shared" si="13"/>
        <v>12.060825347154312</v>
      </c>
      <c r="T95" s="11">
        <f t="shared" si="14"/>
        <v>12.060825347154312</v>
      </c>
      <c r="U95" s="11">
        <v>11.8124</v>
      </c>
      <c r="V95" s="11">
        <v>7.6684000000000001</v>
      </c>
      <c r="W95" s="11">
        <v>0.9608000000000001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 t="s">
        <v>216</v>
      </c>
      <c r="AD95" s="1">
        <f t="shared" si="15"/>
        <v>0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217</v>
      </c>
      <c r="B96" s="1" t="s">
        <v>40</v>
      </c>
      <c r="C96" s="1">
        <v>16</v>
      </c>
      <c r="D96" s="1">
        <v>114</v>
      </c>
      <c r="E96" s="1">
        <v>5</v>
      </c>
      <c r="F96" s="1">
        <v>100</v>
      </c>
      <c r="G96" s="7">
        <v>0.08</v>
      </c>
      <c r="H96" s="1"/>
      <c r="I96" s="1" t="s">
        <v>218</v>
      </c>
      <c r="J96" s="1"/>
      <c r="K96" s="1">
        <v>39</v>
      </c>
      <c r="L96" s="1">
        <f t="shared" si="11"/>
        <v>-34</v>
      </c>
      <c r="M96" s="1"/>
      <c r="N96" s="1"/>
      <c r="O96" s="1">
        <v>69.84</v>
      </c>
      <c r="P96" s="1"/>
      <c r="Q96" s="1">
        <f t="shared" si="12"/>
        <v>1</v>
      </c>
      <c r="R96" s="5"/>
      <c r="S96" s="1">
        <f t="shared" si="13"/>
        <v>169.84</v>
      </c>
      <c r="T96" s="1">
        <f t="shared" si="14"/>
        <v>169.84</v>
      </c>
      <c r="U96" s="1">
        <v>8.8000000000000007</v>
      </c>
      <c r="V96" s="1">
        <v>14.2</v>
      </c>
      <c r="W96" s="1">
        <v>14.6</v>
      </c>
      <c r="X96" s="1">
        <v>11.6</v>
      </c>
      <c r="Y96" s="1">
        <v>6.2</v>
      </c>
      <c r="Z96" s="1">
        <v>13.2</v>
      </c>
      <c r="AA96" s="1">
        <v>10.8</v>
      </c>
      <c r="AB96" s="1">
        <v>7.8</v>
      </c>
      <c r="AC96" s="1"/>
      <c r="AD96" s="1">
        <f t="shared" si="15"/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219</v>
      </c>
      <c r="B97" s="1" t="s">
        <v>40</v>
      </c>
      <c r="C97" s="1">
        <v>146</v>
      </c>
      <c r="D97" s="1">
        <v>81</v>
      </c>
      <c r="E97" s="1">
        <v>81</v>
      </c>
      <c r="F97" s="1">
        <v>121</v>
      </c>
      <c r="G97" s="7">
        <v>0.08</v>
      </c>
      <c r="H97" s="1"/>
      <c r="I97" s="1" t="s">
        <v>220</v>
      </c>
      <c r="J97" s="1"/>
      <c r="K97" s="1">
        <v>85</v>
      </c>
      <c r="L97" s="1">
        <f t="shared" si="11"/>
        <v>-4</v>
      </c>
      <c r="M97" s="1"/>
      <c r="N97" s="1"/>
      <c r="O97" s="1"/>
      <c r="P97" s="1">
        <v>74.399999999999977</v>
      </c>
      <c r="Q97" s="1">
        <f t="shared" si="12"/>
        <v>16.2</v>
      </c>
      <c r="R97" s="5"/>
      <c r="S97" s="1">
        <f t="shared" si="13"/>
        <v>12.061728395061728</v>
      </c>
      <c r="T97" s="1">
        <f t="shared" si="14"/>
        <v>12.061728395061728</v>
      </c>
      <c r="U97" s="1">
        <v>17.2</v>
      </c>
      <c r="V97" s="1">
        <v>13.8</v>
      </c>
      <c r="W97" s="1">
        <v>19</v>
      </c>
      <c r="X97" s="1">
        <v>20.8</v>
      </c>
      <c r="Y97" s="1">
        <v>6.4</v>
      </c>
      <c r="Z97" s="1">
        <v>16</v>
      </c>
      <c r="AA97" s="1">
        <v>10.6</v>
      </c>
      <c r="AB97" s="1">
        <v>11.2</v>
      </c>
      <c r="AC97" s="1"/>
      <c r="AD97" s="1">
        <f t="shared" si="15"/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221</v>
      </c>
      <c r="B98" s="1" t="s">
        <v>33</v>
      </c>
      <c r="C98" s="1">
        <v>330.017</v>
      </c>
      <c r="D98" s="1">
        <v>207.59</v>
      </c>
      <c r="E98" s="1">
        <v>221.32599999999999</v>
      </c>
      <c r="F98" s="1">
        <v>234.142</v>
      </c>
      <c r="G98" s="7">
        <v>1</v>
      </c>
      <c r="H98" s="1"/>
      <c r="I98" s="1" t="s">
        <v>222</v>
      </c>
      <c r="J98" s="1"/>
      <c r="K98" s="1">
        <v>217.28299999999999</v>
      </c>
      <c r="L98" s="1">
        <f t="shared" si="11"/>
        <v>4.0430000000000064</v>
      </c>
      <c r="M98" s="1"/>
      <c r="N98" s="1"/>
      <c r="O98" s="1">
        <v>182.24948000000001</v>
      </c>
      <c r="P98" s="1">
        <v>191.9909200000001</v>
      </c>
      <c r="Q98" s="1">
        <f t="shared" si="12"/>
        <v>44.2652</v>
      </c>
      <c r="R98" s="5"/>
      <c r="S98" s="1">
        <f t="shared" si="13"/>
        <v>13.744033687863153</v>
      </c>
      <c r="T98" s="1">
        <f t="shared" si="14"/>
        <v>13.744033687863153</v>
      </c>
      <c r="U98" s="1">
        <v>54.242199999999997</v>
      </c>
      <c r="V98" s="1">
        <v>42.4114</v>
      </c>
      <c r="W98" s="1">
        <v>28.562200000000001</v>
      </c>
      <c r="X98" s="1">
        <v>39.197200000000002</v>
      </c>
      <c r="Y98" s="1">
        <v>41.034799999999997</v>
      </c>
      <c r="Z98" s="1">
        <v>31.838200000000001</v>
      </c>
      <c r="AA98" s="1">
        <v>26.247199999999999</v>
      </c>
      <c r="AB98" s="1">
        <v>33.325800000000001</v>
      </c>
      <c r="AC98" s="1"/>
      <c r="AD98" s="1">
        <f t="shared" si="15"/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223</v>
      </c>
      <c r="B99" s="1" t="s">
        <v>33</v>
      </c>
      <c r="C99" s="1">
        <v>146.393</v>
      </c>
      <c r="D99" s="1">
        <v>501.3</v>
      </c>
      <c r="E99" s="1">
        <v>210.506</v>
      </c>
      <c r="F99" s="1">
        <v>317.709</v>
      </c>
      <c r="G99" s="7">
        <v>1</v>
      </c>
      <c r="H99" s="1"/>
      <c r="I99" s="1" t="s">
        <v>224</v>
      </c>
      <c r="J99" s="1"/>
      <c r="K99" s="1">
        <v>206.22</v>
      </c>
      <c r="L99" s="1">
        <f t="shared" si="11"/>
        <v>4.2860000000000014</v>
      </c>
      <c r="M99" s="1"/>
      <c r="N99" s="1"/>
      <c r="O99" s="1">
        <v>305.87754447999998</v>
      </c>
      <c r="P99" s="1"/>
      <c r="Q99" s="1">
        <f t="shared" si="12"/>
        <v>42.101199999999999</v>
      </c>
      <c r="R99" s="5"/>
      <c r="S99" s="1">
        <f t="shared" si="13"/>
        <v>14.811609751741042</v>
      </c>
      <c r="T99" s="1">
        <f t="shared" si="14"/>
        <v>14.811609751741042</v>
      </c>
      <c r="U99" s="1">
        <v>53.484000000000002</v>
      </c>
      <c r="V99" s="1">
        <v>58.659000000000013</v>
      </c>
      <c r="W99" s="1">
        <v>62.764200000000002</v>
      </c>
      <c r="X99" s="1">
        <v>61.113199999999992</v>
      </c>
      <c r="Y99" s="1">
        <v>41.221800000000002</v>
      </c>
      <c r="Z99" s="1">
        <v>20.991399999999999</v>
      </c>
      <c r="AA99" s="1">
        <v>18.970800000000001</v>
      </c>
      <c r="AB99" s="1">
        <v>0</v>
      </c>
      <c r="AC99" s="1"/>
      <c r="AD99" s="1">
        <f t="shared" si="15"/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225</v>
      </c>
      <c r="B100" s="1" t="s">
        <v>33</v>
      </c>
      <c r="C100" s="1">
        <v>75.224000000000004</v>
      </c>
      <c r="D100" s="1">
        <v>490</v>
      </c>
      <c r="E100" s="1">
        <v>224.38300000000001</v>
      </c>
      <c r="F100" s="1">
        <v>220.364</v>
      </c>
      <c r="G100" s="7">
        <v>1</v>
      </c>
      <c r="H100" s="1"/>
      <c r="I100" s="1" t="s">
        <v>226</v>
      </c>
      <c r="J100" s="1"/>
      <c r="K100" s="1">
        <v>230.02</v>
      </c>
      <c r="L100" s="1">
        <f t="shared" si="11"/>
        <v>-5.6370000000000005</v>
      </c>
      <c r="M100" s="1"/>
      <c r="N100" s="1"/>
      <c r="O100" s="1">
        <v>391.86171999999999</v>
      </c>
      <c r="P100" s="1"/>
      <c r="Q100" s="1">
        <f t="shared" si="12"/>
        <v>44.876600000000003</v>
      </c>
      <c r="R100" s="5"/>
      <c r="S100" s="1">
        <f t="shared" si="13"/>
        <v>13.642426565292379</v>
      </c>
      <c r="T100" s="1">
        <f t="shared" si="14"/>
        <v>13.642426565292379</v>
      </c>
      <c r="U100" s="1">
        <v>53.498600000000003</v>
      </c>
      <c r="V100" s="1">
        <v>56.879600000000003</v>
      </c>
      <c r="W100" s="1">
        <v>47.910400000000003</v>
      </c>
      <c r="X100" s="1">
        <v>60.2986</v>
      </c>
      <c r="Y100" s="1">
        <v>44.475000000000001</v>
      </c>
      <c r="Z100" s="1">
        <v>43.321599999999997</v>
      </c>
      <c r="AA100" s="1">
        <v>38.055599999999998</v>
      </c>
      <c r="AB100" s="1">
        <v>38.472799999999999</v>
      </c>
      <c r="AC100" s="1"/>
      <c r="AD100" s="1">
        <f t="shared" si="15"/>
        <v>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227</v>
      </c>
      <c r="B101" s="1" t="s">
        <v>40</v>
      </c>
      <c r="C101" s="1">
        <v>4</v>
      </c>
      <c r="D101" s="1">
        <v>278</v>
      </c>
      <c r="E101" s="1">
        <v>-13</v>
      </c>
      <c r="F101" s="1">
        <v>204</v>
      </c>
      <c r="G101" s="7">
        <v>0.28000000000000003</v>
      </c>
      <c r="H101" s="1"/>
      <c r="I101" s="1" t="s">
        <v>228</v>
      </c>
      <c r="J101" s="1"/>
      <c r="K101" s="1">
        <v>103</v>
      </c>
      <c r="L101" s="1">
        <f t="shared" si="11"/>
        <v>-116</v>
      </c>
      <c r="M101" s="1"/>
      <c r="N101" s="1"/>
      <c r="O101" s="1"/>
      <c r="P101" s="1">
        <v>100</v>
      </c>
      <c r="Q101" s="1">
        <f t="shared" si="12"/>
        <v>-2.6</v>
      </c>
      <c r="R101" s="5"/>
      <c r="S101" s="1">
        <f t="shared" si="13"/>
        <v>-116.92307692307692</v>
      </c>
      <c r="T101" s="1">
        <f t="shared" si="14"/>
        <v>-116.92307692307692</v>
      </c>
      <c r="U101" s="1">
        <v>-1.8</v>
      </c>
      <c r="V101" s="1">
        <v>10.4</v>
      </c>
      <c r="W101" s="1">
        <v>23</v>
      </c>
      <c r="X101" s="1">
        <v>12</v>
      </c>
      <c r="Y101" s="1">
        <v>46.2</v>
      </c>
      <c r="Z101" s="1">
        <v>35.4</v>
      </c>
      <c r="AA101" s="1">
        <v>47.4</v>
      </c>
      <c r="AB101" s="1">
        <v>51.4</v>
      </c>
      <c r="AC101" s="1"/>
      <c r="AD101" s="1">
        <f t="shared" si="15"/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229</v>
      </c>
      <c r="B102" s="1" t="s">
        <v>40</v>
      </c>
      <c r="C102" s="1">
        <v>108</v>
      </c>
      <c r="D102" s="1">
        <v>30</v>
      </c>
      <c r="E102" s="1">
        <v>120</v>
      </c>
      <c r="F102" s="1">
        <v>6</v>
      </c>
      <c r="G102" s="7">
        <v>0.28000000000000003</v>
      </c>
      <c r="H102" s="1"/>
      <c r="I102" s="1"/>
      <c r="J102" s="1"/>
      <c r="K102" s="1">
        <v>128</v>
      </c>
      <c r="L102" s="1">
        <f t="shared" ref="L102:L114" si="18">E102-K102</f>
        <v>-8</v>
      </c>
      <c r="M102" s="1"/>
      <c r="N102" s="1"/>
      <c r="O102" s="1">
        <v>234.16</v>
      </c>
      <c r="P102" s="1">
        <v>239.44</v>
      </c>
      <c r="Q102" s="1">
        <f t="shared" si="12"/>
        <v>24</v>
      </c>
      <c r="R102" s="5"/>
      <c r="S102" s="1">
        <f t="shared" si="13"/>
        <v>19.983333333333334</v>
      </c>
      <c r="T102" s="1">
        <f t="shared" si="14"/>
        <v>19.983333333333334</v>
      </c>
      <c r="U102" s="1">
        <v>42.6</v>
      </c>
      <c r="V102" s="1">
        <v>28.8</v>
      </c>
      <c r="W102" s="1">
        <v>4.2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/>
      <c r="AD102" s="1">
        <f t="shared" si="15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230</v>
      </c>
      <c r="B103" s="1" t="s">
        <v>40</v>
      </c>
      <c r="C103" s="1">
        <v>248</v>
      </c>
      <c r="D103" s="1">
        <v>207</v>
      </c>
      <c r="E103" s="1">
        <v>138</v>
      </c>
      <c r="F103" s="1">
        <v>200</v>
      </c>
      <c r="G103" s="7">
        <v>0.28000000000000003</v>
      </c>
      <c r="H103" s="1"/>
      <c r="I103" s="1" t="s">
        <v>231</v>
      </c>
      <c r="J103" s="1"/>
      <c r="K103" s="1">
        <v>160</v>
      </c>
      <c r="L103" s="1">
        <f t="shared" si="18"/>
        <v>-22</v>
      </c>
      <c r="M103" s="1"/>
      <c r="N103" s="1"/>
      <c r="O103" s="1">
        <v>224.52</v>
      </c>
      <c r="P103" s="1">
        <v>83.079999999999927</v>
      </c>
      <c r="Q103" s="1">
        <f t="shared" si="12"/>
        <v>27.6</v>
      </c>
      <c r="R103" s="5"/>
      <c r="S103" s="1">
        <f t="shared" si="13"/>
        <v>18.391304347826082</v>
      </c>
      <c r="T103" s="1">
        <f t="shared" si="14"/>
        <v>18.391304347826082</v>
      </c>
      <c r="U103" s="1">
        <v>42.8</v>
      </c>
      <c r="V103" s="1">
        <v>38.6</v>
      </c>
      <c r="W103" s="1">
        <v>32.6</v>
      </c>
      <c r="X103" s="1">
        <v>34.200000000000003</v>
      </c>
      <c r="Y103" s="1">
        <v>36.799999999999997</v>
      </c>
      <c r="Z103" s="1">
        <v>29</v>
      </c>
      <c r="AA103" s="1">
        <v>35.799999999999997</v>
      </c>
      <c r="AB103" s="1">
        <v>39.799999999999997</v>
      </c>
      <c r="AC103" s="1"/>
      <c r="AD103" s="1">
        <f t="shared" si="15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232</v>
      </c>
      <c r="B104" s="1" t="s">
        <v>33</v>
      </c>
      <c r="C104" s="1">
        <v>99.400999999999996</v>
      </c>
      <c r="D104" s="1">
        <v>37.918999999999997</v>
      </c>
      <c r="E104" s="1">
        <v>20.651</v>
      </c>
      <c r="F104" s="1">
        <v>32.802</v>
      </c>
      <c r="G104" s="7">
        <v>1</v>
      </c>
      <c r="H104" s="1"/>
      <c r="I104" s="1" t="s">
        <v>233</v>
      </c>
      <c r="J104" s="1"/>
      <c r="K104" s="1">
        <v>111.4</v>
      </c>
      <c r="L104" s="1">
        <f t="shared" si="18"/>
        <v>-90.749000000000009</v>
      </c>
      <c r="M104" s="1"/>
      <c r="N104" s="1"/>
      <c r="O104" s="1">
        <v>234.91676000000001</v>
      </c>
      <c r="P104" s="1">
        <v>46.858640000000022</v>
      </c>
      <c r="Q104" s="1">
        <f t="shared" si="12"/>
        <v>4.1302000000000003</v>
      </c>
      <c r="R104" s="5"/>
      <c r="S104" s="1">
        <f t="shared" si="13"/>
        <v>76.165173599341443</v>
      </c>
      <c r="T104" s="1">
        <f t="shared" si="14"/>
        <v>76.165173599341443</v>
      </c>
      <c r="U104" s="1">
        <v>29.898199999999999</v>
      </c>
      <c r="V104" s="1">
        <v>29.849799999999998</v>
      </c>
      <c r="W104" s="1">
        <v>3.4443999999999999</v>
      </c>
      <c r="X104" s="1">
        <v>3.4984000000000002</v>
      </c>
      <c r="Y104" s="1">
        <v>23.016400000000001</v>
      </c>
      <c r="Z104" s="1">
        <v>18.604199999999999</v>
      </c>
      <c r="AA104" s="1">
        <v>18.595199999999998</v>
      </c>
      <c r="AB104" s="1">
        <v>22.053999999999998</v>
      </c>
      <c r="AC104" s="1"/>
      <c r="AD104" s="1">
        <f t="shared" si="15"/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234</v>
      </c>
      <c r="B105" s="1" t="s">
        <v>33</v>
      </c>
      <c r="C105" s="1">
        <v>5.1189999999999998</v>
      </c>
      <c r="D105" s="1">
        <v>262.12700000000001</v>
      </c>
      <c r="E105" s="1">
        <v>20.58</v>
      </c>
      <c r="F105" s="1">
        <v>192.51300000000001</v>
      </c>
      <c r="G105" s="7">
        <v>1</v>
      </c>
      <c r="H105" s="1"/>
      <c r="I105" s="1" t="s">
        <v>235</v>
      </c>
      <c r="J105" s="1"/>
      <c r="K105" s="1">
        <v>70</v>
      </c>
      <c r="L105" s="1">
        <f t="shared" si="18"/>
        <v>-49.42</v>
      </c>
      <c r="M105" s="1"/>
      <c r="N105" s="1"/>
      <c r="O105" s="1"/>
      <c r="P105" s="1"/>
      <c r="Q105" s="1">
        <f t="shared" si="12"/>
        <v>4.1159999999999997</v>
      </c>
      <c r="R105" s="5"/>
      <c r="S105" s="1">
        <f t="shared" si="13"/>
        <v>46.771865889212833</v>
      </c>
      <c r="T105" s="1">
        <f t="shared" si="14"/>
        <v>46.771865889212833</v>
      </c>
      <c r="U105" s="1">
        <v>7.7904</v>
      </c>
      <c r="V105" s="1">
        <v>13.495799999999999</v>
      </c>
      <c r="W105" s="1">
        <v>18.490400000000001</v>
      </c>
      <c r="X105" s="1">
        <v>21.981000000000002</v>
      </c>
      <c r="Y105" s="1">
        <v>8.9923999999999999</v>
      </c>
      <c r="Z105" s="1">
        <v>14.0106</v>
      </c>
      <c r="AA105" s="1">
        <v>17.496600000000001</v>
      </c>
      <c r="AB105" s="1">
        <v>13.942</v>
      </c>
      <c r="AC105" s="1"/>
      <c r="AD105" s="1">
        <f t="shared" si="15"/>
        <v>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236</v>
      </c>
      <c r="B106" s="1" t="s">
        <v>33</v>
      </c>
      <c r="C106" s="1">
        <v>-2.4420000000000002</v>
      </c>
      <c r="D106" s="1">
        <v>161.24</v>
      </c>
      <c r="E106" s="1"/>
      <c r="F106" s="1">
        <v>151.79</v>
      </c>
      <c r="G106" s="7">
        <v>1</v>
      </c>
      <c r="H106" s="1"/>
      <c r="I106" s="1"/>
      <c r="J106" s="1"/>
      <c r="K106" s="1"/>
      <c r="L106" s="1">
        <f t="shared" si="18"/>
        <v>0</v>
      </c>
      <c r="M106" s="1"/>
      <c r="N106" s="1"/>
      <c r="O106" s="1"/>
      <c r="P106" s="1"/>
      <c r="Q106" s="1">
        <f t="shared" si="12"/>
        <v>0</v>
      </c>
      <c r="R106" s="5"/>
      <c r="S106" s="1" t="e">
        <f t="shared" si="13"/>
        <v>#DIV/0!</v>
      </c>
      <c r="T106" s="1" t="e">
        <f t="shared" si="14"/>
        <v>#DIV/0!</v>
      </c>
      <c r="U106" s="1">
        <v>0</v>
      </c>
      <c r="V106" s="1">
        <v>0</v>
      </c>
      <c r="W106" s="1">
        <v>0</v>
      </c>
      <c r="X106" s="1">
        <v>0</v>
      </c>
      <c r="Y106" s="1">
        <v>12.7134</v>
      </c>
      <c r="Z106" s="1">
        <v>23.990600000000001</v>
      </c>
      <c r="AA106" s="1">
        <v>11.8384</v>
      </c>
      <c r="AB106" s="1">
        <v>0</v>
      </c>
      <c r="AC106" s="1"/>
      <c r="AD106" s="1">
        <f t="shared" si="15"/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237</v>
      </c>
      <c r="B107" s="1" t="s">
        <v>33</v>
      </c>
      <c r="C107" s="1">
        <v>189.57</v>
      </c>
      <c r="D107" s="1">
        <v>384.25700000000001</v>
      </c>
      <c r="E107" s="1">
        <v>189.76400000000001</v>
      </c>
      <c r="F107" s="1">
        <v>295.38900000000001</v>
      </c>
      <c r="G107" s="7">
        <v>1</v>
      </c>
      <c r="H107" s="1"/>
      <c r="I107" s="1" t="s">
        <v>238</v>
      </c>
      <c r="J107" s="1"/>
      <c r="K107" s="1">
        <v>183.1</v>
      </c>
      <c r="L107" s="1">
        <f t="shared" si="18"/>
        <v>6.6640000000000157</v>
      </c>
      <c r="M107" s="1"/>
      <c r="N107" s="1"/>
      <c r="O107" s="1"/>
      <c r="P107" s="1"/>
      <c r="Q107" s="1">
        <f t="shared" si="12"/>
        <v>37.952800000000003</v>
      </c>
      <c r="R107" s="5">
        <f t="shared" ref="R107" si="19">11*Q107-P107-O107-F107</f>
        <v>122.09180000000003</v>
      </c>
      <c r="S107" s="1">
        <f t="shared" si="13"/>
        <v>11</v>
      </c>
      <c r="T107" s="1">
        <f t="shared" si="14"/>
        <v>7.7830621192639278</v>
      </c>
      <c r="U107" s="1">
        <v>20.715</v>
      </c>
      <c r="V107" s="1">
        <v>10.0794</v>
      </c>
      <c r="W107" s="1">
        <v>31.320399999999999</v>
      </c>
      <c r="X107" s="1">
        <v>42.749200000000002</v>
      </c>
      <c r="Y107" s="1">
        <v>29.668399999999998</v>
      </c>
      <c r="Z107" s="1">
        <v>23.665400000000002</v>
      </c>
      <c r="AA107" s="1">
        <v>8.9771999999999998</v>
      </c>
      <c r="AB107" s="1">
        <v>0</v>
      </c>
      <c r="AC107" s="1"/>
      <c r="AD107" s="1">
        <f t="shared" si="15"/>
        <v>122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239</v>
      </c>
      <c r="B108" s="1" t="s">
        <v>33</v>
      </c>
      <c r="C108" s="1">
        <v>57.81</v>
      </c>
      <c r="D108" s="1">
        <v>46.491</v>
      </c>
      <c r="E108" s="1">
        <v>41.929000000000002</v>
      </c>
      <c r="F108" s="1">
        <v>40.939</v>
      </c>
      <c r="G108" s="7">
        <v>1</v>
      </c>
      <c r="H108" s="1"/>
      <c r="I108" s="1" t="s">
        <v>240</v>
      </c>
      <c r="J108" s="1"/>
      <c r="K108" s="1">
        <v>44.9</v>
      </c>
      <c r="L108" s="1">
        <f t="shared" si="18"/>
        <v>-2.9709999999999965</v>
      </c>
      <c r="M108" s="1"/>
      <c r="N108" s="1"/>
      <c r="O108" s="1">
        <v>133.88955999999999</v>
      </c>
      <c r="P108" s="1"/>
      <c r="Q108" s="1">
        <f t="shared" si="12"/>
        <v>8.3857999999999997</v>
      </c>
      <c r="R108" s="5"/>
      <c r="S108" s="1">
        <f t="shared" si="13"/>
        <v>20.84816713968852</v>
      </c>
      <c r="T108" s="1">
        <f t="shared" si="14"/>
        <v>20.84816713968852</v>
      </c>
      <c r="U108" s="1">
        <v>12.8756</v>
      </c>
      <c r="V108" s="1">
        <v>14.671799999999999</v>
      </c>
      <c r="W108" s="1">
        <v>8.1275999999999993</v>
      </c>
      <c r="X108" s="1">
        <v>5.9496000000000002</v>
      </c>
      <c r="Y108" s="1">
        <v>7.8940000000000001</v>
      </c>
      <c r="Z108" s="1">
        <v>7.8569999999999993</v>
      </c>
      <c r="AA108" s="1">
        <v>4.05</v>
      </c>
      <c r="AB108" s="1">
        <v>4.8860000000000001</v>
      </c>
      <c r="AC108" s="1"/>
      <c r="AD108" s="1">
        <f t="shared" si="15"/>
        <v>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58</v>
      </c>
      <c r="B109" s="1" t="s">
        <v>33</v>
      </c>
      <c r="C109" s="1">
        <v>868.25599999999997</v>
      </c>
      <c r="D109" s="1">
        <v>1695.0540000000001</v>
      </c>
      <c r="E109" s="1">
        <v>189.001</v>
      </c>
      <c r="F109" s="1">
        <v>2316.817</v>
      </c>
      <c r="G109" s="7">
        <v>1</v>
      </c>
      <c r="H109" s="1"/>
      <c r="I109" s="1"/>
      <c r="J109" s="1"/>
      <c r="K109" s="1">
        <v>216.4</v>
      </c>
      <c r="L109" s="1">
        <f t="shared" si="18"/>
        <v>-27.399000000000001</v>
      </c>
      <c r="M109" s="1"/>
      <c r="N109" s="1"/>
      <c r="O109" s="1"/>
      <c r="P109" s="1"/>
      <c r="Q109" s="1">
        <f t="shared" si="12"/>
        <v>37.800200000000004</v>
      </c>
      <c r="R109" s="5"/>
      <c r="S109" s="1">
        <f t="shared" si="13"/>
        <v>61.291130734758013</v>
      </c>
      <c r="T109" s="1">
        <f t="shared" si="14"/>
        <v>61.291130734758013</v>
      </c>
      <c r="U109" s="1">
        <v>16.512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8" t="s">
        <v>253</v>
      </c>
      <c r="AD109" s="1">
        <f t="shared" si="15"/>
        <v>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241</v>
      </c>
      <c r="B110" s="1" t="s">
        <v>40</v>
      </c>
      <c r="C110" s="1">
        <v>163</v>
      </c>
      <c r="D110" s="1">
        <v>254</v>
      </c>
      <c r="E110" s="1">
        <v>186</v>
      </c>
      <c r="F110" s="1">
        <v>137</v>
      </c>
      <c r="G110" s="7">
        <v>0.3</v>
      </c>
      <c r="H110" s="1"/>
      <c r="I110" s="1" t="s">
        <v>242</v>
      </c>
      <c r="J110" s="1"/>
      <c r="K110" s="1">
        <v>200</v>
      </c>
      <c r="L110" s="1">
        <f t="shared" si="18"/>
        <v>-14</v>
      </c>
      <c r="M110" s="1"/>
      <c r="N110" s="1"/>
      <c r="O110" s="1">
        <v>355.52</v>
      </c>
      <c r="P110" s="1">
        <v>65.479999999999961</v>
      </c>
      <c r="Q110" s="1">
        <f t="shared" si="12"/>
        <v>37.200000000000003</v>
      </c>
      <c r="R110" s="5"/>
      <c r="S110" s="1">
        <f t="shared" si="13"/>
        <v>14.999999999999998</v>
      </c>
      <c r="T110" s="1">
        <f t="shared" si="14"/>
        <v>14.999999999999998</v>
      </c>
      <c r="U110" s="1">
        <v>48.4</v>
      </c>
      <c r="V110" s="1">
        <v>47.6</v>
      </c>
      <c r="W110" s="1">
        <v>37.4</v>
      </c>
      <c r="X110" s="1">
        <v>29</v>
      </c>
      <c r="Y110" s="1">
        <v>50.2</v>
      </c>
      <c r="Z110" s="1">
        <v>31.6</v>
      </c>
      <c r="AA110" s="1">
        <v>36.200000000000003</v>
      </c>
      <c r="AB110" s="1">
        <v>36.6</v>
      </c>
      <c r="AC110" s="1"/>
      <c r="AD110" s="1">
        <f t="shared" si="15"/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243</v>
      </c>
      <c r="B111" s="1" t="s">
        <v>40</v>
      </c>
      <c r="C111" s="1">
        <v>158</v>
      </c>
      <c r="D111" s="1">
        <v>7</v>
      </c>
      <c r="E111" s="1">
        <v>-18</v>
      </c>
      <c r="F111" s="1"/>
      <c r="G111" s="7">
        <v>0.3</v>
      </c>
      <c r="H111" s="1"/>
      <c r="I111" s="1" t="s">
        <v>244</v>
      </c>
      <c r="J111" s="1"/>
      <c r="K111" s="1">
        <v>179</v>
      </c>
      <c r="L111" s="1">
        <f t="shared" si="18"/>
        <v>-197</v>
      </c>
      <c r="M111" s="1"/>
      <c r="N111" s="1"/>
      <c r="O111" s="1"/>
      <c r="P111" s="1"/>
      <c r="Q111" s="1">
        <f t="shared" si="12"/>
        <v>-3.6</v>
      </c>
      <c r="R111" s="5">
        <v>80</v>
      </c>
      <c r="S111" s="1">
        <f t="shared" si="13"/>
        <v>-22.222222222222221</v>
      </c>
      <c r="T111" s="1">
        <f t="shared" si="14"/>
        <v>0</v>
      </c>
      <c r="U111" s="1">
        <v>-6.6</v>
      </c>
      <c r="V111" s="1">
        <v>4.4000000000000004</v>
      </c>
      <c r="W111" s="1">
        <v>6.8</v>
      </c>
      <c r="X111" s="1">
        <v>2.8</v>
      </c>
      <c r="Y111" s="1">
        <v>20.399999999999999</v>
      </c>
      <c r="Z111" s="1">
        <v>27.2</v>
      </c>
      <c r="AA111" s="1">
        <v>29</v>
      </c>
      <c r="AB111" s="1">
        <v>15.2</v>
      </c>
      <c r="AC111" s="9" t="s">
        <v>254</v>
      </c>
      <c r="AD111" s="1">
        <f t="shared" si="15"/>
        <v>24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245</v>
      </c>
      <c r="B112" s="1" t="s">
        <v>33</v>
      </c>
      <c r="C112" s="1">
        <v>-7.9000000000000001E-2</v>
      </c>
      <c r="D112" s="1">
        <v>24.488</v>
      </c>
      <c r="E112" s="1"/>
      <c r="F112" s="1">
        <v>21.672999999999998</v>
      </c>
      <c r="G112" s="7">
        <v>1</v>
      </c>
      <c r="H112" s="1"/>
      <c r="I112" s="1" t="s">
        <v>246</v>
      </c>
      <c r="J112" s="1"/>
      <c r="K112" s="1"/>
      <c r="L112" s="1">
        <f t="shared" si="18"/>
        <v>0</v>
      </c>
      <c r="M112" s="1"/>
      <c r="N112" s="1"/>
      <c r="O112" s="1"/>
      <c r="P112" s="1">
        <v>10</v>
      </c>
      <c r="Q112" s="1">
        <f t="shared" si="12"/>
        <v>0</v>
      </c>
      <c r="R112" s="5"/>
      <c r="S112" s="1" t="e">
        <f t="shared" si="13"/>
        <v>#DIV/0!</v>
      </c>
      <c r="T112" s="1" t="e">
        <f t="shared" si="14"/>
        <v>#DIV/0!</v>
      </c>
      <c r="U112" s="1">
        <v>0</v>
      </c>
      <c r="V112" s="1">
        <v>-4.7E-2</v>
      </c>
      <c r="W112" s="1">
        <v>2.073</v>
      </c>
      <c r="X112" s="1">
        <v>2.12</v>
      </c>
      <c r="Y112" s="1">
        <v>3.0232000000000001</v>
      </c>
      <c r="Z112" s="1">
        <v>2.4927999999999999</v>
      </c>
      <c r="AA112" s="1">
        <v>1.1104000000000001</v>
      </c>
      <c r="AB112" s="1">
        <v>3.3012000000000001</v>
      </c>
      <c r="AC112" s="1"/>
      <c r="AD112" s="1">
        <f t="shared" si="15"/>
        <v>0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247</v>
      </c>
      <c r="B113" s="1" t="s">
        <v>40</v>
      </c>
      <c r="C113" s="1">
        <v>34</v>
      </c>
      <c r="D113" s="1">
        <v>218</v>
      </c>
      <c r="E113" s="1">
        <v>40</v>
      </c>
      <c r="F113" s="1">
        <v>166</v>
      </c>
      <c r="G113" s="7">
        <v>0.3</v>
      </c>
      <c r="H113" s="1"/>
      <c r="I113" s="1" t="s">
        <v>248</v>
      </c>
      <c r="J113" s="1"/>
      <c r="K113" s="1">
        <v>100</v>
      </c>
      <c r="L113" s="1">
        <f t="shared" si="18"/>
        <v>-60</v>
      </c>
      <c r="M113" s="1"/>
      <c r="N113" s="1"/>
      <c r="O113" s="1">
        <v>91.279999999999973</v>
      </c>
      <c r="P113" s="1"/>
      <c r="Q113" s="1">
        <f t="shared" si="12"/>
        <v>8</v>
      </c>
      <c r="R113" s="5"/>
      <c r="S113" s="1">
        <f t="shared" si="13"/>
        <v>32.159999999999997</v>
      </c>
      <c r="T113" s="1">
        <f t="shared" si="14"/>
        <v>32.159999999999997</v>
      </c>
      <c r="U113" s="1">
        <v>18.8</v>
      </c>
      <c r="V113" s="1">
        <v>20.399999999999999</v>
      </c>
      <c r="W113" s="1">
        <v>20.399999999999999</v>
      </c>
      <c r="X113" s="1">
        <v>16.600000000000001</v>
      </c>
      <c r="Y113" s="1">
        <v>16</v>
      </c>
      <c r="Z113" s="1">
        <v>15.4</v>
      </c>
      <c r="AA113" s="1">
        <v>18.399999999999999</v>
      </c>
      <c r="AB113" s="1">
        <v>17.399999999999999</v>
      </c>
      <c r="AC113" s="1"/>
      <c r="AD113" s="1">
        <f t="shared" si="15"/>
        <v>0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249</v>
      </c>
      <c r="B114" s="1" t="s">
        <v>40</v>
      </c>
      <c r="C114" s="1">
        <v>34</v>
      </c>
      <c r="D114" s="1">
        <v>23</v>
      </c>
      <c r="E114" s="1">
        <v>31</v>
      </c>
      <c r="F114" s="1">
        <v>3</v>
      </c>
      <c r="G114" s="7">
        <v>0.12</v>
      </c>
      <c r="H114" s="1"/>
      <c r="I114" s="1" t="s">
        <v>250</v>
      </c>
      <c r="J114" s="1"/>
      <c r="K114" s="1">
        <v>60</v>
      </c>
      <c r="L114" s="1">
        <f t="shared" si="18"/>
        <v>-29</v>
      </c>
      <c r="M114" s="1"/>
      <c r="N114" s="1"/>
      <c r="O114" s="1">
        <v>66.72</v>
      </c>
      <c r="P114" s="1">
        <v>84.679999999999978</v>
      </c>
      <c r="Q114" s="1">
        <f t="shared" si="12"/>
        <v>6.2</v>
      </c>
      <c r="R114" s="5"/>
      <c r="S114" s="1">
        <f t="shared" si="13"/>
        <v>24.903225806451609</v>
      </c>
      <c r="T114" s="1">
        <f t="shared" si="14"/>
        <v>24.903225806451609</v>
      </c>
      <c r="U114" s="1">
        <v>12.2</v>
      </c>
      <c r="V114" s="1">
        <v>7.6</v>
      </c>
      <c r="W114" s="1">
        <v>0.4</v>
      </c>
      <c r="X114" s="1">
        <v>1.8</v>
      </c>
      <c r="Y114" s="1">
        <v>7.6</v>
      </c>
      <c r="Z114" s="1">
        <v>2.8</v>
      </c>
      <c r="AA114" s="1">
        <v>5</v>
      </c>
      <c r="AB114" s="1">
        <v>10</v>
      </c>
      <c r="AC114" s="1"/>
      <c r="AD114" s="1">
        <f t="shared" si="15"/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D114" xr:uid="{38863CBA-0247-4AE9-B9E9-C742C7841C9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2026-07-07T12:11:21Z</dcterms:created>
  <dcterms:modified xsi:type="dcterms:W3CDTF">2026-07-08T07:21:03Z</dcterms:modified>
</cp:coreProperties>
</file>