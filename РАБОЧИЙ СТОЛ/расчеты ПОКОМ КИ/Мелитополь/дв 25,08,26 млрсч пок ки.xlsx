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Мелитополь\"/>
    </mc:Choice>
  </mc:AlternateContent>
  <xr:revisionPtr revIDLastSave="0" documentId="13_ncr:1_{70CDE8DD-2481-4061-A794-A7D3BAA1404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 24,08" sheetId="2" r:id="rId2"/>
  </sheets>
  <definedNames>
    <definedName name="_xlnm._FilterDatabase" localSheetId="0" hidden="1">Sheet!$A$3:$AH$133</definedName>
  </definedNames>
  <calcPr calcId="191029" refMode="R1C1"/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2" i="2"/>
  <c r="T133" i="1"/>
  <c r="AH133" i="1" s="1"/>
  <c r="R133" i="1"/>
  <c r="AI133" i="1" s="1"/>
  <c r="L133" i="1"/>
  <c r="T132" i="1"/>
  <c r="R132" i="1"/>
  <c r="AI132" i="1" s="1"/>
  <c r="L132" i="1"/>
  <c r="T131" i="1"/>
  <c r="AH131" i="1" s="1"/>
  <c r="R131" i="1"/>
  <c r="AI131" i="1" s="1"/>
  <c r="L131" i="1"/>
  <c r="R130" i="1"/>
  <c r="AI130" i="1" s="1"/>
  <c r="L130" i="1"/>
  <c r="T129" i="1"/>
  <c r="AH129" i="1" s="1"/>
  <c r="R129" i="1"/>
  <c r="AI129" i="1" s="1"/>
  <c r="L129" i="1"/>
  <c r="U128" i="1"/>
  <c r="T128" i="1"/>
  <c r="AH128" i="1" s="1"/>
  <c r="R128" i="1"/>
  <c r="AI128" i="1" s="1"/>
  <c r="L128" i="1"/>
  <c r="S127" i="1"/>
  <c r="T127" i="1" s="1"/>
  <c r="R127" i="1"/>
  <c r="AI127" i="1" s="1"/>
  <c r="L127" i="1"/>
  <c r="T126" i="1"/>
  <c r="AH126" i="1" s="1"/>
  <c r="F126" i="1"/>
  <c r="E126" i="1"/>
  <c r="L126" i="1" s="1"/>
  <c r="T125" i="1"/>
  <c r="AH125" i="1" s="1"/>
  <c r="R125" i="1"/>
  <c r="AI125" i="1" s="1"/>
  <c r="L125" i="1"/>
  <c r="R124" i="1"/>
  <c r="AI124" i="1" s="1"/>
  <c r="L124" i="1"/>
  <c r="R123" i="1"/>
  <c r="S123" i="1" s="1"/>
  <c r="T123" i="1" s="1"/>
  <c r="L123" i="1"/>
  <c r="R122" i="1"/>
  <c r="AI122" i="1" s="1"/>
  <c r="L122" i="1"/>
  <c r="R121" i="1"/>
  <c r="AI121" i="1" s="1"/>
  <c r="L121" i="1"/>
  <c r="T120" i="1"/>
  <c r="AH120" i="1" s="1"/>
  <c r="R120" i="1"/>
  <c r="V120" i="1" s="1"/>
  <c r="L120" i="1"/>
  <c r="T119" i="1"/>
  <c r="AH119" i="1" s="1"/>
  <c r="R119" i="1"/>
  <c r="AI119" i="1" s="1"/>
  <c r="L119" i="1"/>
  <c r="R118" i="1"/>
  <c r="AI118" i="1" s="1"/>
  <c r="L118" i="1"/>
  <c r="T117" i="1"/>
  <c r="AH117" i="1" s="1"/>
  <c r="R117" i="1"/>
  <c r="AI117" i="1" s="1"/>
  <c r="L117" i="1"/>
  <c r="T116" i="1"/>
  <c r="AH116" i="1" s="1"/>
  <c r="R116" i="1"/>
  <c r="AI116" i="1" s="1"/>
  <c r="L116" i="1"/>
  <c r="T115" i="1"/>
  <c r="AH115" i="1" s="1"/>
  <c r="R115" i="1"/>
  <c r="AI115" i="1" s="1"/>
  <c r="L115" i="1"/>
  <c r="AI114" i="1"/>
  <c r="V114" i="1"/>
  <c r="T114" i="1"/>
  <c r="AH114" i="1" s="1"/>
  <c r="R114" i="1"/>
  <c r="L114" i="1"/>
  <c r="T113" i="1"/>
  <c r="AH113" i="1" s="1"/>
  <c r="R113" i="1"/>
  <c r="AI113" i="1" s="1"/>
  <c r="L113" i="1"/>
  <c r="V112" i="1"/>
  <c r="T112" i="1"/>
  <c r="AH112" i="1" s="1"/>
  <c r="R112" i="1"/>
  <c r="AI112" i="1" s="1"/>
  <c r="L112" i="1"/>
  <c r="T111" i="1"/>
  <c r="AH111" i="1" s="1"/>
  <c r="R111" i="1"/>
  <c r="AI111" i="1" s="1"/>
  <c r="L111" i="1"/>
  <c r="AI110" i="1"/>
  <c r="V110" i="1"/>
  <c r="T110" i="1"/>
  <c r="AH110" i="1" s="1"/>
  <c r="R110" i="1"/>
  <c r="L110" i="1"/>
  <c r="T109" i="1"/>
  <c r="AH109" i="1" s="1"/>
  <c r="R109" i="1"/>
  <c r="AI109" i="1" s="1"/>
  <c r="L109" i="1"/>
  <c r="T108" i="1"/>
  <c r="AH108" i="1" s="1"/>
  <c r="R108" i="1"/>
  <c r="AI108" i="1" s="1"/>
  <c r="L108" i="1"/>
  <c r="T107" i="1"/>
  <c r="R107" i="1"/>
  <c r="AI107" i="1" s="1"/>
  <c r="L107" i="1"/>
  <c r="R106" i="1"/>
  <c r="S106" i="1" s="1"/>
  <c r="T106" i="1" s="1"/>
  <c r="L106" i="1"/>
  <c r="R105" i="1"/>
  <c r="S105" i="1" s="1"/>
  <c r="T105" i="1" s="1"/>
  <c r="L105" i="1"/>
  <c r="T104" i="1"/>
  <c r="R104" i="1"/>
  <c r="AI104" i="1" s="1"/>
  <c r="L104" i="1"/>
  <c r="T103" i="1"/>
  <c r="AH103" i="1" s="1"/>
  <c r="R103" i="1"/>
  <c r="AI103" i="1" s="1"/>
  <c r="L103" i="1"/>
  <c r="T102" i="1"/>
  <c r="AH102" i="1" s="1"/>
  <c r="R102" i="1"/>
  <c r="AI102" i="1" s="1"/>
  <c r="L102" i="1"/>
  <c r="T101" i="1"/>
  <c r="R101" i="1"/>
  <c r="V101" i="1" s="1"/>
  <c r="L101" i="1"/>
  <c r="AI100" i="1"/>
  <c r="T100" i="1"/>
  <c r="AH100" i="1" s="1"/>
  <c r="R100" i="1"/>
  <c r="V100" i="1" s="1"/>
  <c r="L100" i="1"/>
  <c r="AH99" i="1"/>
  <c r="T99" i="1"/>
  <c r="R99" i="1"/>
  <c r="AI99" i="1" s="1"/>
  <c r="L99" i="1"/>
  <c r="R98" i="1"/>
  <c r="S98" i="1" s="1"/>
  <c r="T98" i="1" s="1"/>
  <c r="L98" i="1"/>
  <c r="T97" i="1"/>
  <c r="AH97" i="1" s="1"/>
  <c r="R97" i="1"/>
  <c r="AI97" i="1" s="1"/>
  <c r="L97" i="1"/>
  <c r="T96" i="1"/>
  <c r="R96" i="1"/>
  <c r="AI96" i="1" s="1"/>
  <c r="L96" i="1"/>
  <c r="T95" i="1"/>
  <c r="U95" i="1" s="1"/>
  <c r="R95" i="1"/>
  <c r="AI95" i="1" s="1"/>
  <c r="L95" i="1"/>
  <c r="T94" i="1"/>
  <c r="AH94" i="1" s="1"/>
  <c r="R94" i="1"/>
  <c r="L94" i="1"/>
  <c r="T93" i="1"/>
  <c r="AH93" i="1" s="1"/>
  <c r="R93" i="1"/>
  <c r="AI93" i="1" s="1"/>
  <c r="L93" i="1"/>
  <c r="AI92" i="1"/>
  <c r="R92" i="1"/>
  <c r="V92" i="1" s="1"/>
  <c r="L92" i="1"/>
  <c r="R91" i="1"/>
  <c r="AI91" i="1" s="1"/>
  <c r="L91" i="1"/>
  <c r="T90" i="1"/>
  <c r="R90" i="1"/>
  <c r="AI90" i="1" s="1"/>
  <c r="L90" i="1"/>
  <c r="T89" i="1"/>
  <c r="AH89" i="1" s="1"/>
  <c r="R89" i="1"/>
  <c r="AI89" i="1" s="1"/>
  <c r="L89" i="1"/>
  <c r="R88" i="1"/>
  <c r="AI88" i="1" s="1"/>
  <c r="L88" i="1"/>
  <c r="R87" i="1"/>
  <c r="S87" i="1" s="1"/>
  <c r="T87" i="1" s="1"/>
  <c r="L87" i="1"/>
  <c r="T86" i="1"/>
  <c r="AH86" i="1" s="1"/>
  <c r="R86" i="1"/>
  <c r="AI86" i="1" s="1"/>
  <c r="L86" i="1"/>
  <c r="T85" i="1"/>
  <c r="AH85" i="1" s="1"/>
  <c r="R85" i="1"/>
  <c r="AI85" i="1" s="1"/>
  <c r="L85" i="1"/>
  <c r="T84" i="1"/>
  <c r="AH84" i="1" s="1"/>
  <c r="R84" i="1"/>
  <c r="V84" i="1" s="1"/>
  <c r="L84" i="1"/>
  <c r="T83" i="1"/>
  <c r="AH83" i="1" s="1"/>
  <c r="R83" i="1"/>
  <c r="AI83" i="1" s="1"/>
  <c r="L83" i="1"/>
  <c r="T82" i="1"/>
  <c r="AH82" i="1" s="1"/>
  <c r="R82" i="1"/>
  <c r="AI82" i="1" s="1"/>
  <c r="L82" i="1"/>
  <c r="T81" i="1"/>
  <c r="AH81" i="1" s="1"/>
  <c r="R81" i="1"/>
  <c r="V81" i="1" s="1"/>
  <c r="L81" i="1"/>
  <c r="R80" i="1"/>
  <c r="AI80" i="1" s="1"/>
  <c r="L80" i="1"/>
  <c r="T79" i="1"/>
  <c r="R79" i="1"/>
  <c r="AI79" i="1" s="1"/>
  <c r="L79" i="1"/>
  <c r="R78" i="1"/>
  <c r="AI78" i="1" s="1"/>
  <c r="L78" i="1"/>
  <c r="T77" i="1"/>
  <c r="AH77" i="1" s="1"/>
  <c r="R77" i="1"/>
  <c r="AI77" i="1" s="1"/>
  <c r="L77" i="1"/>
  <c r="R76" i="1"/>
  <c r="S76" i="1" s="1"/>
  <c r="T76" i="1" s="1"/>
  <c r="L76" i="1"/>
  <c r="S75" i="1"/>
  <c r="T75" i="1" s="1"/>
  <c r="R75" i="1"/>
  <c r="V75" i="1" s="1"/>
  <c r="L75" i="1"/>
  <c r="R74" i="1"/>
  <c r="S74" i="1" s="1"/>
  <c r="T74" i="1" s="1"/>
  <c r="L74" i="1"/>
  <c r="T73" i="1"/>
  <c r="AH73" i="1" s="1"/>
  <c r="R73" i="1"/>
  <c r="AI73" i="1" s="1"/>
  <c r="L73" i="1"/>
  <c r="R72" i="1"/>
  <c r="S72" i="1" s="1"/>
  <c r="T72" i="1" s="1"/>
  <c r="L72" i="1"/>
  <c r="T71" i="1"/>
  <c r="AH71" i="1" s="1"/>
  <c r="R71" i="1"/>
  <c r="AI71" i="1" s="1"/>
  <c r="L71" i="1"/>
  <c r="T70" i="1"/>
  <c r="AH70" i="1" s="1"/>
  <c r="R70" i="1"/>
  <c r="AI70" i="1" s="1"/>
  <c r="L70" i="1"/>
  <c r="T69" i="1"/>
  <c r="AH69" i="1" s="1"/>
  <c r="R69" i="1"/>
  <c r="AI69" i="1" s="1"/>
  <c r="L69" i="1"/>
  <c r="T68" i="1"/>
  <c r="AH68" i="1" s="1"/>
  <c r="R68" i="1"/>
  <c r="AI68" i="1" s="1"/>
  <c r="L68" i="1"/>
  <c r="T67" i="1"/>
  <c r="AH67" i="1" s="1"/>
  <c r="R67" i="1"/>
  <c r="AI67" i="1" s="1"/>
  <c r="L67" i="1"/>
  <c r="T66" i="1"/>
  <c r="AH66" i="1" s="1"/>
  <c r="R66" i="1"/>
  <c r="AI66" i="1" s="1"/>
  <c r="L66" i="1"/>
  <c r="T65" i="1"/>
  <c r="R65" i="1"/>
  <c r="AI65" i="1" s="1"/>
  <c r="L65" i="1"/>
  <c r="R64" i="1"/>
  <c r="V64" i="1" s="1"/>
  <c r="L64" i="1"/>
  <c r="T63" i="1"/>
  <c r="AH63" i="1" s="1"/>
  <c r="R63" i="1"/>
  <c r="AI63" i="1" s="1"/>
  <c r="L63" i="1"/>
  <c r="R62" i="1"/>
  <c r="V62" i="1" s="1"/>
  <c r="L62" i="1"/>
  <c r="R61" i="1"/>
  <c r="S61" i="1" s="1"/>
  <c r="T61" i="1" s="1"/>
  <c r="L61" i="1"/>
  <c r="R60" i="1"/>
  <c r="S60" i="1" s="1"/>
  <c r="T60" i="1" s="1"/>
  <c r="L60" i="1"/>
  <c r="R59" i="1"/>
  <c r="V59" i="1" s="1"/>
  <c r="L59" i="1"/>
  <c r="R58" i="1"/>
  <c r="AI58" i="1" s="1"/>
  <c r="L58" i="1"/>
  <c r="R57" i="1"/>
  <c r="V57" i="1" s="1"/>
  <c r="L57" i="1"/>
  <c r="T56" i="1"/>
  <c r="AH56" i="1" s="1"/>
  <c r="R56" i="1"/>
  <c r="AI56" i="1" s="1"/>
  <c r="L56" i="1"/>
  <c r="T55" i="1"/>
  <c r="AH55" i="1" s="1"/>
  <c r="R55" i="1"/>
  <c r="V55" i="1" s="1"/>
  <c r="L55" i="1"/>
  <c r="R54" i="1"/>
  <c r="AI54" i="1" s="1"/>
  <c r="L54" i="1"/>
  <c r="R53" i="1"/>
  <c r="V53" i="1" s="1"/>
  <c r="L53" i="1"/>
  <c r="T52" i="1"/>
  <c r="AH52" i="1" s="1"/>
  <c r="R52" i="1"/>
  <c r="AI52" i="1" s="1"/>
  <c r="L52" i="1"/>
  <c r="R51" i="1"/>
  <c r="V51" i="1" s="1"/>
  <c r="L51" i="1"/>
  <c r="R50" i="1"/>
  <c r="AI50" i="1" s="1"/>
  <c r="L50" i="1"/>
  <c r="T49" i="1"/>
  <c r="AH49" i="1" s="1"/>
  <c r="R49" i="1"/>
  <c r="AI49" i="1" s="1"/>
  <c r="L49" i="1"/>
  <c r="T48" i="1"/>
  <c r="AH48" i="1" s="1"/>
  <c r="R48" i="1"/>
  <c r="AI48" i="1" s="1"/>
  <c r="L48" i="1"/>
  <c r="T47" i="1"/>
  <c r="R47" i="1"/>
  <c r="AI47" i="1" s="1"/>
  <c r="L47" i="1"/>
  <c r="T46" i="1"/>
  <c r="R46" i="1"/>
  <c r="AI46" i="1" s="1"/>
  <c r="L46" i="1"/>
  <c r="T45" i="1"/>
  <c r="AH45" i="1" s="1"/>
  <c r="R45" i="1"/>
  <c r="AI45" i="1" s="1"/>
  <c r="L45" i="1"/>
  <c r="T44" i="1"/>
  <c r="R44" i="1"/>
  <c r="AI44" i="1" s="1"/>
  <c r="L44" i="1"/>
  <c r="T43" i="1"/>
  <c r="AH43" i="1" s="1"/>
  <c r="R43" i="1"/>
  <c r="AI43" i="1" s="1"/>
  <c r="L43" i="1"/>
  <c r="T42" i="1"/>
  <c r="AH42" i="1" s="1"/>
  <c r="R42" i="1"/>
  <c r="AI42" i="1" s="1"/>
  <c r="L42" i="1"/>
  <c r="V41" i="1"/>
  <c r="R41" i="1"/>
  <c r="S41" i="1" s="1"/>
  <c r="T41" i="1" s="1"/>
  <c r="L41" i="1"/>
  <c r="T40" i="1"/>
  <c r="AH40" i="1" s="1"/>
  <c r="R40" i="1"/>
  <c r="L40" i="1"/>
  <c r="T39" i="1"/>
  <c r="AH39" i="1" s="1"/>
  <c r="R39" i="1"/>
  <c r="AI39" i="1" s="1"/>
  <c r="L39" i="1"/>
  <c r="T38" i="1"/>
  <c r="U38" i="1" s="1"/>
  <c r="R38" i="1"/>
  <c r="V38" i="1" s="1"/>
  <c r="L38" i="1"/>
  <c r="R37" i="1"/>
  <c r="S37" i="1" s="1"/>
  <c r="T37" i="1" s="1"/>
  <c r="L37" i="1"/>
  <c r="T36" i="1"/>
  <c r="R36" i="1"/>
  <c r="AI36" i="1" s="1"/>
  <c r="L36" i="1"/>
  <c r="T35" i="1"/>
  <c r="AH35" i="1" s="1"/>
  <c r="R35" i="1"/>
  <c r="AI35" i="1" s="1"/>
  <c r="L35" i="1"/>
  <c r="AI34" i="1"/>
  <c r="V34" i="1"/>
  <c r="T34" i="1"/>
  <c r="AH34" i="1" s="1"/>
  <c r="R34" i="1"/>
  <c r="L34" i="1"/>
  <c r="R33" i="1"/>
  <c r="AI33" i="1" s="1"/>
  <c r="L33" i="1"/>
  <c r="R32" i="1"/>
  <c r="AI32" i="1" s="1"/>
  <c r="L32" i="1"/>
  <c r="T31" i="1"/>
  <c r="R31" i="1"/>
  <c r="AI31" i="1" s="1"/>
  <c r="L31" i="1"/>
  <c r="T30" i="1"/>
  <c r="U30" i="1" s="1"/>
  <c r="R30" i="1"/>
  <c r="AI30" i="1" s="1"/>
  <c r="L30" i="1"/>
  <c r="T29" i="1"/>
  <c r="AH29" i="1" s="1"/>
  <c r="R29" i="1"/>
  <c r="L29" i="1"/>
  <c r="T28" i="1"/>
  <c r="AH28" i="1" s="1"/>
  <c r="R28" i="1"/>
  <c r="AI28" i="1" s="1"/>
  <c r="L28" i="1"/>
  <c r="R27" i="1"/>
  <c r="V27" i="1" s="1"/>
  <c r="L27" i="1"/>
  <c r="T26" i="1"/>
  <c r="AH26" i="1" s="1"/>
  <c r="R26" i="1"/>
  <c r="AI26" i="1" s="1"/>
  <c r="L26" i="1"/>
  <c r="T25" i="1"/>
  <c r="R25" i="1"/>
  <c r="AI25" i="1" s="1"/>
  <c r="L25" i="1"/>
  <c r="T24" i="1"/>
  <c r="AH24" i="1" s="1"/>
  <c r="R24" i="1"/>
  <c r="AI24" i="1" s="1"/>
  <c r="L24" i="1"/>
  <c r="R23" i="1"/>
  <c r="S23" i="1" s="1"/>
  <c r="T23" i="1" s="1"/>
  <c r="L23" i="1"/>
  <c r="T22" i="1"/>
  <c r="AH22" i="1" s="1"/>
  <c r="R22" i="1"/>
  <c r="AI22" i="1" s="1"/>
  <c r="L22" i="1"/>
  <c r="R21" i="1"/>
  <c r="AI21" i="1" s="1"/>
  <c r="L21" i="1"/>
  <c r="R20" i="1"/>
  <c r="AI20" i="1" s="1"/>
  <c r="L20" i="1"/>
  <c r="AI19" i="1"/>
  <c r="R19" i="1"/>
  <c r="V19" i="1" s="1"/>
  <c r="L19" i="1"/>
  <c r="S18" i="1"/>
  <c r="T18" i="1" s="1"/>
  <c r="R18" i="1"/>
  <c r="AI18" i="1" s="1"/>
  <c r="L18" i="1"/>
  <c r="R17" i="1"/>
  <c r="V17" i="1" s="1"/>
  <c r="L17" i="1"/>
  <c r="R16" i="1"/>
  <c r="AI16" i="1" s="1"/>
  <c r="L16" i="1"/>
  <c r="R15" i="1"/>
  <c r="AI15" i="1" s="1"/>
  <c r="L15" i="1"/>
  <c r="R14" i="1"/>
  <c r="V14" i="1" s="1"/>
  <c r="L14" i="1"/>
  <c r="T13" i="1"/>
  <c r="AH13" i="1" s="1"/>
  <c r="R13" i="1"/>
  <c r="AI13" i="1" s="1"/>
  <c r="L13" i="1"/>
  <c r="T12" i="1"/>
  <c r="R12" i="1"/>
  <c r="AI12" i="1" s="1"/>
  <c r="L12" i="1"/>
  <c r="T11" i="1"/>
  <c r="AH11" i="1" s="1"/>
  <c r="R11" i="1"/>
  <c r="AI11" i="1" s="1"/>
  <c r="L11" i="1"/>
  <c r="T10" i="1"/>
  <c r="AH10" i="1" s="1"/>
  <c r="R10" i="1"/>
  <c r="V10" i="1" s="1"/>
  <c r="L10" i="1"/>
  <c r="T9" i="1"/>
  <c r="AH9" i="1" s="1"/>
  <c r="R9" i="1"/>
  <c r="V9" i="1" s="1"/>
  <c r="L9" i="1"/>
  <c r="R8" i="1"/>
  <c r="AI8" i="1" s="1"/>
  <c r="L8" i="1"/>
  <c r="R7" i="1"/>
  <c r="V7" i="1" s="1"/>
  <c r="L7" i="1"/>
  <c r="R6" i="1"/>
  <c r="S6" i="1" s="1"/>
  <c r="L6" i="1"/>
  <c r="AF5" i="1"/>
  <c r="AE5" i="1"/>
  <c r="AD5" i="1"/>
  <c r="AC5" i="1"/>
  <c r="AB5" i="1"/>
  <c r="AA5" i="1"/>
  <c r="Z5" i="1"/>
  <c r="Y5" i="1"/>
  <c r="X5" i="1"/>
  <c r="W5" i="1"/>
  <c r="Q5" i="1"/>
  <c r="P5" i="1"/>
  <c r="O5" i="1"/>
  <c r="N5" i="1"/>
  <c r="M5" i="1"/>
  <c r="K5" i="1"/>
  <c r="F5" i="1"/>
  <c r="E5" i="1"/>
  <c r="U44" i="1" l="1"/>
  <c r="V44" i="1"/>
  <c r="AI72" i="1"/>
  <c r="U104" i="1"/>
  <c r="S80" i="1"/>
  <c r="T80" i="1" s="1"/>
  <c r="U12" i="1"/>
  <c r="S33" i="1"/>
  <c r="T33" i="1" s="1"/>
  <c r="V52" i="1"/>
  <c r="U99" i="1"/>
  <c r="V6" i="1"/>
  <c r="S21" i="1"/>
  <c r="T21" i="1" s="1"/>
  <c r="AI60" i="1"/>
  <c r="V123" i="1"/>
  <c r="AI6" i="1"/>
  <c r="V21" i="1"/>
  <c r="V87" i="1"/>
  <c r="V106" i="1"/>
  <c r="AI106" i="1"/>
  <c r="U29" i="1"/>
  <c r="U47" i="1"/>
  <c r="AI75" i="1"/>
  <c r="V95" i="1"/>
  <c r="V69" i="1"/>
  <c r="AH95" i="1"/>
  <c r="V23" i="1"/>
  <c r="V89" i="1"/>
  <c r="AI17" i="1"/>
  <c r="V30" i="1"/>
  <c r="U96" i="1"/>
  <c r="U113" i="1"/>
  <c r="V119" i="1"/>
  <c r="AH30" i="1"/>
  <c r="U90" i="1"/>
  <c r="AH96" i="1"/>
  <c r="V109" i="1"/>
  <c r="AI14" i="1"/>
  <c r="U25" i="1"/>
  <c r="U40" i="1"/>
  <c r="V61" i="1"/>
  <c r="U66" i="1"/>
  <c r="U101" i="1"/>
  <c r="U129" i="1"/>
  <c r="AI61" i="1"/>
  <c r="AI81" i="1"/>
  <c r="V97" i="1"/>
  <c r="U107" i="1"/>
  <c r="V76" i="1"/>
  <c r="AH107" i="1"/>
  <c r="V115" i="1"/>
  <c r="AI120" i="1"/>
  <c r="S130" i="1"/>
  <c r="T130" i="1" s="1"/>
  <c r="AH130" i="1" s="1"/>
  <c r="U31" i="1"/>
  <c r="U45" i="1"/>
  <c r="AI62" i="1"/>
  <c r="AI76" i="1"/>
  <c r="V102" i="1"/>
  <c r="V130" i="1"/>
  <c r="AH31" i="1"/>
  <c r="V56" i="1"/>
  <c r="V67" i="1"/>
  <c r="AI87" i="1"/>
  <c r="AI10" i="1"/>
  <c r="V16" i="1"/>
  <c r="U36" i="1"/>
  <c r="AI41" i="1"/>
  <c r="S51" i="1"/>
  <c r="T51" i="1" s="1"/>
  <c r="AH51" i="1" s="1"/>
  <c r="V71" i="1"/>
  <c r="U94" i="1"/>
  <c r="V98" i="1"/>
  <c r="AI51" i="1"/>
  <c r="AI98" i="1"/>
  <c r="V108" i="1"/>
  <c r="U26" i="1"/>
  <c r="S16" i="1"/>
  <c r="T16" i="1" s="1"/>
  <c r="U16" i="1" s="1"/>
  <c r="AI27" i="1"/>
  <c r="U46" i="1"/>
  <c r="V77" i="1"/>
  <c r="V83" i="1"/>
  <c r="V116" i="1"/>
  <c r="S122" i="1"/>
  <c r="T122" i="1" s="1"/>
  <c r="AH122" i="1" s="1"/>
  <c r="V127" i="1"/>
  <c r="S32" i="1"/>
  <c r="T32" i="1" s="1"/>
  <c r="V22" i="1"/>
  <c r="V32" i="1"/>
  <c r="V37" i="1"/>
  <c r="V46" i="1"/>
  <c r="AI57" i="1"/>
  <c r="V122" i="1"/>
  <c r="U131" i="1"/>
  <c r="S17" i="1"/>
  <c r="T17" i="1" s="1"/>
  <c r="AI37" i="1"/>
  <c r="V42" i="1"/>
  <c r="U52" i="1"/>
  <c r="S64" i="1"/>
  <c r="T64" i="1" s="1"/>
  <c r="AH64" i="1" s="1"/>
  <c r="U68" i="1"/>
  <c r="V72" i="1"/>
  <c r="V131" i="1"/>
  <c r="AI64" i="1"/>
  <c r="V68" i="1"/>
  <c r="U84" i="1"/>
  <c r="U109" i="1"/>
  <c r="AI23" i="1"/>
  <c r="V33" i="1"/>
  <c r="AH38" i="1"/>
  <c r="U65" i="1"/>
  <c r="U79" i="1"/>
  <c r="AI84" i="1"/>
  <c r="V105" i="1"/>
  <c r="AI123" i="1"/>
  <c r="V128" i="1"/>
  <c r="U132" i="1"/>
  <c r="AI38" i="1"/>
  <c r="V65" i="1"/>
  <c r="AI105" i="1"/>
  <c r="AH132" i="1"/>
  <c r="AI7" i="1"/>
  <c r="U13" i="1"/>
  <c r="AI53" i="1"/>
  <c r="V60" i="1"/>
  <c r="AH65" i="1"/>
  <c r="V48" i="1"/>
  <c r="S124" i="1"/>
  <c r="T124" i="1" s="1"/>
  <c r="AH124" i="1" s="1"/>
  <c r="S91" i="1"/>
  <c r="T91" i="1" s="1"/>
  <c r="AH76" i="1"/>
  <c r="U76" i="1"/>
  <c r="AH87" i="1"/>
  <c r="U87" i="1"/>
  <c r="U130" i="1"/>
  <c r="U75" i="1"/>
  <c r="AH75" i="1"/>
  <c r="AH21" i="1"/>
  <c r="U21" i="1"/>
  <c r="AH41" i="1"/>
  <c r="U41" i="1"/>
  <c r="U98" i="1"/>
  <c r="AH98" i="1"/>
  <c r="AH61" i="1"/>
  <c r="U61" i="1"/>
  <c r="U32" i="1"/>
  <c r="AH32" i="1"/>
  <c r="AH37" i="1"/>
  <c r="U37" i="1"/>
  <c r="AH72" i="1"/>
  <c r="U72" i="1"/>
  <c r="U51" i="1"/>
  <c r="L5" i="1"/>
  <c r="AH17" i="1"/>
  <c r="U17" i="1"/>
  <c r="T6" i="1"/>
  <c r="AH23" i="1"/>
  <c r="U23" i="1"/>
  <c r="U123" i="1"/>
  <c r="AH123" i="1"/>
  <c r="AH127" i="1"/>
  <c r="U127" i="1"/>
  <c r="AH33" i="1"/>
  <c r="U33" i="1"/>
  <c r="AH105" i="1"/>
  <c r="U105" i="1"/>
  <c r="AH18" i="1"/>
  <c r="U18" i="1"/>
  <c r="AH60" i="1"/>
  <c r="U60" i="1"/>
  <c r="AH74" i="1"/>
  <c r="U74" i="1"/>
  <c r="AH80" i="1"/>
  <c r="U80" i="1"/>
  <c r="U106" i="1"/>
  <c r="AH106" i="1"/>
  <c r="U91" i="1"/>
  <c r="AH91" i="1"/>
  <c r="U112" i="1"/>
  <c r="U9" i="1"/>
  <c r="U115" i="1"/>
  <c r="S118" i="1"/>
  <c r="T118" i="1" s="1"/>
  <c r="U71" i="1"/>
  <c r="U55" i="1"/>
  <c r="V47" i="1"/>
  <c r="S58" i="1"/>
  <c r="T58" i="1" s="1"/>
  <c r="V79" i="1"/>
  <c r="V90" i="1"/>
  <c r="S15" i="1"/>
  <c r="T15" i="1" s="1"/>
  <c r="S20" i="1"/>
  <c r="T20" i="1" s="1"/>
  <c r="V36" i="1"/>
  <c r="AH79" i="1"/>
  <c r="U82" i="1"/>
  <c r="AH90" i="1"/>
  <c r="AH101" i="1"/>
  <c r="V104" i="1"/>
  <c r="R126" i="1"/>
  <c r="AI126" i="1" s="1"/>
  <c r="S7" i="1"/>
  <c r="T7" i="1" s="1"/>
  <c r="AI9" i="1"/>
  <c r="AH12" i="1"/>
  <c r="AH25" i="1"/>
  <c r="U28" i="1"/>
  <c r="AH36" i="1"/>
  <c r="U39" i="1"/>
  <c r="V50" i="1"/>
  <c r="S53" i="1"/>
  <c r="T53" i="1" s="1"/>
  <c r="AI55" i="1"/>
  <c r="V63" i="1"/>
  <c r="V74" i="1"/>
  <c r="V82" i="1"/>
  <c r="U85" i="1"/>
  <c r="U93" i="1"/>
  <c r="AI101" i="1"/>
  <c r="AH104" i="1"/>
  <c r="V118" i="1"/>
  <c r="U22" i="1"/>
  <c r="S50" i="1"/>
  <c r="T50" i="1" s="1"/>
  <c r="AH44" i="1"/>
  <c r="V12" i="1"/>
  <c r="V25" i="1"/>
  <c r="AH47" i="1"/>
  <c r="U63" i="1"/>
  <c r="S121" i="1"/>
  <c r="T121" i="1" s="1"/>
  <c r="V28" i="1"/>
  <c r="V39" i="1"/>
  <c r="V58" i="1"/>
  <c r="V85" i="1"/>
  <c r="S88" i="1"/>
  <c r="T88" i="1" s="1"/>
  <c r="V93" i="1"/>
  <c r="V15" i="1"/>
  <c r="V20" i="1"/>
  <c r="V31" i="1"/>
  <c r="U42" i="1"/>
  <c r="V66" i="1"/>
  <c r="U69" i="1"/>
  <c r="AI74" i="1"/>
  <c r="U77" i="1"/>
  <c r="V96" i="1"/>
  <c r="V107" i="1"/>
  <c r="U110" i="1"/>
  <c r="V121" i="1"/>
  <c r="U10" i="1"/>
  <c r="U34" i="1"/>
  <c r="V45" i="1"/>
  <c r="U48" i="1"/>
  <c r="U56" i="1"/>
  <c r="V88" i="1"/>
  <c r="V99" i="1"/>
  <c r="U102" i="1"/>
  <c r="V113" i="1"/>
  <c r="U116" i="1"/>
  <c r="V129" i="1"/>
  <c r="V13" i="1"/>
  <c r="V18" i="1"/>
  <c r="V26" i="1"/>
  <c r="S59" i="1"/>
  <c r="T59" i="1" s="1"/>
  <c r="V80" i="1"/>
  <c r="U83" i="1"/>
  <c r="V91" i="1"/>
  <c r="U119" i="1"/>
  <c r="V124" i="1"/>
  <c r="V132" i="1"/>
  <c r="S8" i="1"/>
  <c r="T8" i="1" s="1"/>
  <c r="V29" i="1"/>
  <c r="V40" i="1"/>
  <c r="S54" i="1"/>
  <c r="T54" i="1" s="1"/>
  <c r="U67" i="1"/>
  <c r="S78" i="1"/>
  <c r="T78" i="1" s="1"/>
  <c r="V86" i="1"/>
  <c r="V94" i="1"/>
  <c r="U97" i="1"/>
  <c r="U108" i="1"/>
  <c r="U111" i="1"/>
  <c r="U86" i="1"/>
  <c r="V43" i="1"/>
  <c r="AI94" i="1"/>
  <c r="U100" i="1"/>
  <c r="V111" i="1"/>
  <c r="U114" i="1"/>
  <c r="V8" i="1"/>
  <c r="S14" i="1"/>
  <c r="T14" i="1" s="1"/>
  <c r="S19" i="1"/>
  <c r="T19" i="1" s="1"/>
  <c r="U24" i="1"/>
  <c r="S27" i="1"/>
  <c r="T27" i="1" s="1"/>
  <c r="U35" i="1"/>
  <c r="V54" i="1"/>
  <c r="AI59" i="1"/>
  <c r="U73" i="1"/>
  <c r="V78" i="1"/>
  <c r="S92" i="1"/>
  <c r="T92" i="1" s="1"/>
  <c r="U103" i="1"/>
  <c r="U117" i="1"/>
  <c r="AI29" i="1"/>
  <c r="U11" i="1"/>
  <c r="U133" i="1"/>
  <c r="AI40" i="1"/>
  <c r="S57" i="1"/>
  <c r="T57" i="1" s="1"/>
  <c r="S62" i="1"/>
  <c r="T62" i="1" s="1"/>
  <c r="V70" i="1"/>
  <c r="U89" i="1"/>
  <c r="U49" i="1"/>
  <c r="AH46" i="1"/>
  <c r="U120" i="1"/>
  <c r="V125" i="1"/>
  <c r="V133" i="1"/>
  <c r="U43" i="1"/>
  <c r="U70" i="1"/>
  <c r="V11" i="1"/>
  <c r="V24" i="1"/>
  <c r="V35" i="1"/>
  <c r="V49" i="1"/>
  <c r="V73" i="1"/>
  <c r="U81" i="1"/>
  <c r="V103" i="1"/>
  <c r="V117" i="1"/>
  <c r="U125" i="1"/>
  <c r="U64" i="1" l="1"/>
  <c r="U122" i="1"/>
  <c r="AI5" i="1"/>
  <c r="U124" i="1"/>
  <c r="AH16" i="1"/>
  <c r="S5" i="1"/>
  <c r="U6" i="1"/>
  <c r="T5" i="1"/>
  <c r="AH6" i="1"/>
  <c r="U126" i="1"/>
  <c r="AH20" i="1"/>
  <c r="U20" i="1"/>
  <c r="AH88" i="1"/>
  <c r="U88" i="1"/>
  <c r="AH15" i="1"/>
  <c r="U15" i="1"/>
  <c r="U92" i="1"/>
  <c r="AH92" i="1"/>
  <c r="AH78" i="1"/>
  <c r="U78" i="1"/>
  <c r="AH53" i="1"/>
  <c r="U53" i="1"/>
  <c r="AH58" i="1"/>
  <c r="U58" i="1"/>
  <c r="AH54" i="1"/>
  <c r="U54" i="1"/>
  <c r="AH121" i="1"/>
  <c r="U121" i="1"/>
  <c r="R5" i="1"/>
  <c r="U14" i="1"/>
  <c r="AH14" i="1"/>
  <c r="AH8" i="1"/>
  <c r="U8" i="1"/>
  <c r="AH118" i="1"/>
  <c r="U118" i="1"/>
  <c r="U19" i="1"/>
  <c r="AH19" i="1"/>
  <c r="AH62" i="1"/>
  <c r="U62" i="1"/>
  <c r="V126" i="1"/>
  <c r="U27" i="1"/>
  <c r="AH27" i="1"/>
  <c r="AH57" i="1"/>
  <c r="U57" i="1"/>
  <c r="AH59" i="1"/>
  <c r="U59" i="1"/>
  <c r="AH50" i="1"/>
  <c r="U50" i="1"/>
  <c r="AH7" i="1"/>
  <c r="U7" i="1"/>
  <c r="AH5" i="1" l="1"/>
</calcChain>
</file>

<file path=xl/sharedStrings.xml><?xml version="1.0" encoding="utf-8"?>
<sst xmlns="http://schemas.openxmlformats.org/spreadsheetml/2006/main" count="782" uniqueCount="431">
  <si>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</si>
  <si>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</si>
  <si>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</si>
  <si>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</si>
  <si>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</si>
  <si>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</si>
  <si>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</si>
  <si>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</si>
  <si>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</si>
  <si>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</si>
  <si>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</si>
  <si>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</si>
  <si>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</si>
  <si>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</si>
  <si>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</si>
  <si>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</si>
  <si>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</si>
  <si>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</si>
  <si>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</si>
  <si>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</si>
  <si>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</si>
  <si>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</si>
  <si>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</si>
  <si>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</si>
  <si>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24,08,</t>
  </si>
  <si>
    <t>24,08,недогр</t>
  </si>
  <si>
    <t>24,08,доз</t>
  </si>
  <si>
    <t>25,08,</t>
  </si>
  <si>
    <t>29,08,</t>
  </si>
  <si>
    <t>20,08,</t>
  </si>
  <si>
    <t>18,08,</t>
  </si>
  <si>
    <t>13,08,</t>
  </si>
  <si>
    <t>11,08,</t>
  </si>
  <si>
    <t>06,08,</t>
  </si>
  <si>
    <t>04,08,</t>
  </si>
  <si>
    <t>30,07,</t>
  </si>
  <si>
    <t>28,07,</t>
  </si>
  <si>
    <t>23,07,</t>
  </si>
  <si>
    <t>21,07,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</si>
  <si>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</si>
  <si>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</si>
  <si>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</si>
  <si>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</si>
  <si>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</si>
  <si>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</si>
  <si>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</si>
  <si>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</si>
  <si>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</si>
  <si>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</si>
  <si>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</si>
  <si>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</si>
  <si>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</si>
  <si>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</si>
  <si>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</si>
  <si>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</si>
  <si>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</si>
  <si>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нет потребности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</si>
  <si>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</si>
  <si>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</si>
  <si>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</si>
  <si>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</si>
  <si>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</si>
  <si>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</si>
  <si>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</si>
  <si>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</si>
  <si>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</si>
  <si>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</si>
  <si>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</si>
  <si>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</si>
  <si>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</si>
  <si>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</si>
  <si>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</si>
  <si>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</si>
  <si>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</si>
  <si>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</si>
  <si>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</si>
  <si>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</si>
  <si>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</si>
  <si>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</si>
  <si>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</si>
  <si>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</si>
  <si>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</si>
  <si>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</si>
  <si>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243  Колбаса Сервелат Зернистый, ВЕС.  ПОКОМ</t>
  </si>
  <si>
    <t>не в матрице</t>
  </si>
  <si>
    <t>SU001820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</si>
  <si>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</si>
  <si>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</si>
  <si>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</si>
  <si>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</si>
  <si>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</si>
  <si>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</si>
  <si>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</si>
  <si>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</si>
  <si>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</si>
  <si>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</si>
  <si>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</si>
  <si>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</si>
  <si>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</si>
  <si>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</si>
  <si>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</si>
  <si>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</si>
  <si>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266  Колбаса Филейбургская с сочным окороком, ВЕС, ТМ Баварушка  ПОКОМ</t>
  </si>
  <si>
    <t>SU002613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</si>
  <si>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</si>
  <si>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</si>
  <si>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</si>
  <si>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</si>
  <si>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</si>
  <si>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</si>
  <si>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</si>
  <si>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</si>
  <si>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</si>
  <si>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</si>
  <si>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</si>
  <si>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</si>
  <si>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</si>
  <si>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</si>
  <si>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</si>
  <si>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</si>
  <si>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</si>
  <si>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</si>
  <si>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</si>
  <si>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</si>
  <si>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</si>
  <si>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</si>
  <si>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304  Колбаса Салями Мясорубская с рубленным шпиком ВЕС ТМ Стародворье  ПОКОМ</t>
  </si>
  <si>
    <t>SU002876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</si>
  <si>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</si>
  <si>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</si>
  <si>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</si>
  <si>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</si>
  <si>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</si>
  <si>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</si>
  <si>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</si>
  <si>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</si>
  <si>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</si>
  <si>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</si>
  <si>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</si>
  <si>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</si>
  <si>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</si>
  <si>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</si>
  <si>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</si>
  <si>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</si>
  <si>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</si>
  <si>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</si>
  <si>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</si>
  <si>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</si>
  <si>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</si>
  <si>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</si>
  <si>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</si>
  <si>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</si>
  <si>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</si>
  <si>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</si>
  <si>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</si>
  <si>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</si>
  <si>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</si>
  <si>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</si>
  <si>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</si>
  <si>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</si>
  <si>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</si>
  <si>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80кг задача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</si>
  <si>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</si>
  <si>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</si>
  <si>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</si>
  <si>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</si>
  <si>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</si>
  <si>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</si>
  <si>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</si>
  <si>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</si>
  <si>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</si>
  <si>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</si>
  <si>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</si>
  <si>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</si>
  <si>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</si>
  <si>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</si>
  <si>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</si>
  <si>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</si>
  <si>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</si>
  <si>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</si>
  <si>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</si>
  <si>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</si>
  <si>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</si>
  <si>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</si>
  <si>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</si>
  <si>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</si>
  <si>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</si>
  <si>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</si>
  <si>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</si>
  <si>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</si>
  <si>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</si>
  <si>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</si>
  <si>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</si>
  <si>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</si>
  <si>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</si>
  <si>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</si>
  <si>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</si>
  <si>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</si>
  <si>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нужно увеличить продажи!!!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</si>
  <si>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</si>
  <si>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</si>
  <si>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</si>
  <si>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</si>
  <si>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</si>
  <si>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</si>
  <si>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</si>
  <si>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</si>
  <si>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</si>
  <si>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435  Колбаса Молочная Стародворская  с молоком в оболочке полиамид 0,4 кг.ТМ Стародворье ПОКОМ</t>
  </si>
  <si>
    <t>SU003274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</si>
  <si>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</si>
  <si>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</si>
  <si>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</si>
  <si>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</si>
  <si>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</si>
  <si>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</si>
  <si>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</si>
  <si>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</si>
  <si>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</si>
  <si>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</si>
  <si>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</si>
  <si>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</si>
  <si>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</si>
  <si>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</si>
  <si>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</si>
  <si>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</si>
  <si>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</si>
  <si>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</si>
  <si>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</si>
  <si>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</si>
  <si>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</si>
  <si>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</si>
  <si>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</si>
  <si>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</si>
  <si>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</si>
  <si>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</si>
  <si>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530  Окорок Хамон выдержанный нарезка 0,055кг ТМ Стародворье  ПОКОМ</t>
  </si>
  <si>
    <t>нет в бланке</t>
  </si>
  <si>
    <t>SU003923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</si>
  <si>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</si>
  <si>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</si>
  <si>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</si>
  <si>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</si>
  <si>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</si>
  <si>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</si>
  <si>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</si>
  <si>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</si>
  <si>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</si>
  <si>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</si>
  <si>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</si>
  <si>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</si>
  <si>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</si>
  <si>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</si>
  <si>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</si>
  <si>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</si>
  <si>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</si>
  <si>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</si>
  <si>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</si>
  <si>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</si>
  <si>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</si>
  <si>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</si>
  <si>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</si>
  <si>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</si>
  <si>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</si>
  <si>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</si>
  <si>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</si>
  <si>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</si>
  <si>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</si>
  <si>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</si>
  <si>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</si>
  <si>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</si>
  <si>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</si>
  <si>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</si>
  <si>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</si>
  <si>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</si>
  <si>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</si>
  <si>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</si>
  <si>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</si>
  <si>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</si>
  <si>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</si>
  <si>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</si>
  <si>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</si>
  <si>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</si>
  <si>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</si>
  <si>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</si>
  <si>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</si>
  <si>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</si>
  <si>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</si>
  <si>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новинка / 500шт Боярко (05,08,26)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</si>
  <si>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</si>
  <si>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</si>
  <si>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</si>
  <si>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</si>
  <si>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</si>
  <si>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</si>
  <si>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</si>
  <si>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</si>
  <si>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159 шт списание (04,07,26 - инвентаризация)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</si>
  <si>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</si>
  <si>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</si>
  <si>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</si>
  <si>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</si>
  <si>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</si>
  <si>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</si>
  <si>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</si>
  <si>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</si>
  <si>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</si>
  <si>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Код единицы продаж</t>
  </si>
  <si>
    <t>Название</t>
  </si>
  <si>
    <t>Заказано, кг</t>
  </si>
  <si>
    <t>Согласовано, кг</t>
  </si>
  <si>
    <t>Отгружено, кг</t>
  </si>
  <si>
    <t>Недогруз/урезание, кг</t>
  </si>
  <si>
    <t> SU000227 </t>
  </si>
  <si>
    <t> Сардельки «Стародворские с говядиной» Весовые NDX ТМ «Стародворье» </t>
  </si>
  <si>
    <t> 187 </t>
  </si>
  <si>
    <t> 94 </t>
  </si>
  <si>
    <t> 95 </t>
  </si>
  <si>
    <t> -92 </t>
  </si>
  <si>
    <t> SU000246 </t>
  </si>
  <si>
    <t> Сосиски «Молочные оригинальные» Весовой п/а ТМ «Особый рецепт» </t>
  </si>
  <si>
    <t> 18 </t>
  </si>
  <si>
    <t> 0 </t>
  </si>
  <si>
    <t> -18 </t>
  </si>
  <si>
    <t> SU002151 </t>
  </si>
  <si>
    <t> В/к колбасы «Сервелат Запеченный» Весовые Вектор ТМ «Дугушка» </t>
  </si>
  <si>
    <t> 153 </t>
  </si>
  <si>
    <t> -153 </t>
  </si>
  <si>
    <t> SU002158 </t>
  </si>
  <si>
    <t> В/к колбасы «Салями Запеченая» Весовые ТМ «Дугушка» </t>
  </si>
  <si>
    <t> 174 </t>
  </si>
  <si>
    <t> -174 </t>
  </si>
  <si>
    <t> SU002205 </t>
  </si>
  <si>
    <t> Сосиски «Молочные для завтрака» Фикс.вес 0,4 П/а мгс ТМ «Особый рецепт» </t>
  </si>
  <si>
    <t> 10 </t>
  </si>
  <si>
    <t> -10 </t>
  </si>
  <si>
    <t> SU002252 </t>
  </si>
  <si>
    <t> П/к колбасы Кракушка пряная с сальцем Бавария Фикс.вес 0,3 н/о в/у Стародворье </t>
  </si>
  <si>
    <t> 9 </t>
  </si>
  <si>
    <t> -9 </t>
  </si>
  <si>
    <t> SU002287 </t>
  </si>
  <si>
    <t> Сардельки «Сочные» Весовой п/а ТМ «Особый рецепт» </t>
  </si>
  <si>
    <t> 54 </t>
  </si>
  <si>
    <t> -54 </t>
  </si>
  <si>
    <t> SU002621 </t>
  </si>
  <si>
    <t> Сосиски «Сочинки с сочным окороком» Фикс.вес 0,4 П/а мгс ТМ «Стародворье» </t>
  </si>
  <si>
    <t> 29 </t>
  </si>
  <si>
    <t> -29 </t>
  </si>
  <si>
    <t> SU002655 </t>
  </si>
  <si>
    <t> Сосиски «Датские» Весовой п/а ТМ «Зареченские продукты» </t>
  </si>
  <si>
    <t> 27 </t>
  </si>
  <si>
    <t> -27 </t>
  </si>
  <si>
    <t> SU002660 </t>
  </si>
  <si>
    <t> Колбаса Мясорубская ТМ Стародворье с рубленой грудинкой в оболочке фиброуз в вакуумной упаковке 0,35 кг срез </t>
  </si>
  <si>
    <t> 17 </t>
  </si>
  <si>
    <t> -17 </t>
  </si>
  <si>
    <t> SU002756 </t>
  </si>
  <si>
    <t> Колбаса Мясорубская ТМ Стародворье с рубленой грудинкой в оболочке фиброуз в вакуумной упаковке </t>
  </si>
  <si>
    <t> SU002758 </t>
  </si>
  <si>
    <t> Сардельки «Сочинки» Фикс.вес 0,4 п/а ТМ «Стародворье» </t>
  </si>
  <si>
    <t> 19 </t>
  </si>
  <si>
    <t> -19 </t>
  </si>
  <si>
    <t> SU002847 </t>
  </si>
  <si>
    <t> В/к колбасы Сервелат Мясорубский с мелкорубленным окороком Бордо Весовой фиброуз Стародворье </t>
  </si>
  <si>
    <t> SU002848 </t>
  </si>
  <si>
    <t> В/к колбасы Сервелат Мясорубский с мелкорубленным окороком срез Бордо Фикс.вес 0,35 фиброуз Стародворье </t>
  </si>
  <si>
    <t> 48 </t>
  </si>
  <si>
    <t> -48 </t>
  </si>
  <si>
    <t> SU002941 </t>
  </si>
  <si>
    <t> В/к колбасы «Сочинка по-европейски с сочной грудинкой» Весовой фиброуз ТМ «Стародворье» </t>
  </si>
  <si>
    <t> 76 </t>
  </si>
  <si>
    <t> -76 </t>
  </si>
  <si>
    <t> SU002942 </t>
  </si>
  <si>
    <t> В/к колбасы «Сочинка по-фински с сочным окороком» срез Фикс.вес 0,3 фиброуз ТМ «Стародворье» </t>
  </si>
  <si>
    <t> 5 </t>
  </si>
  <si>
    <t> -5 </t>
  </si>
  <si>
    <t> SU002943 </t>
  </si>
  <si>
    <t> В/к колбасы «Сочинка по-фински с сочным окороком» Весовой фиброуз ТМ «Стародворье» </t>
  </si>
  <si>
    <t> 70 </t>
  </si>
  <si>
    <t> -70 </t>
  </si>
  <si>
    <t> SU002944 </t>
  </si>
  <si>
    <t> В/к колбасы «Сочинка по-европейски с сочной грудинкой» срез Фикс.вес 0,3 фиброуз ТМ «Стародворье» </t>
  </si>
  <si>
    <t> 16 </t>
  </si>
  <si>
    <t> -16 </t>
  </si>
  <si>
    <t> SU002945 </t>
  </si>
  <si>
    <t> П/к колбасы «Сочинка зернистая с сочной грудинкой» Весовой фиброуз ТМ «Стародворье» </t>
  </si>
  <si>
    <t> 308 </t>
  </si>
  <si>
    <t> -308 </t>
  </si>
  <si>
    <t> SU002947 </t>
  </si>
  <si>
    <t> П/к колбасы «Сочинка рубленая с сочным окороком» Весовой фиброуз ТМ «Стародворье» </t>
  </si>
  <si>
    <t> 113 </t>
  </si>
  <si>
    <t> -113 </t>
  </si>
  <si>
    <t> SU002948 </t>
  </si>
  <si>
    <t> П/к колбасы «Сочинка рубленая с сочным окороком» срез Фикс.вес 0,3 фиброуз ТМ «Стародворье» </t>
  </si>
  <si>
    <t> SU003168 </t>
  </si>
  <si>
    <t> Сосиски «Баварские с сыром» Фикс.вес 0,35 п/а ТМ «Стародворье» </t>
  </si>
  <si>
    <t> 4 </t>
  </si>
  <si>
    <t> -4 </t>
  </si>
  <si>
    <t> SU003829 </t>
  </si>
  <si>
    <t> Копченые колбасы «Сервелат Мясорубский Делюкс» Фикс.вес 0,3 фиброуз ТМ «Стародворье» </t>
  </si>
  <si>
    <t> SU003893 </t>
  </si>
  <si>
    <t> Сырокопченые колбасы «Сальчичон» Фикс.вес 0,07 нарезка ТМ «Стародворье» </t>
  </si>
  <si>
    <t> SU003921 </t>
  </si>
  <si>
    <t> Деликатесы в/к «Грудинка копчено-вареная» Фикс.вес 0,12 нарезка ТМ «Стародворье» </t>
  </si>
  <si>
    <t> 7 </t>
  </si>
  <si>
    <t> -7 </t>
  </si>
  <si>
    <t> SU004039 </t>
  </si>
  <si>
    <t> Копченые колбасы «Балыковая» Фикс.вес 0,28 фиброуз срез ТМ «Вязанка» </t>
  </si>
  <si>
    <t> 62 </t>
  </si>
  <si>
    <t> -62 </t>
  </si>
  <si>
    <t> SU004041 </t>
  </si>
  <si>
    <t> Копченые колбасы «Балыковая» Весовой фиброуз ТМ «Вязанка» </t>
  </si>
  <si>
    <t> 56 </t>
  </si>
  <si>
    <t> -56 </t>
  </si>
  <si>
    <t> SU004042 </t>
  </si>
  <si>
    <t> Копченые колбасы «Сервелат Ореховый» Фикс.вес 0,28 фиброуз срез ТМ «Вязанка» </t>
  </si>
  <si>
    <t> 20 </t>
  </si>
  <si>
    <t> -20 </t>
  </si>
  <si>
    <t> SU004044 </t>
  </si>
  <si>
    <t> Копченые колбасы «Сервелат Ореховый» Весовой фиброуз ТМ «Вязанка» </t>
  </si>
  <si>
    <t> 46 </t>
  </si>
  <si>
    <t> -46 </t>
  </si>
  <si>
    <t> SU004045 </t>
  </si>
  <si>
    <t> Копченые колбасы «Сервелат Финский» Фикс.вес 0,28 фиброуз срез ТМ «Вязанка» </t>
  </si>
  <si>
    <t> 13 </t>
  </si>
  <si>
    <t> -13 </t>
  </si>
  <si>
    <t> ИТОГО </t>
  </si>
  <si>
    <t> 6 103 </t>
  </si>
  <si>
    <t> 4 572 </t>
  </si>
  <si>
    <t> 4 605 </t>
  </si>
  <si>
    <t> -1 498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</si>
</sst>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164" fontId="4" fillId="6" borderId="1" xfId="1" applyNumberFormat="1" applyFont="1" applyFill="1"/>
    <xf numFmtId="164" fontId="5" fillId="7" borderId="1" xfId="1" applyNumberFormat="1" applyFont="1" applyFill="1"/>
    <xf numFmtId="165" fontId="1" fillId="0" borderId="1" xfId="1" applyNumberFormat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G18" sqref="AG1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28515625" customWidth="1"/>
    <col min="10" max="10" width="1" customWidth="1"/>
    <col min="11" max="12" width="7" customWidth="1"/>
    <col min="13" max="14" width="0.5703125" customWidth="1"/>
    <col min="15" max="20" width="7" customWidth="1"/>
    <col min="21" max="22" width="5" customWidth="1"/>
    <col min="23" max="32" width="6" customWidth="1"/>
    <col min="33" max="33" width="40.85546875" customWidth="1"/>
    <col min="34" max="34" width="7" customWidth="1"/>
    <col min="35" max="35" width="7.7109375" customWidth="1"/>
  </cols>
  <sheetData>
    <row r="1" spans="1:3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5">
        <v>-0.7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 t="s">
        <v>0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36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16</v>
      </c>
      <c r="S3" s="3" t="s">
        <v>17</v>
      </c>
      <c r="T3" s="3" t="s">
        <v>18</v>
      </c>
      <c r="U3" s="2" t="s">
        <v>19</v>
      </c>
      <c r="V3" s="2" t="s">
        <v>20</v>
      </c>
      <c r="W3" s="2" t="s">
        <v>21</v>
      </c>
      <c r="X3" s="2" t="s">
        <v>21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22</v>
      </c>
      <c r="AH3" s="2" t="s">
        <v>23</v>
      </c>
      <c r="AI3" s="1"/>
    </row>
    <row r="4" spans="1:3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27</v>
      </c>
      <c r="S4" s="1"/>
      <c r="T4" s="1" t="s">
        <v>28</v>
      </c>
      <c r="U4" s="1"/>
      <c r="V4" s="1"/>
      <c r="W4" s="1" t="s">
        <v>29</v>
      </c>
      <c r="X4" s="1" t="s">
        <v>30</v>
      </c>
      <c r="Y4" s="1" t="s">
        <v>31</v>
      </c>
      <c r="Z4" s="1" t="s">
        <v>32</v>
      </c>
      <c r="AA4" s="1" t="s">
        <v>33</v>
      </c>
      <c r="AB4" s="1" t="s">
        <v>34</v>
      </c>
      <c r="AC4" s="1" t="s">
        <v>35</v>
      </c>
      <c r="AD4" s="1" t="s">
        <v>36</v>
      </c>
      <c r="AE4" s="1" t="s">
        <v>37</v>
      </c>
      <c r="AF4" s="1" t="s">
        <v>38</v>
      </c>
      <c r="AG4" s="1"/>
      <c r="AH4" s="1"/>
      <c r="AI4" s="1"/>
    </row>
    <row r="5" spans="1:36" x14ac:dyDescent="0.25">
      <c r="A5" s="1"/>
      <c r="B5" s="1"/>
      <c r="C5" s="1"/>
      <c r="D5" s="1"/>
      <c r="E5" s="4">
        <f>SUM(E6:E499)</f>
        <v>23176.037999999997</v>
      </c>
      <c r="F5" s="4">
        <f>SUM(F6:F499)</f>
        <v>16989.198999999997</v>
      </c>
      <c r="G5" s="7"/>
      <c r="H5" s="1"/>
      <c r="I5" s="1"/>
      <c r="J5" s="1"/>
      <c r="K5" s="4">
        <f t="shared" ref="K5:T5" si="0">SUM(K6:K499)</f>
        <v>25739.971999999998</v>
      </c>
      <c r="L5" s="4">
        <f t="shared" si="0"/>
        <v>-2563.9340000000007</v>
      </c>
      <c r="M5" s="4">
        <f t="shared" si="0"/>
        <v>0</v>
      </c>
      <c r="N5" s="4">
        <f t="shared" si="0"/>
        <v>0</v>
      </c>
      <c r="O5" s="4">
        <f t="shared" si="0"/>
        <v>9690.9552299999978</v>
      </c>
      <c r="P5" s="4">
        <f t="shared" si="0"/>
        <v>-2277.3599999999997</v>
      </c>
      <c r="Q5" s="4">
        <f t="shared" si="0"/>
        <v>850</v>
      </c>
      <c r="R5" s="4">
        <f t="shared" si="0"/>
        <v>4635.2076000000015</v>
      </c>
      <c r="S5" s="4">
        <f t="shared" si="0"/>
        <v>17859.665780000003</v>
      </c>
      <c r="T5" s="4">
        <f t="shared" si="0"/>
        <v>15023.66388</v>
      </c>
      <c r="U5" s="1"/>
      <c r="V5" s="1"/>
      <c r="W5" s="4">
        <f t="shared" ref="W5:AF5" si="1">SUM(W6:W499)</f>
        <v>4207.7697999999991</v>
      </c>
      <c r="X5" s="4">
        <f t="shared" si="1"/>
        <v>3443.0367999999989</v>
      </c>
      <c r="Y5" s="4">
        <f t="shared" si="1"/>
        <v>3963.5633999999986</v>
      </c>
      <c r="Z5" s="4">
        <f t="shared" si="1"/>
        <v>3762.9608000000012</v>
      </c>
      <c r="AA5" s="4">
        <f t="shared" si="1"/>
        <v>3888.003999999999</v>
      </c>
      <c r="AB5" s="4">
        <f t="shared" si="1"/>
        <v>4297.2658000000001</v>
      </c>
      <c r="AC5" s="4">
        <f t="shared" si="1"/>
        <v>4684.4022000000004</v>
      </c>
      <c r="AD5" s="4">
        <f t="shared" si="1"/>
        <v>4934.9677999999976</v>
      </c>
      <c r="AE5" s="4">
        <f t="shared" si="1"/>
        <v>5484.3842000000004</v>
      </c>
      <c r="AF5" s="4">
        <f t="shared" si="1"/>
        <v>5313.1188000000011</v>
      </c>
      <c r="AG5" s="1"/>
      <c r="AH5" s="4">
        <f>SUM(AH6:AH499)</f>
        <v>11032</v>
      </c>
      <c r="AI5" s="4">
        <f>SUM(AI6:AI499)</f>
        <v>3639.9070000000006</v>
      </c>
    </row>
    <row r="6" spans="1:36" x14ac:dyDescent="0.25">
      <c r="A6" s="1" t="s">
        <v>39</v>
      </c>
      <c r="B6" s="1" t="s">
        <v>40</v>
      </c>
      <c r="C6" s="1">
        <v>201.65199999999999</v>
      </c>
      <c r="D6" s="1">
        <v>438.41699999999997</v>
      </c>
      <c r="E6" s="1">
        <v>310.846</v>
      </c>
      <c r="F6" s="1">
        <v>285.36399999999998</v>
      </c>
      <c r="G6" s="7">
        <v>1</v>
      </c>
      <c r="H6" s="1">
        <v>50</v>
      </c>
      <c r="I6" s="1" t="s">
        <v>41</v>
      </c>
      <c r="J6" s="1"/>
      <c r="K6" s="1">
        <v>285.75</v>
      </c>
      <c r="L6" s="1">
        <f t="shared" ref="L6:L37" si="2">E6-K6</f>
        <v>25.096000000000004</v>
      </c>
      <c r="M6" s="1"/>
      <c r="N6" s="1"/>
      <c r="O6" s="1">
        <v>73.843676000000045</v>
      </c>
      <c r="P6" s="1"/>
      <c r="Q6" s="1"/>
      <c r="R6" s="1">
        <f t="shared" ref="R6:R37" si="3">E6/5</f>
        <v>62.169200000000004</v>
      </c>
      <c r="S6" s="5">
        <f>11*R6-Q6-P6-O6-F6</f>
        <v>324.653524</v>
      </c>
      <c r="T6" s="5">
        <f>S6</f>
        <v>324.653524</v>
      </c>
      <c r="U6" s="1">
        <f t="shared" ref="U6:U37" si="4">(F6+O6+P6+Q6+T6)/R6</f>
        <v>11</v>
      </c>
      <c r="V6" s="1">
        <f t="shared" ref="V6:V37" si="5">(F6+O6+P6+Q6)/R6</f>
        <v>5.7779041068567709</v>
      </c>
      <c r="W6" s="1">
        <v>46.914400000000001</v>
      </c>
      <c r="X6" s="1">
        <v>34.5426</v>
      </c>
      <c r="Y6" s="1">
        <v>43.8718</v>
      </c>
      <c r="Z6" s="1">
        <v>37.962800000000001</v>
      </c>
      <c r="AA6" s="1">
        <v>34.125799999999998</v>
      </c>
      <c r="AB6" s="1">
        <v>48.797400000000003</v>
      </c>
      <c r="AC6" s="1">
        <v>48.463799999999999</v>
      </c>
      <c r="AD6" s="1">
        <v>38.078200000000002</v>
      </c>
      <c r="AE6" s="1">
        <v>53.040599999999998</v>
      </c>
      <c r="AF6" s="1">
        <v>62.256600000000013</v>
      </c>
      <c r="AG6" s="1"/>
      <c r="AH6" s="1">
        <f t="shared" ref="AH6:AH37" si="6">ROUND(G6*T6,0)</f>
        <v>325</v>
      </c>
      <c r="AI6" s="1">
        <f t="shared" ref="AI6:AI37" si="7">R6*G6</f>
        <v>62.169200000000004</v>
      </c>
      <c r="AJ6" t="s">
        <v>42</v>
      </c>
    </row>
    <row r="7" spans="1:36" x14ac:dyDescent="0.25">
      <c r="A7" s="1" t="s">
        <v>43</v>
      </c>
      <c r="B7" s="1" t="s">
        <v>40</v>
      </c>
      <c r="C7" s="1">
        <v>504.62799999999999</v>
      </c>
      <c r="D7" s="1">
        <v>1586.143</v>
      </c>
      <c r="E7" s="1">
        <v>860.721</v>
      </c>
      <c r="F7" s="1">
        <v>973.12</v>
      </c>
      <c r="G7" s="7">
        <v>1</v>
      </c>
      <c r="H7" s="1">
        <v>45</v>
      </c>
      <c r="I7" s="1" t="s">
        <v>41</v>
      </c>
      <c r="J7" s="1"/>
      <c r="K7" s="1">
        <v>842.8</v>
      </c>
      <c r="L7" s="1">
        <f t="shared" si="2"/>
        <v>17.921000000000049</v>
      </c>
      <c r="M7" s="1"/>
      <c r="N7" s="1"/>
      <c r="O7" s="1">
        <v>385.32429399999961</v>
      </c>
      <c r="P7" s="1"/>
      <c r="Q7" s="1"/>
      <c r="R7" s="1">
        <f t="shared" si="3"/>
        <v>172.14420000000001</v>
      </c>
      <c r="S7" s="5">
        <f>11*R7-Q7-P7-O7-F7</f>
        <v>535.14190600000063</v>
      </c>
      <c r="T7" s="5">
        <f>S7+$T$1*R7</f>
        <v>414.64096600000062</v>
      </c>
      <c r="U7" s="1">
        <f t="shared" si="4"/>
        <v>10.3</v>
      </c>
      <c r="V7" s="1">
        <f t="shared" si="5"/>
        <v>7.8913160826795181</v>
      </c>
      <c r="W7" s="1">
        <v>171.35</v>
      </c>
      <c r="X7" s="1">
        <v>161.2954</v>
      </c>
      <c r="Y7" s="1">
        <v>174.07939999999999</v>
      </c>
      <c r="Z7" s="1">
        <v>156.54300000000001</v>
      </c>
      <c r="AA7" s="1">
        <v>115.7188</v>
      </c>
      <c r="AB7" s="1">
        <v>123.2384</v>
      </c>
      <c r="AC7" s="1">
        <v>165.91419999999999</v>
      </c>
      <c r="AD7" s="1">
        <v>160.22540000000001</v>
      </c>
      <c r="AE7" s="1">
        <v>155.3356</v>
      </c>
      <c r="AF7" s="1">
        <v>161.36680000000001</v>
      </c>
      <c r="AG7" s="1"/>
      <c r="AH7" s="1">
        <f t="shared" si="6"/>
        <v>415</v>
      </c>
      <c r="AI7" s="1">
        <f t="shared" si="7"/>
        <v>172.14420000000001</v>
      </c>
      <c r="AJ7" t="s">
        <v>44</v>
      </c>
    </row>
    <row r="8" spans="1:36" x14ac:dyDescent="0.25">
      <c r="A8" s="1" t="s">
        <v>45</v>
      </c>
      <c r="B8" s="1" t="s">
        <v>40</v>
      </c>
      <c r="C8" s="1">
        <v>726.27200000000005</v>
      </c>
      <c r="D8" s="1">
        <v>1085.373</v>
      </c>
      <c r="E8" s="1">
        <v>820.28899999999999</v>
      </c>
      <c r="F8" s="1">
        <v>745.476</v>
      </c>
      <c r="G8" s="7">
        <v>1</v>
      </c>
      <c r="H8" s="1">
        <v>45</v>
      </c>
      <c r="I8" s="1" t="s">
        <v>41</v>
      </c>
      <c r="J8" s="1"/>
      <c r="K8" s="1">
        <v>802.4</v>
      </c>
      <c r="L8" s="1">
        <f t="shared" si="2"/>
        <v>17.88900000000001</v>
      </c>
      <c r="M8" s="1"/>
      <c r="N8" s="1"/>
      <c r="O8" s="1">
        <v>653.1773619999999</v>
      </c>
      <c r="P8" s="1"/>
      <c r="Q8" s="1"/>
      <c r="R8" s="1">
        <f t="shared" si="3"/>
        <v>164.05779999999999</v>
      </c>
      <c r="S8" s="5">
        <f>11*R8-Q8-P8-O8-F8</f>
        <v>405.98243799999989</v>
      </c>
      <c r="T8" s="5">
        <f>S8+$T$1*R8</f>
        <v>291.14197799999988</v>
      </c>
      <c r="U8" s="1">
        <f t="shared" si="4"/>
        <v>10.3</v>
      </c>
      <c r="V8" s="1">
        <f t="shared" si="5"/>
        <v>8.5253694856325026</v>
      </c>
      <c r="W8" s="1">
        <v>176.13800000000001</v>
      </c>
      <c r="X8" s="1">
        <v>166.39340000000001</v>
      </c>
      <c r="Y8" s="1">
        <v>154.95760000000001</v>
      </c>
      <c r="Z8" s="1">
        <v>140.4342</v>
      </c>
      <c r="AA8" s="1">
        <v>130.178</v>
      </c>
      <c r="AB8" s="1">
        <v>141.642</v>
      </c>
      <c r="AC8" s="1">
        <v>157.6602</v>
      </c>
      <c r="AD8" s="1">
        <v>153.99100000000001</v>
      </c>
      <c r="AE8" s="1">
        <v>162.184</v>
      </c>
      <c r="AF8" s="1">
        <v>168.56280000000001</v>
      </c>
      <c r="AG8" s="1"/>
      <c r="AH8" s="1">
        <f t="shared" si="6"/>
        <v>291</v>
      </c>
      <c r="AI8" s="1">
        <f t="shared" si="7"/>
        <v>164.05779999999999</v>
      </c>
      <c r="AJ8" t="s">
        <v>46</v>
      </c>
    </row>
    <row r="9" spans="1:36" x14ac:dyDescent="0.25">
      <c r="A9" s="1" t="s">
        <v>47</v>
      </c>
      <c r="B9" s="1" t="s">
        <v>48</v>
      </c>
      <c r="C9" s="1">
        <v>4</v>
      </c>
      <c r="D9" s="1">
        <v>12</v>
      </c>
      <c r="E9" s="1">
        <v>13</v>
      </c>
      <c r="F9" s="1">
        <v>1</v>
      </c>
      <c r="G9" s="7">
        <v>0.4</v>
      </c>
      <c r="H9" s="1">
        <v>50</v>
      </c>
      <c r="I9" s="1" t="s">
        <v>41</v>
      </c>
      <c r="J9" s="1"/>
      <c r="K9" s="1">
        <v>29</v>
      </c>
      <c r="L9" s="1">
        <f t="shared" si="2"/>
        <v>-16</v>
      </c>
      <c r="M9" s="1"/>
      <c r="N9" s="1"/>
      <c r="O9" s="1">
        <v>40.4</v>
      </c>
      <c r="P9" s="1"/>
      <c r="Q9" s="1"/>
      <c r="R9" s="1">
        <f t="shared" si="3"/>
        <v>2.6</v>
      </c>
      <c r="S9" s="5"/>
      <c r="T9" s="5">
        <f>S9</f>
        <v>0</v>
      </c>
      <c r="U9" s="1">
        <f t="shared" si="4"/>
        <v>15.923076923076922</v>
      </c>
      <c r="V9" s="1">
        <f t="shared" si="5"/>
        <v>15.923076923076922</v>
      </c>
      <c r="W9" s="1">
        <v>6.2</v>
      </c>
      <c r="X9" s="1">
        <v>4.5999999999999996</v>
      </c>
      <c r="Y9" s="1">
        <v>2</v>
      </c>
      <c r="Z9" s="1">
        <v>2.6</v>
      </c>
      <c r="AA9" s="1">
        <v>1.4</v>
      </c>
      <c r="AB9" s="1">
        <v>0.2</v>
      </c>
      <c r="AC9" s="1">
        <v>1</v>
      </c>
      <c r="AD9" s="1">
        <v>3.2</v>
      </c>
      <c r="AE9" s="1">
        <v>2.6</v>
      </c>
      <c r="AF9" s="1">
        <v>0.4</v>
      </c>
      <c r="AG9" s="1" t="s">
        <v>49</v>
      </c>
      <c r="AH9" s="1">
        <f t="shared" si="6"/>
        <v>0</v>
      </c>
      <c r="AI9" s="1">
        <f t="shared" si="7"/>
        <v>1.04</v>
      </c>
      <c r="AJ9" t="s">
        <v>50</v>
      </c>
    </row>
    <row r="10" spans="1:36" x14ac:dyDescent="0.25">
      <c r="A10" s="1" t="s">
        <v>51</v>
      </c>
      <c r="B10" s="1" t="s">
        <v>48</v>
      </c>
      <c r="C10" s="1">
        <v>137</v>
      </c>
      <c r="D10" s="1">
        <v>422</v>
      </c>
      <c r="E10" s="1">
        <v>211</v>
      </c>
      <c r="F10" s="1">
        <v>166</v>
      </c>
      <c r="G10" s="7">
        <v>0.45</v>
      </c>
      <c r="H10" s="1">
        <v>45</v>
      </c>
      <c r="I10" s="1" t="s">
        <v>41</v>
      </c>
      <c r="J10" s="1"/>
      <c r="K10" s="1">
        <v>338</v>
      </c>
      <c r="L10" s="1">
        <f t="shared" si="2"/>
        <v>-127</v>
      </c>
      <c r="M10" s="1"/>
      <c r="N10" s="1"/>
      <c r="O10" s="1">
        <v>351.41800000000001</v>
      </c>
      <c r="P10" s="1"/>
      <c r="Q10" s="1"/>
      <c r="R10" s="1">
        <f t="shared" si="3"/>
        <v>42.2</v>
      </c>
      <c r="S10" s="5"/>
      <c r="T10" s="5">
        <f>S10</f>
        <v>0</v>
      </c>
      <c r="U10" s="1">
        <f t="shared" si="4"/>
        <v>12.261090047393365</v>
      </c>
      <c r="V10" s="1">
        <f t="shared" si="5"/>
        <v>12.261090047393365</v>
      </c>
      <c r="W10" s="1">
        <v>64.599999999999994</v>
      </c>
      <c r="X10" s="1">
        <v>52.4</v>
      </c>
      <c r="Y10" s="1">
        <v>54.8</v>
      </c>
      <c r="Z10" s="1">
        <v>47.6</v>
      </c>
      <c r="AA10" s="1">
        <v>31.2</v>
      </c>
      <c r="AB10" s="1">
        <v>38.4</v>
      </c>
      <c r="AC10" s="1">
        <v>60.4</v>
      </c>
      <c r="AD10" s="1">
        <v>57.4</v>
      </c>
      <c r="AE10" s="1">
        <v>77</v>
      </c>
      <c r="AF10" s="1">
        <v>68.599999999999994</v>
      </c>
      <c r="AG10" s="1"/>
      <c r="AH10" s="1">
        <f t="shared" si="6"/>
        <v>0</v>
      </c>
      <c r="AI10" s="1">
        <f t="shared" si="7"/>
        <v>18.990000000000002</v>
      </c>
      <c r="AJ10" t="s">
        <v>52</v>
      </c>
    </row>
    <row r="11" spans="1:36" x14ac:dyDescent="0.25">
      <c r="A11" s="1" t="s">
        <v>53</v>
      </c>
      <c r="B11" s="1" t="s">
        <v>48</v>
      </c>
      <c r="C11" s="1">
        <v>329</v>
      </c>
      <c r="D11" s="1">
        <v>337</v>
      </c>
      <c r="E11" s="1">
        <v>197</v>
      </c>
      <c r="F11" s="1">
        <v>108</v>
      </c>
      <c r="G11" s="7">
        <v>0.45</v>
      </c>
      <c r="H11" s="1">
        <v>45</v>
      </c>
      <c r="I11" s="1" t="s">
        <v>41</v>
      </c>
      <c r="J11" s="1"/>
      <c r="K11" s="1">
        <v>398</v>
      </c>
      <c r="L11" s="1">
        <f t="shared" si="2"/>
        <v>-201</v>
      </c>
      <c r="M11" s="1"/>
      <c r="N11" s="1"/>
      <c r="O11" s="1">
        <v>466.0560000000001</v>
      </c>
      <c r="P11" s="1"/>
      <c r="Q11" s="1"/>
      <c r="R11" s="1">
        <f t="shared" si="3"/>
        <v>39.4</v>
      </c>
      <c r="S11" s="5"/>
      <c r="T11" s="5">
        <f>S11</f>
        <v>0</v>
      </c>
      <c r="U11" s="1">
        <f t="shared" si="4"/>
        <v>14.569949238578682</v>
      </c>
      <c r="V11" s="1">
        <f t="shared" si="5"/>
        <v>14.569949238578682</v>
      </c>
      <c r="W11" s="1">
        <v>82.8</v>
      </c>
      <c r="X11" s="1">
        <v>80.599999999999994</v>
      </c>
      <c r="Y11" s="1">
        <v>70</v>
      </c>
      <c r="Z11" s="1">
        <v>63.8</v>
      </c>
      <c r="AA11" s="1">
        <v>57.2</v>
      </c>
      <c r="AB11" s="1">
        <v>72.2</v>
      </c>
      <c r="AC11" s="1">
        <v>90</v>
      </c>
      <c r="AD11" s="1">
        <v>77.2</v>
      </c>
      <c r="AE11" s="1">
        <v>93.8</v>
      </c>
      <c r="AF11" s="1">
        <v>88.6</v>
      </c>
      <c r="AG11" s="1"/>
      <c r="AH11" s="1">
        <f t="shared" si="6"/>
        <v>0</v>
      </c>
      <c r="AI11" s="1">
        <f t="shared" si="7"/>
        <v>17.73</v>
      </c>
      <c r="AJ11" t="s">
        <v>54</v>
      </c>
    </row>
    <row r="12" spans="1:36" x14ac:dyDescent="0.25">
      <c r="A12" s="9" t="s">
        <v>55</v>
      </c>
      <c r="B12" s="9" t="s">
        <v>48</v>
      </c>
      <c r="C12" s="9"/>
      <c r="D12" s="9"/>
      <c r="E12" s="9"/>
      <c r="F12" s="9"/>
      <c r="G12" s="10">
        <v>0</v>
      </c>
      <c r="H12" s="9"/>
      <c r="I12" s="9" t="s">
        <v>41</v>
      </c>
      <c r="J12" s="9"/>
      <c r="K12" s="9"/>
      <c r="L12" s="9">
        <f t="shared" si="2"/>
        <v>0</v>
      </c>
      <c r="M12" s="9"/>
      <c r="N12" s="9"/>
      <c r="O12" s="9">
        <v>0</v>
      </c>
      <c r="P12" s="9"/>
      <c r="Q12" s="9"/>
      <c r="R12" s="9">
        <f t="shared" si="3"/>
        <v>0</v>
      </c>
      <c r="S12" s="11"/>
      <c r="T12" s="5">
        <f>S12</f>
        <v>0</v>
      </c>
      <c r="U12" s="1" t="e">
        <f t="shared" si="4"/>
        <v>#DIV/0!</v>
      </c>
      <c r="V12" s="9" t="e">
        <f t="shared" si="5"/>
        <v>#DIV/0!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 t="s">
        <v>56</v>
      </c>
      <c r="AH12" s="1">
        <f t="shared" si="6"/>
        <v>0</v>
      </c>
      <c r="AI12" s="1">
        <f t="shared" si="7"/>
        <v>0</v>
      </c>
      <c r="AJ12" t="s">
        <v>57</v>
      </c>
    </row>
    <row r="13" spans="1:36" x14ac:dyDescent="0.25">
      <c r="A13" s="1" t="s">
        <v>58</v>
      </c>
      <c r="B13" s="1" t="s">
        <v>48</v>
      </c>
      <c r="C13" s="1">
        <v>160</v>
      </c>
      <c r="D13" s="1">
        <v>27</v>
      </c>
      <c r="E13" s="1">
        <v>135</v>
      </c>
      <c r="F13" s="1">
        <v>10</v>
      </c>
      <c r="G13" s="7">
        <v>0.3</v>
      </c>
      <c r="H13" s="1">
        <v>40</v>
      </c>
      <c r="I13" s="12" t="s">
        <v>59</v>
      </c>
      <c r="J13" s="1"/>
      <c r="K13" s="1">
        <v>156</v>
      </c>
      <c r="L13" s="1">
        <f t="shared" si="2"/>
        <v>-21</v>
      </c>
      <c r="M13" s="1"/>
      <c r="N13" s="1"/>
      <c r="O13" s="1">
        <v>25</v>
      </c>
      <c r="P13" s="1">
        <v>-30</v>
      </c>
      <c r="Q13" s="1"/>
      <c r="R13" s="1">
        <f t="shared" si="3"/>
        <v>27</v>
      </c>
      <c r="S13" s="5">
        <v>70</v>
      </c>
      <c r="T13" s="5">
        <f>S13*0.7</f>
        <v>49</v>
      </c>
      <c r="U13" s="1">
        <f t="shared" si="4"/>
        <v>2</v>
      </c>
      <c r="V13" s="1">
        <f t="shared" si="5"/>
        <v>0.18518518518518517</v>
      </c>
      <c r="W13" s="1">
        <v>25</v>
      </c>
      <c r="X13" s="1">
        <v>19.399999999999999</v>
      </c>
      <c r="Y13" s="1">
        <v>21.6</v>
      </c>
      <c r="Z13" s="1">
        <v>19.8</v>
      </c>
      <c r="AA13" s="1">
        <v>20.2</v>
      </c>
      <c r="AB13" s="1">
        <v>21.4</v>
      </c>
      <c r="AC13" s="1">
        <v>22.4</v>
      </c>
      <c r="AD13" s="1">
        <v>23.8</v>
      </c>
      <c r="AE13" s="1">
        <v>23</v>
      </c>
      <c r="AF13" s="1">
        <v>19.8</v>
      </c>
      <c r="AG13" s="1"/>
      <c r="AH13" s="1">
        <f t="shared" si="6"/>
        <v>15</v>
      </c>
      <c r="AI13" s="1">
        <f t="shared" si="7"/>
        <v>8.1</v>
      </c>
      <c r="AJ13" t="s">
        <v>60</v>
      </c>
    </row>
    <row r="14" spans="1:36" x14ac:dyDescent="0.25">
      <c r="A14" s="1" t="s">
        <v>61</v>
      </c>
      <c r="B14" s="1" t="s">
        <v>48</v>
      </c>
      <c r="C14" s="1">
        <v>155</v>
      </c>
      <c r="D14" s="1">
        <v>25</v>
      </c>
      <c r="E14" s="1">
        <v>156</v>
      </c>
      <c r="F14" s="1">
        <v>8</v>
      </c>
      <c r="G14" s="7">
        <v>0.17</v>
      </c>
      <c r="H14" s="1">
        <v>180</v>
      </c>
      <c r="I14" s="1" t="s">
        <v>41</v>
      </c>
      <c r="J14" s="1"/>
      <c r="K14" s="1">
        <v>172</v>
      </c>
      <c r="L14" s="1">
        <f t="shared" si="2"/>
        <v>-16</v>
      </c>
      <c r="M14" s="1"/>
      <c r="N14" s="1"/>
      <c r="O14" s="1">
        <v>174.994</v>
      </c>
      <c r="P14" s="1"/>
      <c r="Q14" s="1"/>
      <c r="R14" s="1">
        <f t="shared" si="3"/>
        <v>31.2</v>
      </c>
      <c r="S14" s="5">
        <f>11*R14-Q14-P14-O14-F14</f>
        <v>160.20599999999999</v>
      </c>
      <c r="T14" s="5">
        <f>S14</f>
        <v>160.20599999999999</v>
      </c>
      <c r="U14" s="1">
        <f t="shared" si="4"/>
        <v>11</v>
      </c>
      <c r="V14" s="1">
        <f t="shared" si="5"/>
        <v>5.8651923076923076</v>
      </c>
      <c r="W14" s="1">
        <v>32.200000000000003</v>
      </c>
      <c r="X14" s="1">
        <v>17.8</v>
      </c>
      <c r="Y14" s="1">
        <v>16.2</v>
      </c>
      <c r="Z14" s="1">
        <v>18</v>
      </c>
      <c r="AA14" s="1">
        <v>19.2</v>
      </c>
      <c r="AB14" s="1">
        <v>22</v>
      </c>
      <c r="AC14" s="1">
        <v>18.8</v>
      </c>
      <c r="AD14" s="1">
        <v>15.8</v>
      </c>
      <c r="AE14" s="1">
        <v>17.600000000000001</v>
      </c>
      <c r="AF14" s="1">
        <v>19.8</v>
      </c>
      <c r="AG14" s="1"/>
      <c r="AH14" s="1">
        <f t="shared" si="6"/>
        <v>27</v>
      </c>
      <c r="AI14" s="1">
        <f t="shared" si="7"/>
        <v>5.3040000000000003</v>
      </c>
      <c r="AJ14" t="s">
        <v>62</v>
      </c>
    </row>
    <row r="15" spans="1:36" x14ac:dyDescent="0.25">
      <c r="A15" s="1" t="s">
        <v>63</v>
      </c>
      <c r="B15" s="1" t="s">
        <v>40</v>
      </c>
      <c r="C15" s="1">
        <v>584.16200000000003</v>
      </c>
      <c r="D15" s="1">
        <v>246.01900000000001</v>
      </c>
      <c r="E15" s="1">
        <v>302.30500000000001</v>
      </c>
      <c r="F15" s="1">
        <v>430.02699999999999</v>
      </c>
      <c r="G15" s="7">
        <v>1</v>
      </c>
      <c r="H15" s="1">
        <v>70</v>
      </c>
      <c r="I15" s="1" t="s">
        <v>41</v>
      </c>
      <c r="J15" s="1"/>
      <c r="K15" s="1">
        <v>301.38</v>
      </c>
      <c r="L15" s="1">
        <f t="shared" si="2"/>
        <v>0.92500000000001137</v>
      </c>
      <c r="M15" s="1"/>
      <c r="N15" s="1"/>
      <c r="O15" s="1">
        <v>96.351166000000063</v>
      </c>
      <c r="P15" s="1"/>
      <c r="Q15" s="1"/>
      <c r="R15" s="1">
        <f t="shared" si="3"/>
        <v>60.460999999999999</v>
      </c>
      <c r="S15" s="5">
        <f>11*R15-Q15-P15-O15-F15</f>
        <v>138.692834</v>
      </c>
      <c r="T15" s="5">
        <f>S15</f>
        <v>138.692834</v>
      </c>
      <c r="U15" s="1">
        <f t="shared" si="4"/>
        <v>11.000000000000002</v>
      </c>
      <c r="V15" s="1">
        <f t="shared" si="5"/>
        <v>8.706077736061264</v>
      </c>
      <c r="W15" s="1">
        <v>67.999800000000008</v>
      </c>
      <c r="X15" s="1">
        <v>67.419600000000003</v>
      </c>
      <c r="Y15" s="1">
        <v>63.860999999999997</v>
      </c>
      <c r="Z15" s="1">
        <v>64.120199999999997</v>
      </c>
      <c r="AA15" s="1">
        <v>71.404200000000003</v>
      </c>
      <c r="AB15" s="1">
        <v>76.710000000000008</v>
      </c>
      <c r="AC15" s="1">
        <v>82.161599999999993</v>
      </c>
      <c r="AD15" s="1">
        <v>77.837599999999995</v>
      </c>
      <c r="AE15" s="1">
        <v>83.318399999999997</v>
      </c>
      <c r="AF15" s="1">
        <v>95.534199999999998</v>
      </c>
      <c r="AG15" s="1"/>
      <c r="AH15" s="1">
        <f t="shared" si="6"/>
        <v>139</v>
      </c>
      <c r="AI15" s="1">
        <f t="shared" si="7"/>
        <v>60.460999999999999</v>
      </c>
      <c r="AJ15" t="s">
        <v>64</v>
      </c>
    </row>
    <row r="16" spans="1:36" x14ac:dyDescent="0.25">
      <c r="A16" s="1" t="s">
        <v>65</v>
      </c>
      <c r="B16" s="1" t="s">
        <v>40</v>
      </c>
      <c r="C16" s="1">
        <v>1649.2349999999999</v>
      </c>
      <c r="D16" s="1">
        <v>3503.1109999999999</v>
      </c>
      <c r="E16" s="1">
        <v>2002.373</v>
      </c>
      <c r="F16" s="1">
        <v>2477.8290000000002</v>
      </c>
      <c r="G16" s="7">
        <v>1</v>
      </c>
      <c r="H16" s="1">
        <v>50</v>
      </c>
      <c r="I16" s="1" t="s">
        <v>41</v>
      </c>
      <c r="J16" s="1"/>
      <c r="K16" s="1">
        <v>2032</v>
      </c>
      <c r="L16" s="1">
        <f t="shared" si="2"/>
        <v>-29.626999999999953</v>
      </c>
      <c r="M16" s="1"/>
      <c r="N16" s="1"/>
      <c r="O16" s="1">
        <v>0</v>
      </c>
      <c r="P16" s="1"/>
      <c r="Q16" s="1">
        <v>300</v>
      </c>
      <c r="R16" s="1">
        <f t="shared" si="3"/>
        <v>400.47460000000001</v>
      </c>
      <c r="S16" s="5">
        <f>10*R16-Q16-P16-O16-F16</f>
        <v>1226.9169999999999</v>
      </c>
      <c r="T16" s="5">
        <f>S16+$T$1*R16</f>
        <v>946.58477999999991</v>
      </c>
      <c r="U16" s="1">
        <f t="shared" si="4"/>
        <v>9.2999999999999989</v>
      </c>
      <c r="V16" s="1">
        <f t="shared" si="5"/>
        <v>6.9363425295886429</v>
      </c>
      <c r="W16" s="1">
        <v>338.92259999999999</v>
      </c>
      <c r="X16" s="1">
        <v>312.99419999999998</v>
      </c>
      <c r="Y16" s="1">
        <v>340.73579999999998</v>
      </c>
      <c r="Z16" s="1">
        <v>301.46600000000001</v>
      </c>
      <c r="AA16" s="1">
        <v>223.81219999999999</v>
      </c>
      <c r="AB16" s="1">
        <v>225.41679999999999</v>
      </c>
      <c r="AC16" s="1">
        <v>363.58780000000002</v>
      </c>
      <c r="AD16" s="1">
        <v>414.27560000000011</v>
      </c>
      <c r="AE16" s="1">
        <v>403.12939999999998</v>
      </c>
      <c r="AF16" s="1">
        <v>368.91160000000002</v>
      </c>
      <c r="AG16" s="1"/>
      <c r="AH16" s="1">
        <f t="shared" si="6"/>
        <v>947</v>
      </c>
      <c r="AI16" s="1">
        <f t="shared" si="7"/>
        <v>400.47460000000001</v>
      </c>
      <c r="AJ16" t="s">
        <v>66</v>
      </c>
    </row>
    <row r="17" spans="1:36" x14ac:dyDescent="0.25">
      <c r="A17" s="1" t="s">
        <v>67</v>
      </c>
      <c r="B17" s="1" t="s">
        <v>40</v>
      </c>
      <c r="C17" s="1">
        <v>156.87700000000001</v>
      </c>
      <c r="D17" s="1">
        <v>0.89</v>
      </c>
      <c r="E17" s="1">
        <v>53.82</v>
      </c>
      <c r="F17" s="1">
        <v>76.641000000000005</v>
      </c>
      <c r="G17" s="7">
        <v>1</v>
      </c>
      <c r="H17" s="1">
        <v>60</v>
      </c>
      <c r="I17" s="1" t="s">
        <v>41</v>
      </c>
      <c r="J17" s="1"/>
      <c r="K17" s="1">
        <v>56</v>
      </c>
      <c r="L17" s="1">
        <f t="shared" si="2"/>
        <v>-2.1799999999999997</v>
      </c>
      <c r="M17" s="1"/>
      <c r="N17" s="1"/>
      <c r="O17" s="1">
        <v>0</v>
      </c>
      <c r="P17" s="1"/>
      <c r="Q17" s="1"/>
      <c r="R17" s="1">
        <f t="shared" si="3"/>
        <v>10.763999999999999</v>
      </c>
      <c r="S17" s="5">
        <f>11*R17-Q17-P17-O17-F17</f>
        <v>41.762999999999991</v>
      </c>
      <c r="T17" s="5">
        <f>S17</f>
        <v>41.762999999999991</v>
      </c>
      <c r="U17" s="1">
        <f t="shared" si="4"/>
        <v>11</v>
      </c>
      <c r="V17" s="1">
        <f t="shared" si="5"/>
        <v>7.1201226309921974</v>
      </c>
      <c r="W17" s="1">
        <v>8.6592000000000002</v>
      </c>
      <c r="X17" s="1">
        <v>14.825799999999999</v>
      </c>
      <c r="Y17" s="1">
        <v>13.7936</v>
      </c>
      <c r="Z17" s="1">
        <v>9.2590000000000003</v>
      </c>
      <c r="AA17" s="1">
        <v>15.664400000000001</v>
      </c>
      <c r="AB17" s="1">
        <v>19.814599999999999</v>
      </c>
      <c r="AC17" s="1">
        <v>17.560199999999998</v>
      </c>
      <c r="AD17" s="1">
        <v>20.452200000000001</v>
      </c>
      <c r="AE17" s="1">
        <v>22.732399999999998</v>
      </c>
      <c r="AF17" s="1">
        <v>16.6022</v>
      </c>
      <c r="AG17" s="1"/>
      <c r="AH17" s="1">
        <f t="shared" si="6"/>
        <v>42</v>
      </c>
      <c r="AI17" s="1">
        <f t="shared" si="7"/>
        <v>10.763999999999999</v>
      </c>
      <c r="AJ17" t="s">
        <v>68</v>
      </c>
    </row>
    <row r="18" spans="1:36" x14ac:dyDescent="0.25">
      <c r="A18" s="1" t="s">
        <v>69</v>
      </c>
      <c r="B18" s="1" t="s">
        <v>40</v>
      </c>
      <c r="C18" s="1">
        <v>39.432000000000002</v>
      </c>
      <c r="D18" s="1">
        <v>76.709999999999994</v>
      </c>
      <c r="E18" s="1">
        <v>32.496000000000002</v>
      </c>
      <c r="F18" s="1">
        <v>59.725000000000001</v>
      </c>
      <c r="G18" s="7">
        <v>1</v>
      </c>
      <c r="H18" s="1">
        <v>60</v>
      </c>
      <c r="I18" s="1" t="s">
        <v>41</v>
      </c>
      <c r="J18" s="1"/>
      <c r="K18" s="1">
        <v>31</v>
      </c>
      <c r="L18" s="1">
        <f t="shared" si="2"/>
        <v>1.4960000000000022</v>
      </c>
      <c r="M18" s="1"/>
      <c r="N18" s="1"/>
      <c r="O18" s="1">
        <v>0</v>
      </c>
      <c r="P18" s="1"/>
      <c r="Q18" s="1"/>
      <c r="R18" s="1">
        <f t="shared" si="3"/>
        <v>6.4992000000000001</v>
      </c>
      <c r="S18" s="5">
        <f>11*R18-Q18-P18-O18-F18</f>
        <v>11.766200000000005</v>
      </c>
      <c r="T18" s="5">
        <f>S18</f>
        <v>11.766200000000005</v>
      </c>
      <c r="U18" s="1">
        <f t="shared" si="4"/>
        <v>11</v>
      </c>
      <c r="V18" s="1">
        <f t="shared" si="5"/>
        <v>9.1895925652387991</v>
      </c>
      <c r="W18" s="1">
        <v>4.6139999999999999</v>
      </c>
      <c r="X18" s="1">
        <v>9.6975999999999996</v>
      </c>
      <c r="Y18" s="1">
        <v>9.870000000000001</v>
      </c>
      <c r="Z18" s="1">
        <v>4.0758000000000001</v>
      </c>
      <c r="AA18" s="1">
        <v>5.8464</v>
      </c>
      <c r="AB18" s="1">
        <v>11.7798</v>
      </c>
      <c r="AC18" s="1">
        <v>9.9963999999999995</v>
      </c>
      <c r="AD18" s="1">
        <v>9.1463999999999999</v>
      </c>
      <c r="AE18" s="1">
        <v>10.711600000000001</v>
      </c>
      <c r="AF18" s="1">
        <v>10.7</v>
      </c>
      <c r="AG18" s="1"/>
      <c r="AH18" s="1">
        <f t="shared" si="6"/>
        <v>12</v>
      </c>
      <c r="AI18" s="1">
        <f t="shared" si="7"/>
        <v>6.4992000000000001</v>
      </c>
      <c r="AJ18" t="s">
        <v>70</v>
      </c>
    </row>
    <row r="19" spans="1:36" x14ac:dyDescent="0.25">
      <c r="A19" s="1" t="s">
        <v>71</v>
      </c>
      <c r="B19" s="1" t="s">
        <v>40</v>
      </c>
      <c r="C19" s="1">
        <v>9.4849999999999994</v>
      </c>
      <c r="D19" s="1">
        <v>53.529000000000003</v>
      </c>
      <c r="E19" s="1">
        <v>31.753</v>
      </c>
      <c r="F19" s="1">
        <v>19.965</v>
      </c>
      <c r="G19" s="7">
        <v>1</v>
      </c>
      <c r="H19" s="1">
        <v>180</v>
      </c>
      <c r="I19" s="1" t="s">
        <v>41</v>
      </c>
      <c r="J19" s="1"/>
      <c r="K19" s="1">
        <v>44.73</v>
      </c>
      <c r="L19" s="1">
        <f t="shared" si="2"/>
        <v>-12.976999999999997</v>
      </c>
      <c r="M19" s="1"/>
      <c r="N19" s="1"/>
      <c r="O19" s="1">
        <v>21.703800000000012</v>
      </c>
      <c r="P19" s="1"/>
      <c r="Q19" s="1"/>
      <c r="R19" s="1">
        <f t="shared" si="3"/>
        <v>6.3506</v>
      </c>
      <c r="S19" s="5">
        <f>11*R19-Q19-P19-O19-F19</f>
        <v>28.187799999999985</v>
      </c>
      <c r="T19" s="5">
        <f>S19</f>
        <v>28.187799999999985</v>
      </c>
      <c r="U19" s="1">
        <f t="shared" si="4"/>
        <v>11</v>
      </c>
      <c r="V19" s="1">
        <f t="shared" si="5"/>
        <v>6.5613957736276909</v>
      </c>
      <c r="W19" s="1">
        <v>4.6951999999999998</v>
      </c>
      <c r="X19" s="1">
        <v>3.7277999999999998</v>
      </c>
      <c r="Y19" s="1">
        <v>4.875</v>
      </c>
      <c r="Z19" s="1">
        <v>3.3774000000000002</v>
      </c>
      <c r="AA19" s="1">
        <v>2.6214</v>
      </c>
      <c r="AB19" s="1">
        <v>3.2532000000000001</v>
      </c>
      <c r="AC19" s="1">
        <v>2.9756</v>
      </c>
      <c r="AD19" s="1">
        <v>3.4765999999999999</v>
      </c>
      <c r="AE19" s="1">
        <v>3.2033999999999998</v>
      </c>
      <c r="AF19" s="1">
        <v>2.6796000000000002</v>
      </c>
      <c r="AG19" s="1"/>
      <c r="AH19" s="1">
        <f t="shared" si="6"/>
        <v>28</v>
      </c>
      <c r="AI19" s="1">
        <f t="shared" si="7"/>
        <v>6.3506</v>
      </c>
      <c r="AJ19" t="s">
        <v>72</v>
      </c>
    </row>
    <row r="20" spans="1:36" x14ac:dyDescent="0.25">
      <c r="A20" s="1" t="s">
        <v>73</v>
      </c>
      <c r="B20" s="1" t="s">
        <v>40</v>
      </c>
      <c r="C20" s="1">
        <v>726.08299999999997</v>
      </c>
      <c r="D20" s="1">
        <v>276.75400000000002</v>
      </c>
      <c r="E20" s="1">
        <v>360.00200000000001</v>
      </c>
      <c r="F20" s="1">
        <v>336.71300000000002</v>
      </c>
      <c r="G20" s="7">
        <v>1</v>
      </c>
      <c r="H20" s="1">
        <v>60</v>
      </c>
      <c r="I20" s="1" t="s">
        <v>41</v>
      </c>
      <c r="J20" s="1"/>
      <c r="K20" s="1">
        <v>333.34</v>
      </c>
      <c r="L20" s="1">
        <f t="shared" si="2"/>
        <v>26.662000000000035</v>
      </c>
      <c r="M20" s="1"/>
      <c r="N20" s="1"/>
      <c r="O20" s="1">
        <v>228.09552599999961</v>
      </c>
      <c r="P20" s="1"/>
      <c r="Q20" s="1"/>
      <c r="R20" s="1">
        <f t="shared" si="3"/>
        <v>72.000399999999999</v>
      </c>
      <c r="S20" s="5">
        <f>11*R20-Q20-P20-O20-F20</f>
        <v>227.1958740000004</v>
      </c>
      <c r="T20" s="5">
        <f>S20</f>
        <v>227.1958740000004</v>
      </c>
      <c r="U20" s="1">
        <f t="shared" si="4"/>
        <v>11</v>
      </c>
      <c r="V20" s="1">
        <f t="shared" si="5"/>
        <v>7.844519280448436</v>
      </c>
      <c r="W20" s="1">
        <v>75.010799999999989</v>
      </c>
      <c r="X20" s="1">
        <v>77.209599999999995</v>
      </c>
      <c r="Y20" s="1">
        <v>79.551599999999993</v>
      </c>
      <c r="Z20" s="1">
        <v>73.747199999999992</v>
      </c>
      <c r="AA20" s="1">
        <v>84.715599999999995</v>
      </c>
      <c r="AB20" s="1">
        <v>89.979399999999998</v>
      </c>
      <c r="AC20" s="1">
        <v>85.64500000000001</v>
      </c>
      <c r="AD20" s="1">
        <v>82.814400000000006</v>
      </c>
      <c r="AE20" s="1">
        <v>99.254800000000003</v>
      </c>
      <c r="AF20" s="1">
        <v>109.6948</v>
      </c>
      <c r="AG20" s="1"/>
      <c r="AH20" s="1">
        <f t="shared" si="6"/>
        <v>227</v>
      </c>
      <c r="AI20" s="1">
        <f t="shared" si="7"/>
        <v>72.000399999999999</v>
      </c>
      <c r="AJ20" t="s">
        <v>74</v>
      </c>
    </row>
    <row r="21" spans="1:36" x14ac:dyDescent="0.25">
      <c r="A21" s="1" t="s">
        <v>75</v>
      </c>
      <c r="B21" s="1" t="s">
        <v>40</v>
      </c>
      <c r="C21" s="1">
        <v>201.58099999999999</v>
      </c>
      <c r="D21" s="1">
        <v>48.2</v>
      </c>
      <c r="E21" s="1">
        <v>84.305999999999997</v>
      </c>
      <c r="F21" s="1">
        <v>129.029</v>
      </c>
      <c r="G21" s="7">
        <v>1</v>
      </c>
      <c r="H21" s="1">
        <v>70</v>
      </c>
      <c r="I21" s="1" t="s">
        <v>41</v>
      </c>
      <c r="J21" s="1"/>
      <c r="K21" s="1">
        <v>82.48</v>
      </c>
      <c r="L21" s="1">
        <f t="shared" si="2"/>
        <v>1.8259999999999934</v>
      </c>
      <c r="M21" s="1"/>
      <c r="N21" s="1"/>
      <c r="O21" s="1">
        <v>12.690800000000049</v>
      </c>
      <c r="P21" s="1"/>
      <c r="Q21" s="1"/>
      <c r="R21" s="1">
        <f t="shared" si="3"/>
        <v>16.8612</v>
      </c>
      <c r="S21" s="5">
        <f>11*R21-Q21-P21-O21-F21</f>
        <v>43.753399999999942</v>
      </c>
      <c r="T21" s="5">
        <f>S21</f>
        <v>43.753399999999942</v>
      </c>
      <c r="U21" s="1">
        <f t="shared" si="4"/>
        <v>11</v>
      </c>
      <c r="V21" s="1">
        <f t="shared" si="5"/>
        <v>8.4050838611723986</v>
      </c>
      <c r="W21" s="1">
        <v>15.4404</v>
      </c>
      <c r="X21" s="1">
        <v>13</v>
      </c>
      <c r="Y21" s="1">
        <v>21.806999999999999</v>
      </c>
      <c r="Z21" s="1">
        <v>21.227</v>
      </c>
      <c r="AA21" s="1">
        <v>14.3834</v>
      </c>
      <c r="AB21" s="1">
        <v>19.766999999999999</v>
      </c>
      <c r="AC21" s="1">
        <v>31.105599999999999</v>
      </c>
      <c r="AD21" s="1">
        <v>31.758400000000002</v>
      </c>
      <c r="AE21" s="1">
        <v>22.8048</v>
      </c>
      <c r="AF21" s="1">
        <v>16.5824</v>
      </c>
      <c r="AG21" s="1"/>
      <c r="AH21" s="1">
        <f t="shared" si="6"/>
        <v>44</v>
      </c>
      <c r="AI21" s="1">
        <f t="shared" si="7"/>
        <v>16.8612</v>
      </c>
      <c r="AJ21" t="s">
        <v>76</v>
      </c>
    </row>
    <row r="22" spans="1:36" x14ac:dyDescent="0.25">
      <c r="A22" s="1" t="s">
        <v>77</v>
      </c>
      <c r="B22" s="1" t="s">
        <v>40</v>
      </c>
      <c r="C22" s="1">
        <v>293.22300000000001</v>
      </c>
      <c r="D22" s="1">
        <v>13.162000000000001</v>
      </c>
      <c r="E22" s="1">
        <v>208.56700000000001</v>
      </c>
      <c r="F22" s="1">
        <v>25.818999999999999</v>
      </c>
      <c r="G22" s="7">
        <v>1</v>
      </c>
      <c r="H22" s="1">
        <v>70</v>
      </c>
      <c r="I22" s="12" t="s">
        <v>59</v>
      </c>
      <c r="J22" s="1"/>
      <c r="K22" s="1">
        <v>198.62</v>
      </c>
      <c r="L22" s="1">
        <f t="shared" si="2"/>
        <v>9.9470000000000027</v>
      </c>
      <c r="M22" s="1"/>
      <c r="N22" s="1"/>
      <c r="O22" s="1">
        <v>172.50507200000001</v>
      </c>
      <c r="P22" s="1">
        <v>-174.24</v>
      </c>
      <c r="Q22" s="1"/>
      <c r="R22" s="1">
        <f t="shared" si="3"/>
        <v>41.7134</v>
      </c>
      <c r="S22" s="5">
        <v>100</v>
      </c>
      <c r="T22" s="5">
        <f>S22*0.7</f>
        <v>70</v>
      </c>
      <c r="U22" s="1">
        <f t="shared" si="4"/>
        <v>2.2554879726898309</v>
      </c>
      <c r="V22" s="1">
        <f t="shared" si="5"/>
        <v>0.57737014964016342</v>
      </c>
      <c r="W22" s="1">
        <v>43.699199999999998</v>
      </c>
      <c r="X22" s="1">
        <v>38.575599999999987</v>
      </c>
      <c r="Y22" s="1">
        <v>44.986800000000002</v>
      </c>
      <c r="Z22" s="1">
        <v>38.965000000000003</v>
      </c>
      <c r="AA22" s="1">
        <v>37.324399999999997</v>
      </c>
      <c r="AB22" s="1">
        <v>42.604799999999997</v>
      </c>
      <c r="AC22" s="1">
        <v>42.156199999999998</v>
      </c>
      <c r="AD22" s="1">
        <v>46.545400000000001</v>
      </c>
      <c r="AE22" s="1">
        <v>57.740400000000001</v>
      </c>
      <c r="AF22" s="1">
        <v>61.052200000000013</v>
      </c>
      <c r="AG22" s="1"/>
      <c r="AH22" s="1">
        <f t="shared" si="6"/>
        <v>70</v>
      </c>
      <c r="AI22" s="1">
        <f t="shared" si="7"/>
        <v>41.7134</v>
      </c>
      <c r="AJ22" t="s">
        <v>78</v>
      </c>
    </row>
    <row r="23" spans="1:36" x14ac:dyDescent="0.25">
      <c r="A23" s="1" t="s">
        <v>79</v>
      </c>
      <c r="B23" s="1" t="s">
        <v>40</v>
      </c>
      <c r="C23" s="1">
        <v>37.033000000000001</v>
      </c>
      <c r="D23" s="1">
        <v>21.652000000000001</v>
      </c>
      <c r="E23" s="1">
        <v>45.158000000000001</v>
      </c>
      <c r="F23" s="1">
        <v>2.66</v>
      </c>
      <c r="G23" s="7">
        <v>1</v>
      </c>
      <c r="H23" s="1">
        <v>180</v>
      </c>
      <c r="I23" s="1" t="s">
        <v>41</v>
      </c>
      <c r="J23" s="1"/>
      <c r="K23" s="1">
        <v>44.661000000000001</v>
      </c>
      <c r="L23" s="1">
        <f t="shared" si="2"/>
        <v>0.49699999999999989</v>
      </c>
      <c r="M23" s="1"/>
      <c r="N23" s="1"/>
      <c r="O23" s="1">
        <v>22.764399999999991</v>
      </c>
      <c r="P23" s="1"/>
      <c r="Q23" s="1"/>
      <c r="R23" s="1">
        <f t="shared" si="3"/>
        <v>9.031600000000001</v>
      </c>
      <c r="S23" s="5">
        <f>9*R23-Q23-P23-O23-F23</f>
        <v>55.860000000000014</v>
      </c>
      <c r="T23" s="5">
        <f>S23</f>
        <v>55.860000000000014</v>
      </c>
      <c r="U23" s="1">
        <f t="shared" si="4"/>
        <v>9</v>
      </c>
      <c r="V23" s="1">
        <f t="shared" si="5"/>
        <v>2.815049382169271</v>
      </c>
      <c r="W23" s="1">
        <v>4.0991999999999997</v>
      </c>
      <c r="X23" s="1">
        <v>1.9630000000000001</v>
      </c>
      <c r="Y23" s="1">
        <v>4.3348000000000004</v>
      </c>
      <c r="Z23" s="1">
        <v>3.0522</v>
      </c>
      <c r="AA23" s="1">
        <v>3.3224</v>
      </c>
      <c r="AB23" s="1">
        <v>4.6915999999999993</v>
      </c>
      <c r="AC23" s="1">
        <v>3.9258000000000002</v>
      </c>
      <c r="AD23" s="1">
        <v>4.0861999999999998</v>
      </c>
      <c r="AE23" s="1">
        <v>3.0114000000000001</v>
      </c>
      <c r="AF23" s="1">
        <v>1.6878</v>
      </c>
      <c r="AG23" s="1"/>
      <c r="AH23" s="1">
        <f t="shared" si="6"/>
        <v>56</v>
      </c>
      <c r="AI23" s="1">
        <f t="shared" si="7"/>
        <v>9.031600000000001</v>
      </c>
      <c r="AJ23" t="s">
        <v>80</v>
      </c>
    </row>
    <row r="24" spans="1:36" x14ac:dyDescent="0.25">
      <c r="A24" s="1" t="s">
        <v>81</v>
      </c>
      <c r="B24" s="1" t="s">
        <v>40</v>
      </c>
      <c r="C24" s="1">
        <v>209.74199999999999</v>
      </c>
      <c r="D24" s="1">
        <v>55.156999999999996</v>
      </c>
      <c r="E24" s="1">
        <v>185.59200000000001</v>
      </c>
      <c r="F24" s="1">
        <v>21.4</v>
      </c>
      <c r="G24" s="7">
        <v>1</v>
      </c>
      <c r="H24" s="1">
        <v>70</v>
      </c>
      <c r="I24" s="12" t="s">
        <v>59</v>
      </c>
      <c r="J24" s="1"/>
      <c r="K24" s="1">
        <v>174.36</v>
      </c>
      <c r="L24" s="1">
        <f t="shared" si="2"/>
        <v>11.231999999999999</v>
      </c>
      <c r="M24" s="1"/>
      <c r="N24" s="1"/>
      <c r="O24" s="1">
        <v>147.5783799999999</v>
      </c>
      <c r="P24" s="1">
        <v>-153.12</v>
      </c>
      <c r="Q24" s="1"/>
      <c r="R24" s="1">
        <f t="shared" si="3"/>
        <v>37.118400000000001</v>
      </c>
      <c r="S24" s="5">
        <v>100</v>
      </c>
      <c r="T24" s="5">
        <f>S24*0.7</f>
        <v>70</v>
      </c>
      <c r="U24" s="1">
        <f t="shared" si="4"/>
        <v>2.3130948532264295</v>
      </c>
      <c r="V24" s="1">
        <f t="shared" si="5"/>
        <v>0.42723770421138563</v>
      </c>
      <c r="W24" s="1">
        <v>39.154400000000003</v>
      </c>
      <c r="X24" s="1">
        <v>36.545400000000001</v>
      </c>
      <c r="Y24" s="1">
        <v>37.086200000000012</v>
      </c>
      <c r="Z24" s="1">
        <v>30.3794</v>
      </c>
      <c r="AA24" s="1">
        <v>37.165799999999997</v>
      </c>
      <c r="AB24" s="1">
        <v>46.671199999999999</v>
      </c>
      <c r="AC24" s="1">
        <v>51.576599999999999</v>
      </c>
      <c r="AD24" s="1">
        <v>50.810199999999988</v>
      </c>
      <c r="AE24" s="1">
        <v>51.419199999999996</v>
      </c>
      <c r="AF24" s="1">
        <v>53.342599999999997</v>
      </c>
      <c r="AG24" s="1"/>
      <c r="AH24" s="1">
        <f t="shared" si="6"/>
        <v>70</v>
      </c>
      <c r="AI24" s="1">
        <f t="shared" si="7"/>
        <v>37.118400000000001</v>
      </c>
      <c r="AJ24" t="s">
        <v>82</v>
      </c>
    </row>
    <row r="25" spans="1:36" x14ac:dyDescent="0.25">
      <c r="A25" s="9" t="s">
        <v>83</v>
      </c>
      <c r="B25" s="9" t="s">
        <v>40</v>
      </c>
      <c r="C25" s="9">
        <v>1.0980000000000001</v>
      </c>
      <c r="D25" s="9"/>
      <c r="E25" s="9">
        <v>-2.1080000000000001</v>
      </c>
      <c r="F25" s="9">
        <v>0.39800000000000002</v>
      </c>
      <c r="G25" s="10">
        <v>0</v>
      </c>
      <c r="H25" s="9">
        <v>35</v>
      </c>
      <c r="I25" s="9" t="s">
        <v>84</v>
      </c>
      <c r="J25" s="9"/>
      <c r="K25" s="9">
        <v>5.2</v>
      </c>
      <c r="L25" s="9">
        <f t="shared" si="2"/>
        <v>-7.3079999999999998</v>
      </c>
      <c r="M25" s="9"/>
      <c r="N25" s="9"/>
      <c r="O25" s="9">
        <v>0</v>
      </c>
      <c r="P25" s="9"/>
      <c r="Q25" s="9"/>
      <c r="R25" s="9">
        <f t="shared" si="3"/>
        <v>-0.42160000000000003</v>
      </c>
      <c r="S25" s="11"/>
      <c r="T25" s="5">
        <f>S25</f>
        <v>0</v>
      </c>
      <c r="U25" s="1">
        <f t="shared" si="4"/>
        <v>-0.94402277039848193</v>
      </c>
      <c r="V25" s="9">
        <f t="shared" si="5"/>
        <v>-0.94402277039848193</v>
      </c>
      <c r="W25" s="9">
        <v>-0.28220000000000001</v>
      </c>
      <c r="X25" s="9">
        <v>-0.14000000000000001</v>
      </c>
      <c r="Y25" s="9">
        <v>-0.14000000000000001</v>
      </c>
      <c r="Z25" s="9">
        <v>0</v>
      </c>
      <c r="AA25" s="9">
        <v>4.6292</v>
      </c>
      <c r="AB25" s="9">
        <v>6.452</v>
      </c>
      <c r="AC25" s="9">
        <v>6.3102</v>
      </c>
      <c r="AD25" s="9">
        <v>5.6124000000000001</v>
      </c>
      <c r="AE25" s="9">
        <v>3.0931999999999999</v>
      </c>
      <c r="AF25" s="9">
        <v>2.9478</v>
      </c>
      <c r="AG25" s="9"/>
      <c r="AH25" s="1">
        <f t="shared" si="6"/>
        <v>0</v>
      </c>
      <c r="AI25" s="1">
        <f t="shared" si="7"/>
        <v>0</v>
      </c>
      <c r="AJ25" t="s">
        <v>85</v>
      </c>
    </row>
    <row r="26" spans="1:36" x14ac:dyDescent="0.25">
      <c r="A26" s="9" t="s">
        <v>86</v>
      </c>
      <c r="B26" s="9" t="s">
        <v>40</v>
      </c>
      <c r="C26" s="9"/>
      <c r="D26" s="9"/>
      <c r="E26" s="9"/>
      <c r="F26" s="9"/>
      <c r="G26" s="10">
        <v>0</v>
      </c>
      <c r="H26" s="9"/>
      <c r="I26" s="9" t="s">
        <v>41</v>
      </c>
      <c r="J26" s="9"/>
      <c r="K26" s="9"/>
      <c r="L26" s="9">
        <f t="shared" si="2"/>
        <v>0</v>
      </c>
      <c r="M26" s="9"/>
      <c r="N26" s="9"/>
      <c r="O26" s="9">
        <v>0</v>
      </c>
      <c r="P26" s="9"/>
      <c r="Q26" s="9"/>
      <c r="R26" s="9">
        <f t="shared" si="3"/>
        <v>0</v>
      </c>
      <c r="S26" s="11"/>
      <c r="T26" s="5">
        <f>S26</f>
        <v>0</v>
      </c>
      <c r="U26" s="1" t="e">
        <f t="shared" si="4"/>
        <v>#DIV/0!</v>
      </c>
      <c r="V26" s="9" t="e">
        <f t="shared" si="5"/>
        <v>#DIV/0!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 t="s">
        <v>56</v>
      </c>
      <c r="AH26" s="1">
        <f t="shared" si="6"/>
        <v>0</v>
      </c>
      <c r="AI26" s="1">
        <f t="shared" si="7"/>
        <v>0</v>
      </c>
      <c r="AJ26" t="s">
        <v>87</v>
      </c>
    </row>
    <row r="27" spans="1:36" x14ac:dyDescent="0.25">
      <c r="A27" s="1" t="s">
        <v>88</v>
      </c>
      <c r="B27" s="1" t="s">
        <v>40</v>
      </c>
      <c r="C27" s="1">
        <v>283.755</v>
      </c>
      <c r="D27" s="1">
        <v>346.036</v>
      </c>
      <c r="E27" s="1">
        <v>287.92899999999997</v>
      </c>
      <c r="F27" s="1">
        <v>238.768</v>
      </c>
      <c r="G27" s="7">
        <v>1</v>
      </c>
      <c r="H27" s="1">
        <v>30</v>
      </c>
      <c r="I27" s="1" t="s">
        <v>41</v>
      </c>
      <c r="J27" s="1"/>
      <c r="K27" s="1">
        <v>274</v>
      </c>
      <c r="L27" s="1">
        <f t="shared" si="2"/>
        <v>13.928999999999974</v>
      </c>
      <c r="M27" s="1"/>
      <c r="N27" s="1"/>
      <c r="O27" s="1">
        <v>62.448116000000233</v>
      </c>
      <c r="P27" s="1"/>
      <c r="Q27" s="1"/>
      <c r="R27" s="1">
        <f t="shared" si="3"/>
        <v>57.585799999999992</v>
      </c>
      <c r="S27" s="5">
        <f>11*R27-Q27-P27-O27-F27</f>
        <v>332.22768399999961</v>
      </c>
      <c r="T27" s="5">
        <f>S27</f>
        <v>332.22768399999961</v>
      </c>
      <c r="U27" s="1">
        <f t="shared" si="4"/>
        <v>10.999999999999998</v>
      </c>
      <c r="V27" s="1">
        <f t="shared" si="5"/>
        <v>5.2307359800506426</v>
      </c>
      <c r="W27" s="1">
        <v>41.682000000000002</v>
      </c>
      <c r="X27" s="1">
        <v>45.629399999999997</v>
      </c>
      <c r="Y27" s="1">
        <v>54.0336</v>
      </c>
      <c r="Z27" s="1">
        <v>33.3504</v>
      </c>
      <c r="AA27" s="1">
        <v>39.0062</v>
      </c>
      <c r="AB27" s="1">
        <v>53.301000000000002</v>
      </c>
      <c r="AC27" s="1">
        <v>46.706800000000001</v>
      </c>
      <c r="AD27" s="1">
        <v>23.161200000000001</v>
      </c>
      <c r="AE27" s="1">
        <v>34.602600000000002</v>
      </c>
      <c r="AF27" s="1">
        <v>39.710599999999999</v>
      </c>
      <c r="AG27" s="1"/>
      <c r="AH27" s="1">
        <f t="shared" si="6"/>
        <v>332</v>
      </c>
      <c r="AI27" s="1">
        <f t="shared" si="7"/>
        <v>57.585799999999992</v>
      </c>
      <c r="AJ27" t="s">
        <v>89</v>
      </c>
    </row>
    <row r="28" spans="1:36" x14ac:dyDescent="0.25">
      <c r="A28" s="1" t="s">
        <v>90</v>
      </c>
      <c r="B28" s="1" t="s">
        <v>40</v>
      </c>
      <c r="C28" s="1">
        <v>3.702</v>
      </c>
      <c r="D28" s="1"/>
      <c r="E28" s="1">
        <v>-3.9929999999999999</v>
      </c>
      <c r="F28" s="1">
        <v>3.702</v>
      </c>
      <c r="G28" s="7">
        <v>1</v>
      </c>
      <c r="H28" s="1">
        <v>40</v>
      </c>
      <c r="I28" s="12" t="s">
        <v>59</v>
      </c>
      <c r="J28" s="1"/>
      <c r="K28" s="1">
        <v>105.7</v>
      </c>
      <c r="L28" s="1">
        <f t="shared" si="2"/>
        <v>-109.693</v>
      </c>
      <c r="M28" s="1"/>
      <c r="N28" s="1"/>
      <c r="O28" s="1">
        <v>54</v>
      </c>
      <c r="P28" s="1">
        <v>-54</v>
      </c>
      <c r="Q28" s="1"/>
      <c r="R28" s="1">
        <f t="shared" si="3"/>
        <v>-0.79859999999999998</v>
      </c>
      <c r="S28" s="5">
        <v>150</v>
      </c>
      <c r="T28" s="5">
        <f>S28*0.7</f>
        <v>105</v>
      </c>
      <c r="U28" s="1">
        <f t="shared" si="4"/>
        <v>-136.11570247933884</v>
      </c>
      <c r="V28" s="1">
        <f t="shared" si="5"/>
        <v>-4.635612321562733</v>
      </c>
      <c r="W28" s="1">
        <v>0.30380000000000001</v>
      </c>
      <c r="X28" s="1">
        <v>-2.1000000000000001E-2</v>
      </c>
      <c r="Y28" s="1">
        <v>0.1164</v>
      </c>
      <c r="Z28" s="1">
        <v>1.6801999999999999</v>
      </c>
      <c r="AA28" s="1">
        <v>37.1038</v>
      </c>
      <c r="AB28" s="1">
        <v>73.638800000000003</v>
      </c>
      <c r="AC28" s="1">
        <v>62.238599999999998</v>
      </c>
      <c r="AD28" s="1">
        <v>32.152799999999999</v>
      </c>
      <c r="AE28" s="1">
        <v>66.114800000000002</v>
      </c>
      <c r="AF28" s="1">
        <v>89.90979999999999</v>
      </c>
      <c r="AG28" s="1"/>
      <c r="AH28" s="1">
        <f t="shared" si="6"/>
        <v>105</v>
      </c>
      <c r="AI28" s="1">
        <f t="shared" si="7"/>
        <v>-0.79859999999999998</v>
      </c>
      <c r="AJ28" t="s">
        <v>91</v>
      </c>
    </row>
    <row r="29" spans="1:36" x14ac:dyDescent="0.25">
      <c r="A29" s="1" t="s">
        <v>92</v>
      </c>
      <c r="B29" s="1" t="s">
        <v>40</v>
      </c>
      <c r="C29" s="1">
        <v>178.37</v>
      </c>
      <c r="D29" s="1">
        <v>205.83799999999999</v>
      </c>
      <c r="E29" s="1">
        <v>363.29</v>
      </c>
      <c r="F29" s="1">
        <v>-0.13</v>
      </c>
      <c r="G29" s="7">
        <v>1</v>
      </c>
      <c r="H29" s="1">
        <v>30</v>
      </c>
      <c r="I29" s="12" t="s">
        <v>59</v>
      </c>
      <c r="J29" s="1"/>
      <c r="K29" s="1">
        <v>389.25</v>
      </c>
      <c r="L29" s="1">
        <f t="shared" si="2"/>
        <v>-25.95999999999998</v>
      </c>
      <c r="M29" s="1"/>
      <c r="N29" s="1"/>
      <c r="O29" s="1">
        <v>180</v>
      </c>
      <c r="P29" s="1">
        <v>-93.7</v>
      </c>
      <c r="Q29" s="1"/>
      <c r="R29" s="1">
        <f t="shared" si="3"/>
        <v>72.658000000000001</v>
      </c>
      <c r="S29" s="5">
        <v>200</v>
      </c>
      <c r="T29" s="5">
        <f>S29*0.7</f>
        <v>140</v>
      </c>
      <c r="U29" s="1">
        <f t="shared" si="4"/>
        <v>3.112802444328223</v>
      </c>
      <c r="V29" s="1">
        <f t="shared" si="5"/>
        <v>1.1859671336948443</v>
      </c>
      <c r="W29" s="1">
        <v>66.253200000000007</v>
      </c>
      <c r="X29" s="1">
        <v>2.3946000000000001</v>
      </c>
      <c r="Y29" s="1">
        <v>-0.96219999999999994</v>
      </c>
      <c r="Z29" s="1">
        <v>10.6404</v>
      </c>
      <c r="AA29" s="1">
        <v>28.9634</v>
      </c>
      <c r="AB29" s="1">
        <v>20.459</v>
      </c>
      <c r="AC29" s="1">
        <v>-1.2302</v>
      </c>
      <c r="AD29" s="1">
        <v>10.5242</v>
      </c>
      <c r="AE29" s="1">
        <v>51.875800000000012</v>
      </c>
      <c r="AF29" s="1">
        <v>106.5702</v>
      </c>
      <c r="AG29" s="1"/>
      <c r="AH29" s="1">
        <f t="shared" si="6"/>
        <v>140</v>
      </c>
      <c r="AI29" s="1">
        <f t="shared" si="7"/>
        <v>72.658000000000001</v>
      </c>
      <c r="AJ29" t="s">
        <v>93</v>
      </c>
    </row>
    <row r="30" spans="1:36" x14ac:dyDescent="0.25">
      <c r="A30" s="1" t="s">
        <v>94</v>
      </c>
      <c r="B30" s="1" t="s">
        <v>40</v>
      </c>
      <c r="C30" s="1">
        <v>430.62200000000001</v>
      </c>
      <c r="D30" s="1">
        <v>20.27</v>
      </c>
      <c r="E30" s="1">
        <v>428.80200000000002</v>
      </c>
      <c r="F30" s="1">
        <v>-7.4480000000000004</v>
      </c>
      <c r="G30" s="7">
        <v>1</v>
      </c>
      <c r="H30" s="1">
        <v>40</v>
      </c>
      <c r="I30" s="12" t="s">
        <v>59</v>
      </c>
      <c r="J30" s="1"/>
      <c r="K30" s="1">
        <v>525.75</v>
      </c>
      <c r="L30" s="1">
        <f t="shared" si="2"/>
        <v>-96.947999999999979</v>
      </c>
      <c r="M30" s="1"/>
      <c r="N30" s="1"/>
      <c r="O30" s="1">
        <v>180</v>
      </c>
      <c r="P30" s="1"/>
      <c r="Q30" s="1"/>
      <c r="R30" s="1">
        <f t="shared" si="3"/>
        <v>85.760400000000004</v>
      </c>
      <c r="S30" s="5">
        <v>400</v>
      </c>
      <c r="T30" s="5">
        <f>S30*0.7</f>
        <v>280</v>
      </c>
      <c r="U30" s="1">
        <f t="shared" si="4"/>
        <v>5.2769343426569835</v>
      </c>
      <c r="V30" s="1">
        <f t="shared" si="5"/>
        <v>2.0120241976483317</v>
      </c>
      <c r="W30" s="1">
        <v>91.31280000000001</v>
      </c>
      <c r="X30" s="1">
        <v>5.6337999999999999</v>
      </c>
      <c r="Y30" s="1">
        <v>-0.54759999999999998</v>
      </c>
      <c r="Z30" s="1">
        <v>-0.10059999999999999</v>
      </c>
      <c r="AA30" s="1">
        <v>-0.82639999999999991</v>
      </c>
      <c r="AB30" s="1">
        <v>0.14080000000000001</v>
      </c>
      <c r="AC30" s="1">
        <v>2.6922000000000001</v>
      </c>
      <c r="AD30" s="1">
        <v>93.157600000000002</v>
      </c>
      <c r="AE30" s="1">
        <v>186.66319999999999</v>
      </c>
      <c r="AF30" s="1">
        <v>177.22620000000001</v>
      </c>
      <c r="AG30" s="1"/>
      <c r="AH30" s="1">
        <f t="shared" si="6"/>
        <v>280</v>
      </c>
      <c r="AI30" s="1">
        <f t="shared" si="7"/>
        <v>85.760400000000004</v>
      </c>
      <c r="AJ30" t="s">
        <v>95</v>
      </c>
    </row>
    <row r="31" spans="1:36" x14ac:dyDescent="0.25">
      <c r="A31" s="1" t="s">
        <v>96</v>
      </c>
      <c r="B31" s="1" t="s">
        <v>40</v>
      </c>
      <c r="C31" s="1">
        <v>28.257999999999999</v>
      </c>
      <c r="D31" s="1"/>
      <c r="E31" s="1">
        <v>27.975999999999999</v>
      </c>
      <c r="F31" s="1">
        <v>0.28199999999999997</v>
      </c>
      <c r="G31" s="7">
        <v>1</v>
      </c>
      <c r="H31" s="1">
        <v>40</v>
      </c>
      <c r="I31" s="12" t="s">
        <v>59</v>
      </c>
      <c r="J31" s="1"/>
      <c r="K31" s="1">
        <v>32.799999999999997</v>
      </c>
      <c r="L31" s="1">
        <f t="shared" si="2"/>
        <v>-4.8239999999999981</v>
      </c>
      <c r="M31" s="1"/>
      <c r="N31" s="1"/>
      <c r="O31" s="1">
        <v>10</v>
      </c>
      <c r="P31" s="1">
        <v>-10</v>
      </c>
      <c r="Q31" s="1"/>
      <c r="R31" s="1">
        <f t="shared" si="3"/>
        <v>5.5952000000000002</v>
      </c>
      <c r="S31" s="5">
        <v>20</v>
      </c>
      <c r="T31" s="5">
        <f>S31</f>
        <v>20</v>
      </c>
      <c r="U31" s="1">
        <f t="shared" si="4"/>
        <v>3.6248927652273375</v>
      </c>
      <c r="V31" s="1">
        <f t="shared" si="5"/>
        <v>5.0400343151272523E-2</v>
      </c>
      <c r="W31" s="1">
        <v>2.1804000000000001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0.87280000000000002</v>
      </c>
      <c r="AF31" s="1">
        <v>8.621599999999999</v>
      </c>
      <c r="AG31" s="1"/>
      <c r="AH31" s="1">
        <f t="shared" si="6"/>
        <v>20</v>
      </c>
      <c r="AI31" s="1">
        <f t="shared" si="7"/>
        <v>5.5952000000000002</v>
      </c>
      <c r="AJ31" t="s">
        <v>97</v>
      </c>
    </row>
    <row r="32" spans="1:36" x14ac:dyDescent="0.25">
      <c r="A32" s="1" t="s">
        <v>98</v>
      </c>
      <c r="B32" s="1" t="s">
        <v>40</v>
      </c>
      <c r="C32" s="1">
        <v>124.505</v>
      </c>
      <c r="D32" s="1">
        <v>14.452</v>
      </c>
      <c r="E32" s="1">
        <v>93.707999999999998</v>
      </c>
      <c r="F32" s="1">
        <v>25.466999999999999</v>
      </c>
      <c r="G32" s="7">
        <v>1</v>
      </c>
      <c r="H32" s="1">
        <v>30</v>
      </c>
      <c r="I32" s="1" t="s">
        <v>41</v>
      </c>
      <c r="J32" s="1"/>
      <c r="K32" s="1">
        <v>94.4</v>
      </c>
      <c r="L32" s="1">
        <f t="shared" si="2"/>
        <v>-0.69200000000000728</v>
      </c>
      <c r="M32" s="1"/>
      <c r="N32" s="1"/>
      <c r="O32" s="1">
        <v>48.816600000000008</v>
      </c>
      <c r="P32" s="1"/>
      <c r="Q32" s="1"/>
      <c r="R32" s="1">
        <f t="shared" si="3"/>
        <v>18.741599999999998</v>
      </c>
      <c r="S32" s="5">
        <f>10*R32-Q32-P32-O32-F32</f>
        <v>113.1324</v>
      </c>
      <c r="T32" s="5">
        <f>S32</f>
        <v>113.1324</v>
      </c>
      <c r="U32" s="1">
        <f t="shared" si="4"/>
        <v>10</v>
      </c>
      <c r="V32" s="1">
        <f t="shared" si="5"/>
        <v>3.9635676783198881</v>
      </c>
      <c r="W32" s="1">
        <v>8.1288</v>
      </c>
      <c r="X32" s="1">
        <v>0.57519999999999993</v>
      </c>
      <c r="Y32" s="1">
        <v>4.4287999999999998</v>
      </c>
      <c r="Z32" s="1">
        <v>9.4892000000000003</v>
      </c>
      <c r="AA32" s="1">
        <v>9.4754000000000005</v>
      </c>
      <c r="AB32" s="1">
        <v>3.5449999999999999</v>
      </c>
      <c r="AC32" s="1">
        <v>0</v>
      </c>
      <c r="AD32" s="1">
        <v>5.3902000000000001</v>
      </c>
      <c r="AE32" s="1">
        <v>10.913</v>
      </c>
      <c r="AF32" s="1">
        <v>11.9476</v>
      </c>
      <c r="AG32" s="1"/>
      <c r="AH32" s="1">
        <f t="shared" si="6"/>
        <v>113</v>
      </c>
      <c r="AI32" s="1">
        <f t="shared" si="7"/>
        <v>18.741599999999998</v>
      </c>
      <c r="AJ32" t="s">
        <v>99</v>
      </c>
    </row>
    <row r="33" spans="1:36" x14ac:dyDescent="0.25">
      <c r="A33" s="1" t="s">
        <v>100</v>
      </c>
      <c r="B33" s="1" t="s">
        <v>40</v>
      </c>
      <c r="C33" s="1">
        <v>93.207999999999998</v>
      </c>
      <c r="D33" s="1">
        <v>58.497</v>
      </c>
      <c r="E33" s="1">
        <v>62.27</v>
      </c>
      <c r="F33" s="1">
        <v>64.716999999999999</v>
      </c>
      <c r="G33" s="7">
        <v>1</v>
      </c>
      <c r="H33" s="1">
        <v>50</v>
      </c>
      <c r="I33" s="1" t="s">
        <v>41</v>
      </c>
      <c r="J33" s="1"/>
      <c r="K33" s="1">
        <v>61.5</v>
      </c>
      <c r="L33" s="1">
        <f t="shared" si="2"/>
        <v>0.77000000000000313</v>
      </c>
      <c r="M33" s="1"/>
      <c r="N33" s="1"/>
      <c r="O33" s="1">
        <v>10.21679999999999</v>
      </c>
      <c r="P33" s="1"/>
      <c r="Q33" s="1"/>
      <c r="R33" s="1">
        <f t="shared" si="3"/>
        <v>12.454000000000001</v>
      </c>
      <c r="S33" s="5">
        <f>11*R33-Q33-P33-O33-F33</f>
        <v>62.060200000000009</v>
      </c>
      <c r="T33" s="5">
        <f>S33</f>
        <v>62.060200000000009</v>
      </c>
      <c r="U33" s="1">
        <f t="shared" si="4"/>
        <v>11</v>
      </c>
      <c r="V33" s="1">
        <f t="shared" si="5"/>
        <v>6.0168459932551777</v>
      </c>
      <c r="W33" s="1">
        <v>10.270799999999999</v>
      </c>
      <c r="X33" s="1">
        <v>14.135999999999999</v>
      </c>
      <c r="Y33" s="1">
        <v>12.776400000000001</v>
      </c>
      <c r="Z33" s="1">
        <v>6.4742000000000006</v>
      </c>
      <c r="AA33" s="1">
        <v>12.1784</v>
      </c>
      <c r="AB33" s="1">
        <v>24.013999999999999</v>
      </c>
      <c r="AC33" s="1">
        <v>21.271599999999999</v>
      </c>
      <c r="AD33" s="1">
        <v>12.952199999999999</v>
      </c>
      <c r="AE33" s="1">
        <v>13.867599999999999</v>
      </c>
      <c r="AF33" s="1">
        <v>15.708600000000001</v>
      </c>
      <c r="AG33" s="1"/>
      <c r="AH33" s="1">
        <f t="shared" si="6"/>
        <v>62</v>
      </c>
      <c r="AI33" s="1">
        <f t="shared" si="7"/>
        <v>12.454000000000001</v>
      </c>
      <c r="AJ33" t="s">
        <v>101</v>
      </c>
    </row>
    <row r="34" spans="1:36" x14ac:dyDescent="0.25">
      <c r="A34" s="9" t="s">
        <v>102</v>
      </c>
      <c r="B34" s="9" t="s">
        <v>40</v>
      </c>
      <c r="C34" s="9">
        <v>3.173</v>
      </c>
      <c r="D34" s="9"/>
      <c r="E34" s="9">
        <v>-2.7120000000000002</v>
      </c>
      <c r="F34" s="9">
        <v>3.173</v>
      </c>
      <c r="G34" s="10">
        <v>0</v>
      </c>
      <c r="H34" s="9">
        <v>50</v>
      </c>
      <c r="I34" s="9" t="s">
        <v>84</v>
      </c>
      <c r="J34" s="9"/>
      <c r="K34" s="9">
        <v>12</v>
      </c>
      <c r="L34" s="9">
        <f t="shared" si="2"/>
        <v>-14.712</v>
      </c>
      <c r="M34" s="9"/>
      <c r="N34" s="9"/>
      <c r="O34" s="9">
        <v>0</v>
      </c>
      <c r="P34" s="9"/>
      <c r="Q34" s="9"/>
      <c r="R34" s="9">
        <f t="shared" si="3"/>
        <v>-0.54239999999999999</v>
      </c>
      <c r="S34" s="11"/>
      <c r="T34" s="5">
        <f>S34</f>
        <v>0</v>
      </c>
      <c r="U34" s="1">
        <f t="shared" si="4"/>
        <v>-5.8499262536873156</v>
      </c>
      <c r="V34" s="9">
        <f t="shared" si="5"/>
        <v>-5.8499262536873156</v>
      </c>
      <c r="W34" s="9">
        <v>-2.3757999999999999</v>
      </c>
      <c r="X34" s="9">
        <v>-0.74660000000000004</v>
      </c>
      <c r="Y34" s="9">
        <v>5.9942000000000002</v>
      </c>
      <c r="Z34" s="9">
        <v>6.5543999999999993</v>
      </c>
      <c r="AA34" s="9">
        <v>7.2969999999999997</v>
      </c>
      <c r="AB34" s="9">
        <v>12.2094</v>
      </c>
      <c r="AC34" s="9">
        <v>12.5466</v>
      </c>
      <c r="AD34" s="9">
        <v>9.8046000000000006</v>
      </c>
      <c r="AE34" s="9">
        <v>10.172000000000001</v>
      </c>
      <c r="AF34" s="9">
        <v>9.0811999999999991</v>
      </c>
      <c r="AG34" s="9"/>
      <c r="AH34" s="1">
        <f t="shared" si="6"/>
        <v>0</v>
      </c>
      <c r="AI34" s="1">
        <f t="shared" si="7"/>
        <v>0</v>
      </c>
      <c r="AJ34" t="s">
        <v>103</v>
      </c>
    </row>
    <row r="35" spans="1:36" x14ac:dyDescent="0.25">
      <c r="A35" s="1" t="s">
        <v>104</v>
      </c>
      <c r="B35" s="1" t="s">
        <v>40</v>
      </c>
      <c r="C35" s="1">
        <v>82.144999999999996</v>
      </c>
      <c r="D35" s="1">
        <v>1.8180000000000001</v>
      </c>
      <c r="E35" s="1">
        <v>50.779000000000003</v>
      </c>
      <c r="F35" s="1">
        <v>22.283999999999999</v>
      </c>
      <c r="G35" s="7">
        <v>1</v>
      </c>
      <c r="H35" s="1">
        <v>50</v>
      </c>
      <c r="I35" s="12" t="s">
        <v>59</v>
      </c>
      <c r="J35" s="1"/>
      <c r="K35" s="1">
        <v>42.4</v>
      </c>
      <c r="L35" s="1">
        <f t="shared" si="2"/>
        <v>8.3790000000000049</v>
      </c>
      <c r="M35" s="1"/>
      <c r="N35" s="1"/>
      <c r="O35" s="1">
        <v>10</v>
      </c>
      <c r="P35" s="1"/>
      <c r="Q35" s="1"/>
      <c r="R35" s="1">
        <f t="shared" si="3"/>
        <v>10.155800000000001</v>
      </c>
      <c r="S35" s="5">
        <v>30</v>
      </c>
      <c r="T35" s="5">
        <f>S35</f>
        <v>30</v>
      </c>
      <c r="U35" s="1">
        <f t="shared" si="4"/>
        <v>6.1328501939778244</v>
      </c>
      <c r="V35" s="1">
        <f t="shared" si="5"/>
        <v>3.1788731562259986</v>
      </c>
      <c r="W35" s="1">
        <v>6.3393999999999986</v>
      </c>
      <c r="X35" s="1">
        <v>11.959199999999999</v>
      </c>
      <c r="Y35" s="1">
        <v>10.5078</v>
      </c>
      <c r="Z35" s="1">
        <v>5.4367999999999999</v>
      </c>
      <c r="AA35" s="1">
        <v>6.6819999999999986</v>
      </c>
      <c r="AB35" s="1">
        <v>14.173999999999999</v>
      </c>
      <c r="AC35" s="1">
        <v>14.984400000000001</v>
      </c>
      <c r="AD35" s="1">
        <v>12.6342</v>
      </c>
      <c r="AE35" s="1">
        <v>12.2704</v>
      </c>
      <c r="AF35" s="1">
        <v>9.8894000000000002</v>
      </c>
      <c r="AG35" s="1"/>
      <c r="AH35" s="1">
        <f t="shared" si="6"/>
        <v>30</v>
      </c>
      <c r="AI35" s="1">
        <f t="shared" si="7"/>
        <v>10.155800000000001</v>
      </c>
      <c r="AJ35" t="s">
        <v>105</v>
      </c>
    </row>
    <row r="36" spans="1:36" x14ac:dyDescent="0.25">
      <c r="A36" s="1" t="s">
        <v>106</v>
      </c>
      <c r="B36" s="1" t="s">
        <v>48</v>
      </c>
      <c r="C36" s="1">
        <v>466</v>
      </c>
      <c r="D36" s="1">
        <v>529</v>
      </c>
      <c r="E36" s="1">
        <v>572</v>
      </c>
      <c r="F36" s="1">
        <v>10</v>
      </c>
      <c r="G36" s="7">
        <v>0.4</v>
      </c>
      <c r="H36" s="1">
        <v>45</v>
      </c>
      <c r="I36" s="12" t="s">
        <v>59</v>
      </c>
      <c r="J36" s="1"/>
      <c r="K36" s="1">
        <v>880</v>
      </c>
      <c r="L36" s="1">
        <f t="shared" si="2"/>
        <v>-308</v>
      </c>
      <c r="M36" s="1"/>
      <c r="N36" s="1"/>
      <c r="O36" s="1">
        <v>270</v>
      </c>
      <c r="P36" s="1"/>
      <c r="Q36" s="1"/>
      <c r="R36" s="1">
        <f t="shared" si="3"/>
        <v>114.4</v>
      </c>
      <c r="S36" s="5">
        <v>500</v>
      </c>
      <c r="T36" s="5">
        <f>S36*0.7</f>
        <v>350</v>
      </c>
      <c r="U36" s="1">
        <f t="shared" si="4"/>
        <v>5.5069930069930066</v>
      </c>
      <c r="V36" s="1">
        <f t="shared" si="5"/>
        <v>2.4475524475524475</v>
      </c>
      <c r="W36" s="1">
        <v>104.2</v>
      </c>
      <c r="X36" s="1">
        <v>116</v>
      </c>
      <c r="Y36" s="1">
        <v>216.8</v>
      </c>
      <c r="Z36" s="1">
        <v>207.6</v>
      </c>
      <c r="AA36" s="1">
        <v>159.19999999999999</v>
      </c>
      <c r="AB36" s="1">
        <v>176.4</v>
      </c>
      <c r="AC36" s="1">
        <v>250</v>
      </c>
      <c r="AD36" s="1">
        <v>263.39999999999998</v>
      </c>
      <c r="AE36" s="1">
        <v>260</v>
      </c>
      <c r="AF36" s="1">
        <v>238.2</v>
      </c>
      <c r="AG36" s="1"/>
      <c r="AH36" s="1">
        <f t="shared" si="6"/>
        <v>140</v>
      </c>
      <c r="AI36" s="1">
        <f t="shared" si="7"/>
        <v>45.760000000000005</v>
      </c>
      <c r="AJ36" t="s">
        <v>107</v>
      </c>
    </row>
    <row r="37" spans="1:36" x14ac:dyDescent="0.25">
      <c r="A37" s="1" t="s">
        <v>108</v>
      </c>
      <c r="B37" s="1" t="s">
        <v>48</v>
      </c>
      <c r="C37" s="1">
        <v>310</v>
      </c>
      <c r="D37" s="1">
        <v>21</v>
      </c>
      <c r="E37" s="1">
        <v>258</v>
      </c>
      <c r="F37" s="1">
        <v>27</v>
      </c>
      <c r="G37" s="7">
        <v>0.45</v>
      </c>
      <c r="H37" s="1">
        <v>50</v>
      </c>
      <c r="I37" s="1" t="s">
        <v>41</v>
      </c>
      <c r="J37" s="1"/>
      <c r="K37" s="1">
        <v>265</v>
      </c>
      <c r="L37" s="1">
        <f t="shared" si="2"/>
        <v>-7</v>
      </c>
      <c r="M37" s="1"/>
      <c r="N37" s="1"/>
      <c r="O37" s="1">
        <v>279.702</v>
      </c>
      <c r="P37" s="1"/>
      <c r="Q37" s="1"/>
      <c r="R37" s="1">
        <f t="shared" si="3"/>
        <v>51.6</v>
      </c>
      <c r="S37" s="5">
        <f>11*R37-Q37-P37-O37-F37</f>
        <v>260.89800000000002</v>
      </c>
      <c r="T37" s="5">
        <f>S37</f>
        <v>260.89800000000002</v>
      </c>
      <c r="U37" s="1">
        <f t="shared" si="4"/>
        <v>11</v>
      </c>
      <c r="V37" s="1">
        <f t="shared" si="5"/>
        <v>5.9438372093023251</v>
      </c>
      <c r="W37" s="1">
        <v>52.6</v>
      </c>
      <c r="X37" s="1">
        <v>22.2</v>
      </c>
      <c r="Y37" s="1">
        <v>31.6</v>
      </c>
      <c r="Z37" s="1">
        <v>33.799999999999997</v>
      </c>
      <c r="AA37" s="1">
        <v>31.2</v>
      </c>
      <c r="AB37" s="1">
        <v>42</v>
      </c>
      <c r="AC37" s="1">
        <v>45.4</v>
      </c>
      <c r="AD37" s="1">
        <v>60</v>
      </c>
      <c r="AE37" s="1">
        <v>71</v>
      </c>
      <c r="AF37" s="1">
        <v>44.6</v>
      </c>
      <c r="AG37" s="1"/>
      <c r="AH37" s="1">
        <f t="shared" si="6"/>
        <v>117</v>
      </c>
      <c r="AI37" s="1">
        <f t="shared" si="7"/>
        <v>23.220000000000002</v>
      </c>
      <c r="AJ37" t="s">
        <v>109</v>
      </c>
    </row>
    <row r="38" spans="1:36" x14ac:dyDescent="0.25">
      <c r="A38" s="1" t="s">
        <v>110</v>
      </c>
      <c r="B38" s="1" t="s">
        <v>48</v>
      </c>
      <c r="C38" s="1">
        <v>170</v>
      </c>
      <c r="D38" s="1">
        <v>13</v>
      </c>
      <c r="E38" s="1">
        <v>145</v>
      </c>
      <c r="F38" s="1">
        <v>22</v>
      </c>
      <c r="G38" s="7">
        <v>0.4</v>
      </c>
      <c r="H38" s="1">
        <v>45</v>
      </c>
      <c r="I38" s="12" t="s">
        <v>59</v>
      </c>
      <c r="J38" s="1"/>
      <c r="K38" s="1">
        <v>367</v>
      </c>
      <c r="L38" s="1">
        <f t="shared" ref="L38:L69" si="8">E38-K38</f>
        <v>-222</v>
      </c>
      <c r="M38" s="1"/>
      <c r="N38" s="1"/>
      <c r="O38" s="1">
        <v>67.5</v>
      </c>
      <c r="P38" s="1">
        <v>-72</v>
      </c>
      <c r="Q38" s="1"/>
      <c r="R38" s="1">
        <f t="shared" ref="R38:R69" si="9">E38/5</f>
        <v>29</v>
      </c>
      <c r="S38" s="5">
        <v>100</v>
      </c>
      <c r="T38" s="5">
        <f>S38*0.7</f>
        <v>70</v>
      </c>
      <c r="U38" s="1">
        <f t="shared" ref="U38:U69" si="10">(F38+O38+P38+Q38+T38)/R38</f>
        <v>3.0172413793103448</v>
      </c>
      <c r="V38" s="1">
        <f t="shared" ref="V38:V69" si="11">(F38+O38+P38+Q38)/R38</f>
        <v>0.60344827586206895</v>
      </c>
      <c r="W38" s="1">
        <v>33.6</v>
      </c>
      <c r="X38" s="1">
        <v>5.4</v>
      </c>
      <c r="Y38" s="1">
        <v>27.8</v>
      </c>
      <c r="Z38" s="1">
        <v>61.4</v>
      </c>
      <c r="AA38" s="1">
        <v>43.8</v>
      </c>
      <c r="AB38" s="1">
        <v>19.8</v>
      </c>
      <c r="AC38" s="1">
        <v>19</v>
      </c>
      <c r="AD38" s="1">
        <v>23.4</v>
      </c>
      <c r="AE38" s="1">
        <v>63</v>
      </c>
      <c r="AF38" s="1">
        <v>70.400000000000006</v>
      </c>
      <c r="AG38" s="1"/>
      <c r="AH38" s="1">
        <f t="shared" ref="AH38:AH69" si="12">ROUND(G38*T38,0)</f>
        <v>28</v>
      </c>
      <c r="AI38" s="1">
        <f t="shared" ref="AI38:AI69" si="13">R38*G38</f>
        <v>11.600000000000001</v>
      </c>
      <c r="AJ38" t="s">
        <v>111</v>
      </c>
    </row>
    <row r="39" spans="1:36" x14ac:dyDescent="0.25">
      <c r="A39" s="1" t="s">
        <v>112</v>
      </c>
      <c r="B39" s="1" t="s">
        <v>48</v>
      </c>
      <c r="C39" s="1">
        <v>37</v>
      </c>
      <c r="D39" s="1">
        <v>12</v>
      </c>
      <c r="E39" s="1">
        <v>43</v>
      </c>
      <c r="F39" s="1">
        <v>-2</v>
      </c>
      <c r="G39" s="7">
        <v>0.4</v>
      </c>
      <c r="H39" s="1">
        <v>40</v>
      </c>
      <c r="I39" s="12" t="s">
        <v>59</v>
      </c>
      <c r="J39" s="1"/>
      <c r="K39" s="1">
        <v>53</v>
      </c>
      <c r="L39" s="1">
        <f t="shared" si="8"/>
        <v>-10</v>
      </c>
      <c r="M39" s="1"/>
      <c r="N39" s="1"/>
      <c r="O39" s="1">
        <v>20</v>
      </c>
      <c r="P39" s="1">
        <v>-24</v>
      </c>
      <c r="Q39" s="1"/>
      <c r="R39" s="1">
        <f t="shared" si="9"/>
        <v>8.6</v>
      </c>
      <c r="S39" s="5">
        <v>30</v>
      </c>
      <c r="T39" s="5">
        <f>S39</f>
        <v>30</v>
      </c>
      <c r="U39" s="1">
        <f t="shared" si="10"/>
        <v>2.7906976744186047</v>
      </c>
      <c r="V39" s="1">
        <f t="shared" si="11"/>
        <v>-0.69767441860465118</v>
      </c>
      <c r="W39" s="1">
        <v>9.1999999999999993</v>
      </c>
      <c r="X39" s="1">
        <v>5.6</v>
      </c>
      <c r="Y39" s="1">
        <v>11.2</v>
      </c>
      <c r="Z39" s="1">
        <v>12</v>
      </c>
      <c r="AA39" s="1">
        <v>6.6</v>
      </c>
      <c r="AB39" s="1">
        <v>6.2</v>
      </c>
      <c r="AC39" s="1">
        <v>6</v>
      </c>
      <c r="AD39" s="1">
        <v>6.6</v>
      </c>
      <c r="AE39" s="1">
        <v>14.2</v>
      </c>
      <c r="AF39" s="1">
        <v>15.4</v>
      </c>
      <c r="AG39" s="1"/>
      <c r="AH39" s="1">
        <f t="shared" si="12"/>
        <v>12</v>
      </c>
      <c r="AI39" s="1">
        <f t="shared" si="13"/>
        <v>3.44</v>
      </c>
      <c r="AJ39" t="s">
        <v>113</v>
      </c>
    </row>
    <row r="40" spans="1:36" x14ac:dyDescent="0.25">
      <c r="A40" s="1" t="s">
        <v>114</v>
      </c>
      <c r="B40" s="1" t="s">
        <v>40</v>
      </c>
      <c r="C40" s="1">
        <v>34.392000000000003</v>
      </c>
      <c r="D40" s="1">
        <v>69.182000000000002</v>
      </c>
      <c r="E40" s="1">
        <v>83.575999999999993</v>
      </c>
      <c r="F40" s="1">
        <v>-0.105</v>
      </c>
      <c r="G40" s="7">
        <v>1</v>
      </c>
      <c r="H40" s="1">
        <v>45</v>
      </c>
      <c r="I40" s="12" t="s">
        <v>59</v>
      </c>
      <c r="J40" s="1"/>
      <c r="K40" s="1">
        <v>87.65</v>
      </c>
      <c r="L40" s="1">
        <f t="shared" si="8"/>
        <v>-4.0740000000000123</v>
      </c>
      <c r="M40" s="1"/>
      <c r="N40" s="1"/>
      <c r="O40" s="1">
        <v>25</v>
      </c>
      <c r="P40" s="1"/>
      <c r="Q40" s="1"/>
      <c r="R40" s="1">
        <f t="shared" si="9"/>
        <v>16.715199999999999</v>
      </c>
      <c r="S40" s="5">
        <v>50</v>
      </c>
      <c r="T40" s="5">
        <f>S40</f>
        <v>50</v>
      </c>
      <c r="U40" s="1">
        <f t="shared" si="10"/>
        <v>4.4806523403847995</v>
      </c>
      <c r="V40" s="1">
        <f t="shared" si="11"/>
        <v>1.4893629750167512</v>
      </c>
      <c r="W40" s="1">
        <v>10.9094</v>
      </c>
      <c r="X40" s="1">
        <v>0</v>
      </c>
      <c r="Y40" s="1">
        <v>0</v>
      </c>
      <c r="Z40" s="1">
        <v>0</v>
      </c>
      <c r="AA40" s="1">
        <v>0</v>
      </c>
      <c r="AB40" s="1">
        <v>2.0533999999999999</v>
      </c>
      <c r="AC40" s="1">
        <v>4.7110000000000003</v>
      </c>
      <c r="AD40" s="1">
        <v>5.5636000000000001</v>
      </c>
      <c r="AE40" s="1">
        <v>4.6311999999999998</v>
      </c>
      <c r="AF40" s="1">
        <v>2.2968000000000002</v>
      </c>
      <c r="AG40" s="1"/>
      <c r="AH40" s="1">
        <f t="shared" si="12"/>
        <v>50</v>
      </c>
      <c r="AI40" s="1">
        <f t="shared" si="13"/>
        <v>16.715199999999999</v>
      </c>
      <c r="AJ40" t="s">
        <v>115</v>
      </c>
    </row>
    <row r="41" spans="1:36" x14ac:dyDescent="0.25">
      <c r="A41" s="1" t="s">
        <v>116</v>
      </c>
      <c r="B41" s="1" t="s">
        <v>48</v>
      </c>
      <c r="C41" s="1">
        <v>524</v>
      </c>
      <c r="D41" s="1">
        <v>40</v>
      </c>
      <c r="E41" s="1">
        <v>440</v>
      </c>
      <c r="F41" s="1">
        <v>10</v>
      </c>
      <c r="G41" s="7">
        <v>0.1</v>
      </c>
      <c r="H41" s="1">
        <v>731</v>
      </c>
      <c r="I41" s="1" t="s">
        <v>41</v>
      </c>
      <c r="J41" s="1"/>
      <c r="K41" s="1">
        <v>368</v>
      </c>
      <c r="L41" s="1">
        <f t="shared" si="8"/>
        <v>72</v>
      </c>
      <c r="M41" s="1"/>
      <c r="N41" s="1"/>
      <c r="O41" s="1">
        <v>526.29999999999995</v>
      </c>
      <c r="P41" s="1"/>
      <c r="Q41" s="1"/>
      <c r="R41" s="1">
        <f t="shared" si="9"/>
        <v>88</v>
      </c>
      <c r="S41" s="5">
        <f>11*R41-Q41-P41-O41-F41</f>
        <v>431.70000000000005</v>
      </c>
      <c r="T41" s="5">
        <f>S41+$T$1*R41</f>
        <v>370.1</v>
      </c>
      <c r="U41" s="1">
        <f t="shared" si="10"/>
        <v>10.299999999999999</v>
      </c>
      <c r="V41" s="1">
        <f t="shared" si="11"/>
        <v>6.0943181818181813</v>
      </c>
      <c r="W41" s="1">
        <v>90</v>
      </c>
      <c r="X41" s="1">
        <v>67.400000000000006</v>
      </c>
      <c r="Y41" s="1">
        <v>57.8</v>
      </c>
      <c r="Z41" s="1">
        <v>47.8</v>
      </c>
      <c r="AA41" s="1">
        <v>59.6</v>
      </c>
      <c r="AB41" s="1">
        <v>64.2</v>
      </c>
      <c r="AC41" s="1">
        <v>86</v>
      </c>
      <c r="AD41" s="1">
        <v>87.2</v>
      </c>
      <c r="AE41" s="1">
        <v>66.599999999999994</v>
      </c>
      <c r="AF41" s="1">
        <v>65.400000000000006</v>
      </c>
      <c r="AG41" s="1"/>
      <c r="AH41" s="1">
        <f t="shared" si="12"/>
        <v>37</v>
      </c>
      <c r="AI41" s="1">
        <f t="shared" si="13"/>
        <v>8.8000000000000007</v>
      </c>
      <c r="AJ41" t="s">
        <v>117</v>
      </c>
    </row>
    <row r="42" spans="1:36" x14ac:dyDescent="0.25">
      <c r="A42" s="1" t="s">
        <v>118</v>
      </c>
      <c r="B42" s="1" t="s">
        <v>48</v>
      </c>
      <c r="C42" s="1">
        <v>2</v>
      </c>
      <c r="D42" s="1">
        <v>3</v>
      </c>
      <c r="E42" s="1">
        <v>-4</v>
      </c>
      <c r="F42" s="1">
        <v>5</v>
      </c>
      <c r="G42" s="7">
        <v>0.35</v>
      </c>
      <c r="H42" s="1">
        <v>40</v>
      </c>
      <c r="I42" s="12" t="s">
        <v>59</v>
      </c>
      <c r="J42" s="1"/>
      <c r="K42" s="1">
        <v>118</v>
      </c>
      <c r="L42" s="1">
        <f t="shared" si="8"/>
        <v>-122</v>
      </c>
      <c r="M42" s="1"/>
      <c r="N42" s="1"/>
      <c r="O42" s="1">
        <v>45</v>
      </c>
      <c r="P42" s="1">
        <v>-48.000000000000007</v>
      </c>
      <c r="Q42" s="1"/>
      <c r="R42" s="1">
        <f t="shared" si="9"/>
        <v>-0.8</v>
      </c>
      <c r="S42" s="5">
        <v>100</v>
      </c>
      <c r="T42" s="5">
        <f>S42*0.7</f>
        <v>70</v>
      </c>
      <c r="U42" s="1">
        <f t="shared" si="10"/>
        <v>-90</v>
      </c>
      <c r="V42" s="1">
        <f t="shared" si="11"/>
        <v>-2.4999999999999911</v>
      </c>
      <c r="W42" s="1">
        <v>0</v>
      </c>
      <c r="X42" s="1">
        <v>-0.2</v>
      </c>
      <c r="Y42" s="1">
        <v>-0.8</v>
      </c>
      <c r="Z42" s="1">
        <v>3.8</v>
      </c>
      <c r="AA42" s="1">
        <v>1.4</v>
      </c>
      <c r="AB42" s="1">
        <v>-3</v>
      </c>
      <c r="AC42" s="1">
        <v>5.6</v>
      </c>
      <c r="AD42" s="1">
        <v>29.2</v>
      </c>
      <c r="AE42" s="1">
        <v>53.2</v>
      </c>
      <c r="AF42" s="1">
        <v>48</v>
      </c>
      <c r="AG42" s="1"/>
      <c r="AH42" s="1">
        <f t="shared" si="12"/>
        <v>25</v>
      </c>
      <c r="AI42" s="1">
        <f t="shared" si="13"/>
        <v>-0.27999999999999997</v>
      </c>
      <c r="AJ42" t="s">
        <v>119</v>
      </c>
    </row>
    <row r="43" spans="1:36" x14ac:dyDescent="0.25">
      <c r="A43" s="1" t="s">
        <v>120</v>
      </c>
      <c r="B43" s="1" t="s">
        <v>40</v>
      </c>
      <c r="C43" s="1">
        <v>212.18299999999999</v>
      </c>
      <c r="D43" s="1">
        <v>7.2880000000000003</v>
      </c>
      <c r="E43" s="1">
        <v>114.59</v>
      </c>
      <c r="F43" s="1">
        <v>56.143000000000001</v>
      </c>
      <c r="G43" s="7">
        <v>1</v>
      </c>
      <c r="H43" s="1">
        <v>40</v>
      </c>
      <c r="I43" s="12" t="s">
        <v>59</v>
      </c>
      <c r="J43" s="1"/>
      <c r="K43" s="1">
        <v>109.9</v>
      </c>
      <c r="L43" s="1">
        <f t="shared" si="8"/>
        <v>4.6899999999999977</v>
      </c>
      <c r="M43" s="1"/>
      <c r="N43" s="1"/>
      <c r="O43" s="1">
        <v>27</v>
      </c>
      <c r="P43" s="1">
        <v>-29.4</v>
      </c>
      <c r="Q43" s="1"/>
      <c r="R43" s="1">
        <f t="shared" si="9"/>
        <v>22.917999999999999</v>
      </c>
      <c r="S43" s="5">
        <v>60</v>
      </c>
      <c r="T43" s="5">
        <f>S43*0.7</f>
        <v>42</v>
      </c>
      <c r="U43" s="1">
        <f t="shared" si="10"/>
        <v>4.1776333013351952</v>
      </c>
      <c r="V43" s="1">
        <f t="shared" si="11"/>
        <v>2.3450126538092331</v>
      </c>
      <c r="W43" s="1">
        <v>21.759399999999999</v>
      </c>
      <c r="X43" s="1">
        <v>16.7</v>
      </c>
      <c r="Y43" s="1">
        <v>22.0274</v>
      </c>
      <c r="Z43" s="1">
        <v>19.802399999999999</v>
      </c>
      <c r="AA43" s="1">
        <v>21.879200000000001</v>
      </c>
      <c r="AB43" s="1">
        <v>21.395800000000001</v>
      </c>
      <c r="AC43" s="1">
        <v>23.605599999999999</v>
      </c>
      <c r="AD43" s="1">
        <v>23.142399999999999</v>
      </c>
      <c r="AE43" s="1">
        <v>25.816199999999998</v>
      </c>
      <c r="AF43" s="1">
        <v>21.3096</v>
      </c>
      <c r="AG43" s="1"/>
      <c r="AH43" s="1">
        <f t="shared" si="12"/>
        <v>42</v>
      </c>
      <c r="AI43" s="1">
        <f t="shared" si="13"/>
        <v>22.917999999999999</v>
      </c>
      <c r="AJ43" t="s">
        <v>121</v>
      </c>
    </row>
    <row r="44" spans="1:36" x14ac:dyDescent="0.25">
      <c r="A44" s="1" t="s">
        <v>122</v>
      </c>
      <c r="B44" s="1" t="s">
        <v>48</v>
      </c>
      <c r="C44" s="1">
        <v>115</v>
      </c>
      <c r="D44" s="1">
        <v>97</v>
      </c>
      <c r="E44" s="1">
        <v>134</v>
      </c>
      <c r="F44" s="1">
        <v>33</v>
      </c>
      <c r="G44" s="7">
        <v>0.4</v>
      </c>
      <c r="H44" s="1">
        <v>40</v>
      </c>
      <c r="I44" s="12" t="s">
        <v>59</v>
      </c>
      <c r="J44" s="1"/>
      <c r="K44" s="1">
        <v>155</v>
      </c>
      <c r="L44" s="1">
        <f t="shared" si="8"/>
        <v>-21</v>
      </c>
      <c r="M44" s="1"/>
      <c r="N44" s="1"/>
      <c r="O44" s="1">
        <v>36</v>
      </c>
      <c r="P44" s="1"/>
      <c r="Q44" s="1"/>
      <c r="R44" s="1">
        <f t="shared" si="9"/>
        <v>26.8</v>
      </c>
      <c r="S44" s="5">
        <v>150</v>
      </c>
      <c r="T44" s="5">
        <f>S44*0.7</f>
        <v>105</v>
      </c>
      <c r="U44" s="1">
        <f t="shared" si="10"/>
        <v>6.4925373134328357</v>
      </c>
      <c r="V44" s="1">
        <f t="shared" si="11"/>
        <v>2.5746268656716418</v>
      </c>
      <c r="W44" s="1">
        <v>22.8</v>
      </c>
      <c r="X44" s="1">
        <v>2</v>
      </c>
      <c r="Y44" s="1">
        <v>6.2</v>
      </c>
      <c r="Z44" s="1">
        <v>16.399999999999999</v>
      </c>
      <c r="AA44" s="1">
        <v>13.2</v>
      </c>
      <c r="AB44" s="1">
        <v>1</v>
      </c>
      <c r="AC44" s="1">
        <v>0</v>
      </c>
      <c r="AD44" s="1">
        <v>-0.4</v>
      </c>
      <c r="AE44" s="1">
        <v>1.6</v>
      </c>
      <c r="AF44" s="1">
        <v>15.4</v>
      </c>
      <c r="AG44" s="1"/>
      <c r="AH44" s="1">
        <f t="shared" si="12"/>
        <v>42</v>
      </c>
      <c r="AI44" s="1">
        <f t="shared" si="13"/>
        <v>10.72</v>
      </c>
      <c r="AJ44" t="s">
        <v>123</v>
      </c>
    </row>
    <row r="45" spans="1:36" x14ac:dyDescent="0.25">
      <c r="A45" s="1" t="s">
        <v>124</v>
      </c>
      <c r="B45" s="1" t="s">
        <v>48</v>
      </c>
      <c r="C45" s="1">
        <v>39</v>
      </c>
      <c r="D45" s="1">
        <v>121</v>
      </c>
      <c r="E45" s="1">
        <v>125</v>
      </c>
      <c r="F45" s="1">
        <v>16</v>
      </c>
      <c r="G45" s="7">
        <v>0.4</v>
      </c>
      <c r="H45" s="1">
        <v>45</v>
      </c>
      <c r="I45" s="12" t="s">
        <v>59</v>
      </c>
      <c r="J45" s="1"/>
      <c r="K45" s="1">
        <v>160</v>
      </c>
      <c r="L45" s="1">
        <f t="shared" si="8"/>
        <v>-35</v>
      </c>
      <c r="M45" s="1"/>
      <c r="N45" s="1"/>
      <c r="O45" s="1">
        <v>54</v>
      </c>
      <c r="P45" s="1"/>
      <c r="Q45" s="1"/>
      <c r="R45" s="1">
        <f t="shared" si="9"/>
        <v>25</v>
      </c>
      <c r="S45" s="5">
        <v>150</v>
      </c>
      <c r="T45" s="5">
        <f>S45*0.7</f>
        <v>105</v>
      </c>
      <c r="U45" s="1">
        <f t="shared" si="10"/>
        <v>7</v>
      </c>
      <c r="V45" s="1">
        <f t="shared" si="11"/>
        <v>2.8</v>
      </c>
      <c r="W45" s="1">
        <v>30.8</v>
      </c>
      <c r="X45" s="1">
        <v>13.8</v>
      </c>
      <c r="Y45" s="1">
        <v>21.8</v>
      </c>
      <c r="Z45" s="1">
        <v>26.4</v>
      </c>
      <c r="AA45" s="1">
        <v>14.8</v>
      </c>
      <c r="AB45" s="1">
        <v>2.4</v>
      </c>
      <c r="AC45" s="1">
        <v>0</v>
      </c>
      <c r="AD45" s="1">
        <v>18</v>
      </c>
      <c r="AE45" s="1">
        <v>37.6</v>
      </c>
      <c r="AF45" s="1">
        <v>30.2</v>
      </c>
      <c r="AG45" s="1"/>
      <c r="AH45" s="1">
        <f t="shared" si="12"/>
        <v>42</v>
      </c>
      <c r="AI45" s="1">
        <f t="shared" si="13"/>
        <v>10</v>
      </c>
      <c r="AJ45" t="s">
        <v>125</v>
      </c>
    </row>
    <row r="46" spans="1:36" x14ac:dyDescent="0.25">
      <c r="A46" s="9" t="s">
        <v>126</v>
      </c>
      <c r="B46" s="9" t="s">
        <v>40</v>
      </c>
      <c r="C46" s="9">
        <v>2.2000000000000002</v>
      </c>
      <c r="D46" s="9"/>
      <c r="E46" s="9">
        <v>-0.71699999999999997</v>
      </c>
      <c r="F46" s="9">
        <v>2.2000000000000002</v>
      </c>
      <c r="G46" s="10">
        <v>0</v>
      </c>
      <c r="H46" s="9">
        <v>40</v>
      </c>
      <c r="I46" s="9" t="s">
        <v>84</v>
      </c>
      <c r="J46" s="9"/>
      <c r="K46" s="9">
        <v>29.2</v>
      </c>
      <c r="L46" s="9">
        <f t="shared" si="8"/>
        <v>-29.916999999999998</v>
      </c>
      <c r="M46" s="9"/>
      <c r="N46" s="9"/>
      <c r="O46" s="9">
        <v>0</v>
      </c>
      <c r="P46" s="9"/>
      <c r="Q46" s="9"/>
      <c r="R46" s="9">
        <f t="shared" si="9"/>
        <v>-0.1434</v>
      </c>
      <c r="S46" s="11"/>
      <c r="T46" s="5">
        <f>S46</f>
        <v>0</v>
      </c>
      <c r="U46" s="1">
        <f t="shared" si="10"/>
        <v>-15.341701534170154</v>
      </c>
      <c r="V46" s="9">
        <f t="shared" si="11"/>
        <v>-15.341701534170154</v>
      </c>
      <c r="W46" s="9">
        <v>-0.1434</v>
      </c>
      <c r="X46" s="9">
        <v>0</v>
      </c>
      <c r="Y46" s="9">
        <v>-0.43659999999999999</v>
      </c>
      <c r="Z46" s="9">
        <v>-0.43659999999999999</v>
      </c>
      <c r="AA46" s="9">
        <v>-0.28799999999999998</v>
      </c>
      <c r="AB46" s="9">
        <v>0.14779999999999999</v>
      </c>
      <c r="AC46" s="9">
        <v>9.0436000000000014</v>
      </c>
      <c r="AD46" s="9">
        <v>13.8338</v>
      </c>
      <c r="AE46" s="9">
        <v>14.6386</v>
      </c>
      <c r="AF46" s="9">
        <v>12.710599999999999</v>
      </c>
      <c r="AG46" s="9"/>
      <c r="AH46" s="1">
        <f t="shared" si="12"/>
        <v>0</v>
      </c>
      <c r="AI46" s="1">
        <f t="shared" si="13"/>
        <v>0</v>
      </c>
      <c r="AJ46" t="s">
        <v>127</v>
      </c>
    </row>
    <row r="47" spans="1:36" x14ac:dyDescent="0.25">
      <c r="A47" s="1" t="s">
        <v>128</v>
      </c>
      <c r="B47" s="1" t="s">
        <v>40</v>
      </c>
      <c r="C47" s="1">
        <v>153.26300000000001</v>
      </c>
      <c r="D47" s="1">
        <v>5.8339999999999996</v>
      </c>
      <c r="E47" s="1">
        <v>116.67100000000001</v>
      </c>
      <c r="F47" s="1">
        <v>8.359</v>
      </c>
      <c r="G47" s="7">
        <v>1</v>
      </c>
      <c r="H47" s="1">
        <v>40</v>
      </c>
      <c r="I47" s="12" t="s">
        <v>59</v>
      </c>
      <c r="J47" s="1"/>
      <c r="K47" s="1">
        <v>109.84</v>
      </c>
      <c r="L47" s="1">
        <f t="shared" si="8"/>
        <v>6.8310000000000031</v>
      </c>
      <c r="M47" s="1"/>
      <c r="N47" s="1"/>
      <c r="O47" s="1">
        <v>27</v>
      </c>
      <c r="P47" s="1">
        <v>-29.4</v>
      </c>
      <c r="Q47" s="1"/>
      <c r="R47" s="1">
        <f t="shared" si="9"/>
        <v>23.334200000000003</v>
      </c>
      <c r="S47" s="5">
        <v>60</v>
      </c>
      <c r="T47" s="5">
        <f>S47*0.7</f>
        <v>42</v>
      </c>
      <c r="U47" s="1">
        <f t="shared" si="10"/>
        <v>2.0553093742232429</v>
      </c>
      <c r="V47" s="1">
        <f t="shared" si="11"/>
        <v>0.25537622888292733</v>
      </c>
      <c r="W47" s="1">
        <v>20.9544</v>
      </c>
      <c r="X47" s="1">
        <v>15.678000000000001</v>
      </c>
      <c r="Y47" s="1">
        <v>20.927800000000001</v>
      </c>
      <c r="Z47" s="1">
        <v>16.421600000000002</v>
      </c>
      <c r="AA47" s="1">
        <v>18.161000000000001</v>
      </c>
      <c r="AB47" s="1">
        <v>19.6008</v>
      </c>
      <c r="AC47" s="1">
        <v>24.483599999999999</v>
      </c>
      <c r="AD47" s="1">
        <v>29.43</v>
      </c>
      <c r="AE47" s="1">
        <v>32.792200000000001</v>
      </c>
      <c r="AF47" s="1">
        <v>25.5106</v>
      </c>
      <c r="AG47" s="1"/>
      <c r="AH47" s="1">
        <f t="shared" si="12"/>
        <v>42</v>
      </c>
      <c r="AI47" s="1">
        <f t="shared" si="13"/>
        <v>23.334200000000003</v>
      </c>
      <c r="AJ47" t="s">
        <v>129</v>
      </c>
    </row>
    <row r="48" spans="1:36" x14ac:dyDescent="0.25">
      <c r="A48" s="1" t="s">
        <v>130</v>
      </c>
      <c r="B48" s="1" t="s">
        <v>48</v>
      </c>
      <c r="C48" s="1">
        <v>218</v>
      </c>
      <c r="D48" s="1">
        <v>94</v>
      </c>
      <c r="E48" s="1">
        <v>265</v>
      </c>
      <c r="F48" s="1">
        <v>4</v>
      </c>
      <c r="G48" s="7">
        <v>0.35</v>
      </c>
      <c r="H48" s="1">
        <v>40</v>
      </c>
      <c r="I48" s="12" t="s">
        <v>59</v>
      </c>
      <c r="J48" s="1"/>
      <c r="K48" s="1">
        <v>362</v>
      </c>
      <c r="L48" s="1">
        <f t="shared" si="8"/>
        <v>-97</v>
      </c>
      <c r="M48" s="1"/>
      <c r="N48" s="1"/>
      <c r="O48" s="1">
        <v>135</v>
      </c>
      <c r="P48" s="1">
        <v>-138</v>
      </c>
      <c r="Q48" s="1"/>
      <c r="R48" s="1">
        <f t="shared" si="9"/>
        <v>53</v>
      </c>
      <c r="S48" s="5">
        <v>200</v>
      </c>
      <c r="T48" s="5">
        <f>S48*0.7</f>
        <v>140</v>
      </c>
      <c r="U48" s="1">
        <f t="shared" si="10"/>
        <v>2.6603773584905661</v>
      </c>
      <c r="V48" s="1">
        <f t="shared" si="11"/>
        <v>1.8867924528301886E-2</v>
      </c>
      <c r="W48" s="1">
        <v>103</v>
      </c>
      <c r="X48" s="1">
        <v>97.6</v>
      </c>
      <c r="Y48" s="1">
        <v>89</v>
      </c>
      <c r="Z48" s="1">
        <v>59.8</v>
      </c>
      <c r="AA48" s="1">
        <v>29.4</v>
      </c>
      <c r="AB48" s="1">
        <v>28.2</v>
      </c>
      <c r="AC48" s="1">
        <v>68</v>
      </c>
      <c r="AD48" s="1">
        <v>90.8</v>
      </c>
      <c r="AE48" s="1">
        <v>100.4</v>
      </c>
      <c r="AF48" s="1">
        <v>88.8</v>
      </c>
      <c r="AG48" s="1"/>
      <c r="AH48" s="1">
        <f t="shared" si="12"/>
        <v>49</v>
      </c>
      <c r="AI48" s="1">
        <f t="shared" si="13"/>
        <v>18.549999999999997</v>
      </c>
      <c r="AJ48" t="s">
        <v>131</v>
      </c>
    </row>
    <row r="49" spans="1:36" x14ac:dyDescent="0.25">
      <c r="A49" s="1" t="s">
        <v>132</v>
      </c>
      <c r="B49" s="1" t="s">
        <v>48</v>
      </c>
      <c r="C49" s="1">
        <v>67</v>
      </c>
      <c r="D49" s="1">
        <v>265</v>
      </c>
      <c r="E49" s="1">
        <v>286</v>
      </c>
      <c r="F49" s="1">
        <v>6</v>
      </c>
      <c r="G49" s="7">
        <v>0.4</v>
      </c>
      <c r="H49" s="1">
        <v>40</v>
      </c>
      <c r="I49" s="12" t="s">
        <v>59</v>
      </c>
      <c r="J49" s="1"/>
      <c r="K49" s="1">
        <v>322</v>
      </c>
      <c r="L49" s="1">
        <f t="shared" si="8"/>
        <v>-36</v>
      </c>
      <c r="M49" s="1"/>
      <c r="N49" s="1"/>
      <c r="O49" s="1">
        <v>112.5</v>
      </c>
      <c r="P49" s="1"/>
      <c r="Q49" s="1"/>
      <c r="R49" s="1">
        <f t="shared" si="9"/>
        <v>57.2</v>
      </c>
      <c r="S49" s="5">
        <v>250</v>
      </c>
      <c r="T49" s="5">
        <f>S49*0.7</f>
        <v>175</v>
      </c>
      <c r="U49" s="1">
        <f t="shared" si="10"/>
        <v>5.1311188811188808</v>
      </c>
      <c r="V49" s="1">
        <f t="shared" si="11"/>
        <v>2.0716783216783217</v>
      </c>
      <c r="W49" s="1">
        <v>50.6</v>
      </c>
      <c r="X49" s="1">
        <v>5.8</v>
      </c>
      <c r="Y49" s="1">
        <v>33.6</v>
      </c>
      <c r="Z49" s="1">
        <v>70.400000000000006</v>
      </c>
      <c r="AA49" s="1">
        <v>38.799999999999997</v>
      </c>
      <c r="AB49" s="1">
        <v>-0.4</v>
      </c>
      <c r="AC49" s="1">
        <v>4.8</v>
      </c>
      <c r="AD49" s="1">
        <v>60.6</v>
      </c>
      <c r="AE49" s="1">
        <v>80.400000000000006</v>
      </c>
      <c r="AF49" s="1">
        <v>31</v>
      </c>
      <c r="AG49" s="1"/>
      <c r="AH49" s="1">
        <f t="shared" si="12"/>
        <v>70</v>
      </c>
      <c r="AI49" s="1">
        <f t="shared" si="13"/>
        <v>22.880000000000003</v>
      </c>
      <c r="AJ49" t="s">
        <v>133</v>
      </c>
    </row>
    <row r="50" spans="1:36" x14ac:dyDescent="0.25">
      <c r="A50" s="1" t="s">
        <v>134</v>
      </c>
      <c r="B50" s="1" t="s">
        <v>40</v>
      </c>
      <c r="C50" s="1">
        <v>133.34100000000001</v>
      </c>
      <c r="D50" s="1">
        <v>17.553000000000001</v>
      </c>
      <c r="E50" s="1">
        <v>80.992999999999995</v>
      </c>
      <c r="F50" s="1">
        <v>53.674999999999997</v>
      </c>
      <c r="G50" s="7">
        <v>1</v>
      </c>
      <c r="H50" s="1">
        <v>50</v>
      </c>
      <c r="I50" s="1" t="s">
        <v>41</v>
      </c>
      <c r="J50" s="1"/>
      <c r="K50" s="1">
        <v>74.7</v>
      </c>
      <c r="L50" s="1">
        <f t="shared" si="8"/>
        <v>6.2929999999999922</v>
      </c>
      <c r="M50" s="1"/>
      <c r="N50" s="1"/>
      <c r="O50" s="1">
        <v>0</v>
      </c>
      <c r="P50" s="1"/>
      <c r="Q50" s="1"/>
      <c r="R50" s="1">
        <f t="shared" si="9"/>
        <v>16.198599999999999</v>
      </c>
      <c r="S50" s="5">
        <f>8*R50-Q50-P50-O50-F50</f>
        <v>75.913799999999995</v>
      </c>
      <c r="T50" s="5">
        <f>S50</f>
        <v>75.913799999999995</v>
      </c>
      <c r="U50" s="1">
        <f t="shared" si="10"/>
        <v>8</v>
      </c>
      <c r="V50" s="1">
        <f t="shared" si="11"/>
        <v>3.3135579617991677</v>
      </c>
      <c r="W50" s="1">
        <v>4.0784000000000002</v>
      </c>
      <c r="X50" s="1">
        <v>5.7111999999999998</v>
      </c>
      <c r="Y50" s="1">
        <v>8.3732000000000006</v>
      </c>
      <c r="Z50" s="1">
        <v>5.0987999999999998</v>
      </c>
      <c r="AA50" s="1">
        <v>3.4666000000000001</v>
      </c>
      <c r="AB50" s="1">
        <v>8.6292000000000009</v>
      </c>
      <c r="AC50" s="1">
        <v>14.634600000000001</v>
      </c>
      <c r="AD50" s="1">
        <v>11.626799999999999</v>
      </c>
      <c r="AE50" s="1">
        <v>6.9311999999999996</v>
      </c>
      <c r="AF50" s="1">
        <v>5.5941999999999998</v>
      </c>
      <c r="AG50" s="1"/>
      <c r="AH50" s="1">
        <f t="shared" si="12"/>
        <v>76</v>
      </c>
      <c r="AI50" s="1">
        <f t="shared" si="13"/>
        <v>16.198599999999999</v>
      </c>
      <c r="AJ50" t="s">
        <v>135</v>
      </c>
    </row>
    <row r="51" spans="1:36" x14ac:dyDescent="0.25">
      <c r="A51" s="1" t="s">
        <v>136</v>
      </c>
      <c r="B51" s="1" t="s">
        <v>40</v>
      </c>
      <c r="C51" s="1">
        <v>184.33699999999999</v>
      </c>
      <c r="D51" s="1">
        <v>81.903999999999996</v>
      </c>
      <c r="E51" s="1">
        <v>142.27199999999999</v>
      </c>
      <c r="F51" s="1">
        <v>104.601</v>
      </c>
      <c r="G51" s="7">
        <v>1</v>
      </c>
      <c r="H51" s="1">
        <v>50</v>
      </c>
      <c r="I51" s="1" t="s">
        <v>41</v>
      </c>
      <c r="J51" s="1"/>
      <c r="K51" s="1">
        <v>136.1</v>
      </c>
      <c r="L51" s="1">
        <f t="shared" si="8"/>
        <v>6.171999999999997</v>
      </c>
      <c r="M51" s="1"/>
      <c r="N51" s="1"/>
      <c r="O51" s="1">
        <v>25.189000000000011</v>
      </c>
      <c r="P51" s="1"/>
      <c r="Q51" s="1"/>
      <c r="R51" s="1">
        <f t="shared" si="9"/>
        <v>28.4544</v>
      </c>
      <c r="S51" s="5">
        <f>11*R51-Q51-P51-O51-F51</f>
        <v>183.20839999999998</v>
      </c>
      <c r="T51" s="5">
        <f>S51</f>
        <v>183.20839999999998</v>
      </c>
      <c r="U51" s="1">
        <f t="shared" si="10"/>
        <v>11</v>
      </c>
      <c r="V51" s="1">
        <f t="shared" si="11"/>
        <v>4.5613332208726955</v>
      </c>
      <c r="W51" s="1">
        <v>15.607200000000001</v>
      </c>
      <c r="X51" s="1">
        <v>15.357799999999999</v>
      </c>
      <c r="Y51" s="1">
        <v>21.200199999999999</v>
      </c>
      <c r="Z51" s="1">
        <v>14.8202</v>
      </c>
      <c r="AA51" s="1">
        <v>20.593</v>
      </c>
      <c r="AB51" s="1">
        <v>27.026800000000001</v>
      </c>
      <c r="AC51" s="1">
        <v>24.317599999999999</v>
      </c>
      <c r="AD51" s="1">
        <v>22.387</v>
      </c>
      <c r="AE51" s="1">
        <v>17.299399999999999</v>
      </c>
      <c r="AF51" s="1">
        <v>20.2286</v>
      </c>
      <c r="AG51" s="1"/>
      <c r="AH51" s="1">
        <f t="shared" si="12"/>
        <v>183</v>
      </c>
      <c r="AI51" s="1">
        <f t="shared" si="13"/>
        <v>28.4544</v>
      </c>
      <c r="AJ51" t="s">
        <v>137</v>
      </c>
    </row>
    <row r="52" spans="1:36" x14ac:dyDescent="0.25">
      <c r="A52" s="1" t="s">
        <v>138</v>
      </c>
      <c r="B52" s="1" t="s">
        <v>40</v>
      </c>
      <c r="C52" s="1">
        <v>-0.125</v>
      </c>
      <c r="D52" s="1"/>
      <c r="E52" s="1">
        <v>-0.15</v>
      </c>
      <c r="F52" s="1">
        <v>-0.125</v>
      </c>
      <c r="G52" s="7">
        <v>1</v>
      </c>
      <c r="H52" s="1">
        <v>45</v>
      </c>
      <c r="I52" s="12" t="s">
        <v>59</v>
      </c>
      <c r="J52" s="1"/>
      <c r="K52" s="1"/>
      <c r="L52" s="1">
        <f t="shared" si="8"/>
        <v>-0.15</v>
      </c>
      <c r="M52" s="1"/>
      <c r="N52" s="1"/>
      <c r="O52" s="1">
        <v>27</v>
      </c>
      <c r="P52" s="1">
        <v>-27</v>
      </c>
      <c r="Q52" s="1"/>
      <c r="R52" s="1">
        <f t="shared" si="9"/>
        <v>-0.03</v>
      </c>
      <c r="S52" s="5">
        <v>50</v>
      </c>
      <c r="T52" s="5">
        <f>S52</f>
        <v>50</v>
      </c>
      <c r="U52" s="1">
        <f t="shared" si="10"/>
        <v>-1662.5</v>
      </c>
      <c r="V52" s="1">
        <f t="shared" si="11"/>
        <v>4.166666666666667</v>
      </c>
      <c r="W52" s="1">
        <v>-0.03</v>
      </c>
      <c r="X52" s="1">
        <v>0</v>
      </c>
      <c r="Y52" s="1">
        <v>0.57939999999999992</v>
      </c>
      <c r="Z52" s="1">
        <v>19.140999999999998</v>
      </c>
      <c r="AA52" s="1">
        <v>23.854800000000001</v>
      </c>
      <c r="AB52" s="1">
        <v>5.6736000000000004</v>
      </c>
      <c r="AC52" s="1">
        <v>9.59</v>
      </c>
      <c r="AD52" s="1">
        <v>25.247399999999999</v>
      </c>
      <c r="AE52" s="1">
        <v>16.625399999999999</v>
      </c>
      <c r="AF52" s="1">
        <v>0.30599999999999999</v>
      </c>
      <c r="AG52" s="1"/>
      <c r="AH52" s="1">
        <f t="shared" si="12"/>
        <v>50</v>
      </c>
      <c r="AI52" s="1">
        <f t="shared" si="13"/>
        <v>-0.03</v>
      </c>
      <c r="AJ52" t="s">
        <v>139</v>
      </c>
    </row>
    <row r="53" spans="1:36" x14ac:dyDescent="0.25">
      <c r="A53" s="1" t="s">
        <v>140</v>
      </c>
      <c r="B53" s="1" t="s">
        <v>48</v>
      </c>
      <c r="C53" s="1">
        <v>194</v>
      </c>
      <c r="D53" s="1">
        <v>31</v>
      </c>
      <c r="E53" s="1">
        <v>101</v>
      </c>
      <c r="F53" s="1">
        <v>72</v>
      </c>
      <c r="G53" s="7">
        <v>0.45</v>
      </c>
      <c r="H53" s="1">
        <v>50</v>
      </c>
      <c r="I53" s="1" t="s">
        <v>41</v>
      </c>
      <c r="J53" s="1"/>
      <c r="K53" s="1">
        <v>108</v>
      </c>
      <c r="L53" s="1">
        <f t="shared" si="8"/>
        <v>-7</v>
      </c>
      <c r="M53" s="1"/>
      <c r="N53" s="1"/>
      <c r="O53" s="1">
        <v>74.262000000000057</v>
      </c>
      <c r="P53" s="1"/>
      <c r="Q53" s="1"/>
      <c r="R53" s="1">
        <f t="shared" si="9"/>
        <v>20.2</v>
      </c>
      <c r="S53" s="5">
        <f>11*R53-Q53-P53-O53-F53</f>
        <v>75.937999999999931</v>
      </c>
      <c r="T53" s="5">
        <f>S53</f>
        <v>75.937999999999931</v>
      </c>
      <c r="U53" s="1">
        <f t="shared" si="10"/>
        <v>11</v>
      </c>
      <c r="V53" s="1">
        <f t="shared" si="11"/>
        <v>7.2406930693069338</v>
      </c>
      <c r="W53" s="1">
        <v>20.6</v>
      </c>
      <c r="X53" s="1">
        <v>16.399999999999999</v>
      </c>
      <c r="Y53" s="1">
        <v>19.600000000000001</v>
      </c>
      <c r="Z53" s="1">
        <v>21.8</v>
      </c>
      <c r="AA53" s="1">
        <v>20.2</v>
      </c>
      <c r="AB53" s="1">
        <v>25.4</v>
      </c>
      <c r="AC53" s="1">
        <v>24.4</v>
      </c>
      <c r="AD53" s="1">
        <v>20.8</v>
      </c>
      <c r="AE53" s="1">
        <v>31</v>
      </c>
      <c r="AF53" s="1">
        <v>31.8</v>
      </c>
      <c r="AG53" s="1"/>
      <c r="AH53" s="1">
        <f t="shared" si="12"/>
        <v>34</v>
      </c>
      <c r="AI53" s="1">
        <f t="shared" si="13"/>
        <v>9.09</v>
      </c>
      <c r="AJ53" t="s">
        <v>141</v>
      </c>
    </row>
    <row r="54" spans="1:36" x14ac:dyDescent="0.25">
      <c r="A54" s="1" t="s">
        <v>142</v>
      </c>
      <c r="B54" s="1" t="s">
        <v>48</v>
      </c>
      <c r="C54" s="1">
        <v>415</v>
      </c>
      <c r="D54" s="1">
        <v>11</v>
      </c>
      <c r="E54" s="1">
        <v>241</v>
      </c>
      <c r="F54" s="1">
        <v>119</v>
      </c>
      <c r="G54" s="7">
        <v>0.45</v>
      </c>
      <c r="H54" s="1">
        <v>50</v>
      </c>
      <c r="I54" s="1" t="s">
        <v>41</v>
      </c>
      <c r="J54" s="1"/>
      <c r="K54" s="1">
        <v>250</v>
      </c>
      <c r="L54" s="1">
        <f t="shared" si="8"/>
        <v>-9</v>
      </c>
      <c r="M54" s="1"/>
      <c r="N54" s="1"/>
      <c r="O54" s="1">
        <v>197.46600000000001</v>
      </c>
      <c r="P54" s="1"/>
      <c r="Q54" s="1"/>
      <c r="R54" s="1">
        <f t="shared" si="9"/>
        <v>48.2</v>
      </c>
      <c r="S54" s="5">
        <f>11*R54-Q54-P54-O54-F54</f>
        <v>213.73400000000004</v>
      </c>
      <c r="T54" s="5">
        <f>S54</f>
        <v>213.73400000000004</v>
      </c>
      <c r="U54" s="1">
        <f t="shared" si="10"/>
        <v>11</v>
      </c>
      <c r="V54" s="1">
        <f t="shared" si="11"/>
        <v>6.5656846473029047</v>
      </c>
      <c r="W54" s="1">
        <v>45.8</v>
      </c>
      <c r="X54" s="1">
        <v>21.2</v>
      </c>
      <c r="Y54" s="1">
        <v>24</v>
      </c>
      <c r="Z54" s="1">
        <v>25.8</v>
      </c>
      <c r="AA54" s="1">
        <v>20.8</v>
      </c>
      <c r="AB54" s="1">
        <v>32.200000000000003</v>
      </c>
      <c r="AC54" s="1">
        <v>52.2</v>
      </c>
      <c r="AD54" s="1">
        <v>55.2</v>
      </c>
      <c r="AE54" s="1">
        <v>40.4</v>
      </c>
      <c r="AF54" s="1">
        <v>26.6</v>
      </c>
      <c r="AG54" s="1"/>
      <c r="AH54" s="1">
        <f t="shared" si="12"/>
        <v>96</v>
      </c>
      <c r="AI54" s="1">
        <f t="shared" si="13"/>
        <v>21.69</v>
      </c>
      <c r="AJ54" t="s">
        <v>143</v>
      </c>
    </row>
    <row r="55" spans="1:36" x14ac:dyDescent="0.25">
      <c r="A55" s="1" t="s">
        <v>144</v>
      </c>
      <c r="B55" s="1" t="s">
        <v>48</v>
      </c>
      <c r="C55" s="1">
        <v>100</v>
      </c>
      <c r="D55" s="1">
        <v>72</v>
      </c>
      <c r="E55" s="1">
        <v>160</v>
      </c>
      <c r="F55" s="1"/>
      <c r="G55" s="7">
        <v>0.4</v>
      </c>
      <c r="H55" s="1">
        <v>40</v>
      </c>
      <c r="I55" s="12" t="s">
        <v>59</v>
      </c>
      <c r="J55" s="1"/>
      <c r="K55" s="1">
        <v>170</v>
      </c>
      <c r="L55" s="1">
        <f t="shared" si="8"/>
        <v>-10</v>
      </c>
      <c r="M55" s="1"/>
      <c r="N55" s="1"/>
      <c r="O55" s="1">
        <v>45</v>
      </c>
      <c r="P55" s="1">
        <v>-47.999999999999993</v>
      </c>
      <c r="Q55" s="1"/>
      <c r="R55" s="1">
        <f t="shared" si="9"/>
        <v>32</v>
      </c>
      <c r="S55" s="5">
        <v>100</v>
      </c>
      <c r="T55" s="5">
        <f>S55*0.7</f>
        <v>70</v>
      </c>
      <c r="U55" s="1">
        <f t="shared" si="10"/>
        <v>2.09375</v>
      </c>
      <c r="V55" s="1">
        <f t="shared" si="11"/>
        <v>-9.3749999999999778E-2</v>
      </c>
      <c r="W55" s="1">
        <v>37.200000000000003</v>
      </c>
      <c r="X55" s="1">
        <v>17</v>
      </c>
      <c r="Y55" s="1">
        <v>23.2</v>
      </c>
      <c r="Z55" s="1">
        <v>22.4</v>
      </c>
      <c r="AA55" s="1">
        <v>14.8</v>
      </c>
      <c r="AB55" s="1">
        <v>21.2</v>
      </c>
      <c r="AC55" s="1">
        <v>21.8</v>
      </c>
      <c r="AD55" s="1">
        <v>20.2</v>
      </c>
      <c r="AE55" s="1">
        <v>32.6</v>
      </c>
      <c r="AF55" s="1">
        <v>27.8</v>
      </c>
      <c r="AG55" s="1"/>
      <c r="AH55" s="1">
        <f t="shared" si="12"/>
        <v>28</v>
      </c>
      <c r="AI55" s="1">
        <f t="shared" si="13"/>
        <v>12.8</v>
      </c>
      <c r="AJ55" t="s">
        <v>145</v>
      </c>
    </row>
    <row r="56" spans="1:36" x14ac:dyDescent="0.25">
      <c r="A56" s="1" t="s">
        <v>146</v>
      </c>
      <c r="B56" s="1" t="s">
        <v>48</v>
      </c>
      <c r="C56" s="1">
        <v>84</v>
      </c>
      <c r="D56" s="1">
        <v>174</v>
      </c>
      <c r="E56" s="1">
        <v>176</v>
      </c>
      <c r="F56" s="1">
        <v>60</v>
      </c>
      <c r="G56" s="7">
        <v>0.4</v>
      </c>
      <c r="H56" s="1">
        <v>40</v>
      </c>
      <c r="I56" s="12" t="s">
        <v>59</v>
      </c>
      <c r="J56" s="1"/>
      <c r="K56" s="1">
        <v>190</v>
      </c>
      <c r="L56" s="1">
        <f t="shared" si="8"/>
        <v>-14</v>
      </c>
      <c r="M56" s="1"/>
      <c r="N56" s="1"/>
      <c r="O56" s="1">
        <v>54</v>
      </c>
      <c r="P56" s="1"/>
      <c r="Q56" s="1"/>
      <c r="R56" s="1">
        <f t="shared" si="9"/>
        <v>35.200000000000003</v>
      </c>
      <c r="S56" s="5">
        <v>150</v>
      </c>
      <c r="T56" s="5">
        <f>S56*0.7</f>
        <v>105</v>
      </c>
      <c r="U56" s="1">
        <f t="shared" si="10"/>
        <v>6.2215909090909083</v>
      </c>
      <c r="V56" s="1">
        <f t="shared" si="11"/>
        <v>3.2386363636363633</v>
      </c>
      <c r="W56" s="1">
        <v>32</v>
      </c>
      <c r="X56" s="1">
        <v>12.8</v>
      </c>
      <c r="Y56" s="1">
        <v>20.8</v>
      </c>
      <c r="Z56" s="1">
        <v>25.4</v>
      </c>
      <c r="AA56" s="1">
        <v>15.6</v>
      </c>
      <c r="AB56" s="1">
        <v>12.8</v>
      </c>
      <c r="AC56" s="1">
        <v>14.4</v>
      </c>
      <c r="AD56" s="1">
        <v>16.600000000000001</v>
      </c>
      <c r="AE56" s="1">
        <v>31.6</v>
      </c>
      <c r="AF56" s="1">
        <v>18.2</v>
      </c>
      <c r="AG56" s="1"/>
      <c r="AH56" s="1">
        <f t="shared" si="12"/>
        <v>42</v>
      </c>
      <c r="AI56" s="1">
        <f t="shared" si="13"/>
        <v>14.080000000000002</v>
      </c>
      <c r="AJ56" t="s">
        <v>147</v>
      </c>
    </row>
    <row r="57" spans="1:36" x14ac:dyDescent="0.25">
      <c r="A57" s="1" t="s">
        <v>148</v>
      </c>
      <c r="B57" s="1" t="s">
        <v>40</v>
      </c>
      <c r="C57" s="1">
        <v>113.131</v>
      </c>
      <c r="D57" s="1">
        <v>115.18300000000001</v>
      </c>
      <c r="E57" s="1">
        <v>127.06699999999999</v>
      </c>
      <c r="F57" s="1">
        <v>83.498000000000005</v>
      </c>
      <c r="G57" s="7">
        <v>1</v>
      </c>
      <c r="H57" s="1">
        <v>50</v>
      </c>
      <c r="I57" s="1" t="s">
        <v>41</v>
      </c>
      <c r="J57" s="1"/>
      <c r="K57" s="1">
        <v>125.15</v>
      </c>
      <c r="L57" s="1">
        <f t="shared" si="8"/>
        <v>1.9169999999999874</v>
      </c>
      <c r="M57" s="1"/>
      <c r="N57" s="1"/>
      <c r="O57" s="1">
        <v>37.825166000000017</v>
      </c>
      <c r="P57" s="1"/>
      <c r="Q57" s="1"/>
      <c r="R57" s="1">
        <f t="shared" si="9"/>
        <v>25.413399999999999</v>
      </c>
      <c r="S57" s="5">
        <f>11*R57-Q57-P57-O57-F57</f>
        <v>158.22423399999997</v>
      </c>
      <c r="T57" s="5">
        <f t="shared" ref="T57:T62" si="14">S57</f>
        <v>158.22423399999997</v>
      </c>
      <c r="U57" s="1">
        <f t="shared" si="10"/>
        <v>11</v>
      </c>
      <c r="V57" s="1">
        <f t="shared" si="11"/>
        <v>4.773984039915951</v>
      </c>
      <c r="W57" s="1">
        <v>15.8782</v>
      </c>
      <c r="X57" s="1">
        <v>12.8612</v>
      </c>
      <c r="Y57" s="1">
        <v>18.917200000000001</v>
      </c>
      <c r="Z57" s="1">
        <v>14.224399999999999</v>
      </c>
      <c r="AA57" s="1">
        <v>14.7386</v>
      </c>
      <c r="AB57" s="1">
        <v>21.672000000000001</v>
      </c>
      <c r="AC57" s="1">
        <v>21.163</v>
      </c>
      <c r="AD57" s="1">
        <v>17.197600000000001</v>
      </c>
      <c r="AE57" s="1">
        <v>18.852</v>
      </c>
      <c r="AF57" s="1">
        <v>18.622800000000002</v>
      </c>
      <c r="AG57" s="1"/>
      <c r="AH57" s="1">
        <f t="shared" si="12"/>
        <v>158</v>
      </c>
      <c r="AI57" s="1">
        <f t="shared" si="13"/>
        <v>25.413399999999999</v>
      </c>
      <c r="AJ57" t="s">
        <v>149</v>
      </c>
    </row>
    <row r="58" spans="1:36" x14ac:dyDescent="0.25">
      <c r="A58" s="1" t="s">
        <v>150</v>
      </c>
      <c r="B58" s="1" t="s">
        <v>48</v>
      </c>
      <c r="C58" s="1">
        <v>467</v>
      </c>
      <c r="D58" s="1"/>
      <c r="E58" s="1">
        <v>224</v>
      </c>
      <c r="F58" s="1">
        <v>171</v>
      </c>
      <c r="G58" s="7">
        <v>0.1</v>
      </c>
      <c r="H58" s="1">
        <v>731</v>
      </c>
      <c r="I58" s="1" t="s">
        <v>41</v>
      </c>
      <c r="J58" s="1"/>
      <c r="K58" s="1">
        <v>225</v>
      </c>
      <c r="L58" s="1">
        <f t="shared" si="8"/>
        <v>-1</v>
      </c>
      <c r="M58" s="1"/>
      <c r="N58" s="1"/>
      <c r="O58" s="1">
        <v>47.799999999999947</v>
      </c>
      <c r="P58" s="1"/>
      <c r="Q58" s="1"/>
      <c r="R58" s="1">
        <f t="shared" si="9"/>
        <v>44.8</v>
      </c>
      <c r="S58" s="5">
        <f>11*R58-Q58-P58-O58-F58</f>
        <v>274</v>
      </c>
      <c r="T58" s="5">
        <f t="shared" si="14"/>
        <v>274</v>
      </c>
      <c r="U58" s="1">
        <f t="shared" si="10"/>
        <v>11</v>
      </c>
      <c r="V58" s="1">
        <f t="shared" si="11"/>
        <v>4.8839285714285703</v>
      </c>
      <c r="W58" s="1">
        <v>32.4</v>
      </c>
      <c r="X58" s="1">
        <v>36.799999999999997</v>
      </c>
      <c r="Y58" s="1">
        <v>25.6</v>
      </c>
      <c r="Z58" s="1">
        <v>16.2</v>
      </c>
      <c r="AA58" s="1">
        <v>44</v>
      </c>
      <c r="AB58" s="1">
        <v>53</v>
      </c>
      <c r="AC58" s="1">
        <v>43.4</v>
      </c>
      <c r="AD58" s="1">
        <v>37.799999999999997</v>
      </c>
      <c r="AE58" s="1">
        <v>25.4</v>
      </c>
      <c r="AF58" s="1">
        <v>33</v>
      </c>
      <c r="AG58" s="1"/>
      <c r="AH58" s="1">
        <f t="shared" si="12"/>
        <v>27</v>
      </c>
      <c r="AI58" s="1">
        <f t="shared" si="13"/>
        <v>4.4799999999999995</v>
      </c>
      <c r="AJ58" t="s">
        <v>151</v>
      </c>
    </row>
    <row r="59" spans="1:36" x14ac:dyDescent="0.25">
      <c r="A59" s="1" t="s">
        <v>152</v>
      </c>
      <c r="B59" s="1" t="s">
        <v>40</v>
      </c>
      <c r="C59" s="1">
        <v>74.596000000000004</v>
      </c>
      <c r="D59" s="1">
        <v>97.712999999999994</v>
      </c>
      <c r="E59" s="1">
        <v>77.527000000000001</v>
      </c>
      <c r="F59" s="1">
        <v>73.036000000000001</v>
      </c>
      <c r="G59" s="7">
        <v>1</v>
      </c>
      <c r="H59" s="1">
        <v>50</v>
      </c>
      <c r="I59" s="1" t="s">
        <v>41</v>
      </c>
      <c r="J59" s="1"/>
      <c r="K59" s="1">
        <v>92.6</v>
      </c>
      <c r="L59" s="1">
        <f t="shared" si="8"/>
        <v>-15.072999999999993</v>
      </c>
      <c r="M59" s="1"/>
      <c r="N59" s="1"/>
      <c r="O59" s="1">
        <v>4</v>
      </c>
      <c r="P59" s="1"/>
      <c r="Q59" s="1"/>
      <c r="R59" s="1">
        <f t="shared" si="9"/>
        <v>15.5054</v>
      </c>
      <c r="S59" s="5">
        <f>11*R59-Q59-P59-O59-F59</f>
        <v>93.523400000000009</v>
      </c>
      <c r="T59" s="5">
        <f t="shared" si="14"/>
        <v>93.523400000000009</v>
      </c>
      <c r="U59" s="1">
        <f t="shared" si="10"/>
        <v>11</v>
      </c>
      <c r="V59" s="1">
        <f t="shared" si="11"/>
        <v>4.9683336128058615</v>
      </c>
      <c r="W59" s="1">
        <v>10.170400000000001</v>
      </c>
      <c r="X59" s="1">
        <v>14.961</v>
      </c>
      <c r="Y59" s="1">
        <v>15.6616</v>
      </c>
      <c r="Z59" s="1">
        <v>8.7063999999999986</v>
      </c>
      <c r="AA59" s="1">
        <v>10.54</v>
      </c>
      <c r="AB59" s="1">
        <v>16.8352</v>
      </c>
      <c r="AC59" s="1">
        <v>17.306999999999999</v>
      </c>
      <c r="AD59" s="1">
        <v>15.000999999999999</v>
      </c>
      <c r="AE59" s="1">
        <v>12.8538</v>
      </c>
      <c r="AF59" s="1">
        <v>14.462999999999999</v>
      </c>
      <c r="AG59" s="1"/>
      <c r="AH59" s="1">
        <f t="shared" si="12"/>
        <v>94</v>
      </c>
      <c r="AI59" s="1">
        <f t="shared" si="13"/>
        <v>15.5054</v>
      </c>
      <c r="AJ59" t="s">
        <v>153</v>
      </c>
    </row>
    <row r="60" spans="1:36" x14ac:dyDescent="0.25">
      <c r="A60" s="1" t="s">
        <v>154</v>
      </c>
      <c r="B60" s="1" t="s">
        <v>40</v>
      </c>
      <c r="C60" s="1">
        <v>42.488999999999997</v>
      </c>
      <c r="D60" s="1">
        <v>32.835999999999999</v>
      </c>
      <c r="E60" s="1">
        <v>39.912999999999997</v>
      </c>
      <c r="F60" s="1">
        <v>27.170999999999999</v>
      </c>
      <c r="G60" s="7">
        <v>1</v>
      </c>
      <c r="H60" s="1">
        <v>55</v>
      </c>
      <c r="I60" s="1" t="s">
        <v>41</v>
      </c>
      <c r="J60" s="1"/>
      <c r="K60" s="1">
        <v>35.5</v>
      </c>
      <c r="L60" s="1">
        <f t="shared" si="8"/>
        <v>4.4129999999999967</v>
      </c>
      <c r="M60" s="1"/>
      <c r="N60" s="1"/>
      <c r="O60" s="1">
        <v>0</v>
      </c>
      <c r="P60" s="1"/>
      <c r="Q60" s="1"/>
      <c r="R60" s="1">
        <f t="shared" si="9"/>
        <v>7.9825999999999997</v>
      </c>
      <c r="S60" s="5">
        <f>9*R60-Q60-P60-O60-F60</f>
        <v>44.672400000000003</v>
      </c>
      <c r="T60" s="5">
        <f t="shared" si="14"/>
        <v>44.672400000000003</v>
      </c>
      <c r="U60" s="1">
        <f t="shared" si="10"/>
        <v>9</v>
      </c>
      <c r="V60" s="1">
        <f t="shared" si="11"/>
        <v>3.4037782176233309</v>
      </c>
      <c r="W60" s="1">
        <v>2.7427999999999999</v>
      </c>
      <c r="X60" s="1">
        <v>6.0340000000000007</v>
      </c>
      <c r="Y60" s="1">
        <v>6.3116000000000003</v>
      </c>
      <c r="Z60" s="1">
        <v>1.65</v>
      </c>
      <c r="AA60" s="1">
        <v>4.9256000000000002</v>
      </c>
      <c r="AB60" s="1">
        <v>7.6627999999999998</v>
      </c>
      <c r="AC60" s="1">
        <v>7.9290000000000003</v>
      </c>
      <c r="AD60" s="1">
        <v>6.2595999999999998</v>
      </c>
      <c r="AE60" s="1">
        <v>4.0456000000000003</v>
      </c>
      <c r="AF60" s="1">
        <v>5.1433999999999997</v>
      </c>
      <c r="AG60" s="1"/>
      <c r="AH60" s="1">
        <f t="shared" si="12"/>
        <v>45</v>
      </c>
      <c r="AI60" s="1">
        <f t="shared" si="13"/>
        <v>7.9825999999999997</v>
      </c>
      <c r="AJ60" t="s">
        <v>155</v>
      </c>
    </row>
    <row r="61" spans="1:36" x14ac:dyDescent="0.25">
      <c r="A61" s="1" t="s">
        <v>156</v>
      </c>
      <c r="B61" s="1" t="s">
        <v>48</v>
      </c>
      <c r="C61" s="1">
        <v>369</v>
      </c>
      <c r="D61" s="1"/>
      <c r="E61" s="1">
        <v>366</v>
      </c>
      <c r="F61" s="1">
        <v>-10</v>
      </c>
      <c r="G61" s="7">
        <v>0.1</v>
      </c>
      <c r="H61" s="1">
        <v>731</v>
      </c>
      <c r="I61" s="1" t="s">
        <v>41</v>
      </c>
      <c r="J61" s="1"/>
      <c r="K61" s="1">
        <v>240</v>
      </c>
      <c r="L61" s="1">
        <f t="shared" si="8"/>
        <v>126</v>
      </c>
      <c r="M61" s="1"/>
      <c r="N61" s="1"/>
      <c r="O61" s="1">
        <v>349.63400000000001</v>
      </c>
      <c r="P61" s="1"/>
      <c r="Q61" s="1"/>
      <c r="R61" s="1">
        <f t="shared" si="9"/>
        <v>73.2</v>
      </c>
      <c r="S61" s="5">
        <f>11*R61-Q61-P61-O61-F61</f>
        <v>465.56600000000003</v>
      </c>
      <c r="T61" s="5">
        <f t="shared" si="14"/>
        <v>465.56600000000003</v>
      </c>
      <c r="U61" s="1">
        <f t="shared" si="10"/>
        <v>11</v>
      </c>
      <c r="V61" s="1">
        <f t="shared" si="11"/>
        <v>4.6398087431693993</v>
      </c>
      <c r="W61" s="1">
        <v>64.2</v>
      </c>
      <c r="X61" s="1">
        <v>32.799999999999997</v>
      </c>
      <c r="Y61" s="1">
        <v>32.6</v>
      </c>
      <c r="Z61" s="1">
        <v>33.200000000000003</v>
      </c>
      <c r="AA61" s="1">
        <v>38.4</v>
      </c>
      <c r="AB61" s="1">
        <v>39</v>
      </c>
      <c r="AC61" s="1">
        <v>48.6</v>
      </c>
      <c r="AD61" s="1">
        <v>60.4</v>
      </c>
      <c r="AE61" s="1">
        <v>36.200000000000003</v>
      </c>
      <c r="AF61" s="1">
        <v>27</v>
      </c>
      <c r="AG61" s="1"/>
      <c r="AH61" s="1">
        <f t="shared" si="12"/>
        <v>47</v>
      </c>
      <c r="AI61" s="1">
        <f t="shared" si="13"/>
        <v>7.32</v>
      </c>
      <c r="AJ61" t="s">
        <v>157</v>
      </c>
    </row>
    <row r="62" spans="1:36" x14ac:dyDescent="0.25">
      <c r="A62" s="1" t="s">
        <v>158</v>
      </c>
      <c r="B62" s="1" t="s">
        <v>48</v>
      </c>
      <c r="C62" s="1">
        <v>74</v>
      </c>
      <c r="D62" s="1"/>
      <c r="E62" s="1">
        <v>44</v>
      </c>
      <c r="F62" s="1">
        <v>30</v>
      </c>
      <c r="G62" s="7">
        <v>0.4</v>
      </c>
      <c r="H62" s="1">
        <v>50</v>
      </c>
      <c r="I62" s="1" t="s">
        <v>41</v>
      </c>
      <c r="J62" s="1"/>
      <c r="K62" s="1">
        <v>45</v>
      </c>
      <c r="L62" s="1">
        <f t="shared" si="8"/>
        <v>-1</v>
      </c>
      <c r="M62" s="1"/>
      <c r="N62" s="1"/>
      <c r="O62" s="1">
        <v>0</v>
      </c>
      <c r="P62" s="1"/>
      <c r="Q62" s="1"/>
      <c r="R62" s="1">
        <f t="shared" si="9"/>
        <v>8.8000000000000007</v>
      </c>
      <c r="S62" s="5">
        <f>9*R62-Q62-P62-O62-F62</f>
        <v>49.2</v>
      </c>
      <c r="T62" s="5">
        <f t="shared" si="14"/>
        <v>49.2</v>
      </c>
      <c r="U62" s="1">
        <f t="shared" si="10"/>
        <v>9</v>
      </c>
      <c r="V62" s="1">
        <f t="shared" si="11"/>
        <v>3.4090909090909087</v>
      </c>
      <c r="W62" s="1">
        <v>4</v>
      </c>
      <c r="X62" s="1">
        <v>4</v>
      </c>
      <c r="Y62" s="1">
        <v>3.6</v>
      </c>
      <c r="Z62" s="1">
        <v>2.6</v>
      </c>
      <c r="AA62" s="1">
        <v>3.6</v>
      </c>
      <c r="AB62" s="1">
        <v>4</v>
      </c>
      <c r="AC62" s="1">
        <v>9</v>
      </c>
      <c r="AD62" s="1">
        <v>10</v>
      </c>
      <c r="AE62" s="1">
        <v>3</v>
      </c>
      <c r="AF62" s="1">
        <v>1.2</v>
      </c>
      <c r="AG62" s="1"/>
      <c r="AH62" s="1">
        <f t="shared" si="12"/>
        <v>20</v>
      </c>
      <c r="AI62" s="1">
        <f t="shared" si="13"/>
        <v>3.5200000000000005</v>
      </c>
      <c r="AJ62" t="s">
        <v>159</v>
      </c>
    </row>
    <row r="63" spans="1:36" x14ac:dyDescent="0.25">
      <c r="A63" s="1" t="s">
        <v>160</v>
      </c>
      <c r="B63" s="1" t="s">
        <v>40</v>
      </c>
      <c r="C63" s="1">
        <v>47.746000000000002</v>
      </c>
      <c r="D63" s="1">
        <v>56.77</v>
      </c>
      <c r="E63" s="1">
        <v>75.781999999999996</v>
      </c>
      <c r="F63" s="1">
        <v>0.52</v>
      </c>
      <c r="G63" s="7">
        <v>1</v>
      </c>
      <c r="H63" s="1">
        <v>40</v>
      </c>
      <c r="I63" s="12" t="s">
        <v>59</v>
      </c>
      <c r="J63" s="1"/>
      <c r="K63" s="1">
        <v>98.8</v>
      </c>
      <c r="L63" s="1">
        <f t="shared" si="8"/>
        <v>-23.018000000000001</v>
      </c>
      <c r="M63" s="1"/>
      <c r="N63" s="1"/>
      <c r="O63" s="1">
        <v>27</v>
      </c>
      <c r="P63" s="1"/>
      <c r="Q63" s="1"/>
      <c r="R63" s="1">
        <f t="shared" si="9"/>
        <v>15.1564</v>
      </c>
      <c r="S63" s="5">
        <v>90</v>
      </c>
      <c r="T63" s="5">
        <f>S63*0.7</f>
        <v>62.999999999999993</v>
      </c>
      <c r="U63" s="1">
        <f t="shared" si="10"/>
        <v>5.9723945000131957</v>
      </c>
      <c r="V63" s="1">
        <f t="shared" si="11"/>
        <v>1.8157346071626508</v>
      </c>
      <c r="W63" s="1">
        <v>9.6504000000000012</v>
      </c>
      <c r="X63" s="1">
        <v>0</v>
      </c>
      <c r="Y63" s="1">
        <v>13.583600000000001</v>
      </c>
      <c r="Z63" s="1">
        <v>14.9016</v>
      </c>
      <c r="AA63" s="1">
        <v>6.7847999999999997</v>
      </c>
      <c r="AB63" s="1">
        <v>7.556</v>
      </c>
      <c r="AC63" s="1">
        <v>3.6623999999999999</v>
      </c>
      <c r="AD63" s="1">
        <v>4.5907999999999998</v>
      </c>
      <c r="AE63" s="1">
        <v>4.3612000000000002</v>
      </c>
      <c r="AF63" s="1">
        <v>1.5891999999999999</v>
      </c>
      <c r="AG63" s="1" t="s">
        <v>161</v>
      </c>
      <c r="AH63" s="1">
        <f t="shared" si="12"/>
        <v>63</v>
      </c>
      <c r="AI63" s="1">
        <f t="shared" si="13"/>
        <v>15.1564</v>
      </c>
      <c r="AJ63" t="s">
        <v>162</v>
      </c>
    </row>
    <row r="64" spans="1:36" x14ac:dyDescent="0.25">
      <c r="A64" s="1" t="s">
        <v>163</v>
      </c>
      <c r="B64" s="1" t="s">
        <v>40</v>
      </c>
      <c r="C64" s="1">
        <v>80.766000000000005</v>
      </c>
      <c r="D64" s="1">
        <v>129.90899999999999</v>
      </c>
      <c r="E64" s="1">
        <v>174.22</v>
      </c>
      <c r="F64" s="1">
        <v>3.7930000000000001</v>
      </c>
      <c r="G64" s="7">
        <v>1</v>
      </c>
      <c r="H64" s="1">
        <v>40</v>
      </c>
      <c r="I64" s="1" t="s">
        <v>41</v>
      </c>
      <c r="J64" s="1"/>
      <c r="K64" s="1">
        <v>195.4</v>
      </c>
      <c r="L64" s="1">
        <f t="shared" si="8"/>
        <v>-21.180000000000007</v>
      </c>
      <c r="M64" s="1"/>
      <c r="N64" s="1"/>
      <c r="O64" s="1">
        <v>123.17196199999999</v>
      </c>
      <c r="P64" s="1"/>
      <c r="Q64" s="1"/>
      <c r="R64" s="1">
        <f t="shared" si="9"/>
        <v>34.844000000000001</v>
      </c>
      <c r="S64" s="5">
        <f>10*R64-Q64-P64-O64-F64</f>
        <v>221.47503799999998</v>
      </c>
      <c r="T64" s="5">
        <f>S64</f>
        <v>221.47503799999998</v>
      </c>
      <c r="U64" s="1">
        <f t="shared" si="10"/>
        <v>10</v>
      </c>
      <c r="V64" s="1">
        <f t="shared" si="11"/>
        <v>3.6438113305016646</v>
      </c>
      <c r="W64" s="1">
        <v>21.790600000000001</v>
      </c>
      <c r="X64" s="1">
        <v>3.8224</v>
      </c>
      <c r="Y64" s="1">
        <v>16.229199999999999</v>
      </c>
      <c r="Z64" s="1">
        <v>13.7578</v>
      </c>
      <c r="AA64" s="1">
        <v>11.1006</v>
      </c>
      <c r="AB64" s="1">
        <v>15.066599999999999</v>
      </c>
      <c r="AC64" s="1">
        <v>7.2840000000000007</v>
      </c>
      <c r="AD64" s="1">
        <v>7.2656000000000009</v>
      </c>
      <c r="AE64" s="1">
        <v>7.7450000000000001</v>
      </c>
      <c r="AF64" s="1">
        <v>3.6516000000000002</v>
      </c>
      <c r="AG64" s="1" t="s">
        <v>161</v>
      </c>
      <c r="AH64" s="1">
        <f t="shared" si="12"/>
        <v>221</v>
      </c>
      <c r="AI64" s="1">
        <f t="shared" si="13"/>
        <v>34.844000000000001</v>
      </c>
      <c r="AJ64" t="s">
        <v>164</v>
      </c>
    </row>
    <row r="65" spans="1:36" x14ac:dyDescent="0.25">
      <c r="A65" s="1" t="s">
        <v>165</v>
      </c>
      <c r="B65" s="1" t="s">
        <v>48</v>
      </c>
      <c r="C65" s="1">
        <v>552</v>
      </c>
      <c r="D65" s="1">
        <v>31</v>
      </c>
      <c r="E65" s="1">
        <v>245</v>
      </c>
      <c r="F65" s="1">
        <v>323</v>
      </c>
      <c r="G65" s="7">
        <v>0.4</v>
      </c>
      <c r="H65" s="1">
        <v>40</v>
      </c>
      <c r="I65" s="1" t="s">
        <v>41</v>
      </c>
      <c r="J65" s="1"/>
      <c r="K65" s="1">
        <v>564</v>
      </c>
      <c r="L65" s="1">
        <f t="shared" si="8"/>
        <v>-319</v>
      </c>
      <c r="M65" s="1"/>
      <c r="N65" s="1"/>
      <c r="O65" s="1">
        <v>247.66</v>
      </c>
      <c r="P65" s="1"/>
      <c r="Q65" s="1"/>
      <c r="R65" s="1">
        <f t="shared" si="9"/>
        <v>49</v>
      </c>
      <c r="S65" s="5"/>
      <c r="T65" s="5">
        <f>S65</f>
        <v>0</v>
      </c>
      <c r="U65" s="1">
        <f t="shared" si="10"/>
        <v>11.646122448979591</v>
      </c>
      <c r="V65" s="1">
        <f t="shared" si="11"/>
        <v>11.646122448979591</v>
      </c>
      <c r="W65" s="1">
        <v>58</v>
      </c>
      <c r="X65" s="1">
        <v>10</v>
      </c>
      <c r="Y65" s="1">
        <v>24.8</v>
      </c>
      <c r="Z65" s="1">
        <v>56.2</v>
      </c>
      <c r="AA65" s="1">
        <v>44.2</v>
      </c>
      <c r="AB65" s="1">
        <v>14.2</v>
      </c>
      <c r="AC65" s="1">
        <v>1.4</v>
      </c>
      <c r="AD65" s="1">
        <v>13.8</v>
      </c>
      <c r="AE65" s="1">
        <v>63.8</v>
      </c>
      <c r="AF65" s="1">
        <v>81.2</v>
      </c>
      <c r="AG65" s="1"/>
      <c r="AH65" s="1">
        <f t="shared" si="12"/>
        <v>0</v>
      </c>
      <c r="AI65" s="1">
        <f t="shared" si="13"/>
        <v>19.600000000000001</v>
      </c>
      <c r="AJ65" t="s">
        <v>166</v>
      </c>
    </row>
    <row r="66" spans="1:36" x14ac:dyDescent="0.25">
      <c r="A66" s="1" t="s">
        <v>167</v>
      </c>
      <c r="B66" s="1" t="s">
        <v>48</v>
      </c>
      <c r="C66" s="1">
        <v>193</v>
      </c>
      <c r="D66" s="1">
        <v>368</v>
      </c>
      <c r="E66" s="1">
        <v>472</v>
      </c>
      <c r="F66" s="1">
        <v>39</v>
      </c>
      <c r="G66" s="7">
        <v>0.4</v>
      </c>
      <c r="H66" s="1">
        <v>40</v>
      </c>
      <c r="I66" s="12" t="s">
        <v>59</v>
      </c>
      <c r="J66" s="1"/>
      <c r="K66" s="1">
        <v>474</v>
      </c>
      <c r="L66" s="1">
        <f t="shared" si="8"/>
        <v>-2</v>
      </c>
      <c r="M66" s="1"/>
      <c r="N66" s="1"/>
      <c r="O66" s="1">
        <v>90</v>
      </c>
      <c r="P66" s="1"/>
      <c r="Q66" s="1"/>
      <c r="R66" s="1">
        <f t="shared" si="9"/>
        <v>94.4</v>
      </c>
      <c r="S66" s="5">
        <v>400</v>
      </c>
      <c r="T66" s="5">
        <f>S66*0.7</f>
        <v>280</v>
      </c>
      <c r="U66" s="1">
        <f t="shared" si="10"/>
        <v>4.3326271186440675</v>
      </c>
      <c r="V66" s="1">
        <f t="shared" si="11"/>
        <v>1.3665254237288136</v>
      </c>
      <c r="W66" s="1">
        <v>46.4</v>
      </c>
      <c r="X66" s="1">
        <v>4</v>
      </c>
      <c r="Y66" s="1">
        <v>-0.2</v>
      </c>
      <c r="Z66" s="1">
        <v>-0.2</v>
      </c>
      <c r="AA66" s="1">
        <v>-0.2</v>
      </c>
      <c r="AB66" s="1">
        <v>0</v>
      </c>
      <c r="AC66" s="1">
        <v>0</v>
      </c>
      <c r="AD66" s="1">
        <v>45.2</v>
      </c>
      <c r="AE66" s="1">
        <v>92.6</v>
      </c>
      <c r="AF66" s="1">
        <v>69</v>
      </c>
      <c r="AG66" s="1"/>
      <c r="AH66" s="1">
        <f t="shared" si="12"/>
        <v>112</v>
      </c>
      <c r="AI66" s="1">
        <f t="shared" si="13"/>
        <v>37.760000000000005</v>
      </c>
      <c r="AJ66" t="s">
        <v>168</v>
      </c>
    </row>
    <row r="67" spans="1:36" x14ac:dyDescent="0.25">
      <c r="A67" s="1" t="s">
        <v>169</v>
      </c>
      <c r="B67" s="1" t="s">
        <v>40</v>
      </c>
      <c r="C67" s="1">
        <v>153.62200000000001</v>
      </c>
      <c r="D67" s="1">
        <v>87.581000000000003</v>
      </c>
      <c r="E67" s="1">
        <v>160.56899999999999</v>
      </c>
      <c r="F67" s="1">
        <v>-4.2160000000000002</v>
      </c>
      <c r="G67" s="7">
        <v>1</v>
      </c>
      <c r="H67" s="1">
        <v>40</v>
      </c>
      <c r="I67" s="12" t="s">
        <v>59</v>
      </c>
      <c r="J67" s="1"/>
      <c r="K67" s="1">
        <v>167</v>
      </c>
      <c r="L67" s="1">
        <f t="shared" si="8"/>
        <v>-6.4310000000000116</v>
      </c>
      <c r="M67" s="1"/>
      <c r="N67" s="1"/>
      <c r="O67" s="1">
        <v>72</v>
      </c>
      <c r="P67" s="1">
        <v>-75.599999999999994</v>
      </c>
      <c r="Q67" s="1"/>
      <c r="R67" s="1">
        <f t="shared" si="9"/>
        <v>32.113799999999998</v>
      </c>
      <c r="S67" s="5">
        <v>100</v>
      </c>
      <c r="T67" s="5">
        <f>S67*0.7</f>
        <v>70</v>
      </c>
      <c r="U67" s="1">
        <f t="shared" si="10"/>
        <v>1.9363638062141515</v>
      </c>
      <c r="V67" s="1">
        <f t="shared" si="11"/>
        <v>-0.24338446399990002</v>
      </c>
      <c r="W67" s="1">
        <v>30.863199999999999</v>
      </c>
      <c r="X67" s="1">
        <v>28.920999999999999</v>
      </c>
      <c r="Y67" s="1">
        <v>27.451000000000001</v>
      </c>
      <c r="Z67" s="1">
        <v>27.457799999999999</v>
      </c>
      <c r="AA67" s="1">
        <v>33.810199999999988</v>
      </c>
      <c r="AB67" s="1">
        <v>30.891400000000001</v>
      </c>
      <c r="AC67" s="1">
        <v>39.8172</v>
      </c>
      <c r="AD67" s="1">
        <v>43.403599999999997</v>
      </c>
      <c r="AE67" s="1">
        <v>22.808599999999998</v>
      </c>
      <c r="AF67" s="1">
        <v>12.564399999999999</v>
      </c>
      <c r="AG67" s="1"/>
      <c r="AH67" s="1">
        <f t="shared" si="12"/>
        <v>70</v>
      </c>
      <c r="AI67" s="1">
        <f t="shared" si="13"/>
        <v>32.113799999999998</v>
      </c>
      <c r="AJ67" t="s">
        <v>170</v>
      </c>
    </row>
    <row r="68" spans="1:36" x14ac:dyDescent="0.25">
      <c r="A68" s="1" t="s">
        <v>171</v>
      </c>
      <c r="B68" s="1" t="s">
        <v>40</v>
      </c>
      <c r="C68" s="1">
        <v>81.655000000000001</v>
      </c>
      <c r="D68" s="1">
        <v>6.35</v>
      </c>
      <c r="E68" s="1">
        <v>67.869</v>
      </c>
      <c r="F68" s="1">
        <v>-0.66700000000000004</v>
      </c>
      <c r="G68" s="7">
        <v>1</v>
      </c>
      <c r="H68" s="1">
        <v>40</v>
      </c>
      <c r="I68" s="12" t="s">
        <v>59</v>
      </c>
      <c r="J68" s="1"/>
      <c r="K68" s="1">
        <v>108.5</v>
      </c>
      <c r="L68" s="1">
        <f t="shared" si="8"/>
        <v>-40.631</v>
      </c>
      <c r="M68" s="1"/>
      <c r="N68" s="1"/>
      <c r="O68" s="1">
        <v>67.5</v>
      </c>
      <c r="P68" s="1">
        <v>-70.2</v>
      </c>
      <c r="Q68" s="1"/>
      <c r="R68" s="1">
        <f t="shared" si="9"/>
        <v>13.5738</v>
      </c>
      <c r="S68" s="5">
        <v>100</v>
      </c>
      <c r="T68" s="5">
        <f>S68*0.7</f>
        <v>70</v>
      </c>
      <c r="U68" s="1">
        <f t="shared" si="10"/>
        <v>4.908942226937187</v>
      </c>
      <c r="V68" s="1">
        <f t="shared" si="11"/>
        <v>-0.24805139312499111</v>
      </c>
      <c r="W68" s="1">
        <v>26.236799999999999</v>
      </c>
      <c r="X68" s="1">
        <v>30.546399999999998</v>
      </c>
      <c r="Y68" s="1">
        <v>28.173400000000001</v>
      </c>
      <c r="Z68" s="1">
        <v>25.8324</v>
      </c>
      <c r="AA68" s="1">
        <v>32.492199999999997</v>
      </c>
      <c r="AB68" s="1">
        <v>34.5336</v>
      </c>
      <c r="AC68" s="1">
        <v>33.2986</v>
      </c>
      <c r="AD68" s="1">
        <v>24.674399999999999</v>
      </c>
      <c r="AE68" s="1">
        <v>33.698399999999999</v>
      </c>
      <c r="AF68" s="1">
        <v>35.2834</v>
      </c>
      <c r="AG68" s="1"/>
      <c r="AH68" s="1">
        <f t="shared" si="12"/>
        <v>70</v>
      </c>
      <c r="AI68" s="1">
        <f t="shared" si="13"/>
        <v>13.5738</v>
      </c>
      <c r="AJ68" t="s">
        <v>172</v>
      </c>
    </row>
    <row r="69" spans="1:36" x14ac:dyDescent="0.25">
      <c r="A69" s="1" t="s">
        <v>173</v>
      </c>
      <c r="B69" s="1" t="s">
        <v>40</v>
      </c>
      <c r="C69" s="1">
        <v>337.822</v>
      </c>
      <c r="D69" s="1">
        <v>118.574</v>
      </c>
      <c r="E69" s="1">
        <v>349.09</v>
      </c>
      <c r="F69" s="1">
        <v>3.847</v>
      </c>
      <c r="G69" s="7">
        <v>1</v>
      </c>
      <c r="H69" s="1">
        <v>40</v>
      </c>
      <c r="I69" s="12" t="s">
        <v>59</v>
      </c>
      <c r="J69" s="1"/>
      <c r="K69" s="1">
        <v>334.5</v>
      </c>
      <c r="L69" s="1">
        <f t="shared" si="8"/>
        <v>14.589999999999975</v>
      </c>
      <c r="M69" s="1"/>
      <c r="N69" s="1"/>
      <c r="O69" s="1">
        <v>302.58294000000012</v>
      </c>
      <c r="P69" s="1">
        <v>-307.8</v>
      </c>
      <c r="Q69" s="1"/>
      <c r="R69" s="1">
        <f t="shared" si="9"/>
        <v>69.817999999999998</v>
      </c>
      <c r="S69" s="5">
        <v>200</v>
      </c>
      <c r="T69" s="5">
        <f>S69*0.7</f>
        <v>140</v>
      </c>
      <c r="U69" s="1">
        <f t="shared" si="10"/>
        <v>1.9855902489329413</v>
      </c>
      <c r="V69" s="1">
        <f t="shared" si="11"/>
        <v>-1.9623306310692229E-2</v>
      </c>
      <c r="W69" s="1">
        <v>64.147799999999989</v>
      </c>
      <c r="X69" s="1">
        <v>64.944199999999995</v>
      </c>
      <c r="Y69" s="1">
        <v>60.923400000000001</v>
      </c>
      <c r="Z69" s="1">
        <v>43.718000000000004</v>
      </c>
      <c r="AA69" s="1">
        <v>53.330599999999997</v>
      </c>
      <c r="AB69" s="1">
        <v>67.684799999999996</v>
      </c>
      <c r="AC69" s="1">
        <v>69.110199999999992</v>
      </c>
      <c r="AD69" s="1">
        <v>62.149800000000013</v>
      </c>
      <c r="AE69" s="1">
        <v>77.261200000000002</v>
      </c>
      <c r="AF69" s="1">
        <v>84.820999999999998</v>
      </c>
      <c r="AG69" s="1"/>
      <c r="AH69" s="1">
        <f t="shared" si="12"/>
        <v>140</v>
      </c>
      <c r="AI69" s="1">
        <f t="shared" si="13"/>
        <v>69.817999999999998</v>
      </c>
      <c r="AJ69" t="s">
        <v>174</v>
      </c>
    </row>
    <row r="70" spans="1:36" x14ac:dyDescent="0.25">
      <c r="A70" s="1" t="s">
        <v>175</v>
      </c>
      <c r="B70" s="1" t="s">
        <v>40</v>
      </c>
      <c r="C70" s="1">
        <v>263.17</v>
      </c>
      <c r="D70" s="1">
        <v>14.555</v>
      </c>
      <c r="E70" s="1">
        <v>155.4</v>
      </c>
      <c r="F70" s="1">
        <v>14.565</v>
      </c>
      <c r="G70" s="7">
        <v>1</v>
      </c>
      <c r="H70" s="1">
        <v>40</v>
      </c>
      <c r="I70" s="12" t="s">
        <v>59</v>
      </c>
      <c r="J70" s="1"/>
      <c r="K70" s="1">
        <v>171.8</v>
      </c>
      <c r="L70" s="1">
        <f t="shared" ref="L70:L101" si="15">E70-K70</f>
        <v>-16.400000000000006</v>
      </c>
      <c r="M70" s="1"/>
      <c r="N70" s="1"/>
      <c r="O70" s="1">
        <v>109.872418</v>
      </c>
      <c r="P70" s="1">
        <v>-113.4</v>
      </c>
      <c r="Q70" s="1"/>
      <c r="R70" s="1">
        <f t="shared" ref="R70:R101" si="16">E70/5</f>
        <v>31.080000000000002</v>
      </c>
      <c r="S70" s="5">
        <v>100</v>
      </c>
      <c r="T70" s="5">
        <f>S70*0.7</f>
        <v>70</v>
      </c>
      <c r="U70" s="1">
        <f t="shared" ref="U70:U101" si="17">(F70+O70+P70+Q70+T70)/R70</f>
        <v>2.607381531531531</v>
      </c>
      <c r="V70" s="1">
        <f t="shared" ref="V70:V101" si="18">(F70+O70+P70+Q70)/R70</f>
        <v>0.3551292792792789</v>
      </c>
      <c r="W70" s="1">
        <v>25.4434</v>
      </c>
      <c r="X70" s="1">
        <v>23.120999999999999</v>
      </c>
      <c r="Y70" s="1">
        <v>23.457599999999999</v>
      </c>
      <c r="Z70" s="1">
        <v>20.8584</v>
      </c>
      <c r="AA70" s="1">
        <v>27.188800000000001</v>
      </c>
      <c r="AB70" s="1">
        <v>28.836200000000002</v>
      </c>
      <c r="AC70" s="1">
        <v>31.062999999999999</v>
      </c>
      <c r="AD70" s="1">
        <v>31.611599999999999</v>
      </c>
      <c r="AE70" s="1">
        <v>37.389200000000002</v>
      </c>
      <c r="AF70" s="1">
        <v>31.877600000000001</v>
      </c>
      <c r="AG70" s="1"/>
      <c r="AH70" s="1">
        <f t="shared" ref="AH70:AH101" si="19">ROUND(G70*T70,0)</f>
        <v>70</v>
      </c>
      <c r="AI70" s="1">
        <f t="shared" ref="AI70:AI101" si="20">R70*G70</f>
        <v>31.080000000000002</v>
      </c>
      <c r="AJ70" t="s">
        <v>176</v>
      </c>
    </row>
    <row r="71" spans="1:36" x14ac:dyDescent="0.25">
      <c r="A71" s="1" t="s">
        <v>177</v>
      </c>
      <c r="B71" s="1" t="s">
        <v>48</v>
      </c>
      <c r="C71" s="1">
        <v>46</v>
      </c>
      <c r="D71" s="1"/>
      <c r="E71" s="1">
        <v>14</v>
      </c>
      <c r="F71" s="1">
        <v>32</v>
      </c>
      <c r="G71" s="7">
        <v>0.6</v>
      </c>
      <c r="H71" s="1">
        <v>70</v>
      </c>
      <c r="I71" s="1" t="s">
        <v>41</v>
      </c>
      <c r="J71" s="1"/>
      <c r="K71" s="1">
        <v>16</v>
      </c>
      <c r="L71" s="1">
        <f t="shared" si="15"/>
        <v>-2</v>
      </c>
      <c r="M71" s="1"/>
      <c r="N71" s="1"/>
      <c r="O71" s="1">
        <v>0</v>
      </c>
      <c r="P71" s="1"/>
      <c r="Q71" s="1"/>
      <c r="R71" s="1">
        <f t="shared" si="16"/>
        <v>2.8</v>
      </c>
      <c r="S71" s="5"/>
      <c r="T71" s="5">
        <f>S71</f>
        <v>0</v>
      </c>
      <c r="U71" s="1">
        <f t="shared" si="17"/>
        <v>11.428571428571429</v>
      </c>
      <c r="V71" s="1">
        <f t="shared" si="18"/>
        <v>11.428571428571429</v>
      </c>
      <c r="W71" s="1">
        <v>2.2000000000000002</v>
      </c>
      <c r="X71" s="1">
        <v>1.6</v>
      </c>
      <c r="Y71" s="1">
        <v>1.6</v>
      </c>
      <c r="Z71" s="1">
        <v>1.6</v>
      </c>
      <c r="AA71" s="1">
        <v>0.6</v>
      </c>
      <c r="AB71" s="1">
        <v>1</v>
      </c>
      <c r="AC71" s="1">
        <v>0.8</v>
      </c>
      <c r="AD71" s="1">
        <v>1.2</v>
      </c>
      <c r="AE71" s="1">
        <v>2.4</v>
      </c>
      <c r="AF71" s="1">
        <v>1.6</v>
      </c>
      <c r="AG71" s="1"/>
      <c r="AH71" s="1">
        <f t="shared" si="19"/>
        <v>0</v>
      </c>
      <c r="AI71" s="1">
        <f t="shared" si="20"/>
        <v>1.68</v>
      </c>
      <c r="AJ71" t="s">
        <v>178</v>
      </c>
    </row>
    <row r="72" spans="1:36" x14ac:dyDescent="0.25">
      <c r="A72" s="1" t="s">
        <v>179</v>
      </c>
      <c r="B72" s="1" t="s">
        <v>40</v>
      </c>
      <c r="C72" s="1">
        <v>318.35599999999999</v>
      </c>
      <c r="D72" s="1">
        <v>454.13900000000001</v>
      </c>
      <c r="E72" s="1">
        <v>443.86599999999999</v>
      </c>
      <c r="F72" s="1">
        <v>171.202</v>
      </c>
      <c r="G72" s="7">
        <v>1</v>
      </c>
      <c r="H72" s="1">
        <v>30</v>
      </c>
      <c r="I72" s="1" t="s">
        <v>41</v>
      </c>
      <c r="J72" s="1"/>
      <c r="K72" s="1">
        <v>480.5</v>
      </c>
      <c r="L72" s="1">
        <f t="shared" si="15"/>
        <v>-36.634000000000015</v>
      </c>
      <c r="M72" s="1"/>
      <c r="N72" s="1"/>
      <c r="O72" s="1">
        <v>0</v>
      </c>
      <c r="P72" s="1"/>
      <c r="Q72" s="1"/>
      <c r="R72" s="1">
        <f t="shared" si="16"/>
        <v>88.773200000000003</v>
      </c>
      <c r="S72" s="5">
        <f>8*R72-Q72-P72-O72-F72</f>
        <v>538.98360000000002</v>
      </c>
      <c r="T72" s="5">
        <f>S72+$T$1*R72</f>
        <v>476.84236000000004</v>
      </c>
      <c r="U72" s="1">
        <f t="shared" si="17"/>
        <v>7.3000000000000007</v>
      </c>
      <c r="V72" s="1">
        <f t="shared" si="18"/>
        <v>1.9285324850292656</v>
      </c>
      <c r="W72" s="1">
        <v>43.605600000000003</v>
      </c>
      <c r="X72" s="1">
        <v>12.5822</v>
      </c>
      <c r="Y72" s="1">
        <v>49.552399999999999</v>
      </c>
      <c r="Z72" s="1">
        <v>72.886200000000002</v>
      </c>
      <c r="AA72" s="1">
        <v>41.464399999999998</v>
      </c>
      <c r="AB72" s="1">
        <v>16.122800000000002</v>
      </c>
      <c r="AC72" s="1">
        <v>65.612400000000008</v>
      </c>
      <c r="AD72" s="1">
        <v>95.952399999999997</v>
      </c>
      <c r="AE72" s="1">
        <v>85.349000000000004</v>
      </c>
      <c r="AF72" s="1">
        <v>80.937399999999997</v>
      </c>
      <c r="AG72" s="1"/>
      <c r="AH72" s="1">
        <f t="shared" si="19"/>
        <v>477</v>
      </c>
      <c r="AI72" s="1">
        <f t="shared" si="20"/>
        <v>88.773200000000003</v>
      </c>
      <c r="AJ72" t="s">
        <v>180</v>
      </c>
    </row>
    <row r="73" spans="1:36" x14ac:dyDescent="0.25">
      <c r="A73" s="9" t="s">
        <v>181</v>
      </c>
      <c r="B73" s="9" t="s">
        <v>48</v>
      </c>
      <c r="C73" s="9"/>
      <c r="D73" s="9"/>
      <c r="E73" s="9"/>
      <c r="F73" s="9"/>
      <c r="G73" s="10">
        <v>0</v>
      </c>
      <c r="H73" s="9"/>
      <c r="I73" s="9" t="s">
        <v>41</v>
      </c>
      <c r="J73" s="9"/>
      <c r="K73" s="9"/>
      <c r="L73" s="9">
        <f t="shared" si="15"/>
        <v>0</v>
      </c>
      <c r="M73" s="9"/>
      <c r="N73" s="9"/>
      <c r="O73" s="9">
        <v>0</v>
      </c>
      <c r="P73" s="9"/>
      <c r="Q73" s="9"/>
      <c r="R73" s="9">
        <f t="shared" si="16"/>
        <v>0</v>
      </c>
      <c r="S73" s="11"/>
      <c r="T73" s="5">
        <f t="shared" ref="T73:T90" si="21">S73</f>
        <v>0</v>
      </c>
      <c r="U73" s="1" t="e">
        <f t="shared" si="17"/>
        <v>#DIV/0!</v>
      </c>
      <c r="V73" s="9" t="e">
        <f t="shared" si="18"/>
        <v>#DIV/0!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 t="s">
        <v>56</v>
      </c>
      <c r="AH73" s="1">
        <f t="shared" si="19"/>
        <v>0</v>
      </c>
      <c r="AI73" s="1">
        <f t="shared" si="20"/>
        <v>0</v>
      </c>
      <c r="AJ73" t="s">
        <v>182</v>
      </c>
    </row>
    <row r="74" spans="1:36" x14ac:dyDescent="0.25">
      <c r="A74" s="1" t="s">
        <v>183</v>
      </c>
      <c r="B74" s="1" t="s">
        <v>48</v>
      </c>
      <c r="C74" s="1">
        <v>133</v>
      </c>
      <c r="D74" s="1">
        <v>56</v>
      </c>
      <c r="E74" s="1">
        <v>112</v>
      </c>
      <c r="F74" s="1">
        <v>37</v>
      </c>
      <c r="G74" s="7">
        <v>0.6</v>
      </c>
      <c r="H74" s="1">
        <v>60</v>
      </c>
      <c r="I74" s="1" t="s">
        <v>41</v>
      </c>
      <c r="J74" s="1"/>
      <c r="K74" s="1">
        <v>103</v>
      </c>
      <c r="L74" s="1">
        <f t="shared" si="15"/>
        <v>9</v>
      </c>
      <c r="M74" s="1"/>
      <c r="N74" s="1"/>
      <c r="O74" s="1">
        <v>121.44799999999999</v>
      </c>
      <c r="P74" s="1"/>
      <c r="Q74" s="1"/>
      <c r="R74" s="1">
        <f t="shared" si="16"/>
        <v>22.4</v>
      </c>
      <c r="S74" s="5">
        <f>11*R74-Q74-P74-O74-F74</f>
        <v>87.951999999999984</v>
      </c>
      <c r="T74" s="5">
        <f t="shared" si="21"/>
        <v>87.951999999999984</v>
      </c>
      <c r="U74" s="1">
        <f t="shared" si="17"/>
        <v>11</v>
      </c>
      <c r="V74" s="1">
        <f t="shared" si="18"/>
        <v>7.0735714285714284</v>
      </c>
      <c r="W74" s="1">
        <v>22.4</v>
      </c>
      <c r="X74" s="1">
        <v>1.8</v>
      </c>
      <c r="Y74" s="1">
        <v>12</v>
      </c>
      <c r="Z74" s="1">
        <v>16.8</v>
      </c>
      <c r="AA74" s="1">
        <v>10</v>
      </c>
      <c r="AB74" s="1">
        <v>13.4</v>
      </c>
      <c r="AC74" s="1">
        <v>8.1999999999999993</v>
      </c>
      <c r="AD74" s="1">
        <v>3.2</v>
      </c>
      <c r="AE74" s="1">
        <v>24</v>
      </c>
      <c r="AF74" s="1">
        <v>23</v>
      </c>
      <c r="AG74" s="1"/>
      <c r="AH74" s="1">
        <f t="shared" si="19"/>
        <v>53</v>
      </c>
      <c r="AI74" s="1">
        <f t="shared" si="20"/>
        <v>13.44</v>
      </c>
      <c r="AJ74" t="s">
        <v>184</v>
      </c>
    </row>
    <row r="75" spans="1:36" x14ac:dyDescent="0.25">
      <c r="A75" s="1" t="s">
        <v>185</v>
      </c>
      <c r="B75" s="1" t="s">
        <v>48</v>
      </c>
      <c r="C75" s="1">
        <v>91</v>
      </c>
      <c r="D75" s="1">
        <v>50</v>
      </c>
      <c r="E75" s="1">
        <v>95</v>
      </c>
      <c r="F75" s="1">
        <v>31</v>
      </c>
      <c r="G75" s="7">
        <v>0.4</v>
      </c>
      <c r="H75" s="1">
        <v>90</v>
      </c>
      <c r="I75" s="1" t="s">
        <v>41</v>
      </c>
      <c r="J75" s="1"/>
      <c r="K75" s="1">
        <v>97</v>
      </c>
      <c r="L75" s="1">
        <f t="shared" si="15"/>
        <v>-2</v>
      </c>
      <c r="M75" s="1"/>
      <c r="N75" s="1"/>
      <c r="O75" s="1">
        <v>96.752000000000038</v>
      </c>
      <c r="P75" s="1"/>
      <c r="Q75" s="1"/>
      <c r="R75" s="1">
        <f t="shared" si="16"/>
        <v>19</v>
      </c>
      <c r="S75" s="5">
        <f>11*R75-Q75-P75-O75-F75</f>
        <v>81.247999999999962</v>
      </c>
      <c r="T75" s="5">
        <f t="shared" si="21"/>
        <v>81.247999999999962</v>
      </c>
      <c r="U75" s="1">
        <f t="shared" si="17"/>
        <v>11</v>
      </c>
      <c r="V75" s="1">
        <f t="shared" si="18"/>
        <v>6.7237894736842128</v>
      </c>
      <c r="W75" s="1">
        <v>17.600000000000001</v>
      </c>
      <c r="X75" s="1">
        <v>16.600000000000001</v>
      </c>
      <c r="Y75" s="1">
        <v>13.6</v>
      </c>
      <c r="Z75" s="1">
        <v>5.4</v>
      </c>
      <c r="AA75" s="1">
        <v>5.6</v>
      </c>
      <c r="AB75" s="1">
        <v>9.8000000000000007</v>
      </c>
      <c r="AC75" s="1">
        <v>16.600000000000001</v>
      </c>
      <c r="AD75" s="1">
        <v>17.2</v>
      </c>
      <c r="AE75" s="1">
        <v>18.399999999999999</v>
      </c>
      <c r="AF75" s="1">
        <v>20</v>
      </c>
      <c r="AG75" s="1"/>
      <c r="AH75" s="1">
        <f t="shared" si="19"/>
        <v>32</v>
      </c>
      <c r="AI75" s="1">
        <f t="shared" si="20"/>
        <v>7.6000000000000005</v>
      </c>
      <c r="AJ75" t="s">
        <v>186</v>
      </c>
    </row>
    <row r="76" spans="1:36" x14ac:dyDescent="0.25">
      <c r="A76" s="1" t="s">
        <v>187</v>
      </c>
      <c r="B76" s="1" t="s">
        <v>48</v>
      </c>
      <c r="C76" s="1">
        <v>163</v>
      </c>
      <c r="D76" s="1">
        <v>105</v>
      </c>
      <c r="E76" s="1">
        <v>188</v>
      </c>
      <c r="F76" s="1">
        <v>44</v>
      </c>
      <c r="G76" s="7">
        <v>0.33</v>
      </c>
      <c r="H76" s="1">
        <v>60</v>
      </c>
      <c r="I76" s="1" t="s">
        <v>41</v>
      </c>
      <c r="J76" s="1"/>
      <c r="K76" s="1">
        <v>195</v>
      </c>
      <c r="L76" s="1">
        <f t="shared" si="15"/>
        <v>-7</v>
      </c>
      <c r="M76" s="1"/>
      <c r="N76" s="1"/>
      <c r="O76" s="1">
        <v>220.61200000000011</v>
      </c>
      <c r="P76" s="1"/>
      <c r="Q76" s="1"/>
      <c r="R76" s="1">
        <f t="shared" si="16"/>
        <v>37.6</v>
      </c>
      <c r="S76" s="5">
        <f>11*R76-Q76-P76-O76-F76</f>
        <v>148.98799999999991</v>
      </c>
      <c r="T76" s="5">
        <f t="shared" si="21"/>
        <v>148.98799999999991</v>
      </c>
      <c r="U76" s="1">
        <f t="shared" si="17"/>
        <v>11</v>
      </c>
      <c r="V76" s="1">
        <f t="shared" si="18"/>
        <v>7.0375531914893639</v>
      </c>
      <c r="W76" s="1">
        <v>36</v>
      </c>
      <c r="X76" s="1">
        <v>29.6</v>
      </c>
      <c r="Y76" s="1">
        <v>26.2</v>
      </c>
      <c r="Z76" s="1">
        <v>20.399999999999999</v>
      </c>
      <c r="AA76" s="1">
        <v>23.4</v>
      </c>
      <c r="AB76" s="1">
        <v>26.6</v>
      </c>
      <c r="AC76" s="1">
        <v>29</v>
      </c>
      <c r="AD76" s="1">
        <v>25</v>
      </c>
      <c r="AE76" s="1">
        <v>24.2</v>
      </c>
      <c r="AF76" s="1">
        <v>33.6</v>
      </c>
      <c r="AG76" s="1"/>
      <c r="AH76" s="1">
        <f t="shared" si="19"/>
        <v>49</v>
      </c>
      <c r="AI76" s="1">
        <f t="shared" si="20"/>
        <v>12.408000000000001</v>
      </c>
      <c r="AJ76" t="s">
        <v>188</v>
      </c>
    </row>
    <row r="77" spans="1:36" x14ac:dyDescent="0.25">
      <c r="A77" s="1" t="s">
        <v>189</v>
      </c>
      <c r="B77" s="1" t="s">
        <v>48</v>
      </c>
      <c r="C77" s="1">
        <v>29</v>
      </c>
      <c r="D77" s="1">
        <v>70</v>
      </c>
      <c r="E77" s="1">
        <v>39</v>
      </c>
      <c r="F77" s="1">
        <v>41</v>
      </c>
      <c r="G77" s="7">
        <v>0.35</v>
      </c>
      <c r="H77" s="1">
        <v>90</v>
      </c>
      <c r="I77" s="1" t="s">
        <v>41</v>
      </c>
      <c r="J77" s="1"/>
      <c r="K77" s="1">
        <v>79</v>
      </c>
      <c r="L77" s="1">
        <f t="shared" si="15"/>
        <v>-40</v>
      </c>
      <c r="M77" s="1"/>
      <c r="N77" s="1"/>
      <c r="O77" s="1">
        <v>114.768</v>
      </c>
      <c r="P77" s="1"/>
      <c r="Q77" s="1"/>
      <c r="R77" s="1">
        <f t="shared" si="16"/>
        <v>7.8</v>
      </c>
      <c r="S77" s="5"/>
      <c r="T77" s="5">
        <f t="shared" si="21"/>
        <v>0</v>
      </c>
      <c r="U77" s="1">
        <f t="shared" si="17"/>
        <v>19.970256410256411</v>
      </c>
      <c r="V77" s="1">
        <f t="shared" si="18"/>
        <v>19.970256410256411</v>
      </c>
      <c r="W77" s="1">
        <v>18.399999999999999</v>
      </c>
      <c r="X77" s="1">
        <v>25</v>
      </c>
      <c r="Y77" s="1">
        <v>13</v>
      </c>
      <c r="Z77" s="1">
        <v>5.4</v>
      </c>
      <c r="AA77" s="1">
        <v>7.2</v>
      </c>
      <c r="AB77" s="1">
        <v>11</v>
      </c>
      <c r="AC77" s="1">
        <v>15</v>
      </c>
      <c r="AD77" s="1">
        <v>12.8</v>
      </c>
      <c r="AE77" s="1">
        <v>11.2</v>
      </c>
      <c r="AF77" s="1">
        <v>13.4</v>
      </c>
      <c r="AG77" s="1"/>
      <c r="AH77" s="1">
        <f t="shared" si="19"/>
        <v>0</v>
      </c>
      <c r="AI77" s="1">
        <f t="shared" si="20"/>
        <v>2.73</v>
      </c>
      <c r="AJ77" t="s">
        <v>190</v>
      </c>
    </row>
    <row r="78" spans="1:36" x14ac:dyDescent="0.25">
      <c r="A78" s="1" t="s">
        <v>191</v>
      </c>
      <c r="B78" s="1" t="s">
        <v>48</v>
      </c>
      <c r="C78" s="1">
        <v>215</v>
      </c>
      <c r="D78" s="1">
        <v>50</v>
      </c>
      <c r="E78" s="1">
        <v>219</v>
      </c>
      <c r="F78" s="1">
        <v>12</v>
      </c>
      <c r="G78" s="7">
        <v>0.37</v>
      </c>
      <c r="H78" s="1">
        <v>50</v>
      </c>
      <c r="I78" s="1" t="s">
        <v>41</v>
      </c>
      <c r="J78" s="1"/>
      <c r="K78" s="1">
        <v>221</v>
      </c>
      <c r="L78" s="1">
        <f t="shared" si="15"/>
        <v>-2</v>
      </c>
      <c r="M78" s="1"/>
      <c r="N78" s="1"/>
      <c r="O78" s="1">
        <v>240.38799999999989</v>
      </c>
      <c r="P78" s="1"/>
      <c r="Q78" s="1"/>
      <c r="R78" s="1">
        <f t="shared" si="16"/>
        <v>43.8</v>
      </c>
      <c r="S78" s="5">
        <f>11*R78-Q78-P78-O78-F78</f>
        <v>229.41200000000006</v>
      </c>
      <c r="T78" s="5">
        <f t="shared" si="21"/>
        <v>229.41200000000006</v>
      </c>
      <c r="U78" s="1">
        <f t="shared" si="17"/>
        <v>11</v>
      </c>
      <c r="V78" s="1">
        <f t="shared" si="18"/>
        <v>5.7622831050228287</v>
      </c>
      <c r="W78" s="1">
        <v>44.4</v>
      </c>
      <c r="X78" s="1">
        <v>11.8</v>
      </c>
      <c r="Y78" s="1">
        <v>23.6</v>
      </c>
      <c r="Z78" s="1">
        <v>22.4</v>
      </c>
      <c r="AA78" s="1">
        <v>18.399999999999999</v>
      </c>
      <c r="AB78" s="1">
        <v>26</v>
      </c>
      <c r="AC78" s="1">
        <v>33.4</v>
      </c>
      <c r="AD78" s="1">
        <v>42.4</v>
      </c>
      <c r="AE78" s="1">
        <v>46</v>
      </c>
      <c r="AF78" s="1">
        <v>32</v>
      </c>
      <c r="AG78" s="1"/>
      <c r="AH78" s="1">
        <f t="shared" si="19"/>
        <v>85</v>
      </c>
      <c r="AI78" s="1">
        <f t="shared" si="20"/>
        <v>16.206</v>
      </c>
      <c r="AJ78" t="s">
        <v>192</v>
      </c>
    </row>
    <row r="79" spans="1:36" x14ac:dyDescent="0.25">
      <c r="A79" s="9" t="s">
        <v>193</v>
      </c>
      <c r="B79" s="9" t="s">
        <v>48</v>
      </c>
      <c r="C79" s="9"/>
      <c r="D79" s="9"/>
      <c r="E79" s="9"/>
      <c r="F79" s="9"/>
      <c r="G79" s="10">
        <v>0</v>
      </c>
      <c r="H79" s="9"/>
      <c r="I79" s="9" t="s">
        <v>41</v>
      </c>
      <c r="J79" s="9"/>
      <c r="K79" s="9"/>
      <c r="L79" s="9">
        <f t="shared" si="15"/>
        <v>0</v>
      </c>
      <c r="M79" s="9"/>
      <c r="N79" s="9"/>
      <c r="O79" s="9">
        <v>0</v>
      </c>
      <c r="P79" s="9"/>
      <c r="Q79" s="9"/>
      <c r="R79" s="9">
        <f t="shared" si="16"/>
        <v>0</v>
      </c>
      <c r="S79" s="11"/>
      <c r="T79" s="5">
        <f t="shared" si="21"/>
        <v>0</v>
      </c>
      <c r="U79" s="1" t="e">
        <f t="shared" si="17"/>
        <v>#DIV/0!</v>
      </c>
      <c r="V79" s="9" t="e">
        <f t="shared" si="18"/>
        <v>#DIV/0!</v>
      </c>
      <c r="W79" s="9">
        <v>0</v>
      </c>
      <c r="X79" s="9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 t="s">
        <v>56</v>
      </c>
      <c r="AH79" s="1">
        <f t="shared" si="19"/>
        <v>0</v>
      </c>
      <c r="AI79" s="1">
        <f t="shared" si="20"/>
        <v>0</v>
      </c>
      <c r="AJ79" t="s">
        <v>194</v>
      </c>
    </row>
    <row r="80" spans="1:36" x14ac:dyDescent="0.25">
      <c r="A80" s="1" t="s">
        <v>195</v>
      </c>
      <c r="B80" s="1" t="s">
        <v>48</v>
      </c>
      <c r="C80" s="1">
        <v>61</v>
      </c>
      <c r="D80" s="1">
        <v>60</v>
      </c>
      <c r="E80" s="1">
        <v>83</v>
      </c>
      <c r="F80" s="1">
        <v>5</v>
      </c>
      <c r="G80" s="7">
        <v>0.33</v>
      </c>
      <c r="H80" s="1">
        <v>40</v>
      </c>
      <c r="I80" s="1" t="s">
        <v>41</v>
      </c>
      <c r="J80" s="1"/>
      <c r="K80" s="1">
        <v>92</v>
      </c>
      <c r="L80" s="1">
        <f t="shared" si="15"/>
        <v>-9</v>
      </c>
      <c r="M80" s="1"/>
      <c r="N80" s="1"/>
      <c r="O80" s="1">
        <v>85.858000000000004</v>
      </c>
      <c r="P80" s="1"/>
      <c r="Q80" s="1"/>
      <c r="R80" s="1">
        <f t="shared" si="16"/>
        <v>16.600000000000001</v>
      </c>
      <c r="S80" s="5">
        <f>11*R80-Q80-P80-O80-F80</f>
        <v>91.742000000000019</v>
      </c>
      <c r="T80" s="5">
        <f t="shared" si="21"/>
        <v>91.742000000000019</v>
      </c>
      <c r="U80" s="1">
        <f t="shared" si="17"/>
        <v>11</v>
      </c>
      <c r="V80" s="1">
        <f t="shared" si="18"/>
        <v>5.4733734939759033</v>
      </c>
      <c r="W80" s="1">
        <v>15.4</v>
      </c>
      <c r="X80" s="1">
        <v>6.4</v>
      </c>
      <c r="Y80" s="1">
        <v>8.6</v>
      </c>
      <c r="Z80" s="1">
        <v>8.4</v>
      </c>
      <c r="AA80" s="1">
        <v>6</v>
      </c>
      <c r="AB80" s="1">
        <v>5.6</v>
      </c>
      <c r="AC80" s="1">
        <v>8.1999999999999993</v>
      </c>
      <c r="AD80" s="1">
        <v>11</v>
      </c>
      <c r="AE80" s="1">
        <v>10.8</v>
      </c>
      <c r="AF80" s="1">
        <v>10.199999999999999</v>
      </c>
      <c r="AG80" s="1"/>
      <c r="AH80" s="1">
        <f t="shared" si="19"/>
        <v>30</v>
      </c>
      <c r="AI80" s="1">
        <f t="shared" si="20"/>
        <v>5.4780000000000006</v>
      </c>
      <c r="AJ80" t="s">
        <v>196</v>
      </c>
    </row>
    <row r="81" spans="1:36" x14ac:dyDescent="0.25">
      <c r="A81" s="1" t="s">
        <v>197</v>
      </c>
      <c r="B81" s="1" t="s">
        <v>48</v>
      </c>
      <c r="C81" s="1">
        <v>323</v>
      </c>
      <c r="D81" s="1">
        <v>6</v>
      </c>
      <c r="E81" s="1">
        <v>74</v>
      </c>
      <c r="F81" s="1">
        <v>234</v>
      </c>
      <c r="G81" s="7">
        <v>0.4</v>
      </c>
      <c r="H81" s="1">
        <v>55</v>
      </c>
      <c r="I81" s="1" t="s">
        <v>41</v>
      </c>
      <c r="J81" s="1"/>
      <c r="K81" s="1">
        <v>77</v>
      </c>
      <c r="L81" s="1">
        <f t="shared" si="15"/>
        <v>-3</v>
      </c>
      <c r="M81" s="1"/>
      <c r="N81" s="1"/>
      <c r="O81" s="1">
        <v>0</v>
      </c>
      <c r="P81" s="1"/>
      <c r="Q81" s="1"/>
      <c r="R81" s="1">
        <f t="shared" si="16"/>
        <v>14.8</v>
      </c>
      <c r="S81" s="5"/>
      <c r="T81" s="5">
        <f t="shared" si="21"/>
        <v>0</v>
      </c>
      <c r="U81" s="1">
        <f t="shared" si="17"/>
        <v>15.810810810810811</v>
      </c>
      <c r="V81" s="1">
        <f t="shared" si="18"/>
        <v>15.810810810810811</v>
      </c>
      <c r="W81" s="1">
        <v>11</v>
      </c>
      <c r="X81" s="1">
        <v>4.4000000000000004</v>
      </c>
      <c r="Y81" s="1">
        <v>12.2</v>
      </c>
      <c r="Z81" s="1">
        <v>13.8</v>
      </c>
      <c r="AA81" s="1">
        <v>9</v>
      </c>
      <c r="AB81" s="1">
        <v>12.6</v>
      </c>
      <c r="AC81" s="1">
        <v>8.6</v>
      </c>
      <c r="AD81" s="1">
        <v>7.4</v>
      </c>
      <c r="AE81" s="1">
        <v>43</v>
      </c>
      <c r="AF81" s="1">
        <v>39.4</v>
      </c>
      <c r="AG81" s="14" t="s">
        <v>198</v>
      </c>
      <c r="AH81" s="1">
        <f t="shared" si="19"/>
        <v>0</v>
      </c>
      <c r="AI81" s="1">
        <f t="shared" si="20"/>
        <v>5.9200000000000008</v>
      </c>
      <c r="AJ81" t="s">
        <v>199</v>
      </c>
    </row>
    <row r="82" spans="1:36" x14ac:dyDescent="0.25">
      <c r="A82" s="1" t="s">
        <v>200</v>
      </c>
      <c r="B82" s="1" t="s">
        <v>48</v>
      </c>
      <c r="C82" s="1">
        <v>17</v>
      </c>
      <c r="D82" s="1"/>
      <c r="E82" s="1">
        <v>10</v>
      </c>
      <c r="F82" s="1">
        <v>5</v>
      </c>
      <c r="G82" s="7">
        <v>0.35</v>
      </c>
      <c r="H82" s="1">
        <v>40</v>
      </c>
      <c r="I82" s="12" t="s">
        <v>59</v>
      </c>
      <c r="J82" s="1"/>
      <c r="K82" s="1">
        <v>25</v>
      </c>
      <c r="L82" s="1">
        <f t="shared" si="15"/>
        <v>-15</v>
      </c>
      <c r="M82" s="1"/>
      <c r="N82" s="1"/>
      <c r="O82" s="1">
        <v>10</v>
      </c>
      <c r="P82" s="1">
        <v>-12</v>
      </c>
      <c r="Q82" s="1"/>
      <c r="R82" s="1">
        <f t="shared" si="16"/>
        <v>2</v>
      </c>
      <c r="S82" s="5">
        <v>10</v>
      </c>
      <c r="T82" s="5">
        <f t="shared" si="21"/>
        <v>10</v>
      </c>
      <c r="U82" s="1">
        <f t="shared" si="17"/>
        <v>6.5</v>
      </c>
      <c r="V82" s="1">
        <f t="shared" si="18"/>
        <v>1.5</v>
      </c>
      <c r="W82" s="1">
        <v>2</v>
      </c>
      <c r="X82" s="1">
        <v>0</v>
      </c>
      <c r="Y82" s="1">
        <v>0</v>
      </c>
      <c r="Z82" s="1">
        <v>2.4</v>
      </c>
      <c r="AA82" s="1">
        <v>6.2</v>
      </c>
      <c r="AB82" s="1">
        <v>7</v>
      </c>
      <c r="AC82" s="1">
        <v>8</v>
      </c>
      <c r="AD82" s="1">
        <v>6.4</v>
      </c>
      <c r="AE82" s="1">
        <v>3.4</v>
      </c>
      <c r="AF82" s="1">
        <v>2.2000000000000002</v>
      </c>
      <c r="AG82" s="1"/>
      <c r="AH82" s="1">
        <f t="shared" si="19"/>
        <v>4</v>
      </c>
      <c r="AI82" s="1">
        <f t="shared" si="20"/>
        <v>0.7</v>
      </c>
      <c r="AJ82" t="s">
        <v>201</v>
      </c>
    </row>
    <row r="83" spans="1:36" x14ac:dyDescent="0.25">
      <c r="A83" s="1" t="s">
        <v>202</v>
      </c>
      <c r="B83" s="1" t="s">
        <v>48</v>
      </c>
      <c r="C83" s="1">
        <v>62</v>
      </c>
      <c r="D83" s="1"/>
      <c r="E83" s="1">
        <v>47</v>
      </c>
      <c r="F83" s="1">
        <v>15</v>
      </c>
      <c r="G83" s="7">
        <v>0.35</v>
      </c>
      <c r="H83" s="1">
        <v>45</v>
      </c>
      <c r="I83" s="12" t="s">
        <v>59</v>
      </c>
      <c r="J83" s="1"/>
      <c r="K83" s="1">
        <v>47</v>
      </c>
      <c r="L83" s="1">
        <f t="shared" si="15"/>
        <v>0</v>
      </c>
      <c r="M83" s="1"/>
      <c r="N83" s="1"/>
      <c r="O83" s="1">
        <v>5</v>
      </c>
      <c r="P83" s="1"/>
      <c r="Q83" s="1"/>
      <c r="R83" s="1">
        <f t="shared" si="16"/>
        <v>9.4</v>
      </c>
      <c r="S83" s="5">
        <v>50</v>
      </c>
      <c r="T83" s="5">
        <f t="shared" si="21"/>
        <v>50</v>
      </c>
      <c r="U83" s="1">
        <f t="shared" si="17"/>
        <v>7.4468085106382977</v>
      </c>
      <c r="V83" s="1">
        <f t="shared" si="18"/>
        <v>2.1276595744680851</v>
      </c>
      <c r="W83" s="1">
        <v>3.4</v>
      </c>
      <c r="X83" s="1">
        <v>0</v>
      </c>
      <c r="Y83" s="1">
        <v>0</v>
      </c>
      <c r="Z83" s="1">
        <v>1.4</v>
      </c>
      <c r="AA83" s="1">
        <v>5.4</v>
      </c>
      <c r="AB83" s="1">
        <v>8.1999999999999993</v>
      </c>
      <c r="AC83" s="1">
        <v>9</v>
      </c>
      <c r="AD83" s="1">
        <v>5</v>
      </c>
      <c r="AE83" s="1">
        <v>1.8</v>
      </c>
      <c r="AF83" s="1">
        <v>6.2</v>
      </c>
      <c r="AG83" s="1"/>
      <c r="AH83" s="1">
        <f t="shared" si="19"/>
        <v>18</v>
      </c>
      <c r="AI83" s="1">
        <f t="shared" si="20"/>
        <v>3.29</v>
      </c>
      <c r="AJ83" t="s">
        <v>203</v>
      </c>
    </row>
    <row r="84" spans="1:36" x14ac:dyDescent="0.25">
      <c r="A84" s="9" t="s">
        <v>204</v>
      </c>
      <c r="B84" s="9" t="s">
        <v>48</v>
      </c>
      <c r="C84" s="9"/>
      <c r="D84" s="9"/>
      <c r="E84" s="9"/>
      <c r="F84" s="9"/>
      <c r="G84" s="10">
        <v>0</v>
      </c>
      <c r="H84" s="9"/>
      <c r="I84" s="9" t="s">
        <v>41</v>
      </c>
      <c r="J84" s="9"/>
      <c r="K84" s="9"/>
      <c r="L84" s="9">
        <f t="shared" si="15"/>
        <v>0</v>
      </c>
      <c r="M84" s="9"/>
      <c r="N84" s="9"/>
      <c r="O84" s="9">
        <v>0</v>
      </c>
      <c r="P84" s="9"/>
      <c r="Q84" s="9"/>
      <c r="R84" s="9">
        <f t="shared" si="16"/>
        <v>0</v>
      </c>
      <c r="S84" s="11"/>
      <c r="T84" s="5">
        <f t="shared" si="21"/>
        <v>0</v>
      </c>
      <c r="U84" s="1" t="e">
        <f t="shared" si="17"/>
        <v>#DIV/0!</v>
      </c>
      <c r="V84" s="9" t="e">
        <f t="shared" si="18"/>
        <v>#DIV/0!</v>
      </c>
      <c r="W84" s="9">
        <v>0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 t="s">
        <v>56</v>
      </c>
      <c r="AH84" s="1">
        <f t="shared" si="19"/>
        <v>0</v>
      </c>
      <c r="AI84" s="1">
        <f t="shared" si="20"/>
        <v>0</v>
      </c>
      <c r="AJ84" t="s">
        <v>205</v>
      </c>
    </row>
    <row r="85" spans="1:36" x14ac:dyDescent="0.25">
      <c r="A85" s="9" t="s">
        <v>206</v>
      </c>
      <c r="B85" s="9" t="s">
        <v>40</v>
      </c>
      <c r="C85" s="9"/>
      <c r="D85" s="9"/>
      <c r="E85" s="9"/>
      <c r="F85" s="9"/>
      <c r="G85" s="10">
        <v>0</v>
      </c>
      <c r="H85" s="9"/>
      <c r="I85" s="9" t="s">
        <v>41</v>
      </c>
      <c r="J85" s="9"/>
      <c r="K85" s="9"/>
      <c r="L85" s="9">
        <f t="shared" si="15"/>
        <v>0</v>
      </c>
      <c r="M85" s="9"/>
      <c r="N85" s="9"/>
      <c r="O85" s="9">
        <v>0</v>
      </c>
      <c r="P85" s="9"/>
      <c r="Q85" s="9"/>
      <c r="R85" s="9">
        <f t="shared" si="16"/>
        <v>0</v>
      </c>
      <c r="S85" s="11"/>
      <c r="T85" s="5">
        <f t="shared" si="21"/>
        <v>0</v>
      </c>
      <c r="U85" s="1" t="e">
        <f t="shared" si="17"/>
        <v>#DIV/0!</v>
      </c>
      <c r="V85" s="9" t="e">
        <f t="shared" si="18"/>
        <v>#DIV/0!</v>
      </c>
      <c r="W85" s="9">
        <v>0</v>
      </c>
      <c r="X85" s="9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 t="s">
        <v>56</v>
      </c>
      <c r="AH85" s="1">
        <f t="shared" si="19"/>
        <v>0</v>
      </c>
      <c r="AI85" s="1">
        <f t="shared" si="20"/>
        <v>0</v>
      </c>
      <c r="AJ85" t="s">
        <v>207</v>
      </c>
    </row>
    <row r="86" spans="1:36" x14ac:dyDescent="0.25">
      <c r="A86" s="9" t="s">
        <v>208</v>
      </c>
      <c r="B86" s="9" t="s">
        <v>48</v>
      </c>
      <c r="C86" s="9">
        <v>-5</v>
      </c>
      <c r="D86" s="9"/>
      <c r="E86" s="9"/>
      <c r="F86" s="9">
        <v>-5</v>
      </c>
      <c r="G86" s="10">
        <v>0</v>
      </c>
      <c r="H86" s="9">
        <v>55</v>
      </c>
      <c r="I86" s="9" t="s">
        <v>84</v>
      </c>
      <c r="J86" s="9"/>
      <c r="K86" s="9">
        <v>20</v>
      </c>
      <c r="L86" s="9">
        <f t="shared" si="15"/>
        <v>-20</v>
      </c>
      <c r="M86" s="9"/>
      <c r="N86" s="9"/>
      <c r="O86" s="9">
        <v>0</v>
      </c>
      <c r="P86" s="9"/>
      <c r="Q86" s="9"/>
      <c r="R86" s="9">
        <f t="shared" si="16"/>
        <v>0</v>
      </c>
      <c r="S86" s="11"/>
      <c r="T86" s="5">
        <f t="shared" si="21"/>
        <v>0</v>
      </c>
      <c r="U86" s="1" t="e">
        <f t="shared" si="17"/>
        <v>#DIV/0!</v>
      </c>
      <c r="V86" s="9" t="e">
        <f t="shared" si="18"/>
        <v>#DIV/0!</v>
      </c>
      <c r="W86" s="9">
        <v>0</v>
      </c>
      <c r="X86" s="9">
        <v>0</v>
      </c>
      <c r="Y86" s="9">
        <v>0</v>
      </c>
      <c r="Z86" s="9">
        <v>2</v>
      </c>
      <c r="AA86" s="9">
        <v>2</v>
      </c>
      <c r="AB86" s="9">
        <v>0</v>
      </c>
      <c r="AC86" s="9">
        <v>8.6</v>
      </c>
      <c r="AD86" s="9">
        <v>17.399999999999999</v>
      </c>
      <c r="AE86" s="9">
        <v>27.4</v>
      </c>
      <c r="AF86" s="9">
        <v>18.600000000000001</v>
      </c>
      <c r="AG86" s="9"/>
      <c r="AH86" s="1">
        <f t="shared" si="19"/>
        <v>0</v>
      </c>
      <c r="AI86" s="1">
        <f t="shared" si="20"/>
        <v>0</v>
      </c>
      <c r="AJ86" t="s">
        <v>209</v>
      </c>
    </row>
    <row r="87" spans="1:36" x14ac:dyDescent="0.25">
      <c r="A87" s="1" t="s">
        <v>210</v>
      </c>
      <c r="B87" s="1" t="s">
        <v>40</v>
      </c>
      <c r="C87" s="1">
        <v>28.681000000000001</v>
      </c>
      <c r="D87" s="1"/>
      <c r="E87" s="1">
        <v>15.83</v>
      </c>
      <c r="F87" s="1">
        <v>12.851000000000001</v>
      </c>
      <c r="G87" s="7">
        <v>1</v>
      </c>
      <c r="H87" s="1">
        <v>55</v>
      </c>
      <c r="I87" s="1" t="s">
        <v>41</v>
      </c>
      <c r="J87" s="1"/>
      <c r="K87" s="1">
        <v>15.4</v>
      </c>
      <c r="L87" s="1">
        <f t="shared" si="15"/>
        <v>0.42999999999999972</v>
      </c>
      <c r="M87" s="1"/>
      <c r="N87" s="1"/>
      <c r="O87" s="1">
        <v>4</v>
      </c>
      <c r="P87" s="1"/>
      <c r="Q87" s="1"/>
      <c r="R87" s="1">
        <f t="shared" si="16"/>
        <v>3.1659999999999999</v>
      </c>
      <c r="S87" s="5">
        <f>11*R87-Q87-P87-O87-F87</f>
        <v>17.975000000000001</v>
      </c>
      <c r="T87" s="5">
        <f t="shared" si="21"/>
        <v>17.975000000000001</v>
      </c>
      <c r="U87" s="1">
        <f t="shared" si="17"/>
        <v>11</v>
      </c>
      <c r="V87" s="1">
        <f t="shared" si="18"/>
        <v>5.3224889450410613</v>
      </c>
      <c r="W87" s="1">
        <v>2.0042</v>
      </c>
      <c r="X87" s="1">
        <v>1.1472</v>
      </c>
      <c r="Y87" s="1">
        <v>0.57320000000000004</v>
      </c>
      <c r="Z87" s="1">
        <v>0.57420000000000004</v>
      </c>
      <c r="AA87" s="1">
        <v>0.57440000000000002</v>
      </c>
      <c r="AB87" s="1">
        <v>1.1494</v>
      </c>
      <c r="AC87" s="1">
        <v>2.0078</v>
      </c>
      <c r="AD87" s="1">
        <v>2.8702000000000001</v>
      </c>
      <c r="AE87" s="1">
        <v>2.3037999999999998</v>
      </c>
      <c r="AF87" s="1">
        <v>0.86639999999999995</v>
      </c>
      <c r="AG87" s="1"/>
      <c r="AH87" s="1">
        <f t="shared" si="19"/>
        <v>18</v>
      </c>
      <c r="AI87" s="1">
        <f t="shared" si="20"/>
        <v>3.1659999999999999</v>
      </c>
      <c r="AJ87" t="s">
        <v>211</v>
      </c>
    </row>
    <row r="88" spans="1:36" x14ac:dyDescent="0.25">
      <c r="A88" s="1" t="s">
        <v>212</v>
      </c>
      <c r="B88" s="1" t="s">
        <v>40</v>
      </c>
      <c r="C88" s="1">
        <v>386.19200000000001</v>
      </c>
      <c r="D88" s="1">
        <v>114.75</v>
      </c>
      <c r="E88" s="1">
        <v>200.05600000000001</v>
      </c>
      <c r="F88" s="1">
        <v>230.70400000000001</v>
      </c>
      <c r="G88" s="7">
        <v>1</v>
      </c>
      <c r="H88" s="1">
        <v>60</v>
      </c>
      <c r="I88" s="1" t="s">
        <v>41</v>
      </c>
      <c r="J88" s="1"/>
      <c r="K88" s="1">
        <v>209.24</v>
      </c>
      <c r="L88" s="1">
        <f t="shared" si="15"/>
        <v>-9.1839999999999975</v>
      </c>
      <c r="M88" s="1"/>
      <c r="N88" s="1"/>
      <c r="O88" s="1">
        <v>51.240430000000032</v>
      </c>
      <c r="P88" s="1"/>
      <c r="Q88" s="1"/>
      <c r="R88" s="1">
        <f t="shared" si="16"/>
        <v>40.011200000000002</v>
      </c>
      <c r="S88" s="5">
        <f>11*R88-Q88-P88-O88-F88</f>
        <v>158.17876999999993</v>
      </c>
      <c r="T88" s="5">
        <f t="shared" si="21"/>
        <v>158.17876999999993</v>
      </c>
      <c r="U88" s="1">
        <f t="shared" si="17"/>
        <v>10.999999999999998</v>
      </c>
      <c r="V88" s="1">
        <f t="shared" si="18"/>
        <v>7.0466376914463948</v>
      </c>
      <c r="W88" s="1">
        <v>37.158999999999999</v>
      </c>
      <c r="X88" s="1">
        <v>27.297799999999999</v>
      </c>
      <c r="Y88" s="1">
        <v>35.398400000000002</v>
      </c>
      <c r="Z88" s="1">
        <v>35.738399999999999</v>
      </c>
      <c r="AA88" s="1">
        <v>39.966799999999999</v>
      </c>
      <c r="AB88" s="1">
        <v>42.334800000000001</v>
      </c>
      <c r="AC88" s="1">
        <v>54.258799999999987</v>
      </c>
      <c r="AD88" s="1">
        <v>64.385599999999997</v>
      </c>
      <c r="AE88" s="1">
        <v>65.792000000000002</v>
      </c>
      <c r="AF88" s="1">
        <v>54.653599999999997</v>
      </c>
      <c r="AG88" s="1"/>
      <c r="AH88" s="1">
        <f t="shared" si="19"/>
        <v>158</v>
      </c>
      <c r="AI88" s="1">
        <f t="shared" si="20"/>
        <v>40.011200000000002</v>
      </c>
      <c r="AJ88" t="s">
        <v>213</v>
      </c>
    </row>
    <row r="89" spans="1:36" x14ac:dyDescent="0.25">
      <c r="A89" s="9" t="s">
        <v>214</v>
      </c>
      <c r="B89" s="9" t="s">
        <v>48</v>
      </c>
      <c r="C89" s="9"/>
      <c r="D89" s="9"/>
      <c r="E89" s="9"/>
      <c r="F89" s="9"/>
      <c r="G89" s="10">
        <v>0</v>
      </c>
      <c r="H89" s="9"/>
      <c r="I89" s="9" t="s">
        <v>41</v>
      </c>
      <c r="J89" s="9"/>
      <c r="K89" s="9"/>
      <c r="L89" s="9">
        <f t="shared" si="15"/>
        <v>0</v>
      </c>
      <c r="M89" s="9"/>
      <c r="N89" s="9"/>
      <c r="O89" s="9">
        <v>0</v>
      </c>
      <c r="P89" s="9"/>
      <c r="Q89" s="9"/>
      <c r="R89" s="9">
        <f t="shared" si="16"/>
        <v>0</v>
      </c>
      <c r="S89" s="11"/>
      <c r="T89" s="5">
        <f t="shared" si="21"/>
        <v>0</v>
      </c>
      <c r="U89" s="1" t="e">
        <f t="shared" si="17"/>
        <v>#DIV/0!</v>
      </c>
      <c r="V89" s="9" t="e">
        <f t="shared" si="18"/>
        <v>#DIV/0!</v>
      </c>
      <c r="W89" s="9">
        <v>0</v>
      </c>
      <c r="X89" s="9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 t="s">
        <v>56</v>
      </c>
      <c r="AH89" s="1">
        <f t="shared" si="19"/>
        <v>0</v>
      </c>
      <c r="AI89" s="1">
        <f t="shared" si="20"/>
        <v>0</v>
      </c>
      <c r="AJ89" t="s">
        <v>215</v>
      </c>
    </row>
    <row r="90" spans="1:36" x14ac:dyDescent="0.25">
      <c r="A90" s="1" t="s">
        <v>216</v>
      </c>
      <c r="B90" s="1" t="s">
        <v>40</v>
      </c>
      <c r="C90" s="1">
        <v>2388.94</v>
      </c>
      <c r="D90" s="1">
        <v>2425.8389999999999</v>
      </c>
      <c r="E90" s="1">
        <v>1284.9960000000001</v>
      </c>
      <c r="F90" s="1">
        <v>2739.6660000000002</v>
      </c>
      <c r="G90" s="7">
        <v>1</v>
      </c>
      <c r="H90" s="1">
        <v>60</v>
      </c>
      <c r="I90" s="1" t="s">
        <v>41</v>
      </c>
      <c r="J90" s="1"/>
      <c r="K90" s="1">
        <v>1360.3140000000001</v>
      </c>
      <c r="L90" s="1">
        <f t="shared" si="15"/>
        <v>-75.317999999999984</v>
      </c>
      <c r="M90" s="1"/>
      <c r="N90" s="1"/>
      <c r="O90" s="1">
        <v>0</v>
      </c>
      <c r="P90" s="1"/>
      <c r="Q90" s="1"/>
      <c r="R90" s="1">
        <f t="shared" si="16"/>
        <v>256.99920000000003</v>
      </c>
      <c r="S90" s="5"/>
      <c r="T90" s="5">
        <f t="shared" si="21"/>
        <v>0</v>
      </c>
      <c r="U90" s="1">
        <f t="shared" si="17"/>
        <v>10.660212171866682</v>
      </c>
      <c r="V90" s="1">
        <f t="shared" si="18"/>
        <v>10.660212171866682</v>
      </c>
      <c r="W90" s="1">
        <v>231.32480000000001</v>
      </c>
      <c r="X90" s="1">
        <v>263.76119999999997</v>
      </c>
      <c r="Y90" s="1">
        <v>305.51940000000002</v>
      </c>
      <c r="Z90" s="1">
        <v>261.89159999999998</v>
      </c>
      <c r="AA90" s="1">
        <v>278.6728</v>
      </c>
      <c r="AB90" s="1">
        <v>349.59500000000003</v>
      </c>
      <c r="AC90" s="1">
        <v>386.44279999999998</v>
      </c>
      <c r="AD90" s="1">
        <v>349.46839999999997</v>
      </c>
      <c r="AE90" s="1">
        <v>330.30160000000001</v>
      </c>
      <c r="AF90" s="1">
        <v>346.56220000000002</v>
      </c>
      <c r="AG90" s="1"/>
      <c r="AH90" s="1">
        <f t="shared" si="19"/>
        <v>0</v>
      </c>
      <c r="AI90" s="1">
        <f t="shared" si="20"/>
        <v>256.99920000000003</v>
      </c>
      <c r="AJ90" t="s">
        <v>217</v>
      </c>
    </row>
    <row r="91" spans="1:36" x14ac:dyDescent="0.25">
      <c r="A91" s="1" t="s">
        <v>218</v>
      </c>
      <c r="B91" s="1" t="s">
        <v>40</v>
      </c>
      <c r="C91" s="1">
        <v>3210.3319999999999</v>
      </c>
      <c r="D91" s="1">
        <v>27.899000000000001</v>
      </c>
      <c r="E91" s="1">
        <v>1468.643</v>
      </c>
      <c r="F91" s="1">
        <v>1200.2190000000001</v>
      </c>
      <c r="G91" s="7">
        <v>1</v>
      </c>
      <c r="H91" s="1">
        <v>60</v>
      </c>
      <c r="I91" s="1" t="s">
        <v>41</v>
      </c>
      <c r="J91" s="1"/>
      <c r="K91" s="1">
        <v>1452.8</v>
      </c>
      <c r="L91" s="1">
        <f t="shared" si="15"/>
        <v>15.843000000000075</v>
      </c>
      <c r="M91" s="1"/>
      <c r="N91" s="1"/>
      <c r="O91" s="1">
        <v>0</v>
      </c>
      <c r="P91" s="1"/>
      <c r="Q91" s="1">
        <v>200</v>
      </c>
      <c r="R91" s="1">
        <f t="shared" si="16"/>
        <v>293.72860000000003</v>
      </c>
      <c r="S91" s="5">
        <f>10*R91-Q91-P91-O91-F91</f>
        <v>1537.067</v>
      </c>
      <c r="T91" s="5">
        <f>S91+$T$1*R91</f>
        <v>1331.4569799999999</v>
      </c>
      <c r="U91" s="1">
        <f t="shared" si="17"/>
        <v>9.2999999999999989</v>
      </c>
      <c r="V91" s="1">
        <f t="shared" si="18"/>
        <v>4.7670502634064231</v>
      </c>
      <c r="W91" s="1">
        <v>213.80719999999999</v>
      </c>
      <c r="X91" s="1">
        <v>230.60740000000001</v>
      </c>
      <c r="Y91" s="1">
        <v>267.38240000000002</v>
      </c>
      <c r="Z91" s="1">
        <v>257.27859999999998</v>
      </c>
      <c r="AA91" s="1">
        <v>302.92239999999998</v>
      </c>
      <c r="AB91" s="1">
        <v>335.65300000000002</v>
      </c>
      <c r="AC91" s="1">
        <v>342.85480000000001</v>
      </c>
      <c r="AD91" s="1">
        <v>355.83800000000002</v>
      </c>
      <c r="AE91" s="1">
        <v>333.839</v>
      </c>
      <c r="AF91" s="1">
        <v>299.80560000000003</v>
      </c>
      <c r="AG91" s="1"/>
      <c r="AH91" s="1">
        <f t="shared" si="19"/>
        <v>1331</v>
      </c>
      <c r="AI91" s="1">
        <f t="shared" si="20"/>
        <v>293.72860000000003</v>
      </c>
      <c r="AJ91" t="s">
        <v>219</v>
      </c>
    </row>
    <row r="92" spans="1:36" x14ac:dyDescent="0.25">
      <c r="A92" s="1" t="s">
        <v>220</v>
      </c>
      <c r="B92" s="1" t="s">
        <v>40</v>
      </c>
      <c r="C92" s="1">
        <v>5131.4859999999999</v>
      </c>
      <c r="D92" s="1">
        <v>1113.998</v>
      </c>
      <c r="E92" s="1">
        <v>2323.5929999999998</v>
      </c>
      <c r="F92" s="1">
        <v>3115.674</v>
      </c>
      <c r="G92" s="7">
        <v>1</v>
      </c>
      <c r="H92" s="1">
        <v>60</v>
      </c>
      <c r="I92" s="1" t="s">
        <v>41</v>
      </c>
      <c r="J92" s="1"/>
      <c r="K92" s="1">
        <v>2397.5</v>
      </c>
      <c r="L92" s="1">
        <f t="shared" si="15"/>
        <v>-73.907000000000153</v>
      </c>
      <c r="M92" s="1"/>
      <c r="N92" s="1"/>
      <c r="O92" s="1">
        <v>0</v>
      </c>
      <c r="P92" s="1"/>
      <c r="Q92" s="1">
        <v>240</v>
      </c>
      <c r="R92" s="1">
        <f t="shared" si="16"/>
        <v>464.71859999999998</v>
      </c>
      <c r="S92" s="5">
        <f>10*R92-Q92-P92-O92-F92</f>
        <v>1291.5119999999997</v>
      </c>
      <c r="T92" s="5">
        <f>S92+$T$1*R92</f>
        <v>966.20897999999977</v>
      </c>
      <c r="U92" s="1">
        <f t="shared" si="17"/>
        <v>9.2999999999999989</v>
      </c>
      <c r="V92" s="1">
        <f t="shared" si="18"/>
        <v>7.2208730186396677</v>
      </c>
      <c r="W92" s="1">
        <v>390.34859999999998</v>
      </c>
      <c r="X92" s="1">
        <v>377.59100000000001</v>
      </c>
      <c r="Y92" s="1">
        <v>432.98239999999998</v>
      </c>
      <c r="Z92" s="1">
        <v>418.18819999999988</v>
      </c>
      <c r="AA92" s="1">
        <v>465.66320000000002</v>
      </c>
      <c r="AB92" s="1">
        <v>537.89380000000006</v>
      </c>
      <c r="AC92" s="1">
        <v>509.97379999999998</v>
      </c>
      <c r="AD92" s="1">
        <v>493.71719999999988</v>
      </c>
      <c r="AE92" s="1">
        <v>528.36019999999996</v>
      </c>
      <c r="AF92" s="1">
        <v>520.89139999999998</v>
      </c>
      <c r="AG92" s="1"/>
      <c r="AH92" s="1">
        <f t="shared" si="19"/>
        <v>966</v>
      </c>
      <c r="AI92" s="1">
        <f t="shared" si="20"/>
        <v>464.71859999999998</v>
      </c>
      <c r="AJ92" t="s">
        <v>221</v>
      </c>
    </row>
    <row r="93" spans="1:36" x14ac:dyDescent="0.25">
      <c r="A93" s="9" t="s">
        <v>222</v>
      </c>
      <c r="B93" s="9" t="s">
        <v>40</v>
      </c>
      <c r="C93" s="9"/>
      <c r="D93" s="9"/>
      <c r="E93" s="9"/>
      <c r="F93" s="9"/>
      <c r="G93" s="10">
        <v>0</v>
      </c>
      <c r="H93" s="9"/>
      <c r="I93" s="9" t="s">
        <v>41</v>
      </c>
      <c r="J93" s="9"/>
      <c r="K93" s="9"/>
      <c r="L93" s="9">
        <f t="shared" si="15"/>
        <v>0</v>
      </c>
      <c r="M93" s="9"/>
      <c r="N93" s="9"/>
      <c r="O93" s="9">
        <v>0</v>
      </c>
      <c r="P93" s="9"/>
      <c r="Q93" s="9"/>
      <c r="R93" s="9">
        <f t="shared" si="16"/>
        <v>0</v>
      </c>
      <c r="S93" s="11"/>
      <c r="T93" s="5">
        <f>S93</f>
        <v>0</v>
      </c>
      <c r="U93" s="1" t="e">
        <f t="shared" si="17"/>
        <v>#DIV/0!</v>
      </c>
      <c r="V93" s="9" t="e">
        <f t="shared" si="18"/>
        <v>#DIV/0!</v>
      </c>
      <c r="W93" s="9">
        <v>0</v>
      </c>
      <c r="X93" s="9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 t="s">
        <v>56</v>
      </c>
      <c r="AH93" s="1">
        <f t="shared" si="19"/>
        <v>0</v>
      </c>
      <c r="AI93" s="1">
        <f t="shared" si="20"/>
        <v>0</v>
      </c>
      <c r="AJ93" t="s">
        <v>223</v>
      </c>
    </row>
    <row r="94" spans="1:36" x14ac:dyDescent="0.25">
      <c r="A94" s="1" t="s">
        <v>224</v>
      </c>
      <c r="B94" s="1" t="s">
        <v>48</v>
      </c>
      <c r="C94" s="1">
        <v>-7</v>
      </c>
      <c r="D94" s="1"/>
      <c r="E94" s="1">
        <v>-5</v>
      </c>
      <c r="F94" s="1">
        <v>-11</v>
      </c>
      <c r="G94" s="7">
        <v>0.3</v>
      </c>
      <c r="H94" s="1">
        <v>40</v>
      </c>
      <c r="I94" s="12" t="s">
        <v>59</v>
      </c>
      <c r="J94" s="1"/>
      <c r="K94" s="1">
        <v>4</v>
      </c>
      <c r="L94" s="1">
        <f t="shared" si="15"/>
        <v>-9</v>
      </c>
      <c r="M94" s="1"/>
      <c r="N94" s="1"/>
      <c r="O94" s="1">
        <v>90</v>
      </c>
      <c r="P94" s="1">
        <v>-90</v>
      </c>
      <c r="Q94" s="1"/>
      <c r="R94" s="1">
        <f t="shared" si="16"/>
        <v>-1</v>
      </c>
      <c r="S94" s="5">
        <v>100</v>
      </c>
      <c r="T94" s="5">
        <f>S94*0.7</f>
        <v>70</v>
      </c>
      <c r="U94" s="1">
        <f t="shared" si="17"/>
        <v>-59</v>
      </c>
      <c r="V94" s="1">
        <f t="shared" si="18"/>
        <v>11</v>
      </c>
      <c r="W94" s="1">
        <v>5.4</v>
      </c>
      <c r="X94" s="1">
        <v>28.6</v>
      </c>
      <c r="Y94" s="1">
        <v>48.6</v>
      </c>
      <c r="Z94" s="1">
        <v>42.6</v>
      </c>
      <c r="AA94" s="1">
        <v>15.2</v>
      </c>
      <c r="AB94" s="1">
        <v>0.6</v>
      </c>
      <c r="AC94" s="1">
        <v>35</v>
      </c>
      <c r="AD94" s="1">
        <v>57.4</v>
      </c>
      <c r="AE94" s="1">
        <v>28.8</v>
      </c>
      <c r="AF94" s="1">
        <v>12.6</v>
      </c>
      <c r="AG94" s="1"/>
      <c r="AH94" s="1">
        <f t="shared" si="19"/>
        <v>21</v>
      </c>
      <c r="AI94" s="1">
        <f t="shared" si="20"/>
        <v>-0.3</v>
      </c>
      <c r="AJ94" t="s">
        <v>225</v>
      </c>
    </row>
    <row r="95" spans="1:36" x14ac:dyDescent="0.25">
      <c r="A95" s="9" t="s">
        <v>226</v>
      </c>
      <c r="B95" s="9" t="s">
        <v>48</v>
      </c>
      <c r="C95" s="9"/>
      <c r="D95" s="9"/>
      <c r="E95" s="9"/>
      <c r="F95" s="9"/>
      <c r="G95" s="10">
        <v>0</v>
      </c>
      <c r="H95" s="9"/>
      <c r="I95" s="9" t="s">
        <v>41</v>
      </c>
      <c r="J95" s="9"/>
      <c r="K95" s="9"/>
      <c r="L95" s="9">
        <f t="shared" si="15"/>
        <v>0</v>
      </c>
      <c r="M95" s="9"/>
      <c r="N95" s="9"/>
      <c r="O95" s="9">
        <v>0</v>
      </c>
      <c r="P95" s="9"/>
      <c r="Q95" s="9"/>
      <c r="R95" s="9">
        <f t="shared" si="16"/>
        <v>0</v>
      </c>
      <c r="S95" s="11"/>
      <c r="T95" s="5">
        <f t="shared" ref="T95:T107" si="22">S95</f>
        <v>0</v>
      </c>
      <c r="U95" s="1" t="e">
        <f t="shared" si="17"/>
        <v>#DIV/0!</v>
      </c>
      <c r="V95" s="9" t="e">
        <f t="shared" si="18"/>
        <v>#DIV/0!</v>
      </c>
      <c r="W95" s="9">
        <v>0</v>
      </c>
      <c r="X95" s="9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0</v>
      </c>
      <c r="AE95" s="9">
        <v>0</v>
      </c>
      <c r="AF95" s="9">
        <v>0</v>
      </c>
      <c r="AG95" s="9" t="s">
        <v>56</v>
      </c>
      <c r="AH95" s="1">
        <f t="shared" si="19"/>
        <v>0</v>
      </c>
      <c r="AI95" s="1">
        <f t="shared" si="20"/>
        <v>0</v>
      </c>
      <c r="AJ95" t="s">
        <v>227</v>
      </c>
    </row>
    <row r="96" spans="1:36" x14ac:dyDescent="0.25">
      <c r="A96" s="1" t="s">
        <v>228</v>
      </c>
      <c r="B96" s="1" t="s">
        <v>48</v>
      </c>
      <c r="C96" s="1">
        <v>141</v>
      </c>
      <c r="D96" s="1">
        <v>24</v>
      </c>
      <c r="E96" s="1">
        <v>91</v>
      </c>
      <c r="F96" s="1">
        <v>36</v>
      </c>
      <c r="G96" s="7">
        <v>7.0000000000000007E-2</v>
      </c>
      <c r="H96" s="1">
        <v>90</v>
      </c>
      <c r="I96" s="12" t="s">
        <v>59</v>
      </c>
      <c r="J96" s="1"/>
      <c r="K96" s="1">
        <v>101</v>
      </c>
      <c r="L96" s="1">
        <f t="shared" si="15"/>
        <v>-10</v>
      </c>
      <c r="M96" s="1"/>
      <c r="N96" s="1"/>
      <c r="O96" s="1">
        <v>60.703999999999979</v>
      </c>
      <c r="P96" s="1">
        <v>-72</v>
      </c>
      <c r="Q96" s="1"/>
      <c r="R96" s="1">
        <f t="shared" si="16"/>
        <v>18.2</v>
      </c>
      <c r="S96" s="5">
        <v>40</v>
      </c>
      <c r="T96" s="5">
        <f t="shared" si="22"/>
        <v>40</v>
      </c>
      <c r="U96" s="1">
        <f t="shared" si="17"/>
        <v>3.5551648351648342</v>
      </c>
      <c r="V96" s="1">
        <f t="shared" si="18"/>
        <v>1.3573626373626362</v>
      </c>
      <c r="W96" s="1">
        <v>15.2</v>
      </c>
      <c r="X96" s="1">
        <v>12.6</v>
      </c>
      <c r="Y96" s="1">
        <v>7</v>
      </c>
      <c r="Z96" s="1">
        <v>4.4000000000000004</v>
      </c>
      <c r="AA96" s="1">
        <v>14.2</v>
      </c>
      <c r="AB96" s="1">
        <v>17</v>
      </c>
      <c r="AC96" s="1">
        <v>9.4</v>
      </c>
      <c r="AD96" s="1">
        <v>9.4</v>
      </c>
      <c r="AE96" s="1">
        <v>12</v>
      </c>
      <c r="AF96" s="1">
        <v>13</v>
      </c>
      <c r="AG96" s="1"/>
      <c r="AH96" s="1">
        <f t="shared" si="19"/>
        <v>3</v>
      </c>
      <c r="AI96" s="1">
        <f t="shared" si="20"/>
        <v>1.274</v>
      </c>
      <c r="AJ96" t="s">
        <v>229</v>
      </c>
    </row>
    <row r="97" spans="1:36" x14ac:dyDescent="0.25">
      <c r="A97" s="1" t="s">
        <v>230</v>
      </c>
      <c r="B97" s="1" t="s">
        <v>48</v>
      </c>
      <c r="C97" s="1"/>
      <c r="D97" s="1"/>
      <c r="E97" s="1"/>
      <c r="F97" s="1"/>
      <c r="G97" s="7">
        <v>7.0000000000000007E-2</v>
      </c>
      <c r="H97" s="1">
        <v>90</v>
      </c>
      <c r="I97" s="12" t="s">
        <v>59</v>
      </c>
      <c r="J97" s="1"/>
      <c r="K97" s="1"/>
      <c r="L97" s="1">
        <f t="shared" si="15"/>
        <v>0</v>
      </c>
      <c r="M97" s="1"/>
      <c r="N97" s="1"/>
      <c r="O97" s="1">
        <v>20</v>
      </c>
      <c r="P97" s="1"/>
      <c r="Q97" s="1"/>
      <c r="R97" s="1">
        <f t="shared" si="16"/>
        <v>0</v>
      </c>
      <c r="S97" s="5">
        <v>30</v>
      </c>
      <c r="T97" s="5">
        <f t="shared" si="22"/>
        <v>30</v>
      </c>
      <c r="U97" s="1" t="e">
        <f t="shared" si="17"/>
        <v>#DIV/0!</v>
      </c>
      <c r="V97" s="1" t="e">
        <f t="shared" si="18"/>
        <v>#DIV/0!</v>
      </c>
      <c r="W97" s="1">
        <v>0</v>
      </c>
      <c r="X97" s="1">
        <v>0</v>
      </c>
      <c r="Y97" s="1">
        <v>0</v>
      </c>
      <c r="Z97" s="1">
        <v>0</v>
      </c>
      <c r="AA97" s="1">
        <v>7.2</v>
      </c>
      <c r="AB97" s="1">
        <v>11.2</v>
      </c>
      <c r="AC97" s="1">
        <v>7.2</v>
      </c>
      <c r="AD97" s="1">
        <v>3.2</v>
      </c>
      <c r="AE97" s="1">
        <v>0</v>
      </c>
      <c r="AF97" s="1">
        <v>0</v>
      </c>
      <c r="AG97" s="1"/>
      <c r="AH97" s="1">
        <f t="shared" si="19"/>
        <v>2</v>
      </c>
      <c r="AI97" s="1">
        <f t="shared" si="20"/>
        <v>0</v>
      </c>
      <c r="AJ97" t="s">
        <v>231</v>
      </c>
    </row>
    <row r="98" spans="1:36" x14ac:dyDescent="0.25">
      <c r="A98" s="1" t="s">
        <v>232</v>
      </c>
      <c r="B98" s="1" t="s">
        <v>48</v>
      </c>
      <c r="C98" s="1">
        <v>93</v>
      </c>
      <c r="D98" s="1">
        <v>27</v>
      </c>
      <c r="E98" s="1">
        <v>86</v>
      </c>
      <c r="F98" s="1">
        <v>9</v>
      </c>
      <c r="G98" s="7">
        <v>7.0000000000000007E-2</v>
      </c>
      <c r="H98" s="1">
        <v>90</v>
      </c>
      <c r="I98" s="1" t="s">
        <v>41</v>
      </c>
      <c r="J98" s="1"/>
      <c r="K98" s="1">
        <v>104</v>
      </c>
      <c r="L98" s="1">
        <f t="shared" si="15"/>
        <v>-18</v>
      </c>
      <c r="M98" s="1"/>
      <c r="N98" s="1"/>
      <c r="O98" s="1">
        <v>73.010000000000005</v>
      </c>
      <c r="P98" s="1"/>
      <c r="Q98" s="1"/>
      <c r="R98" s="1">
        <f t="shared" si="16"/>
        <v>17.2</v>
      </c>
      <c r="S98" s="5">
        <f>11*R98-Q98-P98-O98-F98</f>
        <v>107.18999999999998</v>
      </c>
      <c r="T98" s="5">
        <f t="shared" si="22"/>
        <v>107.18999999999998</v>
      </c>
      <c r="U98" s="1">
        <f t="shared" si="17"/>
        <v>11</v>
      </c>
      <c r="V98" s="1">
        <f t="shared" si="18"/>
        <v>4.7680232558139544</v>
      </c>
      <c r="W98" s="1">
        <v>13</v>
      </c>
      <c r="X98" s="1">
        <v>12.2</v>
      </c>
      <c r="Y98" s="1">
        <v>9.1999999999999993</v>
      </c>
      <c r="Z98" s="1">
        <v>5</v>
      </c>
      <c r="AA98" s="1">
        <v>11</v>
      </c>
      <c r="AB98" s="1">
        <v>12.6</v>
      </c>
      <c r="AC98" s="1">
        <v>7</v>
      </c>
      <c r="AD98" s="1">
        <v>9.4</v>
      </c>
      <c r="AE98" s="1">
        <v>15.4</v>
      </c>
      <c r="AF98" s="1">
        <v>14.2</v>
      </c>
      <c r="AG98" s="1"/>
      <c r="AH98" s="1">
        <f t="shared" si="19"/>
        <v>8</v>
      </c>
      <c r="AI98" s="1">
        <f t="shared" si="20"/>
        <v>1.204</v>
      </c>
      <c r="AJ98" t="s">
        <v>233</v>
      </c>
    </row>
    <row r="99" spans="1:36" x14ac:dyDescent="0.25">
      <c r="A99" s="9" t="s">
        <v>234</v>
      </c>
      <c r="B99" s="9" t="s">
        <v>48</v>
      </c>
      <c r="C99" s="9">
        <v>7</v>
      </c>
      <c r="D99" s="9"/>
      <c r="E99" s="9">
        <v>-1</v>
      </c>
      <c r="F99" s="9">
        <v>7</v>
      </c>
      <c r="G99" s="10">
        <v>0</v>
      </c>
      <c r="H99" s="9">
        <v>90</v>
      </c>
      <c r="I99" s="9" t="s">
        <v>84</v>
      </c>
      <c r="J99" s="9"/>
      <c r="K99" s="9">
        <v>24</v>
      </c>
      <c r="L99" s="9">
        <f t="shared" si="15"/>
        <v>-25</v>
      </c>
      <c r="M99" s="9"/>
      <c r="N99" s="9"/>
      <c r="O99" s="9">
        <v>0</v>
      </c>
      <c r="P99" s="9"/>
      <c r="Q99" s="9"/>
      <c r="R99" s="9">
        <f t="shared" si="16"/>
        <v>-0.2</v>
      </c>
      <c r="S99" s="11"/>
      <c r="T99" s="5">
        <f t="shared" si="22"/>
        <v>0</v>
      </c>
      <c r="U99" s="1">
        <f t="shared" si="17"/>
        <v>-35</v>
      </c>
      <c r="V99" s="9">
        <f t="shared" si="18"/>
        <v>-35</v>
      </c>
      <c r="W99" s="9">
        <v>-0.2</v>
      </c>
      <c r="X99" s="9">
        <v>-0.6</v>
      </c>
      <c r="Y99" s="9">
        <v>-0.4</v>
      </c>
      <c r="Z99" s="9">
        <v>0</v>
      </c>
      <c r="AA99" s="9">
        <v>8.8000000000000007</v>
      </c>
      <c r="AB99" s="9">
        <v>14</v>
      </c>
      <c r="AC99" s="9">
        <v>12.6</v>
      </c>
      <c r="AD99" s="9">
        <v>14</v>
      </c>
      <c r="AE99" s="9">
        <v>15</v>
      </c>
      <c r="AF99" s="9">
        <v>12.6</v>
      </c>
      <c r="AG99" s="9"/>
      <c r="AH99" s="1">
        <f t="shared" si="19"/>
        <v>0</v>
      </c>
      <c r="AI99" s="1">
        <f t="shared" si="20"/>
        <v>0</v>
      </c>
      <c r="AJ99" t="s">
        <v>235</v>
      </c>
    </row>
    <row r="100" spans="1:36" x14ac:dyDescent="0.25">
      <c r="A100" s="9" t="s">
        <v>236</v>
      </c>
      <c r="B100" s="9" t="s">
        <v>48</v>
      </c>
      <c r="C100" s="9">
        <v>1</v>
      </c>
      <c r="D100" s="9"/>
      <c r="E100" s="9"/>
      <c r="F100" s="9">
        <v>1</v>
      </c>
      <c r="G100" s="10">
        <v>0</v>
      </c>
      <c r="H100" s="9"/>
      <c r="I100" s="9" t="s">
        <v>84</v>
      </c>
      <c r="J100" s="9"/>
      <c r="K100" s="9">
        <v>3</v>
      </c>
      <c r="L100" s="9">
        <f t="shared" si="15"/>
        <v>-3</v>
      </c>
      <c r="M100" s="9"/>
      <c r="N100" s="9"/>
      <c r="O100" s="9">
        <v>0</v>
      </c>
      <c r="P100" s="9"/>
      <c r="Q100" s="9"/>
      <c r="R100" s="9">
        <f t="shared" si="16"/>
        <v>0</v>
      </c>
      <c r="S100" s="11"/>
      <c r="T100" s="5">
        <f t="shared" si="22"/>
        <v>0</v>
      </c>
      <c r="U100" s="1" t="e">
        <f t="shared" si="17"/>
        <v>#DIV/0!</v>
      </c>
      <c r="V100" s="9" t="e">
        <f t="shared" si="18"/>
        <v>#DIV/0!</v>
      </c>
      <c r="W100" s="9">
        <v>-0.2</v>
      </c>
      <c r="X100" s="9">
        <v>-0.2</v>
      </c>
      <c r="Y100" s="9">
        <v>-0.2</v>
      </c>
      <c r="Z100" s="9">
        <v>-0.2</v>
      </c>
      <c r="AA100" s="9">
        <v>-1.8</v>
      </c>
      <c r="AB100" s="9">
        <v>-1.8</v>
      </c>
      <c r="AC100" s="9">
        <v>0</v>
      </c>
      <c r="AD100" s="9">
        <v>0</v>
      </c>
      <c r="AE100" s="9">
        <v>-0.2</v>
      </c>
      <c r="AF100" s="9">
        <v>-0.8</v>
      </c>
      <c r="AG100" s="9" t="s">
        <v>237</v>
      </c>
      <c r="AH100" s="1">
        <f t="shared" si="19"/>
        <v>0</v>
      </c>
      <c r="AI100" s="1">
        <f t="shared" si="20"/>
        <v>0</v>
      </c>
      <c r="AJ100" t="s">
        <v>238</v>
      </c>
    </row>
    <row r="101" spans="1:36" x14ac:dyDescent="0.25">
      <c r="A101" s="9" t="s">
        <v>239</v>
      </c>
      <c r="B101" s="9" t="s">
        <v>48</v>
      </c>
      <c r="C101" s="9"/>
      <c r="D101" s="9"/>
      <c r="E101" s="9"/>
      <c r="F101" s="9"/>
      <c r="G101" s="10">
        <v>0</v>
      </c>
      <c r="H101" s="9"/>
      <c r="I101" s="9" t="s">
        <v>41</v>
      </c>
      <c r="J101" s="9"/>
      <c r="K101" s="9"/>
      <c r="L101" s="9">
        <f t="shared" si="15"/>
        <v>0</v>
      </c>
      <c r="M101" s="9"/>
      <c r="N101" s="9"/>
      <c r="O101" s="9">
        <v>0</v>
      </c>
      <c r="P101" s="9"/>
      <c r="Q101" s="9"/>
      <c r="R101" s="9">
        <f t="shared" si="16"/>
        <v>0</v>
      </c>
      <c r="S101" s="11"/>
      <c r="T101" s="5">
        <f t="shared" si="22"/>
        <v>0</v>
      </c>
      <c r="U101" s="1" t="e">
        <f t="shared" si="17"/>
        <v>#DIV/0!</v>
      </c>
      <c r="V101" s="9" t="e">
        <f t="shared" si="18"/>
        <v>#DIV/0!</v>
      </c>
      <c r="W101" s="9">
        <v>0</v>
      </c>
      <c r="X101" s="9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 t="s">
        <v>56</v>
      </c>
      <c r="AH101" s="1">
        <f t="shared" si="19"/>
        <v>0</v>
      </c>
      <c r="AI101" s="1">
        <f t="shared" si="20"/>
        <v>0</v>
      </c>
      <c r="AJ101" t="s">
        <v>240</v>
      </c>
    </row>
    <row r="102" spans="1:36" x14ac:dyDescent="0.25">
      <c r="A102" s="9" t="s">
        <v>241</v>
      </c>
      <c r="B102" s="9" t="s">
        <v>40</v>
      </c>
      <c r="C102" s="9">
        <v>-3.173</v>
      </c>
      <c r="D102" s="9"/>
      <c r="E102" s="9"/>
      <c r="F102" s="9">
        <v>-3.173</v>
      </c>
      <c r="G102" s="10">
        <v>0</v>
      </c>
      <c r="H102" s="9"/>
      <c r="I102" s="9" t="s">
        <v>41</v>
      </c>
      <c r="J102" s="9"/>
      <c r="K102" s="9">
        <v>1</v>
      </c>
      <c r="L102" s="9">
        <f t="shared" ref="L102:L133" si="23">E102-K102</f>
        <v>-1</v>
      </c>
      <c r="M102" s="9"/>
      <c r="N102" s="9"/>
      <c r="O102" s="9">
        <v>0</v>
      </c>
      <c r="P102" s="9"/>
      <c r="Q102" s="9"/>
      <c r="R102" s="9">
        <f t="shared" ref="R102:R133" si="24">E102/5</f>
        <v>0</v>
      </c>
      <c r="S102" s="11"/>
      <c r="T102" s="5">
        <f t="shared" si="22"/>
        <v>0</v>
      </c>
      <c r="U102" s="1" t="e">
        <f t="shared" ref="U102:U133" si="25">(F102+O102+P102+Q102+T102)/R102</f>
        <v>#DIV/0!</v>
      </c>
      <c r="V102" s="9" t="e">
        <f t="shared" ref="V102:V133" si="26">(F102+O102+P102+Q102)/R102</f>
        <v>#DIV/0!</v>
      </c>
      <c r="W102" s="9">
        <v>0</v>
      </c>
      <c r="X102" s="9">
        <v>-0.32</v>
      </c>
      <c r="Y102" s="9">
        <v>-0.32</v>
      </c>
      <c r="Z102" s="9">
        <v>-0.31919999999999998</v>
      </c>
      <c r="AA102" s="9">
        <v>-0.31919999999999998</v>
      </c>
      <c r="AB102" s="9">
        <v>-5.4399999999999997E-2</v>
      </c>
      <c r="AC102" s="9">
        <v>0.63460000000000005</v>
      </c>
      <c r="AD102" s="9">
        <v>4.1537999999999986</v>
      </c>
      <c r="AE102" s="9">
        <v>6.4096000000000002</v>
      </c>
      <c r="AF102" s="9">
        <v>3.5326</v>
      </c>
      <c r="AG102" s="9" t="s">
        <v>56</v>
      </c>
      <c r="AH102" s="1">
        <f t="shared" ref="AH102:AH133" si="27">ROUND(G102*T102,0)</f>
        <v>0</v>
      </c>
      <c r="AI102" s="1">
        <f t="shared" ref="AI102:AI133" si="28">R102*G102</f>
        <v>0</v>
      </c>
      <c r="AJ102" t="s">
        <v>242</v>
      </c>
    </row>
    <row r="103" spans="1:36" x14ac:dyDescent="0.25">
      <c r="A103" s="9" t="s">
        <v>243</v>
      </c>
      <c r="B103" s="9" t="s">
        <v>48</v>
      </c>
      <c r="C103" s="9"/>
      <c r="D103" s="9"/>
      <c r="E103" s="9"/>
      <c r="F103" s="9"/>
      <c r="G103" s="10">
        <v>0</v>
      </c>
      <c r="H103" s="9"/>
      <c r="I103" s="9" t="s">
        <v>41</v>
      </c>
      <c r="J103" s="9"/>
      <c r="K103" s="9"/>
      <c r="L103" s="9">
        <f t="shared" si="23"/>
        <v>0</v>
      </c>
      <c r="M103" s="9"/>
      <c r="N103" s="9"/>
      <c r="O103" s="9">
        <v>0</v>
      </c>
      <c r="P103" s="9"/>
      <c r="Q103" s="9"/>
      <c r="R103" s="9">
        <f t="shared" si="24"/>
        <v>0</v>
      </c>
      <c r="S103" s="11"/>
      <c r="T103" s="5">
        <f t="shared" si="22"/>
        <v>0</v>
      </c>
      <c r="U103" s="1" t="e">
        <f t="shared" si="25"/>
        <v>#DIV/0!</v>
      </c>
      <c r="V103" s="9" t="e">
        <f t="shared" si="26"/>
        <v>#DIV/0!</v>
      </c>
      <c r="W103" s="9">
        <v>0</v>
      </c>
      <c r="X103" s="9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0</v>
      </c>
      <c r="AE103" s="9">
        <v>0</v>
      </c>
      <c r="AF103" s="9">
        <v>0</v>
      </c>
      <c r="AG103" s="9" t="s">
        <v>56</v>
      </c>
      <c r="AH103" s="1">
        <f t="shared" si="27"/>
        <v>0</v>
      </c>
      <c r="AI103" s="1">
        <f t="shared" si="28"/>
        <v>0</v>
      </c>
      <c r="AJ103" t="s">
        <v>244</v>
      </c>
    </row>
    <row r="104" spans="1:36" x14ac:dyDescent="0.25">
      <c r="A104" s="9" t="s">
        <v>245</v>
      </c>
      <c r="B104" s="9" t="s">
        <v>48</v>
      </c>
      <c r="C104" s="9"/>
      <c r="D104" s="9"/>
      <c r="E104" s="9"/>
      <c r="F104" s="9"/>
      <c r="G104" s="10">
        <v>0</v>
      </c>
      <c r="H104" s="9"/>
      <c r="I104" s="9" t="s">
        <v>41</v>
      </c>
      <c r="J104" s="9"/>
      <c r="K104" s="9"/>
      <c r="L104" s="9">
        <f t="shared" si="23"/>
        <v>0</v>
      </c>
      <c r="M104" s="9"/>
      <c r="N104" s="9"/>
      <c r="O104" s="9">
        <v>0</v>
      </c>
      <c r="P104" s="9"/>
      <c r="Q104" s="9"/>
      <c r="R104" s="9">
        <f t="shared" si="24"/>
        <v>0</v>
      </c>
      <c r="S104" s="11"/>
      <c r="T104" s="5">
        <f t="shared" si="22"/>
        <v>0</v>
      </c>
      <c r="U104" s="1" t="e">
        <f t="shared" si="25"/>
        <v>#DIV/0!</v>
      </c>
      <c r="V104" s="9" t="e">
        <f t="shared" si="26"/>
        <v>#DIV/0!</v>
      </c>
      <c r="W104" s="9">
        <v>0</v>
      </c>
      <c r="X104" s="9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 t="s">
        <v>56</v>
      </c>
      <c r="AH104" s="1">
        <f t="shared" si="27"/>
        <v>0</v>
      </c>
      <c r="AI104" s="1">
        <f t="shared" si="28"/>
        <v>0</v>
      </c>
      <c r="AJ104" t="s">
        <v>246</v>
      </c>
    </row>
    <row r="105" spans="1:36" x14ac:dyDescent="0.25">
      <c r="A105" s="1" t="s">
        <v>247</v>
      </c>
      <c r="B105" s="1" t="s">
        <v>48</v>
      </c>
      <c r="C105" s="1">
        <v>124</v>
      </c>
      <c r="D105" s="1">
        <v>16</v>
      </c>
      <c r="E105" s="1">
        <v>118</v>
      </c>
      <c r="F105" s="1">
        <v>2</v>
      </c>
      <c r="G105" s="7">
        <v>0.08</v>
      </c>
      <c r="H105" s="1">
        <v>45</v>
      </c>
      <c r="I105" s="1" t="s">
        <v>41</v>
      </c>
      <c r="J105" s="1"/>
      <c r="K105" s="1">
        <v>121</v>
      </c>
      <c r="L105" s="1">
        <f t="shared" si="23"/>
        <v>-3</v>
      </c>
      <c r="M105" s="1"/>
      <c r="N105" s="1"/>
      <c r="O105" s="1">
        <v>113.63</v>
      </c>
      <c r="P105" s="1"/>
      <c r="Q105" s="1"/>
      <c r="R105" s="1">
        <f t="shared" si="24"/>
        <v>23.6</v>
      </c>
      <c r="S105" s="5">
        <f>11*R105-Q105-P105-O105-F105</f>
        <v>143.97000000000003</v>
      </c>
      <c r="T105" s="5">
        <f t="shared" si="22"/>
        <v>143.97000000000003</v>
      </c>
      <c r="U105" s="1">
        <f t="shared" si="25"/>
        <v>11</v>
      </c>
      <c r="V105" s="1">
        <f t="shared" si="26"/>
        <v>4.8995762711864401</v>
      </c>
      <c r="W105" s="1">
        <v>19</v>
      </c>
      <c r="X105" s="1">
        <v>14.6</v>
      </c>
      <c r="Y105" s="1">
        <v>11.6</v>
      </c>
      <c r="Z105" s="1">
        <v>5.4</v>
      </c>
      <c r="AA105" s="1">
        <v>13.6</v>
      </c>
      <c r="AB105" s="1">
        <v>20</v>
      </c>
      <c r="AC105" s="1">
        <v>12.6</v>
      </c>
      <c r="AD105" s="1">
        <v>5</v>
      </c>
      <c r="AE105" s="1">
        <v>10</v>
      </c>
      <c r="AF105" s="1">
        <v>18.399999999999999</v>
      </c>
      <c r="AG105" s="1"/>
      <c r="AH105" s="1">
        <f t="shared" si="27"/>
        <v>12</v>
      </c>
      <c r="AI105" s="1">
        <f t="shared" si="28"/>
        <v>1.8880000000000001</v>
      </c>
      <c r="AJ105" t="s">
        <v>248</v>
      </c>
    </row>
    <row r="106" spans="1:36" x14ac:dyDescent="0.25">
      <c r="A106" s="1" t="s">
        <v>249</v>
      </c>
      <c r="B106" s="1" t="s">
        <v>48</v>
      </c>
      <c r="C106" s="1">
        <v>182</v>
      </c>
      <c r="D106" s="1">
        <v>12</v>
      </c>
      <c r="E106" s="1">
        <v>111</v>
      </c>
      <c r="F106" s="1">
        <v>54</v>
      </c>
      <c r="G106" s="7">
        <v>0.08</v>
      </c>
      <c r="H106" s="1">
        <v>45</v>
      </c>
      <c r="I106" s="1" t="s">
        <v>41</v>
      </c>
      <c r="J106" s="1"/>
      <c r="K106" s="1">
        <v>122</v>
      </c>
      <c r="L106" s="1">
        <f t="shared" si="23"/>
        <v>-11</v>
      </c>
      <c r="M106" s="1"/>
      <c r="N106" s="1"/>
      <c r="O106" s="1">
        <v>36.800000000000011</v>
      </c>
      <c r="P106" s="1"/>
      <c r="Q106" s="1"/>
      <c r="R106" s="1">
        <f t="shared" si="24"/>
        <v>22.2</v>
      </c>
      <c r="S106" s="5">
        <f>10*R106-Q106-P106-O106-F106</f>
        <v>131.19999999999999</v>
      </c>
      <c r="T106" s="5">
        <f t="shared" si="22"/>
        <v>131.19999999999999</v>
      </c>
      <c r="U106" s="1">
        <f t="shared" si="25"/>
        <v>10</v>
      </c>
      <c r="V106" s="1">
        <f t="shared" si="26"/>
        <v>4.0900900900900909</v>
      </c>
      <c r="W106" s="1">
        <v>14.4</v>
      </c>
      <c r="X106" s="1">
        <v>15.6</v>
      </c>
      <c r="Y106" s="1">
        <v>9.8000000000000007</v>
      </c>
      <c r="Z106" s="1">
        <v>4.2</v>
      </c>
      <c r="AA106" s="1">
        <v>18</v>
      </c>
      <c r="AB106" s="1">
        <v>20</v>
      </c>
      <c r="AC106" s="1">
        <v>9.4</v>
      </c>
      <c r="AD106" s="1">
        <v>5.4</v>
      </c>
      <c r="AE106" s="1">
        <v>9.4</v>
      </c>
      <c r="AF106" s="1">
        <v>16.8</v>
      </c>
      <c r="AG106" s="1"/>
      <c r="AH106" s="1">
        <f t="shared" si="27"/>
        <v>10</v>
      </c>
      <c r="AI106" s="1">
        <f t="shared" si="28"/>
        <v>1.776</v>
      </c>
      <c r="AJ106" t="s">
        <v>250</v>
      </c>
    </row>
    <row r="107" spans="1:36" x14ac:dyDescent="0.25">
      <c r="A107" s="9" t="s">
        <v>251</v>
      </c>
      <c r="B107" s="9" t="s">
        <v>48</v>
      </c>
      <c r="C107" s="9"/>
      <c r="D107" s="9"/>
      <c r="E107" s="9"/>
      <c r="F107" s="9"/>
      <c r="G107" s="10">
        <v>0</v>
      </c>
      <c r="H107" s="9"/>
      <c r="I107" s="9" t="s">
        <v>41</v>
      </c>
      <c r="J107" s="9"/>
      <c r="K107" s="9"/>
      <c r="L107" s="9">
        <f t="shared" si="23"/>
        <v>0</v>
      </c>
      <c r="M107" s="9"/>
      <c r="N107" s="9"/>
      <c r="O107" s="9">
        <v>0</v>
      </c>
      <c r="P107" s="9"/>
      <c r="Q107" s="9"/>
      <c r="R107" s="9">
        <f t="shared" si="24"/>
        <v>0</v>
      </c>
      <c r="S107" s="11"/>
      <c r="T107" s="5">
        <f t="shared" si="22"/>
        <v>0</v>
      </c>
      <c r="U107" s="1" t="e">
        <f t="shared" si="25"/>
        <v>#DIV/0!</v>
      </c>
      <c r="V107" s="9" t="e">
        <f t="shared" si="26"/>
        <v>#DIV/0!</v>
      </c>
      <c r="W107" s="9">
        <v>0</v>
      </c>
      <c r="X107" s="9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 t="s">
        <v>56</v>
      </c>
      <c r="AH107" s="1">
        <f t="shared" si="27"/>
        <v>0</v>
      </c>
      <c r="AI107" s="1">
        <f t="shared" si="28"/>
        <v>0</v>
      </c>
      <c r="AJ107" t="s">
        <v>252</v>
      </c>
    </row>
    <row r="108" spans="1:36" x14ac:dyDescent="0.25">
      <c r="A108" s="1" t="s">
        <v>253</v>
      </c>
      <c r="B108" s="1" t="s">
        <v>40</v>
      </c>
      <c r="C108" s="1">
        <v>198.703</v>
      </c>
      <c r="D108" s="1">
        <v>21.818999999999999</v>
      </c>
      <c r="E108" s="1">
        <v>188.03299999999999</v>
      </c>
      <c r="F108" s="1">
        <v>-1.296</v>
      </c>
      <c r="G108" s="7">
        <v>1</v>
      </c>
      <c r="H108" s="1">
        <v>40</v>
      </c>
      <c r="I108" s="12" t="s">
        <v>59</v>
      </c>
      <c r="J108" s="1"/>
      <c r="K108" s="1">
        <v>197.75</v>
      </c>
      <c r="L108" s="1">
        <f t="shared" si="23"/>
        <v>-9.717000000000013</v>
      </c>
      <c r="M108" s="1"/>
      <c r="N108" s="1"/>
      <c r="O108" s="1">
        <v>45</v>
      </c>
      <c r="P108" s="1">
        <v>-45.5</v>
      </c>
      <c r="Q108" s="1"/>
      <c r="R108" s="1">
        <f t="shared" si="24"/>
        <v>37.6066</v>
      </c>
      <c r="S108" s="5">
        <v>120</v>
      </c>
      <c r="T108" s="5">
        <f>S108*0.7</f>
        <v>84</v>
      </c>
      <c r="U108" s="1">
        <f t="shared" si="25"/>
        <v>2.1858929017778794</v>
      </c>
      <c r="V108" s="1">
        <f t="shared" si="26"/>
        <v>-4.7757574468311394E-2</v>
      </c>
      <c r="W108" s="1">
        <v>48.525799999999997</v>
      </c>
      <c r="X108" s="1">
        <v>48.293199999999999</v>
      </c>
      <c r="Y108" s="1">
        <v>40.6768</v>
      </c>
      <c r="Z108" s="1">
        <v>32.158000000000001</v>
      </c>
      <c r="AA108" s="1">
        <v>35.068199999999997</v>
      </c>
      <c r="AB108" s="1">
        <v>38.737400000000001</v>
      </c>
      <c r="AC108" s="1">
        <v>37.202199999999998</v>
      </c>
      <c r="AD108" s="1">
        <v>32.511200000000002</v>
      </c>
      <c r="AE108" s="1">
        <v>39.205399999999997</v>
      </c>
      <c r="AF108" s="1">
        <v>47.357999999999997</v>
      </c>
      <c r="AG108" s="1"/>
      <c r="AH108" s="1">
        <f t="shared" si="27"/>
        <v>84</v>
      </c>
      <c r="AI108" s="1">
        <f t="shared" si="28"/>
        <v>37.6066</v>
      </c>
      <c r="AJ108" t="s">
        <v>254</v>
      </c>
    </row>
    <row r="109" spans="1:36" x14ac:dyDescent="0.25">
      <c r="A109" s="1" t="s">
        <v>255</v>
      </c>
      <c r="B109" s="1" t="s">
        <v>40</v>
      </c>
      <c r="C109" s="1">
        <v>217.13900000000001</v>
      </c>
      <c r="D109" s="1">
        <v>16.59</v>
      </c>
      <c r="E109" s="1">
        <v>209.702</v>
      </c>
      <c r="F109" s="1">
        <v>0.55300000000000005</v>
      </c>
      <c r="G109" s="7">
        <v>1</v>
      </c>
      <c r="H109" s="1">
        <v>40</v>
      </c>
      <c r="I109" s="12" t="s">
        <v>59</v>
      </c>
      <c r="J109" s="1"/>
      <c r="K109" s="1">
        <v>200.85</v>
      </c>
      <c r="L109" s="1">
        <f t="shared" si="23"/>
        <v>8.8520000000000039</v>
      </c>
      <c r="M109" s="1"/>
      <c r="N109" s="1"/>
      <c r="O109" s="1">
        <v>45</v>
      </c>
      <c r="P109" s="1"/>
      <c r="Q109" s="1"/>
      <c r="R109" s="1">
        <f t="shared" si="24"/>
        <v>41.940399999999997</v>
      </c>
      <c r="S109" s="5">
        <v>190</v>
      </c>
      <c r="T109" s="5">
        <f>S109*0.7</f>
        <v>133</v>
      </c>
      <c r="U109" s="1">
        <f t="shared" si="25"/>
        <v>4.2573032207608899</v>
      </c>
      <c r="V109" s="1">
        <f t="shared" si="26"/>
        <v>1.086136517534406</v>
      </c>
      <c r="W109" s="1">
        <v>51.450800000000001</v>
      </c>
      <c r="X109" s="1">
        <v>46.6586</v>
      </c>
      <c r="Y109" s="1">
        <v>38.007399999999997</v>
      </c>
      <c r="Z109" s="1">
        <v>31.772600000000001</v>
      </c>
      <c r="AA109" s="1">
        <v>34.806199999999997</v>
      </c>
      <c r="AB109" s="1">
        <v>35.509799999999998</v>
      </c>
      <c r="AC109" s="1">
        <v>40.703800000000001</v>
      </c>
      <c r="AD109" s="1">
        <v>41.782600000000002</v>
      </c>
      <c r="AE109" s="1">
        <v>43.181199999999997</v>
      </c>
      <c r="AF109" s="1">
        <v>44.637</v>
      </c>
      <c r="AG109" s="1"/>
      <c r="AH109" s="1">
        <f t="shared" si="27"/>
        <v>133</v>
      </c>
      <c r="AI109" s="1">
        <f t="shared" si="28"/>
        <v>41.940399999999997</v>
      </c>
      <c r="AJ109" t="s">
        <v>256</v>
      </c>
    </row>
    <row r="110" spans="1:36" x14ac:dyDescent="0.25">
      <c r="A110" s="1" t="s">
        <v>257</v>
      </c>
      <c r="B110" s="1" t="s">
        <v>40</v>
      </c>
      <c r="C110" s="1">
        <v>9.5519999999999996</v>
      </c>
      <c r="D110" s="1"/>
      <c r="E110" s="1">
        <v>-6.3410000000000002</v>
      </c>
      <c r="F110" s="1">
        <v>8.0519999999999996</v>
      </c>
      <c r="G110" s="7">
        <v>1</v>
      </c>
      <c r="H110" s="1">
        <v>40</v>
      </c>
      <c r="I110" s="12" t="s">
        <v>59</v>
      </c>
      <c r="J110" s="1"/>
      <c r="K110" s="1">
        <v>262.45</v>
      </c>
      <c r="L110" s="1">
        <f t="shared" si="23"/>
        <v>-268.791</v>
      </c>
      <c r="M110" s="1"/>
      <c r="N110" s="1"/>
      <c r="O110" s="1">
        <v>54</v>
      </c>
      <c r="P110" s="1">
        <v>-56</v>
      </c>
      <c r="Q110" s="1"/>
      <c r="R110" s="1">
        <f t="shared" si="24"/>
        <v>-1.2682</v>
      </c>
      <c r="S110" s="5">
        <v>150</v>
      </c>
      <c r="T110" s="5">
        <f>S110*0.7</f>
        <v>105</v>
      </c>
      <c r="U110" s="1">
        <f t="shared" si="25"/>
        <v>-87.56662986910581</v>
      </c>
      <c r="V110" s="1">
        <f t="shared" si="26"/>
        <v>-4.7721179624664876</v>
      </c>
      <c r="W110" s="1">
        <v>29.753599999999999</v>
      </c>
      <c r="X110" s="1">
        <v>60.248199999999997</v>
      </c>
      <c r="Y110" s="1">
        <v>61.4514</v>
      </c>
      <c r="Z110" s="1">
        <v>45.332599999999999</v>
      </c>
      <c r="AA110" s="1">
        <v>44.720799999999997</v>
      </c>
      <c r="AB110" s="1">
        <v>51.527799999999999</v>
      </c>
      <c r="AC110" s="1">
        <v>51.247799999999998</v>
      </c>
      <c r="AD110" s="1">
        <v>50.388800000000003</v>
      </c>
      <c r="AE110" s="1">
        <v>57.012800000000013</v>
      </c>
      <c r="AF110" s="1">
        <v>65.165199999999999</v>
      </c>
      <c r="AG110" s="1"/>
      <c r="AH110" s="1">
        <f t="shared" si="27"/>
        <v>105</v>
      </c>
      <c r="AI110" s="1">
        <f t="shared" si="28"/>
        <v>-1.2682</v>
      </c>
      <c r="AJ110" t="s">
        <v>258</v>
      </c>
    </row>
    <row r="111" spans="1:36" x14ac:dyDescent="0.25">
      <c r="A111" s="9" t="s">
        <v>259</v>
      </c>
      <c r="B111" s="9" t="s">
        <v>48</v>
      </c>
      <c r="C111" s="9"/>
      <c r="D111" s="9"/>
      <c r="E111" s="9"/>
      <c r="F111" s="9"/>
      <c r="G111" s="10">
        <v>0</v>
      </c>
      <c r="H111" s="9"/>
      <c r="I111" s="9" t="s">
        <v>41</v>
      </c>
      <c r="J111" s="9"/>
      <c r="K111" s="9"/>
      <c r="L111" s="9">
        <f t="shared" si="23"/>
        <v>0</v>
      </c>
      <c r="M111" s="9"/>
      <c r="N111" s="9"/>
      <c r="O111" s="9">
        <v>0</v>
      </c>
      <c r="P111" s="9"/>
      <c r="Q111" s="9"/>
      <c r="R111" s="9">
        <f t="shared" si="24"/>
        <v>0</v>
      </c>
      <c r="S111" s="11"/>
      <c r="T111" s="5">
        <f>S111</f>
        <v>0</v>
      </c>
      <c r="U111" s="1" t="e">
        <f t="shared" si="25"/>
        <v>#DIV/0!</v>
      </c>
      <c r="V111" s="9" t="e">
        <f t="shared" si="26"/>
        <v>#DIV/0!</v>
      </c>
      <c r="W111" s="9">
        <v>0</v>
      </c>
      <c r="X111" s="9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0</v>
      </c>
      <c r="AE111" s="9">
        <v>0</v>
      </c>
      <c r="AF111" s="9">
        <v>0</v>
      </c>
      <c r="AG111" s="9" t="s">
        <v>56</v>
      </c>
      <c r="AH111" s="1">
        <f t="shared" si="27"/>
        <v>0</v>
      </c>
      <c r="AI111" s="1">
        <f t="shared" si="28"/>
        <v>0</v>
      </c>
      <c r="AJ111" t="s">
        <v>260</v>
      </c>
    </row>
    <row r="112" spans="1:36" x14ac:dyDescent="0.25">
      <c r="A112" s="9" t="s">
        <v>261</v>
      </c>
      <c r="B112" s="9" t="s">
        <v>48</v>
      </c>
      <c r="C112" s="9"/>
      <c r="D112" s="9"/>
      <c r="E112" s="9"/>
      <c r="F112" s="9"/>
      <c r="G112" s="10">
        <v>0</v>
      </c>
      <c r="H112" s="9"/>
      <c r="I112" s="9" t="s">
        <v>41</v>
      </c>
      <c r="J112" s="9"/>
      <c r="K112" s="9"/>
      <c r="L112" s="9">
        <f t="shared" si="23"/>
        <v>0</v>
      </c>
      <c r="M112" s="9"/>
      <c r="N112" s="9"/>
      <c r="O112" s="9">
        <v>0</v>
      </c>
      <c r="P112" s="9"/>
      <c r="Q112" s="9"/>
      <c r="R112" s="9">
        <f t="shared" si="24"/>
        <v>0</v>
      </c>
      <c r="S112" s="11"/>
      <c r="T112" s="5">
        <f>S112</f>
        <v>0</v>
      </c>
      <c r="U112" s="1" t="e">
        <f t="shared" si="25"/>
        <v>#DIV/0!</v>
      </c>
      <c r="V112" s="9" t="e">
        <f t="shared" si="26"/>
        <v>#DIV/0!</v>
      </c>
      <c r="W112" s="9">
        <v>0</v>
      </c>
      <c r="X112" s="9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 t="s">
        <v>56</v>
      </c>
      <c r="AH112" s="1">
        <f t="shared" si="27"/>
        <v>0</v>
      </c>
      <c r="AI112" s="1">
        <f t="shared" si="28"/>
        <v>0</v>
      </c>
      <c r="AJ112" t="s">
        <v>262</v>
      </c>
    </row>
    <row r="113" spans="1:36" x14ac:dyDescent="0.25">
      <c r="A113" s="1" t="s">
        <v>263</v>
      </c>
      <c r="B113" s="1" t="s">
        <v>48</v>
      </c>
      <c r="C113" s="1">
        <v>299</v>
      </c>
      <c r="D113" s="1">
        <v>15</v>
      </c>
      <c r="E113" s="1">
        <v>283</v>
      </c>
      <c r="F113" s="1">
        <v>7</v>
      </c>
      <c r="G113" s="7">
        <v>0.28000000000000003</v>
      </c>
      <c r="H113" s="1">
        <v>40</v>
      </c>
      <c r="I113" s="12" t="s">
        <v>59</v>
      </c>
      <c r="J113" s="1"/>
      <c r="K113" s="1">
        <v>345</v>
      </c>
      <c r="L113" s="1">
        <f t="shared" si="23"/>
        <v>-62</v>
      </c>
      <c r="M113" s="1"/>
      <c r="N113" s="1"/>
      <c r="O113" s="1">
        <v>218.57</v>
      </c>
      <c r="P113" s="1">
        <v>-222</v>
      </c>
      <c r="Q113" s="1"/>
      <c r="R113" s="1">
        <f t="shared" si="24"/>
        <v>56.6</v>
      </c>
      <c r="S113" s="5">
        <v>150</v>
      </c>
      <c r="T113" s="5">
        <f>S113*0.7</f>
        <v>105</v>
      </c>
      <c r="U113" s="1">
        <f t="shared" si="25"/>
        <v>1.918197879858657</v>
      </c>
      <c r="V113" s="1">
        <f t="shared" si="26"/>
        <v>6.3074204946996351E-2</v>
      </c>
      <c r="W113" s="1">
        <v>41</v>
      </c>
      <c r="X113" s="1">
        <v>1</v>
      </c>
      <c r="Y113" s="1">
        <v>-2</v>
      </c>
      <c r="Z113" s="1">
        <v>7</v>
      </c>
      <c r="AA113" s="1">
        <v>46</v>
      </c>
      <c r="AB113" s="1">
        <v>56.4</v>
      </c>
      <c r="AC113" s="1">
        <v>36.6</v>
      </c>
      <c r="AD113" s="1">
        <v>18.8</v>
      </c>
      <c r="AE113" s="1">
        <v>1.8</v>
      </c>
      <c r="AF113" s="1">
        <v>20</v>
      </c>
      <c r="AG113" s="1"/>
      <c r="AH113" s="1">
        <f t="shared" si="27"/>
        <v>29</v>
      </c>
      <c r="AI113" s="1">
        <f t="shared" si="28"/>
        <v>15.848000000000003</v>
      </c>
      <c r="AJ113" t="s">
        <v>264</v>
      </c>
    </row>
    <row r="114" spans="1:36" x14ac:dyDescent="0.25">
      <c r="A114" s="1" t="s">
        <v>265</v>
      </c>
      <c r="B114" s="1" t="s">
        <v>48</v>
      </c>
      <c r="C114" s="1"/>
      <c r="D114" s="1">
        <v>2</v>
      </c>
      <c r="E114" s="1">
        <v>-12</v>
      </c>
      <c r="F114" s="1">
        <v>2</v>
      </c>
      <c r="G114" s="7">
        <v>0.28000000000000003</v>
      </c>
      <c r="H114" s="1">
        <v>40</v>
      </c>
      <c r="I114" s="12" t="s">
        <v>59</v>
      </c>
      <c r="J114" s="1"/>
      <c r="K114" s="1">
        <v>52</v>
      </c>
      <c r="L114" s="1">
        <f t="shared" si="23"/>
        <v>-64</v>
      </c>
      <c r="M114" s="1"/>
      <c r="N114" s="1"/>
      <c r="O114" s="1">
        <v>45</v>
      </c>
      <c r="P114" s="1">
        <v>-47.999999999999993</v>
      </c>
      <c r="Q114" s="1"/>
      <c r="R114" s="1">
        <f t="shared" si="24"/>
        <v>-2.4</v>
      </c>
      <c r="S114" s="5">
        <v>100</v>
      </c>
      <c r="T114" s="5">
        <f>S114*0.7</f>
        <v>70</v>
      </c>
      <c r="U114" s="1">
        <f t="shared" si="25"/>
        <v>-28.75</v>
      </c>
      <c r="V114" s="1">
        <f t="shared" si="26"/>
        <v>0.41666666666666374</v>
      </c>
      <c r="W114" s="1">
        <v>-2.4</v>
      </c>
      <c r="X114" s="1">
        <v>1</v>
      </c>
      <c r="Y114" s="1">
        <v>22.4</v>
      </c>
      <c r="Z114" s="1">
        <v>34.6</v>
      </c>
      <c r="AA114" s="1">
        <v>45.2</v>
      </c>
      <c r="AB114" s="1">
        <v>45.8</v>
      </c>
      <c r="AC114" s="1">
        <v>35</v>
      </c>
      <c r="AD114" s="1">
        <v>34.799999999999997</v>
      </c>
      <c r="AE114" s="1">
        <v>40.4</v>
      </c>
      <c r="AF114" s="1">
        <v>38.6</v>
      </c>
      <c r="AG114" s="1"/>
      <c r="AH114" s="1">
        <f t="shared" si="27"/>
        <v>20</v>
      </c>
      <c r="AI114" s="1">
        <f t="shared" si="28"/>
        <v>-0.67200000000000004</v>
      </c>
      <c r="AJ114" t="s">
        <v>266</v>
      </c>
    </row>
    <row r="115" spans="1:36" x14ac:dyDescent="0.25">
      <c r="A115" s="1" t="s">
        <v>267</v>
      </c>
      <c r="B115" s="1" t="s">
        <v>48</v>
      </c>
      <c r="C115" s="1">
        <v>394</v>
      </c>
      <c r="D115" s="1">
        <v>21</v>
      </c>
      <c r="E115" s="1">
        <v>341</v>
      </c>
      <c r="F115" s="1">
        <v>-3</v>
      </c>
      <c r="G115" s="7">
        <v>0.28000000000000003</v>
      </c>
      <c r="H115" s="1">
        <v>40</v>
      </c>
      <c r="I115" s="12" t="s">
        <v>59</v>
      </c>
      <c r="J115" s="1"/>
      <c r="K115" s="1">
        <v>343</v>
      </c>
      <c r="L115" s="1">
        <f t="shared" si="23"/>
        <v>-2</v>
      </c>
      <c r="M115" s="1"/>
      <c r="N115" s="1"/>
      <c r="O115" s="1">
        <v>67.5</v>
      </c>
      <c r="P115" s="1">
        <v>-72</v>
      </c>
      <c r="Q115" s="1"/>
      <c r="R115" s="1">
        <f t="shared" si="24"/>
        <v>68.2</v>
      </c>
      <c r="S115" s="5">
        <v>100</v>
      </c>
      <c r="T115" s="5">
        <f>S115*0.7</f>
        <v>70</v>
      </c>
      <c r="U115" s="1">
        <f t="shared" si="25"/>
        <v>0.91642228739002929</v>
      </c>
      <c r="V115" s="1">
        <f t="shared" si="26"/>
        <v>-0.10997067448680352</v>
      </c>
      <c r="W115" s="1">
        <v>49.2</v>
      </c>
      <c r="X115" s="1">
        <v>33</v>
      </c>
      <c r="Y115" s="1">
        <v>39.200000000000003</v>
      </c>
      <c r="Z115" s="1">
        <v>30.6</v>
      </c>
      <c r="AA115" s="1">
        <v>43.4</v>
      </c>
      <c r="AB115" s="1">
        <v>43</v>
      </c>
      <c r="AC115" s="1">
        <v>33</v>
      </c>
      <c r="AD115" s="1">
        <v>34.799999999999997</v>
      </c>
      <c r="AE115" s="1">
        <v>39</v>
      </c>
      <c r="AF115" s="1">
        <v>39.6</v>
      </c>
      <c r="AG115" s="1"/>
      <c r="AH115" s="1">
        <f t="shared" si="27"/>
        <v>20</v>
      </c>
      <c r="AI115" s="1">
        <f t="shared" si="28"/>
        <v>19.096000000000004</v>
      </c>
      <c r="AJ115" t="s">
        <v>268</v>
      </c>
    </row>
    <row r="116" spans="1:36" x14ac:dyDescent="0.25">
      <c r="A116" s="9" t="s">
        <v>269</v>
      </c>
      <c r="B116" s="9" t="s">
        <v>48</v>
      </c>
      <c r="C116" s="9"/>
      <c r="D116" s="9"/>
      <c r="E116" s="9"/>
      <c r="F116" s="9"/>
      <c r="G116" s="10">
        <v>0</v>
      </c>
      <c r="H116" s="9"/>
      <c r="I116" s="9" t="s">
        <v>41</v>
      </c>
      <c r="J116" s="9"/>
      <c r="K116" s="9"/>
      <c r="L116" s="9">
        <f t="shared" si="23"/>
        <v>0</v>
      </c>
      <c r="M116" s="9"/>
      <c r="N116" s="9"/>
      <c r="O116" s="9">
        <v>0</v>
      </c>
      <c r="P116" s="9"/>
      <c r="Q116" s="9"/>
      <c r="R116" s="9">
        <f t="shared" si="24"/>
        <v>0</v>
      </c>
      <c r="S116" s="11"/>
      <c r="T116" s="5">
        <f t="shared" ref="T116:T123" si="29">S116</f>
        <v>0</v>
      </c>
      <c r="U116" s="1" t="e">
        <f t="shared" si="25"/>
        <v>#DIV/0!</v>
      </c>
      <c r="V116" s="9" t="e">
        <f t="shared" si="26"/>
        <v>#DIV/0!</v>
      </c>
      <c r="W116" s="9">
        <v>0</v>
      </c>
      <c r="X116" s="9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 t="s">
        <v>56</v>
      </c>
      <c r="AH116" s="1">
        <f t="shared" si="27"/>
        <v>0</v>
      </c>
      <c r="AI116" s="1">
        <f t="shared" si="28"/>
        <v>0</v>
      </c>
      <c r="AJ116" t="s">
        <v>270</v>
      </c>
    </row>
    <row r="117" spans="1:36" x14ac:dyDescent="0.25">
      <c r="A117" s="1" t="s">
        <v>271</v>
      </c>
      <c r="B117" s="1" t="s">
        <v>40</v>
      </c>
      <c r="C117" s="1">
        <v>217.15199999999999</v>
      </c>
      <c r="D117" s="1">
        <v>5.03</v>
      </c>
      <c r="E117" s="1">
        <v>31.667000000000002</v>
      </c>
      <c r="F117" s="1">
        <v>181.893</v>
      </c>
      <c r="G117" s="7">
        <v>1</v>
      </c>
      <c r="H117" s="1">
        <v>60</v>
      </c>
      <c r="I117" s="1" t="s">
        <v>41</v>
      </c>
      <c r="J117" s="1"/>
      <c r="K117" s="1">
        <v>37.5</v>
      </c>
      <c r="L117" s="1">
        <f t="shared" si="23"/>
        <v>-5.8329999999999984</v>
      </c>
      <c r="M117" s="1"/>
      <c r="N117" s="1"/>
      <c r="O117" s="1">
        <v>0</v>
      </c>
      <c r="P117" s="1"/>
      <c r="Q117" s="1"/>
      <c r="R117" s="1">
        <f t="shared" si="24"/>
        <v>6.3334000000000001</v>
      </c>
      <c r="S117" s="5"/>
      <c r="T117" s="5">
        <f t="shared" si="29"/>
        <v>0</v>
      </c>
      <c r="U117" s="1">
        <f t="shared" si="25"/>
        <v>28.719645056367828</v>
      </c>
      <c r="V117" s="1">
        <f t="shared" si="26"/>
        <v>28.719645056367828</v>
      </c>
      <c r="W117" s="1">
        <v>3.678199999999999</v>
      </c>
      <c r="X117" s="1">
        <v>4.3917999999999999</v>
      </c>
      <c r="Y117" s="1">
        <v>9.8704000000000001</v>
      </c>
      <c r="Z117" s="1">
        <v>11.0616</v>
      </c>
      <c r="AA117" s="1">
        <v>18.499199999999998</v>
      </c>
      <c r="AB117" s="1">
        <v>18.447199999999999</v>
      </c>
      <c r="AC117" s="1">
        <v>12.635400000000001</v>
      </c>
      <c r="AD117" s="1">
        <v>14.976000000000001</v>
      </c>
      <c r="AE117" s="1">
        <v>20.262599999999999</v>
      </c>
      <c r="AF117" s="1">
        <v>18.412800000000001</v>
      </c>
      <c r="AG117" s="14" t="s">
        <v>198</v>
      </c>
      <c r="AH117" s="1">
        <f t="shared" si="27"/>
        <v>0</v>
      </c>
      <c r="AI117" s="1">
        <f t="shared" si="28"/>
        <v>6.3334000000000001</v>
      </c>
      <c r="AJ117" t="s">
        <v>272</v>
      </c>
    </row>
    <row r="118" spans="1:36" x14ac:dyDescent="0.25">
      <c r="A118" s="1" t="s">
        <v>273</v>
      </c>
      <c r="B118" s="1" t="s">
        <v>40</v>
      </c>
      <c r="C118" s="1">
        <v>87.224999999999994</v>
      </c>
      <c r="D118" s="1">
        <v>4.99</v>
      </c>
      <c r="E118" s="1">
        <v>32.295000000000002</v>
      </c>
      <c r="F118" s="1">
        <v>57.436</v>
      </c>
      <c r="G118" s="7">
        <v>1</v>
      </c>
      <c r="H118" s="1">
        <v>50</v>
      </c>
      <c r="I118" s="1" t="s">
        <v>41</v>
      </c>
      <c r="J118" s="1"/>
      <c r="K118" s="1">
        <v>32</v>
      </c>
      <c r="L118" s="1">
        <f t="shared" si="23"/>
        <v>0.29500000000000171</v>
      </c>
      <c r="M118" s="1"/>
      <c r="N118" s="1"/>
      <c r="O118" s="1">
        <v>0</v>
      </c>
      <c r="P118" s="1"/>
      <c r="Q118" s="1"/>
      <c r="R118" s="1">
        <f t="shared" si="24"/>
        <v>6.4590000000000005</v>
      </c>
      <c r="S118" s="5">
        <f>11*R118-Q118-P118-O118-F118</f>
        <v>13.613000000000007</v>
      </c>
      <c r="T118" s="5">
        <f t="shared" si="29"/>
        <v>13.613000000000007</v>
      </c>
      <c r="U118" s="1">
        <f t="shared" si="25"/>
        <v>11</v>
      </c>
      <c r="V118" s="1">
        <f t="shared" si="26"/>
        <v>8.8923982040563541</v>
      </c>
      <c r="W118" s="1">
        <v>1.9887999999999999</v>
      </c>
      <c r="X118" s="1">
        <v>5.2645999999999997</v>
      </c>
      <c r="Y118" s="1">
        <v>7.7645999999999997</v>
      </c>
      <c r="Z118" s="1">
        <v>5.4868000000000006</v>
      </c>
      <c r="AA118" s="1">
        <v>7.4721999999999991</v>
      </c>
      <c r="AB118" s="1">
        <v>9.9611999999999998</v>
      </c>
      <c r="AC118" s="1">
        <v>8.8994</v>
      </c>
      <c r="AD118" s="1">
        <v>10.405799999999999</v>
      </c>
      <c r="AE118" s="1">
        <v>16.494800000000001</v>
      </c>
      <c r="AF118" s="1">
        <v>16.497199999999999</v>
      </c>
      <c r="AG118" s="1"/>
      <c r="AH118" s="1">
        <f t="shared" si="27"/>
        <v>14</v>
      </c>
      <c r="AI118" s="1">
        <f t="shared" si="28"/>
        <v>6.4590000000000005</v>
      </c>
      <c r="AJ118" t="s">
        <v>274</v>
      </c>
    </row>
    <row r="119" spans="1:36" x14ac:dyDescent="0.25">
      <c r="A119" s="9" t="s">
        <v>275</v>
      </c>
      <c r="B119" s="9" t="s">
        <v>48</v>
      </c>
      <c r="C119" s="9"/>
      <c r="D119" s="9"/>
      <c r="E119" s="9"/>
      <c r="F119" s="9"/>
      <c r="G119" s="10">
        <v>0</v>
      </c>
      <c r="H119" s="9"/>
      <c r="I119" s="9" t="s">
        <v>41</v>
      </c>
      <c r="J119" s="9"/>
      <c r="K119" s="9"/>
      <c r="L119" s="9">
        <f t="shared" si="23"/>
        <v>0</v>
      </c>
      <c r="M119" s="9"/>
      <c r="N119" s="9"/>
      <c r="O119" s="9">
        <v>0</v>
      </c>
      <c r="P119" s="9"/>
      <c r="Q119" s="9"/>
      <c r="R119" s="9">
        <f t="shared" si="24"/>
        <v>0</v>
      </c>
      <c r="S119" s="11"/>
      <c r="T119" s="5">
        <f t="shared" si="29"/>
        <v>0</v>
      </c>
      <c r="U119" s="1" t="e">
        <f t="shared" si="25"/>
        <v>#DIV/0!</v>
      </c>
      <c r="V119" s="9" t="e">
        <f t="shared" si="26"/>
        <v>#DIV/0!</v>
      </c>
      <c r="W119" s="9">
        <v>0</v>
      </c>
      <c r="X119" s="9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0</v>
      </c>
      <c r="AE119" s="9">
        <v>0</v>
      </c>
      <c r="AF119" s="9">
        <v>0</v>
      </c>
      <c r="AG119" s="9" t="s">
        <v>56</v>
      </c>
      <c r="AH119" s="1">
        <f t="shared" si="27"/>
        <v>0</v>
      </c>
      <c r="AI119" s="1">
        <f t="shared" si="28"/>
        <v>0</v>
      </c>
      <c r="AJ119" t="s">
        <v>276</v>
      </c>
    </row>
    <row r="120" spans="1:36" x14ac:dyDescent="0.25">
      <c r="A120" s="9" t="s">
        <v>277</v>
      </c>
      <c r="B120" s="9" t="s">
        <v>48</v>
      </c>
      <c r="C120" s="9"/>
      <c r="D120" s="9"/>
      <c r="E120" s="9"/>
      <c r="F120" s="9"/>
      <c r="G120" s="10">
        <v>0</v>
      </c>
      <c r="H120" s="9"/>
      <c r="I120" s="9" t="s">
        <v>41</v>
      </c>
      <c r="J120" s="9"/>
      <c r="K120" s="9"/>
      <c r="L120" s="9">
        <f t="shared" si="23"/>
        <v>0</v>
      </c>
      <c r="M120" s="9"/>
      <c r="N120" s="9"/>
      <c r="O120" s="9">
        <v>0</v>
      </c>
      <c r="P120" s="9"/>
      <c r="Q120" s="9"/>
      <c r="R120" s="9">
        <f t="shared" si="24"/>
        <v>0</v>
      </c>
      <c r="S120" s="11"/>
      <c r="T120" s="5">
        <f t="shared" si="29"/>
        <v>0</v>
      </c>
      <c r="U120" s="1" t="e">
        <f t="shared" si="25"/>
        <v>#DIV/0!</v>
      </c>
      <c r="V120" s="9" t="e">
        <f t="shared" si="26"/>
        <v>#DIV/0!</v>
      </c>
      <c r="W120" s="9">
        <v>0</v>
      </c>
      <c r="X120" s="9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 t="s">
        <v>56</v>
      </c>
      <c r="AH120" s="1">
        <f t="shared" si="27"/>
        <v>0</v>
      </c>
      <c r="AI120" s="1">
        <f t="shared" si="28"/>
        <v>0</v>
      </c>
      <c r="AJ120" t="s">
        <v>278</v>
      </c>
    </row>
    <row r="121" spans="1:36" x14ac:dyDescent="0.25">
      <c r="A121" s="1" t="s">
        <v>279</v>
      </c>
      <c r="B121" s="1" t="s">
        <v>40</v>
      </c>
      <c r="C121" s="1">
        <v>67.436000000000007</v>
      </c>
      <c r="D121" s="1">
        <v>139.404</v>
      </c>
      <c r="E121" s="1">
        <v>104.378</v>
      </c>
      <c r="F121" s="1">
        <v>75.103999999999999</v>
      </c>
      <c r="G121" s="7">
        <v>1</v>
      </c>
      <c r="H121" s="1">
        <v>60</v>
      </c>
      <c r="I121" s="1" t="s">
        <v>41</v>
      </c>
      <c r="J121" s="1"/>
      <c r="K121" s="1">
        <v>105.4</v>
      </c>
      <c r="L121" s="1">
        <f t="shared" si="23"/>
        <v>-1.0220000000000056</v>
      </c>
      <c r="M121" s="1"/>
      <c r="N121" s="1"/>
      <c r="O121" s="1">
        <v>144.64192</v>
      </c>
      <c r="P121" s="1"/>
      <c r="Q121" s="1"/>
      <c r="R121" s="1">
        <f t="shared" si="24"/>
        <v>20.875599999999999</v>
      </c>
      <c r="S121" s="5">
        <f>11*R121-Q121-P121-O121-F121</f>
        <v>9.8856799999999936</v>
      </c>
      <c r="T121" s="5">
        <f t="shared" si="29"/>
        <v>9.8856799999999936</v>
      </c>
      <c r="U121" s="1">
        <f t="shared" si="25"/>
        <v>11</v>
      </c>
      <c r="V121" s="1">
        <f t="shared" si="26"/>
        <v>10.52644810209048</v>
      </c>
      <c r="W121" s="1">
        <v>23.84</v>
      </c>
      <c r="X121" s="1">
        <v>21.065799999999999</v>
      </c>
      <c r="Y121" s="1">
        <v>20.172000000000001</v>
      </c>
      <c r="Z121" s="1">
        <v>15.214600000000001</v>
      </c>
      <c r="AA121" s="1">
        <v>14.1698</v>
      </c>
      <c r="AB121" s="1">
        <v>20.410399999999999</v>
      </c>
      <c r="AC121" s="1">
        <v>21.778199999999998</v>
      </c>
      <c r="AD121" s="1">
        <v>13.795400000000001</v>
      </c>
      <c r="AE121" s="1">
        <v>8.7471999999999994</v>
      </c>
      <c r="AF121" s="1">
        <v>11.3284</v>
      </c>
      <c r="AG121" s="1"/>
      <c r="AH121" s="1">
        <f t="shared" si="27"/>
        <v>10</v>
      </c>
      <c r="AI121" s="1">
        <f t="shared" si="28"/>
        <v>20.875599999999999</v>
      </c>
      <c r="AJ121" t="s">
        <v>280</v>
      </c>
    </row>
    <row r="122" spans="1:36" x14ac:dyDescent="0.25">
      <c r="A122" s="1" t="s">
        <v>281</v>
      </c>
      <c r="B122" s="1" t="s">
        <v>40</v>
      </c>
      <c r="C122" s="1">
        <v>274.93799999999999</v>
      </c>
      <c r="D122" s="1">
        <v>102.276</v>
      </c>
      <c r="E122" s="1">
        <v>285.89499999999998</v>
      </c>
      <c r="F122" s="1">
        <v>28.094999999999999</v>
      </c>
      <c r="G122" s="7">
        <v>1</v>
      </c>
      <c r="H122" s="1">
        <v>60</v>
      </c>
      <c r="I122" s="1" t="s">
        <v>41</v>
      </c>
      <c r="J122" s="1"/>
      <c r="K122" s="1">
        <v>283.90699999999998</v>
      </c>
      <c r="L122" s="1">
        <f t="shared" si="23"/>
        <v>1.9879999999999995</v>
      </c>
      <c r="M122" s="1"/>
      <c r="N122" s="1"/>
      <c r="O122" s="1">
        <v>249.12295400000011</v>
      </c>
      <c r="P122" s="1"/>
      <c r="Q122" s="1"/>
      <c r="R122" s="1">
        <f t="shared" si="24"/>
        <v>57.178999999999995</v>
      </c>
      <c r="S122" s="5">
        <f>11*R122-Q122-P122-O122-F122</f>
        <v>351.75104599999986</v>
      </c>
      <c r="T122" s="5">
        <f t="shared" si="29"/>
        <v>351.75104599999986</v>
      </c>
      <c r="U122" s="1">
        <f t="shared" si="25"/>
        <v>11</v>
      </c>
      <c r="V122" s="1">
        <f t="shared" si="26"/>
        <v>4.8482476783434496</v>
      </c>
      <c r="W122" s="1">
        <v>41.480200000000004</v>
      </c>
      <c r="X122" s="1">
        <v>28.829000000000001</v>
      </c>
      <c r="Y122" s="1">
        <v>33.867400000000004</v>
      </c>
      <c r="Z122" s="1">
        <v>37.478999999999999</v>
      </c>
      <c r="AA122" s="1">
        <v>34.275799999999997</v>
      </c>
      <c r="AB122" s="1">
        <v>36.581000000000003</v>
      </c>
      <c r="AC122" s="1">
        <v>40.446399999999997</v>
      </c>
      <c r="AD122" s="1">
        <v>52.765599999999992</v>
      </c>
      <c r="AE122" s="1">
        <v>58.024800000000013</v>
      </c>
      <c r="AF122" s="1">
        <v>40.68</v>
      </c>
      <c r="AG122" s="1"/>
      <c r="AH122" s="1">
        <f t="shared" si="27"/>
        <v>352</v>
      </c>
      <c r="AI122" s="1">
        <f t="shared" si="28"/>
        <v>57.178999999999995</v>
      </c>
      <c r="AJ122" t="s">
        <v>282</v>
      </c>
    </row>
    <row r="123" spans="1:36" x14ac:dyDescent="0.25">
      <c r="A123" s="1" t="s">
        <v>283</v>
      </c>
      <c r="B123" s="1" t="s">
        <v>40</v>
      </c>
      <c r="C123" s="1">
        <v>105.654</v>
      </c>
      <c r="D123" s="1"/>
      <c r="E123" s="1">
        <v>66.926000000000002</v>
      </c>
      <c r="F123" s="1">
        <v>26.617000000000001</v>
      </c>
      <c r="G123" s="7">
        <v>1</v>
      </c>
      <c r="H123" s="1">
        <v>60</v>
      </c>
      <c r="I123" s="1" t="s">
        <v>41</v>
      </c>
      <c r="J123" s="1"/>
      <c r="K123" s="1">
        <v>59.2</v>
      </c>
      <c r="L123" s="1">
        <f t="shared" si="23"/>
        <v>7.7259999999999991</v>
      </c>
      <c r="M123" s="1"/>
      <c r="N123" s="1"/>
      <c r="O123" s="1">
        <v>77.354102000000012</v>
      </c>
      <c r="P123" s="1"/>
      <c r="Q123" s="1"/>
      <c r="R123" s="1">
        <f t="shared" si="24"/>
        <v>13.385200000000001</v>
      </c>
      <c r="S123" s="5">
        <f>11*R123-Q123-P123-O123-F123</f>
        <v>43.266097999999985</v>
      </c>
      <c r="T123" s="5">
        <f t="shared" si="29"/>
        <v>43.266097999999985</v>
      </c>
      <c r="U123" s="1">
        <f t="shared" si="25"/>
        <v>11</v>
      </c>
      <c r="V123" s="1">
        <f t="shared" si="26"/>
        <v>7.7676166213429765</v>
      </c>
      <c r="W123" s="1">
        <v>14.412599999999999</v>
      </c>
      <c r="X123" s="1">
        <v>11.468</v>
      </c>
      <c r="Y123" s="1">
        <v>9.6209999999999987</v>
      </c>
      <c r="Z123" s="1">
        <v>8.5533999999999999</v>
      </c>
      <c r="AA123" s="1">
        <v>12.0816</v>
      </c>
      <c r="AB123" s="1">
        <v>11.7842</v>
      </c>
      <c r="AC123" s="1">
        <v>5.2182000000000004</v>
      </c>
      <c r="AD123" s="1">
        <v>9.017199999999999</v>
      </c>
      <c r="AE123" s="1">
        <v>19.734200000000001</v>
      </c>
      <c r="AF123" s="1">
        <v>18.6568</v>
      </c>
      <c r="AG123" s="1"/>
      <c r="AH123" s="1">
        <f t="shared" si="27"/>
        <v>43</v>
      </c>
      <c r="AI123" s="1">
        <f t="shared" si="28"/>
        <v>13.385200000000001</v>
      </c>
      <c r="AJ123" t="s">
        <v>284</v>
      </c>
    </row>
    <row r="124" spans="1:36" x14ac:dyDescent="0.25">
      <c r="A124" s="1" t="s">
        <v>285</v>
      </c>
      <c r="B124" s="1" t="s">
        <v>40</v>
      </c>
      <c r="C124" s="1">
        <v>1728.41</v>
      </c>
      <c r="D124" s="1">
        <v>65.040999999999997</v>
      </c>
      <c r="E124" s="1">
        <v>819.1</v>
      </c>
      <c r="F124" s="1">
        <v>743.976</v>
      </c>
      <c r="G124" s="7">
        <v>1</v>
      </c>
      <c r="H124" s="1">
        <v>60</v>
      </c>
      <c r="I124" s="1" t="s">
        <v>41</v>
      </c>
      <c r="J124" s="1"/>
      <c r="K124" s="1">
        <v>822</v>
      </c>
      <c r="L124" s="1">
        <f t="shared" si="23"/>
        <v>-2.8999999999999773</v>
      </c>
      <c r="M124" s="1"/>
      <c r="N124" s="1"/>
      <c r="O124" s="1">
        <v>236.599145999999</v>
      </c>
      <c r="P124" s="1"/>
      <c r="Q124" s="1">
        <v>110</v>
      </c>
      <c r="R124" s="1">
        <f t="shared" si="24"/>
        <v>163.82</v>
      </c>
      <c r="S124" s="5">
        <f>11*R124-Q124-P124-O124-F124</f>
        <v>711.44485400000087</v>
      </c>
      <c r="T124" s="5">
        <f>S124+$T$1*R124</f>
        <v>596.7708540000009</v>
      </c>
      <c r="U124" s="1">
        <f t="shared" si="25"/>
        <v>10.3</v>
      </c>
      <c r="V124" s="1">
        <f t="shared" si="26"/>
        <v>6.6571550848492187</v>
      </c>
      <c r="W124" s="1">
        <v>131.39340000000001</v>
      </c>
      <c r="X124" s="1">
        <v>135.7192</v>
      </c>
      <c r="Y124" s="1">
        <v>165.4958</v>
      </c>
      <c r="Z124" s="1">
        <v>148.43340000000001</v>
      </c>
      <c r="AA124" s="1">
        <v>180.2364</v>
      </c>
      <c r="AB124" s="1">
        <v>202.20419999999999</v>
      </c>
      <c r="AC124" s="1">
        <v>198.17320000000001</v>
      </c>
      <c r="AD124" s="1">
        <v>185.0686</v>
      </c>
      <c r="AE124" s="1">
        <v>197.94739999999999</v>
      </c>
      <c r="AF124" s="1">
        <v>193.87379999999999</v>
      </c>
      <c r="AG124" s="1"/>
      <c r="AH124" s="1">
        <f t="shared" si="27"/>
        <v>597</v>
      </c>
      <c r="AI124" s="1">
        <f t="shared" si="28"/>
        <v>163.82</v>
      </c>
      <c r="AJ124" t="s">
        <v>286</v>
      </c>
    </row>
    <row r="125" spans="1:36" x14ac:dyDescent="0.25">
      <c r="A125" s="1" t="s">
        <v>287</v>
      </c>
      <c r="B125" s="1" t="s">
        <v>48</v>
      </c>
      <c r="C125" s="1">
        <v>4</v>
      </c>
      <c r="D125" s="1"/>
      <c r="E125" s="1"/>
      <c r="F125" s="1">
        <v>4</v>
      </c>
      <c r="G125" s="7">
        <v>0.25</v>
      </c>
      <c r="H125" s="1">
        <v>1096</v>
      </c>
      <c r="I125" s="12" t="s">
        <v>59</v>
      </c>
      <c r="J125" s="1"/>
      <c r="K125" s="1">
        <v>10</v>
      </c>
      <c r="L125" s="1">
        <f t="shared" si="23"/>
        <v>-10</v>
      </c>
      <c r="M125" s="1"/>
      <c r="N125" s="1"/>
      <c r="O125" s="1">
        <v>25</v>
      </c>
      <c r="P125" s="1"/>
      <c r="Q125" s="1"/>
      <c r="R125" s="1">
        <f t="shared" si="24"/>
        <v>0</v>
      </c>
      <c r="S125" s="5">
        <v>100</v>
      </c>
      <c r="T125" s="5">
        <f>S125*0.7</f>
        <v>70</v>
      </c>
      <c r="U125" s="1" t="e">
        <f t="shared" si="25"/>
        <v>#DIV/0!</v>
      </c>
      <c r="V125" s="1" t="e">
        <f t="shared" si="26"/>
        <v>#DIV/0!</v>
      </c>
      <c r="W125" s="1">
        <v>0</v>
      </c>
      <c r="X125" s="1">
        <v>1.6</v>
      </c>
      <c r="Y125" s="1">
        <v>3.6</v>
      </c>
      <c r="Z125" s="1">
        <v>5.4</v>
      </c>
      <c r="AA125" s="1">
        <v>25.8</v>
      </c>
      <c r="AB125" s="1">
        <v>33</v>
      </c>
      <c r="AC125" s="1">
        <v>10.6</v>
      </c>
      <c r="AD125" s="1">
        <v>0</v>
      </c>
      <c r="AE125" s="1">
        <v>0</v>
      </c>
      <c r="AF125" s="1">
        <v>0</v>
      </c>
      <c r="AG125" s="1" t="s">
        <v>288</v>
      </c>
      <c r="AH125" s="1">
        <f t="shared" si="27"/>
        <v>18</v>
      </c>
      <c r="AI125" s="1">
        <f t="shared" si="28"/>
        <v>0</v>
      </c>
      <c r="AJ125" t="s">
        <v>289</v>
      </c>
    </row>
    <row r="126" spans="1:36" x14ac:dyDescent="0.25">
      <c r="A126" s="1" t="s">
        <v>290</v>
      </c>
      <c r="B126" s="1" t="s">
        <v>48</v>
      </c>
      <c r="C126" s="1"/>
      <c r="D126" s="1"/>
      <c r="E126" s="13">
        <f>0+E133</f>
        <v>2</v>
      </c>
      <c r="F126" s="13">
        <f>0+F133</f>
        <v>7</v>
      </c>
      <c r="G126" s="7">
        <v>0.32500000000000001</v>
      </c>
      <c r="H126" s="1">
        <v>1096</v>
      </c>
      <c r="I126" s="12" t="s">
        <v>59</v>
      </c>
      <c r="J126" s="1"/>
      <c r="K126" s="1"/>
      <c r="L126" s="1">
        <f t="shared" si="23"/>
        <v>2</v>
      </c>
      <c r="M126" s="1"/>
      <c r="N126" s="1"/>
      <c r="O126" s="1">
        <v>25</v>
      </c>
      <c r="P126" s="1"/>
      <c r="Q126" s="1"/>
      <c r="R126" s="1">
        <f t="shared" si="24"/>
        <v>0.4</v>
      </c>
      <c r="S126" s="5">
        <v>100</v>
      </c>
      <c r="T126" s="5">
        <f>S126*0.7</f>
        <v>70</v>
      </c>
      <c r="U126" s="1">
        <f t="shared" si="25"/>
        <v>255</v>
      </c>
      <c r="V126" s="1">
        <f t="shared" si="26"/>
        <v>80</v>
      </c>
      <c r="W126" s="1">
        <v>6.2</v>
      </c>
      <c r="X126" s="1">
        <v>11</v>
      </c>
      <c r="Y126" s="1">
        <v>8</v>
      </c>
      <c r="Z126" s="1">
        <v>5.6</v>
      </c>
      <c r="AA126" s="1">
        <v>22</v>
      </c>
      <c r="AB126" s="1">
        <v>22.4</v>
      </c>
      <c r="AC126" s="1">
        <v>3.2</v>
      </c>
      <c r="AD126" s="1">
        <v>0</v>
      </c>
      <c r="AE126" s="1">
        <v>0</v>
      </c>
      <c r="AF126" s="1">
        <v>0</v>
      </c>
      <c r="AG126" s="1" t="s">
        <v>288</v>
      </c>
      <c r="AH126" s="1">
        <f t="shared" si="27"/>
        <v>23</v>
      </c>
      <c r="AI126" s="1">
        <f t="shared" si="28"/>
        <v>0.13</v>
      </c>
      <c r="AJ126" t="s">
        <v>291</v>
      </c>
    </row>
    <row r="127" spans="1:36" x14ac:dyDescent="0.25">
      <c r="A127" s="1" t="s">
        <v>292</v>
      </c>
      <c r="B127" s="1" t="s">
        <v>48</v>
      </c>
      <c r="C127" s="1">
        <v>505</v>
      </c>
      <c r="D127" s="1">
        <v>8</v>
      </c>
      <c r="E127" s="1">
        <v>263</v>
      </c>
      <c r="F127" s="1">
        <v>209</v>
      </c>
      <c r="G127" s="7">
        <v>0.25</v>
      </c>
      <c r="H127" s="1">
        <v>1096</v>
      </c>
      <c r="I127" s="1" t="s">
        <v>41</v>
      </c>
      <c r="J127" s="1"/>
      <c r="K127" s="1">
        <v>265</v>
      </c>
      <c r="L127" s="1">
        <f t="shared" si="23"/>
        <v>-2</v>
      </c>
      <c r="M127" s="1"/>
      <c r="N127" s="1"/>
      <c r="O127" s="1">
        <v>0</v>
      </c>
      <c r="P127" s="1"/>
      <c r="Q127" s="1"/>
      <c r="R127" s="1">
        <f t="shared" si="24"/>
        <v>52.6</v>
      </c>
      <c r="S127" s="5">
        <f>10*R127-Q127-P127-O127-F127</f>
        <v>317</v>
      </c>
      <c r="T127" s="5">
        <f>S127</f>
        <v>317</v>
      </c>
      <c r="U127" s="1">
        <f t="shared" si="25"/>
        <v>10</v>
      </c>
      <c r="V127" s="1">
        <f t="shared" si="26"/>
        <v>3.9733840304182508</v>
      </c>
      <c r="W127" s="1">
        <v>20.399999999999999</v>
      </c>
      <c r="X127" s="1">
        <v>3</v>
      </c>
      <c r="Y127" s="1">
        <v>5.2</v>
      </c>
      <c r="Z127" s="1">
        <v>8.1999999999999993</v>
      </c>
      <c r="AA127" s="1">
        <v>27.6</v>
      </c>
      <c r="AB127" s="1">
        <v>29.4</v>
      </c>
      <c r="AC127" s="1">
        <v>7.2</v>
      </c>
      <c r="AD127" s="1">
        <v>0</v>
      </c>
      <c r="AE127" s="1">
        <v>0</v>
      </c>
      <c r="AF127" s="1">
        <v>0</v>
      </c>
      <c r="AG127" s="1" t="s">
        <v>288</v>
      </c>
      <c r="AH127" s="1">
        <f t="shared" si="27"/>
        <v>79</v>
      </c>
      <c r="AI127" s="1">
        <f t="shared" si="28"/>
        <v>13.15</v>
      </c>
      <c r="AJ127" t="s">
        <v>293</v>
      </c>
    </row>
    <row r="128" spans="1:36" x14ac:dyDescent="0.25">
      <c r="A128" s="1" t="s">
        <v>294</v>
      </c>
      <c r="B128" s="1" t="s">
        <v>48</v>
      </c>
      <c r="C128" s="1"/>
      <c r="D128" s="1"/>
      <c r="E128" s="1"/>
      <c r="F128" s="1"/>
      <c r="G128" s="7">
        <v>0.3</v>
      </c>
      <c r="H128" s="1">
        <v>40</v>
      </c>
      <c r="I128" s="12" t="s">
        <v>59</v>
      </c>
      <c r="J128" s="1"/>
      <c r="K128" s="1">
        <v>2</v>
      </c>
      <c r="L128" s="1">
        <f t="shared" si="23"/>
        <v>-2</v>
      </c>
      <c r="M128" s="1"/>
      <c r="N128" s="1"/>
      <c r="O128" s="1">
        <v>54</v>
      </c>
      <c r="P128" s="1">
        <v>-54</v>
      </c>
      <c r="Q128" s="1"/>
      <c r="R128" s="1">
        <f t="shared" si="24"/>
        <v>0</v>
      </c>
      <c r="S128" s="5">
        <v>150</v>
      </c>
      <c r="T128" s="5">
        <f>S128*0.7</f>
        <v>105</v>
      </c>
      <c r="U128" s="1" t="e">
        <f t="shared" si="25"/>
        <v>#DIV/0!</v>
      </c>
      <c r="V128" s="1" t="e">
        <f t="shared" si="26"/>
        <v>#DIV/0!</v>
      </c>
      <c r="W128" s="1">
        <v>-0.2</v>
      </c>
      <c r="X128" s="1">
        <v>-0.4</v>
      </c>
      <c r="Y128" s="1">
        <v>-1</v>
      </c>
      <c r="Z128" s="1">
        <v>-1.2</v>
      </c>
      <c r="AA128" s="1">
        <v>-0.6</v>
      </c>
      <c r="AB128" s="1">
        <v>15.2</v>
      </c>
      <c r="AC128" s="1">
        <v>36.4</v>
      </c>
      <c r="AD128" s="1">
        <v>36.6</v>
      </c>
      <c r="AE128" s="1">
        <v>59.8</v>
      </c>
      <c r="AF128" s="1">
        <v>60</v>
      </c>
      <c r="AG128" s="1"/>
      <c r="AH128" s="1">
        <f t="shared" si="27"/>
        <v>32</v>
      </c>
      <c r="AI128" s="1">
        <f t="shared" si="28"/>
        <v>0</v>
      </c>
      <c r="AJ128" t="s">
        <v>295</v>
      </c>
    </row>
    <row r="129" spans="1:36" x14ac:dyDescent="0.25">
      <c r="A129" s="1" t="s">
        <v>296</v>
      </c>
      <c r="B129" s="1" t="s">
        <v>48</v>
      </c>
      <c r="C129" s="1">
        <v>1</v>
      </c>
      <c r="D129" s="1"/>
      <c r="E129" s="1">
        <v>-4</v>
      </c>
      <c r="F129" s="1">
        <v>1</v>
      </c>
      <c r="G129" s="7">
        <v>0.3</v>
      </c>
      <c r="H129" s="1">
        <v>40</v>
      </c>
      <c r="I129" s="12" t="s">
        <v>59</v>
      </c>
      <c r="J129" s="1"/>
      <c r="K129" s="1">
        <v>11</v>
      </c>
      <c r="L129" s="1">
        <f t="shared" si="23"/>
        <v>-15</v>
      </c>
      <c r="M129" s="1"/>
      <c r="N129" s="1"/>
      <c r="O129" s="1">
        <v>15</v>
      </c>
      <c r="P129" s="1">
        <v>-18</v>
      </c>
      <c r="Q129" s="1"/>
      <c r="R129" s="1">
        <f t="shared" si="24"/>
        <v>-0.8</v>
      </c>
      <c r="S129" s="5">
        <v>30</v>
      </c>
      <c r="T129" s="5">
        <f>S129</f>
        <v>30</v>
      </c>
      <c r="U129" s="1">
        <f t="shared" si="25"/>
        <v>-35</v>
      </c>
      <c r="V129" s="1">
        <f t="shared" si="26"/>
        <v>2.5</v>
      </c>
      <c r="W129" s="1">
        <v>-0.2</v>
      </c>
      <c r="X129" s="1">
        <v>0</v>
      </c>
      <c r="Y129" s="1">
        <v>0.6</v>
      </c>
      <c r="Z129" s="1">
        <v>5.8</v>
      </c>
      <c r="AA129" s="1">
        <v>6.8</v>
      </c>
      <c r="AB129" s="1">
        <v>1.4</v>
      </c>
      <c r="AC129" s="1">
        <v>-0.2</v>
      </c>
      <c r="AD129" s="1">
        <v>-0.8</v>
      </c>
      <c r="AE129" s="1">
        <v>15.8</v>
      </c>
      <c r="AF129" s="1">
        <v>16</v>
      </c>
      <c r="AG129" s="1" t="s">
        <v>297</v>
      </c>
      <c r="AH129" s="1">
        <f t="shared" si="27"/>
        <v>9</v>
      </c>
      <c r="AI129" s="1">
        <f t="shared" si="28"/>
        <v>-0.24</v>
      </c>
      <c r="AJ129" t="s">
        <v>298</v>
      </c>
    </row>
    <row r="130" spans="1:36" x14ac:dyDescent="0.25">
      <c r="A130" s="1" t="s">
        <v>299</v>
      </c>
      <c r="B130" s="1" t="s">
        <v>40</v>
      </c>
      <c r="C130" s="1">
        <v>36.265999999999998</v>
      </c>
      <c r="D130" s="1"/>
      <c r="E130" s="1">
        <v>25.558</v>
      </c>
      <c r="F130" s="1">
        <v>9.35</v>
      </c>
      <c r="G130" s="7">
        <v>1</v>
      </c>
      <c r="H130" s="1">
        <v>50</v>
      </c>
      <c r="I130" s="1" t="s">
        <v>41</v>
      </c>
      <c r="J130" s="1"/>
      <c r="K130" s="1">
        <v>25</v>
      </c>
      <c r="L130" s="1">
        <f t="shared" si="23"/>
        <v>0.55799999999999983</v>
      </c>
      <c r="M130" s="1"/>
      <c r="N130" s="1"/>
      <c r="O130" s="1">
        <v>4.9611999999999981</v>
      </c>
      <c r="P130" s="1"/>
      <c r="Q130" s="1"/>
      <c r="R130" s="1">
        <f t="shared" si="24"/>
        <v>5.1116000000000001</v>
      </c>
      <c r="S130" s="5">
        <f>9*R130-Q130-P130-O130-F130</f>
        <v>31.693200000000004</v>
      </c>
      <c r="T130" s="5">
        <f>S130</f>
        <v>31.693200000000004</v>
      </c>
      <c r="U130" s="1">
        <f t="shared" si="25"/>
        <v>9</v>
      </c>
      <c r="V130" s="1">
        <f t="shared" si="26"/>
        <v>2.799749589169731</v>
      </c>
      <c r="W130" s="1">
        <v>2.4276</v>
      </c>
      <c r="X130" s="1">
        <v>2.9628000000000001</v>
      </c>
      <c r="Y130" s="1">
        <v>2.1503999999999999</v>
      </c>
      <c r="Z130" s="1">
        <v>2.1423999999999999</v>
      </c>
      <c r="AA130" s="1">
        <v>2.9592000000000001</v>
      </c>
      <c r="AB130" s="1">
        <v>2.4420000000000002</v>
      </c>
      <c r="AC130" s="1">
        <v>4.0430000000000001</v>
      </c>
      <c r="AD130" s="1">
        <v>4.5990000000000002</v>
      </c>
      <c r="AE130" s="1">
        <v>3.5379999999999998</v>
      </c>
      <c r="AF130" s="1">
        <v>1.901</v>
      </c>
      <c r="AG130" s="1"/>
      <c r="AH130" s="1">
        <f t="shared" si="27"/>
        <v>32</v>
      </c>
      <c r="AI130" s="1">
        <f t="shared" si="28"/>
        <v>5.1116000000000001</v>
      </c>
      <c r="AJ130" t="s">
        <v>300</v>
      </c>
    </row>
    <row r="131" spans="1:36" x14ac:dyDescent="0.25">
      <c r="A131" s="1" t="s">
        <v>301</v>
      </c>
      <c r="B131" s="1" t="s">
        <v>48</v>
      </c>
      <c r="C131" s="1">
        <v>97</v>
      </c>
      <c r="D131" s="1">
        <v>30</v>
      </c>
      <c r="E131" s="1">
        <v>104</v>
      </c>
      <c r="F131" s="1">
        <v>13</v>
      </c>
      <c r="G131" s="7">
        <v>0.3</v>
      </c>
      <c r="H131" s="1">
        <v>40</v>
      </c>
      <c r="I131" s="12" t="s">
        <v>59</v>
      </c>
      <c r="J131" s="1"/>
      <c r="K131" s="1">
        <v>154</v>
      </c>
      <c r="L131" s="1">
        <f t="shared" si="23"/>
        <v>-50</v>
      </c>
      <c r="M131" s="1"/>
      <c r="N131" s="1"/>
      <c r="O131" s="1">
        <v>31.5</v>
      </c>
      <c r="P131" s="1">
        <v>-30</v>
      </c>
      <c r="Q131" s="1"/>
      <c r="R131" s="1">
        <f t="shared" si="24"/>
        <v>20.8</v>
      </c>
      <c r="S131" s="5">
        <v>80</v>
      </c>
      <c r="T131" s="5">
        <f>S131*0.7</f>
        <v>56</v>
      </c>
      <c r="U131" s="1">
        <f t="shared" si="25"/>
        <v>3.3894230769230766</v>
      </c>
      <c r="V131" s="1">
        <f t="shared" si="26"/>
        <v>0.69711538461538458</v>
      </c>
      <c r="W131" s="1">
        <v>23.4</v>
      </c>
      <c r="X131" s="1">
        <v>2.4</v>
      </c>
      <c r="Y131" s="1">
        <v>4</v>
      </c>
      <c r="Z131" s="1">
        <v>11.6</v>
      </c>
      <c r="AA131" s="1">
        <v>31.2</v>
      </c>
      <c r="AB131" s="1">
        <v>39.6</v>
      </c>
      <c r="AC131" s="1">
        <v>28.2</v>
      </c>
      <c r="AD131" s="1">
        <v>23.2</v>
      </c>
      <c r="AE131" s="1">
        <v>15.8</v>
      </c>
      <c r="AF131" s="1">
        <v>14.6</v>
      </c>
      <c r="AG131" s="1"/>
      <c r="AH131" s="1">
        <f t="shared" si="27"/>
        <v>17</v>
      </c>
      <c r="AI131" s="1">
        <f t="shared" si="28"/>
        <v>6.24</v>
      </c>
      <c r="AJ131" t="s">
        <v>302</v>
      </c>
    </row>
    <row r="132" spans="1:36" x14ac:dyDescent="0.25">
      <c r="A132" s="1" t="s">
        <v>303</v>
      </c>
      <c r="B132" s="1" t="s">
        <v>48</v>
      </c>
      <c r="C132" s="1">
        <v>54</v>
      </c>
      <c r="D132" s="1">
        <v>6</v>
      </c>
      <c r="E132" s="1">
        <v>48</v>
      </c>
      <c r="F132" s="1">
        <v>7</v>
      </c>
      <c r="G132" s="7">
        <v>0.12</v>
      </c>
      <c r="H132" s="1">
        <v>45</v>
      </c>
      <c r="I132" s="12" t="s">
        <v>59</v>
      </c>
      <c r="J132" s="1"/>
      <c r="K132" s="1">
        <v>104</v>
      </c>
      <c r="L132" s="1">
        <f t="shared" si="23"/>
        <v>-56</v>
      </c>
      <c r="M132" s="1"/>
      <c r="N132" s="1"/>
      <c r="O132" s="1">
        <v>54.146000000000001</v>
      </c>
      <c r="P132" s="1">
        <v>-60.000000000000007</v>
      </c>
      <c r="Q132" s="1"/>
      <c r="R132" s="1">
        <f t="shared" si="24"/>
        <v>9.6</v>
      </c>
      <c r="S132" s="5">
        <v>50</v>
      </c>
      <c r="T132" s="5">
        <f>S132</f>
        <v>50</v>
      </c>
      <c r="U132" s="1">
        <f t="shared" si="25"/>
        <v>5.3277083333333328</v>
      </c>
      <c r="V132" s="1">
        <f t="shared" si="26"/>
        <v>0.11937499999999934</v>
      </c>
      <c r="W132" s="1">
        <v>9.8000000000000007</v>
      </c>
      <c r="X132" s="1">
        <v>6</v>
      </c>
      <c r="Y132" s="1">
        <v>8.6</v>
      </c>
      <c r="Z132" s="1">
        <v>9</v>
      </c>
      <c r="AA132" s="1">
        <v>13.4</v>
      </c>
      <c r="AB132" s="1">
        <v>15</v>
      </c>
      <c r="AC132" s="1">
        <v>11.8</v>
      </c>
      <c r="AD132" s="1">
        <v>14.6</v>
      </c>
      <c r="AE132" s="1">
        <v>17.600000000000001</v>
      </c>
      <c r="AF132" s="1">
        <v>14.6</v>
      </c>
      <c r="AG132" s="1"/>
      <c r="AH132" s="1">
        <f t="shared" si="27"/>
        <v>6</v>
      </c>
      <c r="AI132" s="1">
        <f t="shared" si="28"/>
        <v>1.1519999999999999</v>
      </c>
      <c r="AJ132" t="s">
        <v>304</v>
      </c>
    </row>
    <row r="133" spans="1:36" x14ac:dyDescent="0.25">
      <c r="A133" s="9" t="s">
        <v>305</v>
      </c>
      <c r="B133" s="9" t="s">
        <v>48</v>
      </c>
      <c r="C133" s="9">
        <v>9</v>
      </c>
      <c r="D133" s="9"/>
      <c r="E133" s="13">
        <v>2</v>
      </c>
      <c r="F133" s="13">
        <v>7</v>
      </c>
      <c r="G133" s="10">
        <v>0</v>
      </c>
      <c r="H133" s="9"/>
      <c r="I133" s="9" t="s">
        <v>306</v>
      </c>
      <c r="J133" s="9" t="s">
        <v>290</v>
      </c>
      <c r="K133" s="9">
        <v>2</v>
      </c>
      <c r="L133" s="9">
        <f t="shared" si="23"/>
        <v>0</v>
      </c>
      <c r="M133" s="9"/>
      <c r="N133" s="9"/>
      <c r="O133" s="9">
        <v>0</v>
      </c>
      <c r="P133" s="9"/>
      <c r="Q133" s="9"/>
      <c r="R133" s="9">
        <f t="shared" si="24"/>
        <v>0.4</v>
      </c>
      <c r="S133" s="11"/>
      <c r="T133" s="5">
        <f>S133</f>
        <v>0</v>
      </c>
      <c r="U133" s="1">
        <f t="shared" si="25"/>
        <v>17.5</v>
      </c>
      <c r="V133" s="9">
        <f t="shared" si="26"/>
        <v>17.5</v>
      </c>
      <c r="W133" s="9">
        <v>5.2</v>
      </c>
      <c r="X133" s="9">
        <v>5.2</v>
      </c>
      <c r="Y133" s="9">
        <v>1.4</v>
      </c>
      <c r="Z133" s="9">
        <v>2.4</v>
      </c>
      <c r="AA133" s="9">
        <v>2</v>
      </c>
      <c r="AB133" s="9">
        <v>0.6</v>
      </c>
      <c r="AC133" s="9">
        <v>0</v>
      </c>
      <c r="AD133" s="9">
        <v>0</v>
      </c>
      <c r="AE133" s="9">
        <v>0</v>
      </c>
      <c r="AF133" s="9">
        <v>0</v>
      </c>
      <c r="AG133" s="9"/>
      <c r="AH133" s="1">
        <f t="shared" si="27"/>
        <v>0</v>
      </c>
      <c r="AI133" s="1">
        <f t="shared" si="28"/>
        <v>0</v>
      </c>
    </row>
    <row r="134" spans="1:36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</row>
    <row r="135" spans="1:36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</row>
    <row r="136" spans="1:36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</row>
    <row r="137" spans="1:3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</row>
    <row r="138" spans="1:3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</row>
    <row r="139" spans="1:3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</row>
    <row r="140" spans="1:3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</row>
    <row r="141" spans="1:3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</row>
    <row r="142" spans="1:3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</row>
    <row r="143" spans="1:3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</row>
    <row r="144" spans="1:3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</row>
    <row r="145" spans="1:35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</row>
    <row r="146" spans="1:35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</row>
    <row r="147" spans="1:35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</row>
    <row r="148" spans="1:35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</row>
    <row r="149" spans="1:35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</row>
    <row r="150" spans="1:35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</row>
    <row r="151" spans="1:35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</row>
    <row r="152" spans="1:35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</row>
    <row r="153" spans="1:35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</row>
    <row r="154" spans="1:35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</row>
    <row r="155" spans="1:35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</row>
    <row r="156" spans="1:35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</row>
    <row r="157" spans="1:35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</row>
    <row r="158" spans="1:35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</row>
    <row r="159" spans="1:35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</row>
    <row r="160" spans="1:35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</row>
    <row r="161" spans="1:35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</row>
    <row r="162" spans="1:35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</row>
    <row r="163" spans="1:35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</row>
    <row r="164" spans="1:35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</row>
    <row r="165" spans="1:35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</row>
    <row r="166" spans="1:35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</row>
    <row r="167" spans="1:35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</row>
    <row r="168" spans="1:35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</row>
    <row r="169" spans="1:35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</row>
    <row r="170" spans="1:35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</row>
    <row r="171" spans="1:35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</row>
    <row r="172" spans="1:35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</row>
    <row r="173" spans="1:35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</row>
    <row r="174" spans="1:35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</row>
    <row r="175" spans="1:35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</row>
    <row r="176" spans="1:35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</row>
    <row r="177" spans="1:35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</row>
    <row r="178" spans="1:35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</row>
    <row r="179" spans="1:35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</row>
    <row r="180" spans="1:35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</row>
    <row r="181" spans="1:35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</row>
    <row r="182" spans="1:35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</row>
    <row r="183" spans="1:35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</row>
    <row r="184" spans="1:35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</row>
    <row r="185" spans="1:35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</row>
    <row r="186" spans="1:35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</row>
    <row r="187" spans="1:35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</row>
    <row r="188" spans="1:35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</row>
    <row r="189" spans="1:35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</row>
    <row r="190" spans="1:35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</row>
    <row r="191" spans="1:35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</row>
    <row r="192" spans="1:35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</row>
    <row r="193" spans="1:35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</row>
    <row r="194" spans="1:35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</row>
    <row r="195" spans="1:35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</row>
    <row r="196" spans="1:35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</row>
    <row r="197" spans="1:35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</row>
    <row r="198" spans="1:35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</row>
    <row r="199" spans="1:35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</row>
    <row r="200" spans="1:35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</row>
    <row r="201" spans="1:35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</row>
    <row r="202" spans="1:35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</row>
    <row r="203" spans="1:35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</row>
    <row r="204" spans="1:35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</row>
    <row r="205" spans="1:35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</row>
    <row r="206" spans="1:35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</row>
    <row r="207" spans="1:35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</row>
    <row r="208" spans="1:35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</row>
    <row r="209" spans="1:35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</row>
    <row r="210" spans="1:35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</row>
    <row r="211" spans="1:35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</row>
    <row r="212" spans="1:35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</row>
    <row r="213" spans="1:35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</row>
    <row r="214" spans="1:35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</row>
    <row r="215" spans="1:35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</row>
    <row r="216" spans="1:35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</row>
    <row r="217" spans="1:35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</row>
    <row r="218" spans="1:35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</row>
    <row r="219" spans="1:35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</row>
    <row r="220" spans="1:35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</row>
    <row r="221" spans="1:35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</row>
    <row r="222" spans="1:35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</row>
    <row r="223" spans="1:35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</row>
    <row r="224" spans="1:35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</row>
    <row r="225" spans="1:35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</row>
    <row r="226" spans="1:35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</row>
    <row r="227" spans="1:35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</row>
    <row r="228" spans="1:35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</row>
    <row r="229" spans="1:35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</row>
    <row r="230" spans="1:35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</row>
    <row r="231" spans="1:35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</row>
    <row r="232" spans="1:35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</row>
    <row r="233" spans="1:35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</row>
    <row r="234" spans="1:35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</row>
    <row r="235" spans="1:35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</row>
    <row r="236" spans="1:35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</row>
    <row r="237" spans="1:35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</row>
    <row r="238" spans="1:35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</row>
    <row r="239" spans="1:35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</row>
    <row r="240" spans="1:35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</row>
    <row r="241" spans="1:35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</row>
    <row r="242" spans="1:35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</row>
    <row r="243" spans="1:35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</row>
    <row r="244" spans="1:35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</row>
    <row r="245" spans="1:35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</row>
    <row r="246" spans="1:35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</row>
    <row r="247" spans="1:35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</row>
    <row r="248" spans="1:35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</row>
    <row r="249" spans="1:35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</row>
    <row r="250" spans="1:35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</row>
    <row r="251" spans="1:35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</row>
    <row r="252" spans="1:35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</row>
    <row r="253" spans="1:35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</row>
    <row r="254" spans="1:35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</row>
    <row r="255" spans="1:35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</row>
    <row r="256" spans="1:35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</row>
    <row r="257" spans="1:35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</row>
    <row r="258" spans="1:35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</row>
    <row r="259" spans="1:35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</row>
    <row r="260" spans="1:35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</row>
    <row r="261" spans="1:35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</row>
    <row r="262" spans="1:35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</row>
    <row r="263" spans="1:35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</row>
    <row r="264" spans="1:35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</row>
    <row r="265" spans="1:35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</row>
    <row r="266" spans="1:35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</row>
    <row r="267" spans="1:35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</row>
    <row r="268" spans="1:35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</row>
    <row r="269" spans="1:35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</row>
    <row r="270" spans="1:35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</row>
    <row r="271" spans="1:35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</row>
    <row r="272" spans="1:35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</row>
    <row r="273" spans="1:35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</row>
    <row r="274" spans="1:35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</row>
    <row r="275" spans="1:35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</row>
    <row r="276" spans="1:35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</row>
    <row r="277" spans="1:35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</row>
    <row r="278" spans="1:35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</row>
    <row r="279" spans="1:35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</row>
    <row r="280" spans="1:35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</row>
    <row r="281" spans="1:35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</row>
    <row r="282" spans="1:35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</row>
    <row r="283" spans="1:35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</row>
    <row r="284" spans="1:35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</row>
    <row r="285" spans="1:35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</row>
    <row r="286" spans="1:35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</row>
    <row r="287" spans="1:35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</row>
    <row r="288" spans="1:35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</row>
    <row r="289" spans="1:35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</row>
    <row r="290" spans="1:35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</row>
    <row r="291" spans="1:35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</row>
    <row r="292" spans="1:35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</row>
    <row r="293" spans="1:35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</row>
    <row r="294" spans="1:35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</row>
    <row r="295" spans="1:35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</row>
    <row r="296" spans="1:35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</row>
    <row r="297" spans="1:35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</row>
    <row r="298" spans="1:35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</row>
    <row r="299" spans="1:35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</row>
    <row r="300" spans="1:35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</row>
    <row r="301" spans="1:35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</row>
    <row r="302" spans="1:35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</row>
    <row r="303" spans="1:35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</row>
    <row r="304" spans="1:35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</row>
    <row r="305" spans="1:35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</row>
    <row r="306" spans="1:35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</row>
    <row r="307" spans="1:35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</row>
    <row r="308" spans="1:35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</row>
    <row r="309" spans="1:35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</row>
    <row r="310" spans="1:35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</row>
    <row r="311" spans="1:35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</row>
    <row r="312" spans="1:35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</row>
    <row r="313" spans="1:35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</row>
    <row r="314" spans="1:35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</row>
    <row r="315" spans="1:35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</row>
    <row r="316" spans="1:35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</row>
    <row r="317" spans="1:35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</row>
    <row r="318" spans="1:35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</row>
    <row r="319" spans="1:35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</row>
    <row r="320" spans="1:35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</row>
    <row r="321" spans="1:35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</row>
    <row r="322" spans="1:35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</row>
    <row r="323" spans="1:35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</row>
    <row r="324" spans="1:35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</row>
    <row r="325" spans="1:35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</row>
    <row r="326" spans="1:35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</row>
    <row r="327" spans="1:35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</row>
    <row r="328" spans="1:35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</row>
    <row r="329" spans="1:35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</row>
    <row r="330" spans="1:35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</row>
    <row r="331" spans="1:35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</row>
    <row r="332" spans="1:35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</row>
    <row r="333" spans="1:35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</row>
    <row r="334" spans="1:35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</row>
    <row r="335" spans="1:35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</row>
    <row r="336" spans="1:35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</row>
    <row r="337" spans="1:35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</row>
    <row r="338" spans="1:35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</row>
    <row r="339" spans="1:35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</row>
    <row r="340" spans="1:35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</row>
    <row r="341" spans="1:35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</row>
    <row r="342" spans="1:35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</row>
    <row r="343" spans="1:35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</row>
    <row r="344" spans="1:35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</row>
    <row r="345" spans="1:35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</row>
    <row r="346" spans="1:35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</row>
    <row r="347" spans="1:35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</row>
    <row r="348" spans="1:35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</row>
    <row r="349" spans="1:35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</row>
    <row r="350" spans="1:35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</row>
    <row r="351" spans="1:35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</row>
    <row r="352" spans="1:35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</row>
    <row r="353" spans="1:35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</row>
    <row r="354" spans="1:35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</row>
    <row r="355" spans="1:35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</row>
    <row r="356" spans="1:35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</row>
    <row r="357" spans="1:35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</row>
    <row r="358" spans="1:35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</row>
    <row r="359" spans="1:35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</row>
    <row r="360" spans="1:35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</row>
    <row r="361" spans="1:35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</row>
    <row r="362" spans="1:35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</row>
    <row r="363" spans="1:35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</row>
    <row r="364" spans="1:35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</row>
    <row r="365" spans="1:35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</row>
    <row r="366" spans="1:35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</row>
    <row r="367" spans="1:35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</row>
    <row r="368" spans="1:35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</row>
    <row r="369" spans="1:35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</row>
    <row r="370" spans="1:35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</row>
    <row r="371" spans="1:35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</row>
    <row r="372" spans="1:35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</row>
    <row r="373" spans="1:35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</row>
    <row r="374" spans="1:35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</row>
    <row r="375" spans="1:35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</row>
    <row r="376" spans="1:35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</row>
    <row r="377" spans="1:35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</row>
    <row r="378" spans="1:35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</row>
    <row r="379" spans="1:35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</row>
    <row r="380" spans="1:35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</row>
    <row r="381" spans="1:35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</row>
    <row r="382" spans="1:35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</row>
    <row r="383" spans="1:35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</row>
    <row r="384" spans="1:35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</row>
    <row r="385" spans="1:35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</row>
    <row r="386" spans="1:35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</row>
    <row r="387" spans="1:35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</row>
    <row r="388" spans="1:35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</row>
    <row r="389" spans="1:35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</row>
    <row r="390" spans="1:35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</row>
    <row r="391" spans="1:35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</row>
    <row r="392" spans="1:35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</row>
    <row r="393" spans="1:35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</row>
    <row r="394" spans="1:35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</row>
    <row r="395" spans="1:35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</row>
    <row r="396" spans="1:35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</row>
    <row r="397" spans="1:35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</row>
    <row r="398" spans="1:35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</row>
    <row r="399" spans="1:35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</row>
    <row r="400" spans="1:35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</row>
    <row r="401" spans="1:35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</row>
    <row r="402" spans="1:35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</row>
    <row r="403" spans="1:35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</row>
    <row r="404" spans="1:35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</row>
    <row r="405" spans="1:35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</row>
    <row r="406" spans="1:35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</row>
    <row r="407" spans="1:35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</row>
    <row r="408" spans="1:35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</row>
    <row r="409" spans="1:35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</row>
    <row r="410" spans="1:35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</row>
    <row r="411" spans="1:35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</row>
    <row r="412" spans="1:35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</row>
    <row r="413" spans="1:35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</row>
    <row r="414" spans="1:35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</row>
    <row r="415" spans="1:35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</row>
    <row r="416" spans="1:35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</row>
    <row r="417" spans="1:35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</row>
    <row r="418" spans="1:35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</row>
    <row r="419" spans="1:35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</row>
    <row r="420" spans="1:35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</row>
    <row r="421" spans="1:35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</row>
    <row r="422" spans="1:35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</row>
    <row r="423" spans="1:35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</row>
    <row r="424" spans="1:35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</row>
    <row r="425" spans="1:35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</row>
    <row r="426" spans="1:35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</row>
    <row r="427" spans="1:35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</row>
    <row r="428" spans="1:35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</row>
    <row r="429" spans="1:35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</row>
    <row r="430" spans="1:35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</row>
    <row r="431" spans="1:35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</row>
    <row r="432" spans="1:35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</row>
    <row r="433" spans="1:35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</row>
    <row r="434" spans="1:35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</row>
    <row r="435" spans="1:35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</row>
    <row r="436" spans="1:35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</row>
    <row r="437" spans="1:35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</row>
    <row r="438" spans="1:35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</row>
    <row r="439" spans="1:35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</row>
    <row r="440" spans="1:35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</row>
    <row r="441" spans="1:35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</row>
    <row r="442" spans="1:35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</row>
    <row r="443" spans="1:35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</row>
    <row r="444" spans="1:35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</row>
    <row r="445" spans="1:35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</row>
    <row r="446" spans="1:35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</row>
    <row r="447" spans="1:35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</row>
    <row r="448" spans="1:35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</row>
    <row r="449" spans="1:35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</row>
    <row r="450" spans="1:35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</row>
    <row r="451" spans="1:35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</row>
    <row r="452" spans="1:35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</row>
    <row r="453" spans="1:35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</row>
    <row r="454" spans="1:35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</row>
    <row r="455" spans="1:35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</row>
    <row r="456" spans="1:35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</row>
    <row r="457" spans="1:35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</row>
    <row r="458" spans="1:35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</row>
    <row r="459" spans="1:35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</row>
    <row r="460" spans="1:35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</row>
    <row r="461" spans="1:35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</row>
    <row r="462" spans="1:35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</row>
    <row r="463" spans="1:35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</row>
    <row r="464" spans="1:35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</row>
    <row r="465" spans="1:35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</row>
    <row r="466" spans="1:35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</row>
    <row r="467" spans="1:35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</row>
    <row r="468" spans="1:35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</row>
    <row r="469" spans="1:35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</row>
    <row r="470" spans="1:35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</row>
    <row r="471" spans="1:35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</row>
    <row r="472" spans="1:35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</row>
    <row r="473" spans="1:35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</row>
    <row r="474" spans="1:35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</row>
    <row r="475" spans="1:35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</row>
    <row r="476" spans="1:35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</row>
    <row r="477" spans="1:35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</row>
    <row r="478" spans="1:35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</row>
    <row r="479" spans="1:35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</row>
    <row r="480" spans="1:35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</row>
    <row r="481" spans="1:35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</row>
    <row r="482" spans="1:35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</row>
    <row r="483" spans="1:35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</row>
    <row r="484" spans="1:35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</row>
    <row r="485" spans="1:35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</row>
    <row r="486" spans="1:35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</row>
    <row r="487" spans="1:35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</row>
    <row r="488" spans="1:35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</row>
    <row r="489" spans="1:35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</row>
    <row r="490" spans="1:35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</row>
    <row r="491" spans="1:35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</row>
    <row r="492" spans="1:35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</row>
    <row r="493" spans="1:35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</row>
    <row r="494" spans="1:35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</row>
    <row r="495" spans="1:35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</row>
    <row r="496" spans="1:35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</row>
    <row r="497" spans="1:35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</row>
    <row r="498" spans="1:35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</row>
    <row r="499" spans="1:35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</row>
  </sheetData>
  <autoFilter ref="A3:AH133" xr:uid="{00000000-0009-0000-0000-000000000000}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E5774-385F-42C4-A7CC-0C17DCADA158}">
  <dimension ref="A1:H32"/>
  <sheetViews>
    <sheetView workbookViewId="0">
      <selection activeCell="J10" sqref="J10"/>
    </sheetView>
  </sheetViews>
  <sheetFormatPr defaultRowHeight="15" x14ac:dyDescent="0.25"/>
  <cols>
    <col min="1" max="1" width="20.85546875" bestFit="1" customWidth="1"/>
    <col min="2" max="2" width="11.140625" style="16" customWidth="1"/>
    <col min="3" max="3" width="111.140625" bestFit="1" customWidth="1"/>
    <col min="4" max="4" width="11.85546875" bestFit="1" customWidth="1"/>
    <col min="5" max="5" width="15.28515625" bestFit="1" customWidth="1"/>
    <col min="6" max="6" width="13.85546875" bestFit="1" customWidth="1"/>
    <col min="7" max="7" width="22" bestFit="1" customWidth="1"/>
  </cols>
  <sheetData>
    <row r="1" spans="1:8" x14ac:dyDescent="0.25">
      <c r="A1" t="s">
        <v>307</v>
      </c>
      <c r="C1" t="s">
        <v>308</v>
      </c>
      <c r="D1" t="s">
        <v>309</v>
      </c>
      <c r="E1" t="s">
        <v>310</v>
      </c>
      <c r="F1" t="s">
        <v>311</v>
      </c>
      <c r="G1" t="s">
        <v>312</v>
      </c>
    </row>
    <row r="2" spans="1:8" x14ac:dyDescent="0.25">
      <c r="A2" t="s">
        <v>313</v>
      </c>
      <c r="B2" s="16" t="str">
        <f>SUBSTITUTE(A2," ","")</f>
        <v>SU000227</v>
      </c>
      <c r="C2" t="s">
        <v>314</v>
      </c>
      <c r="D2" t="s">
        <v>315</v>
      </c>
      <c r="E2" t="s">
        <v>316</v>
      </c>
      <c r="F2" t="s">
        <v>317</v>
      </c>
      <c r="G2" t="s">
        <v>318</v>
      </c>
      <c r="H2">
        <f>--SUBSTITUTE(G2," ","")</f>
        <v>-92</v>
      </c>
    </row>
    <row r="3" spans="1:8" x14ac:dyDescent="0.25">
      <c r="A3" t="s">
        <v>319</v>
      </c>
      <c r="B3" s="16" t="str">
        <f t="shared" ref="B3:B32" si="0">SUBSTITUTE(A3," ","")</f>
        <v>SU000246</v>
      </c>
      <c r="C3" t="s">
        <v>320</v>
      </c>
      <c r="D3" t="s">
        <v>321</v>
      </c>
      <c r="E3" t="s">
        <v>321</v>
      </c>
      <c r="F3" t="s">
        <v>322</v>
      </c>
      <c r="G3" t="s">
        <v>323</v>
      </c>
      <c r="H3">
        <f t="shared" ref="H3:H32" si="1">--SUBSTITUTE(G3," ","")</f>
        <v>-18</v>
      </c>
    </row>
    <row r="4" spans="1:8" x14ac:dyDescent="0.25">
      <c r="A4" t="s">
        <v>324</v>
      </c>
      <c r="B4" s="16" t="str">
        <f t="shared" si="0"/>
        <v>SU002151</v>
      </c>
      <c r="C4" t="s">
        <v>325</v>
      </c>
      <c r="D4" t="s">
        <v>326</v>
      </c>
      <c r="E4" t="s">
        <v>322</v>
      </c>
      <c r="F4" t="s">
        <v>322</v>
      </c>
      <c r="G4" t="s">
        <v>327</v>
      </c>
      <c r="H4">
        <f t="shared" si="1"/>
        <v>-153</v>
      </c>
    </row>
    <row r="5" spans="1:8" x14ac:dyDescent="0.25">
      <c r="A5" t="s">
        <v>328</v>
      </c>
      <c r="B5" s="16" t="str">
        <f t="shared" si="0"/>
        <v>SU002158</v>
      </c>
      <c r="C5" t="s">
        <v>329</v>
      </c>
      <c r="D5" t="s">
        <v>330</v>
      </c>
      <c r="E5" t="s">
        <v>322</v>
      </c>
      <c r="F5" t="s">
        <v>322</v>
      </c>
      <c r="G5" t="s">
        <v>331</v>
      </c>
      <c r="H5">
        <f t="shared" si="1"/>
        <v>-174</v>
      </c>
    </row>
    <row r="6" spans="1:8" x14ac:dyDescent="0.25">
      <c r="A6" t="s">
        <v>332</v>
      </c>
      <c r="B6" s="16" t="str">
        <f t="shared" si="0"/>
        <v>SU002205</v>
      </c>
      <c r="C6" t="s">
        <v>333</v>
      </c>
      <c r="D6" t="s">
        <v>334</v>
      </c>
      <c r="E6" t="s">
        <v>322</v>
      </c>
      <c r="F6" t="s">
        <v>322</v>
      </c>
      <c r="G6" t="s">
        <v>335</v>
      </c>
      <c r="H6">
        <f t="shared" si="1"/>
        <v>-10</v>
      </c>
    </row>
    <row r="7" spans="1:8" x14ac:dyDescent="0.25">
      <c r="A7" t="s">
        <v>336</v>
      </c>
      <c r="B7" s="16" t="str">
        <f t="shared" si="0"/>
        <v>SU002252</v>
      </c>
      <c r="C7" t="s">
        <v>337</v>
      </c>
      <c r="D7" t="s">
        <v>338</v>
      </c>
      <c r="E7" t="s">
        <v>322</v>
      </c>
      <c r="F7" t="s">
        <v>322</v>
      </c>
      <c r="G7" t="s">
        <v>339</v>
      </c>
      <c r="H7">
        <f t="shared" si="1"/>
        <v>-9</v>
      </c>
    </row>
    <row r="8" spans="1:8" x14ac:dyDescent="0.25">
      <c r="A8" t="s">
        <v>340</v>
      </c>
      <c r="B8" s="16" t="str">
        <f t="shared" si="0"/>
        <v>SU002287</v>
      </c>
      <c r="C8" t="s">
        <v>341</v>
      </c>
      <c r="D8" t="s">
        <v>342</v>
      </c>
      <c r="E8" t="s">
        <v>322</v>
      </c>
      <c r="F8" t="s">
        <v>322</v>
      </c>
      <c r="G8" t="s">
        <v>343</v>
      </c>
      <c r="H8">
        <f t="shared" si="1"/>
        <v>-54</v>
      </c>
    </row>
    <row r="9" spans="1:8" x14ac:dyDescent="0.25">
      <c r="A9" t="s">
        <v>344</v>
      </c>
      <c r="B9" s="16" t="str">
        <f t="shared" si="0"/>
        <v>SU002621</v>
      </c>
      <c r="C9" t="s">
        <v>345</v>
      </c>
      <c r="D9" t="s">
        <v>346</v>
      </c>
      <c r="E9" t="s">
        <v>322</v>
      </c>
      <c r="F9" t="s">
        <v>322</v>
      </c>
      <c r="G9" t="s">
        <v>347</v>
      </c>
      <c r="H9">
        <f t="shared" si="1"/>
        <v>-29</v>
      </c>
    </row>
    <row r="10" spans="1:8" x14ac:dyDescent="0.25">
      <c r="A10" t="s">
        <v>348</v>
      </c>
      <c r="B10" s="16" t="str">
        <f t="shared" si="0"/>
        <v>SU002655</v>
      </c>
      <c r="C10" t="s">
        <v>349</v>
      </c>
      <c r="D10" t="s">
        <v>350</v>
      </c>
      <c r="E10" t="s">
        <v>322</v>
      </c>
      <c r="F10" t="s">
        <v>322</v>
      </c>
      <c r="G10" t="s">
        <v>351</v>
      </c>
      <c r="H10">
        <f t="shared" si="1"/>
        <v>-27</v>
      </c>
    </row>
    <row r="11" spans="1:8" x14ac:dyDescent="0.25">
      <c r="A11" t="s">
        <v>352</v>
      </c>
      <c r="B11" s="16" t="str">
        <f t="shared" si="0"/>
        <v>SU002660</v>
      </c>
      <c r="C11" t="s">
        <v>353</v>
      </c>
      <c r="D11" t="s">
        <v>354</v>
      </c>
      <c r="E11" t="s">
        <v>322</v>
      </c>
      <c r="F11" t="s">
        <v>322</v>
      </c>
      <c r="G11" t="s">
        <v>355</v>
      </c>
      <c r="H11">
        <f t="shared" si="1"/>
        <v>-17</v>
      </c>
    </row>
    <row r="12" spans="1:8" x14ac:dyDescent="0.25">
      <c r="A12" t="s">
        <v>356</v>
      </c>
      <c r="B12" s="16" t="str">
        <f t="shared" si="0"/>
        <v>SU002756</v>
      </c>
      <c r="C12" t="s">
        <v>357</v>
      </c>
      <c r="D12" t="s">
        <v>346</v>
      </c>
      <c r="E12" t="s">
        <v>322</v>
      </c>
      <c r="F12" t="s">
        <v>322</v>
      </c>
      <c r="G12" t="s">
        <v>347</v>
      </c>
      <c r="H12">
        <f t="shared" si="1"/>
        <v>-29</v>
      </c>
    </row>
    <row r="13" spans="1:8" x14ac:dyDescent="0.25">
      <c r="A13" t="s">
        <v>358</v>
      </c>
      <c r="B13" s="16" t="str">
        <f t="shared" si="0"/>
        <v>SU002758</v>
      </c>
      <c r="C13" t="s">
        <v>359</v>
      </c>
      <c r="D13" t="s">
        <v>360</v>
      </c>
      <c r="E13" t="s">
        <v>322</v>
      </c>
      <c r="F13" t="s">
        <v>322</v>
      </c>
      <c r="G13" t="s">
        <v>361</v>
      </c>
      <c r="H13">
        <f t="shared" si="1"/>
        <v>-19</v>
      </c>
    </row>
    <row r="14" spans="1:8" x14ac:dyDescent="0.25">
      <c r="A14" t="s">
        <v>362</v>
      </c>
      <c r="B14" s="16" t="str">
        <f t="shared" si="0"/>
        <v>SU002847</v>
      </c>
      <c r="C14" t="s">
        <v>363</v>
      </c>
      <c r="D14" t="s">
        <v>346</v>
      </c>
      <c r="E14" t="s">
        <v>322</v>
      </c>
      <c r="F14" t="s">
        <v>322</v>
      </c>
      <c r="G14" t="s">
        <v>347</v>
      </c>
      <c r="H14">
        <f t="shared" si="1"/>
        <v>-29</v>
      </c>
    </row>
    <row r="15" spans="1:8" x14ac:dyDescent="0.25">
      <c r="A15" t="s">
        <v>364</v>
      </c>
      <c r="B15" s="16" t="str">
        <f t="shared" si="0"/>
        <v>SU002848</v>
      </c>
      <c r="C15" t="s">
        <v>365</v>
      </c>
      <c r="D15" t="s">
        <v>366</v>
      </c>
      <c r="E15" t="s">
        <v>322</v>
      </c>
      <c r="F15" t="s">
        <v>322</v>
      </c>
      <c r="G15" t="s">
        <v>367</v>
      </c>
      <c r="H15">
        <f t="shared" si="1"/>
        <v>-48</v>
      </c>
    </row>
    <row r="16" spans="1:8" x14ac:dyDescent="0.25">
      <c r="A16" t="s">
        <v>368</v>
      </c>
      <c r="B16" s="16" t="str">
        <f t="shared" si="0"/>
        <v>SU002941</v>
      </c>
      <c r="C16" t="s">
        <v>369</v>
      </c>
      <c r="D16" t="s">
        <v>370</v>
      </c>
      <c r="E16" t="s">
        <v>322</v>
      </c>
      <c r="F16" t="s">
        <v>322</v>
      </c>
      <c r="G16" t="s">
        <v>371</v>
      </c>
      <c r="H16">
        <f t="shared" si="1"/>
        <v>-76</v>
      </c>
    </row>
    <row r="17" spans="1:8" x14ac:dyDescent="0.25">
      <c r="A17" t="s">
        <v>372</v>
      </c>
      <c r="B17" s="16" t="str">
        <f t="shared" si="0"/>
        <v>SU002942</v>
      </c>
      <c r="C17" t="s">
        <v>373</v>
      </c>
      <c r="D17" t="s">
        <v>374</v>
      </c>
      <c r="E17" t="s">
        <v>322</v>
      </c>
      <c r="F17" t="s">
        <v>322</v>
      </c>
      <c r="G17" t="s">
        <v>375</v>
      </c>
      <c r="H17">
        <f t="shared" si="1"/>
        <v>-5</v>
      </c>
    </row>
    <row r="18" spans="1:8" x14ac:dyDescent="0.25">
      <c r="A18" t="s">
        <v>376</v>
      </c>
      <c r="B18" s="16" t="str">
        <f t="shared" si="0"/>
        <v>SU002943</v>
      </c>
      <c r="C18" t="s">
        <v>377</v>
      </c>
      <c r="D18" t="s">
        <v>378</v>
      </c>
      <c r="E18" t="s">
        <v>322</v>
      </c>
      <c r="F18" t="s">
        <v>322</v>
      </c>
      <c r="G18" t="s">
        <v>379</v>
      </c>
      <c r="H18">
        <f t="shared" si="1"/>
        <v>-70</v>
      </c>
    </row>
    <row r="19" spans="1:8" x14ac:dyDescent="0.25">
      <c r="A19" t="s">
        <v>380</v>
      </c>
      <c r="B19" s="16" t="str">
        <f t="shared" si="0"/>
        <v>SU002944</v>
      </c>
      <c r="C19" t="s">
        <v>381</v>
      </c>
      <c r="D19" t="s">
        <v>382</v>
      </c>
      <c r="E19" t="s">
        <v>322</v>
      </c>
      <c r="F19" t="s">
        <v>322</v>
      </c>
      <c r="G19" t="s">
        <v>383</v>
      </c>
      <c r="H19">
        <f t="shared" si="1"/>
        <v>-16</v>
      </c>
    </row>
    <row r="20" spans="1:8" x14ac:dyDescent="0.25">
      <c r="A20" t="s">
        <v>384</v>
      </c>
      <c r="B20" s="16" t="str">
        <f t="shared" si="0"/>
        <v>SU002945</v>
      </c>
      <c r="C20" t="s">
        <v>385</v>
      </c>
      <c r="D20" t="s">
        <v>386</v>
      </c>
      <c r="E20" t="s">
        <v>322</v>
      </c>
      <c r="F20" t="s">
        <v>322</v>
      </c>
      <c r="G20" t="s">
        <v>387</v>
      </c>
      <c r="H20">
        <f t="shared" si="1"/>
        <v>-308</v>
      </c>
    </row>
    <row r="21" spans="1:8" x14ac:dyDescent="0.25">
      <c r="A21" t="s">
        <v>388</v>
      </c>
      <c r="B21" s="16" t="str">
        <f t="shared" si="0"/>
        <v>SU002947</v>
      </c>
      <c r="C21" t="s">
        <v>389</v>
      </c>
      <c r="D21" t="s">
        <v>390</v>
      </c>
      <c r="E21" t="s">
        <v>322</v>
      </c>
      <c r="F21" t="s">
        <v>322</v>
      </c>
      <c r="G21" t="s">
        <v>391</v>
      </c>
      <c r="H21">
        <f t="shared" si="1"/>
        <v>-113</v>
      </c>
    </row>
    <row r="22" spans="1:8" x14ac:dyDescent="0.25">
      <c r="A22" t="s">
        <v>392</v>
      </c>
      <c r="B22" s="16" t="str">
        <f t="shared" si="0"/>
        <v>SU002948</v>
      </c>
      <c r="C22" t="s">
        <v>393</v>
      </c>
      <c r="D22" t="s">
        <v>350</v>
      </c>
      <c r="E22" t="s">
        <v>322</v>
      </c>
      <c r="F22" t="s">
        <v>322</v>
      </c>
      <c r="G22" t="s">
        <v>351</v>
      </c>
      <c r="H22">
        <f t="shared" si="1"/>
        <v>-27</v>
      </c>
    </row>
    <row r="23" spans="1:8" x14ac:dyDescent="0.25">
      <c r="A23" t="s">
        <v>394</v>
      </c>
      <c r="B23" s="16" t="str">
        <f t="shared" si="0"/>
        <v>SU003168</v>
      </c>
      <c r="C23" t="s">
        <v>395</v>
      </c>
      <c r="D23" t="s">
        <v>396</v>
      </c>
      <c r="E23" t="s">
        <v>322</v>
      </c>
      <c r="F23" t="s">
        <v>322</v>
      </c>
      <c r="G23" t="s">
        <v>397</v>
      </c>
      <c r="H23">
        <f t="shared" si="1"/>
        <v>-4</v>
      </c>
    </row>
    <row r="24" spans="1:8" x14ac:dyDescent="0.25">
      <c r="A24" t="s">
        <v>398</v>
      </c>
      <c r="B24" s="16" t="str">
        <f t="shared" si="0"/>
        <v>SU003829</v>
      </c>
      <c r="C24" t="s">
        <v>399</v>
      </c>
      <c r="D24" t="s">
        <v>338</v>
      </c>
      <c r="E24" t="s">
        <v>322</v>
      </c>
      <c r="F24" t="s">
        <v>322</v>
      </c>
      <c r="G24" t="s">
        <v>339</v>
      </c>
      <c r="H24">
        <f t="shared" si="1"/>
        <v>-9</v>
      </c>
    </row>
    <row r="25" spans="1:8" x14ac:dyDescent="0.25">
      <c r="A25" t="s">
        <v>400</v>
      </c>
      <c r="B25" s="16" t="str">
        <f t="shared" si="0"/>
        <v>SU003893</v>
      </c>
      <c r="C25" t="s">
        <v>401</v>
      </c>
      <c r="D25" t="s">
        <v>374</v>
      </c>
      <c r="E25" t="s">
        <v>322</v>
      </c>
      <c r="F25" t="s">
        <v>322</v>
      </c>
      <c r="G25" t="s">
        <v>375</v>
      </c>
      <c r="H25">
        <f t="shared" si="1"/>
        <v>-5</v>
      </c>
    </row>
    <row r="26" spans="1:8" x14ac:dyDescent="0.25">
      <c r="A26" t="s">
        <v>402</v>
      </c>
      <c r="B26" s="16" t="str">
        <f t="shared" si="0"/>
        <v>SU003921</v>
      </c>
      <c r="C26" t="s">
        <v>403</v>
      </c>
      <c r="D26" t="s">
        <v>404</v>
      </c>
      <c r="E26" t="s">
        <v>322</v>
      </c>
      <c r="F26" t="s">
        <v>322</v>
      </c>
      <c r="G26" t="s">
        <v>405</v>
      </c>
      <c r="H26">
        <f t="shared" si="1"/>
        <v>-7</v>
      </c>
    </row>
    <row r="27" spans="1:8" x14ac:dyDescent="0.25">
      <c r="A27" t="s">
        <v>406</v>
      </c>
      <c r="B27" s="16" t="str">
        <f t="shared" si="0"/>
        <v>SU004039</v>
      </c>
      <c r="C27" t="s">
        <v>407</v>
      </c>
      <c r="D27" t="s">
        <v>408</v>
      </c>
      <c r="E27" t="s">
        <v>322</v>
      </c>
      <c r="F27" t="s">
        <v>322</v>
      </c>
      <c r="G27" t="s">
        <v>409</v>
      </c>
      <c r="H27">
        <f t="shared" si="1"/>
        <v>-62</v>
      </c>
    </row>
    <row r="28" spans="1:8" x14ac:dyDescent="0.25">
      <c r="A28" t="s">
        <v>410</v>
      </c>
      <c r="B28" s="16" t="str">
        <f t="shared" si="0"/>
        <v>SU004041</v>
      </c>
      <c r="C28" t="s">
        <v>411</v>
      </c>
      <c r="D28" t="s">
        <v>412</v>
      </c>
      <c r="E28" t="s">
        <v>322</v>
      </c>
      <c r="F28" t="s">
        <v>322</v>
      </c>
      <c r="G28" t="s">
        <v>413</v>
      </c>
      <c r="H28">
        <f t="shared" si="1"/>
        <v>-56</v>
      </c>
    </row>
    <row r="29" spans="1:8" x14ac:dyDescent="0.25">
      <c r="A29" t="s">
        <v>414</v>
      </c>
      <c r="B29" s="16" t="str">
        <f t="shared" si="0"/>
        <v>SU004042</v>
      </c>
      <c r="C29" t="s">
        <v>415</v>
      </c>
      <c r="D29" t="s">
        <v>416</v>
      </c>
      <c r="E29" t="s">
        <v>322</v>
      </c>
      <c r="F29" t="s">
        <v>322</v>
      </c>
      <c r="G29" t="s">
        <v>417</v>
      </c>
      <c r="H29">
        <f t="shared" si="1"/>
        <v>-20</v>
      </c>
    </row>
    <row r="30" spans="1:8" x14ac:dyDescent="0.25">
      <c r="A30" t="s">
        <v>418</v>
      </c>
      <c r="B30" s="16" t="str">
        <f t="shared" si="0"/>
        <v>SU004044</v>
      </c>
      <c r="C30" t="s">
        <v>419</v>
      </c>
      <c r="D30" t="s">
        <v>420</v>
      </c>
      <c r="E30" t="s">
        <v>322</v>
      </c>
      <c r="F30" t="s">
        <v>322</v>
      </c>
      <c r="G30" t="s">
        <v>421</v>
      </c>
      <c r="H30">
        <f t="shared" si="1"/>
        <v>-46</v>
      </c>
    </row>
    <row r="31" spans="1:8" x14ac:dyDescent="0.25">
      <c r="A31" t="s">
        <v>422</v>
      </c>
      <c r="B31" s="16" t="str">
        <f t="shared" si="0"/>
        <v>SU004045</v>
      </c>
      <c r="C31" t="s">
        <v>423</v>
      </c>
      <c r="D31" t="s">
        <v>424</v>
      </c>
      <c r="E31" t="s">
        <v>322</v>
      </c>
      <c r="F31" t="s">
        <v>322</v>
      </c>
      <c r="G31" t="s">
        <v>425</v>
      </c>
      <c r="H31">
        <f t="shared" si="1"/>
        <v>-13</v>
      </c>
    </row>
    <row r="32" spans="1:8" x14ac:dyDescent="0.25">
      <c r="A32" t="s">
        <v>426</v>
      </c>
      <c r="B32" s="16" t="str">
        <f t="shared" si="0"/>
        <v>ИТОГО</v>
      </c>
      <c r="D32" t="s">
        <v>427</v>
      </c>
      <c r="E32" t="s">
        <v>428</v>
      </c>
      <c r="F32" t="s">
        <v>429</v>
      </c>
      <c r="G32" t="s">
        <v>430</v>
      </c>
      <c r="H32">
        <f t="shared" si="1"/>
        <v>-1498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 24,08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2026-08-25T16:02:35Z</dcterms:created>
  <dcterms:modified xsi:type="dcterms:W3CDTF">2026-08-27T19:12:39Z</dcterms:modified>
</cp:coreProperties>
</file>