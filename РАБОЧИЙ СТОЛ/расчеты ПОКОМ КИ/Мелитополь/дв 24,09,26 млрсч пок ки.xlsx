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4169886-041C-40E0-9998-72CD1B90E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28" i="1" l="1"/>
  <c r="V128" i="1"/>
  <c r="Z128" i="1" s="1"/>
  <c r="L128" i="1"/>
  <c r="X127" i="1"/>
  <c r="V127" i="1"/>
  <c r="Z127" i="1" s="1"/>
  <c r="L127" i="1"/>
  <c r="V126" i="1"/>
  <c r="W126" i="1" s="1"/>
  <c r="X126" i="1" s="1"/>
  <c r="L126" i="1"/>
  <c r="AL125" i="1"/>
  <c r="X125" i="1"/>
  <c r="V125" i="1"/>
  <c r="Z125" i="1" s="1"/>
  <c r="L125" i="1"/>
  <c r="AL124" i="1"/>
  <c r="X124" i="1"/>
  <c r="V124" i="1"/>
  <c r="Z124" i="1" s="1"/>
  <c r="L124" i="1"/>
  <c r="AL123" i="1"/>
  <c r="X123" i="1"/>
  <c r="V123" i="1"/>
  <c r="Z123" i="1" s="1"/>
  <c r="L123" i="1"/>
  <c r="AL122" i="1"/>
  <c r="X122" i="1"/>
  <c r="V122" i="1"/>
  <c r="Z122" i="1" s="1"/>
  <c r="L122" i="1"/>
  <c r="AL121" i="1"/>
  <c r="X121" i="1"/>
  <c r="V121" i="1"/>
  <c r="Z121" i="1" s="1"/>
  <c r="L121" i="1"/>
  <c r="AL120" i="1"/>
  <c r="X120" i="1"/>
  <c r="V120" i="1"/>
  <c r="L120" i="1"/>
  <c r="F120" i="1"/>
  <c r="Z120" i="1" s="1"/>
  <c r="X119" i="1"/>
  <c r="V119" i="1"/>
  <c r="Z119" i="1" s="1"/>
  <c r="L119" i="1"/>
  <c r="V118" i="1"/>
  <c r="W118" i="1" s="1"/>
  <c r="X118" i="1" s="1"/>
  <c r="L118" i="1"/>
  <c r="V117" i="1"/>
  <c r="Z117" i="1" s="1"/>
  <c r="L117" i="1"/>
  <c r="X116" i="1"/>
  <c r="V116" i="1"/>
  <c r="Z116" i="1" s="1"/>
  <c r="L116" i="1"/>
  <c r="X115" i="1"/>
  <c r="V115" i="1"/>
  <c r="Z115" i="1" s="1"/>
  <c r="L115" i="1"/>
  <c r="X114" i="1"/>
  <c r="V114" i="1"/>
  <c r="Z114" i="1" s="1"/>
  <c r="L114" i="1"/>
  <c r="X113" i="1"/>
  <c r="V113" i="1"/>
  <c r="Z113" i="1" s="1"/>
  <c r="L113" i="1"/>
  <c r="X112" i="1"/>
  <c r="V112" i="1"/>
  <c r="Z112" i="1" s="1"/>
  <c r="L112" i="1"/>
  <c r="X111" i="1"/>
  <c r="V111" i="1"/>
  <c r="Z111" i="1" s="1"/>
  <c r="L111" i="1"/>
  <c r="X110" i="1"/>
  <c r="V110" i="1"/>
  <c r="Z110" i="1" s="1"/>
  <c r="L110" i="1"/>
  <c r="X109" i="1"/>
  <c r="V109" i="1"/>
  <c r="Z109" i="1" s="1"/>
  <c r="L109" i="1"/>
  <c r="X108" i="1"/>
  <c r="V108" i="1"/>
  <c r="Z108" i="1" s="1"/>
  <c r="L108" i="1"/>
  <c r="X107" i="1"/>
  <c r="V107" i="1"/>
  <c r="Z107" i="1" s="1"/>
  <c r="L107" i="1"/>
  <c r="X106" i="1"/>
  <c r="V106" i="1"/>
  <c r="Z106" i="1" s="1"/>
  <c r="L106" i="1"/>
  <c r="X105" i="1"/>
  <c r="V105" i="1"/>
  <c r="Z105" i="1" s="1"/>
  <c r="L105" i="1"/>
  <c r="X104" i="1"/>
  <c r="V104" i="1"/>
  <c r="Z104" i="1" s="1"/>
  <c r="L104" i="1"/>
  <c r="X103" i="1"/>
  <c r="V103" i="1"/>
  <c r="Z103" i="1" s="1"/>
  <c r="L103" i="1"/>
  <c r="X102" i="1"/>
  <c r="V102" i="1"/>
  <c r="Z102" i="1" s="1"/>
  <c r="L102" i="1"/>
  <c r="X101" i="1"/>
  <c r="V101" i="1"/>
  <c r="Z101" i="1" s="1"/>
  <c r="L101" i="1"/>
  <c r="X100" i="1"/>
  <c r="V100" i="1"/>
  <c r="W100" i="1" s="1"/>
  <c r="L100" i="1"/>
  <c r="X99" i="1"/>
  <c r="AL99" i="1" s="1"/>
  <c r="V99" i="1"/>
  <c r="Z99" i="1" s="1"/>
  <c r="L99" i="1"/>
  <c r="X98" i="1"/>
  <c r="AL98" i="1" s="1"/>
  <c r="V98" i="1"/>
  <c r="Z98" i="1" s="1"/>
  <c r="L98" i="1"/>
  <c r="X97" i="1"/>
  <c r="AL97" i="1" s="1"/>
  <c r="V97" i="1"/>
  <c r="L97" i="1"/>
  <c r="X96" i="1"/>
  <c r="AL96" i="1" s="1"/>
  <c r="V96" i="1"/>
  <c r="Z96" i="1" s="1"/>
  <c r="L96" i="1"/>
  <c r="W95" i="1"/>
  <c r="X95" i="1" s="1"/>
  <c r="AL95" i="1" s="1"/>
  <c r="V95" i="1"/>
  <c r="Z95" i="1" s="1"/>
  <c r="L95" i="1"/>
  <c r="V94" i="1"/>
  <c r="W94" i="1" s="1"/>
  <c r="X94" i="1" s="1"/>
  <c r="L94" i="1"/>
  <c r="X93" i="1"/>
  <c r="AL93" i="1" s="1"/>
  <c r="V93" i="1"/>
  <c r="Z93" i="1" s="1"/>
  <c r="L93" i="1"/>
  <c r="W92" i="1"/>
  <c r="X92" i="1" s="1"/>
  <c r="AL92" i="1" s="1"/>
  <c r="V92" i="1"/>
  <c r="Z92" i="1" s="1"/>
  <c r="L92" i="1"/>
  <c r="X91" i="1"/>
  <c r="V91" i="1"/>
  <c r="Z91" i="1" s="1"/>
  <c r="L91" i="1"/>
  <c r="X90" i="1"/>
  <c r="V90" i="1"/>
  <c r="Z90" i="1" s="1"/>
  <c r="L90" i="1"/>
  <c r="X89" i="1"/>
  <c r="V89" i="1"/>
  <c r="Z89" i="1" s="1"/>
  <c r="L89" i="1"/>
  <c r="V88" i="1"/>
  <c r="W88" i="1" s="1"/>
  <c r="X88" i="1" s="1"/>
  <c r="L88" i="1"/>
  <c r="W87" i="1"/>
  <c r="X87" i="1" s="1"/>
  <c r="Y87" i="1" s="1"/>
  <c r="V87" i="1"/>
  <c r="Z87" i="1" s="1"/>
  <c r="L87" i="1"/>
  <c r="V86" i="1"/>
  <c r="W86" i="1" s="1"/>
  <c r="X86" i="1" s="1"/>
  <c r="L86" i="1"/>
  <c r="AL85" i="1"/>
  <c r="X85" i="1"/>
  <c r="V85" i="1"/>
  <c r="Z85" i="1" s="1"/>
  <c r="L85" i="1"/>
  <c r="W84" i="1"/>
  <c r="X84" i="1" s="1"/>
  <c r="Y84" i="1" s="1"/>
  <c r="V84" i="1"/>
  <c r="Z84" i="1" s="1"/>
  <c r="L84" i="1"/>
  <c r="X83" i="1"/>
  <c r="AL83" i="1" s="1"/>
  <c r="V83" i="1"/>
  <c r="Z83" i="1" s="1"/>
  <c r="L83" i="1"/>
  <c r="AL82" i="1"/>
  <c r="X82" i="1"/>
  <c r="V82" i="1"/>
  <c r="Z82" i="1" s="1"/>
  <c r="L82" i="1"/>
  <c r="AL81" i="1"/>
  <c r="X81" i="1"/>
  <c r="V81" i="1"/>
  <c r="Z81" i="1" s="1"/>
  <c r="L81" i="1"/>
  <c r="AL80" i="1"/>
  <c r="X80" i="1"/>
  <c r="V80" i="1"/>
  <c r="Z80" i="1" s="1"/>
  <c r="L80" i="1"/>
  <c r="AL79" i="1"/>
  <c r="X79" i="1"/>
  <c r="V79" i="1"/>
  <c r="Z79" i="1" s="1"/>
  <c r="L79" i="1"/>
  <c r="AL78" i="1"/>
  <c r="X78" i="1"/>
  <c r="V78" i="1"/>
  <c r="Z78" i="1" s="1"/>
  <c r="L78" i="1"/>
  <c r="W77" i="1"/>
  <c r="X77" i="1" s="1"/>
  <c r="Y77" i="1" s="1"/>
  <c r="V77" i="1"/>
  <c r="Z77" i="1" s="1"/>
  <c r="L77" i="1"/>
  <c r="X76" i="1"/>
  <c r="V76" i="1"/>
  <c r="Z76" i="1" s="1"/>
  <c r="L76" i="1"/>
  <c r="X75" i="1"/>
  <c r="V75" i="1"/>
  <c r="Z75" i="1" s="1"/>
  <c r="L75" i="1"/>
  <c r="AL74" i="1"/>
  <c r="Z74" i="1"/>
  <c r="V74" i="1"/>
  <c r="Y74" i="1" s="1"/>
  <c r="L74" i="1"/>
  <c r="X73" i="1"/>
  <c r="AL73" i="1" s="1"/>
  <c r="V73" i="1"/>
  <c r="Z73" i="1" s="1"/>
  <c r="L73" i="1"/>
  <c r="V72" i="1"/>
  <c r="Z72" i="1" s="1"/>
  <c r="L72" i="1"/>
  <c r="X71" i="1"/>
  <c r="V71" i="1"/>
  <c r="Z71" i="1" s="1"/>
  <c r="L71" i="1"/>
  <c r="X70" i="1"/>
  <c r="V70" i="1"/>
  <c r="Z70" i="1" s="1"/>
  <c r="L70" i="1"/>
  <c r="X69" i="1"/>
  <c r="V69" i="1"/>
  <c r="Z69" i="1" s="1"/>
  <c r="L69" i="1"/>
  <c r="X68" i="1"/>
  <c r="V68" i="1"/>
  <c r="W68" i="1" s="1"/>
  <c r="L68" i="1"/>
  <c r="X67" i="1"/>
  <c r="AL67" i="1" s="1"/>
  <c r="V67" i="1"/>
  <c r="Z67" i="1" s="1"/>
  <c r="L67" i="1"/>
  <c r="V66" i="1"/>
  <c r="Z66" i="1" s="1"/>
  <c r="L66" i="1"/>
  <c r="X65" i="1"/>
  <c r="V65" i="1"/>
  <c r="Z65" i="1" s="1"/>
  <c r="L65" i="1"/>
  <c r="X64" i="1"/>
  <c r="V64" i="1"/>
  <c r="Z64" i="1" s="1"/>
  <c r="L64" i="1"/>
  <c r="X63" i="1"/>
  <c r="V63" i="1"/>
  <c r="W63" i="1" s="1"/>
  <c r="L63" i="1"/>
  <c r="X62" i="1"/>
  <c r="AL62" i="1" s="1"/>
  <c r="V62" i="1"/>
  <c r="Z62" i="1" s="1"/>
  <c r="L62" i="1"/>
  <c r="X61" i="1"/>
  <c r="AL61" i="1" s="1"/>
  <c r="V61" i="1"/>
  <c r="Z61" i="1" s="1"/>
  <c r="L61" i="1"/>
  <c r="W60" i="1"/>
  <c r="X60" i="1" s="1"/>
  <c r="AL60" i="1" s="1"/>
  <c r="V60" i="1"/>
  <c r="Z60" i="1" s="1"/>
  <c r="L60" i="1"/>
  <c r="X59" i="1"/>
  <c r="V59" i="1"/>
  <c r="Z59" i="1" s="1"/>
  <c r="L59" i="1"/>
  <c r="X58" i="1"/>
  <c r="V58" i="1"/>
  <c r="Z58" i="1" s="1"/>
  <c r="L58" i="1"/>
  <c r="X57" i="1"/>
  <c r="V57" i="1"/>
  <c r="Z57" i="1" s="1"/>
  <c r="L57" i="1"/>
  <c r="V56" i="1"/>
  <c r="W56" i="1" s="1"/>
  <c r="X56" i="1" s="1"/>
  <c r="L56" i="1"/>
  <c r="X55" i="1"/>
  <c r="AL55" i="1" s="1"/>
  <c r="F55" i="1"/>
  <c r="E55" i="1"/>
  <c r="L55" i="1" s="1"/>
  <c r="AL54" i="1"/>
  <c r="X54" i="1"/>
  <c r="V54" i="1"/>
  <c r="Z54" i="1" s="1"/>
  <c r="L54" i="1"/>
  <c r="V53" i="1"/>
  <c r="Z53" i="1" s="1"/>
  <c r="L53" i="1"/>
  <c r="X52" i="1"/>
  <c r="V52" i="1"/>
  <c r="Z52" i="1" s="1"/>
  <c r="L52" i="1"/>
  <c r="X51" i="1"/>
  <c r="V51" i="1"/>
  <c r="Z51" i="1" s="1"/>
  <c r="L51" i="1"/>
  <c r="X50" i="1"/>
  <c r="V50" i="1"/>
  <c r="Z50" i="1" s="1"/>
  <c r="L50" i="1"/>
  <c r="X49" i="1"/>
  <c r="V49" i="1"/>
  <c r="Z49" i="1" s="1"/>
  <c r="L49" i="1"/>
  <c r="X48" i="1"/>
  <c r="V48" i="1"/>
  <c r="Z48" i="1" s="1"/>
  <c r="L48" i="1"/>
  <c r="X47" i="1"/>
  <c r="V47" i="1"/>
  <c r="Z47" i="1" s="1"/>
  <c r="L47" i="1"/>
  <c r="X46" i="1"/>
  <c r="V46" i="1"/>
  <c r="Z46" i="1" s="1"/>
  <c r="L46" i="1"/>
  <c r="X45" i="1"/>
  <c r="V45" i="1"/>
  <c r="Z45" i="1" s="1"/>
  <c r="L45" i="1"/>
  <c r="AL44" i="1"/>
  <c r="W44" i="1"/>
  <c r="V44" i="1"/>
  <c r="Y44" i="1" s="1"/>
  <c r="L44" i="1"/>
  <c r="X43" i="1"/>
  <c r="V43" i="1"/>
  <c r="Z43" i="1" s="1"/>
  <c r="L43" i="1"/>
  <c r="AL42" i="1"/>
  <c r="V42" i="1"/>
  <c r="Y42" i="1" s="1"/>
  <c r="L42" i="1"/>
  <c r="X41" i="1"/>
  <c r="V41" i="1"/>
  <c r="Z41" i="1" s="1"/>
  <c r="L41" i="1"/>
  <c r="X40" i="1"/>
  <c r="V40" i="1"/>
  <c r="Z40" i="1" s="1"/>
  <c r="L40" i="1"/>
  <c r="X39" i="1"/>
  <c r="V39" i="1"/>
  <c r="Z39" i="1" s="1"/>
  <c r="L39" i="1"/>
  <c r="X38" i="1"/>
  <c r="V38" i="1"/>
  <c r="Z38" i="1" s="1"/>
  <c r="L38" i="1"/>
  <c r="X37" i="1"/>
  <c r="V37" i="1"/>
  <c r="Z37" i="1" s="1"/>
  <c r="L37" i="1"/>
  <c r="AL36" i="1"/>
  <c r="W36" i="1"/>
  <c r="V36" i="1"/>
  <c r="Y36" i="1" s="1"/>
  <c r="L36" i="1"/>
  <c r="X35" i="1"/>
  <c r="V35" i="1"/>
  <c r="Z35" i="1" s="1"/>
  <c r="L35" i="1"/>
  <c r="AL34" i="1"/>
  <c r="V34" i="1"/>
  <c r="Y34" i="1" s="1"/>
  <c r="L34" i="1"/>
  <c r="X33" i="1"/>
  <c r="V33" i="1"/>
  <c r="Z33" i="1" s="1"/>
  <c r="L33" i="1"/>
  <c r="X32" i="1"/>
  <c r="V32" i="1"/>
  <c r="Z32" i="1" s="1"/>
  <c r="L32" i="1"/>
  <c r="V31" i="1"/>
  <c r="W31" i="1" s="1"/>
  <c r="X31" i="1" s="1"/>
  <c r="L31" i="1"/>
  <c r="AL30" i="1"/>
  <c r="X30" i="1"/>
  <c r="V30" i="1"/>
  <c r="Z30" i="1" s="1"/>
  <c r="L30" i="1"/>
  <c r="AL29" i="1"/>
  <c r="V29" i="1"/>
  <c r="Z29" i="1" s="1"/>
  <c r="L29" i="1"/>
  <c r="X28" i="1"/>
  <c r="V28" i="1"/>
  <c r="Z28" i="1" s="1"/>
  <c r="L28" i="1"/>
  <c r="X27" i="1"/>
  <c r="V27" i="1"/>
  <c r="Z27" i="1" s="1"/>
  <c r="L27" i="1"/>
  <c r="X26" i="1"/>
  <c r="V26" i="1"/>
  <c r="Z26" i="1" s="1"/>
  <c r="L26" i="1"/>
  <c r="X25" i="1"/>
  <c r="V25" i="1"/>
  <c r="Z25" i="1" s="1"/>
  <c r="L25" i="1"/>
  <c r="X24" i="1"/>
  <c r="V24" i="1"/>
  <c r="Z24" i="1" s="1"/>
  <c r="L24" i="1"/>
  <c r="X23" i="1"/>
  <c r="V23" i="1"/>
  <c r="Z23" i="1" s="1"/>
  <c r="L23" i="1"/>
  <c r="X22" i="1"/>
  <c r="V22" i="1"/>
  <c r="Z22" i="1" s="1"/>
  <c r="L22" i="1"/>
  <c r="X21" i="1"/>
  <c r="V21" i="1"/>
  <c r="Z21" i="1" s="1"/>
  <c r="L21" i="1"/>
  <c r="X20" i="1"/>
  <c r="V20" i="1"/>
  <c r="W20" i="1" s="1"/>
  <c r="L20" i="1"/>
  <c r="W19" i="1"/>
  <c r="X19" i="1" s="1"/>
  <c r="V19" i="1"/>
  <c r="Z19" i="1" s="1"/>
  <c r="L19" i="1"/>
  <c r="AL18" i="1"/>
  <c r="V18" i="1"/>
  <c r="Y18" i="1" s="1"/>
  <c r="L18" i="1"/>
  <c r="AL17" i="1"/>
  <c r="V17" i="1"/>
  <c r="L17" i="1"/>
  <c r="V16" i="1"/>
  <c r="W16" i="1" s="1"/>
  <c r="X16" i="1" s="1"/>
  <c r="L16" i="1"/>
  <c r="AL15" i="1"/>
  <c r="X15" i="1"/>
  <c r="V15" i="1"/>
  <c r="Z15" i="1" s="1"/>
  <c r="L15" i="1"/>
  <c r="AL14" i="1"/>
  <c r="X14" i="1"/>
  <c r="V14" i="1"/>
  <c r="Z14" i="1" s="1"/>
  <c r="L14" i="1"/>
  <c r="AL13" i="1"/>
  <c r="X13" i="1"/>
  <c r="V13" i="1"/>
  <c r="Z13" i="1" s="1"/>
  <c r="L13" i="1"/>
  <c r="AL12" i="1"/>
  <c r="X12" i="1"/>
  <c r="V12" i="1"/>
  <c r="Z12" i="1" s="1"/>
  <c r="L12" i="1"/>
  <c r="W11" i="1"/>
  <c r="X11" i="1" s="1"/>
  <c r="Y11" i="1" s="1"/>
  <c r="V11" i="1"/>
  <c r="Z11" i="1" s="1"/>
  <c r="L11" i="1"/>
  <c r="V10" i="1"/>
  <c r="W10" i="1" s="1"/>
  <c r="X10" i="1" s="1"/>
  <c r="L10" i="1"/>
  <c r="W9" i="1"/>
  <c r="V9" i="1"/>
  <c r="Z9" i="1" s="1"/>
  <c r="L9" i="1"/>
  <c r="AL8" i="1"/>
  <c r="V8" i="1"/>
  <c r="Y8" i="1" s="1"/>
  <c r="L8" i="1"/>
  <c r="AL7" i="1"/>
  <c r="X7" i="1"/>
  <c r="V7" i="1"/>
  <c r="Z7" i="1" s="1"/>
  <c r="L7" i="1"/>
  <c r="AL6" i="1"/>
  <c r="V6" i="1"/>
  <c r="L6" i="1"/>
  <c r="AJ5" i="1"/>
  <c r="AI5" i="1"/>
  <c r="AH5" i="1"/>
  <c r="AG5" i="1"/>
  <c r="AF5" i="1"/>
  <c r="AE5" i="1"/>
  <c r="AD5" i="1"/>
  <c r="AC5" i="1"/>
  <c r="AB5" i="1"/>
  <c r="AA5" i="1"/>
  <c r="U5" i="1"/>
  <c r="T5" i="1"/>
  <c r="S5" i="1"/>
  <c r="R5" i="1"/>
  <c r="Q5" i="1"/>
  <c r="P5" i="1"/>
  <c r="O5" i="1"/>
  <c r="N5" i="1"/>
  <c r="M5" i="1"/>
  <c r="L5" i="1"/>
  <c r="K5" i="1"/>
  <c r="F5" i="1"/>
  <c r="E5" i="1"/>
  <c r="Z6" i="1" l="1"/>
  <c r="Y6" i="1"/>
  <c r="Z17" i="1"/>
  <c r="Y17" i="1"/>
  <c r="AL19" i="1"/>
  <c r="Y19" i="1"/>
  <c r="Z34" i="1"/>
  <c r="Z42" i="1"/>
  <c r="Z55" i="1"/>
  <c r="Y29" i="1"/>
  <c r="W34" i="1"/>
  <c r="Z36" i="1"/>
  <c r="W42" i="1"/>
  <c r="Z44" i="1"/>
  <c r="W53" i="1"/>
  <c r="X53" i="1" s="1"/>
  <c r="V55" i="1"/>
  <c r="V5" i="1" s="1"/>
  <c r="Y60" i="1"/>
  <c r="W66" i="1"/>
  <c r="X66" i="1" s="1"/>
  <c r="Y66" i="1" s="1"/>
  <c r="W72" i="1"/>
  <c r="X72" i="1" s="1"/>
  <c r="Y72" i="1" s="1"/>
  <c r="Z88" i="1"/>
  <c r="Y92" i="1"/>
  <c r="Y95" i="1"/>
  <c r="W117" i="1"/>
  <c r="X117" i="1" s="1"/>
  <c r="Y117" i="1" s="1"/>
  <c r="AL56" i="1"/>
  <c r="Y56" i="1"/>
  <c r="AL16" i="1"/>
  <c r="Y16" i="1"/>
  <c r="AL31" i="1"/>
  <c r="Y31" i="1"/>
  <c r="AL10" i="1"/>
  <c r="Y10" i="1"/>
  <c r="AL11" i="1"/>
  <c r="Y12" i="1"/>
  <c r="Y14" i="1"/>
  <c r="Z16" i="1"/>
  <c r="AL20" i="1"/>
  <c r="Y20" i="1"/>
  <c r="AL21" i="1"/>
  <c r="Y21" i="1"/>
  <c r="AL22" i="1"/>
  <c r="Y22" i="1"/>
  <c r="AL23" i="1"/>
  <c r="Y23" i="1"/>
  <c r="AL24" i="1"/>
  <c r="Y24" i="1"/>
  <c r="AL25" i="1"/>
  <c r="Y25" i="1"/>
  <c r="AL26" i="1"/>
  <c r="Y26" i="1"/>
  <c r="AL27" i="1"/>
  <c r="Y27" i="1"/>
  <c r="AL28" i="1"/>
  <c r="Y28" i="1"/>
  <c r="Z31" i="1"/>
  <c r="AL35" i="1"/>
  <c r="Y35" i="1"/>
  <c r="AL43" i="1"/>
  <c r="Y43" i="1"/>
  <c r="Z56" i="1"/>
  <c r="Y62" i="1"/>
  <c r="AL63" i="1"/>
  <c r="Y63" i="1"/>
  <c r="AL64" i="1"/>
  <c r="Y64" i="1"/>
  <c r="AL65" i="1"/>
  <c r="Y65" i="1"/>
  <c r="AL66" i="1"/>
  <c r="Y67" i="1"/>
  <c r="AL68" i="1"/>
  <c r="Y68" i="1"/>
  <c r="AL69" i="1"/>
  <c r="Y69" i="1"/>
  <c r="AL70" i="1"/>
  <c r="Y70" i="1"/>
  <c r="AL71" i="1"/>
  <c r="Y71" i="1"/>
  <c r="AL72" i="1"/>
  <c r="Y73" i="1"/>
  <c r="AL75" i="1"/>
  <c r="Y75" i="1"/>
  <c r="AL76" i="1"/>
  <c r="Y76" i="1"/>
  <c r="AL77" i="1"/>
  <c r="Y78" i="1"/>
  <c r="Y80" i="1"/>
  <c r="Y82" i="1"/>
  <c r="AL94" i="1"/>
  <c r="Y94" i="1"/>
  <c r="Y7" i="1"/>
  <c r="Z8" i="1"/>
  <c r="X9" i="1"/>
  <c r="W5" i="1"/>
  <c r="Z10" i="1"/>
  <c r="Y13" i="1"/>
  <c r="Y15" i="1"/>
  <c r="Z18" i="1"/>
  <c r="Z20" i="1"/>
  <c r="Y30" i="1"/>
  <c r="AL32" i="1"/>
  <c r="Y32" i="1"/>
  <c r="AL33" i="1"/>
  <c r="Y33" i="1"/>
  <c r="AL37" i="1"/>
  <c r="Y37" i="1"/>
  <c r="AL38" i="1"/>
  <c r="Y38" i="1"/>
  <c r="AL39" i="1"/>
  <c r="Y39" i="1"/>
  <c r="AL40" i="1"/>
  <c r="Y40" i="1"/>
  <c r="AL41" i="1"/>
  <c r="Y41" i="1"/>
  <c r="AL45" i="1"/>
  <c r="Y45" i="1"/>
  <c r="AL46" i="1"/>
  <c r="Y46" i="1"/>
  <c r="AL47" i="1"/>
  <c r="Y47" i="1"/>
  <c r="AL48" i="1"/>
  <c r="Y48" i="1"/>
  <c r="AL49" i="1"/>
  <c r="Y49" i="1"/>
  <c r="AL50" i="1"/>
  <c r="Y50" i="1"/>
  <c r="AL51" i="1"/>
  <c r="Y51" i="1"/>
  <c r="AL52" i="1"/>
  <c r="Y52" i="1"/>
  <c r="Y54" i="1"/>
  <c r="Y55" i="1"/>
  <c r="AL57" i="1"/>
  <c r="Y57" i="1"/>
  <c r="AL58" i="1"/>
  <c r="Y58" i="1"/>
  <c r="AL59" i="1"/>
  <c r="Y59" i="1"/>
  <c r="Y61" i="1"/>
  <c r="Z63" i="1"/>
  <c r="Z68" i="1"/>
  <c r="Y79" i="1"/>
  <c r="Y81" i="1"/>
  <c r="Y83" i="1"/>
  <c r="AL84" i="1"/>
  <c r="Y85" i="1"/>
  <c r="AL86" i="1"/>
  <c r="Y86" i="1"/>
  <c r="AL87" i="1"/>
  <c r="AL88" i="1"/>
  <c r="Y88" i="1"/>
  <c r="Z94" i="1"/>
  <c r="Z97" i="1"/>
  <c r="Y97" i="1"/>
  <c r="AL118" i="1"/>
  <c r="Y118" i="1"/>
  <c r="Y99" i="1"/>
  <c r="AL100" i="1"/>
  <c r="Y100" i="1"/>
  <c r="AL101" i="1"/>
  <c r="Y101" i="1"/>
  <c r="AL102" i="1"/>
  <c r="Y102" i="1"/>
  <c r="AL103" i="1"/>
  <c r="Y103" i="1"/>
  <c r="AL104" i="1"/>
  <c r="Y104" i="1"/>
  <c r="AL105" i="1"/>
  <c r="Y105" i="1"/>
  <c r="AL106" i="1"/>
  <c r="Y106" i="1"/>
  <c r="AL107" i="1"/>
  <c r="Y107" i="1"/>
  <c r="AL108" i="1"/>
  <c r="Y108" i="1"/>
  <c r="AL109" i="1"/>
  <c r="Y109" i="1"/>
  <c r="AL110" i="1"/>
  <c r="Y110" i="1"/>
  <c r="AL111" i="1"/>
  <c r="Y111" i="1"/>
  <c r="AL112" i="1"/>
  <c r="Y112" i="1"/>
  <c r="AL113" i="1"/>
  <c r="Y113" i="1"/>
  <c r="AL114" i="1"/>
  <c r="Y114" i="1"/>
  <c r="AL115" i="1"/>
  <c r="Y115" i="1"/>
  <c r="AL116" i="1"/>
  <c r="Y116" i="1"/>
  <c r="AL117" i="1"/>
  <c r="Z118" i="1"/>
  <c r="Y121" i="1"/>
  <c r="Y123" i="1"/>
  <c r="Y125" i="1"/>
  <c r="AL126" i="1"/>
  <c r="Y126" i="1"/>
  <c r="AL127" i="1"/>
  <c r="Y127" i="1"/>
  <c r="AL128" i="1"/>
  <c r="Y128" i="1"/>
  <c r="Z86" i="1"/>
  <c r="AL89" i="1"/>
  <c r="Y89" i="1"/>
  <c r="AL90" i="1"/>
  <c r="Y90" i="1"/>
  <c r="AL91" i="1"/>
  <c r="Y91" i="1"/>
  <c r="Y93" i="1"/>
  <c r="Y96" i="1"/>
  <c r="Y98" i="1"/>
  <c r="Z100" i="1"/>
  <c r="AL119" i="1"/>
  <c r="Y119" i="1"/>
  <c r="Y120" i="1"/>
  <c r="Y122" i="1"/>
  <c r="Y124" i="1"/>
  <c r="Z126" i="1"/>
  <c r="AL53" i="1" l="1"/>
  <c r="Y53" i="1"/>
  <c r="AL9" i="1"/>
  <c r="AL5" i="1" s="1"/>
  <c r="AL1" i="1" s="1"/>
  <c r="X5" i="1"/>
  <c r="Y9" i="1"/>
</calcChain>
</file>

<file path=xl/sharedStrings.xml><?xml version="1.0" encoding="utf-8"?>
<sst xmlns="http://schemas.openxmlformats.org/spreadsheetml/2006/main" count="588" uniqueCount="300">
  <si>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</si>
  <si>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</si>
  <si>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</si>
  <si>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</si>
  <si>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</si>
  <si>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</si>
  <si>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</si>
  <si>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</si>
  <si>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</si>
  <si>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</si>
  <si>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</si>
  <si>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</si>
  <si>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</si>
  <si>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</si>
  <si>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</si>
  <si>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</si>
  <si>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</si>
  <si>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</si>
  <si>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</si>
  <si>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</si>
  <si>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</si>
  <si>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</si>
  <si>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</si>
  <si>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</si>
  <si>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</si>
  <si>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</si>
  <si>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</si>
  <si>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</si>
  <si>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</si>
  <si>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27,09,</t>
  </si>
  <si>
    <t>27,09,доз</t>
  </si>
  <si>
    <t>24,09,</t>
  </si>
  <si>
    <t>29,09,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</si>
  <si>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</si>
  <si>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</si>
  <si>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</si>
  <si>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</si>
  <si>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</si>
  <si>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</si>
  <si>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</si>
  <si>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</si>
  <si>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</si>
  <si>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</si>
  <si>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</si>
  <si>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</si>
  <si>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</si>
  <si>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</si>
  <si>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</si>
  <si>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</si>
  <si>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</si>
  <si>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</si>
  <si>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</si>
  <si>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</si>
  <si>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</si>
  <si>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</si>
  <si>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</si>
  <si>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</si>
  <si>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</si>
  <si>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</si>
  <si>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</si>
  <si>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</si>
  <si>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</si>
  <si>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</si>
  <si>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</si>
  <si>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</si>
  <si>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</si>
  <si>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</si>
  <si>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</si>
  <si>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</si>
  <si>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</si>
  <si>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</si>
  <si>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</si>
  <si>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</si>
  <si>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</si>
  <si>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</si>
  <si>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</si>
  <si>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</si>
  <si>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</si>
  <si>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</si>
  <si>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</si>
  <si>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</si>
  <si>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</si>
  <si>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</si>
  <si>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</si>
  <si>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нужно увеличить продажи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</si>
  <si>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</si>
  <si>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</si>
  <si>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</si>
  <si>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</si>
  <si>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</si>
  <si>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</si>
  <si>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</si>
  <si>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</si>
  <si>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</si>
  <si>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</si>
  <si>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</si>
  <si>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</si>
  <si>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</si>
  <si>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</si>
  <si>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</si>
  <si>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</si>
  <si>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</si>
  <si>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</si>
  <si>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</si>
  <si>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</si>
  <si>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</si>
  <si>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</si>
  <si>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</si>
  <si>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</si>
  <si>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</si>
  <si>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</si>
  <si>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</si>
  <si>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</si>
  <si>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</si>
  <si>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</si>
  <si>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</si>
  <si>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</si>
  <si>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</si>
  <si>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</si>
  <si>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</si>
  <si>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</si>
  <si>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</si>
  <si>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</si>
  <si>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</si>
  <si>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</si>
  <si>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</si>
  <si>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</si>
  <si>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</si>
  <si>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</si>
  <si>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</si>
  <si>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</si>
  <si>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</si>
  <si>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</si>
  <si>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</si>
  <si>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</si>
  <si>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</si>
  <si>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</si>
  <si>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</si>
  <si>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</si>
  <si>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</si>
  <si>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</si>
  <si>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</si>
  <si>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</si>
  <si>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</si>
  <si>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</si>
  <si>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</si>
  <si>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</si>
  <si>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</si>
  <si>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</si>
  <si>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</si>
  <si>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</si>
  <si>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</si>
  <si>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</si>
  <si>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</si>
  <si>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</si>
  <si>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</si>
  <si>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</si>
  <si>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</si>
  <si>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</si>
  <si>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</si>
  <si>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</si>
  <si>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</si>
  <si>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</si>
  <si>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</si>
  <si>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</si>
  <si>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</si>
  <si>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</si>
  <si>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</si>
  <si>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</si>
  <si>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</si>
  <si>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</si>
  <si>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</si>
  <si>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</si>
  <si>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</si>
  <si>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</si>
  <si>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</si>
  <si>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</si>
  <si>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</si>
  <si>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</si>
  <si>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</si>
  <si>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</si>
  <si>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</si>
  <si>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</si>
  <si>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</si>
  <si>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</si>
  <si>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</si>
  <si>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</si>
  <si>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</si>
  <si>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</si>
  <si>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</si>
  <si>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</si>
  <si>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</si>
  <si>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</si>
  <si>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</si>
  <si>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</si>
  <si>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</si>
  <si>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69шт в уценку (16,09,26)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</si>
  <si>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</si>
  <si>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</si>
  <si>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</si>
  <si>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</si>
  <si>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</si>
  <si>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</si>
  <si>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</si>
  <si>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</si>
  <si>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</si>
  <si>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</si>
  <si>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</si>
  <si>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</si>
  <si>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</si>
  <si>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</si>
  <si>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</si>
  <si>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</si>
  <si>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</si>
  <si>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</si>
  <si>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</si>
  <si>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</si>
  <si>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</si>
  <si>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</si>
  <si>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</si>
  <si>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</si>
  <si>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</si>
  <si>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</si>
  <si>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</si>
  <si>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</si>
  <si>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</si>
  <si>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</si>
  <si>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</si>
  <si>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</si>
  <si>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</si>
  <si>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</si>
  <si>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</si>
  <si>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</si>
  <si>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</si>
  <si>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</si>
  <si>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</si>
  <si>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</si>
  <si>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</si>
  <si>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</si>
  <si>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</si>
  <si>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нужно увеличить продажи!!!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</si>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</sst>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1" fillId="8" borderId="2" xfId="1" applyNumberFormat="1" applyFill="1" applyBorder="1"/>
    <xf numFmtId="164" fontId="7" fillId="0" borderId="1" xfId="1" applyNumberFormat="1" applyFont="1"/>
    <xf numFmtId="164" fontId="7" fillId="3" borderId="1" xfId="1" applyNumberFormat="1" applyFont="1" applyFill="1"/>
    <xf numFmtId="164" fontId="7" fillId="5" borderId="1" xfId="1" applyNumberFormat="1" applyFont="1" applyFill="1"/>
    <xf numFmtId="0" fontId="6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1" customWidth="1"/>
    <col min="22" max="24" width="7" customWidth="1"/>
    <col min="25" max="26" width="5" customWidth="1"/>
    <col min="27" max="36" width="6" customWidth="1"/>
    <col min="37" max="37" width="13.85546875" customWidth="1"/>
    <col min="38" max="38" width="7" customWidth="1"/>
  </cols>
  <sheetData>
    <row r="1" spans="1:39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8"/>
      <c r="V1" s="13"/>
      <c r="W1" s="13"/>
      <c r="X1" s="16">
        <v>2.19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>
        <f>AL5-AL2</f>
        <v>-29</v>
      </c>
    </row>
    <row r="2" spans="1:39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8">
        <v>800</v>
      </c>
      <c r="V2" s="13"/>
      <c r="W2" s="13"/>
      <c r="X2" s="13" t="s">
        <v>0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>
        <v>16800</v>
      </c>
    </row>
    <row r="3" spans="1:3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16</v>
      </c>
      <c r="W3" s="2" t="s">
        <v>17</v>
      </c>
      <c r="X3" s="2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22</v>
      </c>
      <c r="AL3" s="1" t="s">
        <v>23</v>
      </c>
    </row>
    <row r="4" spans="1:39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  <c r="T4" s="13" t="s">
        <v>29</v>
      </c>
      <c r="U4" s="18" t="s">
        <v>30</v>
      </c>
      <c r="V4" s="13" t="s">
        <v>31</v>
      </c>
      <c r="W4" s="13"/>
      <c r="X4" s="13" t="s">
        <v>32</v>
      </c>
      <c r="Y4" s="13"/>
      <c r="Z4" s="13"/>
      <c r="AA4" s="13" t="s">
        <v>33</v>
      </c>
      <c r="AB4" s="13" t="s">
        <v>34</v>
      </c>
      <c r="AC4" s="13" t="s">
        <v>35</v>
      </c>
      <c r="AD4" s="13" t="s">
        <v>36</v>
      </c>
      <c r="AE4" s="13" t="s">
        <v>37</v>
      </c>
      <c r="AF4" s="13" t="s">
        <v>38</v>
      </c>
      <c r="AG4" s="13" t="s">
        <v>39</v>
      </c>
      <c r="AH4" s="13" t="s">
        <v>40</v>
      </c>
      <c r="AI4" s="13" t="s">
        <v>41</v>
      </c>
      <c r="AJ4" s="13" t="s">
        <v>42</v>
      </c>
      <c r="AK4" s="13"/>
      <c r="AL4" s="13"/>
    </row>
    <row r="5" spans="1:39" x14ac:dyDescent="0.25">
      <c r="A5" s="13"/>
      <c r="B5" s="13"/>
      <c r="C5" s="13"/>
      <c r="D5" s="13"/>
      <c r="E5" s="3">
        <f>SUM(E6:E499)</f>
        <v>24521.826000000001</v>
      </c>
      <c r="F5" s="3">
        <f>SUM(F6:F499)</f>
        <v>18923.013999999996</v>
      </c>
      <c r="G5" s="6"/>
      <c r="H5" s="13"/>
      <c r="I5" s="13"/>
      <c r="J5" s="13"/>
      <c r="K5" s="3">
        <f t="shared" ref="K5:X5" si="0">SUM(K6:K499)</f>
        <v>25209.819999999996</v>
      </c>
      <c r="L5" s="3">
        <f t="shared" si="0"/>
        <v>-687.9940000000006</v>
      </c>
      <c r="M5" s="3">
        <f t="shared" si="0"/>
        <v>0</v>
      </c>
      <c r="N5" s="3">
        <f t="shared" si="0"/>
        <v>0</v>
      </c>
      <c r="O5" s="3">
        <f t="shared" si="0"/>
        <v>11460.706407999998</v>
      </c>
      <c r="P5" s="3">
        <f t="shared" si="0"/>
        <v>-2673.3</v>
      </c>
      <c r="Q5" s="3">
        <f t="shared" si="0"/>
        <v>1590</v>
      </c>
      <c r="R5" s="3">
        <f t="shared" si="0"/>
        <v>6949.3698719999993</v>
      </c>
      <c r="S5" s="3">
        <f t="shared" si="0"/>
        <v>-642.5</v>
      </c>
      <c r="T5" s="3">
        <f t="shared" si="0"/>
        <v>17736.475222400004</v>
      </c>
      <c r="U5" s="19">
        <f t="shared" si="0"/>
        <v>800</v>
      </c>
      <c r="V5" s="3">
        <f t="shared" si="0"/>
        <v>4904.365200000002</v>
      </c>
      <c r="W5" s="3">
        <f t="shared" si="0"/>
        <v>12339.712897600002</v>
      </c>
      <c r="X5" s="3">
        <f t="shared" si="0"/>
        <v>19835.992707600002</v>
      </c>
      <c r="Y5" s="13"/>
      <c r="Z5" s="13"/>
      <c r="AA5" s="3">
        <f t="shared" ref="AA5:AJ5" si="1">SUM(AA6:AA499)</f>
        <v>3851.2469999999998</v>
      </c>
      <c r="AB5" s="3">
        <f t="shared" si="1"/>
        <v>3544.3655999999996</v>
      </c>
      <c r="AC5" s="3">
        <f t="shared" si="1"/>
        <v>4366.5824000000002</v>
      </c>
      <c r="AD5" s="3">
        <f t="shared" si="1"/>
        <v>4690.1735999999992</v>
      </c>
      <c r="AE5" s="3">
        <f t="shared" si="1"/>
        <v>4509.0586000000021</v>
      </c>
      <c r="AF5" s="3">
        <f t="shared" si="1"/>
        <v>3139.5333999999993</v>
      </c>
      <c r="AG5" s="3">
        <f t="shared" si="1"/>
        <v>2557.7982000000011</v>
      </c>
      <c r="AH5" s="3">
        <f t="shared" si="1"/>
        <v>3688.4504000000002</v>
      </c>
      <c r="AI5" s="3">
        <f t="shared" si="1"/>
        <v>4636.5150000000012</v>
      </c>
      <c r="AJ5" s="3">
        <f t="shared" si="1"/>
        <v>4210.971199999999</v>
      </c>
      <c r="AK5" s="13"/>
      <c r="AL5" s="3">
        <f>SUM(AL6:AL499)</f>
        <v>16771</v>
      </c>
    </row>
    <row r="6" spans="1:39" x14ac:dyDescent="0.25">
      <c r="A6" s="13" t="s">
        <v>43</v>
      </c>
      <c r="B6" s="13" t="s">
        <v>44</v>
      </c>
      <c r="C6" s="13">
        <v>-2.8330000000000002</v>
      </c>
      <c r="D6" s="13">
        <v>373.697</v>
      </c>
      <c r="E6" s="13">
        <v>227.63399999999999</v>
      </c>
      <c r="F6" s="13">
        <v>105.574</v>
      </c>
      <c r="G6" s="6">
        <v>1</v>
      </c>
      <c r="H6" s="13">
        <v>50</v>
      </c>
      <c r="I6" s="13" t="s">
        <v>45</v>
      </c>
      <c r="J6" s="13"/>
      <c r="K6" s="13">
        <v>206.75</v>
      </c>
      <c r="L6" s="13">
        <f t="shared" ref="L6:L37" si="2">E6-K6</f>
        <v>20.883999999999986</v>
      </c>
      <c r="M6" s="13"/>
      <c r="N6" s="13"/>
      <c r="O6" s="13">
        <v>300</v>
      </c>
      <c r="P6" s="13"/>
      <c r="Q6" s="13"/>
      <c r="R6" s="13">
        <v>10.834199999999949</v>
      </c>
      <c r="S6" s="13"/>
      <c r="T6" s="13">
        <v>188.1866400000001</v>
      </c>
      <c r="U6" s="18"/>
      <c r="V6" s="13">
        <f t="shared" ref="V6:V37" si="3">E6/5</f>
        <v>45.526799999999994</v>
      </c>
      <c r="W6" s="4"/>
      <c r="X6" s="4">
        <v>45</v>
      </c>
      <c r="Y6" s="13">
        <f t="shared" ref="Y6:Y37" si="4">(F6+O6+P6+Q6+R6+S6+T6+X6)/V6</f>
        <v>14.268405422740017</v>
      </c>
      <c r="Z6" s="13">
        <f t="shared" ref="Z6:Z37" si="5">(F6+O6+P6+Q6+R6+S6+T6)/V6</f>
        <v>13.279976629150307</v>
      </c>
      <c r="AA6" s="13">
        <v>48.9602</v>
      </c>
      <c r="AB6" s="13">
        <v>51.963999999999999</v>
      </c>
      <c r="AC6" s="13">
        <v>47.075599999999987</v>
      </c>
      <c r="AD6" s="13">
        <v>50.8294</v>
      </c>
      <c r="AE6" s="13">
        <v>44.6526</v>
      </c>
      <c r="AF6" s="13">
        <v>29.516400000000001</v>
      </c>
      <c r="AG6" s="13">
        <v>27.771999999999998</v>
      </c>
      <c r="AH6" s="13">
        <v>46.390599999999999</v>
      </c>
      <c r="AI6" s="13">
        <v>62.169199999999996</v>
      </c>
      <c r="AJ6" s="13">
        <v>46.914400000000001</v>
      </c>
      <c r="AK6" s="13"/>
      <c r="AL6" s="13">
        <f t="shared" ref="AL6:AL37" si="6">ROUND(G6*X6,0)</f>
        <v>45</v>
      </c>
      <c r="AM6" t="s">
        <v>46</v>
      </c>
    </row>
    <row r="7" spans="1:39" x14ac:dyDescent="0.25">
      <c r="A7" s="13" t="s">
        <v>47</v>
      </c>
      <c r="B7" s="13" t="s">
        <v>44</v>
      </c>
      <c r="C7" s="13">
        <v>190.73699999999999</v>
      </c>
      <c r="D7" s="13">
        <v>1074.7170000000001</v>
      </c>
      <c r="E7" s="13">
        <v>679.18</v>
      </c>
      <c r="F7" s="13">
        <v>435.74799999999999</v>
      </c>
      <c r="G7" s="6">
        <v>1</v>
      </c>
      <c r="H7" s="13">
        <v>45</v>
      </c>
      <c r="I7" s="13" t="s">
        <v>45</v>
      </c>
      <c r="J7" s="13"/>
      <c r="K7" s="13">
        <v>639.39</v>
      </c>
      <c r="L7" s="13">
        <f t="shared" si="2"/>
        <v>39.789999999999964</v>
      </c>
      <c r="M7" s="13"/>
      <c r="N7" s="13"/>
      <c r="O7" s="13">
        <v>139.351</v>
      </c>
      <c r="P7" s="13"/>
      <c r="Q7" s="13"/>
      <c r="R7" s="13">
        <v>909.63880000000006</v>
      </c>
      <c r="S7" s="13"/>
      <c r="T7" s="13">
        <v>501.80799999999999</v>
      </c>
      <c r="U7" s="18"/>
      <c r="V7" s="13">
        <f t="shared" si="3"/>
        <v>135.83599999999998</v>
      </c>
      <c r="W7" s="4"/>
      <c r="X7" s="4">
        <f>W7</f>
        <v>0</v>
      </c>
      <c r="Y7" s="13">
        <f t="shared" si="4"/>
        <v>14.624589946700434</v>
      </c>
      <c r="Z7" s="13">
        <f t="shared" si="5"/>
        <v>14.624589946700434</v>
      </c>
      <c r="AA7" s="13">
        <v>156.815</v>
      </c>
      <c r="AB7" s="13">
        <v>166.25960000000001</v>
      </c>
      <c r="AC7" s="13">
        <v>139.351</v>
      </c>
      <c r="AD7" s="13">
        <v>154.07919999999999</v>
      </c>
      <c r="AE7" s="13">
        <v>164.6078</v>
      </c>
      <c r="AF7" s="13">
        <v>132.37119999999999</v>
      </c>
      <c r="AG7" s="13">
        <v>119.9396</v>
      </c>
      <c r="AH7" s="13">
        <v>148.16139999999999</v>
      </c>
      <c r="AI7" s="13">
        <v>172.14420000000001</v>
      </c>
      <c r="AJ7" s="13">
        <v>171.35</v>
      </c>
      <c r="AK7" s="13"/>
      <c r="AL7" s="13">
        <f t="shared" si="6"/>
        <v>0</v>
      </c>
      <c r="AM7" t="s">
        <v>48</v>
      </c>
    </row>
    <row r="8" spans="1:39" x14ac:dyDescent="0.25">
      <c r="A8" s="13" t="s">
        <v>49</v>
      </c>
      <c r="B8" s="13" t="s">
        <v>44</v>
      </c>
      <c r="C8" s="13">
        <v>191.708</v>
      </c>
      <c r="D8" s="13">
        <v>1160.529</v>
      </c>
      <c r="E8" s="13">
        <v>709.54700000000003</v>
      </c>
      <c r="F8" s="13">
        <v>534.202</v>
      </c>
      <c r="G8" s="6">
        <v>1</v>
      </c>
      <c r="H8" s="13">
        <v>45</v>
      </c>
      <c r="I8" s="13" t="s">
        <v>45</v>
      </c>
      <c r="J8" s="13"/>
      <c r="K8" s="13">
        <v>666.11</v>
      </c>
      <c r="L8" s="13">
        <f t="shared" si="2"/>
        <v>43.437000000000012</v>
      </c>
      <c r="M8" s="13"/>
      <c r="N8" s="13"/>
      <c r="O8" s="13">
        <v>137.82640000000001</v>
      </c>
      <c r="P8" s="13"/>
      <c r="Q8" s="13"/>
      <c r="R8" s="13">
        <v>576.01919999999996</v>
      </c>
      <c r="S8" s="13"/>
      <c r="T8" s="13">
        <v>584.00052000000005</v>
      </c>
      <c r="U8" s="18"/>
      <c r="V8" s="13">
        <f t="shared" si="3"/>
        <v>141.90940000000001</v>
      </c>
      <c r="W8" s="4"/>
      <c r="X8" s="4">
        <v>140</v>
      </c>
      <c r="Y8" s="13">
        <f t="shared" si="4"/>
        <v>13.896529193978692</v>
      </c>
      <c r="Z8" s="13">
        <f t="shared" si="5"/>
        <v>12.909984257561513</v>
      </c>
      <c r="AA8" s="13">
        <v>146.2636</v>
      </c>
      <c r="AB8" s="13">
        <v>144.55119999999999</v>
      </c>
      <c r="AC8" s="13">
        <v>137.82640000000001</v>
      </c>
      <c r="AD8" s="13">
        <v>161.33359999999999</v>
      </c>
      <c r="AE8" s="13">
        <v>169.9598</v>
      </c>
      <c r="AF8" s="13">
        <v>134.94839999999999</v>
      </c>
      <c r="AG8" s="13">
        <v>134.37119999999999</v>
      </c>
      <c r="AH8" s="13">
        <v>157.68879999999999</v>
      </c>
      <c r="AI8" s="13">
        <v>164.05779999999999</v>
      </c>
      <c r="AJ8" s="13">
        <v>176.13800000000001</v>
      </c>
      <c r="AK8" s="13"/>
      <c r="AL8" s="13">
        <f t="shared" si="6"/>
        <v>140</v>
      </c>
      <c r="AM8" t="s">
        <v>50</v>
      </c>
    </row>
    <row r="9" spans="1:39" x14ac:dyDescent="0.25">
      <c r="A9" s="13" t="s">
        <v>51</v>
      </c>
      <c r="B9" s="13" t="s">
        <v>52</v>
      </c>
      <c r="C9" s="13">
        <v>26</v>
      </c>
      <c r="D9" s="13">
        <v>40</v>
      </c>
      <c r="E9" s="13">
        <v>55</v>
      </c>
      <c r="F9" s="13">
        <v>11</v>
      </c>
      <c r="G9" s="6">
        <v>0.4</v>
      </c>
      <c r="H9" s="13">
        <v>50</v>
      </c>
      <c r="I9" s="13" t="s">
        <v>45</v>
      </c>
      <c r="J9" s="13"/>
      <c r="K9" s="13">
        <v>55</v>
      </c>
      <c r="L9" s="13">
        <f t="shared" si="2"/>
        <v>0</v>
      </c>
      <c r="M9" s="13"/>
      <c r="N9" s="13"/>
      <c r="O9" s="13">
        <v>0</v>
      </c>
      <c r="P9" s="13"/>
      <c r="Q9" s="13"/>
      <c r="R9" s="13">
        <v>25.599999999999991</v>
      </c>
      <c r="S9" s="13"/>
      <c r="T9" s="13">
        <v>73.400000000000006</v>
      </c>
      <c r="U9" s="18"/>
      <c r="V9" s="13">
        <f t="shared" si="3"/>
        <v>11</v>
      </c>
      <c r="W9" s="4">
        <f>12*V9-T9-S9-R9-Q9-P9-O9-F9</f>
        <v>22</v>
      </c>
      <c r="X9" s="4">
        <f>W9+V9*$X$1</f>
        <v>46.09</v>
      </c>
      <c r="Y9" s="13">
        <f t="shared" si="4"/>
        <v>14.19</v>
      </c>
      <c r="Z9" s="13">
        <f t="shared" si="5"/>
        <v>10</v>
      </c>
      <c r="AA9" s="13">
        <v>12.4</v>
      </c>
      <c r="AB9" s="13">
        <v>6.8</v>
      </c>
      <c r="AC9" s="13">
        <v>2.4</v>
      </c>
      <c r="AD9" s="13">
        <v>1.6</v>
      </c>
      <c r="AE9" s="13">
        <v>8</v>
      </c>
      <c r="AF9" s="13">
        <v>6.8</v>
      </c>
      <c r="AG9" s="13">
        <v>0.4</v>
      </c>
      <c r="AH9" s="13">
        <v>0.4</v>
      </c>
      <c r="AI9" s="13">
        <v>2.6</v>
      </c>
      <c r="AJ9" s="13">
        <v>6.2</v>
      </c>
      <c r="AK9" s="13" t="s">
        <v>53</v>
      </c>
      <c r="AL9" s="13">
        <f t="shared" si="6"/>
        <v>18</v>
      </c>
      <c r="AM9" t="s">
        <v>54</v>
      </c>
    </row>
    <row r="10" spans="1:39" x14ac:dyDescent="0.25">
      <c r="A10" s="13" t="s">
        <v>55</v>
      </c>
      <c r="B10" s="13" t="s">
        <v>52</v>
      </c>
      <c r="C10" s="13">
        <v>1</v>
      </c>
      <c r="D10" s="13">
        <v>864</v>
      </c>
      <c r="E10" s="13">
        <v>417</v>
      </c>
      <c r="F10" s="13">
        <v>396</v>
      </c>
      <c r="G10" s="6">
        <v>0.45</v>
      </c>
      <c r="H10" s="13">
        <v>45</v>
      </c>
      <c r="I10" s="13" t="s">
        <v>45</v>
      </c>
      <c r="J10" s="13"/>
      <c r="K10" s="13">
        <v>433</v>
      </c>
      <c r="L10" s="13">
        <f t="shared" si="2"/>
        <v>-16</v>
      </c>
      <c r="M10" s="13"/>
      <c r="N10" s="13"/>
      <c r="O10" s="13">
        <v>150</v>
      </c>
      <c r="P10" s="13"/>
      <c r="Q10" s="13"/>
      <c r="R10" s="13">
        <v>0</v>
      </c>
      <c r="S10" s="13"/>
      <c r="T10" s="13">
        <v>0</v>
      </c>
      <c r="U10" s="18"/>
      <c r="V10" s="13">
        <f t="shared" si="3"/>
        <v>83.4</v>
      </c>
      <c r="W10" s="4">
        <f>12*V10-T10-S10-R10-Q10-P10-O10-F10</f>
        <v>454.80000000000007</v>
      </c>
      <c r="X10" s="4">
        <f>W10+V10*$X$1</f>
        <v>637.44600000000014</v>
      </c>
      <c r="Y10" s="13">
        <f t="shared" si="4"/>
        <v>14.190000000000001</v>
      </c>
      <c r="Z10" s="13">
        <f t="shared" si="5"/>
        <v>6.5467625899280568</v>
      </c>
      <c r="AA10" s="13">
        <v>47.4</v>
      </c>
      <c r="AB10" s="13">
        <v>37.4</v>
      </c>
      <c r="AC10" s="13">
        <v>73.8</v>
      </c>
      <c r="AD10" s="13">
        <v>77.599999999999994</v>
      </c>
      <c r="AE10" s="13">
        <v>67.2</v>
      </c>
      <c r="AF10" s="13">
        <v>41.6</v>
      </c>
      <c r="AG10" s="13">
        <v>45.2</v>
      </c>
      <c r="AH10" s="13">
        <v>39.6</v>
      </c>
      <c r="AI10" s="13">
        <v>42.2</v>
      </c>
      <c r="AJ10" s="13">
        <v>64.599999999999994</v>
      </c>
      <c r="AK10" s="13"/>
      <c r="AL10" s="13">
        <f t="shared" si="6"/>
        <v>287</v>
      </c>
      <c r="AM10" t="s">
        <v>56</v>
      </c>
    </row>
    <row r="11" spans="1:39" x14ac:dyDescent="0.25">
      <c r="A11" s="13" t="s">
        <v>57</v>
      </c>
      <c r="B11" s="13" t="s">
        <v>52</v>
      </c>
      <c r="C11" s="13"/>
      <c r="D11" s="13">
        <v>1069</v>
      </c>
      <c r="E11" s="13">
        <v>457</v>
      </c>
      <c r="F11" s="13">
        <v>561</v>
      </c>
      <c r="G11" s="6">
        <v>0.45</v>
      </c>
      <c r="H11" s="13">
        <v>45</v>
      </c>
      <c r="I11" s="13" t="s">
        <v>45</v>
      </c>
      <c r="J11" s="13"/>
      <c r="K11" s="13">
        <v>473</v>
      </c>
      <c r="L11" s="13">
        <f t="shared" si="2"/>
        <v>-16</v>
      </c>
      <c r="M11" s="13"/>
      <c r="N11" s="13"/>
      <c r="O11" s="13">
        <v>100</v>
      </c>
      <c r="P11" s="13"/>
      <c r="Q11" s="13"/>
      <c r="R11" s="13">
        <v>0</v>
      </c>
      <c r="S11" s="13"/>
      <c r="T11" s="13">
        <v>0</v>
      </c>
      <c r="U11" s="18"/>
      <c r="V11" s="13">
        <f t="shared" si="3"/>
        <v>91.4</v>
      </c>
      <c r="W11" s="4">
        <f>12*V11-T11-S11-R11-Q11-P11-O11-F11</f>
        <v>435.80000000000018</v>
      </c>
      <c r="X11" s="4">
        <f>W11+V11*$X$1</f>
        <v>635.96600000000012</v>
      </c>
      <c r="Y11" s="13">
        <f t="shared" si="4"/>
        <v>14.190000000000001</v>
      </c>
      <c r="Z11" s="13">
        <f t="shared" si="5"/>
        <v>7.2319474835886206</v>
      </c>
      <c r="AA11" s="13">
        <v>49.8</v>
      </c>
      <c r="AB11" s="13">
        <v>6.8</v>
      </c>
      <c r="AC11" s="13">
        <v>54.6</v>
      </c>
      <c r="AD11" s="13">
        <v>99.6</v>
      </c>
      <c r="AE11" s="13">
        <v>87.8</v>
      </c>
      <c r="AF11" s="13">
        <v>37.6</v>
      </c>
      <c r="AG11" s="13">
        <v>38.200000000000003</v>
      </c>
      <c r="AH11" s="13">
        <v>44.6</v>
      </c>
      <c r="AI11" s="13">
        <v>39.4</v>
      </c>
      <c r="AJ11" s="13">
        <v>82.8</v>
      </c>
      <c r="AK11" s="13"/>
      <c r="AL11" s="13">
        <f t="shared" si="6"/>
        <v>286</v>
      </c>
      <c r="AM11" t="s">
        <v>58</v>
      </c>
    </row>
    <row r="12" spans="1:39" x14ac:dyDescent="0.25">
      <c r="A12" s="9" t="s">
        <v>59</v>
      </c>
      <c r="B12" s="9" t="s">
        <v>52</v>
      </c>
      <c r="C12" s="9"/>
      <c r="D12" s="9"/>
      <c r="E12" s="9"/>
      <c r="F12" s="9"/>
      <c r="G12" s="10">
        <v>0</v>
      </c>
      <c r="H12" s="9"/>
      <c r="I12" s="9" t="s">
        <v>45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>
        <v>0</v>
      </c>
      <c r="S12" s="9"/>
      <c r="T12" s="9">
        <v>0</v>
      </c>
      <c r="U12" s="20"/>
      <c r="V12" s="9">
        <f t="shared" si="3"/>
        <v>0</v>
      </c>
      <c r="W12" s="11"/>
      <c r="X12" s="4">
        <f>W12</f>
        <v>0</v>
      </c>
      <c r="Y12" s="13" t="e">
        <f t="shared" si="4"/>
        <v>#DIV/0!</v>
      </c>
      <c r="Z12" s="9" t="e">
        <f t="shared" si="5"/>
        <v>#DIV/0!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 t="s">
        <v>60</v>
      </c>
      <c r="AL12" s="13">
        <f t="shared" si="6"/>
        <v>0</v>
      </c>
      <c r="AM12" t="s">
        <v>61</v>
      </c>
    </row>
    <row r="13" spans="1:39" x14ac:dyDescent="0.25">
      <c r="A13" s="13" t="s">
        <v>62</v>
      </c>
      <c r="B13" s="13" t="s">
        <v>52</v>
      </c>
      <c r="C13" s="13">
        <v>5</v>
      </c>
      <c r="D13" s="13">
        <v>42</v>
      </c>
      <c r="E13" s="13">
        <v>47</v>
      </c>
      <c r="F13" s="13"/>
      <c r="G13" s="6">
        <v>0.3</v>
      </c>
      <c r="H13" s="13">
        <v>40</v>
      </c>
      <c r="I13" s="8" t="s">
        <v>63</v>
      </c>
      <c r="J13" s="13"/>
      <c r="K13" s="13">
        <v>56</v>
      </c>
      <c r="L13" s="13">
        <f t="shared" si="2"/>
        <v>-9</v>
      </c>
      <c r="M13" s="13"/>
      <c r="N13" s="13"/>
      <c r="O13" s="13">
        <v>60</v>
      </c>
      <c r="P13" s="13"/>
      <c r="Q13" s="13"/>
      <c r="R13" s="13">
        <v>105.4</v>
      </c>
      <c r="S13" s="13"/>
      <c r="T13" s="13">
        <v>46.919999999999987</v>
      </c>
      <c r="U13" s="18"/>
      <c r="V13" s="13">
        <f t="shared" si="3"/>
        <v>9.4</v>
      </c>
      <c r="W13" s="4"/>
      <c r="X13" s="4">
        <f>W13*1.3</f>
        <v>0</v>
      </c>
      <c r="Y13" s="13">
        <f t="shared" si="4"/>
        <v>22.587234042553192</v>
      </c>
      <c r="Z13" s="13">
        <f t="shared" si="5"/>
        <v>22.587234042553192</v>
      </c>
      <c r="AA13" s="13">
        <v>18</v>
      </c>
      <c r="AB13" s="13">
        <v>15.8</v>
      </c>
      <c r="AC13" s="13">
        <v>12.4</v>
      </c>
      <c r="AD13" s="13">
        <v>10.8</v>
      </c>
      <c r="AE13" s="13">
        <v>13.4</v>
      </c>
      <c r="AF13" s="13">
        <v>10.6</v>
      </c>
      <c r="AG13" s="13">
        <v>3</v>
      </c>
      <c r="AH13" s="13">
        <v>16.8</v>
      </c>
      <c r="AI13" s="13">
        <v>27</v>
      </c>
      <c r="AJ13" s="13">
        <v>25</v>
      </c>
      <c r="AK13" s="13"/>
      <c r="AL13" s="13">
        <f t="shared" si="6"/>
        <v>0</v>
      </c>
      <c r="AM13" t="s">
        <v>64</v>
      </c>
    </row>
    <row r="14" spans="1:39" x14ac:dyDescent="0.25">
      <c r="A14" s="13" t="s">
        <v>65</v>
      </c>
      <c r="B14" s="13" t="s">
        <v>52</v>
      </c>
      <c r="C14" s="13">
        <v>166</v>
      </c>
      <c r="D14" s="13">
        <v>90</v>
      </c>
      <c r="E14" s="13">
        <v>119</v>
      </c>
      <c r="F14" s="13">
        <v>124</v>
      </c>
      <c r="G14" s="6">
        <v>0.17</v>
      </c>
      <c r="H14" s="13">
        <v>180</v>
      </c>
      <c r="I14" s="13" t="s">
        <v>45</v>
      </c>
      <c r="J14" s="13"/>
      <c r="K14" s="13">
        <v>134</v>
      </c>
      <c r="L14" s="13">
        <f t="shared" si="2"/>
        <v>-15</v>
      </c>
      <c r="M14" s="13"/>
      <c r="N14" s="13"/>
      <c r="O14" s="13">
        <v>200</v>
      </c>
      <c r="P14" s="13"/>
      <c r="Q14" s="13"/>
      <c r="R14" s="13">
        <v>0</v>
      </c>
      <c r="S14" s="13"/>
      <c r="T14" s="13">
        <v>0</v>
      </c>
      <c r="U14" s="18"/>
      <c r="V14" s="13">
        <f t="shared" si="3"/>
        <v>23.8</v>
      </c>
      <c r="W14" s="4"/>
      <c r="X14" s="4">
        <f>W14</f>
        <v>0</v>
      </c>
      <c r="Y14" s="13">
        <f t="shared" si="4"/>
        <v>13.61344537815126</v>
      </c>
      <c r="Z14" s="13">
        <f t="shared" si="5"/>
        <v>13.61344537815126</v>
      </c>
      <c r="AA14" s="13">
        <v>21.8</v>
      </c>
      <c r="AB14" s="13">
        <v>26.6</v>
      </c>
      <c r="AC14" s="13">
        <v>37.6</v>
      </c>
      <c r="AD14" s="13">
        <v>32</v>
      </c>
      <c r="AE14" s="13">
        <v>22</v>
      </c>
      <c r="AF14" s="13">
        <v>10</v>
      </c>
      <c r="AG14" s="13">
        <v>1.4</v>
      </c>
      <c r="AH14" s="13">
        <v>13.6</v>
      </c>
      <c r="AI14" s="13">
        <v>31.2</v>
      </c>
      <c r="AJ14" s="13">
        <v>32.200000000000003</v>
      </c>
      <c r="AK14" s="13"/>
      <c r="AL14" s="13">
        <f t="shared" si="6"/>
        <v>0</v>
      </c>
      <c r="AM14" t="s">
        <v>66</v>
      </c>
    </row>
    <row r="15" spans="1:39" x14ac:dyDescent="0.25">
      <c r="A15" s="13" t="s">
        <v>67</v>
      </c>
      <c r="B15" s="13" t="s">
        <v>44</v>
      </c>
      <c r="C15" s="13">
        <v>219.15100000000001</v>
      </c>
      <c r="D15" s="13">
        <v>841.00900000000001</v>
      </c>
      <c r="E15" s="13">
        <v>463.85599999999999</v>
      </c>
      <c r="F15" s="13">
        <v>523.44600000000003</v>
      </c>
      <c r="G15" s="6">
        <v>1</v>
      </c>
      <c r="H15" s="13">
        <v>70</v>
      </c>
      <c r="I15" s="8" t="s">
        <v>63</v>
      </c>
      <c r="J15" s="13"/>
      <c r="K15" s="13">
        <v>436.23</v>
      </c>
      <c r="L15" s="13">
        <f t="shared" si="2"/>
        <v>27.625999999999976</v>
      </c>
      <c r="M15" s="13"/>
      <c r="N15" s="13"/>
      <c r="O15" s="13">
        <v>0</v>
      </c>
      <c r="P15" s="13"/>
      <c r="Q15" s="13"/>
      <c r="R15" s="13">
        <v>0</v>
      </c>
      <c r="S15" s="13"/>
      <c r="T15" s="13">
        <v>640.54912000000013</v>
      </c>
      <c r="U15" s="18"/>
      <c r="V15" s="13">
        <f t="shared" si="3"/>
        <v>92.771199999999993</v>
      </c>
      <c r="W15" s="4"/>
      <c r="X15" s="4">
        <f>W15*1.3</f>
        <v>0</v>
      </c>
      <c r="Y15" s="13">
        <f t="shared" si="4"/>
        <v>12.546944741471492</v>
      </c>
      <c r="Z15" s="13">
        <f t="shared" si="5"/>
        <v>12.546944741471492</v>
      </c>
      <c r="AA15" s="13">
        <v>95.892600000000002</v>
      </c>
      <c r="AB15" s="13">
        <v>55.573</v>
      </c>
      <c r="AC15" s="13">
        <v>47.542000000000002</v>
      </c>
      <c r="AD15" s="13">
        <v>93.528999999999996</v>
      </c>
      <c r="AE15" s="13">
        <v>100.50239999999999</v>
      </c>
      <c r="AF15" s="13">
        <v>69.866600000000005</v>
      </c>
      <c r="AG15" s="13">
        <v>59.2682</v>
      </c>
      <c r="AH15" s="13">
        <v>64.551999999999992</v>
      </c>
      <c r="AI15" s="13">
        <v>60.460999999999999</v>
      </c>
      <c r="AJ15" s="13">
        <v>67.999800000000008</v>
      </c>
      <c r="AK15" s="13"/>
      <c r="AL15" s="13">
        <f t="shared" si="6"/>
        <v>0</v>
      </c>
      <c r="AM15" t="s">
        <v>68</v>
      </c>
    </row>
    <row r="16" spans="1:39" x14ac:dyDescent="0.25">
      <c r="A16" s="13" t="s">
        <v>69</v>
      </c>
      <c r="B16" s="13" t="s">
        <v>44</v>
      </c>
      <c r="C16" s="13">
        <v>-6.077</v>
      </c>
      <c r="D16" s="13">
        <v>4513.5240000000003</v>
      </c>
      <c r="E16" s="13">
        <v>2394.6039999999998</v>
      </c>
      <c r="F16" s="13">
        <v>1864.02</v>
      </c>
      <c r="G16" s="6">
        <v>1</v>
      </c>
      <c r="H16" s="13">
        <v>50</v>
      </c>
      <c r="I16" s="13" t="s">
        <v>45</v>
      </c>
      <c r="J16" s="13"/>
      <c r="K16" s="13">
        <v>2350.9</v>
      </c>
      <c r="L16" s="13">
        <f t="shared" si="2"/>
        <v>43.703999999999724</v>
      </c>
      <c r="M16" s="13"/>
      <c r="N16" s="13"/>
      <c r="O16" s="13">
        <v>464.42999999999898</v>
      </c>
      <c r="P16" s="13"/>
      <c r="Q16" s="13"/>
      <c r="R16" s="13">
        <v>0</v>
      </c>
      <c r="S16" s="13"/>
      <c r="T16" s="13">
        <v>1100</v>
      </c>
      <c r="U16" s="18">
        <v>800</v>
      </c>
      <c r="V16" s="13">
        <f t="shared" si="3"/>
        <v>478.92079999999999</v>
      </c>
      <c r="W16" s="4">
        <f>12*V16-T16-S16-R16-Q16-P16-O16-F16</f>
        <v>2318.5996000000009</v>
      </c>
      <c r="X16" s="4">
        <f>W16+V16*$X$1</f>
        <v>3367.4361520000011</v>
      </c>
      <c r="Y16" s="13">
        <f t="shared" si="4"/>
        <v>14.190000000000001</v>
      </c>
      <c r="Z16" s="13">
        <f t="shared" si="5"/>
        <v>7.1586993089462787</v>
      </c>
      <c r="AA16" s="13">
        <v>258.6986</v>
      </c>
      <c r="AB16" s="13">
        <v>257.84679999999997</v>
      </c>
      <c r="AC16" s="13">
        <v>458.24740000000003</v>
      </c>
      <c r="AD16" s="13">
        <v>481.82459999999998</v>
      </c>
      <c r="AE16" s="13">
        <v>420.36439999999999</v>
      </c>
      <c r="AF16" s="13">
        <v>317.29700000000003</v>
      </c>
      <c r="AG16" s="13">
        <v>275.59399999999999</v>
      </c>
      <c r="AH16" s="13">
        <v>362.4502</v>
      </c>
      <c r="AI16" s="13">
        <v>400.47460000000001</v>
      </c>
      <c r="AJ16" s="13">
        <v>338.92259999999999</v>
      </c>
      <c r="AK16" s="13"/>
      <c r="AL16" s="13">
        <f t="shared" si="6"/>
        <v>3367</v>
      </c>
      <c r="AM16" t="s">
        <v>70</v>
      </c>
    </row>
    <row r="17" spans="1:39" x14ac:dyDescent="0.25">
      <c r="A17" s="13" t="s">
        <v>71</v>
      </c>
      <c r="B17" s="13" t="s">
        <v>44</v>
      </c>
      <c r="C17" s="13">
        <v>8.0830000000000002</v>
      </c>
      <c r="D17" s="13">
        <v>148.41200000000001</v>
      </c>
      <c r="E17" s="13">
        <v>72.552999999999997</v>
      </c>
      <c r="F17" s="13">
        <v>82.174999999999997</v>
      </c>
      <c r="G17" s="6">
        <v>1</v>
      </c>
      <c r="H17" s="13">
        <v>60</v>
      </c>
      <c r="I17" s="13" t="s">
        <v>45</v>
      </c>
      <c r="J17" s="13"/>
      <c r="K17" s="13">
        <v>71.5</v>
      </c>
      <c r="L17" s="13">
        <f t="shared" si="2"/>
        <v>1.0529999999999973</v>
      </c>
      <c r="M17" s="13"/>
      <c r="N17" s="13"/>
      <c r="O17" s="13">
        <v>103.36239999999999</v>
      </c>
      <c r="P17" s="13"/>
      <c r="Q17" s="13"/>
      <c r="R17" s="13">
        <v>0</v>
      </c>
      <c r="S17" s="13"/>
      <c r="T17" s="13">
        <v>0</v>
      </c>
      <c r="U17" s="18"/>
      <c r="V17" s="13">
        <f t="shared" si="3"/>
        <v>14.5106</v>
      </c>
      <c r="W17" s="4"/>
      <c r="X17" s="4">
        <v>15</v>
      </c>
      <c r="Y17" s="13">
        <f t="shared" si="4"/>
        <v>13.820062574945212</v>
      </c>
      <c r="Z17" s="13">
        <f t="shared" si="5"/>
        <v>12.786335506457348</v>
      </c>
      <c r="AA17" s="13">
        <v>12.775399999999999</v>
      </c>
      <c r="AB17" s="13">
        <v>14.9314</v>
      </c>
      <c r="AC17" s="13">
        <v>22.7486</v>
      </c>
      <c r="AD17" s="13">
        <v>17.5928</v>
      </c>
      <c r="AE17" s="13">
        <v>11.008599999999999</v>
      </c>
      <c r="AF17" s="13">
        <v>13.476000000000001</v>
      </c>
      <c r="AG17" s="13">
        <v>14.8294</v>
      </c>
      <c r="AH17" s="13">
        <v>16.038599999999999</v>
      </c>
      <c r="AI17" s="13">
        <v>10.763999999999999</v>
      </c>
      <c r="AJ17" s="13">
        <v>8.6592000000000002</v>
      </c>
      <c r="AK17" s="13"/>
      <c r="AL17" s="13">
        <f t="shared" si="6"/>
        <v>15</v>
      </c>
      <c r="AM17" t="s">
        <v>72</v>
      </c>
    </row>
    <row r="18" spans="1:39" x14ac:dyDescent="0.25">
      <c r="A18" s="13" t="s">
        <v>73</v>
      </c>
      <c r="B18" s="13" t="s">
        <v>44</v>
      </c>
      <c r="C18" s="13">
        <v>29.446999999999999</v>
      </c>
      <c r="D18" s="13">
        <v>47.198</v>
      </c>
      <c r="E18" s="13">
        <v>33.798999999999999</v>
      </c>
      <c r="F18" s="13">
        <v>39.353000000000002</v>
      </c>
      <c r="G18" s="6">
        <v>1</v>
      </c>
      <c r="H18" s="13">
        <v>60</v>
      </c>
      <c r="I18" s="8" t="s">
        <v>63</v>
      </c>
      <c r="J18" s="13"/>
      <c r="K18" s="13">
        <v>31.7</v>
      </c>
      <c r="L18" s="13">
        <f t="shared" si="2"/>
        <v>2.0990000000000002</v>
      </c>
      <c r="M18" s="13"/>
      <c r="N18" s="13"/>
      <c r="O18" s="13">
        <v>0</v>
      </c>
      <c r="P18" s="13"/>
      <c r="Q18" s="13"/>
      <c r="R18" s="13">
        <v>0</v>
      </c>
      <c r="S18" s="13"/>
      <c r="T18" s="13">
        <v>42.199779999999997</v>
      </c>
      <c r="U18" s="18"/>
      <c r="V18" s="13">
        <f t="shared" si="3"/>
        <v>6.7598000000000003</v>
      </c>
      <c r="W18" s="4"/>
      <c r="X18" s="4">
        <v>10</v>
      </c>
      <c r="Y18" s="13">
        <f t="shared" si="4"/>
        <v>13.543711352406875</v>
      </c>
      <c r="Z18" s="13">
        <f t="shared" si="5"/>
        <v>12.064377644309003</v>
      </c>
      <c r="AA18" s="13">
        <v>6.5474000000000014</v>
      </c>
      <c r="AB18" s="13">
        <v>4.7682000000000002</v>
      </c>
      <c r="AC18" s="13">
        <v>-0.16520000000000001</v>
      </c>
      <c r="AD18" s="13">
        <v>1.9505999999999999</v>
      </c>
      <c r="AE18" s="13">
        <v>8.992799999999999</v>
      </c>
      <c r="AF18" s="13">
        <v>11.2796</v>
      </c>
      <c r="AG18" s="13">
        <v>9.8811999999999998</v>
      </c>
      <c r="AH18" s="13">
        <v>10.02</v>
      </c>
      <c r="AI18" s="13">
        <v>6.4992000000000001</v>
      </c>
      <c r="AJ18" s="13">
        <v>4.6139999999999999</v>
      </c>
      <c r="AK18" s="13"/>
      <c r="AL18" s="13">
        <f t="shared" si="6"/>
        <v>10</v>
      </c>
      <c r="AM18" t="s">
        <v>74</v>
      </c>
    </row>
    <row r="19" spans="1:39" x14ac:dyDescent="0.25">
      <c r="A19" s="13" t="s">
        <v>75</v>
      </c>
      <c r="B19" s="13" t="s">
        <v>44</v>
      </c>
      <c r="C19" s="13">
        <v>58.478999999999999</v>
      </c>
      <c r="D19" s="13"/>
      <c r="E19" s="13">
        <v>19.72</v>
      </c>
      <c r="F19" s="13">
        <v>37.307000000000002</v>
      </c>
      <c r="G19" s="6">
        <v>1</v>
      </c>
      <c r="H19" s="13">
        <v>180</v>
      </c>
      <c r="I19" s="13" t="s">
        <v>45</v>
      </c>
      <c r="J19" s="13"/>
      <c r="K19" s="13">
        <v>18.55</v>
      </c>
      <c r="L19" s="13">
        <f t="shared" si="2"/>
        <v>1.1699999999999982</v>
      </c>
      <c r="M19" s="13"/>
      <c r="N19" s="13"/>
      <c r="O19" s="13">
        <v>0</v>
      </c>
      <c r="P19" s="13"/>
      <c r="Q19" s="13"/>
      <c r="R19" s="13">
        <v>0</v>
      </c>
      <c r="S19" s="13"/>
      <c r="T19" s="13">
        <v>0</v>
      </c>
      <c r="U19" s="18"/>
      <c r="V19" s="13">
        <f t="shared" si="3"/>
        <v>3.944</v>
      </c>
      <c r="W19" s="4">
        <f>12*V19-T19-S19-R19-Q19-P19-O19-F19</f>
        <v>10.021000000000001</v>
      </c>
      <c r="X19" s="4">
        <f>W19+V19*$X$1</f>
        <v>18.658360000000002</v>
      </c>
      <c r="Y19" s="13">
        <f t="shared" si="4"/>
        <v>14.190000000000001</v>
      </c>
      <c r="Z19" s="13">
        <f t="shared" si="5"/>
        <v>9.4591784989858017</v>
      </c>
      <c r="AA19" s="13">
        <v>3.7222</v>
      </c>
      <c r="AB19" s="13">
        <v>3.6394000000000002</v>
      </c>
      <c r="AC19" s="13">
        <v>2.7559999999999998</v>
      </c>
      <c r="AD19" s="13">
        <v>4.7732000000000001</v>
      </c>
      <c r="AE19" s="13">
        <v>4.9626000000000001</v>
      </c>
      <c r="AF19" s="13">
        <v>3.0619999999999998</v>
      </c>
      <c r="AG19" s="13">
        <v>3.778799999999999</v>
      </c>
      <c r="AH19" s="13">
        <v>6.1134000000000004</v>
      </c>
      <c r="AI19" s="13">
        <v>6.3506</v>
      </c>
      <c r="AJ19" s="13">
        <v>4.6951999999999998</v>
      </c>
      <c r="AK19" s="13"/>
      <c r="AL19" s="13">
        <f t="shared" si="6"/>
        <v>19</v>
      </c>
      <c r="AM19" t="s">
        <v>76</v>
      </c>
    </row>
    <row r="20" spans="1:39" x14ac:dyDescent="0.25">
      <c r="A20" s="13" t="s">
        <v>77</v>
      </c>
      <c r="B20" s="13" t="s">
        <v>44</v>
      </c>
      <c r="C20" s="13">
        <v>-0.89600000000000002</v>
      </c>
      <c r="D20" s="13">
        <v>699.39499999999998</v>
      </c>
      <c r="E20" s="13">
        <v>504.4</v>
      </c>
      <c r="F20" s="13">
        <v>131.184</v>
      </c>
      <c r="G20" s="6">
        <v>1</v>
      </c>
      <c r="H20" s="13">
        <v>60</v>
      </c>
      <c r="I20" s="13" t="s">
        <v>45</v>
      </c>
      <c r="J20" s="13"/>
      <c r="K20" s="13">
        <v>465.03</v>
      </c>
      <c r="L20" s="13">
        <f t="shared" si="2"/>
        <v>39.370000000000005</v>
      </c>
      <c r="M20" s="13"/>
      <c r="N20" s="13"/>
      <c r="O20" s="13">
        <v>235.87537760000001</v>
      </c>
      <c r="P20" s="13"/>
      <c r="Q20" s="13"/>
      <c r="R20" s="13">
        <v>259.55840000000018</v>
      </c>
      <c r="S20" s="13"/>
      <c r="T20" s="13">
        <v>576.63438240000005</v>
      </c>
      <c r="U20" s="18"/>
      <c r="V20" s="13">
        <f t="shared" si="3"/>
        <v>100.88</v>
      </c>
      <c r="W20" s="4">
        <f>12*V20-T20-S20-R20-Q20-P20-O20-F20</f>
        <v>7.3078399999997146</v>
      </c>
      <c r="X20" s="4">
        <f>W20+V20*$X$1</f>
        <v>228.23503999999969</v>
      </c>
      <c r="Y20" s="13">
        <f t="shared" si="4"/>
        <v>14.190000000000001</v>
      </c>
      <c r="Z20" s="13">
        <f t="shared" si="5"/>
        <v>11.927559080095165</v>
      </c>
      <c r="AA20" s="13">
        <v>96.459800000000001</v>
      </c>
      <c r="AB20" s="13">
        <v>91.898200000000003</v>
      </c>
      <c r="AC20" s="13">
        <v>89.878</v>
      </c>
      <c r="AD20" s="13">
        <v>93.350200000000001</v>
      </c>
      <c r="AE20" s="13">
        <v>93.1404</v>
      </c>
      <c r="AF20" s="13">
        <v>67.726399999999998</v>
      </c>
      <c r="AG20" s="13">
        <v>70.512</v>
      </c>
      <c r="AH20" s="13">
        <v>77.909599999999998</v>
      </c>
      <c r="AI20" s="13">
        <v>72.000399999999999</v>
      </c>
      <c r="AJ20" s="13">
        <v>75.010799999999989</v>
      </c>
      <c r="AK20" s="13"/>
      <c r="AL20" s="13">
        <f t="shared" si="6"/>
        <v>228</v>
      </c>
      <c r="AM20" t="s">
        <v>78</v>
      </c>
    </row>
    <row r="21" spans="1:39" x14ac:dyDescent="0.25">
      <c r="A21" s="13" t="s">
        <v>79</v>
      </c>
      <c r="B21" s="13" t="s">
        <v>44</v>
      </c>
      <c r="C21" s="13">
        <v>71.457999999999998</v>
      </c>
      <c r="D21" s="13">
        <v>0.88300000000000001</v>
      </c>
      <c r="E21" s="13">
        <v>71.578000000000003</v>
      </c>
      <c r="F21" s="13">
        <v>-0.12</v>
      </c>
      <c r="G21" s="6">
        <v>1</v>
      </c>
      <c r="H21" s="13">
        <v>70</v>
      </c>
      <c r="I21" s="13" t="s">
        <v>45</v>
      </c>
      <c r="J21" s="13"/>
      <c r="K21" s="13">
        <v>84.28</v>
      </c>
      <c r="L21" s="13">
        <f t="shared" si="2"/>
        <v>-12.701999999999998</v>
      </c>
      <c r="M21" s="13"/>
      <c r="N21" s="13"/>
      <c r="O21" s="13">
        <v>206.94239999999999</v>
      </c>
      <c r="P21" s="13"/>
      <c r="Q21" s="13"/>
      <c r="R21" s="13">
        <v>160.501</v>
      </c>
      <c r="S21" s="13"/>
      <c r="T21" s="13">
        <v>0</v>
      </c>
      <c r="U21" s="18"/>
      <c r="V21" s="13">
        <f t="shared" si="3"/>
        <v>14.3156</v>
      </c>
      <c r="W21" s="4"/>
      <c r="X21" s="4">
        <f>W21</f>
        <v>0</v>
      </c>
      <c r="Y21" s="13">
        <f t="shared" si="4"/>
        <v>25.658959456816341</v>
      </c>
      <c r="Z21" s="13">
        <f t="shared" si="5"/>
        <v>25.658959456816341</v>
      </c>
      <c r="AA21" s="13">
        <v>26.117000000000001</v>
      </c>
      <c r="AB21" s="13">
        <v>34.8842</v>
      </c>
      <c r="AC21" s="13">
        <v>28.196200000000001</v>
      </c>
      <c r="AD21" s="13">
        <v>18.7288</v>
      </c>
      <c r="AE21" s="13">
        <v>23.340800000000002</v>
      </c>
      <c r="AF21" s="13">
        <v>25.481200000000001</v>
      </c>
      <c r="AG21" s="13">
        <v>24.018799999999999</v>
      </c>
      <c r="AH21" s="13">
        <v>17.2928</v>
      </c>
      <c r="AI21" s="13">
        <v>16.8612</v>
      </c>
      <c r="AJ21" s="13">
        <v>15.4404</v>
      </c>
      <c r="AK21" s="13"/>
      <c r="AL21" s="13">
        <f t="shared" si="6"/>
        <v>0</v>
      </c>
      <c r="AM21" t="s">
        <v>80</v>
      </c>
    </row>
    <row r="22" spans="1:39" x14ac:dyDescent="0.25">
      <c r="A22" s="13" t="s">
        <v>81</v>
      </c>
      <c r="B22" s="13" t="s">
        <v>44</v>
      </c>
      <c r="C22" s="13">
        <v>-4.9000000000000002E-2</v>
      </c>
      <c r="D22" s="13">
        <v>358.64699999999999</v>
      </c>
      <c r="E22" s="13">
        <v>170.971</v>
      </c>
      <c r="F22" s="13">
        <v>147.62899999999999</v>
      </c>
      <c r="G22" s="6">
        <v>1</v>
      </c>
      <c r="H22" s="13">
        <v>70</v>
      </c>
      <c r="I22" s="8" t="s">
        <v>63</v>
      </c>
      <c r="J22" s="13"/>
      <c r="K22" s="13">
        <v>168.82</v>
      </c>
      <c r="L22" s="13">
        <f t="shared" si="2"/>
        <v>2.1510000000000105</v>
      </c>
      <c r="M22" s="13"/>
      <c r="N22" s="13"/>
      <c r="O22" s="13">
        <v>350</v>
      </c>
      <c r="P22" s="13"/>
      <c r="Q22" s="13"/>
      <c r="R22" s="13">
        <v>0</v>
      </c>
      <c r="S22" s="13"/>
      <c r="T22" s="13">
        <v>0</v>
      </c>
      <c r="U22" s="18"/>
      <c r="V22" s="13">
        <f t="shared" si="3"/>
        <v>34.194200000000002</v>
      </c>
      <c r="W22" s="4"/>
      <c r="X22" s="4">
        <f>W22*1.3</f>
        <v>0</v>
      </c>
      <c r="Y22" s="13">
        <f t="shared" si="4"/>
        <v>14.553023612191542</v>
      </c>
      <c r="Z22" s="13">
        <f t="shared" si="5"/>
        <v>14.553023612191542</v>
      </c>
      <c r="AA22" s="13">
        <v>23.361799999999999</v>
      </c>
      <c r="AB22" s="13">
        <v>40.968800000000002</v>
      </c>
      <c r="AC22" s="13">
        <v>54.458799999999997</v>
      </c>
      <c r="AD22" s="13">
        <v>38.1952</v>
      </c>
      <c r="AE22" s="13">
        <v>16.365600000000001</v>
      </c>
      <c r="AF22" s="13">
        <v>6.5044000000000004</v>
      </c>
      <c r="AG22" s="13">
        <v>18.438800000000001</v>
      </c>
      <c r="AH22" s="13">
        <v>35.318600000000004</v>
      </c>
      <c r="AI22" s="13">
        <v>41.7134</v>
      </c>
      <c r="AJ22" s="13">
        <v>43.699199999999998</v>
      </c>
      <c r="AK22" s="13"/>
      <c r="AL22" s="13">
        <f t="shared" si="6"/>
        <v>0</v>
      </c>
      <c r="AM22" t="s">
        <v>82</v>
      </c>
    </row>
    <row r="23" spans="1:39" x14ac:dyDescent="0.25">
      <c r="A23" s="13" t="s">
        <v>83</v>
      </c>
      <c r="B23" s="13" t="s">
        <v>44</v>
      </c>
      <c r="C23" s="13">
        <v>119.666</v>
      </c>
      <c r="D23" s="13"/>
      <c r="E23" s="13">
        <v>22.646999999999998</v>
      </c>
      <c r="F23" s="13">
        <v>95.623000000000005</v>
      </c>
      <c r="G23" s="6">
        <v>1</v>
      </c>
      <c r="H23" s="13">
        <v>180</v>
      </c>
      <c r="I23" s="13" t="s">
        <v>45</v>
      </c>
      <c r="J23" s="13"/>
      <c r="K23" s="13">
        <v>23.75</v>
      </c>
      <c r="L23" s="13">
        <f t="shared" si="2"/>
        <v>-1.1030000000000015</v>
      </c>
      <c r="M23" s="13"/>
      <c r="N23" s="13"/>
      <c r="O23" s="13">
        <v>0</v>
      </c>
      <c r="P23" s="13"/>
      <c r="Q23" s="13"/>
      <c r="R23" s="13">
        <v>0</v>
      </c>
      <c r="S23" s="13"/>
      <c r="T23" s="13">
        <v>0</v>
      </c>
      <c r="U23" s="18"/>
      <c r="V23" s="13">
        <f t="shared" si="3"/>
        <v>4.5293999999999999</v>
      </c>
      <c r="W23" s="4"/>
      <c r="X23" s="4">
        <f>W23</f>
        <v>0</v>
      </c>
      <c r="Y23" s="13">
        <f t="shared" si="4"/>
        <v>21.111626263964325</v>
      </c>
      <c r="Z23" s="13">
        <f t="shared" si="5"/>
        <v>21.111626263964325</v>
      </c>
      <c r="AA23" s="13">
        <v>3.9744000000000002</v>
      </c>
      <c r="AB23" s="13">
        <v>3.9765999999999999</v>
      </c>
      <c r="AC23" s="13">
        <v>3.8353999999999999</v>
      </c>
      <c r="AD23" s="13">
        <v>5.0188000000000006</v>
      </c>
      <c r="AE23" s="13">
        <v>4.7473999999999998</v>
      </c>
      <c r="AF23" s="13">
        <v>1.9568000000000001</v>
      </c>
      <c r="AG23" s="13">
        <v>2.3163999999999998</v>
      </c>
      <c r="AH23" s="13">
        <v>7.5906000000000002</v>
      </c>
      <c r="AI23" s="13">
        <v>9.031600000000001</v>
      </c>
      <c r="AJ23" s="13">
        <v>4.0991999999999997</v>
      </c>
      <c r="AK23" s="14" t="s">
        <v>84</v>
      </c>
      <c r="AL23" s="13">
        <f t="shared" si="6"/>
        <v>0</v>
      </c>
      <c r="AM23" t="s">
        <v>85</v>
      </c>
    </row>
    <row r="24" spans="1:39" x14ac:dyDescent="0.25">
      <c r="A24" s="13" t="s">
        <v>86</v>
      </c>
      <c r="B24" s="13" t="s">
        <v>44</v>
      </c>
      <c r="C24" s="13">
        <v>50.838999999999999</v>
      </c>
      <c r="D24" s="13">
        <v>84.47</v>
      </c>
      <c r="E24" s="13">
        <v>133.87</v>
      </c>
      <c r="F24" s="13">
        <v>-5.0000000000000001E-3</v>
      </c>
      <c r="G24" s="6">
        <v>1</v>
      </c>
      <c r="H24" s="13">
        <v>70</v>
      </c>
      <c r="I24" s="8" t="s">
        <v>63</v>
      </c>
      <c r="J24" s="13"/>
      <c r="K24" s="13">
        <v>180.52</v>
      </c>
      <c r="L24" s="13">
        <f t="shared" si="2"/>
        <v>-46.650000000000006</v>
      </c>
      <c r="M24" s="13"/>
      <c r="N24" s="13"/>
      <c r="O24" s="13">
        <v>150</v>
      </c>
      <c r="P24" s="13"/>
      <c r="Q24" s="13"/>
      <c r="R24" s="13">
        <v>139.98099999999991</v>
      </c>
      <c r="S24" s="13"/>
      <c r="T24" s="13">
        <v>299.0323800000001</v>
      </c>
      <c r="U24" s="18"/>
      <c r="V24" s="13">
        <f t="shared" si="3"/>
        <v>26.774000000000001</v>
      </c>
      <c r="W24" s="4"/>
      <c r="X24" s="4">
        <f>W24*1.3</f>
        <v>0</v>
      </c>
      <c r="Y24" s="13">
        <f t="shared" si="4"/>
        <v>21.999267199521924</v>
      </c>
      <c r="Z24" s="13">
        <f t="shared" si="5"/>
        <v>21.999267199521924</v>
      </c>
      <c r="AA24" s="13">
        <v>43.232399999999998</v>
      </c>
      <c r="AB24" s="13">
        <v>29.524999999999999</v>
      </c>
      <c r="AC24" s="13">
        <v>20.725000000000001</v>
      </c>
      <c r="AD24" s="13">
        <v>18.969799999999999</v>
      </c>
      <c r="AE24" s="13">
        <v>14.39</v>
      </c>
      <c r="AF24" s="13">
        <v>8.7706</v>
      </c>
      <c r="AG24" s="13">
        <v>14.5794</v>
      </c>
      <c r="AH24" s="13">
        <v>31.823799999999999</v>
      </c>
      <c r="AI24" s="13">
        <v>37.118400000000001</v>
      </c>
      <c r="AJ24" s="13">
        <v>39.154400000000003</v>
      </c>
      <c r="AK24" s="13"/>
      <c r="AL24" s="13">
        <f t="shared" si="6"/>
        <v>0</v>
      </c>
      <c r="AM24" t="s">
        <v>87</v>
      </c>
    </row>
    <row r="25" spans="1:39" x14ac:dyDescent="0.25">
      <c r="A25" s="9" t="s">
        <v>88</v>
      </c>
      <c r="B25" s="9" t="s">
        <v>44</v>
      </c>
      <c r="C25" s="9"/>
      <c r="D25" s="9"/>
      <c r="E25" s="9"/>
      <c r="F25" s="9"/>
      <c r="G25" s="10">
        <v>0</v>
      </c>
      <c r="H25" s="9"/>
      <c r="I25" s="9" t="s">
        <v>45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>
        <v>0</v>
      </c>
      <c r="U25" s="20"/>
      <c r="V25" s="9">
        <f t="shared" si="3"/>
        <v>0</v>
      </c>
      <c r="W25" s="11"/>
      <c r="X25" s="4">
        <f>W25</f>
        <v>0</v>
      </c>
      <c r="Y25" s="13" t="e">
        <f t="shared" si="4"/>
        <v>#DIV/0!</v>
      </c>
      <c r="Z25" s="9" t="e">
        <f t="shared" si="5"/>
        <v>#DIV/0!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 t="s">
        <v>60</v>
      </c>
      <c r="AL25" s="13">
        <f t="shared" si="6"/>
        <v>0</v>
      </c>
      <c r="AM25" t="s">
        <v>89</v>
      </c>
    </row>
    <row r="26" spans="1:39" x14ac:dyDescent="0.25">
      <c r="A26" s="13" t="s">
        <v>90</v>
      </c>
      <c r="B26" s="13" t="s">
        <v>44</v>
      </c>
      <c r="C26" s="13">
        <v>131.94200000000001</v>
      </c>
      <c r="D26" s="13">
        <v>5.9770000000000003</v>
      </c>
      <c r="E26" s="13">
        <v>118.035</v>
      </c>
      <c r="F26" s="13">
        <v>7.2859999999999996</v>
      </c>
      <c r="G26" s="6">
        <v>1</v>
      </c>
      <c r="H26" s="13">
        <v>30</v>
      </c>
      <c r="I26" s="13" t="s">
        <v>45</v>
      </c>
      <c r="J26" s="13"/>
      <c r="K26" s="13">
        <v>147.6</v>
      </c>
      <c r="L26" s="13">
        <f t="shared" si="2"/>
        <v>-29.564999999999998</v>
      </c>
      <c r="M26" s="13"/>
      <c r="N26" s="13"/>
      <c r="O26" s="13">
        <v>0</v>
      </c>
      <c r="P26" s="13"/>
      <c r="Q26" s="13"/>
      <c r="R26" s="13">
        <v>220.6268</v>
      </c>
      <c r="S26" s="13"/>
      <c r="T26" s="13">
        <v>364.64152000000001</v>
      </c>
      <c r="U26" s="18"/>
      <c r="V26" s="13">
        <f t="shared" si="3"/>
        <v>23.606999999999999</v>
      </c>
      <c r="W26" s="4"/>
      <c r="X26" s="4">
        <f>W26</f>
        <v>0</v>
      </c>
      <c r="Y26" s="13">
        <f t="shared" si="4"/>
        <v>25.100788749099841</v>
      </c>
      <c r="Z26" s="13">
        <f t="shared" si="5"/>
        <v>25.100788749099841</v>
      </c>
      <c r="AA26" s="13">
        <v>42.3446</v>
      </c>
      <c r="AB26" s="13">
        <v>36.757199999999997</v>
      </c>
      <c r="AC26" s="13">
        <v>5.3428000000000004</v>
      </c>
      <c r="AD26" s="13">
        <v>1.6415999999999999</v>
      </c>
      <c r="AE26" s="13">
        <v>20.915800000000001</v>
      </c>
      <c r="AF26" s="13">
        <v>41.127400000000002</v>
      </c>
      <c r="AG26" s="13">
        <v>48.219200000000001</v>
      </c>
      <c r="AH26" s="13">
        <v>53.691999999999993</v>
      </c>
      <c r="AI26" s="13">
        <v>57.585799999999992</v>
      </c>
      <c r="AJ26" s="13">
        <v>41.682000000000002</v>
      </c>
      <c r="AK26" s="13"/>
      <c r="AL26" s="13">
        <f t="shared" si="6"/>
        <v>0</v>
      </c>
      <c r="AM26" t="s">
        <v>91</v>
      </c>
    </row>
    <row r="27" spans="1:39" x14ac:dyDescent="0.25">
      <c r="A27" s="13" t="s">
        <v>92</v>
      </c>
      <c r="B27" s="13" t="s">
        <v>44</v>
      </c>
      <c r="C27" s="13">
        <v>-1.4E-2</v>
      </c>
      <c r="D27" s="13">
        <v>36.707000000000001</v>
      </c>
      <c r="E27" s="13">
        <v>36.741999999999997</v>
      </c>
      <c r="F27" s="13">
        <v>-1.575</v>
      </c>
      <c r="G27" s="6">
        <v>1</v>
      </c>
      <c r="H27" s="13">
        <v>40</v>
      </c>
      <c r="I27" s="8" t="s">
        <v>63</v>
      </c>
      <c r="J27" s="13"/>
      <c r="K27" s="13">
        <v>38.9</v>
      </c>
      <c r="L27" s="13">
        <f t="shared" si="2"/>
        <v>-2.1580000000000013</v>
      </c>
      <c r="M27" s="13"/>
      <c r="N27" s="13"/>
      <c r="O27" s="13">
        <v>30</v>
      </c>
      <c r="P27" s="13">
        <v>-36</v>
      </c>
      <c r="Q27" s="13"/>
      <c r="R27" s="13">
        <v>50</v>
      </c>
      <c r="S27" s="13">
        <v>-54</v>
      </c>
      <c r="T27" s="13">
        <v>85</v>
      </c>
      <c r="U27" s="18"/>
      <c r="V27" s="13">
        <f t="shared" si="3"/>
        <v>7.3483999999999998</v>
      </c>
      <c r="W27" s="4">
        <v>30</v>
      </c>
      <c r="X27" s="4">
        <f>W27*1.3</f>
        <v>39</v>
      </c>
      <c r="Y27" s="13">
        <f t="shared" si="4"/>
        <v>15.299248816068804</v>
      </c>
      <c r="Z27" s="13">
        <f t="shared" si="5"/>
        <v>9.9919710413151162</v>
      </c>
      <c r="AA27" s="13">
        <v>12.615399999999999</v>
      </c>
      <c r="AB27" s="13">
        <v>10.5562</v>
      </c>
      <c r="AC27" s="13">
        <v>5.1772</v>
      </c>
      <c r="AD27" s="13">
        <v>-0.112</v>
      </c>
      <c r="AE27" s="13">
        <v>0</v>
      </c>
      <c r="AF27" s="13">
        <v>0</v>
      </c>
      <c r="AG27" s="13">
        <v>0</v>
      </c>
      <c r="AH27" s="13">
        <v>-0.40960000000000002</v>
      </c>
      <c r="AI27" s="13">
        <v>-0.79859999999999998</v>
      </c>
      <c r="AJ27" s="13">
        <v>0.30380000000000001</v>
      </c>
      <c r="AK27" s="13"/>
      <c r="AL27" s="13">
        <f t="shared" si="6"/>
        <v>39</v>
      </c>
      <c r="AM27" t="s">
        <v>93</v>
      </c>
    </row>
    <row r="28" spans="1:39" x14ac:dyDescent="0.25">
      <c r="A28" s="13" t="s">
        <v>94</v>
      </c>
      <c r="B28" s="13" t="s">
        <v>44</v>
      </c>
      <c r="C28" s="13">
        <v>-0.34100000000000003</v>
      </c>
      <c r="D28" s="13">
        <v>203.75299999999999</v>
      </c>
      <c r="E28" s="13">
        <v>192.417</v>
      </c>
      <c r="F28" s="13">
        <v>-3.0910000000000002</v>
      </c>
      <c r="G28" s="6">
        <v>1</v>
      </c>
      <c r="H28" s="13">
        <v>30</v>
      </c>
      <c r="I28" s="8" t="s">
        <v>63</v>
      </c>
      <c r="J28" s="13"/>
      <c r="K28" s="13">
        <v>208.3</v>
      </c>
      <c r="L28" s="13">
        <f t="shared" si="2"/>
        <v>-15.88300000000001</v>
      </c>
      <c r="M28" s="13"/>
      <c r="N28" s="13"/>
      <c r="O28" s="13">
        <v>150</v>
      </c>
      <c r="P28" s="13"/>
      <c r="Q28" s="13"/>
      <c r="R28" s="13">
        <v>175.11199999999999</v>
      </c>
      <c r="S28" s="13"/>
      <c r="T28" s="13">
        <v>425</v>
      </c>
      <c r="U28" s="18"/>
      <c r="V28" s="13">
        <f t="shared" si="3"/>
        <v>38.483400000000003</v>
      </c>
      <c r="W28" s="4"/>
      <c r="X28" s="4">
        <f>W28*1.3</f>
        <v>0</v>
      </c>
      <c r="Y28" s="13">
        <f t="shared" si="4"/>
        <v>19.411512496297103</v>
      </c>
      <c r="Z28" s="13">
        <f t="shared" si="5"/>
        <v>19.411512496297103</v>
      </c>
      <c r="AA28" s="13">
        <v>61.430199999999999</v>
      </c>
      <c r="AB28" s="13">
        <v>40.460999999999999</v>
      </c>
      <c r="AC28" s="13">
        <v>34.136399999999988</v>
      </c>
      <c r="AD28" s="13">
        <v>28.6402</v>
      </c>
      <c r="AE28" s="13">
        <v>49.427</v>
      </c>
      <c r="AF28" s="13">
        <v>45.0518</v>
      </c>
      <c r="AG28" s="13">
        <v>-8.8800000000000004E-2</v>
      </c>
      <c r="AH28" s="13">
        <v>11.554</v>
      </c>
      <c r="AI28" s="13">
        <v>72.658000000000001</v>
      </c>
      <c r="AJ28" s="13">
        <v>66.253200000000007</v>
      </c>
      <c r="AK28" s="13"/>
      <c r="AL28" s="13">
        <f t="shared" si="6"/>
        <v>0</v>
      </c>
      <c r="AM28" t="s">
        <v>95</v>
      </c>
    </row>
    <row r="29" spans="1:39" x14ac:dyDescent="0.25">
      <c r="A29" s="13" t="s">
        <v>96</v>
      </c>
      <c r="B29" s="13" t="s">
        <v>44</v>
      </c>
      <c r="C29" s="13"/>
      <c r="D29" s="13">
        <v>2120.732</v>
      </c>
      <c r="E29" s="13">
        <v>964.46199999999999</v>
      </c>
      <c r="F29" s="13">
        <v>1076.7349999999999</v>
      </c>
      <c r="G29" s="6">
        <v>1</v>
      </c>
      <c r="H29" s="13">
        <v>40</v>
      </c>
      <c r="I29" s="8" t="s">
        <v>63</v>
      </c>
      <c r="J29" s="13"/>
      <c r="K29" s="13">
        <v>850.65</v>
      </c>
      <c r="L29" s="13">
        <f t="shared" si="2"/>
        <v>113.81200000000001</v>
      </c>
      <c r="M29" s="13"/>
      <c r="N29" s="13"/>
      <c r="O29" s="13">
        <v>0</v>
      </c>
      <c r="P29" s="13"/>
      <c r="Q29" s="13"/>
      <c r="R29" s="13">
        <v>400</v>
      </c>
      <c r="S29" s="13"/>
      <c r="T29" s="13">
        <v>0</v>
      </c>
      <c r="U29" s="18"/>
      <c r="V29" s="13">
        <f t="shared" si="3"/>
        <v>192.89240000000001</v>
      </c>
      <c r="W29" s="4">
        <v>750</v>
      </c>
      <c r="X29" s="4">
        <v>1150</v>
      </c>
      <c r="Y29" s="13">
        <f t="shared" si="4"/>
        <v>13.617617905111864</v>
      </c>
      <c r="Z29" s="13">
        <f t="shared" si="5"/>
        <v>7.6557448608654353</v>
      </c>
      <c r="AA29" s="13">
        <v>98.930399999999992</v>
      </c>
      <c r="AB29" s="13">
        <v>1.2E-2</v>
      </c>
      <c r="AC29" s="13">
        <v>79.461600000000004</v>
      </c>
      <c r="AD29" s="13">
        <v>183.1814</v>
      </c>
      <c r="AE29" s="13">
        <v>189.0034</v>
      </c>
      <c r="AF29" s="13">
        <v>89.290199999999999</v>
      </c>
      <c r="AG29" s="13">
        <v>4.0186000000000002</v>
      </c>
      <c r="AH29" s="13">
        <v>4.0195999999999996</v>
      </c>
      <c r="AI29" s="13">
        <v>85.760400000000004</v>
      </c>
      <c r="AJ29" s="13">
        <v>91.31280000000001</v>
      </c>
      <c r="AK29" s="13"/>
      <c r="AL29" s="13">
        <f t="shared" si="6"/>
        <v>1150</v>
      </c>
      <c r="AM29" t="s">
        <v>97</v>
      </c>
    </row>
    <row r="30" spans="1:39" x14ac:dyDescent="0.25">
      <c r="A30" s="13" t="s">
        <v>98</v>
      </c>
      <c r="B30" s="13" t="s">
        <v>44</v>
      </c>
      <c r="C30" s="13">
        <v>2.8000000000000001E-2</v>
      </c>
      <c r="D30" s="13">
        <v>17.686</v>
      </c>
      <c r="E30" s="13">
        <v>17.57</v>
      </c>
      <c r="F30" s="13">
        <v>0.14399999999999999</v>
      </c>
      <c r="G30" s="6">
        <v>1</v>
      </c>
      <c r="H30" s="13">
        <v>40</v>
      </c>
      <c r="I30" s="8" t="s">
        <v>63</v>
      </c>
      <c r="J30" s="13"/>
      <c r="K30" s="13">
        <v>34.6</v>
      </c>
      <c r="L30" s="13">
        <f t="shared" si="2"/>
        <v>-17.03</v>
      </c>
      <c r="M30" s="13"/>
      <c r="N30" s="13"/>
      <c r="O30" s="13">
        <v>54.366199999999992</v>
      </c>
      <c r="P30" s="13">
        <v>-54</v>
      </c>
      <c r="Q30" s="13"/>
      <c r="R30" s="13">
        <v>0</v>
      </c>
      <c r="S30" s="13"/>
      <c r="T30" s="13">
        <v>34</v>
      </c>
      <c r="U30" s="18"/>
      <c r="V30" s="13">
        <f t="shared" si="3"/>
        <v>3.5140000000000002</v>
      </c>
      <c r="W30" s="4">
        <v>20</v>
      </c>
      <c r="X30" s="4">
        <f>W30*1.3</f>
        <v>26</v>
      </c>
      <c r="Y30" s="13">
        <f t="shared" si="4"/>
        <v>17.219749573136024</v>
      </c>
      <c r="Z30" s="13">
        <f t="shared" si="5"/>
        <v>9.8207740466704578</v>
      </c>
      <c r="AA30" s="13">
        <v>0.9071999999999999</v>
      </c>
      <c r="AB30" s="13">
        <v>5.9954000000000001</v>
      </c>
      <c r="AC30" s="13">
        <v>6.6069999999999993</v>
      </c>
      <c r="AD30" s="13">
        <v>2.9994000000000001</v>
      </c>
      <c r="AE30" s="13">
        <v>1.4805999999999999</v>
      </c>
      <c r="AF30" s="13">
        <v>0</v>
      </c>
      <c r="AG30" s="13">
        <v>0</v>
      </c>
      <c r="AH30" s="13">
        <v>3.4148000000000009</v>
      </c>
      <c r="AI30" s="13">
        <v>5.5952000000000002</v>
      </c>
      <c r="AJ30" s="13">
        <v>2.1804000000000001</v>
      </c>
      <c r="AK30" s="13"/>
      <c r="AL30" s="13">
        <f t="shared" si="6"/>
        <v>26</v>
      </c>
      <c r="AM30" t="s">
        <v>99</v>
      </c>
    </row>
    <row r="31" spans="1:39" x14ac:dyDescent="0.25">
      <c r="A31" s="13" t="s">
        <v>100</v>
      </c>
      <c r="B31" s="13" t="s">
        <v>44</v>
      </c>
      <c r="C31" s="13">
        <v>29.341000000000001</v>
      </c>
      <c r="D31" s="13">
        <v>68.995999999999995</v>
      </c>
      <c r="E31" s="13">
        <v>64.823999999999998</v>
      </c>
      <c r="F31" s="13">
        <v>27.803000000000001</v>
      </c>
      <c r="G31" s="6">
        <v>1</v>
      </c>
      <c r="H31" s="13">
        <v>30</v>
      </c>
      <c r="I31" s="13" t="s">
        <v>45</v>
      </c>
      <c r="J31" s="13"/>
      <c r="K31" s="13">
        <v>70.8</v>
      </c>
      <c r="L31" s="13">
        <f t="shared" si="2"/>
        <v>-5.9759999999999991</v>
      </c>
      <c r="M31" s="13"/>
      <c r="N31" s="13"/>
      <c r="O31" s="13">
        <v>0</v>
      </c>
      <c r="P31" s="13"/>
      <c r="Q31" s="13"/>
      <c r="R31" s="13">
        <v>0</v>
      </c>
      <c r="S31" s="13"/>
      <c r="T31" s="13">
        <v>0</v>
      </c>
      <c r="U31" s="18"/>
      <c r="V31" s="13">
        <f t="shared" si="3"/>
        <v>12.9648</v>
      </c>
      <c r="W31" s="4">
        <f>9*V31-T31-S31-R31-Q31-P31-O31-F31</f>
        <v>88.880200000000002</v>
      </c>
      <c r="X31" s="17">
        <f>W31+V31</f>
        <v>101.845</v>
      </c>
      <c r="Y31" s="13">
        <f t="shared" si="4"/>
        <v>10</v>
      </c>
      <c r="Z31" s="13">
        <f t="shared" si="5"/>
        <v>2.1444989510058003</v>
      </c>
      <c r="AA31" s="13">
        <v>-4.0000000000000002E-4</v>
      </c>
      <c r="AB31" s="13">
        <v>1.3251999999999999</v>
      </c>
      <c r="AC31" s="13">
        <v>13.872400000000001</v>
      </c>
      <c r="AD31" s="13">
        <v>20.366800000000001</v>
      </c>
      <c r="AE31" s="13">
        <v>14.660399999999999</v>
      </c>
      <c r="AF31" s="13">
        <v>3.9342000000000001</v>
      </c>
      <c r="AG31" s="13">
        <v>1.4094</v>
      </c>
      <c r="AH31" s="13">
        <v>13.768800000000001</v>
      </c>
      <c r="AI31" s="13">
        <v>18.741599999999998</v>
      </c>
      <c r="AJ31" s="13">
        <v>8.1288</v>
      </c>
      <c r="AK31" s="13"/>
      <c r="AL31" s="13">
        <f t="shared" si="6"/>
        <v>102</v>
      </c>
      <c r="AM31" t="s">
        <v>101</v>
      </c>
    </row>
    <row r="32" spans="1:39" x14ac:dyDescent="0.25">
      <c r="A32" s="13" t="s">
        <v>102</v>
      </c>
      <c r="B32" s="13" t="s">
        <v>44</v>
      </c>
      <c r="C32" s="13">
        <v>0.88100000000000001</v>
      </c>
      <c r="D32" s="13">
        <v>87.367999999999995</v>
      </c>
      <c r="E32" s="13">
        <v>53.703000000000003</v>
      </c>
      <c r="F32" s="13">
        <v>11.815</v>
      </c>
      <c r="G32" s="6">
        <v>1</v>
      </c>
      <c r="H32" s="13">
        <v>50</v>
      </c>
      <c r="I32" s="8" t="s">
        <v>63</v>
      </c>
      <c r="J32" s="13"/>
      <c r="K32" s="13">
        <v>58.6</v>
      </c>
      <c r="L32" s="13">
        <f t="shared" si="2"/>
        <v>-4.8969999999999985</v>
      </c>
      <c r="M32" s="13"/>
      <c r="N32" s="13"/>
      <c r="O32" s="13">
        <v>150</v>
      </c>
      <c r="P32" s="13"/>
      <c r="Q32" s="13"/>
      <c r="R32" s="13">
        <v>0</v>
      </c>
      <c r="S32" s="13"/>
      <c r="T32" s="13">
        <v>0</v>
      </c>
      <c r="U32" s="18"/>
      <c r="V32" s="13">
        <f t="shared" si="3"/>
        <v>10.740600000000001</v>
      </c>
      <c r="W32" s="4"/>
      <c r="X32" s="4">
        <f>W32*1.3</f>
        <v>0</v>
      </c>
      <c r="Y32" s="13">
        <f t="shared" si="4"/>
        <v>15.065731895797255</v>
      </c>
      <c r="Z32" s="13">
        <f t="shared" si="5"/>
        <v>15.065731895797255</v>
      </c>
      <c r="AA32" s="13">
        <v>3.1267999999999998</v>
      </c>
      <c r="AB32" s="13">
        <v>19.297999999999998</v>
      </c>
      <c r="AC32" s="13">
        <v>26.091999999999999</v>
      </c>
      <c r="AD32" s="13">
        <v>14.4978</v>
      </c>
      <c r="AE32" s="13">
        <v>7.5068000000000001</v>
      </c>
      <c r="AF32" s="13">
        <v>11.5124</v>
      </c>
      <c r="AG32" s="13">
        <v>10.9542</v>
      </c>
      <c r="AH32" s="13">
        <v>11.3468</v>
      </c>
      <c r="AI32" s="13">
        <v>12.454000000000001</v>
      </c>
      <c r="AJ32" s="13">
        <v>10.270799999999999</v>
      </c>
      <c r="AK32" s="13"/>
      <c r="AL32" s="13">
        <f t="shared" si="6"/>
        <v>0</v>
      </c>
      <c r="AM32" t="s">
        <v>103</v>
      </c>
    </row>
    <row r="33" spans="1:39" x14ac:dyDescent="0.25">
      <c r="A33" s="13" t="s">
        <v>104</v>
      </c>
      <c r="B33" s="13" t="s">
        <v>44</v>
      </c>
      <c r="C33" s="13">
        <v>10.925000000000001</v>
      </c>
      <c r="D33" s="13">
        <v>16.326000000000001</v>
      </c>
      <c r="E33" s="13">
        <v>26.335000000000001</v>
      </c>
      <c r="F33" s="13">
        <v>2.1000000000000001E-2</v>
      </c>
      <c r="G33" s="6">
        <v>1</v>
      </c>
      <c r="H33" s="13">
        <v>50</v>
      </c>
      <c r="I33" s="8" t="s">
        <v>63</v>
      </c>
      <c r="J33" s="13"/>
      <c r="K33" s="13">
        <v>28.2</v>
      </c>
      <c r="L33" s="13">
        <f t="shared" si="2"/>
        <v>-1.8649999999999984</v>
      </c>
      <c r="M33" s="13"/>
      <c r="N33" s="13"/>
      <c r="O33" s="13">
        <v>40</v>
      </c>
      <c r="P33" s="13"/>
      <c r="Q33" s="13"/>
      <c r="R33" s="13">
        <v>58.521999999999977</v>
      </c>
      <c r="S33" s="13"/>
      <c r="T33" s="13">
        <v>0</v>
      </c>
      <c r="U33" s="18"/>
      <c r="V33" s="13">
        <f t="shared" si="3"/>
        <v>5.2670000000000003</v>
      </c>
      <c r="W33" s="4"/>
      <c r="X33" s="4">
        <f>W33*1.3</f>
        <v>0</v>
      </c>
      <c r="Y33" s="13">
        <f t="shared" si="4"/>
        <v>18.709512056198971</v>
      </c>
      <c r="Z33" s="13">
        <f t="shared" si="5"/>
        <v>18.709512056198971</v>
      </c>
      <c r="AA33" s="13">
        <v>7.9817999999999998</v>
      </c>
      <c r="AB33" s="13">
        <v>10.100199999999999</v>
      </c>
      <c r="AC33" s="13">
        <v>10.1</v>
      </c>
      <c r="AD33" s="13">
        <v>8.9084000000000003</v>
      </c>
      <c r="AE33" s="13">
        <v>7.8503999999999996</v>
      </c>
      <c r="AF33" s="13">
        <v>4.3845999999999998</v>
      </c>
      <c r="AG33" s="13">
        <v>6.3595999999999986</v>
      </c>
      <c r="AH33" s="13">
        <v>12.702</v>
      </c>
      <c r="AI33" s="13">
        <v>10.155799999999999</v>
      </c>
      <c r="AJ33" s="13">
        <v>6.3393999999999986</v>
      </c>
      <c r="AK33" s="13"/>
      <c r="AL33" s="13">
        <f t="shared" si="6"/>
        <v>0</v>
      </c>
      <c r="AM33" t="s">
        <v>105</v>
      </c>
    </row>
    <row r="34" spans="1:39" x14ac:dyDescent="0.25">
      <c r="A34" s="13" t="s">
        <v>106</v>
      </c>
      <c r="B34" s="13" t="s">
        <v>52</v>
      </c>
      <c r="C34" s="13"/>
      <c r="D34" s="13">
        <v>588</v>
      </c>
      <c r="E34" s="13">
        <v>528</v>
      </c>
      <c r="F34" s="13">
        <v>-8</v>
      </c>
      <c r="G34" s="6">
        <v>0.4</v>
      </c>
      <c r="H34" s="13">
        <v>45</v>
      </c>
      <c r="I34" s="8" t="s">
        <v>63</v>
      </c>
      <c r="J34" s="13"/>
      <c r="K34" s="13">
        <v>735</v>
      </c>
      <c r="L34" s="13">
        <f t="shared" si="2"/>
        <v>-207</v>
      </c>
      <c r="M34" s="13"/>
      <c r="N34" s="13"/>
      <c r="O34" s="13">
        <v>0</v>
      </c>
      <c r="P34" s="13"/>
      <c r="Q34" s="13"/>
      <c r="R34" s="13">
        <v>300</v>
      </c>
      <c r="S34" s="13"/>
      <c r="T34" s="13">
        <v>786.75999999999988</v>
      </c>
      <c r="U34" s="18"/>
      <c r="V34" s="13">
        <f t="shared" si="3"/>
        <v>105.6</v>
      </c>
      <c r="W34" s="4">
        <f>12*V34-T34-S34-R34-Q34-P34-O34-F34</f>
        <v>188.43999999999994</v>
      </c>
      <c r="X34" s="4">
        <v>350</v>
      </c>
      <c r="Y34" s="13">
        <f t="shared" si="4"/>
        <v>13.52992424242424</v>
      </c>
      <c r="Z34" s="13">
        <f t="shared" si="5"/>
        <v>10.215530303030301</v>
      </c>
      <c r="AA34" s="13">
        <v>80.8</v>
      </c>
      <c r="AB34" s="13">
        <v>39.799999999999997</v>
      </c>
      <c r="AC34" s="13">
        <v>23.4</v>
      </c>
      <c r="AD34" s="13">
        <v>-0.6</v>
      </c>
      <c r="AE34" s="13">
        <v>43</v>
      </c>
      <c r="AF34" s="13">
        <v>53.6</v>
      </c>
      <c r="AG34" s="13">
        <v>82</v>
      </c>
      <c r="AH34" s="13">
        <v>105.6</v>
      </c>
      <c r="AI34" s="13">
        <v>114.4</v>
      </c>
      <c r="AJ34" s="13">
        <v>104.2</v>
      </c>
      <c r="AK34" s="13"/>
      <c r="AL34" s="13">
        <f t="shared" si="6"/>
        <v>140</v>
      </c>
      <c r="AM34" t="s">
        <v>107</v>
      </c>
    </row>
    <row r="35" spans="1:39" x14ac:dyDescent="0.25">
      <c r="A35" s="13" t="s">
        <v>108</v>
      </c>
      <c r="B35" s="13" t="s">
        <v>52</v>
      </c>
      <c r="C35" s="13">
        <v>321</v>
      </c>
      <c r="D35" s="13"/>
      <c r="E35" s="13">
        <v>147</v>
      </c>
      <c r="F35" s="13">
        <v>161</v>
      </c>
      <c r="G35" s="6">
        <v>0.45</v>
      </c>
      <c r="H35" s="13">
        <v>50</v>
      </c>
      <c r="I35" s="13" t="s">
        <v>45</v>
      </c>
      <c r="J35" s="13"/>
      <c r="K35" s="13">
        <v>159</v>
      </c>
      <c r="L35" s="13">
        <f t="shared" si="2"/>
        <v>-12</v>
      </c>
      <c r="M35" s="13"/>
      <c r="N35" s="13"/>
      <c r="O35" s="13">
        <v>0</v>
      </c>
      <c r="P35" s="13"/>
      <c r="Q35" s="13"/>
      <c r="R35" s="13">
        <v>128.80000000000001</v>
      </c>
      <c r="S35" s="13"/>
      <c r="T35" s="13">
        <v>238.44000000000011</v>
      </c>
      <c r="U35" s="18"/>
      <c r="V35" s="13">
        <f t="shared" si="3"/>
        <v>29.4</v>
      </c>
      <c r="W35" s="4"/>
      <c r="X35" s="4">
        <f>W35</f>
        <v>0</v>
      </c>
      <c r="Y35" s="13">
        <f t="shared" si="4"/>
        <v>17.967346938775517</v>
      </c>
      <c r="Z35" s="13">
        <f t="shared" si="5"/>
        <v>17.967346938775517</v>
      </c>
      <c r="AA35" s="13">
        <v>42.2</v>
      </c>
      <c r="AB35" s="13">
        <v>38.799999999999997</v>
      </c>
      <c r="AC35" s="13">
        <v>24.4</v>
      </c>
      <c r="AD35" s="13">
        <v>26.6</v>
      </c>
      <c r="AE35" s="13">
        <v>21.8</v>
      </c>
      <c r="AF35" s="13">
        <v>11.8</v>
      </c>
      <c r="AG35" s="13">
        <v>12.6</v>
      </c>
      <c r="AH35" s="13">
        <v>23.8</v>
      </c>
      <c r="AI35" s="13">
        <v>51.6</v>
      </c>
      <c r="AJ35" s="13">
        <v>52.6</v>
      </c>
      <c r="AK35" s="13"/>
      <c r="AL35" s="13">
        <f t="shared" si="6"/>
        <v>0</v>
      </c>
      <c r="AM35" t="s">
        <v>109</v>
      </c>
    </row>
    <row r="36" spans="1:39" x14ac:dyDescent="0.25">
      <c r="A36" s="13" t="s">
        <v>110</v>
      </c>
      <c r="B36" s="13" t="s">
        <v>52</v>
      </c>
      <c r="C36" s="13">
        <v>-6</v>
      </c>
      <c r="D36" s="13">
        <v>267</v>
      </c>
      <c r="E36" s="13">
        <v>291</v>
      </c>
      <c r="F36" s="13">
        <v>-33</v>
      </c>
      <c r="G36" s="6">
        <v>0.4</v>
      </c>
      <c r="H36" s="13">
        <v>45</v>
      </c>
      <c r="I36" s="8" t="s">
        <v>63</v>
      </c>
      <c r="J36" s="13"/>
      <c r="K36" s="13">
        <v>326</v>
      </c>
      <c r="L36" s="13">
        <f t="shared" si="2"/>
        <v>-35</v>
      </c>
      <c r="M36" s="13"/>
      <c r="N36" s="13"/>
      <c r="O36" s="13">
        <v>60</v>
      </c>
      <c r="P36" s="13"/>
      <c r="Q36" s="13"/>
      <c r="R36" s="13">
        <v>0</v>
      </c>
      <c r="S36" s="13"/>
      <c r="T36" s="13">
        <v>425</v>
      </c>
      <c r="U36" s="18"/>
      <c r="V36" s="13">
        <f t="shared" si="3"/>
        <v>58.2</v>
      </c>
      <c r="W36" s="4">
        <f>12*V36-T36-S36-R36-Q36-P36-O36-F36</f>
        <v>246.40000000000009</v>
      </c>
      <c r="X36" s="4">
        <v>370</v>
      </c>
      <c r="Y36" s="13">
        <f t="shared" si="4"/>
        <v>14.123711340206185</v>
      </c>
      <c r="Z36" s="13">
        <f t="shared" si="5"/>
        <v>7.7663230240549828</v>
      </c>
      <c r="AA36" s="13">
        <v>44.4</v>
      </c>
      <c r="AB36" s="13">
        <v>18</v>
      </c>
      <c r="AC36" s="13">
        <v>19.2</v>
      </c>
      <c r="AD36" s="13">
        <v>18</v>
      </c>
      <c r="AE36" s="13">
        <v>24.6</v>
      </c>
      <c r="AF36" s="13">
        <v>14.2</v>
      </c>
      <c r="AG36" s="13">
        <v>-0.4</v>
      </c>
      <c r="AH36" s="13">
        <v>2.4</v>
      </c>
      <c r="AI36" s="13">
        <v>29</v>
      </c>
      <c r="AJ36" s="13">
        <v>33.6</v>
      </c>
      <c r="AK36" s="13"/>
      <c r="AL36" s="13">
        <f t="shared" si="6"/>
        <v>148</v>
      </c>
      <c r="AM36" t="s">
        <v>111</v>
      </c>
    </row>
    <row r="37" spans="1:39" x14ac:dyDescent="0.25">
      <c r="A37" s="13" t="s">
        <v>112</v>
      </c>
      <c r="B37" s="13" t="s">
        <v>52</v>
      </c>
      <c r="C37" s="13"/>
      <c r="D37" s="13"/>
      <c r="E37" s="13"/>
      <c r="F37" s="13"/>
      <c r="G37" s="6">
        <v>0.4</v>
      </c>
      <c r="H37" s="13">
        <v>40</v>
      </c>
      <c r="I37" s="8" t="s">
        <v>63</v>
      </c>
      <c r="J37" s="13"/>
      <c r="K37" s="13"/>
      <c r="L37" s="13">
        <f t="shared" si="2"/>
        <v>0</v>
      </c>
      <c r="M37" s="13"/>
      <c r="N37" s="13"/>
      <c r="O37" s="13">
        <v>30</v>
      </c>
      <c r="P37" s="13"/>
      <c r="Q37" s="13"/>
      <c r="R37" s="13">
        <v>20</v>
      </c>
      <c r="S37" s="13"/>
      <c r="T37" s="13">
        <v>34</v>
      </c>
      <c r="U37" s="18"/>
      <c r="V37" s="13">
        <f t="shared" si="3"/>
        <v>0</v>
      </c>
      <c r="W37" s="4"/>
      <c r="X37" s="4">
        <f>W37*1.3</f>
        <v>0</v>
      </c>
      <c r="Y37" s="13" t="e">
        <f t="shared" si="4"/>
        <v>#DIV/0!</v>
      </c>
      <c r="Z37" s="13" t="e">
        <f t="shared" si="5"/>
        <v>#DIV/0!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3</v>
      </c>
      <c r="AI37" s="13">
        <v>8.6</v>
      </c>
      <c r="AJ37" s="13">
        <v>9.1999999999999993</v>
      </c>
      <c r="AK37" s="13"/>
      <c r="AL37" s="13">
        <f t="shared" si="6"/>
        <v>0</v>
      </c>
      <c r="AM37" t="s">
        <v>113</v>
      </c>
    </row>
    <row r="38" spans="1:39" x14ac:dyDescent="0.25">
      <c r="A38" s="13" t="s">
        <v>114</v>
      </c>
      <c r="B38" s="13" t="s">
        <v>44</v>
      </c>
      <c r="C38" s="13">
        <v>5.556</v>
      </c>
      <c r="D38" s="13">
        <v>60.485999999999997</v>
      </c>
      <c r="E38" s="13">
        <v>28.709</v>
      </c>
      <c r="F38" s="13">
        <v>25.599</v>
      </c>
      <c r="G38" s="6">
        <v>1</v>
      </c>
      <c r="H38" s="13">
        <v>45</v>
      </c>
      <c r="I38" s="8" t="s">
        <v>63</v>
      </c>
      <c r="J38" s="13"/>
      <c r="K38" s="13">
        <v>21.4</v>
      </c>
      <c r="L38" s="13">
        <f t="shared" ref="L38:L69" si="7">E38-K38</f>
        <v>7.3090000000000011</v>
      </c>
      <c r="M38" s="13"/>
      <c r="N38" s="13"/>
      <c r="O38" s="13">
        <v>100</v>
      </c>
      <c r="P38" s="13"/>
      <c r="Q38" s="13"/>
      <c r="R38" s="13">
        <v>5.2356000000000051</v>
      </c>
      <c r="S38" s="13"/>
      <c r="T38" s="13">
        <v>0</v>
      </c>
      <c r="U38" s="18"/>
      <c r="V38" s="13">
        <f t="shared" ref="V38:V69" si="8">E38/5</f>
        <v>5.7417999999999996</v>
      </c>
      <c r="W38" s="4"/>
      <c r="X38" s="4">
        <f>W38*1.3</f>
        <v>0</v>
      </c>
      <c r="Y38" s="13">
        <f t="shared" ref="Y38:Y69" si="9">(F38+O38+P38+Q38+R38+S38+T38+X38)/V38</f>
        <v>22.786338778780181</v>
      </c>
      <c r="Z38" s="13">
        <f t="shared" ref="Z38:Z69" si="10">(F38+O38+P38+Q38+R38+S38+T38)/V38</f>
        <v>22.786338778780181</v>
      </c>
      <c r="AA38" s="13">
        <v>7.9707999999999997</v>
      </c>
      <c r="AB38" s="13">
        <v>13.5688</v>
      </c>
      <c r="AC38" s="13">
        <v>10.417999999999999</v>
      </c>
      <c r="AD38" s="13">
        <v>9.3553999999999995</v>
      </c>
      <c r="AE38" s="13">
        <v>10.323</v>
      </c>
      <c r="AF38" s="13">
        <v>4.6484000000000014</v>
      </c>
      <c r="AG38" s="13">
        <v>2.3094000000000001</v>
      </c>
      <c r="AH38" s="13">
        <v>9.5343999999999998</v>
      </c>
      <c r="AI38" s="13">
        <v>16.715199999999999</v>
      </c>
      <c r="AJ38" s="13">
        <v>10.9094</v>
      </c>
      <c r="AK38" s="13"/>
      <c r="AL38" s="13">
        <f t="shared" ref="AL38:AL69" si="11">ROUND(G38*X38,0)</f>
        <v>0</v>
      </c>
      <c r="AM38" t="s">
        <v>115</v>
      </c>
    </row>
    <row r="39" spans="1:39" x14ac:dyDescent="0.25">
      <c r="A39" s="13" t="s">
        <v>116</v>
      </c>
      <c r="B39" s="13" t="s">
        <v>52</v>
      </c>
      <c r="C39" s="13">
        <v>397</v>
      </c>
      <c r="D39" s="13">
        <v>940</v>
      </c>
      <c r="E39" s="13">
        <v>593</v>
      </c>
      <c r="F39" s="13">
        <v>729</v>
      </c>
      <c r="G39" s="6">
        <v>0.1</v>
      </c>
      <c r="H39" s="13">
        <v>731</v>
      </c>
      <c r="I39" s="13" t="s">
        <v>45</v>
      </c>
      <c r="J39" s="13"/>
      <c r="K39" s="13">
        <v>574</v>
      </c>
      <c r="L39" s="13">
        <f t="shared" si="7"/>
        <v>19</v>
      </c>
      <c r="M39" s="13"/>
      <c r="N39" s="13"/>
      <c r="O39" s="13">
        <v>0</v>
      </c>
      <c r="P39" s="13"/>
      <c r="Q39" s="13"/>
      <c r="R39" s="13">
        <v>62.799999999999613</v>
      </c>
      <c r="S39" s="13"/>
      <c r="T39" s="13">
        <v>823.04000000000065</v>
      </c>
      <c r="U39" s="18"/>
      <c r="V39" s="13">
        <f t="shared" si="8"/>
        <v>118.6</v>
      </c>
      <c r="W39" s="4"/>
      <c r="X39" s="4">
        <f>W39</f>
        <v>0</v>
      </c>
      <c r="Y39" s="13">
        <f t="shared" si="9"/>
        <v>13.615851602023611</v>
      </c>
      <c r="Z39" s="13">
        <f t="shared" si="10"/>
        <v>13.615851602023611</v>
      </c>
      <c r="AA39" s="13">
        <v>125.2</v>
      </c>
      <c r="AB39" s="13">
        <v>102.8</v>
      </c>
      <c r="AC39" s="13">
        <v>113.8</v>
      </c>
      <c r="AD39" s="13">
        <v>149.4</v>
      </c>
      <c r="AE39" s="13">
        <v>112</v>
      </c>
      <c r="AF39" s="13">
        <v>37</v>
      </c>
      <c r="AG39" s="13">
        <v>22.6</v>
      </c>
      <c r="AH39" s="13">
        <v>58.2</v>
      </c>
      <c r="AI39" s="13">
        <v>88</v>
      </c>
      <c r="AJ39" s="13">
        <v>90</v>
      </c>
      <c r="AK39" s="13" t="s">
        <v>117</v>
      </c>
      <c r="AL39" s="13">
        <f t="shared" si="11"/>
        <v>0</v>
      </c>
      <c r="AM39" t="s">
        <v>118</v>
      </c>
    </row>
    <row r="40" spans="1:39" x14ac:dyDescent="0.25">
      <c r="A40" s="13" t="s">
        <v>119</v>
      </c>
      <c r="B40" s="13" t="s">
        <v>52</v>
      </c>
      <c r="C40" s="13"/>
      <c r="D40" s="13">
        <v>24</v>
      </c>
      <c r="E40" s="13">
        <v>24</v>
      </c>
      <c r="F40" s="13">
        <v>-2</v>
      </c>
      <c r="G40" s="6">
        <v>0.35</v>
      </c>
      <c r="H40" s="13">
        <v>40</v>
      </c>
      <c r="I40" s="8" t="s">
        <v>63</v>
      </c>
      <c r="J40" s="13"/>
      <c r="K40" s="13">
        <v>31</v>
      </c>
      <c r="L40" s="13">
        <f t="shared" si="7"/>
        <v>-7</v>
      </c>
      <c r="M40" s="13"/>
      <c r="N40" s="13"/>
      <c r="O40" s="13">
        <v>150</v>
      </c>
      <c r="P40" s="13">
        <v>-156</v>
      </c>
      <c r="Q40" s="13"/>
      <c r="R40" s="13">
        <v>0</v>
      </c>
      <c r="S40" s="13"/>
      <c r="T40" s="13">
        <v>170</v>
      </c>
      <c r="U40" s="18"/>
      <c r="V40" s="13">
        <f t="shared" si="8"/>
        <v>4.8</v>
      </c>
      <c r="W40" s="4">
        <v>20</v>
      </c>
      <c r="X40" s="4">
        <f>W40*1.3</f>
        <v>26</v>
      </c>
      <c r="Y40" s="13">
        <f t="shared" si="9"/>
        <v>39.166666666666671</v>
      </c>
      <c r="Z40" s="13">
        <f t="shared" si="10"/>
        <v>33.75</v>
      </c>
      <c r="AA40" s="13">
        <v>9.8000000000000007</v>
      </c>
      <c r="AB40" s="13">
        <v>10.8</v>
      </c>
      <c r="AC40" s="13">
        <v>5.6</v>
      </c>
      <c r="AD40" s="13">
        <v>-3.8</v>
      </c>
      <c r="AE40" s="13">
        <v>-3.6</v>
      </c>
      <c r="AF40" s="13">
        <v>0</v>
      </c>
      <c r="AG40" s="13">
        <v>0</v>
      </c>
      <c r="AH40" s="13">
        <v>-0.2</v>
      </c>
      <c r="AI40" s="13">
        <v>-0.8</v>
      </c>
      <c r="AJ40" s="13">
        <v>0</v>
      </c>
      <c r="AK40" s="13"/>
      <c r="AL40" s="13">
        <f t="shared" si="11"/>
        <v>9</v>
      </c>
      <c r="AM40" t="s">
        <v>120</v>
      </c>
    </row>
    <row r="41" spans="1:39" x14ac:dyDescent="0.25">
      <c r="A41" s="13" t="s">
        <v>121</v>
      </c>
      <c r="B41" s="13" t="s">
        <v>44</v>
      </c>
      <c r="C41" s="13">
        <v>4.7E-2</v>
      </c>
      <c r="D41" s="13">
        <v>75.373000000000005</v>
      </c>
      <c r="E41" s="13">
        <v>71.540999999999997</v>
      </c>
      <c r="F41" s="13">
        <v>-1.4179999999999999</v>
      </c>
      <c r="G41" s="6">
        <v>1</v>
      </c>
      <c r="H41" s="13">
        <v>40</v>
      </c>
      <c r="I41" s="8" t="s">
        <v>63</v>
      </c>
      <c r="J41" s="13"/>
      <c r="K41" s="13">
        <v>97.2</v>
      </c>
      <c r="L41" s="13">
        <f t="shared" si="7"/>
        <v>-25.659000000000006</v>
      </c>
      <c r="M41" s="13"/>
      <c r="N41" s="13"/>
      <c r="O41" s="13">
        <v>0</v>
      </c>
      <c r="P41" s="13"/>
      <c r="Q41" s="13"/>
      <c r="R41" s="13">
        <v>150</v>
      </c>
      <c r="S41" s="13"/>
      <c r="T41" s="13">
        <v>256.42052000000001</v>
      </c>
      <c r="U41" s="18"/>
      <c r="V41" s="13">
        <f t="shared" si="8"/>
        <v>14.308199999999999</v>
      </c>
      <c r="W41" s="4"/>
      <c r="X41" s="4">
        <f>W41*1.3</f>
        <v>0</v>
      </c>
      <c r="Y41" s="13">
        <f t="shared" si="9"/>
        <v>28.305623348848915</v>
      </c>
      <c r="Z41" s="13">
        <f t="shared" si="10"/>
        <v>28.305623348848915</v>
      </c>
      <c r="AA41" s="13">
        <v>28.140599999999999</v>
      </c>
      <c r="AB41" s="13">
        <v>19.882000000000001</v>
      </c>
      <c r="AC41" s="13">
        <v>1.5982000000000001</v>
      </c>
      <c r="AD41" s="13">
        <v>5.7080000000000002</v>
      </c>
      <c r="AE41" s="13">
        <v>8.1778000000000013</v>
      </c>
      <c r="AF41" s="13">
        <v>8.4413999999999998</v>
      </c>
      <c r="AG41" s="13">
        <v>18.788799999999998</v>
      </c>
      <c r="AH41" s="13">
        <v>21.273199999999999</v>
      </c>
      <c r="AI41" s="13">
        <v>22.917999999999999</v>
      </c>
      <c r="AJ41" s="13">
        <v>21.759399999999999</v>
      </c>
      <c r="AK41" s="13"/>
      <c r="AL41" s="13">
        <f t="shared" si="11"/>
        <v>0</v>
      </c>
      <c r="AM41" t="s">
        <v>122</v>
      </c>
    </row>
    <row r="42" spans="1:39" x14ac:dyDescent="0.25">
      <c r="A42" s="13" t="s">
        <v>123</v>
      </c>
      <c r="B42" s="13" t="s">
        <v>52</v>
      </c>
      <c r="C42" s="13"/>
      <c r="D42" s="13">
        <v>246</v>
      </c>
      <c r="E42" s="13">
        <v>94</v>
      </c>
      <c r="F42" s="13">
        <v>141</v>
      </c>
      <c r="G42" s="6">
        <v>0.4</v>
      </c>
      <c r="H42" s="13">
        <v>40</v>
      </c>
      <c r="I42" s="8" t="s">
        <v>63</v>
      </c>
      <c r="J42" s="13"/>
      <c r="K42" s="13">
        <v>104</v>
      </c>
      <c r="L42" s="13">
        <f t="shared" si="7"/>
        <v>-10</v>
      </c>
      <c r="M42" s="13"/>
      <c r="N42" s="13"/>
      <c r="O42" s="13">
        <v>46.199999999999989</v>
      </c>
      <c r="P42" s="13"/>
      <c r="Q42" s="13"/>
      <c r="R42" s="13">
        <v>0</v>
      </c>
      <c r="S42" s="13"/>
      <c r="T42" s="13">
        <v>0</v>
      </c>
      <c r="U42" s="18"/>
      <c r="V42" s="13">
        <f t="shared" si="8"/>
        <v>18.8</v>
      </c>
      <c r="W42" s="4">
        <f>12*V42-T42-S42-R42-Q42-P42-O42-F42</f>
        <v>38.400000000000034</v>
      </c>
      <c r="X42" s="4">
        <v>70</v>
      </c>
      <c r="Y42" s="13">
        <f t="shared" si="9"/>
        <v>13.680851063829786</v>
      </c>
      <c r="Z42" s="13">
        <f t="shared" si="10"/>
        <v>9.9574468085106371</v>
      </c>
      <c r="AA42" s="13">
        <v>8</v>
      </c>
      <c r="AB42" s="13">
        <v>13.8</v>
      </c>
      <c r="AC42" s="13">
        <v>28.2</v>
      </c>
      <c r="AD42" s="13">
        <v>24.6</v>
      </c>
      <c r="AE42" s="13">
        <v>15.2</v>
      </c>
      <c r="AF42" s="13">
        <v>11.6</v>
      </c>
      <c r="AG42" s="13">
        <v>11</v>
      </c>
      <c r="AH42" s="13">
        <v>16.399999999999999</v>
      </c>
      <c r="AI42" s="13">
        <v>26.8</v>
      </c>
      <c r="AJ42" s="13">
        <v>22.8</v>
      </c>
      <c r="AK42" s="13"/>
      <c r="AL42" s="13">
        <f t="shared" si="11"/>
        <v>28</v>
      </c>
      <c r="AM42" t="s">
        <v>124</v>
      </c>
    </row>
    <row r="43" spans="1:39" x14ac:dyDescent="0.25">
      <c r="A43" s="13" t="s">
        <v>125</v>
      </c>
      <c r="B43" s="13" t="s">
        <v>52</v>
      </c>
      <c r="C43" s="13"/>
      <c r="D43" s="13">
        <v>162</v>
      </c>
      <c r="E43" s="13">
        <v>87</v>
      </c>
      <c r="F43" s="13">
        <v>67</v>
      </c>
      <c r="G43" s="6">
        <v>0.4</v>
      </c>
      <c r="H43" s="13">
        <v>45</v>
      </c>
      <c r="I43" s="13" t="s">
        <v>45</v>
      </c>
      <c r="J43" s="13"/>
      <c r="K43" s="13">
        <v>93</v>
      </c>
      <c r="L43" s="13">
        <f t="shared" si="7"/>
        <v>-6</v>
      </c>
      <c r="M43" s="13"/>
      <c r="N43" s="13"/>
      <c r="O43" s="13">
        <v>149.6</v>
      </c>
      <c r="P43" s="13"/>
      <c r="Q43" s="13"/>
      <c r="R43" s="13">
        <v>75.19999999999996</v>
      </c>
      <c r="S43" s="13"/>
      <c r="T43" s="13">
        <v>0</v>
      </c>
      <c r="U43" s="18"/>
      <c r="V43" s="13">
        <f t="shared" si="8"/>
        <v>17.399999999999999</v>
      </c>
      <c r="W43" s="4"/>
      <c r="X43" s="4">
        <f>W43</f>
        <v>0</v>
      </c>
      <c r="Y43" s="13">
        <f t="shared" si="9"/>
        <v>16.770114942528735</v>
      </c>
      <c r="Z43" s="13">
        <f t="shared" si="10"/>
        <v>16.770114942528735</v>
      </c>
      <c r="AA43" s="13">
        <v>19</v>
      </c>
      <c r="AB43" s="13">
        <v>32</v>
      </c>
      <c r="AC43" s="13">
        <v>33.4</v>
      </c>
      <c r="AD43" s="13">
        <v>27.6</v>
      </c>
      <c r="AE43" s="13">
        <v>19</v>
      </c>
      <c r="AF43" s="13">
        <v>11.4</v>
      </c>
      <c r="AG43" s="13">
        <v>1.4</v>
      </c>
      <c r="AH43" s="13">
        <v>4.8</v>
      </c>
      <c r="AI43" s="13">
        <v>25</v>
      </c>
      <c r="AJ43" s="13">
        <v>30.8</v>
      </c>
      <c r="AK43" s="13"/>
      <c r="AL43" s="13">
        <f t="shared" si="11"/>
        <v>0</v>
      </c>
      <c r="AM43" t="s">
        <v>126</v>
      </c>
    </row>
    <row r="44" spans="1:39" x14ac:dyDescent="0.25">
      <c r="A44" s="13" t="s">
        <v>127</v>
      </c>
      <c r="B44" s="13" t="s">
        <v>44</v>
      </c>
      <c r="C44" s="13">
        <v>3.1E-2</v>
      </c>
      <c r="D44" s="13">
        <v>95.317999999999998</v>
      </c>
      <c r="E44" s="13">
        <v>93.134</v>
      </c>
      <c r="F44" s="13">
        <v>-1.492</v>
      </c>
      <c r="G44" s="6">
        <v>1</v>
      </c>
      <c r="H44" s="13">
        <v>40</v>
      </c>
      <c r="I44" s="8" t="s">
        <v>63</v>
      </c>
      <c r="J44" s="13"/>
      <c r="K44" s="13">
        <v>116.8</v>
      </c>
      <c r="L44" s="13">
        <f t="shared" si="7"/>
        <v>-23.665999999999997</v>
      </c>
      <c r="M44" s="13"/>
      <c r="N44" s="13"/>
      <c r="O44" s="13">
        <v>100</v>
      </c>
      <c r="P44" s="13">
        <v>-100.8</v>
      </c>
      <c r="Q44" s="13"/>
      <c r="R44" s="13">
        <v>0</v>
      </c>
      <c r="S44" s="13"/>
      <c r="T44" s="13">
        <v>136</v>
      </c>
      <c r="U44" s="18"/>
      <c r="V44" s="13">
        <f t="shared" si="8"/>
        <v>18.626799999999999</v>
      </c>
      <c r="W44" s="4">
        <f>12*V44-T44-S44-R44-Q44-P44-O44-F44</f>
        <v>89.813599999999994</v>
      </c>
      <c r="X44" s="4">
        <v>140</v>
      </c>
      <c r="Y44" s="13">
        <f t="shared" si="9"/>
        <v>14.694311422251808</v>
      </c>
      <c r="Z44" s="13">
        <f t="shared" si="10"/>
        <v>7.1782592823243929</v>
      </c>
      <c r="AA44" s="13">
        <v>12.271599999999999</v>
      </c>
      <c r="AB44" s="13">
        <v>3.7730000000000001</v>
      </c>
      <c r="AC44" s="13">
        <v>0.57640000000000002</v>
      </c>
      <c r="AD44" s="13">
        <v>3.3826000000000001</v>
      </c>
      <c r="AE44" s="13">
        <v>8.9486000000000008</v>
      </c>
      <c r="AF44" s="13">
        <v>4.9824000000000002</v>
      </c>
      <c r="AG44" s="13">
        <v>7.7111999999999998</v>
      </c>
      <c r="AH44" s="13">
        <v>16.299800000000001</v>
      </c>
      <c r="AI44" s="13">
        <v>23.334199999999999</v>
      </c>
      <c r="AJ44" s="13">
        <v>20.9544</v>
      </c>
      <c r="AK44" s="13"/>
      <c r="AL44" s="13">
        <f t="shared" si="11"/>
        <v>140</v>
      </c>
      <c r="AM44" t="s">
        <v>128</v>
      </c>
    </row>
    <row r="45" spans="1:39" x14ac:dyDescent="0.25">
      <c r="A45" s="13" t="s">
        <v>129</v>
      </c>
      <c r="B45" s="13" t="s">
        <v>52</v>
      </c>
      <c r="C45" s="13">
        <v>-1</v>
      </c>
      <c r="D45" s="13">
        <v>174</v>
      </c>
      <c r="E45" s="13">
        <v>160</v>
      </c>
      <c r="F45" s="13">
        <v>3</v>
      </c>
      <c r="G45" s="6">
        <v>0.35</v>
      </c>
      <c r="H45" s="13">
        <v>40</v>
      </c>
      <c r="I45" s="8" t="s">
        <v>63</v>
      </c>
      <c r="J45" s="13"/>
      <c r="K45" s="13">
        <v>204</v>
      </c>
      <c r="L45" s="13">
        <f t="shared" si="7"/>
        <v>-44</v>
      </c>
      <c r="M45" s="13"/>
      <c r="N45" s="13"/>
      <c r="O45" s="13">
        <v>250</v>
      </c>
      <c r="P45" s="13">
        <v>-252</v>
      </c>
      <c r="Q45" s="13"/>
      <c r="R45" s="13">
        <v>150</v>
      </c>
      <c r="S45" s="13">
        <v>-156</v>
      </c>
      <c r="T45" s="13">
        <v>255</v>
      </c>
      <c r="U45" s="18"/>
      <c r="V45" s="13">
        <f t="shared" si="8"/>
        <v>32</v>
      </c>
      <c r="W45" s="4">
        <v>150</v>
      </c>
      <c r="X45" s="4">
        <f>W45*1.3</f>
        <v>195</v>
      </c>
      <c r="Y45" s="13">
        <f t="shared" si="9"/>
        <v>13.90625</v>
      </c>
      <c r="Z45" s="13">
        <f t="shared" si="10"/>
        <v>7.8125</v>
      </c>
      <c r="AA45" s="13">
        <v>47.4</v>
      </c>
      <c r="AB45" s="13">
        <v>23.6</v>
      </c>
      <c r="AC45" s="13">
        <v>31.8</v>
      </c>
      <c r="AD45" s="13">
        <v>39</v>
      </c>
      <c r="AE45" s="13">
        <v>35.6</v>
      </c>
      <c r="AF45" s="13">
        <v>19.600000000000001</v>
      </c>
      <c r="AG45" s="13">
        <v>0</v>
      </c>
      <c r="AH45" s="13">
        <v>2.2000000000000002</v>
      </c>
      <c r="AI45" s="13">
        <v>53</v>
      </c>
      <c r="AJ45" s="13">
        <v>103</v>
      </c>
      <c r="AK45" s="13"/>
      <c r="AL45" s="13">
        <f t="shared" si="11"/>
        <v>68</v>
      </c>
      <c r="AM45" t="s">
        <v>130</v>
      </c>
    </row>
    <row r="46" spans="1:39" x14ac:dyDescent="0.25">
      <c r="A46" s="13" t="s">
        <v>131</v>
      </c>
      <c r="B46" s="13" t="s">
        <v>52</v>
      </c>
      <c r="C46" s="13"/>
      <c r="D46" s="13">
        <v>402</v>
      </c>
      <c r="E46" s="13">
        <v>291</v>
      </c>
      <c r="F46" s="13">
        <v>65</v>
      </c>
      <c r="G46" s="6">
        <v>0.4</v>
      </c>
      <c r="H46" s="13">
        <v>40</v>
      </c>
      <c r="I46" s="8" t="s">
        <v>63</v>
      </c>
      <c r="J46" s="13"/>
      <c r="K46" s="13">
        <v>302</v>
      </c>
      <c r="L46" s="13">
        <f t="shared" si="7"/>
        <v>-11</v>
      </c>
      <c r="M46" s="13"/>
      <c r="N46" s="13"/>
      <c r="O46" s="13">
        <v>50</v>
      </c>
      <c r="P46" s="13">
        <v>-54</v>
      </c>
      <c r="Q46" s="13"/>
      <c r="R46" s="13">
        <v>0</v>
      </c>
      <c r="S46" s="13"/>
      <c r="T46" s="13">
        <v>68</v>
      </c>
      <c r="U46" s="18"/>
      <c r="V46" s="13">
        <f t="shared" si="8"/>
        <v>58.2</v>
      </c>
      <c r="W46" s="4">
        <v>400</v>
      </c>
      <c r="X46" s="4">
        <f>W46*1.3</f>
        <v>520</v>
      </c>
      <c r="Y46" s="13">
        <f t="shared" si="9"/>
        <v>11.151202749140893</v>
      </c>
      <c r="Z46" s="13">
        <f t="shared" si="10"/>
        <v>2.2164948453608244</v>
      </c>
      <c r="AA46" s="13">
        <v>23.2</v>
      </c>
      <c r="AB46" s="13">
        <v>2.4</v>
      </c>
      <c r="AC46" s="13">
        <v>34</v>
      </c>
      <c r="AD46" s="13">
        <v>51.6</v>
      </c>
      <c r="AE46" s="13">
        <v>49.6</v>
      </c>
      <c r="AF46" s="13">
        <v>31</v>
      </c>
      <c r="AG46" s="13">
        <v>7</v>
      </c>
      <c r="AH46" s="13">
        <v>16.399999999999999</v>
      </c>
      <c r="AI46" s="13">
        <v>57.2</v>
      </c>
      <c r="AJ46" s="13">
        <v>50.6</v>
      </c>
      <c r="AK46" s="13"/>
      <c r="AL46" s="13">
        <f t="shared" si="11"/>
        <v>208</v>
      </c>
      <c r="AM46" t="s">
        <v>132</v>
      </c>
    </row>
    <row r="47" spans="1:39" x14ac:dyDescent="0.25">
      <c r="A47" s="13" t="s">
        <v>133</v>
      </c>
      <c r="B47" s="13" t="s">
        <v>44</v>
      </c>
      <c r="C47" s="13">
        <v>79.790000000000006</v>
      </c>
      <c r="D47" s="13"/>
      <c r="E47" s="13">
        <v>43.292999999999999</v>
      </c>
      <c r="F47" s="13">
        <v>31.091000000000001</v>
      </c>
      <c r="G47" s="6">
        <v>1</v>
      </c>
      <c r="H47" s="13">
        <v>50</v>
      </c>
      <c r="I47" s="13" t="s">
        <v>45</v>
      </c>
      <c r="J47" s="13"/>
      <c r="K47" s="13">
        <v>38.6</v>
      </c>
      <c r="L47" s="13">
        <f t="shared" si="7"/>
        <v>4.6929999999999978</v>
      </c>
      <c r="M47" s="13"/>
      <c r="N47" s="13"/>
      <c r="O47" s="13">
        <v>48.958999999999968</v>
      </c>
      <c r="P47" s="13"/>
      <c r="Q47" s="13"/>
      <c r="R47" s="13">
        <v>49.001800000000031</v>
      </c>
      <c r="S47" s="13"/>
      <c r="T47" s="13">
        <v>4</v>
      </c>
      <c r="U47" s="18"/>
      <c r="V47" s="13">
        <f t="shared" si="8"/>
        <v>8.6585999999999999</v>
      </c>
      <c r="W47" s="4"/>
      <c r="X47" s="4">
        <f>W47</f>
        <v>0</v>
      </c>
      <c r="Y47" s="13">
        <f t="shared" si="9"/>
        <v>15.366433372600653</v>
      </c>
      <c r="Z47" s="13">
        <f t="shared" si="10"/>
        <v>15.366433372600653</v>
      </c>
      <c r="AA47" s="13">
        <v>12.7052</v>
      </c>
      <c r="AB47" s="13">
        <v>13.9094</v>
      </c>
      <c r="AC47" s="13">
        <v>13.914</v>
      </c>
      <c r="AD47" s="13">
        <v>8.3748000000000005</v>
      </c>
      <c r="AE47" s="13">
        <v>5.9323999999999986</v>
      </c>
      <c r="AF47" s="13">
        <v>6.7408000000000001</v>
      </c>
      <c r="AG47" s="13">
        <v>7.5424000000000007</v>
      </c>
      <c r="AH47" s="13">
        <v>17.248200000000001</v>
      </c>
      <c r="AI47" s="13">
        <v>16.198599999999999</v>
      </c>
      <c r="AJ47" s="13">
        <v>4.0784000000000002</v>
      </c>
      <c r="AK47" s="13"/>
      <c r="AL47" s="13">
        <f t="shared" si="11"/>
        <v>0</v>
      </c>
      <c r="AM47" t="s">
        <v>134</v>
      </c>
    </row>
    <row r="48" spans="1:39" x14ac:dyDescent="0.25">
      <c r="A48" s="13" t="s">
        <v>135</v>
      </c>
      <c r="B48" s="13" t="s">
        <v>44</v>
      </c>
      <c r="C48" s="13">
        <v>64.129000000000005</v>
      </c>
      <c r="D48" s="13">
        <v>161.14599999999999</v>
      </c>
      <c r="E48" s="13">
        <v>118.744</v>
      </c>
      <c r="F48" s="13">
        <v>88.736999999999995</v>
      </c>
      <c r="G48" s="6">
        <v>1</v>
      </c>
      <c r="H48" s="13">
        <v>50</v>
      </c>
      <c r="I48" s="13" t="s">
        <v>45</v>
      </c>
      <c r="J48" s="13"/>
      <c r="K48" s="13">
        <v>117.45</v>
      </c>
      <c r="L48" s="13">
        <f t="shared" si="7"/>
        <v>1.2939999999999969</v>
      </c>
      <c r="M48" s="13"/>
      <c r="N48" s="13"/>
      <c r="O48" s="13">
        <v>73.373599999999939</v>
      </c>
      <c r="P48" s="13"/>
      <c r="Q48" s="13"/>
      <c r="R48" s="13">
        <v>148.6456</v>
      </c>
      <c r="S48" s="13"/>
      <c r="T48" s="13">
        <v>0</v>
      </c>
      <c r="U48" s="18"/>
      <c r="V48" s="13">
        <f t="shared" si="8"/>
        <v>23.748799999999999</v>
      </c>
      <c r="W48" s="4"/>
      <c r="X48" s="4">
        <f>W48</f>
        <v>0</v>
      </c>
      <c r="Y48" s="13">
        <f t="shared" si="9"/>
        <v>13.08513272249545</v>
      </c>
      <c r="Z48" s="13">
        <f t="shared" si="10"/>
        <v>13.08513272249545</v>
      </c>
      <c r="AA48" s="13">
        <v>26.533999999999999</v>
      </c>
      <c r="AB48" s="13">
        <v>34.277000000000001</v>
      </c>
      <c r="AC48" s="13">
        <v>28.886399999999998</v>
      </c>
      <c r="AD48" s="13">
        <v>31.163599999999999</v>
      </c>
      <c r="AE48" s="13">
        <v>29.2424</v>
      </c>
      <c r="AF48" s="13">
        <v>13.016</v>
      </c>
      <c r="AG48" s="13">
        <v>12.1088</v>
      </c>
      <c r="AH48" s="13">
        <v>26.9346</v>
      </c>
      <c r="AI48" s="13">
        <v>28.4544</v>
      </c>
      <c r="AJ48" s="13">
        <v>15.607200000000001</v>
      </c>
      <c r="AK48" s="13" t="s">
        <v>117</v>
      </c>
      <c r="AL48" s="13">
        <f t="shared" si="11"/>
        <v>0</v>
      </c>
      <c r="AM48" t="s">
        <v>136</v>
      </c>
    </row>
    <row r="49" spans="1:39" x14ac:dyDescent="0.25">
      <c r="A49" s="13" t="s">
        <v>137</v>
      </c>
      <c r="B49" s="13" t="s">
        <v>44</v>
      </c>
      <c r="C49" s="13"/>
      <c r="D49" s="13"/>
      <c r="E49" s="13"/>
      <c r="F49" s="13"/>
      <c r="G49" s="6">
        <v>1</v>
      </c>
      <c r="H49" s="13">
        <v>45</v>
      </c>
      <c r="I49" s="8" t="s">
        <v>63</v>
      </c>
      <c r="J49" s="13"/>
      <c r="K49" s="13"/>
      <c r="L49" s="13">
        <f t="shared" si="7"/>
        <v>0</v>
      </c>
      <c r="M49" s="13"/>
      <c r="N49" s="13"/>
      <c r="O49" s="13">
        <v>40</v>
      </c>
      <c r="P49" s="13"/>
      <c r="Q49" s="13"/>
      <c r="R49" s="13">
        <v>30</v>
      </c>
      <c r="S49" s="13"/>
      <c r="T49" s="13">
        <v>0</v>
      </c>
      <c r="U49" s="18"/>
      <c r="V49" s="13">
        <f t="shared" si="8"/>
        <v>0</v>
      </c>
      <c r="W49" s="4"/>
      <c r="X49" s="4">
        <f>W49*1.3</f>
        <v>0</v>
      </c>
      <c r="Y49" s="13" t="e">
        <f t="shared" si="9"/>
        <v>#DIV/0!</v>
      </c>
      <c r="Z49" s="13" t="e">
        <f t="shared" si="10"/>
        <v>#DIV/0!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-0.03</v>
      </c>
      <c r="AJ49" s="13">
        <v>-0.03</v>
      </c>
      <c r="AK49" s="13"/>
      <c r="AL49" s="13">
        <f t="shared" si="11"/>
        <v>0</v>
      </c>
      <c r="AM49" t="s">
        <v>138</v>
      </c>
    </row>
    <row r="50" spans="1:39" x14ac:dyDescent="0.25">
      <c r="A50" s="13" t="s">
        <v>139</v>
      </c>
      <c r="B50" s="13" t="s">
        <v>52</v>
      </c>
      <c r="C50" s="13">
        <v>95</v>
      </c>
      <c r="D50" s="13">
        <v>10</v>
      </c>
      <c r="E50" s="13">
        <v>84</v>
      </c>
      <c r="F50" s="13">
        <v>11</v>
      </c>
      <c r="G50" s="6">
        <v>0.45</v>
      </c>
      <c r="H50" s="13">
        <v>50</v>
      </c>
      <c r="I50" s="13" t="s">
        <v>45</v>
      </c>
      <c r="J50" s="13"/>
      <c r="K50" s="13">
        <v>94</v>
      </c>
      <c r="L50" s="13">
        <f t="shared" si="7"/>
        <v>-10</v>
      </c>
      <c r="M50" s="13"/>
      <c r="N50" s="13"/>
      <c r="O50" s="13">
        <v>46.40000000000007</v>
      </c>
      <c r="P50" s="13"/>
      <c r="Q50" s="13"/>
      <c r="R50" s="13">
        <v>252.8</v>
      </c>
      <c r="S50" s="13"/>
      <c r="T50" s="13">
        <v>96.64</v>
      </c>
      <c r="U50" s="18"/>
      <c r="V50" s="13">
        <f t="shared" si="8"/>
        <v>16.8</v>
      </c>
      <c r="W50" s="4"/>
      <c r="X50" s="4">
        <f>W50</f>
        <v>0</v>
      </c>
      <c r="Y50" s="13">
        <f t="shared" si="9"/>
        <v>24.216666666666672</v>
      </c>
      <c r="Z50" s="13">
        <f t="shared" si="10"/>
        <v>24.216666666666672</v>
      </c>
      <c r="AA50" s="13">
        <v>30.2</v>
      </c>
      <c r="AB50" s="13">
        <v>32</v>
      </c>
      <c r="AC50" s="13">
        <v>21.6</v>
      </c>
      <c r="AD50" s="13">
        <v>21.4</v>
      </c>
      <c r="AE50" s="13">
        <v>19.399999999999999</v>
      </c>
      <c r="AF50" s="13">
        <v>21</v>
      </c>
      <c r="AG50" s="13">
        <v>22</v>
      </c>
      <c r="AH50" s="13">
        <v>21.8</v>
      </c>
      <c r="AI50" s="13">
        <v>20.2</v>
      </c>
      <c r="AJ50" s="13">
        <v>20.6</v>
      </c>
      <c r="AK50" s="13"/>
      <c r="AL50" s="13">
        <f t="shared" si="11"/>
        <v>0</v>
      </c>
      <c r="AM50" t="s">
        <v>140</v>
      </c>
    </row>
    <row r="51" spans="1:39" x14ac:dyDescent="0.25">
      <c r="A51" s="13" t="s">
        <v>141</v>
      </c>
      <c r="B51" s="13" t="s">
        <v>52</v>
      </c>
      <c r="C51" s="13">
        <v>274</v>
      </c>
      <c r="D51" s="13"/>
      <c r="E51" s="13">
        <v>140</v>
      </c>
      <c r="F51" s="13">
        <v>123</v>
      </c>
      <c r="G51" s="6">
        <v>0.45</v>
      </c>
      <c r="H51" s="13">
        <v>50</v>
      </c>
      <c r="I51" s="13" t="s">
        <v>45</v>
      </c>
      <c r="J51" s="13"/>
      <c r="K51" s="13">
        <v>146</v>
      </c>
      <c r="L51" s="13">
        <f t="shared" si="7"/>
        <v>-6</v>
      </c>
      <c r="M51" s="13"/>
      <c r="N51" s="13"/>
      <c r="O51" s="13">
        <v>0</v>
      </c>
      <c r="P51" s="13"/>
      <c r="Q51" s="13"/>
      <c r="R51" s="13">
        <v>248.2</v>
      </c>
      <c r="S51" s="13"/>
      <c r="T51" s="13">
        <v>176.76</v>
      </c>
      <c r="U51" s="18"/>
      <c r="V51" s="13">
        <f t="shared" si="8"/>
        <v>28</v>
      </c>
      <c r="W51" s="4"/>
      <c r="X51" s="4">
        <f>W51</f>
        <v>0</v>
      </c>
      <c r="Y51" s="13">
        <f t="shared" si="9"/>
        <v>19.57</v>
      </c>
      <c r="Z51" s="13">
        <f t="shared" si="10"/>
        <v>19.57</v>
      </c>
      <c r="AA51" s="13">
        <v>43.8</v>
      </c>
      <c r="AB51" s="13">
        <v>41.6</v>
      </c>
      <c r="AC51" s="13">
        <v>24.2</v>
      </c>
      <c r="AD51" s="13">
        <v>21.6</v>
      </c>
      <c r="AE51" s="13">
        <v>16</v>
      </c>
      <c r="AF51" s="13">
        <v>26</v>
      </c>
      <c r="AG51" s="13">
        <v>33</v>
      </c>
      <c r="AH51" s="13">
        <v>31.8</v>
      </c>
      <c r="AI51" s="13">
        <v>48.2</v>
      </c>
      <c r="AJ51" s="13">
        <v>45.8</v>
      </c>
      <c r="AK51" s="13"/>
      <c r="AL51" s="13">
        <f t="shared" si="11"/>
        <v>0</v>
      </c>
      <c r="AM51" t="s">
        <v>142</v>
      </c>
    </row>
    <row r="52" spans="1:39" x14ac:dyDescent="0.25">
      <c r="A52" s="13" t="s">
        <v>143</v>
      </c>
      <c r="B52" s="13" t="s">
        <v>52</v>
      </c>
      <c r="C52" s="13"/>
      <c r="D52" s="13">
        <v>108</v>
      </c>
      <c r="E52" s="13">
        <v>90</v>
      </c>
      <c r="F52" s="13">
        <v>16</v>
      </c>
      <c r="G52" s="6">
        <v>0.4</v>
      </c>
      <c r="H52" s="13">
        <v>40</v>
      </c>
      <c r="I52" s="8" t="s">
        <v>63</v>
      </c>
      <c r="J52" s="13"/>
      <c r="K52" s="13">
        <v>88</v>
      </c>
      <c r="L52" s="13">
        <f t="shared" si="7"/>
        <v>2</v>
      </c>
      <c r="M52" s="13"/>
      <c r="N52" s="13"/>
      <c r="O52" s="13">
        <v>50</v>
      </c>
      <c r="P52" s="13">
        <v>-54</v>
      </c>
      <c r="Q52" s="13"/>
      <c r="R52" s="13">
        <v>0</v>
      </c>
      <c r="S52" s="13"/>
      <c r="T52" s="13">
        <v>0</v>
      </c>
      <c r="U52" s="18"/>
      <c r="V52" s="13">
        <f t="shared" si="8"/>
        <v>18</v>
      </c>
      <c r="W52" s="4">
        <v>100</v>
      </c>
      <c r="X52" s="4">
        <f>W52*1.3</f>
        <v>130</v>
      </c>
      <c r="Y52" s="13">
        <f t="shared" si="9"/>
        <v>7.8888888888888893</v>
      </c>
      <c r="Z52" s="13">
        <f t="shared" si="10"/>
        <v>0.66666666666666663</v>
      </c>
      <c r="AA52" s="13">
        <v>5.2</v>
      </c>
      <c r="AB52" s="13">
        <v>0.6</v>
      </c>
      <c r="AC52" s="13">
        <v>0.6</v>
      </c>
      <c r="AD52" s="13">
        <v>0</v>
      </c>
      <c r="AE52" s="13">
        <v>0.6</v>
      </c>
      <c r="AF52" s="13">
        <v>0.4</v>
      </c>
      <c r="AG52" s="13">
        <v>0.4</v>
      </c>
      <c r="AH52" s="13">
        <v>5.2</v>
      </c>
      <c r="AI52" s="13">
        <v>32</v>
      </c>
      <c r="AJ52" s="13">
        <v>37.200000000000003</v>
      </c>
      <c r="AK52" s="13"/>
      <c r="AL52" s="13">
        <f t="shared" si="11"/>
        <v>52</v>
      </c>
      <c r="AM52" t="s">
        <v>144</v>
      </c>
    </row>
    <row r="53" spans="1:39" x14ac:dyDescent="0.25">
      <c r="A53" s="13" t="s">
        <v>145</v>
      </c>
      <c r="B53" s="13" t="s">
        <v>52</v>
      </c>
      <c r="C53" s="13">
        <v>3</v>
      </c>
      <c r="D53" s="13">
        <v>150</v>
      </c>
      <c r="E53" s="13">
        <v>108</v>
      </c>
      <c r="F53" s="13">
        <v>34</v>
      </c>
      <c r="G53" s="6">
        <v>0.4</v>
      </c>
      <c r="H53" s="13">
        <v>40</v>
      </c>
      <c r="I53" s="8" t="s">
        <v>63</v>
      </c>
      <c r="J53" s="13"/>
      <c r="K53" s="13">
        <v>114</v>
      </c>
      <c r="L53" s="13">
        <f t="shared" si="7"/>
        <v>-6</v>
      </c>
      <c r="M53" s="13"/>
      <c r="N53" s="13"/>
      <c r="O53" s="13">
        <v>50.600000000000023</v>
      </c>
      <c r="P53" s="13"/>
      <c r="Q53" s="13"/>
      <c r="R53" s="13">
        <v>20</v>
      </c>
      <c r="S53" s="13"/>
      <c r="T53" s="13">
        <v>17</v>
      </c>
      <c r="U53" s="18"/>
      <c r="V53" s="13">
        <f t="shared" si="8"/>
        <v>21.6</v>
      </c>
      <c r="W53" s="4">
        <f>12*V53-T53-S53-R53-Q53-P53-O53-F53</f>
        <v>137.60000000000002</v>
      </c>
      <c r="X53" s="4">
        <f>W53*1.3</f>
        <v>178.88000000000002</v>
      </c>
      <c r="Y53" s="13">
        <f t="shared" si="9"/>
        <v>13.911111111111111</v>
      </c>
      <c r="Z53" s="13">
        <f t="shared" si="10"/>
        <v>5.6296296296296306</v>
      </c>
      <c r="AA53" s="13">
        <v>10.199999999999999</v>
      </c>
      <c r="AB53" s="13">
        <v>13.4</v>
      </c>
      <c r="AC53" s="13">
        <v>20.6</v>
      </c>
      <c r="AD53" s="13">
        <v>22.6</v>
      </c>
      <c r="AE53" s="13">
        <v>16</v>
      </c>
      <c r="AF53" s="13">
        <v>9.1999999999999993</v>
      </c>
      <c r="AG53" s="13">
        <v>11.2</v>
      </c>
      <c r="AH53" s="13">
        <v>18.600000000000001</v>
      </c>
      <c r="AI53" s="13">
        <v>35.200000000000003</v>
      </c>
      <c r="AJ53" s="13">
        <v>32</v>
      </c>
      <c r="AK53" s="13"/>
      <c r="AL53" s="13">
        <f t="shared" si="11"/>
        <v>72</v>
      </c>
      <c r="AM53" t="s">
        <v>146</v>
      </c>
    </row>
    <row r="54" spans="1:39" x14ac:dyDescent="0.25">
      <c r="A54" s="13" t="s">
        <v>147</v>
      </c>
      <c r="B54" s="13" t="s">
        <v>44</v>
      </c>
      <c r="C54" s="13">
        <v>238.196</v>
      </c>
      <c r="D54" s="13"/>
      <c r="E54" s="13">
        <v>60.317999999999998</v>
      </c>
      <c r="F54" s="13">
        <v>163.10400000000001</v>
      </c>
      <c r="G54" s="6">
        <v>1</v>
      </c>
      <c r="H54" s="13">
        <v>50</v>
      </c>
      <c r="I54" s="13" t="s">
        <v>45</v>
      </c>
      <c r="J54" s="13"/>
      <c r="K54" s="13">
        <v>59.35</v>
      </c>
      <c r="L54" s="13">
        <f t="shared" si="7"/>
        <v>0.96799999999999642</v>
      </c>
      <c r="M54" s="13"/>
      <c r="N54" s="13"/>
      <c r="O54" s="13">
        <v>0</v>
      </c>
      <c r="P54" s="13"/>
      <c r="Q54" s="13"/>
      <c r="R54" s="13">
        <v>0</v>
      </c>
      <c r="S54" s="13"/>
      <c r="T54" s="13">
        <v>0</v>
      </c>
      <c r="U54" s="18"/>
      <c r="V54" s="13">
        <f t="shared" si="8"/>
        <v>12.063599999999999</v>
      </c>
      <c r="W54" s="4"/>
      <c r="X54" s="4">
        <f>W54</f>
        <v>0</v>
      </c>
      <c r="Y54" s="13">
        <f t="shared" si="9"/>
        <v>13.520342186412018</v>
      </c>
      <c r="Z54" s="13">
        <f t="shared" si="10"/>
        <v>13.520342186412018</v>
      </c>
      <c r="AA54" s="13">
        <v>14.1008</v>
      </c>
      <c r="AB54" s="13">
        <v>15.144</v>
      </c>
      <c r="AC54" s="13">
        <v>11.5428</v>
      </c>
      <c r="AD54" s="13">
        <v>14.5372</v>
      </c>
      <c r="AE54" s="13">
        <v>14.926600000000001</v>
      </c>
      <c r="AF54" s="13">
        <v>10.1182</v>
      </c>
      <c r="AG54" s="13">
        <v>9.234</v>
      </c>
      <c r="AH54" s="13">
        <v>17.479399999999998</v>
      </c>
      <c r="AI54" s="13">
        <v>25.413399999999999</v>
      </c>
      <c r="AJ54" s="13">
        <v>15.8782</v>
      </c>
      <c r="AK54" s="13" t="s">
        <v>117</v>
      </c>
      <c r="AL54" s="13">
        <f t="shared" si="11"/>
        <v>0</v>
      </c>
      <c r="AM54" t="s">
        <v>148</v>
      </c>
    </row>
    <row r="55" spans="1:39" x14ac:dyDescent="0.25">
      <c r="A55" s="13" t="s">
        <v>149</v>
      </c>
      <c r="B55" s="13" t="s">
        <v>52</v>
      </c>
      <c r="C55" s="13">
        <v>890</v>
      </c>
      <c r="D55" s="13">
        <v>600</v>
      </c>
      <c r="E55" s="12">
        <f>367+E127</f>
        <v>510</v>
      </c>
      <c r="F55" s="12">
        <f>910+F127</f>
        <v>954</v>
      </c>
      <c r="G55" s="6">
        <v>0.1</v>
      </c>
      <c r="H55" s="13">
        <v>731</v>
      </c>
      <c r="I55" s="13" t="s">
        <v>45</v>
      </c>
      <c r="J55" s="13"/>
      <c r="K55" s="13">
        <v>353</v>
      </c>
      <c r="L55" s="13">
        <f t="shared" si="7"/>
        <v>157</v>
      </c>
      <c r="M55" s="13"/>
      <c r="N55" s="13"/>
      <c r="O55" s="13">
        <v>0</v>
      </c>
      <c r="P55" s="13"/>
      <c r="Q55" s="13"/>
      <c r="R55" s="13">
        <v>0</v>
      </c>
      <c r="S55" s="13"/>
      <c r="T55" s="13">
        <v>434.68000000000012</v>
      </c>
      <c r="U55" s="18"/>
      <c r="V55" s="13">
        <f t="shared" si="8"/>
        <v>102</v>
      </c>
      <c r="W55" s="4"/>
      <c r="X55" s="4">
        <f>W55</f>
        <v>0</v>
      </c>
      <c r="Y55" s="13">
        <f t="shared" si="9"/>
        <v>13.614509803921569</v>
      </c>
      <c r="Z55" s="13">
        <f t="shared" si="10"/>
        <v>13.614509803921569</v>
      </c>
      <c r="AA55" s="13">
        <v>110.4</v>
      </c>
      <c r="AB55" s="13">
        <v>101.6</v>
      </c>
      <c r="AC55" s="13">
        <v>110.4</v>
      </c>
      <c r="AD55" s="13">
        <v>119.2</v>
      </c>
      <c r="AE55" s="13">
        <v>95.4</v>
      </c>
      <c r="AF55" s="13">
        <v>58.6</v>
      </c>
      <c r="AG55" s="13">
        <v>45.4</v>
      </c>
      <c r="AH55" s="13">
        <v>50</v>
      </c>
      <c r="AI55" s="13">
        <v>44.8</v>
      </c>
      <c r="AJ55" s="13">
        <v>32.4</v>
      </c>
      <c r="AK55" s="13" t="s">
        <v>117</v>
      </c>
      <c r="AL55" s="13">
        <f t="shared" si="11"/>
        <v>0</v>
      </c>
      <c r="AM55" t="s">
        <v>150</v>
      </c>
    </row>
    <row r="56" spans="1:39" x14ac:dyDescent="0.25">
      <c r="A56" s="13" t="s">
        <v>151</v>
      </c>
      <c r="B56" s="13" t="s">
        <v>44</v>
      </c>
      <c r="C56" s="13">
        <v>58.792999999999999</v>
      </c>
      <c r="D56" s="13">
        <v>192.71199999999999</v>
      </c>
      <c r="E56" s="13">
        <v>104.336</v>
      </c>
      <c r="F56" s="13">
        <v>133.91300000000001</v>
      </c>
      <c r="G56" s="6">
        <v>1</v>
      </c>
      <c r="H56" s="13">
        <v>50</v>
      </c>
      <c r="I56" s="13" t="s">
        <v>45</v>
      </c>
      <c r="J56" s="13"/>
      <c r="K56" s="13">
        <v>102.6</v>
      </c>
      <c r="L56" s="13">
        <f t="shared" si="7"/>
        <v>1.7360000000000042</v>
      </c>
      <c r="M56" s="13"/>
      <c r="N56" s="13"/>
      <c r="O56" s="13">
        <v>0</v>
      </c>
      <c r="P56" s="13"/>
      <c r="Q56" s="13"/>
      <c r="R56" s="13">
        <v>63.031399999999948</v>
      </c>
      <c r="S56" s="13"/>
      <c r="T56" s="13">
        <v>17.09160000000006</v>
      </c>
      <c r="U56" s="18"/>
      <c r="V56" s="13">
        <f t="shared" si="8"/>
        <v>20.8672</v>
      </c>
      <c r="W56" s="4">
        <f>12*V56-T56-S56-R56-Q56-P56-O56-F56</f>
        <v>36.370400000000018</v>
      </c>
      <c r="X56" s="4">
        <f>W56+V56*$X$1</f>
        <v>82.069568000000018</v>
      </c>
      <c r="Y56" s="13">
        <f t="shared" si="9"/>
        <v>14.190000000000003</v>
      </c>
      <c r="Z56" s="13">
        <f t="shared" si="10"/>
        <v>10.257054132801718</v>
      </c>
      <c r="AA56" s="13">
        <v>22.484000000000002</v>
      </c>
      <c r="AB56" s="13">
        <v>23.589200000000002</v>
      </c>
      <c r="AC56" s="13">
        <v>20.336200000000002</v>
      </c>
      <c r="AD56" s="13">
        <v>22.462199999999999</v>
      </c>
      <c r="AE56" s="13">
        <v>19.364799999999999</v>
      </c>
      <c r="AF56" s="13">
        <v>7.6135999999999999</v>
      </c>
      <c r="AG56" s="13">
        <v>7.0691999999999986</v>
      </c>
      <c r="AH56" s="13">
        <v>16.045000000000002</v>
      </c>
      <c r="AI56" s="13">
        <v>15.5054</v>
      </c>
      <c r="AJ56" s="13">
        <v>10.170400000000001</v>
      </c>
      <c r="AK56" s="13" t="s">
        <v>117</v>
      </c>
      <c r="AL56" s="13">
        <f t="shared" si="11"/>
        <v>82</v>
      </c>
      <c r="AM56" t="s">
        <v>152</v>
      </c>
    </row>
    <row r="57" spans="1:39" x14ac:dyDescent="0.25">
      <c r="A57" s="13" t="s">
        <v>153</v>
      </c>
      <c r="B57" s="13" t="s">
        <v>44</v>
      </c>
      <c r="C57" s="13">
        <v>37.012</v>
      </c>
      <c r="D57" s="13"/>
      <c r="E57" s="13">
        <v>36.764000000000003</v>
      </c>
      <c r="F57" s="13">
        <v>-1.1200000000000001</v>
      </c>
      <c r="G57" s="6">
        <v>1</v>
      </c>
      <c r="H57" s="13">
        <v>55</v>
      </c>
      <c r="I57" s="13" t="s">
        <v>45</v>
      </c>
      <c r="J57" s="13"/>
      <c r="K57" s="13">
        <v>28.4</v>
      </c>
      <c r="L57" s="13">
        <f t="shared" si="7"/>
        <v>8.3640000000000043</v>
      </c>
      <c r="M57" s="13"/>
      <c r="N57" s="13"/>
      <c r="O57" s="13">
        <v>27.818999999999999</v>
      </c>
      <c r="P57" s="13"/>
      <c r="Q57" s="13"/>
      <c r="R57" s="13">
        <v>49.552999999999997</v>
      </c>
      <c r="S57" s="13"/>
      <c r="T57" s="13">
        <v>36.572200000000016</v>
      </c>
      <c r="U57" s="18"/>
      <c r="V57" s="13">
        <f t="shared" si="8"/>
        <v>7.3528000000000002</v>
      </c>
      <c r="W57" s="4"/>
      <c r="X57" s="4">
        <f>W57</f>
        <v>0</v>
      </c>
      <c r="Y57" s="13">
        <f t="shared" si="9"/>
        <v>15.344385812207596</v>
      </c>
      <c r="Z57" s="13">
        <f t="shared" si="10"/>
        <v>15.344385812207596</v>
      </c>
      <c r="AA57" s="13">
        <v>10.632199999999999</v>
      </c>
      <c r="AB57" s="13">
        <v>8.7439999999999998</v>
      </c>
      <c r="AC57" s="13">
        <v>8.1340000000000003</v>
      </c>
      <c r="AD57" s="13">
        <v>6.6686000000000014</v>
      </c>
      <c r="AE57" s="13">
        <v>3.7136</v>
      </c>
      <c r="AF57" s="13">
        <v>4.3811999999999998</v>
      </c>
      <c r="AG57" s="13">
        <v>5.7595999999999998</v>
      </c>
      <c r="AH57" s="13">
        <v>8.5346000000000011</v>
      </c>
      <c r="AI57" s="13">
        <v>7.9825999999999997</v>
      </c>
      <c r="AJ57" s="13">
        <v>2.7427999999999999</v>
      </c>
      <c r="AK57" s="13"/>
      <c r="AL57" s="13">
        <f t="shared" si="11"/>
        <v>0</v>
      </c>
      <c r="AM57" t="s">
        <v>154</v>
      </c>
    </row>
    <row r="58" spans="1:39" x14ac:dyDescent="0.25">
      <c r="A58" s="13" t="s">
        <v>155</v>
      </c>
      <c r="B58" s="13" t="s">
        <v>52</v>
      </c>
      <c r="C58" s="13">
        <v>512</v>
      </c>
      <c r="D58" s="13">
        <v>600</v>
      </c>
      <c r="E58" s="13">
        <v>337</v>
      </c>
      <c r="F58" s="13">
        <v>762</v>
      </c>
      <c r="G58" s="6">
        <v>0.1</v>
      </c>
      <c r="H58" s="13">
        <v>731</v>
      </c>
      <c r="I58" s="13" t="s">
        <v>45</v>
      </c>
      <c r="J58" s="13"/>
      <c r="K58" s="13">
        <v>341</v>
      </c>
      <c r="L58" s="13">
        <f t="shared" si="7"/>
        <v>-4</v>
      </c>
      <c r="M58" s="13"/>
      <c r="N58" s="13"/>
      <c r="O58" s="13">
        <v>0</v>
      </c>
      <c r="P58" s="13"/>
      <c r="Q58" s="13"/>
      <c r="R58" s="13">
        <v>0</v>
      </c>
      <c r="S58" s="13"/>
      <c r="T58" s="13">
        <v>248.96</v>
      </c>
      <c r="U58" s="18"/>
      <c r="V58" s="13">
        <f t="shared" si="8"/>
        <v>67.400000000000006</v>
      </c>
      <c r="W58" s="4"/>
      <c r="X58" s="4">
        <f>W58</f>
        <v>0</v>
      </c>
      <c r="Y58" s="13">
        <f t="shared" si="9"/>
        <v>14.99940652818991</v>
      </c>
      <c r="Z58" s="13">
        <f t="shared" si="10"/>
        <v>14.99940652818991</v>
      </c>
      <c r="AA58" s="13">
        <v>77.8</v>
      </c>
      <c r="AB58" s="13">
        <v>72.400000000000006</v>
      </c>
      <c r="AC58" s="13">
        <v>69.2</v>
      </c>
      <c r="AD58" s="13">
        <v>86.8</v>
      </c>
      <c r="AE58" s="13">
        <v>72.8</v>
      </c>
      <c r="AF58" s="13">
        <v>27.2</v>
      </c>
      <c r="AG58" s="13">
        <v>7</v>
      </c>
      <c r="AH58" s="13">
        <v>29</v>
      </c>
      <c r="AI58" s="13">
        <v>73.2</v>
      </c>
      <c r="AJ58" s="13">
        <v>64.2</v>
      </c>
      <c r="AK58" s="13" t="s">
        <v>117</v>
      </c>
      <c r="AL58" s="13">
        <f t="shared" si="11"/>
        <v>0</v>
      </c>
      <c r="AM58" t="s">
        <v>156</v>
      </c>
    </row>
    <row r="59" spans="1:39" x14ac:dyDescent="0.25">
      <c r="A59" s="13" t="s">
        <v>157</v>
      </c>
      <c r="B59" s="13" t="s">
        <v>52</v>
      </c>
      <c r="C59" s="13">
        <v>8</v>
      </c>
      <c r="D59" s="13">
        <v>60</v>
      </c>
      <c r="E59" s="13">
        <v>12</v>
      </c>
      <c r="F59" s="13">
        <v>49</v>
      </c>
      <c r="G59" s="6">
        <v>0.4</v>
      </c>
      <c r="H59" s="13">
        <v>50</v>
      </c>
      <c r="I59" s="13" t="s">
        <v>45</v>
      </c>
      <c r="J59" s="13"/>
      <c r="K59" s="13">
        <v>16</v>
      </c>
      <c r="L59" s="13">
        <f t="shared" si="7"/>
        <v>-4</v>
      </c>
      <c r="M59" s="13"/>
      <c r="N59" s="13"/>
      <c r="O59" s="13">
        <v>0</v>
      </c>
      <c r="P59" s="13"/>
      <c r="Q59" s="13"/>
      <c r="R59" s="13">
        <v>0</v>
      </c>
      <c r="S59" s="13"/>
      <c r="T59" s="13">
        <v>0</v>
      </c>
      <c r="U59" s="18"/>
      <c r="V59" s="13">
        <f t="shared" si="8"/>
        <v>2.4</v>
      </c>
      <c r="W59" s="4"/>
      <c r="X59" s="4">
        <f>W59</f>
        <v>0</v>
      </c>
      <c r="Y59" s="13">
        <f t="shared" si="9"/>
        <v>20.416666666666668</v>
      </c>
      <c r="Z59" s="13">
        <f t="shared" si="10"/>
        <v>20.416666666666668</v>
      </c>
      <c r="AA59" s="13">
        <v>2.6</v>
      </c>
      <c r="AB59" s="13">
        <v>4.5999999999999996</v>
      </c>
      <c r="AC59" s="13">
        <v>6</v>
      </c>
      <c r="AD59" s="13">
        <v>7.6</v>
      </c>
      <c r="AE59" s="13">
        <v>7</v>
      </c>
      <c r="AF59" s="13">
        <v>4.4000000000000004</v>
      </c>
      <c r="AG59" s="13">
        <v>3.6</v>
      </c>
      <c r="AH59" s="13">
        <v>7.6</v>
      </c>
      <c r="AI59" s="13">
        <v>8.8000000000000007</v>
      </c>
      <c r="AJ59" s="13">
        <v>4</v>
      </c>
      <c r="AK59" s="13"/>
      <c r="AL59" s="13">
        <f t="shared" si="11"/>
        <v>0</v>
      </c>
      <c r="AM59" t="s">
        <v>158</v>
      </c>
    </row>
    <row r="60" spans="1:39" x14ac:dyDescent="0.25">
      <c r="A60" s="13" t="s">
        <v>159</v>
      </c>
      <c r="B60" s="13" t="s">
        <v>44</v>
      </c>
      <c r="C60" s="13">
        <v>6.34</v>
      </c>
      <c r="D60" s="13">
        <v>181.35499999999999</v>
      </c>
      <c r="E60" s="13">
        <v>92.57</v>
      </c>
      <c r="F60" s="13">
        <v>75.653000000000006</v>
      </c>
      <c r="G60" s="6">
        <v>1</v>
      </c>
      <c r="H60" s="13">
        <v>40</v>
      </c>
      <c r="I60" s="8" t="s">
        <v>63</v>
      </c>
      <c r="J60" s="13"/>
      <c r="K60" s="13">
        <v>90.95</v>
      </c>
      <c r="L60" s="13">
        <f t="shared" si="7"/>
        <v>1.6199999999999903</v>
      </c>
      <c r="M60" s="13"/>
      <c r="N60" s="13"/>
      <c r="O60" s="13">
        <v>100</v>
      </c>
      <c r="P60" s="13"/>
      <c r="Q60" s="13"/>
      <c r="R60" s="13">
        <v>0</v>
      </c>
      <c r="S60" s="13"/>
      <c r="T60" s="13">
        <v>0</v>
      </c>
      <c r="U60" s="18"/>
      <c r="V60" s="13">
        <f t="shared" si="8"/>
        <v>18.513999999999999</v>
      </c>
      <c r="W60" s="4">
        <f>12*V60-T60-S60-R60-Q60-P60-O60-F60</f>
        <v>46.515000000000001</v>
      </c>
      <c r="X60" s="4">
        <f>W60*1.3</f>
        <v>60.469500000000004</v>
      </c>
      <c r="Y60" s="13">
        <f t="shared" si="9"/>
        <v>12.753726909365888</v>
      </c>
      <c r="Z60" s="13">
        <f t="shared" si="10"/>
        <v>9.4875769687803846</v>
      </c>
      <c r="AA60" s="13">
        <v>18.356999999999999</v>
      </c>
      <c r="AB60" s="13">
        <v>11.759600000000001</v>
      </c>
      <c r="AC60" s="13">
        <v>9.4784000000000006</v>
      </c>
      <c r="AD60" s="13">
        <v>14.47</v>
      </c>
      <c r="AE60" s="13">
        <v>20.325600000000001</v>
      </c>
      <c r="AF60" s="13">
        <v>13.4848</v>
      </c>
      <c r="AG60" s="13">
        <v>5.4063999999999997</v>
      </c>
      <c r="AH60" s="13">
        <v>11.4124</v>
      </c>
      <c r="AI60" s="13">
        <v>15.1564</v>
      </c>
      <c r="AJ60" s="13">
        <v>9.6504000000000012</v>
      </c>
      <c r="AK60" s="13"/>
      <c r="AL60" s="13">
        <f t="shared" si="11"/>
        <v>60</v>
      </c>
      <c r="AM60" t="s">
        <v>160</v>
      </c>
    </row>
    <row r="61" spans="1:39" x14ac:dyDescent="0.25">
      <c r="A61" s="13" t="s">
        <v>161</v>
      </c>
      <c r="B61" s="13" t="s">
        <v>44</v>
      </c>
      <c r="C61" s="13"/>
      <c r="D61" s="13">
        <v>371.005</v>
      </c>
      <c r="E61" s="13">
        <v>151.96199999999999</v>
      </c>
      <c r="F61" s="13">
        <v>202.309</v>
      </c>
      <c r="G61" s="6">
        <v>1</v>
      </c>
      <c r="H61" s="13">
        <v>40</v>
      </c>
      <c r="I61" s="8" t="s">
        <v>63</v>
      </c>
      <c r="J61" s="13"/>
      <c r="K61" s="13">
        <v>146.65</v>
      </c>
      <c r="L61" s="13">
        <f t="shared" si="7"/>
        <v>5.3119999999999834</v>
      </c>
      <c r="M61" s="13"/>
      <c r="N61" s="13"/>
      <c r="O61" s="13">
        <v>50</v>
      </c>
      <c r="P61" s="13">
        <v>-56.7</v>
      </c>
      <c r="Q61" s="13"/>
      <c r="R61" s="13">
        <v>0</v>
      </c>
      <c r="S61" s="13"/>
      <c r="T61" s="13">
        <v>34</v>
      </c>
      <c r="U61" s="18"/>
      <c r="V61" s="13">
        <f t="shared" si="8"/>
        <v>30.392399999999999</v>
      </c>
      <c r="W61" s="4">
        <v>100</v>
      </c>
      <c r="X61" s="4">
        <f>W61*1.3</f>
        <v>130</v>
      </c>
      <c r="Y61" s="13">
        <f t="shared" si="9"/>
        <v>11.832201471420486</v>
      </c>
      <c r="Z61" s="13">
        <f t="shared" si="10"/>
        <v>7.5548163356628626</v>
      </c>
      <c r="AA61" s="13">
        <v>17.517199999999999</v>
      </c>
      <c r="AB61" s="13">
        <v>9.0928000000000004</v>
      </c>
      <c r="AC61" s="13">
        <v>26.732800000000001</v>
      </c>
      <c r="AD61" s="13">
        <v>50.743400000000001</v>
      </c>
      <c r="AE61" s="13">
        <v>44.511800000000001</v>
      </c>
      <c r="AF61" s="13">
        <v>13.555400000000001</v>
      </c>
      <c r="AG61" s="13">
        <v>7.0035999999999996</v>
      </c>
      <c r="AH61" s="13">
        <v>20.619199999999999</v>
      </c>
      <c r="AI61" s="13">
        <v>34.844000000000001</v>
      </c>
      <c r="AJ61" s="13">
        <v>21.790600000000001</v>
      </c>
      <c r="AK61" s="13"/>
      <c r="AL61" s="13">
        <f t="shared" si="11"/>
        <v>130</v>
      </c>
      <c r="AM61" t="s">
        <v>162</v>
      </c>
    </row>
    <row r="62" spans="1:39" x14ac:dyDescent="0.25">
      <c r="A62" s="13" t="s">
        <v>163</v>
      </c>
      <c r="B62" s="13" t="s">
        <v>52</v>
      </c>
      <c r="C62" s="13">
        <v>296</v>
      </c>
      <c r="D62" s="13">
        <v>252</v>
      </c>
      <c r="E62" s="13">
        <v>251</v>
      </c>
      <c r="F62" s="13">
        <v>296</v>
      </c>
      <c r="G62" s="6">
        <v>0.4</v>
      </c>
      <c r="H62" s="13">
        <v>40</v>
      </c>
      <c r="I62" s="8" t="s">
        <v>63</v>
      </c>
      <c r="J62" s="13"/>
      <c r="K62" s="13">
        <v>621</v>
      </c>
      <c r="L62" s="13">
        <f t="shared" si="7"/>
        <v>-370</v>
      </c>
      <c r="M62" s="13"/>
      <c r="N62" s="13"/>
      <c r="O62" s="13">
        <v>0</v>
      </c>
      <c r="P62" s="13"/>
      <c r="Q62" s="13"/>
      <c r="R62" s="13">
        <v>300</v>
      </c>
      <c r="S62" s="13"/>
      <c r="T62" s="13">
        <v>170</v>
      </c>
      <c r="U62" s="18"/>
      <c r="V62" s="13">
        <f t="shared" si="8"/>
        <v>50.2</v>
      </c>
      <c r="W62" s="4">
        <v>50</v>
      </c>
      <c r="X62" s="4">
        <f>W62*1.3</f>
        <v>65</v>
      </c>
      <c r="Y62" s="13">
        <f t="shared" si="9"/>
        <v>16.553784860557769</v>
      </c>
      <c r="Z62" s="13">
        <f t="shared" si="10"/>
        <v>15.258964143426294</v>
      </c>
      <c r="AA62" s="13">
        <v>31.2</v>
      </c>
      <c r="AB62" s="13">
        <v>50.4</v>
      </c>
      <c r="AC62" s="13">
        <v>19.2</v>
      </c>
      <c r="AD62" s="13">
        <v>0</v>
      </c>
      <c r="AE62" s="13">
        <v>46.2</v>
      </c>
      <c r="AF62" s="13">
        <v>50.4</v>
      </c>
      <c r="AG62" s="13">
        <v>4</v>
      </c>
      <c r="AH62" s="13">
        <v>2.4</v>
      </c>
      <c r="AI62" s="13">
        <v>49</v>
      </c>
      <c r="AJ62" s="13">
        <v>58</v>
      </c>
      <c r="AK62" s="13"/>
      <c r="AL62" s="13">
        <f t="shared" si="11"/>
        <v>26</v>
      </c>
      <c r="AM62" t="s">
        <v>164</v>
      </c>
    </row>
    <row r="63" spans="1:39" x14ac:dyDescent="0.25">
      <c r="A63" s="13" t="s">
        <v>165</v>
      </c>
      <c r="B63" s="13" t="s">
        <v>52</v>
      </c>
      <c r="C63" s="13"/>
      <c r="D63" s="13">
        <v>840</v>
      </c>
      <c r="E63" s="13">
        <v>411</v>
      </c>
      <c r="F63" s="13">
        <v>376</v>
      </c>
      <c r="G63" s="6">
        <v>0.4</v>
      </c>
      <c r="H63" s="13">
        <v>40</v>
      </c>
      <c r="I63" s="13" t="s">
        <v>45</v>
      </c>
      <c r="J63" s="13"/>
      <c r="K63" s="13">
        <v>430</v>
      </c>
      <c r="L63" s="13">
        <f t="shared" si="7"/>
        <v>-19</v>
      </c>
      <c r="M63" s="13"/>
      <c r="N63" s="13"/>
      <c r="O63" s="13">
        <v>0</v>
      </c>
      <c r="P63" s="13"/>
      <c r="Q63" s="13"/>
      <c r="R63" s="13">
        <v>0</v>
      </c>
      <c r="S63" s="13"/>
      <c r="T63" s="13">
        <v>456.44000000000011</v>
      </c>
      <c r="U63" s="18"/>
      <c r="V63" s="13">
        <f t="shared" si="8"/>
        <v>82.2</v>
      </c>
      <c r="W63" s="4">
        <f>12*V63-T63-S63-R63-Q63-P63-O63-F63</f>
        <v>153.96000000000004</v>
      </c>
      <c r="X63" s="4">
        <f>W63+V63*$X$1</f>
        <v>333.97800000000007</v>
      </c>
      <c r="Y63" s="13">
        <f t="shared" si="9"/>
        <v>14.190000000000001</v>
      </c>
      <c r="Z63" s="13">
        <f t="shared" si="10"/>
        <v>10.127007299270073</v>
      </c>
      <c r="AA63" s="13">
        <v>73.2</v>
      </c>
      <c r="AB63" s="13">
        <v>43.6</v>
      </c>
      <c r="AC63" s="13">
        <v>59</v>
      </c>
      <c r="AD63" s="13">
        <v>88</v>
      </c>
      <c r="AE63" s="13">
        <v>78.8</v>
      </c>
      <c r="AF63" s="13">
        <v>41.4</v>
      </c>
      <c r="AG63" s="13">
        <v>17.2</v>
      </c>
      <c r="AH63" s="13">
        <v>65.599999999999994</v>
      </c>
      <c r="AI63" s="13">
        <v>94.4</v>
      </c>
      <c r="AJ63" s="13">
        <v>46.4</v>
      </c>
      <c r="AK63" s="13"/>
      <c r="AL63" s="13">
        <f t="shared" si="11"/>
        <v>134</v>
      </c>
      <c r="AM63" t="s">
        <v>166</v>
      </c>
    </row>
    <row r="64" spans="1:39" x14ac:dyDescent="0.25">
      <c r="A64" s="13" t="s">
        <v>167</v>
      </c>
      <c r="B64" s="13" t="s">
        <v>44</v>
      </c>
      <c r="C64" s="13">
        <v>-8.5999999999999993E-2</v>
      </c>
      <c r="D64" s="13"/>
      <c r="E64" s="13">
        <v>-0.89500000000000002</v>
      </c>
      <c r="F64" s="13">
        <v>-8.5999999999999993E-2</v>
      </c>
      <c r="G64" s="6">
        <v>1</v>
      </c>
      <c r="H64" s="13">
        <v>40</v>
      </c>
      <c r="I64" s="8" t="s">
        <v>63</v>
      </c>
      <c r="J64" s="13"/>
      <c r="K64" s="13">
        <v>4.8</v>
      </c>
      <c r="L64" s="13">
        <f t="shared" si="7"/>
        <v>-5.6950000000000003</v>
      </c>
      <c r="M64" s="13"/>
      <c r="N64" s="13"/>
      <c r="O64" s="13">
        <v>70</v>
      </c>
      <c r="P64" s="13"/>
      <c r="Q64" s="13"/>
      <c r="R64" s="13">
        <v>100</v>
      </c>
      <c r="S64" s="13"/>
      <c r="T64" s="13">
        <v>51</v>
      </c>
      <c r="U64" s="18"/>
      <c r="V64" s="13">
        <f t="shared" si="8"/>
        <v>-0.17899999999999999</v>
      </c>
      <c r="W64" s="4"/>
      <c r="X64" s="4">
        <f>W64*1.3</f>
        <v>0</v>
      </c>
      <c r="Y64" s="13">
        <f t="shared" si="9"/>
        <v>-1234.1564245810055</v>
      </c>
      <c r="Z64" s="13">
        <f t="shared" si="10"/>
        <v>-1234.1564245810055</v>
      </c>
      <c r="AA64" s="13">
        <v>9.9154</v>
      </c>
      <c r="AB64" s="13">
        <v>12.6272</v>
      </c>
      <c r="AC64" s="13">
        <v>2.1669999999999998</v>
      </c>
      <c r="AD64" s="13">
        <v>9.2682000000000002</v>
      </c>
      <c r="AE64" s="13">
        <v>13.442399999999999</v>
      </c>
      <c r="AF64" s="13">
        <v>3.0853999999999999</v>
      </c>
      <c r="AG64" s="13">
        <v>12.965400000000001</v>
      </c>
      <c r="AH64" s="13">
        <v>26.226199999999999</v>
      </c>
      <c r="AI64" s="13">
        <v>32.113799999999998</v>
      </c>
      <c r="AJ64" s="13">
        <v>30.863199999999999</v>
      </c>
      <c r="AK64" s="13"/>
      <c r="AL64" s="13">
        <f t="shared" si="11"/>
        <v>0</v>
      </c>
      <c r="AM64" t="s">
        <v>168</v>
      </c>
    </row>
    <row r="65" spans="1:39" x14ac:dyDescent="0.25">
      <c r="A65" s="13" t="s">
        <v>169</v>
      </c>
      <c r="B65" s="13" t="s">
        <v>44</v>
      </c>
      <c r="C65" s="13"/>
      <c r="D65" s="13"/>
      <c r="E65" s="13"/>
      <c r="F65" s="13"/>
      <c r="G65" s="6">
        <v>1</v>
      </c>
      <c r="H65" s="13">
        <v>40</v>
      </c>
      <c r="I65" s="8" t="s">
        <v>63</v>
      </c>
      <c r="J65" s="13"/>
      <c r="K65" s="13">
        <v>9.1</v>
      </c>
      <c r="L65" s="13">
        <f t="shared" si="7"/>
        <v>-9.1</v>
      </c>
      <c r="M65" s="13"/>
      <c r="N65" s="13"/>
      <c r="O65" s="13">
        <v>100</v>
      </c>
      <c r="P65" s="13"/>
      <c r="Q65" s="13"/>
      <c r="R65" s="13">
        <v>50</v>
      </c>
      <c r="S65" s="13">
        <v>-54</v>
      </c>
      <c r="T65" s="13">
        <v>51</v>
      </c>
      <c r="U65" s="18"/>
      <c r="V65" s="13">
        <f t="shared" si="8"/>
        <v>0</v>
      </c>
      <c r="W65" s="4"/>
      <c r="X65" s="4">
        <f>W65*1.3</f>
        <v>0</v>
      </c>
      <c r="Y65" s="13" t="e">
        <f t="shared" si="9"/>
        <v>#DIV/0!</v>
      </c>
      <c r="Z65" s="13" t="e">
        <f t="shared" si="10"/>
        <v>#DIV/0!</v>
      </c>
      <c r="AA65" s="13">
        <v>-0.1804</v>
      </c>
      <c r="AB65" s="13">
        <v>-0.1804</v>
      </c>
      <c r="AC65" s="13">
        <v>0</v>
      </c>
      <c r="AD65" s="13">
        <v>9.9068000000000005</v>
      </c>
      <c r="AE65" s="13">
        <v>13.321</v>
      </c>
      <c r="AF65" s="13">
        <v>3.2414000000000001</v>
      </c>
      <c r="AG65" s="13">
        <v>-0.35539999999999999</v>
      </c>
      <c r="AH65" s="13">
        <v>0.54620000000000002</v>
      </c>
      <c r="AI65" s="13">
        <v>13.5738</v>
      </c>
      <c r="AJ65" s="13">
        <v>26.236799999999999</v>
      </c>
      <c r="AK65" s="13"/>
      <c r="AL65" s="13">
        <f t="shared" si="11"/>
        <v>0</v>
      </c>
      <c r="AM65" t="s">
        <v>170</v>
      </c>
    </row>
    <row r="66" spans="1:39" x14ac:dyDescent="0.25">
      <c r="A66" s="13" t="s">
        <v>171</v>
      </c>
      <c r="B66" s="13" t="s">
        <v>44</v>
      </c>
      <c r="C66" s="13"/>
      <c r="D66" s="13">
        <v>66.046999999999997</v>
      </c>
      <c r="E66" s="13">
        <v>65.182000000000002</v>
      </c>
      <c r="F66" s="13">
        <v>-5.3999999999999999E-2</v>
      </c>
      <c r="G66" s="6">
        <v>1</v>
      </c>
      <c r="H66" s="13">
        <v>40</v>
      </c>
      <c r="I66" s="8" t="s">
        <v>63</v>
      </c>
      <c r="J66" s="13"/>
      <c r="K66" s="13">
        <v>81.2</v>
      </c>
      <c r="L66" s="13">
        <f t="shared" si="7"/>
        <v>-16.018000000000001</v>
      </c>
      <c r="M66" s="13"/>
      <c r="N66" s="13"/>
      <c r="O66" s="13">
        <v>100</v>
      </c>
      <c r="P66" s="13">
        <v>-102.6</v>
      </c>
      <c r="Q66" s="13"/>
      <c r="R66" s="13">
        <v>50</v>
      </c>
      <c r="S66" s="13">
        <v>-54</v>
      </c>
      <c r="T66" s="13">
        <v>85</v>
      </c>
      <c r="U66" s="18"/>
      <c r="V66" s="13">
        <f t="shared" si="8"/>
        <v>13.0364</v>
      </c>
      <c r="W66" s="4">
        <f>12*V66-T66-S66-R66-Q66-P66-O66-F66</f>
        <v>78.090800000000002</v>
      </c>
      <c r="X66" s="4">
        <f>W66*1.3</f>
        <v>101.51804</v>
      </c>
      <c r="Y66" s="13">
        <f t="shared" si="9"/>
        <v>13.797063606517135</v>
      </c>
      <c r="Z66" s="13">
        <f t="shared" si="10"/>
        <v>6.0097879782762114</v>
      </c>
      <c r="AA66" s="13">
        <v>-0.42159999999999997</v>
      </c>
      <c r="AB66" s="13">
        <v>-1.1474</v>
      </c>
      <c r="AC66" s="13">
        <v>-1.9256</v>
      </c>
      <c r="AD66" s="13">
        <v>12.2172</v>
      </c>
      <c r="AE66" s="13">
        <v>26.985199999999999</v>
      </c>
      <c r="AF66" s="13">
        <v>13.568199999999999</v>
      </c>
      <c r="AG66" s="13">
        <v>13.93</v>
      </c>
      <c r="AH66" s="13">
        <v>51.272399999999998</v>
      </c>
      <c r="AI66" s="13">
        <v>69.817999999999998</v>
      </c>
      <c r="AJ66" s="13">
        <v>64.147799999999989</v>
      </c>
      <c r="AK66" s="13"/>
      <c r="AL66" s="13">
        <f t="shared" si="11"/>
        <v>102</v>
      </c>
      <c r="AM66" t="s">
        <v>172</v>
      </c>
    </row>
    <row r="67" spans="1:39" x14ac:dyDescent="0.25">
      <c r="A67" s="13" t="s">
        <v>173</v>
      </c>
      <c r="B67" s="13" t="s">
        <v>44</v>
      </c>
      <c r="C67" s="13">
        <v>-0.89700000000000002</v>
      </c>
      <c r="D67" s="13"/>
      <c r="E67" s="13">
        <v>-0.92300000000000004</v>
      </c>
      <c r="F67" s="13">
        <v>-0.89700000000000002</v>
      </c>
      <c r="G67" s="6">
        <v>1</v>
      </c>
      <c r="H67" s="13">
        <v>40</v>
      </c>
      <c r="I67" s="8" t="s">
        <v>63</v>
      </c>
      <c r="J67" s="13"/>
      <c r="K67" s="13">
        <v>11</v>
      </c>
      <c r="L67" s="13">
        <f t="shared" si="7"/>
        <v>-11.923</v>
      </c>
      <c r="M67" s="13"/>
      <c r="N67" s="13"/>
      <c r="O67" s="13">
        <v>40</v>
      </c>
      <c r="P67" s="13">
        <v>-43.2</v>
      </c>
      <c r="Q67" s="13"/>
      <c r="R67" s="13">
        <v>50</v>
      </c>
      <c r="S67" s="13">
        <v>-54</v>
      </c>
      <c r="T67" s="13">
        <v>102</v>
      </c>
      <c r="U67" s="18"/>
      <c r="V67" s="13">
        <f t="shared" si="8"/>
        <v>-0.18460000000000001</v>
      </c>
      <c r="W67" s="4">
        <v>20</v>
      </c>
      <c r="X67" s="4">
        <f>W67*1.3</f>
        <v>26</v>
      </c>
      <c r="Y67" s="13">
        <f t="shared" si="9"/>
        <v>-649.52871072589369</v>
      </c>
      <c r="Z67" s="13">
        <f t="shared" si="10"/>
        <v>-508.68364030335852</v>
      </c>
      <c r="AA67" s="13">
        <v>9.6046000000000014</v>
      </c>
      <c r="AB67" s="13">
        <v>11.9552</v>
      </c>
      <c r="AC67" s="13">
        <v>1.9862</v>
      </c>
      <c r="AD67" s="13">
        <v>-0.36220000000000002</v>
      </c>
      <c r="AE67" s="13">
        <v>13.0686</v>
      </c>
      <c r="AF67" s="13">
        <v>12.698600000000001</v>
      </c>
      <c r="AG67" s="13">
        <v>15.569800000000001</v>
      </c>
      <c r="AH67" s="13">
        <v>33.192999999999998</v>
      </c>
      <c r="AI67" s="13">
        <v>31.08</v>
      </c>
      <c r="AJ67" s="13">
        <v>25.4434</v>
      </c>
      <c r="AK67" s="13"/>
      <c r="AL67" s="13">
        <f t="shared" si="11"/>
        <v>26</v>
      </c>
      <c r="AM67" t="s">
        <v>174</v>
      </c>
    </row>
    <row r="68" spans="1:39" x14ac:dyDescent="0.25">
      <c r="A68" s="13" t="s">
        <v>175</v>
      </c>
      <c r="B68" s="13" t="s">
        <v>52</v>
      </c>
      <c r="C68" s="13"/>
      <c r="D68" s="13">
        <v>56</v>
      </c>
      <c r="E68" s="13">
        <v>26</v>
      </c>
      <c r="F68" s="13">
        <v>30</v>
      </c>
      <c r="G68" s="6">
        <v>0.6</v>
      </c>
      <c r="H68" s="13">
        <v>70</v>
      </c>
      <c r="I68" s="13" t="s">
        <v>45</v>
      </c>
      <c r="J68" s="13"/>
      <c r="K68" s="13">
        <v>30</v>
      </c>
      <c r="L68" s="13">
        <f t="shared" si="7"/>
        <v>-4</v>
      </c>
      <c r="M68" s="13"/>
      <c r="N68" s="13"/>
      <c r="O68" s="13">
        <v>0</v>
      </c>
      <c r="P68" s="13"/>
      <c r="Q68" s="13"/>
      <c r="R68" s="13">
        <v>0</v>
      </c>
      <c r="S68" s="13"/>
      <c r="T68" s="13">
        <v>0</v>
      </c>
      <c r="U68" s="18"/>
      <c r="V68" s="13">
        <f t="shared" si="8"/>
        <v>5.2</v>
      </c>
      <c r="W68" s="4">
        <f>12*V68-T68-S68-R68-Q68-P68-O68-F68</f>
        <v>32.400000000000006</v>
      </c>
      <c r="X68" s="4">
        <f>W68+V68*$X$1</f>
        <v>43.788000000000004</v>
      </c>
      <c r="Y68" s="13">
        <f t="shared" si="9"/>
        <v>14.190000000000001</v>
      </c>
      <c r="Z68" s="13">
        <f t="shared" si="10"/>
        <v>5.7692307692307692</v>
      </c>
      <c r="AA68" s="13">
        <v>1.2</v>
      </c>
      <c r="AB68" s="13">
        <v>1.8</v>
      </c>
      <c r="AC68" s="13">
        <v>2.6</v>
      </c>
      <c r="AD68" s="13">
        <v>4.5999999999999996</v>
      </c>
      <c r="AE68" s="13">
        <v>3.8</v>
      </c>
      <c r="AF68" s="13">
        <v>0</v>
      </c>
      <c r="AG68" s="13">
        <v>0</v>
      </c>
      <c r="AH68" s="13">
        <v>2.2000000000000002</v>
      </c>
      <c r="AI68" s="13">
        <v>2.8</v>
      </c>
      <c r="AJ68" s="13">
        <v>2.2000000000000002</v>
      </c>
      <c r="AK68" s="13"/>
      <c r="AL68" s="13">
        <f t="shared" si="11"/>
        <v>26</v>
      </c>
      <c r="AM68" t="s">
        <v>176</v>
      </c>
    </row>
    <row r="69" spans="1:39" x14ac:dyDescent="0.25">
      <c r="A69" s="13" t="s">
        <v>177</v>
      </c>
      <c r="B69" s="13" t="s">
        <v>44</v>
      </c>
      <c r="C69" s="13"/>
      <c r="D69" s="13">
        <v>1212.06</v>
      </c>
      <c r="E69" s="13">
        <v>324.36</v>
      </c>
      <c r="F69" s="13">
        <v>826.21400000000006</v>
      </c>
      <c r="G69" s="6">
        <v>1</v>
      </c>
      <c r="H69" s="13">
        <v>30</v>
      </c>
      <c r="I69" s="8" t="s">
        <v>63</v>
      </c>
      <c r="J69" s="13"/>
      <c r="K69" s="13">
        <v>340.35</v>
      </c>
      <c r="L69" s="13">
        <f t="shared" si="7"/>
        <v>-15.990000000000009</v>
      </c>
      <c r="M69" s="13"/>
      <c r="N69" s="13"/>
      <c r="O69" s="13">
        <v>0</v>
      </c>
      <c r="P69" s="13"/>
      <c r="Q69" s="13"/>
      <c r="R69" s="13">
        <v>0</v>
      </c>
      <c r="S69" s="13"/>
      <c r="T69" s="13">
        <v>0</v>
      </c>
      <c r="U69" s="18"/>
      <c r="V69" s="13">
        <f t="shared" si="8"/>
        <v>64.872</v>
      </c>
      <c r="W69" s="4">
        <v>50</v>
      </c>
      <c r="X69" s="4">
        <f>W69*1.3</f>
        <v>65</v>
      </c>
      <c r="Y69" s="13">
        <f t="shared" si="9"/>
        <v>13.738037982488594</v>
      </c>
      <c r="Z69" s="13">
        <f t="shared" si="10"/>
        <v>12.736064866198053</v>
      </c>
      <c r="AA69" s="13">
        <v>28.677600000000002</v>
      </c>
      <c r="AB69" s="13">
        <v>16.969799999999999</v>
      </c>
      <c r="AC69" s="13">
        <v>56.541999999999987</v>
      </c>
      <c r="AD69" s="13">
        <v>106.08499999999999</v>
      </c>
      <c r="AE69" s="13">
        <v>87.413399999999996</v>
      </c>
      <c r="AF69" s="13">
        <v>25.441199999999998</v>
      </c>
      <c r="AG69" s="13">
        <v>47.512</v>
      </c>
      <c r="AH69" s="13">
        <v>93.200599999999994</v>
      </c>
      <c r="AI69" s="13">
        <v>88.773200000000003</v>
      </c>
      <c r="AJ69" s="13">
        <v>43.605600000000003</v>
      </c>
      <c r="AK69" s="13"/>
      <c r="AL69" s="13">
        <f t="shared" si="11"/>
        <v>65</v>
      </c>
      <c r="AM69" t="s">
        <v>178</v>
      </c>
    </row>
    <row r="70" spans="1:39" x14ac:dyDescent="0.25">
      <c r="A70" s="9" t="s">
        <v>179</v>
      </c>
      <c r="B70" s="9" t="s">
        <v>52</v>
      </c>
      <c r="C70" s="9"/>
      <c r="D70" s="9"/>
      <c r="E70" s="9"/>
      <c r="F70" s="9"/>
      <c r="G70" s="10">
        <v>0</v>
      </c>
      <c r="H70" s="9"/>
      <c r="I70" s="9" t="s">
        <v>45</v>
      </c>
      <c r="J70" s="9"/>
      <c r="K70" s="9"/>
      <c r="L70" s="9">
        <f t="shared" ref="L70:L101" si="12">E70-K70</f>
        <v>0</v>
      </c>
      <c r="M70" s="9"/>
      <c r="N70" s="9"/>
      <c r="O70" s="9">
        <v>0</v>
      </c>
      <c r="P70" s="9"/>
      <c r="Q70" s="9"/>
      <c r="R70" s="9">
        <v>0</v>
      </c>
      <c r="S70" s="9"/>
      <c r="T70" s="9">
        <v>0</v>
      </c>
      <c r="U70" s="20"/>
      <c r="V70" s="9">
        <f t="shared" ref="V70:V101" si="13">E70/5</f>
        <v>0</v>
      </c>
      <c r="W70" s="11"/>
      <c r="X70" s="4">
        <f>W70</f>
        <v>0</v>
      </c>
      <c r="Y70" s="13" t="e">
        <f t="shared" ref="Y70:Y101" si="14">(F70+O70+P70+Q70+R70+S70+T70+X70)/V70</f>
        <v>#DIV/0!</v>
      </c>
      <c r="Z70" s="9" t="e">
        <f t="shared" ref="Z70:Z101" si="15">(F70+O70+P70+Q70+R70+S70+T70)/V70</f>
        <v>#DIV/0!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 t="s">
        <v>60</v>
      </c>
      <c r="AL70" s="13">
        <f t="shared" ref="AL70:AL101" si="16">ROUND(G70*X70,0)</f>
        <v>0</v>
      </c>
      <c r="AM70" t="s">
        <v>180</v>
      </c>
    </row>
    <row r="71" spans="1:39" x14ac:dyDescent="0.25">
      <c r="A71" s="13" t="s">
        <v>181</v>
      </c>
      <c r="B71" s="13" t="s">
        <v>52</v>
      </c>
      <c r="C71" s="13">
        <v>187</v>
      </c>
      <c r="D71" s="13"/>
      <c r="E71" s="13">
        <v>22</v>
      </c>
      <c r="F71" s="13">
        <v>162</v>
      </c>
      <c r="G71" s="6">
        <v>0.6</v>
      </c>
      <c r="H71" s="13">
        <v>60</v>
      </c>
      <c r="I71" s="13" t="s">
        <v>45</v>
      </c>
      <c r="J71" s="13"/>
      <c r="K71" s="13">
        <v>24</v>
      </c>
      <c r="L71" s="13">
        <f t="shared" si="12"/>
        <v>-2</v>
      </c>
      <c r="M71" s="13"/>
      <c r="N71" s="13"/>
      <c r="O71" s="13">
        <v>0</v>
      </c>
      <c r="P71" s="13"/>
      <c r="Q71" s="13"/>
      <c r="R71" s="13">
        <v>0</v>
      </c>
      <c r="S71" s="13"/>
      <c r="T71" s="13">
        <v>0</v>
      </c>
      <c r="U71" s="18"/>
      <c r="V71" s="13">
        <f t="shared" si="13"/>
        <v>4.4000000000000004</v>
      </c>
      <c r="W71" s="4"/>
      <c r="X71" s="4">
        <f>W71</f>
        <v>0</v>
      </c>
      <c r="Y71" s="13">
        <f t="shared" si="14"/>
        <v>36.818181818181813</v>
      </c>
      <c r="Z71" s="13">
        <f t="shared" si="15"/>
        <v>36.818181818181813</v>
      </c>
      <c r="AA71" s="13">
        <v>12.2</v>
      </c>
      <c r="AB71" s="13">
        <v>12.4</v>
      </c>
      <c r="AC71" s="13">
        <v>9.4</v>
      </c>
      <c r="AD71" s="13">
        <v>10.4</v>
      </c>
      <c r="AE71" s="13">
        <v>2.4</v>
      </c>
      <c r="AF71" s="13">
        <v>6.8</v>
      </c>
      <c r="AG71" s="13">
        <v>12.6</v>
      </c>
      <c r="AH71" s="13">
        <v>8.1999999999999993</v>
      </c>
      <c r="AI71" s="13">
        <v>22.4</v>
      </c>
      <c r="AJ71" s="13">
        <v>22.4</v>
      </c>
      <c r="AK71" s="14" t="s">
        <v>84</v>
      </c>
      <c r="AL71" s="13">
        <f t="shared" si="16"/>
        <v>0</v>
      </c>
      <c r="AM71" t="s">
        <v>182</v>
      </c>
    </row>
    <row r="72" spans="1:39" x14ac:dyDescent="0.25">
      <c r="A72" s="13" t="s">
        <v>183</v>
      </c>
      <c r="B72" s="13" t="s">
        <v>52</v>
      </c>
      <c r="C72" s="13">
        <v>81</v>
      </c>
      <c r="D72" s="13">
        <v>16</v>
      </c>
      <c r="E72" s="13">
        <v>96</v>
      </c>
      <c r="F72" s="13"/>
      <c r="G72" s="6">
        <v>0.4</v>
      </c>
      <c r="H72" s="13">
        <v>90</v>
      </c>
      <c r="I72" s="13" t="s">
        <v>45</v>
      </c>
      <c r="J72" s="13"/>
      <c r="K72" s="13">
        <v>89</v>
      </c>
      <c r="L72" s="13">
        <f t="shared" si="12"/>
        <v>7</v>
      </c>
      <c r="M72" s="13"/>
      <c r="N72" s="13"/>
      <c r="O72" s="13">
        <v>150</v>
      </c>
      <c r="P72" s="13"/>
      <c r="Q72" s="13"/>
      <c r="R72" s="13">
        <v>42.400000000000013</v>
      </c>
      <c r="S72" s="13"/>
      <c r="T72" s="13">
        <v>20.599999999999991</v>
      </c>
      <c r="U72" s="18"/>
      <c r="V72" s="13">
        <f t="shared" si="13"/>
        <v>19.2</v>
      </c>
      <c r="W72" s="4">
        <f>12*V72-T72-S72-R72-Q72-P72-O72-F72</f>
        <v>17.399999999999977</v>
      </c>
      <c r="X72" s="4">
        <f>W72+V72*$X$1</f>
        <v>59.447999999999972</v>
      </c>
      <c r="Y72" s="13">
        <f t="shared" si="14"/>
        <v>14.19</v>
      </c>
      <c r="Z72" s="13">
        <f t="shared" si="15"/>
        <v>11.09375</v>
      </c>
      <c r="AA72" s="13">
        <v>22</v>
      </c>
      <c r="AB72" s="13">
        <v>22.8</v>
      </c>
      <c r="AC72" s="13">
        <v>20</v>
      </c>
      <c r="AD72" s="13">
        <v>17.600000000000001</v>
      </c>
      <c r="AE72" s="13">
        <v>21</v>
      </c>
      <c r="AF72" s="13">
        <v>10.4</v>
      </c>
      <c r="AG72" s="13">
        <v>8.1999999999999993</v>
      </c>
      <c r="AH72" s="13">
        <v>16</v>
      </c>
      <c r="AI72" s="13">
        <v>19</v>
      </c>
      <c r="AJ72" s="13">
        <v>17.600000000000001</v>
      </c>
      <c r="AK72" s="13"/>
      <c r="AL72" s="13">
        <f t="shared" si="16"/>
        <v>24</v>
      </c>
      <c r="AM72" t="s">
        <v>184</v>
      </c>
    </row>
    <row r="73" spans="1:39" x14ac:dyDescent="0.25">
      <c r="A73" s="13" t="s">
        <v>185</v>
      </c>
      <c r="B73" s="13" t="s">
        <v>52</v>
      </c>
      <c r="C73" s="13"/>
      <c r="D73" s="13">
        <v>104</v>
      </c>
      <c r="E73" s="13">
        <v>104</v>
      </c>
      <c r="F73" s="13"/>
      <c r="G73" s="6">
        <v>0.33</v>
      </c>
      <c r="H73" s="13">
        <v>60</v>
      </c>
      <c r="I73" s="8" t="s">
        <v>63</v>
      </c>
      <c r="J73" s="13"/>
      <c r="K73" s="13">
        <v>107</v>
      </c>
      <c r="L73" s="13">
        <f t="shared" si="12"/>
        <v>-3</v>
      </c>
      <c r="M73" s="13"/>
      <c r="N73" s="13"/>
      <c r="O73" s="13">
        <v>200</v>
      </c>
      <c r="P73" s="13"/>
      <c r="Q73" s="13"/>
      <c r="R73" s="13">
        <v>200</v>
      </c>
      <c r="S73" s="13"/>
      <c r="T73" s="13">
        <v>109.1400000000001</v>
      </c>
      <c r="U73" s="18"/>
      <c r="V73" s="13">
        <f t="shared" si="13"/>
        <v>20.8</v>
      </c>
      <c r="W73" s="4"/>
      <c r="X73" s="4">
        <f>W73*1.3</f>
        <v>0</v>
      </c>
      <c r="Y73" s="13">
        <f t="shared" si="14"/>
        <v>24.477884615384621</v>
      </c>
      <c r="Z73" s="13">
        <f t="shared" si="15"/>
        <v>24.477884615384621</v>
      </c>
      <c r="AA73" s="13">
        <v>42.2</v>
      </c>
      <c r="AB73" s="13">
        <v>45</v>
      </c>
      <c r="AC73" s="13">
        <v>41.8</v>
      </c>
      <c r="AD73" s="13">
        <v>36</v>
      </c>
      <c r="AE73" s="13">
        <v>37.6</v>
      </c>
      <c r="AF73" s="13">
        <v>21.4</v>
      </c>
      <c r="AG73" s="13">
        <v>11.8</v>
      </c>
      <c r="AH73" s="13">
        <v>27.4</v>
      </c>
      <c r="AI73" s="13">
        <v>37.6</v>
      </c>
      <c r="AJ73" s="13">
        <v>36</v>
      </c>
      <c r="AK73" s="13"/>
      <c r="AL73" s="13">
        <f t="shared" si="16"/>
        <v>0</v>
      </c>
      <c r="AM73" t="s">
        <v>186</v>
      </c>
    </row>
    <row r="74" spans="1:39" x14ac:dyDescent="0.25">
      <c r="A74" s="13" t="s">
        <v>187</v>
      </c>
      <c r="B74" s="13" t="s">
        <v>52</v>
      </c>
      <c r="C74" s="13">
        <v>1</v>
      </c>
      <c r="D74" s="13">
        <v>136</v>
      </c>
      <c r="E74" s="13">
        <v>97</v>
      </c>
      <c r="F74" s="13">
        <v>11</v>
      </c>
      <c r="G74" s="6">
        <v>0.35</v>
      </c>
      <c r="H74" s="13">
        <v>90</v>
      </c>
      <c r="I74" s="8" t="s">
        <v>63</v>
      </c>
      <c r="J74" s="13"/>
      <c r="K74" s="13">
        <v>93</v>
      </c>
      <c r="L74" s="13">
        <f t="shared" si="12"/>
        <v>4</v>
      </c>
      <c r="M74" s="13"/>
      <c r="N74" s="13"/>
      <c r="O74" s="13">
        <v>200</v>
      </c>
      <c r="P74" s="13"/>
      <c r="Q74" s="13"/>
      <c r="R74" s="13">
        <v>50</v>
      </c>
      <c r="S74" s="13">
        <v>-56.000000000000007</v>
      </c>
      <c r="T74" s="13">
        <v>34</v>
      </c>
      <c r="U74" s="18"/>
      <c r="V74" s="13">
        <f t="shared" si="13"/>
        <v>19.399999999999999</v>
      </c>
      <c r="W74" s="4"/>
      <c r="X74" s="4">
        <v>20</v>
      </c>
      <c r="Y74" s="13">
        <f t="shared" si="14"/>
        <v>13.350515463917526</v>
      </c>
      <c r="Z74" s="13">
        <f t="shared" si="15"/>
        <v>12.31958762886598</v>
      </c>
      <c r="AA74" s="13">
        <v>18.600000000000001</v>
      </c>
      <c r="AB74" s="13">
        <v>22.4</v>
      </c>
      <c r="AC74" s="13">
        <v>23.8</v>
      </c>
      <c r="AD74" s="13">
        <v>20.399999999999999</v>
      </c>
      <c r="AE74" s="13">
        <v>25.2</v>
      </c>
      <c r="AF74" s="13">
        <v>11.8</v>
      </c>
      <c r="AG74" s="13">
        <v>10.4</v>
      </c>
      <c r="AH74" s="13">
        <v>13.6</v>
      </c>
      <c r="AI74" s="13">
        <v>7.8</v>
      </c>
      <c r="AJ74" s="13">
        <v>18.399999999999999</v>
      </c>
      <c r="AK74" s="13"/>
      <c r="AL74" s="13">
        <f t="shared" si="16"/>
        <v>7</v>
      </c>
      <c r="AM74" t="s">
        <v>188</v>
      </c>
    </row>
    <row r="75" spans="1:39" x14ac:dyDescent="0.25">
      <c r="A75" s="13" t="s">
        <v>189</v>
      </c>
      <c r="B75" s="13" t="s">
        <v>52</v>
      </c>
      <c r="C75" s="13">
        <v>496</v>
      </c>
      <c r="D75" s="13"/>
      <c r="E75" s="13">
        <v>75</v>
      </c>
      <c r="F75" s="13">
        <v>416</v>
      </c>
      <c r="G75" s="6">
        <v>0.37</v>
      </c>
      <c r="H75" s="13">
        <v>50</v>
      </c>
      <c r="I75" s="13" t="s">
        <v>45</v>
      </c>
      <c r="J75" s="13"/>
      <c r="K75" s="13">
        <v>86</v>
      </c>
      <c r="L75" s="13">
        <f t="shared" si="12"/>
        <v>-11</v>
      </c>
      <c r="M75" s="13"/>
      <c r="N75" s="13"/>
      <c r="O75" s="13">
        <v>0</v>
      </c>
      <c r="P75" s="13"/>
      <c r="Q75" s="13"/>
      <c r="R75" s="13">
        <v>0</v>
      </c>
      <c r="S75" s="13"/>
      <c r="T75" s="13">
        <v>0</v>
      </c>
      <c r="U75" s="18"/>
      <c r="V75" s="13">
        <f t="shared" si="13"/>
        <v>15</v>
      </c>
      <c r="W75" s="4"/>
      <c r="X75" s="4">
        <f>W75</f>
        <v>0</v>
      </c>
      <c r="Y75" s="13">
        <f t="shared" si="14"/>
        <v>27.733333333333334</v>
      </c>
      <c r="Z75" s="13">
        <f t="shared" si="15"/>
        <v>27.733333333333334</v>
      </c>
      <c r="AA75" s="13">
        <v>26</v>
      </c>
      <c r="AB75" s="13">
        <v>27.8</v>
      </c>
      <c r="AC75" s="13">
        <v>18.2</v>
      </c>
      <c r="AD75" s="13">
        <v>13</v>
      </c>
      <c r="AE75" s="13">
        <v>3.6</v>
      </c>
      <c r="AF75" s="13">
        <v>1</v>
      </c>
      <c r="AG75" s="13">
        <v>8.1999999999999993</v>
      </c>
      <c r="AH75" s="13">
        <v>13.4</v>
      </c>
      <c r="AI75" s="13">
        <v>43.8</v>
      </c>
      <c r="AJ75" s="13">
        <v>44.4</v>
      </c>
      <c r="AK75" s="14" t="s">
        <v>84</v>
      </c>
      <c r="AL75" s="13">
        <f t="shared" si="16"/>
        <v>0</v>
      </c>
      <c r="AM75" t="s">
        <v>190</v>
      </c>
    </row>
    <row r="76" spans="1:39" x14ac:dyDescent="0.25">
      <c r="A76" s="9" t="s">
        <v>191</v>
      </c>
      <c r="B76" s="9" t="s">
        <v>52</v>
      </c>
      <c r="C76" s="9"/>
      <c r="D76" s="9"/>
      <c r="E76" s="9"/>
      <c r="F76" s="9"/>
      <c r="G76" s="10">
        <v>0</v>
      </c>
      <c r="H76" s="9"/>
      <c r="I76" s="9" t="s">
        <v>45</v>
      </c>
      <c r="J76" s="9"/>
      <c r="K76" s="9"/>
      <c r="L76" s="9">
        <f t="shared" si="12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>
        <v>0</v>
      </c>
      <c r="U76" s="20"/>
      <c r="V76" s="9">
        <f t="shared" si="13"/>
        <v>0</v>
      </c>
      <c r="W76" s="11"/>
      <c r="X76" s="4">
        <f>W76</f>
        <v>0</v>
      </c>
      <c r="Y76" s="13" t="e">
        <f t="shared" si="14"/>
        <v>#DIV/0!</v>
      </c>
      <c r="Z76" s="9" t="e">
        <f t="shared" si="15"/>
        <v>#DIV/0!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 t="s">
        <v>60</v>
      </c>
      <c r="AL76" s="13">
        <f t="shared" si="16"/>
        <v>0</v>
      </c>
      <c r="AM76" t="s">
        <v>192</v>
      </c>
    </row>
    <row r="77" spans="1:39" x14ac:dyDescent="0.25">
      <c r="A77" s="13" t="s">
        <v>193</v>
      </c>
      <c r="B77" s="13" t="s">
        <v>52</v>
      </c>
      <c r="C77" s="13"/>
      <c r="D77" s="13">
        <v>360</v>
      </c>
      <c r="E77" s="13">
        <v>104</v>
      </c>
      <c r="F77" s="13">
        <v>245</v>
      </c>
      <c r="G77" s="6">
        <v>0.33</v>
      </c>
      <c r="H77" s="13">
        <v>40</v>
      </c>
      <c r="I77" s="13" t="s">
        <v>45</v>
      </c>
      <c r="J77" s="13"/>
      <c r="K77" s="13">
        <v>100</v>
      </c>
      <c r="L77" s="13">
        <f t="shared" si="12"/>
        <v>4</v>
      </c>
      <c r="M77" s="13"/>
      <c r="N77" s="13"/>
      <c r="O77" s="13">
        <v>0</v>
      </c>
      <c r="P77" s="13"/>
      <c r="Q77" s="13"/>
      <c r="R77" s="13">
        <v>0</v>
      </c>
      <c r="S77" s="13"/>
      <c r="T77" s="13">
        <v>0</v>
      </c>
      <c r="U77" s="18"/>
      <c r="V77" s="13">
        <f t="shared" si="13"/>
        <v>20.8</v>
      </c>
      <c r="W77" s="4">
        <f>12*V77-T77-S77-R77-Q77-P77-O77-F77</f>
        <v>4.6000000000000227</v>
      </c>
      <c r="X77" s="4">
        <f>W77+V77*$X$1</f>
        <v>50.152000000000022</v>
      </c>
      <c r="Y77" s="13">
        <f t="shared" si="14"/>
        <v>14.190000000000001</v>
      </c>
      <c r="Z77" s="13">
        <f t="shared" si="15"/>
        <v>11.778846153846153</v>
      </c>
      <c r="AA77" s="13">
        <v>14.8</v>
      </c>
      <c r="AB77" s="13">
        <v>0.2</v>
      </c>
      <c r="AC77" s="13">
        <v>11.2</v>
      </c>
      <c r="AD77" s="13">
        <v>29.2</v>
      </c>
      <c r="AE77" s="13">
        <v>26</v>
      </c>
      <c r="AF77" s="13">
        <v>7.6</v>
      </c>
      <c r="AG77" s="13">
        <v>4.5999999999999996</v>
      </c>
      <c r="AH77" s="13">
        <v>8.8000000000000007</v>
      </c>
      <c r="AI77" s="13">
        <v>16.600000000000001</v>
      </c>
      <c r="AJ77" s="13">
        <v>15.4</v>
      </c>
      <c r="AK77" s="13"/>
      <c r="AL77" s="13">
        <f t="shared" si="16"/>
        <v>17</v>
      </c>
      <c r="AM77" t="s">
        <v>194</v>
      </c>
    </row>
    <row r="78" spans="1:39" x14ac:dyDescent="0.25">
      <c r="A78" s="13" t="s">
        <v>195</v>
      </c>
      <c r="B78" s="13" t="s">
        <v>52</v>
      </c>
      <c r="C78" s="13">
        <v>2</v>
      </c>
      <c r="D78" s="13"/>
      <c r="E78" s="13">
        <v>1</v>
      </c>
      <c r="F78" s="13"/>
      <c r="G78" s="6">
        <v>0.4</v>
      </c>
      <c r="H78" s="13">
        <v>55</v>
      </c>
      <c r="I78" s="13" t="s">
        <v>45</v>
      </c>
      <c r="J78" s="13"/>
      <c r="K78" s="13">
        <v>10</v>
      </c>
      <c r="L78" s="13">
        <f t="shared" si="12"/>
        <v>-9</v>
      </c>
      <c r="M78" s="13"/>
      <c r="N78" s="13"/>
      <c r="O78" s="13">
        <v>7.5999999999999943</v>
      </c>
      <c r="P78" s="13"/>
      <c r="Q78" s="13"/>
      <c r="R78" s="13">
        <v>115.6</v>
      </c>
      <c r="S78" s="13"/>
      <c r="T78" s="13">
        <v>15.400000000000009</v>
      </c>
      <c r="U78" s="18"/>
      <c r="V78" s="13">
        <f t="shared" si="13"/>
        <v>0.2</v>
      </c>
      <c r="W78" s="4"/>
      <c r="X78" s="4">
        <f>W78</f>
        <v>0</v>
      </c>
      <c r="Y78" s="13">
        <f t="shared" si="14"/>
        <v>692.99999999999989</v>
      </c>
      <c r="Z78" s="13">
        <f t="shared" si="15"/>
        <v>692.99999999999989</v>
      </c>
      <c r="AA78" s="13">
        <v>12.6</v>
      </c>
      <c r="AB78" s="13">
        <v>15.4</v>
      </c>
      <c r="AC78" s="13">
        <v>12.6</v>
      </c>
      <c r="AD78" s="13">
        <v>11.8</v>
      </c>
      <c r="AE78" s="13">
        <v>3.6</v>
      </c>
      <c r="AF78" s="13">
        <v>18.600000000000001</v>
      </c>
      <c r="AG78" s="13">
        <v>21.2</v>
      </c>
      <c r="AH78" s="13">
        <v>8.8000000000000007</v>
      </c>
      <c r="AI78" s="13">
        <v>14.8</v>
      </c>
      <c r="AJ78" s="13">
        <v>11</v>
      </c>
      <c r="AK78" s="13" t="s">
        <v>196</v>
      </c>
      <c r="AL78" s="13">
        <f t="shared" si="16"/>
        <v>0</v>
      </c>
      <c r="AM78" t="s">
        <v>197</v>
      </c>
    </row>
    <row r="79" spans="1:39" x14ac:dyDescent="0.25">
      <c r="A79" s="13" t="s">
        <v>198</v>
      </c>
      <c r="B79" s="13" t="s">
        <v>52</v>
      </c>
      <c r="C79" s="13"/>
      <c r="D79" s="13"/>
      <c r="E79" s="13"/>
      <c r="F79" s="13"/>
      <c r="G79" s="6">
        <v>0.35</v>
      </c>
      <c r="H79" s="13">
        <v>40</v>
      </c>
      <c r="I79" s="8" t="s">
        <v>63</v>
      </c>
      <c r="J79" s="13"/>
      <c r="K79" s="13">
        <v>6</v>
      </c>
      <c r="L79" s="13">
        <f t="shared" si="12"/>
        <v>-6</v>
      </c>
      <c r="M79" s="13"/>
      <c r="N79" s="13"/>
      <c r="O79" s="13">
        <v>20</v>
      </c>
      <c r="P79" s="13"/>
      <c r="Q79" s="13"/>
      <c r="R79" s="13">
        <v>10</v>
      </c>
      <c r="S79" s="13"/>
      <c r="T79" s="13">
        <v>17</v>
      </c>
      <c r="U79" s="18"/>
      <c r="V79" s="13">
        <f t="shared" si="13"/>
        <v>0</v>
      </c>
      <c r="W79" s="4"/>
      <c r="X79" s="4">
        <f>W79*1.3</f>
        <v>0</v>
      </c>
      <c r="Y79" s="13" t="e">
        <f t="shared" si="14"/>
        <v>#DIV/0!</v>
      </c>
      <c r="Z79" s="13" t="e">
        <f t="shared" si="15"/>
        <v>#DIV/0!</v>
      </c>
      <c r="AA79" s="13">
        <v>-0.2</v>
      </c>
      <c r="AB79" s="13">
        <v>-0.2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2</v>
      </c>
      <c r="AJ79" s="13">
        <v>2</v>
      </c>
      <c r="AK79" s="13"/>
      <c r="AL79" s="13">
        <f t="shared" si="16"/>
        <v>0</v>
      </c>
      <c r="AM79" t="s">
        <v>199</v>
      </c>
    </row>
    <row r="80" spans="1:39" x14ac:dyDescent="0.25">
      <c r="A80" s="13" t="s">
        <v>200</v>
      </c>
      <c r="B80" s="13" t="s">
        <v>52</v>
      </c>
      <c r="C80" s="13">
        <v>10</v>
      </c>
      <c r="D80" s="13">
        <v>42</v>
      </c>
      <c r="E80" s="13">
        <v>40</v>
      </c>
      <c r="F80" s="13">
        <v>9</v>
      </c>
      <c r="G80" s="6">
        <v>0.35</v>
      </c>
      <c r="H80" s="13">
        <v>45</v>
      </c>
      <c r="I80" s="8" t="s">
        <v>63</v>
      </c>
      <c r="J80" s="13"/>
      <c r="K80" s="13">
        <v>37</v>
      </c>
      <c r="L80" s="13">
        <f t="shared" si="12"/>
        <v>3</v>
      </c>
      <c r="M80" s="13"/>
      <c r="N80" s="13"/>
      <c r="O80" s="13">
        <v>0</v>
      </c>
      <c r="P80" s="13"/>
      <c r="Q80" s="13"/>
      <c r="R80" s="13">
        <v>10</v>
      </c>
      <c r="S80" s="13"/>
      <c r="T80" s="13">
        <v>84.66</v>
      </c>
      <c r="U80" s="18"/>
      <c r="V80" s="13">
        <f t="shared" si="13"/>
        <v>8</v>
      </c>
      <c r="W80" s="4">
        <v>10</v>
      </c>
      <c r="X80" s="4">
        <f>W80*1.3</f>
        <v>13</v>
      </c>
      <c r="Y80" s="13">
        <f t="shared" si="14"/>
        <v>14.5825</v>
      </c>
      <c r="Z80" s="13">
        <f t="shared" si="15"/>
        <v>12.9575</v>
      </c>
      <c r="AA80" s="13">
        <v>7.8</v>
      </c>
      <c r="AB80" s="13">
        <v>2.8</v>
      </c>
      <c r="AC80" s="13">
        <v>2.6</v>
      </c>
      <c r="AD80" s="13">
        <v>5.2</v>
      </c>
      <c r="AE80" s="13">
        <v>6.2</v>
      </c>
      <c r="AF80" s="13">
        <v>3.6</v>
      </c>
      <c r="AG80" s="13">
        <v>2</v>
      </c>
      <c r="AH80" s="13">
        <v>8</v>
      </c>
      <c r="AI80" s="13">
        <v>9.4</v>
      </c>
      <c r="AJ80" s="13">
        <v>3.4</v>
      </c>
      <c r="AK80" s="13"/>
      <c r="AL80" s="13">
        <f t="shared" si="16"/>
        <v>5</v>
      </c>
      <c r="AM80" t="s">
        <v>201</v>
      </c>
    </row>
    <row r="81" spans="1:39" x14ac:dyDescent="0.25">
      <c r="A81" s="9" t="s">
        <v>202</v>
      </c>
      <c r="B81" s="9" t="s">
        <v>52</v>
      </c>
      <c r="C81" s="9"/>
      <c r="D81" s="9"/>
      <c r="E81" s="9"/>
      <c r="F81" s="9"/>
      <c r="G81" s="10">
        <v>0</v>
      </c>
      <c r="H81" s="9"/>
      <c r="I81" s="9" t="s">
        <v>45</v>
      </c>
      <c r="J81" s="9"/>
      <c r="K81" s="9"/>
      <c r="L81" s="9">
        <f t="shared" si="12"/>
        <v>0</v>
      </c>
      <c r="M81" s="9"/>
      <c r="N81" s="9"/>
      <c r="O81" s="9">
        <v>0</v>
      </c>
      <c r="P81" s="9"/>
      <c r="Q81" s="9"/>
      <c r="R81" s="9">
        <v>0</v>
      </c>
      <c r="S81" s="9"/>
      <c r="T81" s="9">
        <v>0</v>
      </c>
      <c r="U81" s="20"/>
      <c r="V81" s="9">
        <f t="shared" si="13"/>
        <v>0</v>
      </c>
      <c r="W81" s="11"/>
      <c r="X81" s="4">
        <f>W81</f>
        <v>0</v>
      </c>
      <c r="Y81" s="13" t="e">
        <f t="shared" si="14"/>
        <v>#DIV/0!</v>
      </c>
      <c r="Z81" s="9" t="e">
        <f t="shared" si="15"/>
        <v>#DIV/0!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 t="s">
        <v>60</v>
      </c>
      <c r="AL81" s="13">
        <f t="shared" si="16"/>
        <v>0</v>
      </c>
      <c r="AM81" t="s">
        <v>203</v>
      </c>
    </row>
    <row r="82" spans="1:39" x14ac:dyDescent="0.25">
      <c r="A82" s="9" t="s">
        <v>204</v>
      </c>
      <c r="B82" s="9" t="s">
        <v>44</v>
      </c>
      <c r="C82" s="9"/>
      <c r="D82" s="9"/>
      <c r="E82" s="9"/>
      <c r="F82" s="9"/>
      <c r="G82" s="10">
        <v>0</v>
      </c>
      <c r="H82" s="9"/>
      <c r="I82" s="9" t="s">
        <v>45</v>
      </c>
      <c r="J82" s="9"/>
      <c r="K82" s="9"/>
      <c r="L82" s="9">
        <f t="shared" si="12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>
        <v>0</v>
      </c>
      <c r="U82" s="20"/>
      <c r="V82" s="9">
        <f t="shared" si="13"/>
        <v>0</v>
      </c>
      <c r="W82" s="11"/>
      <c r="X82" s="4">
        <f>W82</f>
        <v>0</v>
      </c>
      <c r="Y82" s="13" t="e">
        <f t="shared" si="14"/>
        <v>#DIV/0!</v>
      </c>
      <c r="Z82" s="9" t="e">
        <f t="shared" si="15"/>
        <v>#DIV/0!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 t="s">
        <v>60</v>
      </c>
      <c r="AL82" s="13">
        <f t="shared" si="16"/>
        <v>0</v>
      </c>
      <c r="AM82" t="s">
        <v>205</v>
      </c>
    </row>
    <row r="83" spans="1:39" x14ac:dyDescent="0.25">
      <c r="A83" s="13" t="s">
        <v>206</v>
      </c>
      <c r="B83" s="13" t="s">
        <v>44</v>
      </c>
      <c r="C83" s="13">
        <v>1.427</v>
      </c>
      <c r="D83" s="13">
        <v>46.094999999999999</v>
      </c>
      <c r="E83" s="13">
        <v>10.039999999999999</v>
      </c>
      <c r="F83" s="13">
        <v>37.481999999999999</v>
      </c>
      <c r="G83" s="6">
        <v>1</v>
      </c>
      <c r="H83" s="13">
        <v>55</v>
      </c>
      <c r="I83" s="13" t="s">
        <v>45</v>
      </c>
      <c r="J83" s="13"/>
      <c r="K83" s="13">
        <v>9.1</v>
      </c>
      <c r="L83" s="13">
        <f t="shared" si="12"/>
        <v>0.9399999999999995</v>
      </c>
      <c r="M83" s="13"/>
      <c r="N83" s="13"/>
      <c r="O83" s="13">
        <v>12.474800000000011</v>
      </c>
      <c r="P83" s="13"/>
      <c r="Q83" s="13"/>
      <c r="R83" s="13">
        <v>0</v>
      </c>
      <c r="S83" s="13"/>
      <c r="T83" s="13">
        <v>0</v>
      </c>
      <c r="U83" s="18"/>
      <c r="V83" s="13">
        <f t="shared" si="13"/>
        <v>2.008</v>
      </c>
      <c r="W83" s="4"/>
      <c r="X83" s="4">
        <f>W83</f>
        <v>0</v>
      </c>
      <c r="Y83" s="13">
        <f t="shared" si="14"/>
        <v>24.878884462151397</v>
      </c>
      <c r="Z83" s="13">
        <f t="shared" si="15"/>
        <v>24.878884462151397</v>
      </c>
      <c r="AA83" s="13">
        <v>1.1468</v>
      </c>
      <c r="AB83" s="13">
        <v>1.1457999999999999</v>
      </c>
      <c r="AC83" s="13">
        <v>4.5876000000000001</v>
      </c>
      <c r="AD83" s="13">
        <v>4.5953999999999997</v>
      </c>
      <c r="AE83" s="13">
        <v>4.0216000000000003</v>
      </c>
      <c r="AF83" s="13">
        <v>0.86240000000000006</v>
      </c>
      <c r="AG83" s="13">
        <v>0</v>
      </c>
      <c r="AH83" s="13">
        <v>2.0213999999999999</v>
      </c>
      <c r="AI83" s="13">
        <v>3.1659999999999999</v>
      </c>
      <c r="AJ83" s="13">
        <v>2.0042</v>
      </c>
      <c r="AK83" s="13"/>
      <c r="AL83" s="13">
        <f t="shared" si="16"/>
        <v>0</v>
      </c>
      <c r="AM83" t="s">
        <v>207</v>
      </c>
    </row>
    <row r="84" spans="1:39" x14ac:dyDescent="0.25">
      <c r="A84" s="13" t="s">
        <v>208</v>
      </c>
      <c r="B84" s="13" t="s">
        <v>44</v>
      </c>
      <c r="C84" s="13">
        <v>188.53200000000001</v>
      </c>
      <c r="D84" s="13">
        <v>269.89400000000001</v>
      </c>
      <c r="E84" s="13">
        <v>284.55399999999997</v>
      </c>
      <c r="F84" s="13">
        <v>138.20099999999999</v>
      </c>
      <c r="G84" s="6">
        <v>1</v>
      </c>
      <c r="H84" s="13">
        <v>60</v>
      </c>
      <c r="I84" s="13" t="s">
        <v>45</v>
      </c>
      <c r="J84" s="13"/>
      <c r="K84" s="13">
        <v>272.49</v>
      </c>
      <c r="L84" s="13">
        <f t="shared" si="12"/>
        <v>12.063999999999965</v>
      </c>
      <c r="M84" s="13"/>
      <c r="N84" s="13"/>
      <c r="O84" s="13">
        <v>0</v>
      </c>
      <c r="P84" s="13"/>
      <c r="Q84" s="13"/>
      <c r="R84" s="13">
        <v>0</v>
      </c>
      <c r="S84" s="13"/>
      <c r="T84" s="13">
        <v>445.49540000000002</v>
      </c>
      <c r="U84" s="18"/>
      <c r="V84" s="13">
        <f t="shared" si="13"/>
        <v>56.910799999999995</v>
      </c>
      <c r="W84" s="4">
        <f>12*V84-T84-S84-R84-Q84-P84-O84-F84</f>
        <v>99.233199999999925</v>
      </c>
      <c r="X84" s="4">
        <f>W84+V84*$X$1</f>
        <v>223.86785199999991</v>
      </c>
      <c r="Y84" s="13">
        <f t="shared" si="14"/>
        <v>14.19</v>
      </c>
      <c r="Z84" s="13">
        <f t="shared" si="15"/>
        <v>10.256337988571591</v>
      </c>
      <c r="AA84" s="13">
        <v>48.402000000000001</v>
      </c>
      <c r="AB84" s="13">
        <v>24.439399999999999</v>
      </c>
      <c r="AC84" s="13">
        <v>27.4984</v>
      </c>
      <c r="AD84" s="13">
        <v>46.795000000000002</v>
      </c>
      <c r="AE84" s="13">
        <v>43.2684</v>
      </c>
      <c r="AF84" s="13">
        <v>40.822800000000001</v>
      </c>
      <c r="AG84" s="13">
        <v>37.770800000000001</v>
      </c>
      <c r="AH84" s="13">
        <v>33.010000000000012</v>
      </c>
      <c r="AI84" s="13">
        <v>40.011200000000002</v>
      </c>
      <c r="AJ84" s="13">
        <v>37.158999999999999</v>
      </c>
      <c r="AK84" s="13"/>
      <c r="AL84" s="13">
        <f t="shared" si="16"/>
        <v>224</v>
      </c>
      <c r="AM84" t="s">
        <v>209</v>
      </c>
    </row>
    <row r="85" spans="1:39" x14ac:dyDescent="0.25">
      <c r="A85" s="9" t="s">
        <v>210</v>
      </c>
      <c r="B85" s="9" t="s">
        <v>52</v>
      </c>
      <c r="C85" s="9"/>
      <c r="D85" s="9"/>
      <c r="E85" s="9"/>
      <c r="F85" s="9"/>
      <c r="G85" s="10">
        <v>0</v>
      </c>
      <c r="H85" s="9"/>
      <c r="I85" s="9" t="s">
        <v>45</v>
      </c>
      <c r="J85" s="9"/>
      <c r="K85" s="9"/>
      <c r="L85" s="9">
        <f t="shared" si="12"/>
        <v>0</v>
      </c>
      <c r="M85" s="9"/>
      <c r="N85" s="9"/>
      <c r="O85" s="9">
        <v>0</v>
      </c>
      <c r="P85" s="9"/>
      <c r="Q85" s="9"/>
      <c r="R85" s="9">
        <v>0</v>
      </c>
      <c r="S85" s="9"/>
      <c r="T85" s="9">
        <v>0</v>
      </c>
      <c r="U85" s="20"/>
      <c r="V85" s="9">
        <f t="shared" si="13"/>
        <v>0</v>
      </c>
      <c r="W85" s="11"/>
      <c r="X85" s="4">
        <f>W85</f>
        <v>0</v>
      </c>
      <c r="Y85" s="13" t="e">
        <f t="shared" si="14"/>
        <v>#DIV/0!</v>
      </c>
      <c r="Z85" s="9" t="e">
        <f t="shared" si="15"/>
        <v>#DIV/0!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 t="s">
        <v>60</v>
      </c>
      <c r="AL85" s="13">
        <f t="shared" si="16"/>
        <v>0</v>
      </c>
      <c r="AM85" t="s">
        <v>211</v>
      </c>
    </row>
    <row r="86" spans="1:39" x14ac:dyDescent="0.25">
      <c r="A86" s="13" t="s">
        <v>212</v>
      </c>
      <c r="B86" s="13" t="s">
        <v>44</v>
      </c>
      <c r="C86" s="13">
        <v>364.51499999999999</v>
      </c>
      <c r="D86" s="13">
        <v>2644.2820000000002</v>
      </c>
      <c r="E86" s="13">
        <v>2103.5749999999998</v>
      </c>
      <c r="F86" s="13">
        <v>709.51300000000003</v>
      </c>
      <c r="G86" s="6">
        <v>1</v>
      </c>
      <c r="H86" s="13">
        <v>60</v>
      </c>
      <c r="I86" s="13" t="s">
        <v>45</v>
      </c>
      <c r="J86" s="13"/>
      <c r="K86" s="13">
        <v>2037.5</v>
      </c>
      <c r="L86" s="13">
        <f t="shared" si="12"/>
        <v>66.074999999999818</v>
      </c>
      <c r="M86" s="13"/>
      <c r="N86" s="13"/>
      <c r="O86" s="13">
        <v>744.12392800000032</v>
      </c>
      <c r="P86" s="13"/>
      <c r="Q86" s="13">
        <v>690</v>
      </c>
      <c r="R86" s="13">
        <v>505.74847199999999</v>
      </c>
      <c r="S86" s="13"/>
      <c r="T86" s="13">
        <v>1850</v>
      </c>
      <c r="U86" s="18"/>
      <c r="V86" s="13">
        <f t="shared" si="13"/>
        <v>420.71499999999997</v>
      </c>
      <c r="W86" s="4">
        <f>12*V86-T86-S86-R86-Q86-P86-O86-F86</f>
        <v>549.19459999999924</v>
      </c>
      <c r="X86" s="4">
        <f>W86+V86*$X$1</f>
        <v>1470.560449999999</v>
      </c>
      <c r="Y86" s="13">
        <f t="shared" si="14"/>
        <v>14.19</v>
      </c>
      <c r="Z86" s="13">
        <f t="shared" si="15"/>
        <v>10.694616070261342</v>
      </c>
      <c r="AA86" s="13">
        <v>308.27960000000002</v>
      </c>
      <c r="AB86" s="13">
        <v>325.30099999999999</v>
      </c>
      <c r="AC86" s="13">
        <v>326.5376</v>
      </c>
      <c r="AD86" s="13">
        <v>312.88479999999998</v>
      </c>
      <c r="AE86" s="13">
        <v>368.565</v>
      </c>
      <c r="AF86" s="13">
        <v>303.18119999999999</v>
      </c>
      <c r="AG86" s="13">
        <v>264.67619999999999</v>
      </c>
      <c r="AH86" s="13">
        <v>304.95080000000002</v>
      </c>
      <c r="AI86" s="13">
        <v>256.99919999999997</v>
      </c>
      <c r="AJ86" s="13">
        <v>231.32480000000001</v>
      </c>
      <c r="AK86" s="13"/>
      <c r="AL86" s="13">
        <f t="shared" si="16"/>
        <v>1471</v>
      </c>
      <c r="AM86" t="s">
        <v>213</v>
      </c>
    </row>
    <row r="87" spans="1:39" x14ac:dyDescent="0.25">
      <c r="A87" s="13" t="s">
        <v>214</v>
      </c>
      <c r="B87" s="13" t="s">
        <v>44</v>
      </c>
      <c r="C87" s="13">
        <v>-5.8410000000000002</v>
      </c>
      <c r="D87" s="13">
        <v>4059.5889999999999</v>
      </c>
      <c r="E87" s="13">
        <v>2001.787</v>
      </c>
      <c r="F87" s="13">
        <v>1855.117</v>
      </c>
      <c r="G87" s="6">
        <v>1</v>
      </c>
      <c r="H87" s="13">
        <v>60</v>
      </c>
      <c r="I87" s="13" t="s">
        <v>45</v>
      </c>
      <c r="J87" s="13"/>
      <c r="K87" s="13">
        <v>1982.5</v>
      </c>
      <c r="L87" s="13">
        <f t="shared" si="12"/>
        <v>19.287000000000035</v>
      </c>
      <c r="M87" s="13"/>
      <c r="N87" s="13"/>
      <c r="O87" s="13">
        <v>583.53759999999909</v>
      </c>
      <c r="P87" s="13"/>
      <c r="Q87" s="13"/>
      <c r="R87" s="13">
        <v>0</v>
      </c>
      <c r="S87" s="13"/>
      <c r="T87" s="13">
        <v>723.50464000000011</v>
      </c>
      <c r="U87" s="18"/>
      <c r="V87" s="13">
        <f t="shared" si="13"/>
        <v>400.35739999999998</v>
      </c>
      <c r="W87" s="4">
        <f>12*V87-T87-S87-R87-Q87-P87-O87-F87</f>
        <v>1642.129560000001</v>
      </c>
      <c r="X87" s="4">
        <f>W87+V87*$X$1</f>
        <v>2518.9122660000012</v>
      </c>
      <c r="Y87" s="13">
        <f t="shared" si="14"/>
        <v>14.190000000000001</v>
      </c>
      <c r="Z87" s="13">
        <f t="shared" si="15"/>
        <v>7.8983409323769189</v>
      </c>
      <c r="AA87" s="13">
        <v>226.09520000000001</v>
      </c>
      <c r="AB87" s="13">
        <v>213.601</v>
      </c>
      <c r="AC87" s="13">
        <v>424.48739999999998</v>
      </c>
      <c r="AD87" s="13">
        <v>393.61340000000001</v>
      </c>
      <c r="AE87" s="13">
        <v>331.94720000000001</v>
      </c>
      <c r="AF87" s="13">
        <v>257.45100000000002</v>
      </c>
      <c r="AG87" s="13">
        <v>207.36179999999999</v>
      </c>
      <c r="AH87" s="13">
        <v>301.77659999999997</v>
      </c>
      <c r="AI87" s="13">
        <v>293.72859999999997</v>
      </c>
      <c r="AJ87" s="13">
        <v>213.80719999999999</v>
      </c>
      <c r="AK87" s="13"/>
      <c r="AL87" s="13">
        <f t="shared" si="16"/>
        <v>2519</v>
      </c>
      <c r="AM87" t="s">
        <v>215</v>
      </c>
    </row>
    <row r="88" spans="1:39" x14ac:dyDescent="0.25">
      <c r="A88" s="13" t="s">
        <v>216</v>
      </c>
      <c r="B88" s="13" t="s">
        <v>44</v>
      </c>
      <c r="C88" s="13">
        <v>-13.913</v>
      </c>
      <c r="D88" s="13">
        <v>4810.866</v>
      </c>
      <c r="E88" s="13">
        <v>2877.8620000000001</v>
      </c>
      <c r="F88" s="13">
        <v>1607.6030000000001</v>
      </c>
      <c r="G88" s="6">
        <v>1</v>
      </c>
      <c r="H88" s="13">
        <v>60</v>
      </c>
      <c r="I88" s="13" t="s">
        <v>45</v>
      </c>
      <c r="J88" s="13"/>
      <c r="K88" s="13">
        <v>2842.8</v>
      </c>
      <c r="L88" s="13">
        <f t="shared" si="12"/>
        <v>35.061999999999898</v>
      </c>
      <c r="M88" s="13"/>
      <c r="N88" s="13"/>
      <c r="O88" s="13">
        <v>1030.2483999999999</v>
      </c>
      <c r="P88" s="13"/>
      <c r="Q88" s="13">
        <v>900</v>
      </c>
      <c r="R88" s="13">
        <v>0</v>
      </c>
      <c r="S88" s="13"/>
      <c r="T88" s="13">
        <v>1800</v>
      </c>
      <c r="U88" s="18"/>
      <c r="V88" s="13">
        <f t="shared" si="13"/>
        <v>575.57240000000002</v>
      </c>
      <c r="W88" s="4">
        <f>12*V88-T88-S88-R88-Q88-P88-O88-F88</f>
        <v>1569.0174000000002</v>
      </c>
      <c r="X88" s="4">
        <f>W88+V88*$X$1</f>
        <v>2829.5209560000003</v>
      </c>
      <c r="Y88" s="13">
        <f t="shared" si="14"/>
        <v>14.19</v>
      </c>
      <c r="Z88" s="13">
        <f t="shared" si="15"/>
        <v>9.2739877728674962</v>
      </c>
      <c r="AA88" s="13">
        <v>383.57479999999998</v>
      </c>
      <c r="AB88" s="13">
        <v>417.62419999999997</v>
      </c>
      <c r="AC88" s="13">
        <v>559.40539999999999</v>
      </c>
      <c r="AD88" s="13">
        <v>523.61300000000006</v>
      </c>
      <c r="AE88" s="13">
        <v>494.76659999999998</v>
      </c>
      <c r="AF88" s="13">
        <v>402.2328</v>
      </c>
      <c r="AG88" s="13">
        <v>356.45299999999997</v>
      </c>
      <c r="AH88" s="13">
        <v>435.99239999999998</v>
      </c>
      <c r="AI88" s="13">
        <v>464.71859999999998</v>
      </c>
      <c r="AJ88" s="13">
        <v>390.34859999999998</v>
      </c>
      <c r="AK88" s="13"/>
      <c r="AL88" s="13">
        <f t="shared" si="16"/>
        <v>2830</v>
      </c>
      <c r="AM88" t="s">
        <v>217</v>
      </c>
    </row>
    <row r="89" spans="1:39" x14ac:dyDescent="0.25">
      <c r="A89" s="9" t="s">
        <v>218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45</v>
      </c>
      <c r="J89" s="9"/>
      <c r="K89" s="9"/>
      <c r="L89" s="9">
        <f t="shared" si="12"/>
        <v>0</v>
      </c>
      <c r="M89" s="9"/>
      <c r="N89" s="9"/>
      <c r="O89" s="9">
        <v>0</v>
      </c>
      <c r="P89" s="9"/>
      <c r="Q89" s="9"/>
      <c r="R89" s="9">
        <v>0</v>
      </c>
      <c r="S89" s="9"/>
      <c r="T89" s="9">
        <v>0</v>
      </c>
      <c r="U89" s="20"/>
      <c r="V89" s="9">
        <f t="shared" si="13"/>
        <v>0</v>
      </c>
      <c r="W89" s="11"/>
      <c r="X89" s="4">
        <f>W89</f>
        <v>0</v>
      </c>
      <c r="Y89" s="13" t="e">
        <f t="shared" si="14"/>
        <v>#DIV/0!</v>
      </c>
      <c r="Z89" s="9" t="e">
        <f t="shared" si="15"/>
        <v>#DIV/0!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 t="s">
        <v>60</v>
      </c>
      <c r="AL89" s="13">
        <f t="shared" si="16"/>
        <v>0</v>
      </c>
      <c r="AM89" t="s">
        <v>219</v>
      </c>
    </row>
    <row r="90" spans="1:39" x14ac:dyDescent="0.25">
      <c r="A90" s="13" t="s">
        <v>220</v>
      </c>
      <c r="B90" s="13" t="s">
        <v>52</v>
      </c>
      <c r="C90" s="13"/>
      <c r="D90" s="13"/>
      <c r="E90" s="13">
        <v>-1</v>
      </c>
      <c r="F90" s="13"/>
      <c r="G90" s="6">
        <v>0.3</v>
      </c>
      <c r="H90" s="13">
        <v>40</v>
      </c>
      <c r="I90" s="8" t="s">
        <v>63</v>
      </c>
      <c r="J90" s="13"/>
      <c r="K90" s="13">
        <v>4</v>
      </c>
      <c r="L90" s="13">
        <f t="shared" si="12"/>
        <v>-5</v>
      </c>
      <c r="M90" s="13"/>
      <c r="N90" s="13"/>
      <c r="O90" s="13">
        <v>130</v>
      </c>
      <c r="P90" s="13">
        <v>-132</v>
      </c>
      <c r="Q90" s="13"/>
      <c r="R90" s="13">
        <v>50</v>
      </c>
      <c r="S90" s="13">
        <v>-54</v>
      </c>
      <c r="T90" s="13">
        <v>85</v>
      </c>
      <c r="U90" s="18"/>
      <c r="V90" s="13">
        <f t="shared" si="13"/>
        <v>-0.2</v>
      </c>
      <c r="W90" s="4">
        <v>10</v>
      </c>
      <c r="X90" s="4">
        <f>W90*1.3</f>
        <v>13</v>
      </c>
      <c r="Y90" s="13">
        <f t="shared" si="14"/>
        <v>-460</v>
      </c>
      <c r="Z90" s="13">
        <f t="shared" si="15"/>
        <v>-395</v>
      </c>
      <c r="AA90" s="13">
        <v>-0.4</v>
      </c>
      <c r="AB90" s="13">
        <v>-0.2</v>
      </c>
      <c r="AC90" s="13">
        <v>0</v>
      </c>
      <c r="AD90" s="13">
        <v>-0.6</v>
      </c>
      <c r="AE90" s="13">
        <v>-1</v>
      </c>
      <c r="AF90" s="13">
        <v>-0.8</v>
      </c>
      <c r="AG90" s="13">
        <v>-1</v>
      </c>
      <c r="AH90" s="13">
        <v>-1.2</v>
      </c>
      <c r="AI90" s="13">
        <v>-1</v>
      </c>
      <c r="AJ90" s="13">
        <v>5.4</v>
      </c>
      <c r="AK90" s="13"/>
      <c r="AL90" s="13">
        <f t="shared" si="16"/>
        <v>4</v>
      </c>
      <c r="AM90" t="s">
        <v>221</v>
      </c>
    </row>
    <row r="91" spans="1:39" x14ac:dyDescent="0.25">
      <c r="A91" s="13" t="s">
        <v>222</v>
      </c>
      <c r="B91" s="13" t="s">
        <v>52</v>
      </c>
      <c r="C91" s="13"/>
      <c r="D91" s="13">
        <v>120</v>
      </c>
      <c r="E91" s="13">
        <v>54</v>
      </c>
      <c r="F91" s="13">
        <v>53</v>
      </c>
      <c r="G91" s="6">
        <v>0.3</v>
      </c>
      <c r="H91" s="13"/>
      <c r="I91" s="13" t="s">
        <v>45</v>
      </c>
      <c r="J91" s="13"/>
      <c r="K91" s="13">
        <v>57</v>
      </c>
      <c r="L91" s="13">
        <f t="shared" si="12"/>
        <v>-3</v>
      </c>
      <c r="M91" s="13"/>
      <c r="N91" s="13"/>
      <c r="O91" s="13">
        <v>125</v>
      </c>
      <c r="P91" s="13"/>
      <c r="Q91" s="13"/>
      <c r="R91" s="13">
        <v>0</v>
      </c>
      <c r="S91" s="13"/>
      <c r="T91" s="13">
        <v>0</v>
      </c>
      <c r="U91" s="18"/>
      <c r="V91" s="13">
        <f t="shared" si="13"/>
        <v>10.8</v>
      </c>
      <c r="W91" s="4"/>
      <c r="X91" s="4">
        <f>W91</f>
        <v>0</v>
      </c>
      <c r="Y91" s="13">
        <f t="shared" si="14"/>
        <v>16.481481481481481</v>
      </c>
      <c r="Z91" s="13">
        <f t="shared" si="15"/>
        <v>16.481481481481481</v>
      </c>
      <c r="AA91" s="13">
        <v>0.6</v>
      </c>
      <c r="AB91" s="13">
        <v>0</v>
      </c>
      <c r="AC91" s="13">
        <v>15.4</v>
      </c>
      <c r="AD91" s="13">
        <v>16.600000000000001</v>
      </c>
      <c r="AE91" s="13">
        <v>1.2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 t="s">
        <v>223</v>
      </c>
      <c r="AL91" s="13">
        <f t="shared" si="16"/>
        <v>0</v>
      </c>
      <c r="AM91" t="s">
        <v>224</v>
      </c>
    </row>
    <row r="92" spans="1:39" x14ac:dyDescent="0.25">
      <c r="A92" s="13" t="s">
        <v>225</v>
      </c>
      <c r="B92" s="13" t="s">
        <v>52</v>
      </c>
      <c r="C92" s="13"/>
      <c r="D92" s="13">
        <v>54</v>
      </c>
      <c r="E92" s="13">
        <v>54</v>
      </c>
      <c r="F92" s="13"/>
      <c r="G92" s="6">
        <v>7.0000000000000007E-2</v>
      </c>
      <c r="H92" s="13">
        <v>90</v>
      </c>
      <c r="I92" s="8" t="s">
        <v>63</v>
      </c>
      <c r="J92" s="13"/>
      <c r="K92" s="13">
        <v>55</v>
      </c>
      <c r="L92" s="13">
        <f t="shared" si="12"/>
        <v>-1</v>
      </c>
      <c r="M92" s="13"/>
      <c r="N92" s="13"/>
      <c r="O92" s="13">
        <v>50</v>
      </c>
      <c r="P92" s="13"/>
      <c r="Q92" s="13"/>
      <c r="R92" s="13">
        <v>0</v>
      </c>
      <c r="S92" s="13"/>
      <c r="T92" s="13">
        <v>0</v>
      </c>
      <c r="U92" s="18"/>
      <c r="V92" s="13">
        <f t="shared" si="13"/>
        <v>10.8</v>
      </c>
      <c r="W92" s="4">
        <f>12*V92-T92-S92-R92-Q92-P92-O92-F92</f>
        <v>79.600000000000023</v>
      </c>
      <c r="X92" s="4">
        <f>W92*1.3</f>
        <v>103.48000000000003</v>
      </c>
      <c r="Y92" s="13">
        <f t="shared" si="14"/>
        <v>14.211111111111112</v>
      </c>
      <c r="Z92" s="13">
        <f t="shared" si="15"/>
        <v>4.6296296296296298</v>
      </c>
      <c r="AA92" s="13">
        <v>6</v>
      </c>
      <c r="AB92" s="13">
        <v>0</v>
      </c>
      <c r="AC92" s="13">
        <v>3.6</v>
      </c>
      <c r="AD92" s="13">
        <v>10</v>
      </c>
      <c r="AE92" s="13">
        <v>9.4</v>
      </c>
      <c r="AF92" s="13">
        <v>5.2</v>
      </c>
      <c r="AG92" s="13">
        <v>7.6</v>
      </c>
      <c r="AH92" s="13">
        <v>16</v>
      </c>
      <c r="AI92" s="13">
        <v>18.2</v>
      </c>
      <c r="AJ92" s="13">
        <v>15.2</v>
      </c>
      <c r="AK92" s="13"/>
      <c r="AL92" s="13">
        <f t="shared" si="16"/>
        <v>7</v>
      </c>
      <c r="AM92" t="s">
        <v>226</v>
      </c>
    </row>
    <row r="93" spans="1:39" x14ac:dyDescent="0.25">
      <c r="A93" s="13" t="s">
        <v>227</v>
      </c>
      <c r="B93" s="13" t="s">
        <v>52</v>
      </c>
      <c r="C93" s="13">
        <v>20</v>
      </c>
      <c r="D93" s="13">
        <v>36</v>
      </c>
      <c r="E93" s="13">
        <v>48</v>
      </c>
      <c r="F93" s="13"/>
      <c r="G93" s="6">
        <v>7.0000000000000007E-2</v>
      </c>
      <c r="H93" s="13">
        <v>90</v>
      </c>
      <c r="I93" s="8" t="s">
        <v>63</v>
      </c>
      <c r="J93" s="13"/>
      <c r="K93" s="13">
        <v>48</v>
      </c>
      <c r="L93" s="13">
        <f t="shared" si="12"/>
        <v>0</v>
      </c>
      <c r="M93" s="13"/>
      <c r="N93" s="13"/>
      <c r="O93" s="13">
        <v>50</v>
      </c>
      <c r="P93" s="13">
        <v>-72</v>
      </c>
      <c r="Q93" s="13"/>
      <c r="R93" s="13">
        <v>10</v>
      </c>
      <c r="S93" s="13">
        <v>-18</v>
      </c>
      <c r="T93" s="13">
        <v>51</v>
      </c>
      <c r="U93" s="18"/>
      <c r="V93" s="13">
        <f t="shared" si="13"/>
        <v>9.6</v>
      </c>
      <c r="W93" s="4">
        <v>30</v>
      </c>
      <c r="X93" s="4">
        <f>W93*1.3</f>
        <v>39</v>
      </c>
      <c r="Y93" s="13">
        <f t="shared" si="14"/>
        <v>6.25</v>
      </c>
      <c r="Z93" s="13">
        <f t="shared" si="15"/>
        <v>2.1875</v>
      </c>
      <c r="AA93" s="13">
        <v>4.5999999999999996</v>
      </c>
      <c r="AB93" s="13">
        <v>4.5999999999999996</v>
      </c>
      <c r="AC93" s="13">
        <v>8.1999999999999993</v>
      </c>
      <c r="AD93" s="13">
        <v>9</v>
      </c>
      <c r="AE93" s="13">
        <v>8.6</v>
      </c>
      <c r="AF93" s="13">
        <v>4.2</v>
      </c>
      <c r="AG93" s="13">
        <v>0</v>
      </c>
      <c r="AH93" s="13">
        <v>0</v>
      </c>
      <c r="AI93" s="13">
        <v>0</v>
      </c>
      <c r="AJ93" s="13">
        <v>0</v>
      </c>
      <c r="AK93" s="13"/>
      <c r="AL93" s="13">
        <f t="shared" si="16"/>
        <v>3</v>
      </c>
      <c r="AM93" t="s">
        <v>228</v>
      </c>
    </row>
    <row r="94" spans="1:39" x14ac:dyDescent="0.25">
      <c r="A94" s="13" t="s">
        <v>229</v>
      </c>
      <c r="B94" s="13" t="s">
        <v>52</v>
      </c>
      <c r="C94" s="13">
        <v>149</v>
      </c>
      <c r="D94" s="13"/>
      <c r="E94" s="13">
        <v>69</v>
      </c>
      <c r="F94" s="13">
        <v>67</v>
      </c>
      <c r="G94" s="6">
        <v>7.0000000000000007E-2</v>
      </c>
      <c r="H94" s="13">
        <v>90</v>
      </c>
      <c r="I94" s="8" t="s">
        <v>63</v>
      </c>
      <c r="J94" s="13"/>
      <c r="K94" s="13">
        <v>69</v>
      </c>
      <c r="L94" s="13">
        <f t="shared" si="12"/>
        <v>0</v>
      </c>
      <c r="M94" s="13"/>
      <c r="N94" s="13"/>
      <c r="O94" s="13">
        <v>0</v>
      </c>
      <c r="P94" s="13"/>
      <c r="Q94" s="13"/>
      <c r="R94" s="13">
        <v>0</v>
      </c>
      <c r="S94" s="13"/>
      <c r="T94" s="13">
        <v>17</v>
      </c>
      <c r="U94" s="18"/>
      <c r="V94" s="13">
        <f t="shared" si="13"/>
        <v>13.8</v>
      </c>
      <c r="W94" s="4">
        <f>12*V94-T94-S94-R94-Q94-P94-O94-F94</f>
        <v>81.600000000000023</v>
      </c>
      <c r="X94" s="4">
        <f>W94*1.3</f>
        <v>106.08000000000003</v>
      </c>
      <c r="Y94" s="13">
        <f t="shared" si="14"/>
        <v>13.773913043478263</v>
      </c>
      <c r="Z94" s="13">
        <f t="shared" si="15"/>
        <v>6.0869565217391299</v>
      </c>
      <c r="AA94" s="13">
        <v>10</v>
      </c>
      <c r="AB94" s="13">
        <v>10.199999999999999</v>
      </c>
      <c r="AC94" s="13">
        <v>13.6</v>
      </c>
      <c r="AD94" s="13">
        <v>13.6</v>
      </c>
      <c r="AE94" s="13">
        <v>14.2</v>
      </c>
      <c r="AF94" s="13">
        <v>7</v>
      </c>
      <c r="AG94" s="13">
        <v>-0.2</v>
      </c>
      <c r="AH94" s="13">
        <v>10</v>
      </c>
      <c r="AI94" s="13">
        <v>17.2</v>
      </c>
      <c r="AJ94" s="13">
        <v>13</v>
      </c>
      <c r="AK94" s="13"/>
      <c r="AL94" s="13">
        <f t="shared" si="16"/>
        <v>7</v>
      </c>
      <c r="AM94" t="s">
        <v>230</v>
      </c>
    </row>
    <row r="95" spans="1:39" x14ac:dyDescent="0.25">
      <c r="A95" s="13" t="s">
        <v>231</v>
      </c>
      <c r="B95" s="13" t="s">
        <v>52</v>
      </c>
      <c r="C95" s="13"/>
      <c r="D95" s="13">
        <v>120</v>
      </c>
      <c r="E95" s="13">
        <v>73</v>
      </c>
      <c r="F95" s="13">
        <v>41</v>
      </c>
      <c r="G95" s="6">
        <v>0.3</v>
      </c>
      <c r="H95" s="13"/>
      <c r="I95" s="13" t="s">
        <v>45</v>
      </c>
      <c r="J95" s="13"/>
      <c r="K95" s="13">
        <v>75</v>
      </c>
      <c r="L95" s="13">
        <f t="shared" si="12"/>
        <v>-2</v>
      </c>
      <c r="M95" s="13"/>
      <c r="N95" s="13"/>
      <c r="O95" s="13">
        <v>125</v>
      </c>
      <c r="P95" s="13"/>
      <c r="Q95" s="13"/>
      <c r="R95" s="13">
        <v>0</v>
      </c>
      <c r="S95" s="13"/>
      <c r="T95" s="13">
        <v>0</v>
      </c>
      <c r="U95" s="18"/>
      <c r="V95" s="13">
        <f t="shared" si="13"/>
        <v>14.6</v>
      </c>
      <c r="W95" s="4">
        <f>12*V95-T95-S95-R95-Q95-P95-O95-F95</f>
        <v>9.1999999999999886</v>
      </c>
      <c r="X95" s="4">
        <f>W95+V95*$X$1</f>
        <v>41.173999999999992</v>
      </c>
      <c r="Y95" s="13">
        <f t="shared" si="14"/>
        <v>14.19</v>
      </c>
      <c r="Z95" s="13">
        <f t="shared" si="15"/>
        <v>11.36986301369863</v>
      </c>
      <c r="AA95" s="13">
        <v>1.4</v>
      </c>
      <c r="AB95" s="13">
        <v>0</v>
      </c>
      <c r="AC95" s="13">
        <v>15.4</v>
      </c>
      <c r="AD95" s="13">
        <v>16.600000000000001</v>
      </c>
      <c r="AE95" s="13">
        <v>1.2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 t="s">
        <v>223</v>
      </c>
      <c r="AL95" s="13">
        <f t="shared" si="16"/>
        <v>12</v>
      </c>
      <c r="AM95" t="s">
        <v>232</v>
      </c>
    </row>
    <row r="96" spans="1:39" x14ac:dyDescent="0.25">
      <c r="A96" s="9" t="s">
        <v>233</v>
      </c>
      <c r="B96" s="9" t="s">
        <v>44</v>
      </c>
      <c r="C96" s="9"/>
      <c r="D96" s="9"/>
      <c r="E96" s="9"/>
      <c r="F96" s="9"/>
      <c r="G96" s="10">
        <v>0</v>
      </c>
      <c r="H96" s="9"/>
      <c r="I96" s="9" t="s">
        <v>45</v>
      </c>
      <c r="J96" s="9"/>
      <c r="K96" s="9"/>
      <c r="L96" s="9">
        <f t="shared" si="12"/>
        <v>0</v>
      </c>
      <c r="M96" s="9"/>
      <c r="N96" s="9"/>
      <c r="O96" s="9">
        <v>0</v>
      </c>
      <c r="P96" s="9"/>
      <c r="Q96" s="9"/>
      <c r="R96" s="9">
        <v>0</v>
      </c>
      <c r="S96" s="9"/>
      <c r="T96" s="9">
        <v>0</v>
      </c>
      <c r="U96" s="20"/>
      <c r="V96" s="9">
        <f t="shared" si="13"/>
        <v>0</v>
      </c>
      <c r="W96" s="11"/>
      <c r="X96" s="4">
        <f>W96</f>
        <v>0</v>
      </c>
      <c r="Y96" s="13" t="e">
        <f t="shared" si="14"/>
        <v>#DIV/0!</v>
      </c>
      <c r="Z96" s="9" t="e">
        <f t="shared" si="15"/>
        <v>#DIV/0!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 t="s">
        <v>60</v>
      </c>
      <c r="AL96" s="13">
        <f t="shared" si="16"/>
        <v>0</v>
      </c>
      <c r="AM96" t="s">
        <v>234</v>
      </c>
    </row>
    <row r="97" spans="1:39" x14ac:dyDescent="0.25">
      <c r="A97" s="9" t="s">
        <v>235</v>
      </c>
      <c r="B97" s="9" t="s">
        <v>52</v>
      </c>
      <c r="C97" s="9"/>
      <c r="D97" s="9"/>
      <c r="E97" s="9"/>
      <c r="F97" s="9"/>
      <c r="G97" s="10">
        <v>0</v>
      </c>
      <c r="H97" s="9"/>
      <c r="I97" s="9" t="s">
        <v>45</v>
      </c>
      <c r="J97" s="9"/>
      <c r="K97" s="9"/>
      <c r="L97" s="9">
        <f t="shared" si="12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>
        <v>0</v>
      </c>
      <c r="U97" s="20"/>
      <c r="V97" s="9">
        <f t="shared" si="13"/>
        <v>0</v>
      </c>
      <c r="W97" s="11"/>
      <c r="X97" s="4">
        <f>W97</f>
        <v>0</v>
      </c>
      <c r="Y97" s="13" t="e">
        <f t="shared" si="14"/>
        <v>#DIV/0!</v>
      </c>
      <c r="Z97" s="9" t="e">
        <f t="shared" si="15"/>
        <v>#DIV/0!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 t="s">
        <v>60</v>
      </c>
      <c r="AL97" s="13">
        <f t="shared" si="16"/>
        <v>0</v>
      </c>
      <c r="AM97" t="s">
        <v>236</v>
      </c>
    </row>
    <row r="98" spans="1:39" x14ac:dyDescent="0.25">
      <c r="A98" s="9" t="s">
        <v>237</v>
      </c>
      <c r="B98" s="9" t="s">
        <v>52</v>
      </c>
      <c r="C98" s="9"/>
      <c r="D98" s="9"/>
      <c r="E98" s="9"/>
      <c r="F98" s="9"/>
      <c r="G98" s="10">
        <v>0</v>
      </c>
      <c r="H98" s="9"/>
      <c r="I98" s="9" t="s">
        <v>45</v>
      </c>
      <c r="J98" s="9"/>
      <c r="K98" s="9"/>
      <c r="L98" s="9">
        <f t="shared" si="12"/>
        <v>0</v>
      </c>
      <c r="M98" s="9"/>
      <c r="N98" s="9"/>
      <c r="O98" s="9">
        <v>0</v>
      </c>
      <c r="P98" s="9"/>
      <c r="Q98" s="9"/>
      <c r="R98" s="9">
        <v>0</v>
      </c>
      <c r="S98" s="9"/>
      <c r="T98" s="9">
        <v>0</v>
      </c>
      <c r="U98" s="20"/>
      <c r="V98" s="9">
        <f t="shared" si="13"/>
        <v>0</v>
      </c>
      <c r="W98" s="11"/>
      <c r="X98" s="4">
        <f>W98</f>
        <v>0</v>
      </c>
      <c r="Y98" s="13" t="e">
        <f t="shared" si="14"/>
        <v>#DIV/0!</v>
      </c>
      <c r="Z98" s="9" t="e">
        <f t="shared" si="15"/>
        <v>#DIV/0!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 t="s">
        <v>60</v>
      </c>
      <c r="AL98" s="13">
        <f t="shared" si="16"/>
        <v>0</v>
      </c>
      <c r="AM98" t="s">
        <v>238</v>
      </c>
    </row>
    <row r="99" spans="1:39" x14ac:dyDescent="0.25">
      <c r="A99" s="13" t="s">
        <v>239</v>
      </c>
      <c r="B99" s="13" t="s">
        <v>52</v>
      </c>
      <c r="C99" s="13">
        <v>107</v>
      </c>
      <c r="D99" s="13">
        <v>150</v>
      </c>
      <c r="E99" s="13">
        <v>74</v>
      </c>
      <c r="F99" s="13">
        <v>166</v>
      </c>
      <c r="G99" s="6">
        <v>0.08</v>
      </c>
      <c r="H99" s="13">
        <v>45</v>
      </c>
      <c r="I99" s="13" t="s">
        <v>45</v>
      </c>
      <c r="J99" s="13"/>
      <c r="K99" s="13">
        <v>83</v>
      </c>
      <c r="L99" s="13">
        <f t="shared" si="12"/>
        <v>-9</v>
      </c>
      <c r="M99" s="13"/>
      <c r="N99" s="13"/>
      <c r="O99" s="13">
        <v>100</v>
      </c>
      <c r="P99" s="13"/>
      <c r="Q99" s="13"/>
      <c r="R99" s="13">
        <v>0</v>
      </c>
      <c r="S99" s="13"/>
      <c r="T99" s="13">
        <v>0</v>
      </c>
      <c r="U99" s="18"/>
      <c r="V99" s="13">
        <f t="shared" si="13"/>
        <v>14.8</v>
      </c>
      <c r="W99" s="4"/>
      <c r="X99" s="4">
        <f>W99</f>
        <v>0</v>
      </c>
      <c r="Y99" s="13">
        <f t="shared" si="14"/>
        <v>17.972972972972972</v>
      </c>
      <c r="Z99" s="13">
        <f t="shared" si="15"/>
        <v>17.972972972972972</v>
      </c>
      <c r="AA99" s="13">
        <v>10.4</v>
      </c>
      <c r="AB99" s="13">
        <v>12.6</v>
      </c>
      <c r="AC99" s="13">
        <v>23.2</v>
      </c>
      <c r="AD99" s="13">
        <v>25.6</v>
      </c>
      <c r="AE99" s="13">
        <v>25.2</v>
      </c>
      <c r="AF99" s="13">
        <v>14</v>
      </c>
      <c r="AG99" s="13">
        <v>0.6</v>
      </c>
      <c r="AH99" s="13">
        <v>11.2</v>
      </c>
      <c r="AI99" s="13">
        <v>23.6</v>
      </c>
      <c r="AJ99" s="13">
        <v>19</v>
      </c>
      <c r="AK99" s="15" t="s">
        <v>240</v>
      </c>
      <c r="AL99" s="13">
        <f t="shared" si="16"/>
        <v>0</v>
      </c>
      <c r="AM99" t="s">
        <v>241</v>
      </c>
    </row>
    <row r="100" spans="1:39" x14ac:dyDescent="0.25">
      <c r="A100" s="13" t="s">
        <v>242</v>
      </c>
      <c r="B100" s="13" t="s">
        <v>52</v>
      </c>
      <c r="C100" s="13">
        <v>42</v>
      </c>
      <c r="D100" s="13">
        <v>220</v>
      </c>
      <c r="E100" s="13">
        <v>99</v>
      </c>
      <c r="F100" s="13">
        <v>143</v>
      </c>
      <c r="G100" s="6">
        <v>0.08</v>
      </c>
      <c r="H100" s="13">
        <v>45</v>
      </c>
      <c r="I100" s="13" t="s">
        <v>45</v>
      </c>
      <c r="J100" s="13"/>
      <c r="K100" s="13">
        <v>97</v>
      </c>
      <c r="L100" s="13">
        <f t="shared" si="12"/>
        <v>2</v>
      </c>
      <c r="M100" s="13"/>
      <c r="N100" s="13"/>
      <c r="O100" s="13">
        <v>50.399999999999977</v>
      </c>
      <c r="P100" s="13"/>
      <c r="Q100" s="13"/>
      <c r="R100" s="13">
        <v>0</v>
      </c>
      <c r="S100" s="13"/>
      <c r="T100" s="13">
        <v>0</v>
      </c>
      <c r="U100" s="18"/>
      <c r="V100" s="13">
        <f t="shared" si="13"/>
        <v>19.8</v>
      </c>
      <c r="W100" s="4">
        <f>12*V100-T100-S100-R100-Q100-P100-O100-F100</f>
        <v>44.200000000000045</v>
      </c>
      <c r="X100" s="4">
        <f>W100+V100*$X$1</f>
        <v>87.56200000000004</v>
      </c>
      <c r="Y100" s="13">
        <f t="shared" si="14"/>
        <v>14.19</v>
      </c>
      <c r="Z100" s="13">
        <f t="shared" si="15"/>
        <v>9.7676767676767664</v>
      </c>
      <c r="AA100" s="13">
        <v>14.4</v>
      </c>
      <c r="AB100" s="13">
        <v>21.2</v>
      </c>
      <c r="AC100" s="13">
        <v>28</v>
      </c>
      <c r="AD100" s="13">
        <v>29.8</v>
      </c>
      <c r="AE100" s="13">
        <v>31</v>
      </c>
      <c r="AF100" s="13">
        <v>18.2</v>
      </c>
      <c r="AG100" s="13">
        <v>11</v>
      </c>
      <c r="AH100" s="13">
        <v>21</v>
      </c>
      <c r="AI100" s="13">
        <v>22.2</v>
      </c>
      <c r="AJ100" s="13">
        <v>14.4</v>
      </c>
      <c r="AK100" s="13" t="s">
        <v>117</v>
      </c>
      <c r="AL100" s="13">
        <f t="shared" si="16"/>
        <v>7</v>
      </c>
      <c r="AM100" t="s">
        <v>243</v>
      </c>
    </row>
    <row r="101" spans="1:39" x14ac:dyDescent="0.25">
      <c r="A101" s="9" t="s">
        <v>244</v>
      </c>
      <c r="B101" s="9" t="s">
        <v>52</v>
      </c>
      <c r="C101" s="9"/>
      <c r="D101" s="9"/>
      <c r="E101" s="9"/>
      <c r="F101" s="9"/>
      <c r="G101" s="10">
        <v>0</v>
      </c>
      <c r="H101" s="9"/>
      <c r="I101" s="9" t="s">
        <v>45</v>
      </c>
      <c r="J101" s="9"/>
      <c r="K101" s="9"/>
      <c r="L101" s="9">
        <f t="shared" si="12"/>
        <v>0</v>
      </c>
      <c r="M101" s="9"/>
      <c r="N101" s="9"/>
      <c r="O101" s="9">
        <v>0</v>
      </c>
      <c r="P101" s="9"/>
      <c r="Q101" s="9"/>
      <c r="R101" s="9">
        <v>0</v>
      </c>
      <c r="S101" s="9"/>
      <c r="T101" s="9">
        <v>0</v>
      </c>
      <c r="U101" s="20"/>
      <c r="V101" s="9">
        <f t="shared" si="13"/>
        <v>0</v>
      </c>
      <c r="W101" s="11"/>
      <c r="X101" s="4">
        <f>W101</f>
        <v>0</v>
      </c>
      <c r="Y101" s="13" t="e">
        <f t="shared" si="14"/>
        <v>#DIV/0!</v>
      </c>
      <c r="Z101" s="9" t="e">
        <f t="shared" si="15"/>
        <v>#DIV/0!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 t="s">
        <v>60</v>
      </c>
      <c r="AL101" s="13">
        <f t="shared" si="16"/>
        <v>0</v>
      </c>
      <c r="AM101" t="s">
        <v>245</v>
      </c>
    </row>
    <row r="102" spans="1:39" x14ac:dyDescent="0.25">
      <c r="A102" s="13" t="s">
        <v>246</v>
      </c>
      <c r="B102" s="13" t="s">
        <v>44</v>
      </c>
      <c r="C102" s="13"/>
      <c r="D102" s="13">
        <v>102.536</v>
      </c>
      <c r="E102" s="13">
        <v>101.833</v>
      </c>
      <c r="F102" s="13">
        <v>-1.7000000000000001E-2</v>
      </c>
      <c r="G102" s="6">
        <v>1</v>
      </c>
      <c r="H102" s="13">
        <v>40</v>
      </c>
      <c r="I102" s="8" t="s">
        <v>63</v>
      </c>
      <c r="J102" s="13"/>
      <c r="K102" s="13">
        <v>129.30000000000001</v>
      </c>
      <c r="L102" s="13">
        <f t="shared" ref="L102:L133" si="17">E102-K102</f>
        <v>-27.467000000000013</v>
      </c>
      <c r="M102" s="13"/>
      <c r="N102" s="13"/>
      <c r="O102" s="13">
        <v>250</v>
      </c>
      <c r="P102" s="13">
        <v>-252</v>
      </c>
      <c r="Q102" s="13"/>
      <c r="R102" s="13">
        <v>0</v>
      </c>
      <c r="S102" s="13"/>
      <c r="T102" s="13">
        <v>170</v>
      </c>
      <c r="U102" s="18"/>
      <c r="V102" s="13">
        <f t="shared" ref="V102:V128" si="18">E102/5</f>
        <v>20.366599999999998</v>
      </c>
      <c r="W102" s="4">
        <v>100</v>
      </c>
      <c r="X102" s="4">
        <f>W102*1.3</f>
        <v>130</v>
      </c>
      <c r="Y102" s="13">
        <f t="shared" ref="Y102:Y133" si="19">(F102+O102+P102+Q102+R102+S102+T102+X102)/V102</f>
        <v>14.630964422142137</v>
      </c>
      <c r="Z102" s="13">
        <f t="shared" ref="Z102:Z128" si="20">(F102+O102+P102+Q102+R102+S102+T102)/V102</f>
        <v>8.2479648051221126</v>
      </c>
      <c r="AA102" s="13">
        <v>-0.28820000000000001</v>
      </c>
      <c r="AB102" s="13">
        <v>0.71740000000000004</v>
      </c>
      <c r="AC102" s="13">
        <v>13.458399999999999</v>
      </c>
      <c r="AD102" s="13">
        <v>17.5322</v>
      </c>
      <c r="AE102" s="13">
        <v>21.331199999999999</v>
      </c>
      <c r="AF102" s="13">
        <v>16.2516</v>
      </c>
      <c r="AG102" s="13">
        <v>0.43880000000000002</v>
      </c>
      <c r="AH102" s="13">
        <v>18.152000000000001</v>
      </c>
      <c r="AI102" s="13">
        <v>37.6066</v>
      </c>
      <c r="AJ102" s="13">
        <v>48.525799999999997</v>
      </c>
      <c r="AK102" s="13"/>
      <c r="AL102" s="13">
        <f t="shared" ref="AL102:AL128" si="21">ROUND(G102*X102,0)</f>
        <v>130</v>
      </c>
      <c r="AM102" t="s">
        <v>247</v>
      </c>
    </row>
    <row r="103" spans="1:39" x14ac:dyDescent="0.25">
      <c r="A103" s="13" t="s">
        <v>248</v>
      </c>
      <c r="B103" s="13" t="s">
        <v>44</v>
      </c>
      <c r="C103" s="13">
        <v>-1.4159999999999999</v>
      </c>
      <c r="D103" s="13">
        <v>80.043000000000006</v>
      </c>
      <c r="E103" s="13">
        <v>77.141999999999996</v>
      </c>
      <c r="F103" s="13">
        <v>-1.397</v>
      </c>
      <c r="G103" s="6">
        <v>1</v>
      </c>
      <c r="H103" s="13">
        <v>40</v>
      </c>
      <c r="I103" s="8" t="s">
        <v>63</v>
      </c>
      <c r="J103" s="13"/>
      <c r="K103" s="13">
        <v>84.1</v>
      </c>
      <c r="L103" s="13">
        <f t="shared" si="17"/>
        <v>-6.9579999999999984</v>
      </c>
      <c r="M103" s="13"/>
      <c r="N103" s="13"/>
      <c r="O103" s="13">
        <v>250</v>
      </c>
      <c r="P103" s="13">
        <v>-252</v>
      </c>
      <c r="Q103" s="13"/>
      <c r="R103" s="13">
        <v>60</v>
      </c>
      <c r="S103" s="13"/>
      <c r="T103" s="13">
        <v>255</v>
      </c>
      <c r="U103" s="18"/>
      <c r="V103" s="13">
        <f t="shared" si="18"/>
        <v>15.4284</v>
      </c>
      <c r="W103" s="4"/>
      <c r="X103" s="4">
        <f>W103*1.3</f>
        <v>0</v>
      </c>
      <c r="Y103" s="13">
        <f t="shared" si="19"/>
        <v>20.196715148686838</v>
      </c>
      <c r="Z103" s="13">
        <f t="shared" si="20"/>
        <v>20.196715148686838</v>
      </c>
      <c r="AA103" s="13">
        <v>11.6716</v>
      </c>
      <c r="AB103" s="13">
        <v>31.165600000000001</v>
      </c>
      <c r="AC103" s="13">
        <v>32.430599999999998</v>
      </c>
      <c r="AD103" s="13">
        <v>18.595400000000001</v>
      </c>
      <c r="AE103" s="13">
        <v>14.566599999999999</v>
      </c>
      <c r="AF103" s="13">
        <v>10.164199999999999</v>
      </c>
      <c r="AG103" s="13">
        <v>1.1066</v>
      </c>
      <c r="AH103" s="13">
        <v>18.8582</v>
      </c>
      <c r="AI103" s="13">
        <v>41.940399999999997</v>
      </c>
      <c r="AJ103" s="13">
        <v>51.450800000000001</v>
      </c>
      <c r="AK103" s="13"/>
      <c r="AL103" s="13">
        <f t="shared" si="21"/>
        <v>0</v>
      </c>
      <c r="AM103" t="s">
        <v>249</v>
      </c>
    </row>
    <row r="104" spans="1:39" x14ac:dyDescent="0.25">
      <c r="A104" s="13" t="s">
        <v>250</v>
      </c>
      <c r="B104" s="13" t="s">
        <v>44</v>
      </c>
      <c r="C104" s="13"/>
      <c r="D104" s="13"/>
      <c r="E104" s="13">
        <v>-0.71499999999999997</v>
      </c>
      <c r="F104" s="13"/>
      <c r="G104" s="6">
        <v>1</v>
      </c>
      <c r="H104" s="13">
        <v>40</v>
      </c>
      <c r="I104" s="8" t="s">
        <v>63</v>
      </c>
      <c r="J104" s="13"/>
      <c r="K104" s="13">
        <v>26.6</v>
      </c>
      <c r="L104" s="13">
        <f t="shared" si="17"/>
        <v>-27.315000000000001</v>
      </c>
      <c r="M104" s="13"/>
      <c r="N104" s="13"/>
      <c r="O104" s="13">
        <v>250</v>
      </c>
      <c r="P104" s="13">
        <v>-252</v>
      </c>
      <c r="Q104" s="13"/>
      <c r="R104" s="13">
        <v>50</v>
      </c>
      <c r="S104" s="13">
        <v>-52.5</v>
      </c>
      <c r="T104" s="13">
        <v>85</v>
      </c>
      <c r="U104" s="18"/>
      <c r="V104" s="13">
        <f t="shared" si="18"/>
        <v>-0.14299999999999999</v>
      </c>
      <c r="W104" s="4"/>
      <c r="X104" s="4">
        <f>W104*1.3</f>
        <v>0</v>
      </c>
      <c r="Y104" s="13">
        <f t="shared" si="19"/>
        <v>-562.93706293706293</v>
      </c>
      <c r="Z104" s="13">
        <f t="shared" si="20"/>
        <v>-562.93706293706293</v>
      </c>
      <c r="AA104" s="13">
        <v>-0.28339999999999999</v>
      </c>
      <c r="AB104" s="13">
        <v>-0.42299999999999999</v>
      </c>
      <c r="AC104" s="13">
        <v>-0.71120000000000005</v>
      </c>
      <c r="AD104" s="13">
        <v>-0.85540000000000005</v>
      </c>
      <c r="AE104" s="13">
        <v>-0.56600000000000006</v>
      </c>
      <c r="AF104" s="13">
        <v>-0.42</v>
      </c>
      <c r="AG104" s="13">
        <v>-0.42220000000000002</v>
      </c>
      <c r="AH104" s="13">
        <v>-1.1372</v>
      </c>
      <c r="AI104" s="13">
        <v>-1.2682</v>
      </c>
      <c r="AJ104" s="13">
        <v>29.753599999999999</v>
      </c>
      <c r="AK104" s="13"/>
      <c r="AL104" s="13">
        <f t="shared" si="21"/>
        <v>0</v>
      </c>
      <c r="AM104" t="s">
        <v>251</v>
      </c>
    </row>
    <row r="105" spans="1:39" x14ac:dyDescent="0.25">
      <c r="A105" s="9" t="s">
        <v>252</v>
      </c>
      <c r="B105" s="9" t="s">
        <v>52</v>
      </c>
      <c r="C105" s="9"/>
      <c r="D105" s="9"/>
      <c r="E105" s="9"/>
      <c r="F105" s="9"/>
      <c r="G105" s="10">
        <v>0</v>
      </c>
      <c r="H105" s="9"/>
      <c r="I105" s="9" t="s">
        <v>45</v>
      </c>
      <c r="J105" s="9"/>
      <c r="K105" s="9"/>
      <c r="L105" s="9">
        <f t="shared" si="17"/>
        <v>0</v>
      </c>
      <c r="M105" s="9"/>
      <c r="N105" s="9"/>
      <c r="O105" s="9">
        <v>0</v>
      </c>
      <c r="P105" s="9"/>
      <c r="Q105" s="9"/>
      <c r="R105" s="9">
        <v>0</v>
      </c>
      <c r="S105" s="9"/>
      <c r="T105" s="9">
        <v>0</v>
      </c>
      <c r="U105" s="20"/>
      <c r="V105" s="9">
        <f t="shared" si="18"/>
        <v>0</v>
      </c>
      <c r="W105" s="11"/>
      <c r="X105" s="4">
        <f>W105</f>
        <v>0</v>
      </c>
      <c r="Y105" s="13" t="e">
        <f t="shared" si="19"/>
        <v>#DIV/0!</v>
      </c>
      <c r="Z105" s="9" t="e">
        <f t="shared" si="20"/>
        <v>#DIV/0!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 t="s">
        <v>60</v>
      </c>
      <c r="AL105" s="13">
        <f t="shared" si="21"/>
        <v>0</v>
      </c>
      <c r="AM105" t="s">
        <v>253</v>
      </c>
    </row>
    <row r="106" spans="1:39" x14ac:dyDescent="0.25">
      <c r="A106" s="9" t="s">
        <v>254</v>
      </c>
      <c r="B106" s="9" t="s">
        <v>52</v>
      </c>
      <c r="C106" s="9"/>
      <c r="D106" s="9"/>
      <c r="E106" s="9"/>
      <c r="F106" s="9"/>
      <c r="G106" s="10">
        <v>0</v>
      </c>
      <c r="H106" s="9"/>
      <c r="I106" s="9" t="s">
        <v>45</v>
      </c>
      <c r="J106" s="9"/>
      <c r="K106" s="9"/>
      <c r="L106" s="9">
        <f t="shared" si="17"/>
        <v>0</v>
      </c>
      <c r="M106" s="9"/>
      <c r="N106" s="9"/>
      <c r="O106" s="9">
        <v>0</v>
      </c>
      <c r="P106" s="9"/>
      <c r="Q106" s="9"/>
      <c r="R106" s="9">
        <v>0</v>
      </c>
      <c r="S106" s="9"/>
      <c r="T106" s="9">
        <v>0</v>
      </c>
      <c r="U106" s="20"/>
      <c r="V106" s="9">
        <f t="shared" si="18"/>
        <v>0</v>
      </c>
      <c r="W106" s="11"/>
      <c r="X106" s="4">
        <f>W106</f>
        <v>0</v>
      </c>
      <c r="Y106" s="13" t="e">
        <f t="shared" si="19"/>
        <v>#DIV/0!</v>
      </c>
      <c r="Z106" s="9" t="e">
        <f t="shared" si="20"/>
        <v>#DIV/0!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 t="s">
        <v>60</v>
      </c>
      <c r="AL106" s="13">
        <f t="shared" si="21"/>
        <v>0</v>
      </c>
      <c r="AM106" t="s">
        <v>255</v>
      </c>
    </row>
    <row r="107" spans="1:39" x14ac:dyDescent="0.25">
      <c r="A107" s="13" t="s">
        <v>256</v>
      </c>
      <c r="B107" s="13" t="s">
        <v>52</v>
      </c>
      <c r="C107" s="13"/>
      <c r="D107" s="13">
        <v>145</v>
      </c>
      <c r="E107" s="13">
        <v>141</v>
      </c>
      <c r="F107" s="13">
        <v>1</v>
      </c>
      <c r="G107" s="6">
        <v>0.28000000000000003</v>
      </c>
      <c r="H107" s="13">
        <v>40</v>
      </c>
      <c r="I107" s="8" t="s">
        <v>63</v>
      </c>
      <c r="J107" s="13"/>
      <c r="K107" s="13">
        <v>194</v>
      </c>
      <c r="L107" s="13">
        <f t="shared" si="17"/>
        <v>-53</v>
      </c>
      <c r="M107" s="13"/>
      <c r="N107" s="13"/>
      <c r="O107" s="13">
        <v>250</v>
      </c>
      <c r="P107" s="13">
        <v>-252</v>
      </c>
      <c r="Q107" s="13"/>
      <c r="R107" s="13">
        <v>0</v>
      </c>
      <c r="S107" s="13"/>
      <c r="T107" s="13">
        <v>170</v>
      </c>
      <c r="U107" s="18"/>
      <c r="V107" s="13">
        <f t="shared" si="18"/>
        <v>28.2</v>
      </c>
      <c r="W107" s="4">
        <v>150</v>
      </c>
      <c r="X107" s="4">
        <f>W107*1.3</f>
        <v>195</v>
      </c>
      <c r="Y107" s="13">
        <f t="shared" si="19"/>
        <v>12.907801418439716</v>
      </c>
      <c r="Z107" s="13">
        <f t="shared" si="20"/>
        <v>5.9929078014184398</v>
      </c>
      <c r="AA107" s="13">
        <v>28.6</v>
      </c>
      <c r="AB107" s="13">
        <v>0</v>
      </c>
      <c r="AC107" s="13">
        <v>7.6</v>
      </c>
      <c r="AD107" s="13">
        <v>22.8</v>
      </c>
      <c r="AE107" s="13">
        <v>33.799999999999997</v>
      </c>
      <c r="AF107" s="13">
        <v>17.8</v>
      </c>
      <c r="AG107" s="13">
        <v>-1.2</v>
      </c>
      <c r="AH107" s="13">
        <v>19.2</v>
      </c>
      <c r="AI107" s="13">
        <v>56.6</v>
      </c>
      <c r="AJ107" s="13">
        <v>41</v>
      </c>
      <c r="AK107" s="13"/>
      <c r="AL107" s="13">
        <f t="shared" si="21"/>
        <v>55</v>
      </c>
      <c r="AM107" t="s">
        <v>257</v>
      </c>
    </row>
    <row r="108" spans="1:39" x14ac:dyDescent="0.25">
      <c r="A108" s="13" t="s">
        <v>258</v>
      </c>
      <c r="B108" s="13" t="s">
        <v>52</v>
      </c>
      <c r="C108" s="13"/>
      <c r="D108" s="13">
        <v>150</v>
      </c>
      <c r="E108" s="13">
        <v>146</v>
      </c>
      <c r="F108" s="13">
        <v>2</v>
      </c>
      <c r="G108" s="6">
        <v>0.28000000000000003</v>
      </c>
      <c r="H108" s="13">
        <v>40</v>
      </c>
      <c r="I108" s="8" t="s">
        <v>63</v>
      </c>
      <c r="J108" s="13"/>
      <c r="K108" s="13">
        <v>161</v>
      </c>
      <c r="L108" s="13">
        <f t="shared" si="17"/>
        <v>-15</v>
      </c>
      <c r="M108" s="13"/>
      <c r="N108" s="13"/>
      <c r="O108" s="13">
        <v>250</v>
      </c>
      <c r="P108" s="13"/>
      <c r="Q108" s="13"/>
      <c r="R108" s="13">
        <v>0</v>
      </c>
      <c r="S108" s="13"/>
      <c r="T108" s="13">
        <v>0</v>
      </c>
      <c r="U108" s="18"/>
      <c r="V108" s="13">
        <f t="shared" si="18"/>
        <v>29.2</v>
      </c>
      <c r="W108" s="4">
        <v>100</v>
      </c>
      <c r="X108" s="4">
        <f>W108*1.3</f>
        <v>130</v>
      </c>
      <c r="Y108" s="13">
        <f t="shared" si="19"/>
        <v>13.082191780821917</v>
      </c>
      <c r="Z108" s="13">
        <f t="shared" si="20"/>
        <v>8.6301369863013697</v>
      </c>
      <c r="AA108" s="13">
        <v>-1</v>
      </c>
      <c r="AB108" s="13">
        <v>-0.6</v>
      </c>
      <c r="AC108" s="13">
        <v>12.2</v>
      </c>
      <c r="AD108" s="13">
        <v>19.2</v>
      </c>
      <c r="AE108" s="13">
        <v>21.2</v>
      </c>
      <c r="AF108" s="13">
        <v>13.8</v>
      </c>
      <c r="AG108" s="13">
        <v>-0.6</v>
      </c>
      <c r="AH108" s="13">
        <v>-1</v>
      </c>
      <c r="AI108" s="13">
        <v>-2.4</v>
      </c>
      <c r="AJ108" s="13">
        <v>-2.4</v>
      </c>
      <c r="AK108" s="13"/>
      <c r="AL108" s="13">
        <f t="shared" si="21"/>
        <v>36</v>
      </c>
      <c r="AM108" t="s">
        <v>259</v>
      </c>
    </row>
    <row r="109" spans="1:39" x14ac:dyDescent="0.25">
      <c r="A109" s="13" t="s">
        <v>260</v>
      </c>
      <c r="B109" s="13" t="s">
        <v>52</v>
      </c>
      <c r="C109" s="13"/>
      <c r="D109" s="13">
        <v>252</v>
      </c>
      <c r="E109" s="13">
        <v>246</v>
      </c>
      <c r="F109" s="13">
        <v>2</v>
      </c>
      <c r="G109" s="6">
        <v>0.28000000000000003</v>
      </c>
      <c r="H109" s="13">
        <v>40</v>
      </c>
      <c r="I109" s="8" t="s">
        <v>63</v>
      </c>
      <c r="J109" s="13"/>
      <c r="K109" s="13">
        <v>306</v>
      </c>
      <c r="L109" s="13">
        <f t="shared" si="17"/>
        <v>-60</v>
      </c>
      <c r="M109" s="13"/>
      <c r="N109" s="13"/>
      <c r="O109" s="13">
        <v>250</v>
      </c>
      <c r="P109" s="13">
        <v>-252</v>
      </c>
      <c r="Q109" s="13"/>
      <c r="R109" s="13">
        <v>0</v>
      </c>
      <c r="S109" s="13"/>
      <c r="T109" s="13">
        <v>340</v>
      </c>
      <c r="U109" s="18"/>
      <c r="V109" s="13">
        <f t="shared" si="18"/>
        <v>49.2</v>
      </c>
      <c r="W109" s="4">
        <v>200</v>
      </c>
      <c r="X109" s="4">
        <f>W109*1.3</f>
        <v>260</v>
      </c>
      <c r="Y109" s="13">
        <f t="shared" si="19"/>
        <v>12.195121951219512</v>
      </c>
      <c r="Z109" s="13">
        <f t="shared" si="20"/>
        <v>6.9105691056910565</v>
      </c>
      <c r="AA109" s="13">
        <v>29.4</v>
      </c>
      <c r="AB109" s="13">
        <v>0.4</v>
      </c>
      <c r="AC109" s="13">
        <v>10.6</v>
      </c>
      <c r="AD109" s="13">
        <v>15.2</v>
      </c>
      <c r="AE109" s="13">
        <v>19</v>
      </c>
      <c r="AF109" s="13">
        <v>13.2</v>
      </c>
      <c r="AG109" s="13">
        <v>8</v>
      </c>
      <c r="AH109" s="13">
        <v>42.2</v>
      </c>
      <c r="AI109" s="13">
        <v>68.2</v>
      </c>
      <c r="AJ109" s="13">
        <v>49.2</v>
      </c>
      <c r="AK109" s="13"/>
      <c r="AL109" s="13">
        <f t="shared" si="21"/>
        <v>73</v>
      </c>
      <c r="AM109" t="s">
        <v>261</v>
      </c>
    </row>
    <row r="110" spans="1:39" x14ac:dyDescent="0.25">
      <c r="A110" s="9" t="s">
        <v>262</v>
      </c>
      <c r="B110" s="9" t="s">
        <v>52</v>
      </c>
      <c r="C110" s="9"/>
      <c r="D110" s="9"/>
      <c r="E110" s="9"/>
      <c r="F110" s="9"/>
      <c r="G110" s="10">
        <v>0</v>
      </c>
      <c r="H110" s="9"/>
      <c r="I110" s="9" t="s">
        <v>45</v>
      </c>
      <c r="J110" s="9"/>
      <c r="K110" s="9"/>
      <c r="L110" s="9">
        <f t="shared" si="17"/>
        <v>0</v>
      </c>
      <c r="M110" s="9"/>
      <c r="N110" s="9"/>
      <c r="O110" s="9">
        <v>0</v>
      </c>
      <c r="P110" s="9"/>
      <c r="Q110" s="9"/>
      <c r="R110" s="9">
        <v>0</v>
      </c>
      <c r="S110" s="9"/>
      <c r="T110" s="9">
        <v>0</v>
      </c>
      <c r="U110" s="20"/>
      <c r="V110" s="9">
        <f t="shared" si="18"/>
        <v>0</v>
      </c>
      <c r="W110" s="11"/>
      <c r="X110" s="4">
        <f t="shared" ref="X110:X116" si="22">W110</f>
        <v>0</v>
      </c>
      <c r="Y110" s="13" t="e">
        <f t="shared" si="19"/>
        <v>#DIV/0!</v>
      </c>
      <c r="Z110" s="9" t="e">
        <f t="shared" si="20"/>
        <v>#DIV/0!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 t="s">
        <v>60</v>
      </c>
      <c r="AL110" s="13">
        <f t="shared" si="21"/>
        <v>0</v>
      </c>
      <c r="AM110" t="s">
        <v>263</v>
      </c>
    </row>
    <row r="111" spans="1:39" x14ac:dyDescent="0.25">
      <c r="A111" s="13" t="s">
        <v>264</v>
      </c>
      <c r="B111" s="13" t="s">
        <v>44</v>
      </c>
      <c r="C111" s="13">
        <v>25.073</v>
      </c>
      <c r="D111" s="13"/>
      <c r="E111" s="13">
        <v>25.077999999999999</v>
      </c>
      <c r="F111" s="13">
        <v>-5.0000000000000001E-3</v>
      </c>
      <c r="G111" s="6">
        <v>1</v>
      </c>
      <c r="H111" s="13">
        <v>60</v>
      </c>
      <c r="I111" s="13" t="s">
        <v>45</v>
      </c>
      <c r="J111" s="13"/>
      <c r="K111" s="13">
        <v>32.5</v>
      </c>
      <c r="L111" s="13">
        <f t="shared" si="17"/>
        <v>-7.4220000000000006</v>
      </c>
      <c r="M111" s="13"/>
      <c r="N111" s="13"/>
      <c r="O111" s="13">
        <v>0</v>
      </c>
      <c r="P111" s="13"/>
      <c r="Q111" s="13"/>
      <c r="R111" s="13">
        <v>95.725399999999993</v>
      </c>
      <c r="S111" s="13"/>
      <c r="T111" s="13">
        <v>52.979799999999997</v>
      </c>
      <c r="U111" s="18"/>
      <c r="V111" s="13">
        <f t="shared" si="18"/>
        <v>5.0156000000000001</v>
      </c>
      <c r="W111" s="4"/>
      <c r="X111" s="4">
        <f t="shared" si="22"/>
        <v>0</v>
      </c>
      <c r="Y111" s="13">
        <f t="shared" si="19"/>
        <v>29.647539676210222</v>
      </c>
      <c r="Z111" s="13">
        <f t="shared" si="20"/>
        <v>29.647539676210222</v>
      </c>
      <c r="AA111" s="13">
        <v>13.5182</v>
      </c>
      <c r="AB111" s="13">
        <v>13.540800000000001</v>
      </c>
      <c r="AC111" s="13">
        <v>6.0069999999999997</v>
      </c>
      <c r="AD111" s="13">
        <v>6.8293999999999997</v>
      </c>
      <c r="AE111" s="13">
        <v>5.8517999999999999</v>
      </c>
      <c r="AF111" s="13">
        <v>3.0104000000000002</v>
      </c>
      <c r="AG111" s="13">
        <v>7.0028000000000006</v>
      </c>
      <c r="AH111" s="13">
        <v>11.0334</v>
      </c>
      <c r="AI111" s="13">
        <v>6.3334000000000001</v>
      </c>
      <c r="AJ111" s="13">
        <v>3.678199999999999</v>
      </c>
      <c r="AK111" s="13"/>
      <c r="AL111" s="13">
        <f t="shared" si="21"/>
        <v>0</v>
      </c>
      <c r="AM111" t="s">
        <v>265</v>
      </c>
    </row>
    <row r="112" spans="1:39" x14ac:dyDescent="0.25">
      <c r="A112" s="13" t="s">
        <v>266</v>
      </c>
      <c r="B112" s="13" t="s">
        <v>44</v>
      </c>
      <c r="C112" s="13">
        <v>32.829000000000001</v>
      </c>
      <c r="D112" s="13">
        <v>15</v>
      </c>
      <c r="E112" s="13">
        <v>29.396000000000001</v>
      </c>
      <c r="F112" s="13">
        <v>10.425000000000001</v>
      </c>
      <c r="G112" s="6">
        <v>1</v>
      </c>
      <c r="H112" s="13">
        <v>50</v>
      </c>
      <c r="I112" s="13" t="s">
        <v>45</v>
      </c>
      <c r="J112" s="13"/>
      <c r="K112" s="13">
        <v>35</v>
      </c>
      <c r="L112" s="13">
        <f t="shared" si="17"/>
        <v>-5.6039999999999992</v>
      </c>
      <c r="M112" s="13"/>
      <c r="N112" s="13"/>
      <c r="O112" s="13">
        <v>0</v>
      </c>
      <c r="P112" s="13"/>
      <c r="Q112" s="13"/>
      <c r="R112" s="13">
        <v>75.146600000000007</v>
      </c>
      <c r="S112" s="13"/>
      <c r="T112" s="13">
        <v>29.260999999999999</v>
      </c>
      <c r="U112" s="18"/>
      <c r="V112" s="13">
        <f t="shared" si="18"/>
        <v>5.8792</v>
      </c>
      <c r="W112" s="4"/>
      <c r="X112" s="4">
        <f t="shared" si="22"/>
        <v>0</v>
      </c>
      <c r="Y112" s="13">
        <f t="shared" si="19"/>
        <v>19.532011157980676</v>
      </c>
      <c r="Z112" s="13">
        <f t="shared" si="20"/>
        <v>19.532011157980676</v>
      </c>
      <c r="AA112" s="13">
        <v>11.348599999999999</v>
      </c>
      <c r="AB112" s="13">
        <v>10.4556</v>
      </c>
      <c r="AC112" s="13">
        <v>3.9902000000000002</v>
      </c>
      <c r="AD112" s="13">
        <v>5.9682000000000004</v>
      </c>
      <c r="AE112" s="13">
        <v>6.4512</v>
      </c>
      <c r="AF112" s="13">
        <v>3.9742000000000002</v>
      </c>
      <c r="AG112" s="13">
        <v>4.4668000000000001</v>
      </c>
      <c r="AH112" s="13">
        <v>8.9374000000000002</v>
      </c>
      <c r="AI112" s="13">
        <v>6.4590000000000014</v>
      </c>
      <c r="AJ112" s="13">
        <v>1.9887999999999999</v>
      </c>
      <c r="AK112" s="13"/>
      <c r="AL112" s="13">
        <f t="shared" si="21"/>
        <v>0</v>
      </c>
      <c r="AM112" t="s">
        <v>267</v>
      </c>
    </row>
    <row r="113" spans="1:39" x14ac:dyDescent="0.25">
      <c r="A113" s="13" t="s">
        <v>268</v>
      </c>
      <c r="B113" s="13" t="s">
        <v>52</v>
      </c>
      <c r="C113" s="13"/>
      <c r="D113" s="13">
        <v>71</v>
      </c>
      <c r="E113" s="13">
        <v>14</v>
      </c>
      <c r="F113" s="13">
        <v>50</v>
      </c>
      <c r="G113" s="6">
        <v>0.09</v>
      </c>
      <c r="H113" s="13"/>
      <c r="I113" s="13" t="s">
        <v>45</v>
      </c>
      <c r="J113" s="13"/>
      <c r="K113" s="13">
        <v>32</v>
      </c>
      <c r="L113" s="13">
        <f t="shared" si="17"/>
        <v>-18</v>
      </c>
      <c r="M113" s="13"/>
      <c r="N113" s="13"/>
      <c r="O113" s="13">
        <v>48.2</v>
      </c>
      <c r="P113" s="13"/>
      <c r="Q113" s="13"/>
      <c r="R113" s="13">
        <v>0</v>
      </c>
      <c r="S113" s="13"/>
      <c r="T113" s="13">
        <v>0</v>
      </c>
      <c r="U113" s="18"/>
      <c r="V113" s="13">
        <f t="shared" si="18"/>
        <v>2.8</v>
      </c>
      <c r="W113" s="4"/>
      <c r="X113" s="4">
        <f t="shared" si="22"/>
        <v>0</v>
      </c>
      <c r="Y113" s="13">
        <f t="shared" si="19"/>
        <v>35.071428571428577</v>
      </c>
      <c r="Z113" s="13">
        <f t="shared" si="20"/>
        <v>35.071428571428577</v>
      </c>
      <c r="AA113" s="13">
        <v>0.4</v>
      </c>
      <c r="AB113" s="13">
        <v>2.8</v>
      </c>
      <c r="AC113" s="13">
        <v>10.6</v>
      </c>
      <c r="AD113" s="13">
        <v>10.199999999999999</v>
      </c>
      <c r="AE113" s="13">
        <v>1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 t="s">
        <v>223</v>
      </c>
      <c r="AL113" s="13">
        <f t="shared" si="21"/>
        <v>0</v>
      </c>
      <c r="AM113" t="s">
        <v>269</v>
      </c>
    </row>
    <row r="114" spans="1:39" x14ac:dyDescent="0.25">
      <c r="A114" s="9" t="s">
        <v>270</v>
      </c>
      <c r="B114" s="9" t="s">
        <v>52</v>
      </c>
      <c r="C114" s="9"/>
      <c r="D114" s="9"/>
      <c r="E114" s="9"/>
      <c r="F114" s="9"/>
      <c r="G114" s="10">
        <v>0</v>
      </c>
      <c r="H114" s="9"/>
      <c r="I114" s="9" t="s">
        <v>45</v>
      </c>
      <c r="J114" s="9"/>
      <c r="K114" s="9"/>
      <c r="L114" s="9">
        <f t="shared" si="17"/>
        <v>0</v>
      </c>
      <c r="M114" s="9"/>
      <c r="N114" s="9"/>
      <c r="O114" s="9">
        <v>0</v>
      </c>
      <c r="P114" s="9"/>
      <c r="Q114" s="9"/>
      <c r="R114" s="9">
        <v>0</v>
      </c>
      <c r="S114" s="9"/>
      <c r="T114" s="9">
        <v>0</v>
      </c>
      <c r="U114" s="20"/>
      <c r="V114" s="9">
        <f t="shared" si="18"/>
        <v>0</v>
      </c>
      <c r="W114" s="11"/>
      <c r="X114" s="4">
        <f t="shared" si="22"/>
        <v>0</v>
      </c>
      <c r="Y114" s="13" t="e">
        <f t="shared" si="19"/>
        <v>#DIV/0!</v>
      </c>
      <c r="Z114" s="9" t="e">
        <f t="shared" si="20"/>
        <v>#DIV/0!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 t="s">
        <v>60</v>
      </c>
      <c r="AL114" s="13">
        <f t="shared" si="21"/>
        <v>0</v>
      </c>
      <c r="AM114" t="s">
        <v>271</v>
      </c>
    </row>
    <row r="115" spans="1:39" x14ac:dyDescent="0.25">
      <c r="A115" s="13" t="s">
        <v>272</v>
      </c>
      <c r="B115" s="13" t="s">
        <v>44</v>
      </c>
      <c r="C115" s="13">
        <v>37.134</v>
      </c>
      <c r="D115" s="13">
        <v>337.71499999999997</v>
      </c>
      <c r="E115" s="13">
        <v>136.46600000000001</v>
      </c>
      <c r="F115" s="13">
        <v>221.393</v>
      </c>
      <c r="G115" s="6">
        <v>1</v>
      </c>
      <c r="H115" s="13">
        <v>60</v>
      </c>
      <c r="I115" s="13" t="s">
        <v>45</v>
      </c>
      <c r="J115" s="13"/>
      <c r="K115" s="13">
        <v>124.6</v>
      </c>
      <c r="L115" s="13">
        <f t="shared" si="17"/>
        <v>11.866000000000014</v>
      </c>
      <c r="M115" s="13"/>
      <c r="N115" s="13"/>
      <c r="O115" s="13">
        <v>0</v>
      </c>
      <c r="P115" s="13"/>
      <c r="Q115" s="13"/>
      <c r="R115" s="13">
        <v>0</v>
      </c>
      <c r="S115" s="13"/>
      <c r="T115" s="13">
        <v>176.25772000000001</v>
      </c>
      <c r="U115" s="18"/>
      <c r="V115" s="13">
        <f t="shared" si="18"/>
        <v>27.293200000000002</v>
      </c>
      <c r="W115" s="4"/>
      <c r="X115" s="4">
        <f t="shared" si="22"/>
        <v>0</v>
      </c>
      <c r="Y115" s="13">
        <f t="shared" si="19"/>
        <v>14.569589494819221</v>
      </c>
      <c r="Z115" s="13">
        <f t="shared" si="20"/>
        <v>14.569589494819221</v>
      </c>
      <c r="AA115" s="13">
        <v>31.0916</v>
      </c>
      <c r="AB115" s="13">
        <v>23.963999999999999</v>
      </c>
      <c r="AC115" s="13">
        <v>24.394400000000001</v>
      </c>
      <c r="AD115" s="13">
        <v>36.898000000000003</v>
      </c>
      <c r="AE115" s="13">
        <v>36.700200000000002</v>
      </c>
      <c r="AF115" s="13">
        <v>21.813800000000001</v>
      </c>
      <c r="AG115" s="13">
        <v>19.250399999999999</v>
      </c>
      <c r="AH115" s="13">
        <v>20.642199999999999</v>
      </c>
      <c r="AI115" s="13">
        <v>20.875599999999999</v>
      </c>
      <c r="AJ115" s="13">
        <v>23.84</v>
      </c>
      <c r="AK115" s="13" t="s">
        <v>117</v>
      </c>
      <c r="AL115" s="13">
        <f t="shared" si="21"/>
        <v>0</v>
      </c>
      <c r="AM115" t="s">
        <v>273</v>
      </c>
    </row>
    <row r="116" spans="1:39" x14ac:dyDescent="0.25">
      <c r="A116" s="13" t="s">
        <v>274</v>
      </c>
      <c r="B116" s="13" t="s">
        <v>44</v>
      </c>
      <c r="C116" s="13">
        <v>195.542</v>
      </c>
      <c r="D116" s="13">
        <v>199.00899999999999</v>
      </c>
      <c r="E116" s="13">
        <v>148.30000000000001</v>
      </c>
      <c r="F116" s="13">
        <v>219.072</v>
      </c>
      <c r="G116" s="6">
        <v>1</v>
      </c>
      <c r="H116" s="13">
        <v>60</v>
      </c>
      <c r="I116" s="13" t="s">
        <v>45</v>
      </c>
      <c r="J116" s="13"/>
      <c r="K116" s="13">
        <v>142.69999999999999</v>
      </c>
      <c r="L116" s="13">
        <f t="shared" si="17"/>
        <v>5.6000000000000227</v>
      </c>
      <c r="M116" s="13"/>
      <c r="N116" s="13"/>
      <c r="O116" s="13">
        <v>85.709200000000081</v>
      </c>
      <c r="P116" s="13"/>
      <c r="Q116" s="13"/>
      <c r="R116" s="13">
        <v>89.688599999999923</v>
      </c>
      <c r="S116" s="13"/>
      <c r="T116" s="13">
        <v>0</v>
      </c>
      <c r="U116" s="18"/>
      <c r="V116" s="13">
        <f t="shared" si="18"/>
        <v>29.660000000000004</v>
      </c>
      <c r="W116" s="4"/>
      <c r="X116" s="4">
        <f t="shared" si="22"/>
        <v>0</v>
      </c>
      <c r="Y116" s="13">
        <f t="shared" si="19"/>
        <v>13.299723533378284</v>
      </c>
      <c r="Z116" s="13">
        <f t="shared" si="20"/>
        <v>13.299723533378284</v>
      </c>
      <c r="AA116" s="13">
        <v>32.9238</v>
      </c>
      <c r="AB116" s="13">
        <v>39.220199999999998</v>
      </c>
      <c r="AC116" s="13">
        <v>45.087000000000003</v>
      </c>
      <c r="AD116" s="13">
        <v>46.735399999999998</v>
      </c>
      <c r="AE116" s="13">
        <v>35.391800000000003</v>
      </c>
      <c r="AF116" s="13">
        <v>16.724399999999999</v>
      </c>
      <c r="AG116" s="13">
        <v>15.421799999999999</v>
      </c>
      <c r="AH116" s="13">
        <v>46.654200000000003</v>
      </c>
      <c r="AI116" s="13">
        <v>57.178999999999988</v>
      </c>
      <c r="AJ116" s="13">
        <v>41.480200000000004</v>
      </c>
      <c r="AK116" s="13" t="s">
        <v>117</v>
      </c>
      <c r="AL116" s="13">
        <f t="shared" si="21"/>
        <v>0</v>
      </c>
      <c r="AM116" t="s">
        <v>275</v>
      </c>
    </row>
    <row r="117" spans="1:39" x14ac:dyDescent="0.25">
      <c r="A117" s="13" t="s">
        <v>276</v>
      </c>
      <c r="B117" s="13" t="s">
        <v>44</v>
      </c>
      <c r="C117" s="13">
        <v>2.7069999999999999</v>
      </c>
      <c r="D117" s="13">
        <v>172.13200000000001</v>
      </c>
      <c r="E117" s="13">
        <v>55.606999999999999</v>
      </c>
      <c r="F117" s="13">
        <v>113.852</v>
      </c>
      <c r="G117" s="6">
        <v>1</v>
      </c>
      <c r="H117" s="13">
        <v>60</v>
      </c>
      <c r="I117" s="13" t="s">
        <v>45</v>
      </c>
      <c r="J117" s="13"/>
      <c r="K117" s="13">
        <v>52.3</v>
      </c>
      <c r="L117" s="13">
        <f t="shared" si="17"/>
        <v>3.3070000000000022</v>
      </c>
      <c r="M117" s="13"/>
      <c r="N117" s="13"/>
      <c r="O117" s="13">
        <v>0</v>
      </c>
      <c r="P117" s="13"/>
      <c r="Q117" s="13"/>
      <c r="R117" s="13">
        <v>0</v>
      </c>
      <c r="S117" s="13"/>
      <c r="T117" s="13">
        <v>0</v>
      </c>
      <c r="U117" s="18"/>
      <c r="V117" s="13">
        <f t="shared" si="18"/>
        <v>11.1214</v>
      </c>
      <c r="W117" s="4">
        <f>12*V117-T117-S117-R117-Q117-P117-O117-F117</f>
        <v>19.604799999999983</v>
      </c>
      <c r="X117" s="4">
        <f>W117+V117*$X$1</f>
        <v>43.960665999999982</v>
      </c>
      <c r="Y117" s="13">
        <f t="shared" si="19"/>
        <v>14.19</v>
      </c>
      <c r="Z117" s="13">
        <f t="shared" si="20"/>
        <v>10.237200352473611</v>
      </c>
      <c r="AA117" s="13">
        <v>6.5174000000000003</v>
      </c>
      <c r="AB117" s="13">
        <v>7.8681999999999999</v>
      </c>
      <c r="AC117" s="13">
        <v>14.795</v>
      </c>
      <c r="AD117" s="13">
        <v>14.6974</v>
      </c>
      <c r="AE117" s="13">
        <v>11.095000000000001</v>
      </c>
      <c r="AF117" s="13">
        <v>8.4111999999999991</v>
      </c>
      <c r="AG117" s="13">
        <v>7.3227999999999991</v>
      </c>
      <c r="AH117" s="13">
        <v>10.3934</v>
      </c>
      <c r="AI117" s="13">
        <v>13.385199999999999</v>
      </c>
      <c r="AJ117" s="13">
        <v>14.412599999999999</v>
      </c>
      <c r="AK117" s="13"/>
      <c r="AL117" s="13">
        <f t="shared" si="21"/>
        <v>44</v>
      </c>
      <c r="AM117" t="s">
        <v>277</v>
      </c>
    </row>
    <row r="118" spans="1:39" x14ac:dyDescent="0.25">
      <c r="A118" s="13" t="s">
        <v>278</v>
      </c>
      <c r="B118" s="13" t="s">
        <v>44</v>
      </c>
      <c r="C118" s="13">
        <v>-2.6259999999999999</v>
      </c>
      <c r="D118" s="13">
        <v>1521.5519999999999</v>
      </c>
      <c r="E118" s="13">
        <v>1312.42</v>
      </c>
      <c r="F118" s="13">
        <v>136.76599999999999</v>
      </c>
      <c r="G118" s="6">
        <v>1</v>
      </c>
      <c r="H118" s="13">
        <v>60</v>
      </c>
      <c r="I118" s="13" t="s">
        <v>45</v>
      </c>
      <c r="J118" s="13"/>
      <c r="K118" s="13">
        <v>1337.5</v>
      </c>
      <c r="L118" s="13">
        <f t="shared" si="17"/>
        <v>-25.079999999999927</v>
      </c>
      <c r="M118" s="13"/>
      <c r="N118" s="13"/>
      <c r="O118" s="13">
        <v>562.90710239999999</v>
      </c>
      <c r="P118" s="13"/>
      <c r="Q118" s="13"/>
      <c r="R118" s="13">
        <v>100</v>
      </c>
      <c r="S118" s="13"/>
      <c r="T118" s="13">
        <v>900</v>
      </c>
      <c r="U118" s="18"/>
      <c r="V118" s="13">
        <f t="shared" si="18"/>
        <v>262.48400000000004</v>
      </c>
      <c r="W118" s="4">
        <f>12*V118-T118-S118-R118-Q118-P118-O118-F118</f>
        <v>1450.1348976000004</v>
      </c>
      <c r="X118" s="4">
        <f>W118+V118*$X$1</f>
        <v>2024.9748576000004</v>
      </c>
      <c r="Y118" s="13">
        <f t="shared" si="19"/>
        <v>14.19</v>
      </c>
      <c r="Z118" s="13">
        <f t="shared" si="20"/>
        <v>6.4753398393806858</v>
      </c>
      <c r="AA118" s="13">
        <v>125.1674</v>
      </c>
      <c r="AB118" s="13">
        <v>148.19280000000001</v>
      </c>
      <c r="AC118" s="13">
        <v>178.65039999999999</v>
      </c>
      <c r="AD118" s="13">
        <v>173.5172</v>
      </c>
      <c r="AE118" s="13">
        <v>165.2568</v>
      </c>
      <c r="AF118" s="13">
        <v>112.7216</v>
      </c>
      <c r="AG118" s="13">
        <v>127.8082</v>
      </c>
      <c r="AH118" s="13">
        <v>160.60159999999999</v>
      </c>
      <c r="AI118" s="13">
        <v>163.82</v>
      </c>
      <c r="AJ118" s="13">
        <v>131.39340000000001</v>
      </c>
      <c r="AK118" s="13"/>
      <c r="AL118" s="13">
        <f t="shared" si="21"/>
        <v>2025</v>
      </c>
      <c r="AM118" t="s">
        <v>279</v>
      </c>
    </row>
    <row r="119" spans="1:39" x14ac:dyDescent="0.25">
      <c r="A119" s="13" t="s">
        <v>280</v>
      </c>
      <c r="B119" s="13" t="s">
        <v>52</v>
      </c>
      <c r="C119" s="13">
        <v>119</v>
      </c>
      <c r="D119" s="13">
        <v>60</v>
      </c>
      <c r="E119" s="13">
        <v>55</v>
      </c>
      <c r="F119" s="13">
        <v>124</v>
      </c>
      <c r="G119" s="6">
        <v>0.25</v>
      </c>
      <c r="H119" s="13">
        <v>1096</v>
      </c>
      <c r="I119" s="13" t="s">
        <v>45</v>
      </c>
      <c r="J119" s="13"/>
      <c r="K119" s="13">
        <v>66</v>
      </c>
      <c r="L119" s="13">
        <f t="shared" si="17"/>
        <v>-11</v>
      </c>
      <c r="M119" s="13"/>
      <c r="N119" s="13"/>
      <c r="O119" s="13">
        <v>306.39999999999998</v>
      </c>
      <c r="P119" s="13"/>
      <c r="Q119" s="13"/>
      <c r="R119" s="13">
        <v>0</v>
      </c>
      <c r="S119" s="13"/>
      <c r="T119" s="13">
        <v>0</v>
      </c>
      <c r="U119" s="18"/>
      <c r="V119" s="13">
        <f t="shared" si="18"/>
        <v>11</v>
      </c>
      <c r="W119" s="4"/>
      <c r="X119" s="4">
        <f>W119</f>
        <v>0</v>
      </c>
      <c r="Y119" s="13">
        <f t="shared" si="19"/>
        <v>39.127272727272725</v>
      </c>
      <c r="Z119" s="13">
        <f t="shared" si="20"/>
        <v>39.127272727272725</v>
      </c>
      <c r="AA119" s="13">
        <v>16.600000000000001</v>
      </c>
      <c r="AB119" s="13">
        <v>36.4</v>
      </c>
      <c r="AC119" s="13">
        <v>43.4</v>
      </c>
      <c r="AD119" s="13">
        <v>26.2</v>
      </c>
      <c r="AE119" s="13">
        <v>23</v>
      </c>
      <c r="AF119" s="13">
        <v>14.4</v>
      </c>
      <c r="AG119" s="13">
        <v>0.6</v>
      </c>
      <c r="AH119" s="13">
        <v>0</v>
      </c>
      <c r="AI119" s="13">
        <v>0</v>
      </c>
      <c r="AJ119" s="13">
        <v>0</v>
      </c>
      <c r="AK119" s="13" t="s">
        <v>117</v>
      </c>
      <c r="AL119" s="13">
        <f t="shared" si="21"/>
        <v>0</v>
      </c>
      <c r="AM119" t="s">
        <v>281</v>
      </c>
    </row>
    <row r="120" spans="1:39" x14ac:dyDescent="0.25">
      <c r="A120" s="13" t="s">
        <v>282</v>
      </c>
      <c r="B120" s="13" t="s">
        <v>52</v>
      </c>
      <c r="C120" s="13">
        <v>438</v>
      </c>
      <c r="D120" s="13"/>
      <c r="E120" s="13">
        <v>35</v>
      </c>
      <c r="F120" s="12">
        <f>403+F128</f>
        <v>453</v>
      </c>
      <c r="G120" s="6">
        <v>0.32500000000000001</v>
      </c>
      <c r="H120" s="13">
        <v>1096</v>
      </c>
      <c r="I120" s="13" t="s">
        <v>45</v>
      </c>
      <c r="J120" s="13"/>
      <c r="K120" s="13">
        <v>43</v>
      </c>
      <c r="L120" s="13">
        <f t="shared" si="17"/>
        <v>-8</v>
      </c>
      <c r="M120" s="13"/>
      <c r="N120" s="13"/>
      <c r="O120" s="13">
        <v>0</v>
      </c>
      <c r="P120" s="13"/>
      <c r="Q120" s="13"/>
      <c r="R120" s="13">
        <v>0</v>
      </c>
      <c r="S120" s="13"/>
      <c r="T120" s="13">
        <v>0</v>
      </c>
      <c r="U120" s="18"/>
      <c r="V120" s="13">
        <f t="shared" si="18"/>
        <v>7</v>
      </c>
      <c r="W120" s="4"/>
      <c r="X120" s="4">
        <f>W120</f>
        <v>0</v>
      </c>
      <c r="Y120" s="13">
        <f t="shared" si="19"/>
        <v>64.714285714285708</v>
      </c>
      <c r="Z120" s="13">
        <f t="shared" si="20"/>
        <v>64.714285714285708</v>
      </c>
      <c r="AA120" s="13">
        <v>11.6</v>
      </c>
      <c r="AB120" s="13">
        <v>21</v>
      </c>
      <c r="AC120" s="13">
        <v>27.8</v>
      </c>
      <c r="AD120" s="13">
        <v>16.2</v>
      </c>
      <c r="AE120" s="13">
        <v>15.6</v>
      </c>
      <c r="AF120" s="13">
        <v>12</v>
      </c>
      <c r="AG120" s="13">
        <v>0</v>
      </c>
      <c r="AH120" s="13">
        <v>0</v>
      </c>
      <c r="AI120" s="13">
        <v>0.4</v>
      </c>
      <c r="AJ120" s="13">
        <v>6.2</v>
      </c>
      <c r="AK120" s="13" t="s">
        <v>117</v>
      </c>
      <c r="AL120" s="13">
        <f t="shared" si="21"/>
        <v>0</v>
      </c>
      <c r="AM120" t="s">
        <v>283</v>
      </c>
    </row>
    <row r="121" spans="1:39" x14ac:dyDescent="0.25">
      <c r="A121" s="13" t="s">
        <v>284</v>
      </c>
      <c r="B121" s="13" t="s">
        <v>52</v>
      </c>
      <c r="C121" s="13">
        <v>11</v>
      </c>
      <c r="D121" s="13">
        <v>312</v>
      </c>
      <c r="E121" s="13">
        <v>65</v>
      </c>
      <c r="F121" s="13">
        <v>258</v>
      </c>
      <c r="G121" s="6">
        <v>0.25</v>
      </c>
      <c r="H121" s="13">
        <v>1096</v>
      </c>
      <c r="I121" s="13" t="s">
        <v>45</v>
      </c>
      <c r="J121" s="13"/>
      <c r="K121" s="13">
        <v>75</v>
      </c>
      <c r="L121" s="13">
        <f t="shared" si="17"/>
        <v>-10</v>
      </c>
      <c r="M121" s="13"/>
      <c r="N121" s="13"/>
      <c r="O121" s="13">
        <v>300</v>
      </c>
      <c r="P121" s="13"/>
      <c r="Q121" s="13"/>
      <c r="R121" s="13">
        <v>0</v>
      </c>
      <c r="S121" s="13"/>
      <c r="T121" s="13">
        <v>0</v>
      </c>
      <c r="U121" s="18"/>
      <c r="V121" s="13">
        <f t="shared" si="18"/>
        <v>13</v>
      </c>
      <c r="W121" s="4"/>
      <c r="X121" s="4">
        <f>W121</f>
        <v>0</v>
      </c>
      <c r="Y121" s="13">
        <f t="shared" si="19"/>
        <v>42.92307692307692</v>
      </c>
      <c r="Z121" s="13">
        <f t="shared" si="20"/>
        <v>42.92307692307692</v>
      </c>
      <c r="AA121" s="13">
        <v>19.8</v>
      </c>
      <c r="AB121" s="13">
        <v>38</v>
      </c>
      <c r="AC121" s="13">
        <v>49.6</v>
      </c>
      <c r="AD121" s="13">
        <v>42.2</v>
      </c>
      <c r="AE121" s="13">
        <v>40</v>
      </c>
      <c r="AF121" s="13">
        <v>24.2</v>
      </c>
      <c r="AG121" s="13">
        <v>18.399999999999999</v>
      </c>
      <c r="AH121" s="13">
        <v>43.2</v>
      </c>
      <c r="AI121" s="13">
        <v>52.6</v>
      </c>
      <c r="AJ121" s="13">
        <v>20.399999999999999</v>
      </c>
      <c r="AK121" s="13"/>
      <c r="AL121" s="13">
        <f t="shared" si="21"/>
        <v>0</v>
      </c>
      <c r="AM121" t="s">
        <v>285</v>
      </c>
    </row>
    <row r="122" spans="1:39" x14ac:dyDescent="0.25">
      <c r="A122" s="13" t="s">
        <v>286</v>
      </c>
      <c r="B122" s="13" t="s">
        <v>52</v>
      </c>
      <c r="C122" s="13"/>
      <c r="D122" s="13"/>
      <c r="E122" s="13"/>
      <c r="F122" s="13"/>
      <c r="G122" s="6">
        <v>0.3</v>
      </c>
      <c r="H122" s="13">
        <v>40</v>
      </c>
      <c r="I122" s="8" t="s">
        <v>63</v>
      </c>
      <c r="J122" s="13"/>
      <c r="K122" s="13">
        <v>6</v>
      </c>
      <c r="L122" s="13">
        <f t="shared" si="17"/>
        <v>-6</v>
      </c>
      <c r="M122" s="13"/>
      <c r="N122" s="13"/>
      <c r="O122" s="13">
        <v>120</v>
      </c>
      <c r="P122" s="13">
        <v>-120</v>
      </c>
      <c r="Q122" s="13"/>
      <c r="R122" s="13">
        <v>0</v>
      </c>
      <c r="S122" s="13"/>
      <c r="T122" s="13">
        <v>51</v>
      </c>
      <c r="U122" s="18"/>
      <c r="V122" s="13">
        <f t="shared" si="18"/>
        <v>0</v>
      </c>
      <c r="W122" s="4">
        <v>10</v>
      </c>
      <c r="X122" s="4">
        <f>W122*1.3</f>
        <v>13</v>
      </c>
      <c r="Y122" s="13" t="e">
        <f t="shared" si="19"/>
        <v>#DIV/0!</v>
      </c>
      <c r="Z122" s="13" t="e">
        <f t="shared" si="20"/>
        <v>#DIV/0!</v>
      </c>
      <c r="AA122" s="13">
        <v>0</v>
      </c>
      <c r="AB122" s="13">
        <v>0</v>
      </c>
      <c r="AC122" s="13">
        <v>0</v>
      </c>
      <c r="AD122" s="13">
        <v>-0.8</v>
      </c>
      <c r="AE122" s="13">
        <v>-1.4</v>
      </c>
      <c r="AF122" s="13">
        <v>-0.6</v>
      </c>
      <c r="AG122" s="13">
        <v>0</v>
      </c>
      <c r="AH122" s="13">
        <v>0</v>
      </c>
      <c r="AI122" s="13">
        <v>0</v>
      </c>
      <c r="AJ122" s="13">
        <v>-0.2</v>
      </c>
      <c r="AK122" s="13"/>
      <c r="AL122" s="13">
        <f t="shared" si="21"/>
        <v>4</v>
      </c>
      <c r="AM122" t="s">
        <v>287</v>
      </c>
    </row>
    <row r="123" spans="1:39" x14ac:dyDescent="0.25">
      <c r="A123" s="13" t="s">
        <v>288</v>
      </c>
      <c r="B123" s="13" t="s">
        <v>52</v>
      </c>
      <c r="C123" s="13"/>
      <c r="D123" s="13"/>
      <c r="E123" s="13"/>
      <c r="F123" s="13"/>
      <c r="G123" s="6">
        <v>0.3</v>
      </c>
      <c r="H123" s="13">
        <v>40</v>
      </c>
      <c r="I123" s="8" t="s">
        <v>63</v>
      </c>
      <c r="J123" s="13"/>
      <c r="K123" s="13">
        <v>4</v>
      </c>
      <c r="L123" s="13">
        <f t="shared" si="17"/>
        <v>-4</v>
      </c>
      <c r="M123" s="13"/>
      <c r="N123" s="13"/>
      <c r="O123" s="13">
        <v>120</v>
      </c>
      <c r="P123" s="13">
        <v>-120</v>
      </c>
      <c r="Q123" s="13"/>
      <c r="R123" s="13">
        <v>30</v>
      </c>
      <c r="S123" s="13">
        <v>-30</v>
      </c>
      <c r="T123" s="13">
        <v>51</v>
      </c>
      <c r="U123" s="18"/>
      <c r="V123" s="13">
        <f t="shared" si="18"/>
        <v>0</v>
      </c>
      <c r="W123" s="4">
        <v>10</v>
      </c>
      <c r="X123" s="4">
        <f>W123*1.3</f>
        <v>13</v>
      </c>
      <c r="Y123" s="13" t="e">
        <f t="shared" si="19"/>
        <v>#DIV/0!</v>
      </c>
      <c r="Z123" s="13" t="e">
        <f t="shared" si="20"/>
        <v>#DIV/0!</v>
      </c>
      <c r="AA123" s="13">
        <v>0</v>
      </c>
      <c r="AB123" s="13">
        <v>0</v>
      </c>
      <c r="AC123" s="13">
        <v>0</v>
      </c>
      <c r="AD123" s="13">
        <v>-0.2</v>
      </c>
      <c r="AE123" s="13">
        <v>-0.2</v>
      </c>
      <c r="AF123" s="13">
        <v>0</v>
      </c>
      <c r="AG123" s="13">
        <v>0</v>
      </c>
      <c r="AH123" s="13">
        <v>0</v>
      </c>
      <c r="AI123" s="13">
        <v>-0.8</v>
      </c>
      <c r="AJ123" s="13">
        <v>-0.2</v>
      </c>
      <c r="AK123" s="13" t="s">
        <v>289</v>
      </c>
      <c r="AL123" s="13">
        <f t="shared" si="21"/>
        <v>4</v>
      </c>
      <c r="AM123" t="s">
        <v>290</v>
      </c>
    </row>
    <row r="124" spans="1:39" x14ac:dyDescent="0.25">
      <c r="A124" s="13" t="s">
        <v>291</v>
      </c>
      <c r="B124" s="13" t="s">
        <v>44</v>
      </c>
      <c r="C124" s="13">
        <v>19.274000000000001</v>
      </c>
      <c r="D124" s="13">
        <v>32.734999999999999</v>
      </c>
      <c r="E124" s="13">
        <v>6.9390000000000001</v>
      </c>
      <c r="F124" s="13">
        <v>38.182000000000002</v>
      </c>
      <c r="G124" s="6">
        <v>1</v>
      </c>
      <c r="H124" s="13">
        <v>50</v>
      </c>
      <c r="I124" s="13" t="s">
        <v>45</v>
      </c>
      <c r="J124" s="13"/>
      <c r="K124" s="13">
        <v>5.8</v>
      </c>
      <c r="L124" s="13">
        <f t="shared" si="17"/>
        <v>1.1390000000000002</v>
      </c>
      <c r="M124" s="13"/>
      <c r="N124" s="13"/>
      <c r="O124" s="13">
        <v>4</v>
      </c>
      <c r="P124" s="13"/>
      <c r="Q124" s="13"/>
      <c r="R124" s="13">
        <v>0</v>
      </c>
      <c r="S124" s="13"/>
      <c r="T124" s="13">
        <v>0</v>
      </c>
      <c r="U124" s="18"/>
      <c r="V124" s="13">
        <f t="shared" si="18"/>
        <v>1.3877999999999999</v>
      </c>
      <c r="W124" s="4"/>
      <c r="X124" s="4">
        <f>W124</f>
        <v>0</v>
      </c>
      <c r="Y124" s="13">
        <f t="shared" si="19"/>
        <v>30.39486957774896</v>
      </c>
      <c r="Z124" s="13">
        <f t="shared" si="20"/>
        <v>30.39486957774896</v>
      </c>
      <c r="AA124" s="13">
        <v>2.2162000000000002</v>
      </c>
      <c r="AB124" s="13">
        <v>3.0968</v>
      </c>
      <c r="AC124" s="13">
        <v>4.5128000000000004</v>
      </c>
      <c r="AD124" s="13">
        <v>4.6745999999999999</v>
      </c>
      <c r="AE124" s="13">
        <v>3.2343999999999999</v>
      </c>
      <c r="AF124" s="13">
        <v>1.3575999999999999</v>
      </c>
      <c r="AG124" s="13">
        <v>0.81319999999999992</v>
      </c>
      <c r="AH124" s="13">
        <v>4.306</v>
      </c>
      <c r="AI124" s="13">
        <v>5.1116000000000001</v>
      </c>
      <c r="AJ124" s="13">
        <v>2.4276</v>
      </c>
      <c r="AK124" s="14" t="s">
        <v>84</v>
      </c>
      <c r="AL124" s="13">
        <f t="shared" si="21"/>
        <v>0</v>
      </c>
      <c r="AM124" t="s">
        <v>292</v>
      </c>
    </row>
    <row r="125" spans="1:39" x14ac:dyDescent="0.25">
      <c r="A125" s="13" t="s">
        <v>293</v>
      </c>
      <c r="B125" s="13" t="s">
        <v>52</v>
      </c>
      <c r="C125" s="13"/>
      <c r="D125" s="13"/>
      <c r="E125" s="13"/>
      <c r="F125" s="13"/>
      <c r="G125" s="6">
        <v>0.3</v>
      </c>
      <c r="H125" s="13">
        <v>40</v>
      </c>
      <c r="I125" s="8" t="s">
        <v>63</v>
      </c>
      <c r="J125" s="13"/>
      <c r="K125" s="13">
        <v>4</v>
      </c>
      <c r="L125" s="13">
        <f t="shared" si="17"/>
        <v>-4</v>
      </c>
      <c r="M125" s="13"/>
      <c r="N125" s="13"/>
      <c r="O125" s="13">
        <v>60</v>
      </c>
      <c r="P125" s="13">
        <v>-60</v>
      </c>
      <c r="Q125" s="13"/>
      <c r="R125" s="13">
        <v>60</v>
      </c>
      <c r="S125" s="13">
        <v>-60</v>
      </c>
      <c r="T125" s="13">
        <v>51</v>
      </c>
      <c r="U125" s="18"/>
      <c r="V125" s="13">
        <f t="shared" si="18"/>
        <v>0</v>
      </c>
      <c r="W125" s="4">
        <v>10</v>
      </c>
      <c r="X125" s="4">
        <f>W125*1.3</f>
        <v>13</v>
      </c>
      <c r="Y125" s="13" t="e">
        <f t="shared" si="19"/>
        <v>#DIV/0!</v>
      </c>
      <c r="Z125" s="13" t="e">
        <f t="shared" si="20"/>
        <v>#DIV/0!</v>
      </c>
      <c r="AA125" s="13">
        <v>0</v>
      </c>
      <c r="AB125" s="13">
        <v>0</v>
      </c>
      <c r="AC125" s="13">
        <v>-0.4</v>
      </c>
      <c r="AD125" s="13">
        <v>-0.8</v>
      </c>
      <c r="AE125" s="13">
        <v>-0.8</v>
      </c>
      <c r="AF125" s="13">
        <v>-0.4</v>
      </c>
      <c r="AG125" s="13">
        <v>-0.2</v>
      </c>
      <c r="AH125" s="13">
        <v>1</v>
      </c>
      <c r="AI125" s="13">
        <v>20.8</v>
      </c>
      <c r="AJ125" s="13">
        <v>23.4</v>
      </c>
      <c r="AK125" s="13"/>
      <c r="AL125" s="13">
        <f t="shared" si="21"/>
        <v>4</v>
      </c>
      <c r="AM125" t="s">
        <v>294</v>
      </c>
    </row>
    <row r="126" spans="1:39" x14ac:dyDescent="0.25">
      <c r="A126" s="13" t="s">
        <v>295</v>
      </c>
      <c r="B126" s="13" t="s">
        <v>52</v>
      </c>
      <c r="C126" s="13"/>
      <c r="D126" s="13">
        <v>75</v>
      </c>
      <c r="E126" s="13">
        <v>51</v>
      </c>
      <c r="F126" s="13">
        <v>17</v>
      </c>
      <c r="G126" s="6">
        <v>0.12</v>
      </c>
      <c r="H126" s="13">
        <v>45</v>
      </c>
      <c r="I126" s="8" t="s">
        <v>63</v>
      </c>
      <c r="J126" s="13"/>
      <c r="K126" s="13">
        <v>62</v>
      </c>
      <c r="L126" s="13">
        <f t="shared" si="17"/>
        <v>-11</v>
      </c>
      <c r="M126" s="13"/>
      <c r="N126" s="13"/>
      <c r="O126" s="13">
        <v>20</v>
      </c>
      <c r="P126" s="13"/>
      <c r="Q126" s="13"/>
      <c r="R126" s="13">
        <v>0</v>
      </c>
      <c r="S126" s="13"/>
      <c r="T126" s="13">
        <v>17</v>
      </c>
      <c r="U126" s="18"/>
      <c r="V126" s="13">
        <f t="shared" si="18"/>
        <v>10.199999999999999</v>
      </c>
      <c r="W126" s="4">
        <f>12*V126-T126-S126-R126-Q126-P126-O126-F126</f>
        <v>68.399999999999991</v>
      </c>
      <c r="X126" s="4">
        <f>W126*1.3</f>
        <v>88.919999999999987</v>
      </c>
      <c r="Y126" s="13">
        <f t="shared" si="19"/>
        <v>14.011764705882353</v>
      </c>
      <c r="Z126" s="13">
        <f t="shared" si="20"/>
        <v>5.2941176470588243</v>
      </c>
      <c r="AA126" s="13">
        <v>5.8</v>
      </c>
      <c r="AB126" s="13">
        <v>-0.2</v>
      </c>
      <c r="AC126" s="13">
        <v>-0.2</v>
      </c>
      <c r="AD126" s="13">
        <v>1.2</v>
      </c>
      <c r="AE126" s="13">
        <v>11</v>
      </c>
      <c r="AF126" s="13">
        <v>9</v>
      </c>
      <c r="AG126" s="13">
        <v>-0.6</v>
      </c>
      <c r="AH126" s="13">
        <v>3.4</v>
      </c>
      <c r="AI126" s="13">
        <v>9.6</v>
      </c>
      <c r="AJ126" s="13">
        <v>9.8000000000000007</v>
      </c>
      <c r="AK126" s="13"/>
      <c r="AL126" s="13">
        <f t="shared" si="21"/>
        <v>11</v>
      </c>
      <c r="AM126" t="s">
        <v>296</v>
      </c>
    </row>
    <row r="127" spans="1:39" x14ac:dyDescent="0.25">
      <c r="A127" s="9" t="s">
        <v>297</v>
      </c>
      <c r="B127" s="9" t="s">
        <v>52</v>
      </c>
      <c r="C127" s="9">
        <v>-5</v>
      </c>
      <c r="D127" s="9">
        <v>200</v>
      </c>
      <c r="E127" s="12">
        <v>143</v>
      </c>
      <c r="F127" s="12">
        <v>44</v>
      </c>
      <c r="G127" s="10">
        <v>0</v>
      </c>
      <c r="H127" s="9"/>
      <c r="I127" s="9" t="s">
        <v>298</v>
      </c>
      <c r="J127" s="9" t="s">
        <v>149</v>
      </c>
      <c r="K127" s="9">
        <v>143</v>
      </c>
      <c r="L127" s="9">
        <f t="shared" si="17"/>
        <v>0</v>
      </c>
      <c r="M127" s="9"/>
      <c r="N127" s="9"/>
      <c r="O127" s="9">
        <v>0</v>
      </c>
      <c r="P127" s="9"/>
      <c r="Q127" s="9"/>
      <c r="R127" s="9">
        <v>0</v>
      </c>
      <c r="S127" s="9"/>
      <c r="T127" s="9">
        <v>0</v>
      </c>
      <c r="U127" s="20"/>
      <c r="V127" s="9">
        <f t="shared" si="18"/>
        <v>28.6</v>
      </c>
      <c r="W127" s="11"/>
      <c r="X127" s="4">
        <f>W127</f>
        <v>0</v>
      </c>
      <c r="Y127" s="13">
        <f t="shared" si="19"/>
        <v>1.5384615384615383</v>
      </c>
      <c r="Z127" s="9">
        <f t="shared" si="20"/>
        <v>1.5384615384615383</v>
      </c>
      <c r="AA127" s="9">
        <v>32</v>
      </c>
      <c r="AB127" s="9">
        <v>33</v>
      </c>
      <c r="AC127" s="9">
        <v>41.6</v>
      </c>
      <c r="AD127" s="9">
        <v>38.4</v>
      </c>
      <c r="AE127" s="9">
        <v>29.4</v>
      </c>
      <c r="AF127" s="9">
        <v>9.6</v>
      </c>
      <c r="AG127" s="9">
        <v>0</v>
      </c>
      <c r="AH127" s="9">
        <v>0</v>
      </c>
      <c r="AI127" s="9">
        <v>0</v>
      </c>
      <c r="AJ127" s="9">
        <v>0</v>
      </c>
      <c r="AK127" s="9"/>
      <c r="AL127" s="13">
        <f t="shared" si="21"/>
        <v>0</v>
      </c>
    </row>
    <row r="128" spans="1:39" x14ac:dyDescent="0.25">
      <c r="A128" s="9" t="s">
        <v>299</v>
      </c>
      <c r="B128" s="9" t="s">
        <v>52</v>
      </c>
      <c r="C128" s="9">
        <v>50</v>
      </c>
      <c r="D128" s="9"/>
      <c r="E128" s="9"/>
      <c r="F128" s="12">
        <v>50</v>
      </c>
      <c r="G128" s="10">
        <v>0</v>
      </c>
      <c r="H128" s="9"/>
      <c r="I128" s="9" t="s">
        <v>298</v>
      </c>
      <c r="J128" s="9" t="s">
        <v>282</v>
      </c>
      <c r="K128" s="9"/>
      <c r="L128" s="9">
        <f t="shared" si="17"/>
        <v>0</v>
      </c>
      <c r="M128" s="9"/>
      <c r="N128" s="9"/>
      <c r="O128" s="9">
        <v>0</v>
      </c>
      <c r="P128" s="9"/>
      <c r="Q128" s="9"/>
      <c r="R128" s="9">
        <v>0</v>
      </c>
      <c r="S128" s="9"/>
      <c r="T128" s="9">
        <v>0</v>
      </c>
      <c r="U128" s="20"/>
      <c r="V128" s="9">
        <f t="shared" si="18"/>
        <v>0</v>
      </c>
      <c r="W128" s="11"/>
      <c r="X128" s="4">
        <f>W128</f>
        <v>0</v>
      </c>
      <c r="Y128" s="13" t="e">
        <f t="shared" si="19"/>
        <v>#DIV/0!</v>
      </c>
      <c r="Z128" s="9" t="e">
        <f t="shared" si="20"/>
        <v>#DIV/0!</v>
      </c>
      <c r="AA128" s="9">
        <v>0</v>
      </c>
      <c r="AB128" s="9">
        <v>0</v>
      </c>
      <c r="AC128" s="9">
        <v>0</v>
      </c>
      <c r="AD128" s="9">
        <v>0</v>
      </c>
      <c r="AE128" s="9">
        <v>1</v>
      </c>
      <c r="AF128" s="9">
        <v>1</v>
      </c>
      <c r="AG128" s="9">
        <v>0</v>
      </c>
      <c r="AH128" s="9">
        <v>0</v>
      </c>
      <c r="AI128" s="9">
        <v>0.4</v>
      </c>
      <c r="AJ128" s="9">
        <v>5.2</v>
      </c>
      <c r="AK128" s="9"/>
      <c r="AL128" s="13">
        <f t="shared" si="21"/>
        <v>0</v>
      </c>
    </row>
    <row r="129" spans="1:38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8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spans="1:38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8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1:38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8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1:38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8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1:38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8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spans="1:38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8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1:38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8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1:38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8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1:38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8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spans="1:38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8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1:38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8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1:38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8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1:38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8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1:38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8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8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spans="1:38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8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1:38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8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spans="1:38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8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8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spans="1:38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8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1:38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8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1:38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8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1:38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8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spans="1:38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8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1:38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8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spans="1:38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8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spans="1:38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8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spans="1:38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8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1:38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8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1:38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8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spans="1:38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8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spans="1:38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8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1:38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8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1:38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8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spans="1:38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8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spans="1:38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8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1:38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8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1:38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8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1:38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8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spans="1:38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8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spans="1:38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8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spans="1:38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8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1:38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8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spans="1:38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8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1:38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8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spans="1:38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8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1:38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8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spans="1:38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8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1:38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8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spans="1:38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8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spans="1:38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8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1:38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8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spans="1:38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8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spans="1:38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8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spans="1:38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8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spans="1:38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8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1:38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8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1:38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8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spans="1:38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8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spans="1:38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8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spans="1:38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8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1:38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8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spans="1:38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8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spans="1:38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8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spans="1:38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8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spans="1:38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8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spans="1:38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8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spans="1:38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8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spans="1:38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8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spans="1:38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8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spans="1:38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8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1:38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8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spans="1:38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8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spans="1:38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8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spans="1:38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8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1:38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8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spans="1:38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8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spans="1:38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8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spans="1:38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8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spans="1:38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8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spans="1:38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8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spans="1:38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8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spans="1:38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8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spans="1:38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8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spans="1:38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8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spans="1:38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8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spans="1:38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8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spans="1:38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8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spans="1:38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8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spans="1:38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8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spans="1:38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8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1:38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8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spans="1:38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8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spans="1:38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8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spans="1:38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8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spans="1:38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8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spans="1:38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8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spans="1:38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8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spans="1:38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8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spans="1:38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8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spans="1:38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8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spans="1:38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8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spans="1:38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8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spans="1:38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8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spans="1:38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8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spans="1:38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8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spans="1:38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8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spans="1:38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8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spans="1:38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8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spans="1:38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8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spans="1:38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8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spans="1:38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8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spans="1:38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8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spans="1:38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8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spans="1:38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8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spans="1:38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8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spans="1:38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8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spans="1:38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8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spans="1:38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8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spans="1:38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8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spans="1:38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8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spans="1:38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8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spans="1:38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8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spans="1:38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8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spans="1:38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8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spans="1:38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8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spans="1:38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8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spans="1:38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8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spans="1:38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8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spans="1:38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8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spans="1:38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8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spans="1:38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8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spans="1:38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8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spans="1:38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8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spans="1:38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8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spans="1:38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8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spans="1:38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8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spans="1:38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8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spans="1:38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8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spans="1:38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8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spans="1:38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8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spans="1:38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8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spans="1:38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8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spans="1:38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8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spans="1:38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8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spans="1:38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8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spans="1:38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8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spans="1:38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8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spans="1:38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8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spans="1:38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8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spans="1:38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8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spans="1:38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8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spans="1:38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8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spans="1:38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8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spans="1:38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8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spans="1:38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8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spans="1:38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8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spans="1:38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8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1:38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8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spans="1:38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8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spans="1:38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8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spans="1:38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8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spans="1:38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8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spans="1:38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8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spans="1:38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8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spans="1:38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8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spans="1:38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8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spans="1:38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8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spans="1:38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8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spans="1:38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8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spans="1:38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8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spans="1:38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8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spans="1:38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8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spans="1:38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8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spans="1:38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8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spans="1:38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8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spans="1:38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8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spans="1:38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8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spans="1:38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8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1:38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8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spans="1:38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8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spans="1:38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8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spans="1:38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8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spans="1:38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8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spans="1:38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8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spans="1:38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8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1:38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8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spans="1:38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8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spans="1:38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8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spans="1:38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8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spans="1:38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8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spans="1:38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8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spans="1:38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8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spans="1:38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8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spans="1:38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8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spans="1:38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8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spans="1:38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8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spans="1:38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8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spans="1:38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8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spans="1:38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8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spans="1:38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8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spans="1:38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8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spans="1:38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8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spans="1:38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8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spans="1:38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8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spans="1:38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8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spans="1:38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8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spans="1:38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8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spans="1:38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8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spans="1:38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8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spans="1:38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8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spans="1:38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8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spans="1:38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8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spans="1:38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8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spans="1:38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8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spans="1:38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8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spans="1:38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8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spans="1:38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8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1:38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8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spans="1:38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8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spans="1:38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8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spans="1:38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8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spans="1:38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8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spans="1:38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8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spans="1:38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8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spans="1:38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8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spans="1:38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8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spans="1:38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8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spans="1:38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8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spans="1:38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8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spans="1:38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8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spans="1:38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8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spans="1:38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8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spans="1:38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8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spans="1:38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8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spans="1:38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8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spans="1:38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8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spans="1:38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8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spans="1:38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8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spans="1:38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8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spans="1:38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8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spans="1:38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8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spans="1:38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8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1:38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8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spans="1:38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8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spans="1:38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8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spans="1:38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8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spans="1:38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8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spans="1:38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8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spans="1:38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8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spans="1:38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8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spans="1:38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8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spans="1:38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8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spans="1:38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8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spans="1:38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8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spans="1:38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8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spans="1:38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8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spans="1:38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8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spans="1:38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8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spans="1:38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8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 spans="1:38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8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 spans="1:38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8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 spans="1:38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8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 spans="1:38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8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 spans="1:38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8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 spans="1:38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8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 spans="1:38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8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 spans="1:38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8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 spans="1:38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8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 spans="1:38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8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 spans="1:38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8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 spans="1:38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8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 spans="1:38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8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 spans="1:38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8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 spans="1:38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8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 spans="1:38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8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 spans="1:38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8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 spans="1:38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8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 spans="1:38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8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spans="1:38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8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 spans="1:38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8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 spans="1:38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8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 spans="1:38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8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 spans="1:38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8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 spans="1:38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8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 spans="1:38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8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 spans="1:38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8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 spans="1:38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8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 spans="1:38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8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 spans="1:38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8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 spans="1:38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8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 spans="1:38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8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 spans="1:38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8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 spans="1:38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8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 spans="1:38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8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 spans="1:38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8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 spans="1:38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8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 spans="1:38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8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 spans="1:38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8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 spans="1:38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8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 spans="1:38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8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 spans="1:38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8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 spans="1:38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8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 spans="1:38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8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 spans="1:38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8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 spans="1:38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8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 spans="1:38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8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 spans="1:38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8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 spans="1:38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8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 spans="1:38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8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spans="1:38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8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 spans="1:38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8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 spans="1:38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8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 spans="1:38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8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 spans="1:38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8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 spans="1:38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8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 spans="1:38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8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 spans="1:38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8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 spans="1:38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8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 spans="1:38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8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 spans="1:38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8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 spans="1:38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8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 spans="1:38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8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 spans="1:38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8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 spans="1:38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8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 spans="1:38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8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 spans="1:38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8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 spans="1:38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8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 spans="1:38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8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 spans="1:38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8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 spans="1:38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8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 spans="1:38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8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 spans="1:38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8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 spans="1:38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8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 spans="1:38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8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 spans="1:38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8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 spans="1:38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8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 spans="1:38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8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 spans="1:38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8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 spans="1:38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8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 spans="1:38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8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 spans="1:38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8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 spans="1:38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8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 spans="1:38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8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 spans="1:38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8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 spans="1:38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8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 spans="1:38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8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 spans="1:38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8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 spans="1:38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8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 spans="1:38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8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 spans="1:38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8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 spans="1:38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8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 spans="1:38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8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 spans="1:38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8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 spans="1:38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8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 spans="1:38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8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 spans="1:38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8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 spans="1:38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8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 spans="1:38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8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 spans="1:38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8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 spans="1:38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8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 spans="1:38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8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 spans="1:38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8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 spans="1:38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8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 spans="1:38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8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 spans="1:38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8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 spans="1:38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8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 spans="1:38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8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 spans="1:38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8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 spans="1:38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8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 spans="1:38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8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</row>
  </sheetData>
  <autoFilter ref="A3:AL12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2026-09-24T17:10:38Z</dcterms:created>
  <dcterms:modified xsi:type="dcterms:W3CDTF">2026-09-29T08:31:02Z</dcterms:modified>
</cp:coreProperties>
</file>