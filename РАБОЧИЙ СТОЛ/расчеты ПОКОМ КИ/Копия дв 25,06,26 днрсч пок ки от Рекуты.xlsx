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3860FB21-1E9A-4F9E-9384-4805E9AD67F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Sheet!$A$3:$AI$117</definedName>
  </definedNames>
  <calcPr calcId="191029" refMode="R1C1"/>
</workbook>
</file>

<file path=xl/calcChain.xml><?xml version="1.0" encoding="utf-8"?>
<calcChain xmlns="http://schemas.openxmlformats.org/spreadsheetml/2006/main">
  <c r="AK7" i="1" l="1"/>
  <c r="AK8" i="1"/>
  <c r="AJ9" i="1"/>
  <c r="AK9" i="1"/>
  <c r="AK10" i="1"/>
  <c r="AK11" i="1"/>
  <c r="AJ12" i="1"/>
  <c r="AK12" i="1"/>
  <c r="AJ13" i="1"/>
  <c r="AK13" i="1"/>
  <c r="AJ14" i="1"/>
  <c r="AK14" i="1"/>
  <c r="AK15" i="1"/>
  <c r="AK16" i="1"/>
  <c r="AJ17" i="1"/>
  <c r="AK17" i="1"/>
  <c r="AJ18" i="1"/>
  <c r="AK18" i="1"/>
  <c r="AJ19" i="1"/>
  <c r="AK19" i="1"/>
  <c r="AJ20" i="1"/>
  <c r="AK20" i="1"/>
  <c r="AK21" i="1"/>
  <c r="AJ22" i="1"/>
  <c r="AK22" i="1"/>
  <c r="AJ23" i="1"/>
  <c r="AK23" i="1"/>
  <c r="AK24" i="1"/>
  <c r="AJ25" i="1"/>
  <c r="AK25" i="1"/>
  <c r="AJ26" i="1"/>
  <c r="AK26" i="1"/>
  <c r="AK27" i="1"/>
  <c r="AJ28" i="1"/>
  <c r="AK28" i="1"/>
  <c r="AK29" i="1"/>
  <c r="AK30" i="1"/>
  <c r="AJ31" i="1"/>
  <c r="AK31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K43" i="1"/>
  <c r="AJ44" i="1"/>
  <c r="AK44" i="1"/>
  <c r="AJ45" i="1"/>
  <c r="AK45" i="1"/>
  <c r="AJ46" i="1"/>
  <c r="AK46" i="1"/>
  <c r="AJ47" i="1"/>
  <c r="AK47" i="1"/>
  <c r="AJ48" i="1"/>
  <c r="AK48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K62" i="1"/>
  <c r="AK63" i="1"/>
  <c r="AJ64" i="1"/>
  <c r="AK64" i="1"/>
  <c r="AJ65" i="1"/>
  <c r="AK65" i="1"/>
  <c r="AK66" i="1"/>
  <c r="AJ67" i="1"/>
  <c r="AK67" i="1"/>
  <c r="AJ68" i="1"/>
  <c r="AK68" i="1"/>
  <c r="AJ69" i="1"/>
  <c r="AK69" i="1"/>
  <c r="AK70" i="1"/>
  <c r="AJ71" i="1"/>
  <c r="AK71" i="1"/>
  <c r="AJ72" i="1"/>
  <c r="AK72" i="1"/>
  <c r="AK73" i="1"/>
  <c r="AJ74" i="1"/>
  <c r="AK74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K100" i="1"/>
  <c r="AJ101" i="1"/>
  <c r="AK101" i="1"/>
  <c r="AK102" i="1"/>
  <c r="AJ103" i="1"/>
  <c r="AK103" i="1"/>
  <c r="AJ104" i="1"/>
  <c r="AK104" i="1"/>
  <c r="AJ105" i="1"/>
  <c r="AK105" i="1"/>
  <c r="AJ106" i="1"/>
  <c r="AK106" i="1"/>
  <c r="AJ107" i="1"/>
  <c r="AK107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K6" i="1"/>
  <c r="X5" i="1"/>
  <c r="T110" i="1"/>
  <c r="U110" i="1" s="1"/>
  <c r="V110" i="1" s="1"/>
  <c r="AI110" i="1" s="1"/>
  <c r="T108" i="1"/>
  <c r="U108" i="1" s="1"/>
  <c r="T13" i="1"/>
  <c r="U13" i="1" s="1"/>
  <c r="V13" i="1" s="1"/>
  <c r="AI13" i="1" s="1"/>
  <c r="T18" i="1"/>
  <c r="U18" i="1" s="1"/>
  <c r="V18" i="1" s="1"/>
  <c r="AI18" i="1" s="1"/>
  <c r="T19" i="1"/>
  <c r="U19" i="1" s="1"/>
  <c r="V19" i="1" s="1"/>
  <c r="AI19" i="1" s="1"/>
  <c r="T22" i="1"/>
  <c r="U22" i="1" s="1"/>
  <c r="V22" i="1" s="1"/>
  <c r="AI22" i="1" s="1"/>
  <c r="T26" i="1"/>
  <c r="U26" i="1" s="1"/>
  <c r="V26" i="1" s="1"/>
  <c r="AI26" i="1" s="1"/>
  <c r="T28" i="1"/>
  <c r="U28" i="1" s="1"/>
  <c r="V28" i="1" s="1"/>
  <c r="AI28" i="1" s="1"/>
  <c r="T31" i="1"/>
  <c r="U31" i="1" s="1"/>
  <c r="V31" i="1" s="1"/>
  <c r="AI31" i="1" s="1"/>
  <c r="T33" i="1"/>
  <c r="U33" i="1" s="1"/>
  <c r="V33" i="1" s="1"/>
  <c r="AI33" i="1" s="1"/>
  <c r="T34" i="1"/>
  <c r="U34" i="1" s="1"/>
  <c r="V34" i="1" s="1"/>
  <c r="AI34" i="1" s="1"/>
  <c r="T35" i="1"/>
  <c r="U35" i="1" s="1"/>
  <c r="V35" i="1" s="1"/>
  <c r="AI35" i="1" s="1"/>
  <c r="T37" i="1"/>
  <c r="U37" i="1" s="1"/>
  <c r="V37" i="1" s="1"/>
  <c r="AI37" i="1" s="1"/>
  <c r="T38" i="1"/>
  <c r="U38" i="1" s="1"/>
  <c r="V38" i="1" s="1"/>
  <c r="AI38" i="1" s="1"/>
  <c r="T40" i="1"/>
  <c r="U40" i="1" s="1"/>
  <c r="V40" i="1" s="1"/>
  <c r="AI40" i="1" s="1"/>
  <c r="T44" i="1"/>
  <c r="U44" i="1" s="1"/>
  <c r="V44" i="1" s="1"/>
  <c r="AI44" i="1" s="1"/>
  <c r="T45" i="1"/>
  <c r="U45" i="1" s="1"/>
  <c r="V45" i="1" s="1"/>
  <c r="AI45" i="1" s="1"/>
  <c r="T52" i="1"/>
  <c r="U52" i="1" s="1"/>
  <c r="V52" i="1" s="1"/>
  <c r="AI52" i="1" s="1"/>
  <c r="T53" i="1"/>
  <c r="U53" i="1" s="1"/>
  <c r="V53" i="1" s="1"/>
  <c r="AI53" i="1" s="1"/>
  <c r="T55" i="1"/>
  <c r="U55" i="1" s="1"/>
  <c r="V55" i="1" s="1"/>
  <c r="AI55" i="1" s="1"/>
  <c r="T57" i="1"/>
  <c r="U57" i="1" s="1"/>
  <c r="V57" i="1" s="1"/>
  <c r="AI57" i="1" s="1"/>
  <c r="T58" i="1"/>
  <c r="U58" i="1" s="1"/>
  <c r="V58" i="1" s="1"/>
  <c r="AI58" i="1" s="1"/>
  <c r="T59" i="1"/>
  <c r="U59" i="1" s="1"/>
  <c r="V59" i="1" s="1"/>
  <c r="AI59" i="1" s="1"/>
  <c r="T61" i="1"/>
  <c r="U61" i="1" s="1"/>
  <c r="V61" i="1" s="1"/>
  <c r="AI61" i="1" s="1"/>
  <c r="T65" i="1"/>
  <c r="U65" i="1" s="1"/>
  <c r="V65" i="1" s="1"/>
  <c r="AI65" i="1" s="1"/>
  <c r="T67" i="1"/>
  <c r="U67" i="1" s="1"/>
  <c r="V67" i="1" s="1"/>
  <c r="AI67" i="1" s="1"/>
  <c r="T69" i="1"/>
  <c r="U69" i="1" s="1"/>
  <c r="V69" i="1" s="1"/>
  <c r="AI69" i="1" s="1"/>
  <c r="T71" i="1"/>
  <c r="U71" i="1" s="1"/>
  <c r="V71" i="1" s="1"/>
  <c r="AI71" i="1" s="1"/>
  <c r="T74" i="1"/>
  <c r="U74" i="1" s="1"/>
  <c r="V74" i="1" s="1"/>
  <c r="AI74" i="1" s="1"/>
  <c r="T76" i="1"/>
  <c r="U76" i="1" s="1"/>
  <c r="V76" i="1" s="1"/>
  <c r="AI76" i="1" s="1"/>
  <c r="T77" i="1"/>
  <c r="U77" i="1" s="1"/>
  <c r="V77" i="1" s="1"/>
  <c r="AI77" i="1" s="1"/>
  <c r="T78" i="1"/>
  <c r="U78" i="1" s="1"/>
  <c r="V78" i="1" s="1"/>
  <c r="AI78" i="1" s="1"/>
  <c r="T80" i="1"/>
  <c r="U80" i="1" s="1"/>
  <c r="V80" i="1" s="1"/>
  <c r="AI80" i="1" s="1"/>
  <c r="T81" i="1"/>
  <c r="U81" i="1" s="1"/>
  <c r="V81" i="1" s="1"/>
  <c r="AI81" i="1" s="1"/>
  <c r="T83" i="1"/>
  <c r="U83" i="1" s="1"/>
  <c r="V83" i="1" s="1"/>
  <c r="AI83" i="1" s="1"/>
  <c r="T84" i="1"/>
  <c r="U84" i="1" s="1"/>
  <c r="V84" i="1" s="1"/>
  <c r="AI84" i="1" s="1"/>
  <c r="T86" i="1"/>
  <c r="U86" i="1" s="1"/>
  <c r="V86" i="1" s="1"/>
  <c r="AI86" i="1" s="1"/>
  <c r="T91" i="1"/>
  <c r="U91" i="1" s="1"/>
  <c r="V91" i="1" s="1"/>
  <c r="AI91" i="1" s="1"/>
  <c r="T93" i="1"/>
  <c r="U93" i="1" s="1"/>
  <c r="V93" i="1" s="1"/>
  <c r="AI93" i="1" s="1"/>
  <c r="T94" i="1"/>
  <c r="U94" i="1" s="1"/>
  <c r="V94" i="1" s="1"/>
  <c r="AI94" i="1" s="1"/>
  <c r="T95" i="1"/>
  <c r="U95" i="1" s="1"/>
  <c r="V95" i="1" s="1"/>
  <c r="AI95" i="1" s="1"/>
  <c r="T96" i="1"/>
  <c r="U96" i="1" s="1"/>
  <c r="V96" i="1" s="1"/>
  <c r="AI96" i="1" s="1"/>
  <c r="T97" i="1"/>
  <c r="U97" i="1" s="1"/>
  <c r="V97" i="1" s="1"/>
  <c r="AI97" i="1" s="1"/>
  <c r="T99" i="1"/>
  <c r="U99" i="1" s="1"/>
  <c r="V99" i="1" s="1"/>
  <c r="AI99" i="1" s="1"/>
  <c r="T101" i="1"/>
  <c r="U101" i="1" s="1"/>
  <c r="V101" i="1" s="1"/>
  <c r="AI101" i="1" s="1"/>
  <c r="T103" i="1"/>
  <c r="U103" i="1" s="1"/>
  <c r="V103" i="1" s="1"/>
  <c r="AI103" i="1" s="1"/>
  <c r="T106" i="1"/>
  <c r="U106" i="1" s="1"/>
  <c r="V106" i="1" s="1"/>
  <c r="AI106" i="1" s="1"/>
  <c r="T107" i="1"/>
  <c r="U107" i="1" s="1"/>
  <c r="V107" i="1" s="1"/>
  <c r="AI107" i="1" s="1"/>
  <c r="T109" i="1"/>
  <c r="U109" i="1" s="1"/>
  <c r="V109" i="1" s="1"/>
  <c r="AI109" i="1" s="1"/>
  <c r="T112" i="1"/>
  <c r="U112" i="1" s="1"/>
  <c r="V112" i="1" s="1"/>
  <c r="AI112" i="1" s="1"/>
  <c r="T113" i="1"/>
  <c r="U113" i="1" s="1"/>
  <c r="V113" i="1" s="1"/>
  <c r="AI113" i="1" s="1"/>
  <c r="T114" i="1"/>
  <c r="U114" i="1" s="1"/>
  <c r="V114" i="1" s="1"/>
  <c r="AI114" i="1" s="1"/>
  <c r="T115" i="1"/>
  <c r="U115" i="1" s="1"/>
  <c r="V115" i="1" s="1"/>
  <c r="AI115" i="1" s="1"/>
  <c r="T116" i="1"/>
  <c r="U116" i="1" s="1"/>
  <c r="V116" i="1" s="1"/>
  <c r="AI116" i="1" s="1"/>
  <c r="T117" i="1"/>
  <c r="U117" i="1" s="1"/>
  <c r="V117" i="1" s="1"/>
  <c r="AI117" i="1" s="1"/>
  <c r="W108" i="1" l="1"/>
  <c r="AJ108" i="1" s="1"/>
  <c r="AK5" i="1"/>
  <c r="S111" i="1"/>
  <c r="T111" i="1" s="1"/>
  <c r="U111" i="1" s="1"/>
  <c r="M7" i="1"/>
  <c r="R7" i="1" s="1"/>
  <c r="M8" i="1"/>
  <c r="R8" i="1" s="1"/>
  <c r="M9" i="1"/>
  <c r="R9" i="1" s="1"/>
  <c r="M10" i="1"/>
  <c r="R10" i="1" s="1"/>
  <c r="M11" i="1"/>
  <c r="R11" i="1" s="1"/>
  <c r="M12" i="1"/>
  <c r="R12" i="1" s="1"/>
  <c r="M13" i="1"/>
  <c r="R13" i="1" s="1"/>
  <c r="AA13" i="1" s="1"/>
  <c r="M14" i="1"/>
  <c r="R14" i="1" s="1"/>
  <c r="M15" i="1"/>
  <c r="R15" i="1" s="1"/>
  <c r="M16" i="1"/>
  <c r="R16" i="1" s="1"/>
  <c r="M17" i="1"/>
  <c r="R17" i="1" s="1"/>
  <c r="M18" i="1"/>
  <c r="R18" i="1" s="1"/>
  <c r="AA18" i="1" s="1"/>
  <c r="M19" i="1"/>
  <c r="R19" i="1" s="1"/>
  <c r="AA19" i="1" s="1"/>
  <c r="M20" i="1"/>
  <c r="R20" i="1" s="1"/>
  <c r="M21" i="1"/>
  <c r="R21" i="1" s="1"/>
  <c r="M22" i="1"/>
  <c r="R22" i="1" s="1"/>
  <c r="AA22" i="1" s="1"/>
  <c r="M23" i="1"/>
  <c r="R23" i="1" s="1"/>
  <c r="M24" i="1"/>
  <c r="R24" i="1" s="1"/>
  <c r="M25" i="1"/>
  <c r="R25" i="1" s="1"/>
  <c r="M26" i="1"/>
  <c r="R26" i="1" s="1"/>
  <c r="AA26" i="1" s="1"/>
  <c r="M27" i="1"/>
  <c r="R27" i="1" s="1"/>
  <c r="M28" i="1"/>
  <c r="R28" i="1" s="1"/>
  <c r="AA28" i="1" s="1"/>
  <c r="M29" i="1"/>
  <c r="R29" i="1" s="1"/>
  <c r="M30" i="1"/>
  <c r="R30" i="1" s="1"/>
  <c r="M31" i="1"/>
  <c r="R31" i="1" s="1"/>
  <c r="AA31" i="1" s="1"/>
  <c r="M32" i="1"/>
  <c r="R32" i="1" s="1"/>
  <c r="M33" i="1"/>
  <c r="R33" i="1" s="1"/>
  <c r="AA33" i="1" s="1"/>
  <c r="M34" i="1"/>
  <c r="R34" i="1" s="1"/>
  <c r="AA34" i="1" s="1"/>
  <c r="M35" i="1"/>
  <c r="R35" i="1" s="1"/>
  <c r="AA35" i="1" s="1"/>
  <c r="M36" i="1"/>
  <c r="R36" i="1" s="1"/>
  <c r="M37" i="1"/>
  <c r="R37" i="1" s="1"/>
  <c r="AA37" i="1" s="1"/>
  <c r="M38" i="1"/>
  <c r="R38" i="1" s="1"/>
  <c r="AA38" i="1" s="1"/>
  <c r="M39" i="1"/>
  <c r="R39" i="1" s="1"/>
  <c r="M40" i="1"/>
  <c r="R40" i="1" s="1"/>
  <c r="AA40" i="1" s="1"/>
  <c r="M41" i="1"/>
  <c r="R41" i="1" s="1"/>
  <c r="M42" i="1"/>
  <c r="R42" i="1" s="1"/>
  <c r="M43" i="1"/>
  <c r="R43" i="1" s="1"/>
  <c r="M44" i="1"/>
  <c r="R44" i="1" s="1"/>
  <c r="AA44" i="1" s="1"/>
  <c r="M45" i="1"/>
  <c r="R45" i="1" s="1"/>
  <c r="AA45" i="1" s="1"/>
  <c r="M46" i="1"/>
  <c r="R46" i="1" s="1"/>
  <c r="M47" i="1"/>
  <c r="R47" i="1" s="1"/>
  <c r="M48" i="1"/>
  <c r="R48" i="1" s="1"/>
  <c r="M49" i="1"/>
  <c r="R49" i="1" s="1"/>
  <c r="M50" i="1"/>
  <c r="R50" i="1" s="1"/>
  <c r="M51" i="1"/>
  <c r="R51" i="1" s="1"/>
  <c r="M52" i="1"/>
  <c r="R52" i="1" s="1"/>
  <c r="AA52" i="1" s="1"/>
  <c r="M53" i="1"/>
  <c r="R53" i="1" s="1"/>
  <c r="AA53" i="1" s="1"/>
  <c r="M54" i="1"/>
  <c r="R54" i="1" s="1"/>
  <c r="M55" i="1"/>
  <c r="R55" i="1" s="1"/>
  <c r="AA55" i="1" s="1"/>
  <c r="M56" i="1"/>
  <c r="R56" i="1" s="1"/>
  <c r="M57" i="1"/>
  <c r="R57" i="1" s="1"/>
  <c r="AA57" i="1" s="1"/>
  <c r="M58" i="1"/>
  <c r="R58" i="1" s="1"/>
  <c r="AA58" i="1" s="1"/>
  <c r="M59" i="1"/>
  <c r="R59" i="1" s="1"/>
  <c r="AA59" i="1" s="1"/>
  <c r="M60" i="1"/>
  <c r="R60" i="1" s="1"/>
  <c r="M61" i="1"/>
  <c r="R61" i="1" s="1"/>
  <c r="AA61" i="1" s="1"/>
  <c r="M62" i="1"/>
  <c r="R62" i="1" s="1"/>
  <c r="M63" i="1"/>
  <c r="R63" i="1" s="1"/>
  <c r="M64" i="1"/>
  <c r="R64" i="1" s="1"/>
  <c r="M65" i="1"/>
  <c r="R65" i="1" s="1"/>
  <c r="AA65" i="1" s="1"/>
  <c r="M66" i="1"/>
  <c r="R66" i="1" s="1"/>
  <c r="M67" i="1"/>
  <c r="R67" i="1" s="1"/>
  <c r="AA67" i="1" s="1"/>
  <c r="M68" i="1"/>
  <c r="R68" i="1" s="1"/>
  <c r="M69" i="1"/>
  <c r="R69" i="1" s="1"/>
  <c r="AA69" i="1" s="1"/>
  <c r="M70" i="1"/>
  <c r="R70" i="1" s="1"/>
  <c r="M71" i="1"/>
  <c r="R71" i="1" s="1"/>
  <c r="AA71" i="1" s="1"/>
  <c r="M72" i="1"/>
  <c r="R72" i="1" s="1"/>
  <c r="M73" i="1"/>
  <c r="R73" i="1" s="1"/>
  <c r="M74" i="1"/>
  <c r="R74" i="1" s="1"/>
  <c r="AA74" i="1" s="1"/>
  <c r="M75" i="1"/>
  <c r="R75" i="1" s="1"/>
  <c r="M76" i="1"/>
  <c r="R76" i="1" s="1"/>
  <c r="AA76" i="1" s="1"/>
  <c r="M77" i="1"/>
  <c r="R77" i="1" s="1"/>
  <c r="AA77" i="1" s="1"/>
  <c r="M78" i="1"/>
  <c r="R78" i="1" s="1"/>
  <c r="AA78" i="1" s="1"/>
  <c r="M79" i="1"/>
  <c r="R79" i="1" s="1"/>
  <c r="M80" i="1"/>
  <c r="R80" i="1" s="1"/>
  <c r="M81" i="1"/>
  <c r="R81" i="1" s="1"/>
  <c r="AA81" i="1" s="1"/>
  <c r="M82" i="1"/>
  <c r="R82" i="1" s="1"/>
  <c r="M83" i="1"/>
  <c r="R83" i="1" s="1"/>
  <c r="AA83" i="1" s="1"/>
  <c r="M84" i="1"/>
  <c r="R84" i="1" s="1"/>
  <c r="M85" i="1"/>
  <c r="R85" i="1" s="1"/>
  <c r="M86" i="1"/>
  <c r="R86" i="1" s="1"/>
  <c r="AA86" i="1" s="1"/>
  <c r="M87" i="1"/>
  <c r="R87" i="1" s="1"/>
  <c r="M88" i="1"/>
  <c r="R88" i="1" s="1"/>
  <c r="M89" i="1"/>
  <c r="R89" i="1" s="1"/>
  <c r="M90" i="1"/>
  <c r="R90" i="1" s="1"/>
  <c r="M91" i="1"/>
  <c r="R91" i="1" s="1"/>
  <c r="AA91" i="1" s="1"/>
  <c r="M92" i="1"/>
  <c r="R92" i="1" s="1"/>
  <c r="M93" i="1"/>
  <c r="R93" i="1" s="1"/>
  <c r="AA93" i="1" s="1"/>
  <c r="M94" i="1"/>
  <c r="R94" i="1" s="1"/>
  <c r="AA94" i="1" s="1"/>
  <c r="M95" i="1"/>
  <c r="R95" i="1" s="1"/>
  <c r="AA95" i="1" s="1"/>
  <c r="M96" i="1"/>
  <c r="R96" i="1" s="1"/>
  <c r="AA96" i="1" s="1"/>
  <c r="M97" i="1"/>
  <c r="R97" i="1" s="1"/>
  <c r="AA97" i="1" s="1"/>
  <c r="M98" i="1"/>
  <c r="R98" i="1" s="1"/>
  <c r="M99" i="1"/>
  <c r="R99" i="1" s="1"/>
  <c r="AA99" i="1" s="1"/>
  <c r="M100" i="1"/>
  <c r="R100" i="1" s="1"/>
  <c r="M101" i="1"/>
  <c r="R101" i="1" s="1"/>
  <c r="AA101" i="1" s="1"/>
  <c r="M102" i="1"/>
  <c r="R102" i="1" s="1"/>
  <c r="M103" i="1"/>
  <c r="R103" i="1" s="1"/>
  <c r="AA103" i="1" s="1"/>
  <c r="M104" i="1"/>
  <c r="R104" i="1" s="1"/>
  <c r="M105" i="1"/>
  <c r="R105" i="1" s="1"/>
  <c r="M106" i="1"/>
  <c r="R106" i="1" s="1"/>
  <c r="M107" i="1"/>
  <c r="R107" i="1" s="1"/>
  <c r="AA107" i="1" s="1"/>
  <c r="M108" i="1"/>
  <c r="R108" i="1" s="1"/>
  <c r="AA108" i="1" s="1"/>
  <c r="M109" i="1"/>
  <c r="R109" i="1" s="1"/>
  <c r="AA109" i="1" s="1"/>
  <c r="M110" i="1"/>
  <c r="R110" i="1" s="1"/>
  <c r="AA110" i="1" s="1"/>
  <c r="M111" i="1"/>
  <c r="M112" i="1"/>
  <c r="R112" i="1" s="1"/>
  <c r="AA112" i="1" s="1"/>
  <c r="M113" i="1"/>
  <c r="R113" i="1" s="1"/>
  <c r="AA113" i="1" s="1"/>
  <c r="M114" i="1"/>
  <c r="R114" i="1" s="1"/>
  <c r="AA114" i="1" s="1"/>
  <c r="M115" i="1"/>
  <c r="R115" i="1" s="1"/>
  <c r="AA115" i="1" s="1"/>
  <c r="M116" i="1"/>
  <c r="R116" i="1" s="1"/>
  <c r="AA116" i="1" s="1"/>
  <c r="M117" i="1"/>
  <c r="R117" i="1" s="1"/>
  <c r="AA117" i="1" s="1"/>
  <c r="M6" i="1"/>
  <c r="R6" i="1" s="1"/>
  <c r="AB6" i="1" s="1"/>
  <c r="V108" i="1" l="1"/>
  <c r="AI108" i="1" s="1"/>
  <c r="V111" i="1"/>
  <c r="AI111" i="1" s="1"/>
  <c r="AA111" i="1"/>
  <c r="AB24" i="1"/>
  <c r="S21" i="1"/>
  <c r="T21" i="1" s="1"/>
  <c r="U21" i="1" s="1"/>
  <c r="AB105" i="1"/>
  <c r="S20" i="1"/>
  <c r="T20" i="1" s="1"/>
  <c r="U20" i="1" s="1"/>
  <c r="V20" i="1" s="1"/>
  <c r="AI20" i="1" s="1"/>
  <c r="S63" i="1"/>
  <c r="T63" i="1" s="1"/>
  <c r="U63" i="1" s="1"/>
  <c r="AA63" i="1" s="1"/>
  <c r="S39" i="1"/>
  <c r="T39" i="1" s="1"/>
  <c r="U39" i="1" s="1"/>
  <c r="V39" i="1" s="1"/>
  <c r="AI39" i="1" s="1"/>
  <c r="AB98" i="1"/>
  <c r="AB25" i="1"/>
  <c r="AB17" i="1"/>
  <c r="S104" i="1"/>
  <c r="T104" i="1" s="1"/>
  <c r="U104" i="1" s="1"/>
  <c r="V104" i="1" s="1"/>
  <c r="AI104" i="1" s="1"/>
  <c r="AA104" i="1"/>
  <c r="S62" i="1"/>
  <c r="T62" i="1" s="1"/>
  <c r="U62" i="1" s="1"/>
  <c r="AB56" i="1"/>
  <c r="AB36" i="1"/>
  <c r="AB16" i="1"/>
  <c r="AB75" i="1"/>
  <c r="AB15" i="1"/>
  <c r="S82" i="1"/>
  <c r="T82" i="1" s="1"/>
  <c r="U82" i="1" s="1"/>
  <c r="V82" i="1" s="1"/>
  <c r="AI82" i="1" s="1"/>
  <c r="AB80" i="1"/>
  <c r="AA80" i="1"/>
  <c r="AB54" i="1"/>
  <c r="AB14" i="1"/>
  <c r="AB43" i="1"/>
  <c r="S60" i="1"/>
  <c r="T60" i="1" s="1"/>
  <c r="U60" i="1" s="1"/>
  <c r="V60" i="1" s="1"/>
  <c r="AI60" i="1" s="1"/>
  <c r="AB85" i="1"/>
  <c r="S102" i="1"/>
  <c r="T102" i="1" s="1"/>
  <c r="U102" i="1" s="1"/>
  <c r="S72" i="1"/>
  <c r="T72" i="1" s="1"/>
  <c r="U72" i="1" s="1"/>
  <c r="V72" i="1" s="1"/>
  <c r="AI72" i="1" s="1"/>
  <c r="S32" i="1"/>
  <c r="T32" i="1" s="1"/>
  <c r="U32" i="1" s="1"/>
  <c r="S12" i="1"/>
  <c r="T12" i="1" s="1"/>
  <c r="U12" i="1" s="1"/>
  <c r="V12" i="1" s="1"/>
  <c r="AI12" i="1" s="1"/>
  <c r="S11" i="1"/>
  <c r="T11" i="1" s="1"/>
  <c r="U11" i="1" s="1"/>
  <c r="AB84" i="1"/>
  <c r="AA84" i="1"/>
  <c r="S50" i="1"/>
  <c r="T50" i="1" s="1"/>
  <c r="U50" i="1" s="1"/>
  <c r="V50" i="1" s="1"/>
  <c r="AI50" i="1" s="1"/>
  <c r="S30" i="1"/>
  <c r="T30" i="1" s="1"/>
  <c r="U30" i="1" s="1"/>
  <c r="S10" i="1"/>
  <c r="T10" i="1" s="1"/>
  <c r="U10" i="1" s="1"/>
  <c r="S89" i="1"/>
  <c r="T89" i="1" s="1"/>
  <c r="U89" i="1" s="1"/>
  <c r="V89" i="1" s="1"/>
  <c r="AI89" i="1" s="1"/>
  <c r="S49" i="1"/>
  <c r="T49" i="1" s="1"/>
  <c r="U49" i="1" s="1"/>
  <c r="S29" i="1"/>
  <c r="T29" i="1" s="1"/>
  <c r="U29" i="1" s="1"/>
  <c r="S9" i="1"/>
  <c r="T9" i="1" s="1"/>
  <c r="U9" i="1" s="1"/>
  <c r="V9" i="1" s="1"/>
  <c r="AI9" i="1" s="1"/>
  <c r="S42" i="1"/>
  <c r="T42" i="1" s="1"/>
  <c r="U42" i="1" s="1"/>
  <c r="V42" i="1" s="1"/>
  <c r="AI42" i="1" s="1"/>
  <c r="AB100" i="1"/>
  <c r="S51" i="1"/>
  <c r="T51" i="1" s="1"/>
  <c r="U51" i="1" s="1"/>
  <c r="V51" i="1" s="1"/>
  <c r="AI51" i="1" s="1"/>
  <c r="S88" i="1"/>
  <c r="T88" i="1" s="1"/>
  <c r="U88" i="1" s="1"/>
  <c r="V88" i="1" s="1"/>
  <c r="AI88" i="1" s="1"/>
  <c r="S68" i="1"/>
  <c r="T68" i="1" s="1"/>
  <c r="U68" i="1" s="1"/>
  <c r="V68" i="1" s="1"/>
  <c r="AI68" i="1" s="1"/>
  <c r="S48" i="1"/>
  <c r="T48" i="1" s="1"/>
  <c r="U48" i="1" s="1"/>
  <c r="V48" i="1" s="1"/>
  <c r="AI48" i="1" s="1"/>
  <c r="S8" i="1"/>
  <c r="T8" i="1" s="1"/>
  <c r="U8" i="1" s="1"/>
  <c r="AB23" i="1"/>
  <c r="S41" i="1"/>
  <c r="T41" i="1" s="1"/>
  <c r="U41" i="1" s="1"/>
  <c r="V41" i="1" s="1"/>
  <c r="AI41" i="1" s="1"/>
  <c r="S92" i="1"/>
  <c r="T92" i="1" s="1"/>
  <c r="U92" i="1" s="1"/>
  <c r="V92" i="1" s="1"/>
  <c r="AI92" i="1" s="1"/>
  <c r="S70" i="1"/>
  <c r="T70" i="1" s="1"/>
  <c r="U70" i="1" s="1"/>
  <c r="S87" i="1"/>
  <c r="T87" i="1" s="1"/>
  <c r="U87" i="1" s="1"/>
  <c r="V87" i="1" s="1"/>
  <c r="AI87" i="1" s="1"/>
  <c r="S47" i="1"/>
  <c r="T47" i="1" s="1"/>
  <c r="U47" i="1" s="1"/>
  <c r="V47" i="1" s="1"/>
  <c r="AI47" i="1" s="1"/>
  <c r="S27" i="1"/>
  <c r="T27" i="1" s="1"/>
  <c r="U27" i="1" s="1"/>
  <c r="S7" i="1"/>
  <c r="T7" i="1" s="1"/>
  <c r="U7" i="1" s="1"/>
  <c r="AB64" i="1"/>
  <c r="AB79" i="1"/>
  <c r="S73" i="1"/>
  <c r="T73" i="1" s="1"/>
  <c r="U73" i="1" s="1"/>
  <c r="S90" i="1"/>
  <c r="T90" i="1" s="1"/>
  <c r="U90" i="1" s="1"/>
  <c r="V90" i="1" s="1"/>
  <c r="AI90" i="1" s="1"/>
  <c r="AB106" i="1"/>
  <c r="AA106" i="1"/>
  <c r="AB66" i="1"/>
  <c r="S46" i="1"/>
  <c r="T46" i="1" s="1"/>
  <c r="U46" i="1" s="1"/>
  <c r="V46" i="1" s="1"/>
  <c r="AI46" i="1" s="1"/>
  <c r="AB117" i="1"/>
  <c r="AB115" i="1"/>
  <c r="AB101" i="1"/>
  <c r="AB99" i="1"/>
  <c r="AB97" i="1"/>
  <c r="AB95" i="1"/>
  <c r="AB83" i="1"/>
  <c r="AB81" i="1"/>
  <c r="AB77" i="1"/>
  <c r="AB71" i="1"/>
  <c r="AB65" i="1"/>
  <c r="AB59" i="1"/>
  <c r="AB57" i="1"/>
  <c r="AB55" i="1"/>
  <c r="AB53" i="1"/>
  <c r="AB45" i="1"/>
  <c r="AB37" i="1"/>
  <c r="AB35" i="1"/>
  <c r="AB33" i="1"/>
  <c r="AB13" i="1"/>
  <c r="AB116" i="1"/>
  <c r="AB114" i="1"/>
  <c r="AB96" i="1"/>
  <c r="AB94" i="1"/>
  <c r="AB86" i="1"/>
  <c r="AB78" i="1"/>
  <c r="AB76" i="1"/>
  <c r="AB74" i="1"/>
  <c r="AB58" i="1"/>
  <c r="AB44" i="1"/>
  <c r="AB40" i="1"/>
  <c r="AB38" i="1"/>
  <c r="AB34" i="1"/>
  <c r="AB26" i="1"/>
  <c r="S36" i="1"/>
  <c r="T36" i="1" s="1"/>
  <c r="U36" i="1" s="1"/>
  <c r="V36" i="1" s="1"/>
  <c r="AI36" i="1" s="1"/>
  <c r="S98" i="1"/>
  <c r="T98" i="1" s="1"/>
  <c r="U98" i="1" s="1"/>
  <c r="V98" i="1" s="1"/>
  <c r="AI98" i="1" s="1"/>
  <c r="S54" i="1"/>
  <c r="T54" i="1" s="1"/>
  <c r="U54" i="1" s="1"/>
  <c r="V54" i="1" s="1"/>
  <c r="AI54" i="1" s="1"/>
  <c r="S79" i="1"/>
  <c r="T79" i="1" s="1"/>
  <c r="U79" i="1" s="1"/>
  <c r="V79" i="1" s="1"/>
  <c r="AI79" i="1" s="1"/>
  <c r="AB73" i="1"/>
  <c r="AB63" i="1"/>
  <c r="AB42" i="1"/>
  <c r="AB32" i="1"/>
  <c r="AB22" i="1"/>
  <c r="S85" i="1"/>
  <c r="T85" i="1" s="1"/>
  <c r="U85" i="1" s="1"/>
  <c r="V85" i="1" s="1"/>
  <c r="AI85" i="1" s="1"/>
  <c r="S25" i="1"/>
  <c r="T25" i="1" s="1"/>
  <c r="U25" i="1" s="1"/>
  <c r="V25" i="1" s="1"/>
  <c r="AI25" i="1" s="1"/>
  <c r="AB46" i="1"/>
  <c r="AB12" i="1"/>
  <c r="S105" i="1"/>
  <c r="T105" i="1" s="1"/>
  <c r="U105" i="1" s="1"/>
  <c r="V105" i="1" s="1"/>
  <c r="AI105" i="1" s="1"/>
  <c r="S66" i="1"/>
  <c r="T66" i="1" s="1"/>
  <c r="U66" i="1" s="1"/>
  <c r="AB104" i="1"/>
  <c r="AB88" i="1"/>
  <c r="AB103" i="1"/>
  <c r="AB93" i="1"/>
  <c r="AB62" i="1"/>
  <c r="AB52" i="1"/>
  <c r="AB21" i="1"/>
  <c r="AB11" i="1"/>
  <c r="S64" i="1"/>
  <c r="T64" i="1" s="1"/>
  <c r="U64" i="1" s="1"/>
  <c r="V64" i="1" s="1"/>
  <c r="AI64" i="1" s="1"/>
  <c r="S24" i="1"/>
  <c r="T24" i="1" s="1"/>
  <c r="U24" i="1" s="1"/>
  <c r="AB113" i="1"/>
  <c r="AB82" i="1"/>
  <c r="AB72" i="1"/>
  <c r="AB41" i="1"/>
  <c r="AB31" i="1"/>
  <c r="S43" i="1"/>
  <c r="T43" i="1" s="1"/>
  <c r="U43" i="1" s="1"/>
  <c r="S23" i="1"/>
  <c r="T23" i="1" s="1"/>
  <c r="U23" i="1" s="1"/>
  <c r="V23" i="1" s="1"/>
  <c r="AI23" i="1" s="1"/>
  <c r="AB102" i="1"/>
  <c r="AB92" i="1"/>
  <c r="AB61" i="1"/>
  <c r="AB51" i="1"/>
  <c r="AB20" i="1"/>
  <c r="AB10" i="1"/>
  <c r="AB30" i="1"/>
  <c r="AB112" i="1"/>
  <c r="AB91" i="1"/>
  <c r="AB60" i="1"/>
  <c r="AB50" i="1"/>
  <c r="AB19" i="1"/>
  <c r="AB9" i="1"/>
  <c r="S100" i="1"/>
  <c r="T100" i="1" s="1"/>
  <c r="U100" i="1" s="1"/>
  <c r="AB111" i="1"/>
  <c r="AB70" i="1"/>
  <c r="AB39" i="1"/>
  <c r="AB29" i="1"/>
  <c r="AB90" i="1"/>
  <c r="AB49" i="1"/>
  <c r="AB18" i="1"/>
  <c r="AB8" i="1"/>
  <c r="S6" i="1"/>
  <c r="T6" i="1" s="1"/>
  <c r="U6" i="1" s="1"/>
  <c r="AB110" i="1"/>
  <c r="AB69" i="1"/>
  <c r="AB28" i="1"/>
  <c r="S17" i="1"/>
  <c r="T17" i="1" s="1"/>
  <c r="U17" i="1" s="1"/>
  <c r="V17" i="1" s="1"/>
  <c r="AI17" i="1" s="1"/>
  <c r="AB89" i="1"/>
  <c r="AB48" i="1"/>
  <c r="AB7" i="1"/>
  <c r="S56" i="1"/>
  <c r="T56" i="1" s="1"/>
  <c r="U56" i="1" s="1"/>
  <c r="V56" i="1" s="1"/>
  <c r="AI56" i="1" s="1"/>
  <c r="S16" i="1"/>
  <c r="T16" i="1" s="1"/>
  <c r="U16" i="1" s="1"/>
  <c r="AB109" i="1"/>
  <c r="AB68" i="1"/>
  <c r="AB27" i="1"/>
  <c r="S75" i="1"/>
  <c r="T75" i="1" s="1"/>
  <c r="U75" i="1" s="1"/>
  <c r="S15" i="1"/>
  <c r="T15" i="1" s="1"/>
  <c r="U15" i="1" s="1"/>
  <c r="AB47" i="1"/>
  <c r="S14" i="1"/>
  <c r="T14" i="1" s="1"/>
  <c r="U14" i="1" s="1"/>
  <c r="V14" i="1" s="1"/>
  <c r="AI14" i="1" s="1"/>
  <c r="AB108" i="1"/>
  <c r="AB67" i="1"/>
  <c r="AB87" i="1"/>
  <c r="AB107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G5" i="1"/>
  <c r="AF5" i="1"/>
  <c r="AE5" i="1"/>
  <c r="AD5" i="1"/>
  <c r="AC5" i="1"/>
  <c r="Y5" i="1"/>
  <c r="R5" i="1"/>
  <c r="Q5" i="1"/>
  <c r="P5" i="1"/>
  <c r="O5" i="1"/>
  <c r="N5" i="1"/>
  <c r="M5" i="1"/>
  <c r="K5" i="1"/>
  <c r="F5" i="1"/>
  <c r="E5" i="1"/>
  <c r="AA82" i="1" l="1"/>
  <c r="AA72" i="1"/>
  <c r="AA68" i="1"/>
  <c r="W75" i="1"/>
  <c r="AJ75" i="1" s="1"/>
  <c r="AA12" i="1"/>
  <c r="W8" i="1"/>
  <c r="AJ8" i="1" s="1"/>
  <c r="W62" i="1"/>
  <c r="AJ62" i="1" s="1"/>
  <c r="W100" i="1"/>
  <c r="AJ100" i="1" s="1"/>
  <c r="W32" i="1"/>
  <c r="AJ32" i="1" s="1"/>
  <c r="W24" i="1"/>
  <c r="AJ24" i="1" s="1"/>
  <c r="W16" i="1"/>
  <c r="AJ16" i="1" s="1"/>
  <c r="W11" i="1"/>
  <c r="AJ11" i="1" s="1"/>
  <c r="W102" i="1"/>
  <c r="AJ102" i="1" s="1"/>
  <c r="W73" i="1"/>
  <c r="AJ73" i="1" s="1"/>
  <c r="AA79" i="1"/>
  <c r="W63" i="1"/>
  <c r="AJ63" i="1" s="1"/>
  <c r="AA64" i="1"/>
  <c r="W29" i="1"/>
  <c r="AJ29" i="1" s="1"/>
  <c r="AA54" i="1"/>
  <c r="AA20" i="1"/>
  <c r="W15" i="1"/>
  <c r="AJ15" i="1" s="1"/>
  <c r="W49" i="1"/>
  <c r="AJ49" i="1" s="1"/>
  <c r="W7" i="1"/>
  <c r="AJ7" i="1" s="1"/>
  <c r="AA89" i="1"/>
  <c r="W6" i="1"/>
  <c r="W66" i="1"/>
  <c r="AJ66" i="1" s="1"/>
  <c r="W27" i="1"/>
  <c r="AJ27" i="1" s="1"/>
  <c r="W21" i="1"/>
  <c r="AJ21" i="1" s="1"/>
  <c r="W10" i="1"/>
  <c r="AJ10" i="1" s="1"/>
  <c r="W30" i="1"/>
  <c r="AJ30" i="1" s="1"/>
  <c r="W70" i="1"/>
  <c r="AJ70" i="1" s="1"/>
  <c r="W43" i="1"/>
  <c r="AJ43" i="1" s="1"/>
  <c r="AA92" i="1"/>
  <c r="AA51" i="1"/>
  <c r="AA47" i="1"/>
  <c r="AA43" i="1"/>
  <c r="AA98" i="1"/>
  <c r="AA14" i="1"/>
  <c r="AA30" i="1"/>
  <c r="AA23" i="1"/>
  <c r="AA50" i="1"/>
  <c r="AA48" i="1"/>
  <c r="AA90" i="1"/>
  <c r="AA25" i="1"/>
  <c r="AA88" i="1"/>
  <c r="AA7" i="1"/>
  <c r="AA39" i="1"/>
  <c r="AA100" i="1"/>
  <c r="AA17" i="1"/>
  <c r="AA87" i="1"/>
  <c r="AA42" i="1"/>
  <c r="AA36" i="1"/>
  <c r="AA105" i="1"/>
  <c r="AA46" i="1"/>
  <c r="AA9" i="1"/>
  <c r="AA102" i="1"/>
  <c r="AA56" i="1"/>
  <c r="AA66" i="1"/>
  <c r="AA85" i="1"/>
  <c r="AA41" i="1"/>
  <c r="AA49" i="1"/>
  <c r="AA62" i="1"/>
  <c r="AA60" i="1"/>
  <c r="AA32" i="1"/>
  <c r="AA11" i="1"/>
  <c r="AA27" i="1"/>
  <c r="AA73" i="1"/>
  <c r="AA21" i="1"/>
  <c r="AA70" i="1"/>
  <c r="AA15" i="1"/>
  <c r="AA29" i="1"/>
  <c r="AA75" i="1"/>
  <c r="AA16" i="1"/>
  <c r="AA8" i="1"/>
  <c r="AA10" i="1"/>
  <c r="AA24" i="1"/>
  <c r="AA6" i="1"/>
  <c r="U5" i="1"/>
  <c r="T5" i="1"/>
  <c r="S5" i="1"/>
  <c r="L5" i="1"/>
  <c r="V43" i="1" l="1"/>
  <c r="AI43" i="1" s="1"/>
  <c r="V73" i="1"/>
  <c r="AI73" i="1" s="1"/>
  <c r="V30" i="1"/>
  <c r="AI30" i="1" s="1"/>
  <c r="V11" i="1"/>
  <c r="AI11" i="1" s="1"/>
  <c r="V102" i="1"/>
  <c r="AI102" i="1" s="1"/>
  <c r="V7" i="1"/>
  <c r="AI7" i="1" s="1"/>
  <c r="V16" i="1"/>
  <c r="AI16" i="1" s="1"/>
  <c r="V49" i="1"/>
  <c r="AI49" i="1" s="1"/>
  <c r="V24" i="1"/>
  <c r="AI24" i="1" s="1"/>
  <c r="AJ6" i="1"/>
  <c r="AJ5" i="1" s="1"/>
  <c r="W5" i="1"/>
  <c r="V6" i="1"/>
  <c r="V15" i="1"/>
  <c r="AI15" i="1" s="1"/>
  <c r="V32" i="1"/>
  <c r="AI32" i="1" s="1"/>
  <c r="V70" i="1"/>
  <c r="AI70" i="1" s="1"/>
  <c r="V100" i="1"/>
  <c r="AI100" i="1" s="1"/>
  <c r="V29" i="1"/>
  <c r="AI29" i="1" s="1"/>
  <c r="V62" i="1"/>
  <c r="AI62" i="1" s="1"/>
  <c r="V66" i="1"/>
  <c r="AI66" i="1" s="1"/>
  <c r="V10" i="1"/>
  <c r="AI10" i="1" s="1"/>
  <c r="V8" i="1"/>
  <c r="AI8" i="1" s="1"/>
  <c r="V21" i="1"/>
  <c r="AI21" i="1" s="1"/>
  <c r="V63" i="1"/>
  <c r="AI63" i="1" s="1"/>
  <c r="V27" i="1"/>
  <c r="AI27" i="1" s="1"/>
  <c r="V75" i="1"/>
  <c r="AI75" i="1" s="1"/>
  <c r="V5" i="1" l="1"/>
  <c r="AI6" i="1"/>
  <c r="AI5" i="1" s="1"/>
</calcChain>
</file>

<file path=xl/sharedStrings.xml><?xml version="1.0" encoding="utf-8"?>
<sst xmlns="http://schemas.openxmlformats.org/spreadsheetml/2006/main" count="420" uniqueCount="275">
  <si>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</si>
  <si>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</si>
  <si>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</si>
  <si>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</si>
  <si>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</si>
  <si>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</si>
  <si>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</si>
  <si>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</si>
  <si>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</si>
  <si>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</si>
  <si>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</si>
  <si>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</si>
  <si>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</si>
  <si>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</si>
  <si>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</si>
  <si>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</si>
  <si>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</si>
  <si>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</si>
  <si>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</si>
  <si>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</si>
  <si>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</si>
  <si>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</si>
  <si>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</si>
  <si>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</si>
  <si>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21,06,</t>
  </si>
  <si>
    <t>27,06,</t>
  </si>
  <si>
    <t>28,06,</t>
  </si>
  <si>
    <t>25,06,</t>
  </si>
  <si>
    <t>23,06,</t>
  </si>
  <si>
    <t>26,05,</t>
  </si>
  <si>
    <t>02,06,</t>
  </si>
  <si>
    <t>09,06,</t>
  </si>
  <si>
    <t>16,06,</t>
  </si>
  <si>
    <t xml:space="preserve"> 005  Колбаса Докторская ГОСТ, Вязанка вектор,ВЕС. ПОКОМ</t>
  </si>
  <si>
    <t>кг</t>
  </si>
  <si>
    <t>P003011</t>
  </si>
  <si>
    <t>ТМА ПРОДОЛЖЕНИЕ Апрель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</si>
  <si>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</si>
  <si>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</si>
  <si>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</si>
  <si>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</si>
  <si>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023  Колбаса Докторская ГОСТ, Вязанка вектор, 0,4 кг, ПОКОМ</t>
  </si>
  <si>
    <t>шт</t>
  </si>
  <si>
    <t>P003008</t>
  </si>
  <si>
    <t xml:space="preserve"> 030  Сосиски Вязанка Молочные, Вязанка вискофан МГС, 0.45кг, ПОКОМ</t>
  </si>
  <si>
    <t>P003985</t>
  </si>
  <si>
    <t>Мера</t>
  </si>
  <si>
    <t xml:space="preserve"> 032  Сосиски Вязанка Сливочные, Вязанка амицел МГС, 0.45кг, ПОКОМ</t>
  </si>
  <si>
    <t>P003989</t>
  </si>
  <si>
    <t>зв</t>
  </si>
  <si>
    <t xml:space="preserve"> 047  Кол Баварская, белков.обол. в термоусад. пакете 0.17 кг, ТМ Стародворье  ПОКОМ</t>
  </si>
  <si>
    <t>P002290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</si>
  <si>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</si>
  <si>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</si>
  <si>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</si>
  <si>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</si>
  <si>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>Макс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</si>
  <si>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</si>
  <si>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</si>
  <si>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</si>
  <si>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</si>
  <si>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</si>
  <si>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</si>
  <si>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>нужно увеличить продажи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</si>
  <si>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</si>
  <si>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</si>
  <si>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</si>
  <si>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</si>
  <si>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</si>
  <si>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</si>
  <si>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>ТМА Апрель</t>
  </si>
  <si>
    <t xml:space="preserve"> 230  Колбаса Молочная Особая ТМ Особый рецепт, п/а, ВЕС. ПОКОМ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</si>
  <si>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</si>
  <si>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</si>
  <si>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</si>
  <si>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</si>
  <si>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242  Колбаса Сервелат ЗАПЕЧ.Дугушка ТМ Стародворье, вектор, в/к     ПОКОМ</t>
  </si>
  <si>
    <t>P004470</t>
  </si>
  <si>
    <t>ТМА ПРОДОЛЖЕНИЕ МАРТ</t>
  </si>
  <si>
    <t xml:space="preserve"> 244  Колбаса Сервелат Кремлевский, ВЕС. ПОКОМ</t>
  </si>
  <si>
    <t>P003013</t>
  </si>
  <si>
    <t xml:space="preserve"> 250  Сардельки стародворские с говядиной в обол. NDX, ВЕС. ПОКОМ</t>
  </si>
  <si>
    <t>P002536</t>
  </si>
  <si>
    <t xml:space="preserve"> 253  Сосиски Ганноверские   ПОКОМ</t>
  </si>
  <si>
    <t>P002209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</si>
  <si>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</si>
  <si>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</si>
  <si>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</si>
  <si>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</si>
  <si>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</si>
  <si>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</si>
  <si>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</si>
  <si>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</si>
  <si>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</si>
  <si>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</si>
  <si>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</si>
  <si>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</si>
  <si>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</si>
  <si>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</si>
  <si>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</si>
  <si>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</si>
  <si>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</si>
  <si>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</si>
  <si>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</si>
  <si>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</si>
  <si>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</si>
  <si>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</si>
  <si>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</si>
  <si>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</si>
  <si>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</si>
  <si>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</si>
  <si>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</si>
  <si>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</si>
  <si>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</si>
  <si>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</si>
  <si>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</si>
  <si>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</si>
  <si>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</si>
  <si>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</si>
  <si>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329  Сардельки Сочинки с сыром Стародворье ТМ, 0,4 кг. ПОКОМ</t>
  </si>
  <si>
    <t>P003961</t>
  </si>
  <si>
    <t>ТМА декабрь_январь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</si>
  <si>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</si>
  <si>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</si>
  <si>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</si>
  <si>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</si>
  <si>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</si>
  <si>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</si>
  <si>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</si>
  <si>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</si>
  <si>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</si>
  <si>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</si>
  <si>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</si>
  <si>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</si>
  <si>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</si>
  <si>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</si>
  <si>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</si>
  <si>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</si>
  <si>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</si>
  <si>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</si>
  <si>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</si>
  <si>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</si>
  <si>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</si>
  <si>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</si>
  <si>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</si>
  <si>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</si>
  <si>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</si>
  <si>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</si>
  <si>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ТМА ПРОДОЛЖЕНИЕ Апрель</t>
  </si>
  <si>
    <t xml:space="preserve"> 347  Колбаса Сочинка рубленая с сочным окороком ТМ Стародворье ВЕС ПОКОМ</t>
  </si>
  <si>
    <t>P003384</t>
  </si>
  <si>
    <t xml:space="preserve"> 364  Сардельки Филейские Вязанка ВЕС NDX ТМ Вязанка  ПОКОМ</t>
  </si>
  <si>
    <t>P003883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</si>
  <si>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</si>
  <si>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</si>
  <si>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</si>
  <si>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</si>
  <si>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>остатки?</t>
  </si>
  <si>
    <t xml:space="preserve"> 394 Колбаса полукопченая Аль-Ислами халяль ТМ Вязанка оболочка фиброуз в в/у 0,35 кг  ПОКОМ</t>
  </si>
  <si>
    <t>P003439</t>
  </si>
  <si>
    <t xml:space="preserve"> 395  Колбаса Докторская ГОСТ ТМ Вязанка в оболочке полиамид 0,37 кг. ПОКОМ</t>
  </si>
  <si>
    <t>P003429</t>
  </si>
  <si>
    <t xml:space="preserve"> 397  Ветчина Дугушка ТМ Стародворье ТС Дугушка в полиамидной оболочке 0,6 кг. ПОКОМ</t>
  </si>
  <si>
    <t>P004923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</si>
  <si>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</si>
  <si>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</si>
  <si>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</si>
  <si>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</si>
  <si>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</si>
  <si>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</si>
  <si>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>новинка / ТМА февраль</t>
  </si>
  <si>
    <t xml:space="preserve"> 412  Сосиски Баварские ТМ Стародворье 0,35 кг ПОКОМ</t>
  </si>
  <si>
    <t>P003363</t>
  </si>
  <si>
    <t xml:space="preserve"> 430  Колбаса Стародворская с окороком 0,4 кг. ТМ Стародворье в оболочке полиамид  ПОКОМ</t>
  </si>
  <si>
    <t>P003947</t>
  </si>
  <si>
    <t>0 заявок</t>
  </si>
  <si>
    <t xml:space="preserve"> 433 Колбаса Стародворская со шпиком  в оболочке полиамид. ТМ Стародворье ВЕС ПОКОМ</t>
  </si>
  <si>
    <t>P003950</t>
  </si>
  <si>
    <t xml:space="preserve"> 449  Колбаса Дугушка Стародворская ВЕС ТС Дугушка ПОКОМ</t>
  </si>
  <si>
    <t>P002989</t>
  </si>
  <si>
    <t xml:space="preserve"> 451 Сосиски Филейские ТМ Вязанка в оболочке целлофан 0,3 кг. ПОКОМ</t>
  </si>
  <si>
    <t>P004554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</si>
  <si>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</si>
  <si>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</si>
  <si>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</si>
  <si>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</si>
  <si>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</si>
  <si>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</si>
  <si>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</si>
  <si>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</si>
  <si>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 xml:space="preserve"> 463  Колбаса Молочная Традиционнаяв оболочке полиамид.ТМ Стародворье. ВЕС ПОКОМ</t>
  </si>
  <si>
    <t>P005138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</si>
  <si>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</si>
  <si>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</si>
  <si>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>P003390</t>
  </si>
  <si>
    <t>ТМА февраль</t>
  </si>
  <si>
    <t xml:space="preserve"> 517  Сосиски С сыром ТМ Ядрена копоть 0,3кг  ПОКОМ</t>
  </si>
  <si>
    <t>P004642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</si>
  <si>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</si>
  <si>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</si>
  <si>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</si>
  <si>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</si>
  <si>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</si>
  <si>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</si>
  <si>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</si>
  <si>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</si>
  <si>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</si>
  <si>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</si>
  <si>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 xml:space="preserve"> 530  Окорок Хамон выдержанный нарезка 0,055кг ТМ Стародворье  ПОКОМ</t>
  </si>
  <si>
    <t>P005021</t>
  </si>
  <si>
    <t xml:space="preserve"> 544  Сосиски Мясные для гриля ТС Ядрена копоть 0,3 кг  ПОКОМ</t>
  </si>
  <si>
    <t>P005150</t>
  </si>
  <si>
    <t xml:space="preserve"> 547  Колбаса Мясная Классическая ТМ Вязанка в оболочке полиамид. ВЕС  ПОКОМ</t>
  </si>
  <si>
    <t>P005156</t>
  </si>
  <si>
    <t xml:space="preserve"> 551  Колбаса Сливушка ТМ Вязанка в модифицированной газовой среде 0,11 кг нарезка  ПОКОМ</t>
  </si>
  <si>
    <t>P004758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</si>
  <si>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</si>
  <si>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</si>
  <si>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</si>
  <si>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</si>
  <si>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555  Колбаса Молокуша ТМ Вязанка в модифицированной газовой среде 0,17 кг нарезка  ПОКОМ</t>
  </si>
  <si>
    <t>P002641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</si>
  <si>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</si>
  <si>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</si>
  <si>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</si>
  <si>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</si>
  <si>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</si>
  <si>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</si>
  <si>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564  Сосиски Сочные 0,3 кг ТМ Вязанка  ПОКОМ</t>
  </si>
  <si>
    <t>P005187</t>
  </si>
  <si>
    <t xml:space="preserve"> 567 Колбаса Со шпиком Стародворская ТМ Стародворье в оболочке полиамид ВЕС  ПОКОМ</t>
  </si>
  <si>
    <t>P005136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</si>
  <si>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</si>
  <si>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</si>
  <si>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</si>
  <si>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</si>
  <si>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</si>
  <si>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</si>
  <si>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</si>
  <si>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</si>
  <si>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</si>
  <si>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</si>
  <si>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</si>
  <si>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</si>
  <si>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</si>
  <si>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>P004212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</si>
  <si>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</si>
  <si>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</si>
  <si>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</si>
  <si>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</si>
  <si>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 xml:space="preserve"> 597  Колбаса Классическая ТМ Особый рецепт в оболочке полиамид ВЕС. ПОКОМ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</si>
  <si>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</si>
  <si>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</si>
  <si>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</si>
  <si>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</si>
  <si>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23,01,25 в уценку 70шт.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</si>
  <si>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</si>
  <si>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</si>
  <si>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</si>
  <si>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</si>
  <si>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</si>
  <si>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</si>
  <si>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Колбаса Молочная Стародворская ТВ Стародворье ВЕС ПОКОМ</t>
  </si>
  <si>
    <t>P005467</t>
  </si>
  <si>
    <t>ротация</t>
  </si>
  <si>
    <t>ротация на 597</t>
  </si>
  <si>
    <t>дубль</t>
  </si>
  <si>
    <t>вместо 219</t>
  </si>
  <si>
    <t>спец задача</t>
  </si>
  <si>
    <t>итого</t>
  </si>
  <si>
    <t>заказ</t>
  </si>
  <si>
    <t>промежуточный</t>
  </si>
  <si>
    <t>29,06,</t>
  </si>
  <si>
    <t>29,06,(2)</t>
  </si>
  <si>
    <t>30,06,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</si>
</sst>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5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24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5" borderId="1" xfId="1" applyNumberFormat="1" applyFill="1"/>
    <xf numFmtId="164" fontId="4" fillId="6" borderId="1" xfId="1" applyNumberFormat="1" applyFont="1" applyFill="1"/>
    <xf numFmtId="164" fontId="1" fillId="6" borderId="1" xfId="1" applyNumberFormat="1" applyFill="1"/>
    <xf numFmtId="2" fontId="1" fillId="6" borderId="1" xfId="1" applyNumberFormat="1" applyFill="1"/>
    <xf numFmtId="2" fontId="0" fillId="6" borderId="0" xfId="0" applyNumberFormat="1" applyFill="1"/>
    <xf numFmtId="164" fontId="1" fillId="6" borderId="2" xfId="1" applyNumberFormat="1" applyFill="1" applyBorder="1"/>
    <xf numFmtId="164" fontId="1" fillId="7" borderId="1" xfId="1" applyNumberFormat="1" applyFill="1"/>
    <xf numFmtId="164" fontId="1" fillId="7" borderId="2" xfId="1" applyNumberFormat="1" applyFill="1" applyBorder="1"/>
    <xf numFmtId="2" fontId="1" fillId="5" borderId="1" xfId="1" applyNumberFormat="1" applyFill="1"/>
    <xf numFmtId="2" fontId="0" fillId="5" borderId="0" xfId="0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96"/>
  <sheetViews>
    <sheetView tabSelected="1" zoomScale="80" zoomScaleNormal="80" workbookViewId="0">
      <pane xSplit="2" ySplit="5" topLeftCell="C6" activePane="bottomRight" state="frozen"/>
      <selection pane="topRight"/>
      <selection pane="bottomLeft"/>
      <selection pane="bottomRight" activeCell="Z6" sqref="Z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5" width="9.85546875" customWidth="1"/>
    <col min="6" max="6" width="9.7109375" customWidth="1"/>
    <col min="7" max="7" width="5" style="6" customWidth="1"/>
    <col min="8" max="8" width="1.5703125" style="6" customWidth="1"/>
    <col min="9" max="9" width="9.140625" customWidth="1"/>
    <col min="10" max="10" width="1" customWidth="1"/>
    <col min="11" max="25" width="7" customWidth="1"/>
    <col min="26" max="26" width="21" customWidth="1"/>
    <col min="27" max="27" width="5.42578125" customWidth="1"/>
    <col min="28" max="28" width="5" customWidth="1"/>
    <col min="29" max="33" width="7" customWidth="1"/>
    <col min="34" max="34" width="29.140625" customWidth="1"/>
    <col min="35" max="37" width="7" customWidth="1"/>
    <col min="38" max="53" width="8" customWidth="1"/>
  </cols>
  <sheetData>
    <row r="1" spans="1:53" x14ac:dyDescent="0.25">
      <c r="A1" s="1"/>
      <c r="B1" s="1"/>
      <c r="C1" s="1"/>
      <c r="D1" s="1"/>
      <c r="E1" s="1"/>
      <c r="F1" s="1"/>
      <c r="G1" s="1"/>
      <c r="H1" s="8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23">
        <v>1.1040000000000001</v>
      </c>
      <c r="V1" s="23"/>
      <c r="W1" s="23">
        <v>2.0950000000000002</v>
      </c>
      <c r="X1" s="23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1"/>
      <c r="H2" s="8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9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271</v>
      </c>
      <c r="U3" s="3" t="s">
        <v>269</v>
      </c>
      <c r="V3" s="3" t="s">
        <v>270</v>
      </c>
      <c r="W3" s="3" t="s">
        <v>270</v>
      </c>
      <c r="X3" s="3" t="s">
        <v>270</v>
      </c>
      <c r="Y3" s="7" t="s">
        <v>17</v>
      </c>
      <c r="Z3" s="7" t="s">
        <v>18</v>
      </c>
      <c r="AA3" s="2" t="s">
        <v>19</v>
      </c>
      <c r="AB3" s="2" t="s">
        <v>20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22</v>
      </c>
      <c r="AI3" s="2" t="s">
        <v>23</v>
      </c>
      <c r="AJ3" s="2" t="s">
        <v>23</v>
      </c>
      <c r="AK3" s="2" t="s">
        <v>23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1"/>
      <c r="H4" s="8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27</v>
      </c>
      <c r="S4" s="1"/>
      <c r="T4" s="1"/>
      <c r="U4" s="1"/>
      <c r="V4" s="1" t="s">
        <v>272</v>
      </c>
      <c r="W4" s="1" t="s">
        <v>273</v>
      </c>
      <c r="X4" s="1" t="s">
        <v>274</v>
      </c>
      <c r="Y4" s="1"/>
      <c r="Z4" s="1"/>
      <c r="AA4" s="1"/>
      <c r="AB4" s="1"/>
      <c r="AC4" s="1" t="s">
        <v>28</v>
      </c>
      <c r="AD4" s="1" t="s">
        <v>29</v>
      </c>
      <c r="AE4" s="1" t="s">
        <v>30</v>
      </c>
      <c r="AF4" s="1" t="s">
        <v>31</v>
      </c>
      <c r="AG4" s="1" t="s">
        <v>32</v>
      </c>
      <c r="AH4" s="1"/>
      <c r="AI4" s="1" t="s">
        <v>272</v>
      </c>
      <c r="AJ4" s="1" t="s">
        <v>273</v>
      </c>
      <c r="AK4" s="1" t="s">
        <v>274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SUM(E6:E496)</f>
        <v>75565.691000000021</v>
      </c>
      <c r="F5" s="4">
        <f>SUM(F6:F496)</f>
        <v>76861.957999999999</v>
      </c>
      <c r="G5" s="1"/>
      <c r="H5" s="8"/>
      <c r="I5" s="1"/>
      <c r="J5" s="1"/>
      <c r="K5" s="4">
        <f t="shared" ref="K5:Y5" si="0">SUM(K6:K496)</f>
        <v>77592.281000000017</v>
      </c>
      <c r="L5" s="4">
        <f t="shared" si="0"/>
        <v>-2026.5899999999992</v>
      </c>
      <c r="M5" s="4">
        <f t="shared" si="0"/>
        <v>72251.70600000002</v>
      </c>
      <c r="N5" s="4">
        <f t="shared" si="0"/>
        <v>3313.9850000000006</v>
      </c>
      <c r="O5" s="4">
        <f t="shared" si="0"/>
        <v>19350</v>
      </c>
      <c r="P5" s="4">
        <f t="shared" si="0"/>
        <v>24418.020989012002</v>
      </c>
      <c r="Q5" s="4">
        <f t="shared" si="0"/>
        <v>17669.553862987996</v>
      </c>
      <c r="R5" s="4">
        <f t="shared" si="0"/>
        <v>14635.693800000003</v>
      </c>
      <c r="S5" s="4">
        <f t="shared" si="0"/>
        <v>41714.616005999989</v>
      </c>
      <c r="T5" s="4">
        <f t="shared" si="0"/>
        <v>42074.616005999989</v>
      </c>
      <c r="U5" s="4">
        <f>SUM(U6:U496)</f>
        <v>45832.482482624</v>
      </c>
      <c r="V5" s="4">
        <f>SUM(V6:V496)</f>
        <v>20518.182110965779</v>
      </c>
      <c r="W5" s="4">
        <f t="shared" ref="W5:X5" si="1">SUM(W6:W496)</f>
        <v>16314.300371658235</v>
      </c>
      <c r="X5" s="4">
        <f t="shared" si="1"/>
        <v>9000</v>
      </c>
      <c r="Y5" s="4">
        <f t="shared" si="0"/>
        <v>380</v>
      </c>
      <c r="Z5" s="1"/>
      <c r="AA5" s="1"/>
      <c r="AB5" s="1"/>
      <c r="AC5" s="4">
        <f>SUM(AC6:AC496)</f>
        <v>14538.959799999997</v>
      </c>
      <c r="AD5" s="4">
        <f>SUM(AD6:AD496)</f>
        <v>12342.7112</v>
      </c>
      <c r="AE5" s="4">
        <f>SUM(AE6:AE496)</f>
        <v>13835.652000000011</v>
      </c>
      <c r="AF5" s="4">
        <f>SUM(AF6:AF496)</f>
        <v>14823.319200000004</v>
      </c>
      <c r="AG5" s="4">
        <f>SUM(AG6:AG496)</f>
        <v>15125.283000000014</v>
      </c>
      <c r="AH5" s="1"/>
      <c r="AI5" s="4">
        <f>SUM(AI6:AI496)</f>
        <v>17352</v>
      </c>
      <c r="AJ5" s="4">
        <f t="shared" ref="AJ5:AK5" si="2">SUM(AJ6:AJ496)</f>
        <v>14460</v>
      </c>
      <c r="AK5" s="4">
        <f t="shared" si="2"/>
        <v>9000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33</v>
      </c>
      <c r="B6" s="1" t="s">
        <v>34</v>
      </c>
      <c r="C6" s="1">
        <v>2170.2249999999999</v>
      </c>
      <c r="D6" s="1">
        <v>2980.462</v>
      </c>
      <c r="E6" s="1">
        <v>2870.6289999999999</v>
      </c>
      <c r="F6" s="1">
        <v>2232.4740000000002</v>
      </c>
      <c r="G6" s="8">
        <v>1</v>
      </c>
      <c r="I6" s="1" t="s">
        <v>35</v>
      </c>
      <c r="J6" s="1"/>
      <c r="K6" s="1">
        <v>2842.75</v>
      </c>
      <c r="L6" s="1">
        <f t="shared" ref="L6:L37" si="3">E6-K6</f>
        <v>27.878999999999905</v>
      </c>
      <c r="M6" s="1">
        <f>E6-N6</f>
        <v>2870.6289999999999</v>
      </c>
      <c r="N6" s="1"/>
      <c r="O6" s="1">
        <v>800</v>
      </c>
      <c r="P6" s="1">
        <v>1180.0383964739999</v>
      </c>
      <c r="Q6" s="1">
        <v>851.00875752599973</v>
      </c>
      <c r="R6" s="1">
        <f>M6/5</f>
        <v>574.12580000000003</v>
      </c>
      <c r="S6" s="5">
        <f>12*R6-Q6-P6-O6-F6</f>
        <v>1825.9884460000012</v>
      </c>
      <c r="T6" s="5">
        <f>S6</f>
        <v>1825.9884460000012</v>
      </c>
      <c r="U6" s="5">
        <f>T6*$U$1</f>
        <v>2015.8912443840015</v>
      </c>
      <c r="V6" s="5">
        <f>U6-W6-X6</f>
        <v>1053.651986921471</v>
      </c>
      <c r="W6" s="5">
        <f>(U6-X6)/$W$1</f>
        <v>962.23925746253053</v>
      </c>
      <c r="X6" s="5"/>
      <c r="Y6" s="5"/>
      <c r="Z6" s="1"/>
      <c r="AA6" s="1">
        <f>(F6+O6+P6+Q6+U6)/R6</f>
        <v>12.330768619671856</v>
      </c>
      <c r="AB6" s="1">
        <f>(F6+O6+P6+Q6)/R6</f>
        <v>8.8195325031552301</v>
      </c>
      <c r="AC6" s="1">
        <v>568.09579999999994</v>
      </c>
      <c r="AD6" s="1">
        <v>541.78179999999998</v>
      </c>
      <c r="AE6" s="1">
        <v>554.71460000000002</v>
      </c>
      <c r="AF6" s="1">
        <v>479.79180000000002</v>
      </c>
      <c r="AG6" s="1">
        <v>563.93039999999996</v>
      </c>
      <c r="AH6" s="1" t="s">
        <v>36</v>
      </c>
      <c r="AI6" s="1">
        <f>ROUND(V6*G6,0)</f>
        <v>1054</v>
      </c>
      <c r="AJ6" s="1">
        <f>ROUND(W6*G6,0)</f>
        <v>962</v>
      </c>
      <c r="AK6" s="1">
        <f>ROUND(X6*G6,0)</f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37</v>
      </c>
      <c r="B7" s="1" t="s">
        <v>34</v>
      </c>
      <c r="C7" s="1">
        <v>570.26400000000001</v>
      </c>
      <c r="D7" s="1">
        <v>836.85400000000004</v>
      </c>
      <c r="E7" s="1">
        <v>1084.663</v>
      </c>
      <c r="F7" s="1">
        <v>309.85000000000002</v>
      </c>
      <c r="G7" s="8">
        <v>1</v>
      </c>
      <c r="I7" s="1" t="s">
        <v>38</v>
      </c>
      <c r="J7" s="1"/>
      <c r="K7" s="1">
        <v>1036.9000000000001</v>
      </c>
      <c r="L7" s="1">
        <f t="shared" si="3"/>
        <v>47.76299999999992</v>
      </c>
      <c r="M7" s="1">
        <f t="shared" ref="M7:M70" si="4">E7-N7</f>
        <v>1084.663</v>
      </c>
      <c r="N7" s="1"/>
      <c r="O7" s="1">
        <v>400</v>
      </c>
      <c r="P7" s="1">
        <v>983.34041072399998</v>
      </c>
      <c r="Q7" s="1">
        <v>709.155993276</v>
      </c>
      <c r="R7" s="1">
        <f t="shared" ref="R7:R70" si="5">M7/5</f>
        <v>216.93260000000001</v>
      </c>
      <c r="S7" s="5">
        <f t="shared" ref="S7:S66" si="6">12*R7-Q7-P7-O7-F7</f>
        <v>200.84479600000009</v>
      </c>
      <c r="T7" s="5">
        <f t="shared" ref="T7:T70" si="7">S7</f>
        <v>200.84479600000009</v>
      </c>
      <c r="U7" s="5">
        <f>T7</f>
        <v>200.84479600000009</v>
      </c>
      <c r="V7" s="5">
        <f t="shared" ref="V7:V70" si="8">U7-W7-X7</f>
        <v>104.97615829116951</v>
      </c>
      <c r="W7" s="5">
        <f t="shared" ref="W7:W8" si="9">(U7-X7)/$W$1</f>
        <v>95.868637708830576</v>
      </c>
      <c r="X7" s="5"/>
      <c r="Y7" s="5"/>
      <c r="Z7" s="1"/>
      <c r="AA7" s="1">
        <f t="shared" ref="AA7:AA70" si="10">(F7+O7+P7+Q7+U7)/R7</f>
        <v>12</v>
      </c>
      <c r="AB7" s="1">
        <f t="shared" ref="AB7:AB70" si="11">(F7+O7+P7+Q7)/R7</f>
        <v>11.074160379767724</v>
      </c>
      <c r="AC7" s="1">
        <v>206.46279999999999</v>
      </c>
      <c r="AD7" s="1">
        <v>142.0986</v>
      </c>
      <c r="AE7" s="1">
        <v>157.10640000000001</v>
      </c>
      <c r="AF7" s="1">
        <v>162.0754</v>
      </c>
      <c r="AG7" s="1">
        <v>150.274</v>
      </c>
      <c r="AH7" s="1" t="s">
        <v>36</v>
      </c>
      <c r="AI7" s="1">
        <f t="shared" ref="AI7:AI70" si="12">ROUND(V7*G7,0)</f>
        <v>105</v>
      </c>
      <c r="AJ7" s="1">
        <f t="shared" ref="AJ7:AJ70" si="13">ROUND(W7*G7,0)</f>
        <v>96</v>
      </c>
      <c r="AK7" s="1">
        <f t="shared" ref="AK7:AK70" si="14">ROUND(X7*G7,0)</f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39</v>
      </c>
      <c r="B8" s="1" t="s">
        <v>34</v>
      </c>
      <c r="C8" s="1">
        <v>1055.3040000000001</v>
      </c>
      <c r="D8" s="1">
        <v>2944.4</v>
      </c>
      <c r="E8" s="1">
        <v>3493.1990000000001</v>
      </c>
      <c r="F8" s="1">
        <v>451.43400000000003</v>
      </c>
      <c r="G8" s="8">
        <v>1</v>
      </c>
      <c r="I8" s="1" t="s">
        <v>40</v>
      </c>
      <c r="J8" s="1"/>
      <c r="K8" s="1">
        <v>3614.0239999999999</v>
      </c>
      <c r="L8" s="1">
        <f t="shared" si="3"/>
        <v>-120.82499999999982</v>
      </c>
      <c r="M8" s="1">
        <f t="shared" si="4"/>
        <v>3227.799</v>
      </c>
      <c r="N8" s="1">
        <v>265.39999999999998</v>
      </c>
      <c r="O8" s="1">
        <v>3100</v>
      </c>
      <c r="P8" s="1">
        <v>562.23080197200034</v>
      </c>
      <c r="Q8" s="1">
        <v>405.46421002800031</v>
      </c>
      <c r="R8" s="1">
        <f t="shared" si="5"/>
        <v>645.5598</v>
      </c>
      <c r="S8" s="5">
        <f t="shared" si="6"/>
        <v>3227.5885879999987</v>
      </c>
      <c r="T8" s="5">
        <f t="shared" si="7"/>
        <v>3227.5885879999987</v>
      </c>
      <c r="U8" s="5">
        <f>T8*$U$1</f>
        <v>3563.257801151999</v>
      </c>
      <c r="V8" s="5">
        <f t="shared" si="8"/>
        <v>1339.7457242298042</v>
      </c>
      <c r="W8" s="5">
        <f t="shared" si="9"/>
        <v>1223.5120769221951</v>
      </c>
      <c r="X8" s="5">
        <v>1000</v>
      </c>
      <c r="Y8" s="5"/>
      <c r="Z8" s="1"/>
      <c r="AA8" s="1">
        <f t="shared" si="10"/>
        <v>12.519966102523732</v>
      </c>
      <c r="AB8" s="1">
        <f t="shared" si="11"/>
        <v>7.0003259372718087</v>
      </c>
      <c r="AC8" s="1">
        <v>584.85239999999999</v>
      </c>
      <c r="AD8" s="1">
        <v>581.0992</v>
      </c>
      <c r="AE8" s="1">
        <v>595.59080000000006</v>
      </c>
      <c r="AF8" s="1">
        <v>611.73599999999999</v>
      </c>
      <c r="AG8" s="1">
        <v>646.25780000000009</v>
      </c>
      <c r="AH8" s="1" t="s">
        <v>36</v>
      </c>
      <c r="AI8" s="1">
        <f t="shared" si="12"/>
        <v>1340</v>
      </c>
      <c r="AJ8" s="1">
        <f t="shared" si="13"/>
        <v>1224</v>
      </c>
      <c r="AK8" s="1">
        <f t="shared" si="14"/>
        <v>1000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" t="s">
        <v>41</v>
      </c>
      <c r="B9" s="1" t="s">
        <v>42</v>
      </c>
      <c r="C9" s="1">
        <v>21</v>
      </c>
      <c r="D9" s="1"/>
      <c r="E9" s="1">
        <v>21</v>
      </c>
      <c r="F9" s="1"/>
      <c r="G9" s="8">
        <v>0.4</v>
      </c>
      <c r="I9" s="1" t="s">
        <v>43</v>
      </c>
      <c r="J9" s="1"/>
      <c r="K9" s="1">
        <v>21</v>
      </c>
      <c r="L9" s="1">
        <f t="shared" si="3"/>
        <v>0</v>
      </c>
      <c r="M9" s="1">
        <f t="shared" si="4"/>
        <v>21</v>
      </c>
      <c r="N9" s="1"/>
      <c r="O9" s="1">
        <v>0</v>
      </c>
      <c r="P9" s="1"/>
      <c r="Q9" s="1"/>
      <c r="R9" s="1">
        <f t="shared" si="5"/>
        <v>4.2</v>
      </c>
      <c r="S9" s="5">
        <f>7*R9-Q9-P9-O9-F9</f>
        <v>29.400000000000002</v>
      </c>
      <c r="T9" s="5">
        <f t="shared" si="7"/>
        <v>29.400000000000002</v>
      </c>
      <c r="U9" s="5">
        <f>T9</f>
        <v>29.400000000000002</v>
      </c>
      <c r="V9" s="5">
        <f t="shared" si="8"/>
        <v>29.400000000000002</v>
      </c>
      <c r="W9" s="5"/>
      <c r="X9" s="5"/>
      <c r="Y9" s="5"/>
      <c r="Z9" s="1"/>
      <c r="AA9" s="1">
        <f t="shared" si="10"/>
        <v>7</v>
      </c>
      <c r="AB9" s="1">
        <f t="shared" si="11"/>
        <v>0</v>
      </c>
      <c r="AC9" s="1">
        <v>5.8</v>
      </c>
      <c r="AD9" s="1">
        <v>4.4000000000000004</v>
      </c>
      <c r="AE9" s="1">
        <v>4.4000000000000004</v>
      </c>
      <c r="AF9" s="1">
        <v>2</v>
      </c>
      <c r="AG9" s="1">
        <v>3.2</v>
      </c>
      <c r="AH9" s="1"/>
      <c r="AI9" s="1">
        <f t="shared" si="12"/>
        <v>12</v>
      </c>
      <c r="AJ9" s="1">
        <f t="shared" si="13"/>
        <v>0</v>
      </c>
      <c r="AK9" s="1">
        <f t="shared" si="14"/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44</v>
      </c>
      <c r="B10" s="1" t="s">
        <v>42</v>
      </c>
      <c r="C10" s="1">
        <v>2501</v>
      </c>
      <c r="D10" s="1">
        <v>1018</v>
      </c>
      <c r="E10" s="1">
        <v>1960</v>
      </c>
      <c r="F10" s="1">
        <v>1545</v>
      </c>
      <c r="G10" s="8">
        <v>0.45</v>
      </c>
      <c r="I10" s="1" t="s">
        <v>45</v>
      </c>
      <c r="J10" s="1"/>
      <c r="K10" s="1">
        <v>2010</v>
      </c>
      <c r="L10" s="1">
        <f t="shared" si="3"/>
        <v>-50</v>
      </c>
      <c r="M10" s="1">
        <f t="shared" si="4"/>
        <v>1960</v>
      </c>
      <c r="N10" s="1"/>
      <c r="O10" s="1">
        <v>500</v>
      </c>
      <c r="P10" s="1">
        <v>1029.0253680000001</v>
      </c>
      <c r="Q10" s="1">
        <v>742.10263200000031</v>
      </c>
      <c r="R10" s="1">
        <f t="shared" si="5"/>
        <v>392</v>
      </c>
      <c r="S10" s="5">
        <f t="shared" si="6"/>
        <v>887.87199999999984</v>
      </c>
      <c r="T10" s="5">
        <f t="shared" si="7"/>
        <v>887.87199999999984</v>
      </c>
      <c r="U10" s="5">
        <f t="shared" ref="U10:U11" si="15">T10*$U$1</f>
        <v>980.21068799999989</v>
      </c>
      <c r="V10" s="5">
        <f t="shared" si="8"/>
        <v>512.32969134128871</v>
      </c>
      <c r="W10" s="5">
        <f t="shared" ref="W10:W11" si="16">(U10-X10)/$W$1</f>
        <v>467.88099665871113</v>
      </c>
      <c r="X10" s="5"/>
      <c r="Y10" s="5"/>
      <c r="Z10" s="1"/>
      <c r="AA10" s="1">
        <f t="shared" si="10"/>
        <v>12.235557877551022</v>
      </c>
      <c r="AB10" s="1">
        <f t="shared" si="11"/>
        <v>9.7350204081632672</v>
      </c>
      <c r="AC10" s="1">
        <v>376.6</v>
      </c>
      <c r="AD10" s="1">
        <v>460</v>
      </c>
      <c r="AE10" s="1">
        <v>328.2</v>
      </c>
      <c r="AF10" s="1">
        <v>407</v>
      </c>
      <c r="AG10" s="1">
        <v>312.60000000000002</v>
      </c>
      <c r="AH10" s="1" t="s">
        <v>46</v>
      </c>
      <c r="AI10" s="1">
        <f t="shared" si="12"/>
        <v>231</v>
      </c>
      <c r="AJ10" s="1">
        <f t="shared" si="13"/>
        <v>211</v>
      </c>
      <c r="AK10" s="1">
        <f t="shared" si="14"/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47</v>
      </c>
      <c r="B11" s="1" t="s">
        <v>42</v>
      </c>
      <c r="C11" s="1">
        <v>2155.2240000000002</v>
      </c>
      <c r="D11" s="1">
        <v>3996</v>
      </c>
      <c r="E11" s="1">
        <v>3253</v>
      </c>
      <c r="F11" s="1">
        <v>2812.2240000000002</v>
      </c>
      <c r="G11" s="8">
        <v>0.45</v>
      </c>
      <c r="I11" s="1" t="s">
        <v>48</v>
      </c>
      <c r="J11" s="1"/>
      <c r="K11" s="1">
        <v>3394</v>
      </c>
      <c r="L11" s="1">
        <f t="shared" si="3"/>
        <v>-141</v>
      </c>
      <c r="M11" s="1">
        <f t="shared" si="4"/>
        <v>3193</v>
      </c>
      <c r="N11" s="1">
        <v>60</v>
      </c>
      <c r="O11" s="1">
        <v>300</v>
      </c>
      <c r="P11" s="1">
        <v>1507.2483736799991</v>
      </c>
      <c r="Q11" s="1">
        <v>1086.98290632</v>
      </c>
      <c r="R11" s="1">
        <f t="shared" si="5"/>
        <v>638.6</v>
      </c>
      <c r="S11" s="5">
        <f t="shared" si="6"/>
        <v>1956.7447200000024</v>
      </c>
      <c r="T11" s="5">
        <f t="shared" si="7"/>
        <v>1956.7447200000024</v>
      </c>
      <c r="U11" s="5">
        <f t="shared" si="15"/>
        <v>2160.2461708800029</v>
      </c>
      <c r="V11" s="5">
        <f t="shared" si="8"/>
        <v>1129.102413896708</v>
      </c>
      <c r="W11" s="5">
        <f t="shared" si="16"/>
        <v>1031.1437569832949</v>
      </c>
      <c r="X11" s="5"/>
      <c r="Y11" s="5"/>
      <c r="Z11" s="1"/>
      <c r="AA11" s="1">
        <f t="shared" si="10"/>
        <v>12.318668103476355</v>
      </c>
      <c r="AB11" s="1">
        <f t="shared" si="11"/>
        <v>8.9358836204196646</v>
      </c>
      <c r="AC11" s="1">
        <v>583.79999999999995</v>
      </c>
      <c r="AD11" s="1">
        <v>603.6</v>
      </c>
      <c r="AE11" s="1">
        <v>534.24919999999997</v>
      </c>
      <c r="AF11" s="1">
        <v>630.20000000000005</v>
      </c>
      <c r="AG11" s="1">
        <v>547.79999999999995</v>
      </c>
      <c r="AH11" s="1" t="s">
        <v>49</v>
      </c>
      <c r="AI11" s="1">
        <f t="shared" si="12"/>
        <v>508</v>
      </c>
      <c r="AJ11" s="1">
        <f t="shared" si="13"/>
        <v>464</v>
      </c>
      <c r="AK11" s="1">
        <f t="shared" si="14"/>
        <v>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" t="s">
        <v>50</v>
      </c>
      <c r="B12" s="1" t="s">
        <v>42</v>
      </c>
      <c r="C12" s="1">
        <v>241</v>
      </c>
      <c r="D12" s="1"/>
      <c r="E12" s="1">
        <v>85</v>
      </c>
      <c r="F12" s="1">
        <v>156</v>
      </c>
      <c r="G12" s="8">
        <v>0.17</v>
      </c>
      <c r="I12" s="1" t="s">
        <v>51</v>
      </c>
      <c r="J12" s="1"/>
      <c r="K12" s="1">
        <v>86</v>
      </c>
      <c r="L12" s="1">
        <f t="shared" si="3"/>
        <v>-1</v>
      </c>
      <c r="M12" s="1">
        <f t="shared" si="4"/>
        <v>85</v>
      </c>
      <c r="N12" s="1"/>
      <c r="O12" s="1">
        <v>0</v>
      </c>
      <c r="P12" s="1"/>
      <c r="Q12" s="1"/>
      <c r="R12" s="1">
        <f t="shared" si="5"/>
        <v>17</v>
      </c>
      <c r="S12" s="5">
        <f t="shared" si="6"/>
        <v>48</v>
      </c>
      <c r="T12" s="5">
        <f t="shared" si="7"/>
        <v>48</v>
      </c>
      <c r="U12" s="5">
        <f t="shared" ref="U12:U14" si="17">T12</f>
        <v>48</v>
      </c>
      <c r="V12" s="5">
        <f t="shared" si="8"/>
        <v>48</v>
      </c>
      <c r="W12" s="5"/>
      <c r="X12" s="5"/>
      <c r="Y12" s="5"/>
      <c r="Z12" s="1"/>
      <c r="AA12" s="1">
        <f t="shared" si="10"/>
        <v>12</v>
      </c>
      <c r="AB12" s="1">
        <f t="shared" si="11"/>
        <v>9.1764705882352935</v>
      </c>
      <c r="AC12" s="1">
        <v>16.2</v>
      </c>
      <c r="AD12" s="1">
        <v>14.8</v>
      </c>
      <c r="AE12" s="1">
        <v>14.8</v>
      </c>
      <c r="AF12" s="1">
        <v>35.4</v>
      </c>
      <c r="AG12" s="1">
        <v>24.2</v>
      </c>
      <c r="AH12" s="1"/>
      <c r="AI12" s="1">
        <f t="shared" si="12"/>
        <v>8</v>
      </c>
      <c r="AJ12" s="1">
        <f t="shared" si="13"/>
        <v>0</v>
      </c>
      <c r="AK12" s="1">
        <f t="shared" si="14"/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52</v>
      </c>
      <c r="B13" s="1" t="s">
        <v>42</v>
      </c>
      <c r="C13" s="1">
        <v>6</v>
      </c>
      <c r="D13" s="1">
        <v>87</v>
      </c>
      <c r="E13" s="1">
        <v>8</v>
      </c>
      <c r="F13" s="1">
        <v>33</v>
      </c>
      <c r="G13" s="8">
        <v>0.3</v>
      </c>
      <c r="I13" s="1" t="s">
        <v>53</v>
      </c>
      <c r="J13" s="1"/>
      <c r="K13" s="1">
        <v>38</v>
      </c>
      <c r="L13" s="1">
        <f t="shared" si="3"/>
        <v>-30</v>
      </c>
      <c r="M13" s="1">
        <f t="shared" si="4"/>
        <v>8</v>
      </c>
      <c r="N13" s="1"/>
      <c r="O13" s="1">
        <v>0</v>
      </c>
      <c r="P13" s="1"/>
      <c r="Q13" s="1"/>
      <c r="R13" s="1">
        <f t="shared" si="5"/>
        <v>1.6</v>
      </c>
      <c r="S13" s="5"/>
      <c r="T13" s="5">
        <f t="shared" si="7"/>
        <v>0</v>
      </c>
      <c r="U13" s="5">
        <f t="shared" si="17"/>
        <v>0</v>
      </c>
      <c r="V13" s="5">
        <f t="shared" si="8"/>
        <v>0</v>
      </c>
      <c r="W13" s="5"/>
      <c r="X13" s="5"/>
      <c r="Y13" s="5"/>
      <c r="Z13" s="1"/>
      <c r="AA13" s="1">
        <f t="shared" si="10"/>
        <v>20.625</v>
      </c>
      <c r="AB13" s="1">
        <f t="shared" si="11"/>
        <v>20.625</v>
      </c>
      <c r="AC13" s="1">
        <v>-0.4</v>
      </c>
      <c r="AD13" s="1">
        <v>7</v>
      </c>
      <c r="AE13" s="1">
        <v>6.2</v>
      </c>
      <c r="AF13" s="1">
        <v>7.4</v>
      </c>
      <c r="AG13" s="1">
        <v>6.4</v>
      </c>
      <c r="AH13" s="1"/>
      <c r="AI13" s="1">
        <f t="shared" si="12"/>
        <v>0</v>
      </c>
      <c r="AJ13" s="1">
        <f t="shared" si="13"/>
        <v>0</v>
      </c>
      <c r="AK13" s="1">
        <f t="shared" si="14"/>
        <v>0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54</v>
      </c>
      <c r="B14" s="1" t="s">
        <v>42</v>
      </c>
      <c r="C14" s="1">
        <v>221</v>
      </c>
      <c r="D14" s="1">
        <v>135</v>
      </c>
      <c r="E14" s="1">
        <v>248</v>
      </c>
      <c r="F14" s="1">
        <v>108</v>
      </c>
      <c r="G14" s="8">
        <v>0.17</v>
      </c>
      <c r="I14" s="1" t="s">
        <v>55</v>
      </c>
      <c r="J14" s="1"/>
      <c r="K14" s="1">
        <v>249</v>
      </c>
      <c r="L14" s="1">
        <f t="shared" si="3"/>
        <v>-1</v>
      </c>
      <c r="M14" s="1">
        <f t="shared" si="4"/>
        <v>248</v>
      </c>
      <c r="N14" s="1"/>
      <c r="O14" s="1">
        <v>120</v>
      </c>
      <c r="P14" s="1">
        <v>115.738686</v>
      </c>
      <c r="Q14" s="1">
        <v>83.467314000000044</v>
      </c>
      <c r="R14" s="1">
        <f t="shared" si="5"/>
        <v>49.6</v>
      </c>
      <c r="S14" s="5">
        <f t="shared" si="6"/>
        <v>167.99400000000003</v>
      </c>
      <c r="T14" s="5">
        <f t="shared" si="7"/>
        <v>167.99400000000003</v>
      </c>
      <c r="U14" s="5">
        <f t="shared" si="17"/>
        <v>167.99400000000003</v>
      </c>
      <c r="V14" s="5">
        <f t="shared" si="8"/>
        <v>167.99400000000003</v>
      </c>
      <c r="W14" s="5"/>
      <c r="X14" s="5"/>
      <c r="Y14" s="5"/>
      <c r="Z14" s="1"/>
      <c r="AA14" s="1">
        <f t="shared" si="10"/>
        <v>12</v>
      </c>
      <c r="AB14" s="1">
        <f t="shared" si="11"/>
        <v>8.6130241935483891</v>
      </c>
      <c r="AC14" s="1">
        <v>43.2</v>
      </c>
      <c r="AD14" s="1">
        <v>44</v>
      </c>
      <c r="AE14" s="1">
        <v>46.6</v>
      </c>
      <c r="AF14" s="1">
        <v>48.4</v>
      </c>
      <c r="AG14" s="1">
        <v>39.6</v>
      </c>
      <c r="AH14" s="1" t="s">
        <v>56</v>
      </c>
      <c r="AI14" s="1">
        <f t="shared" si="12"/>
        <v>29</v>
      </c>
      <c r="AJ14" s="1">
        <f t="shared" si="13"/>
        <v>0</v>
      </c>
      <c r="AK14" s="1">
        <f t="shared" si="14"/>
        <v>0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57</v>
      </c>
      <c r="B15" s="1" t="s">
        <v>34</v>
      </c>
      <c r="C15" s="1">
        <v>4238.0659999999998</v>
      </c>
      <c r="D15" s="1">
        <v>4489.7650000000003</v>
      </c>
      <c r="E15" s="1">
        <v>4201.6980000000003</v>
      </c>
      <c r="F15" s="1">
        <v>4462.509</v>
      </c>
      <c r="G15" s="8">
        <v>1</v>
      </c>
      <c r="I15" s="1" t="s">
        <v>58</v>
      </c>
      <c r="J15" s="1"/>
      <c r="K15" s="1">
        <v>4068.9490000000001</v>
      </c>
      <c r="L15" s="1">
        <f t="shared" si="3"/>
        <v>132.74900000000025</v>
      </c>
      <c r="M15" s="1">
        <f t="shared" si="4"/>
        <v>3967.0990000000002</v>
      </c>
      <c r="N15" s="1">
        <v>234.59899999999999</v>
      </c>
      <c r="O15" s="1">
        <v>500</v>
      </c>
      <c r="P15" s="1">
        <v>417.40348179599943</v>
      </c>
      <c r="Q15" s="1">
        <v>301.01903420399958</v>
      </c>
      <c r="R15" s="1">
        <f t="shared" si="5"/>
        <v>793.41980000000001</v>
      </c>
      <c r="S15" s="5">
        <f t="shared" si="6"/>
        <v>3840.1060839999991</v>
      </c>
      <c r="T15" s="5">
        <f t="shared" si="7"/>
        <v>3840.1060839999991</v>
      </c>
      <c r="U15" s="5">
        <f t="shared" ref="U15:U16" si="18">T15*$U$1</f>
        <v>4239.4771167359995</v>
      </c>
      <c r="V15" s="5">
        <f t="shared" si="8"/>
        <v>1693.1873235445919</v>
      </c>
      <c r="W15" s="5">
        <f t="shared" ref="W15:W16" si="19">(U15-X15)/$W$1</f>
        <v>1546.2897931914079</v>
      </c>
      <c r="X15" s="5">
        <v>1000</v>
      </c>
      <c r="Y15" s="5"/>
      <c r="Z15" s="1"/>
      <c r="AA15" s="1">
        <f t="shared" si="10"/>
        <v>12.503354003436765</v>
      </c>
      <c r="AB15" s="1">
        <f t="shared" si="11"/>
        <v>7.1600576592618417</v>
      </c>
      <c r="AC15" s="1">
        <v>813.2912</v>
      </c>
      <c r="AD15" s="1">
        <v>705.12139999999999</v>
      </c>
      <c r="AE15" s="1">
        <v>789.39300000000003</v>
      </c>
      <c r="AF15" s="1">
        <v>802.29679999999996</v>
      </c>
      <c r="AG15" s="1">
        <v>820.04920000000004</v>
      </c>
      <c r="AH15" s="1" t="s">
        <v>36</v>
      </c>
      <c r="AI15" s="1">
        <f t="shared" si="12"/>
        <v>1693</v>
      </c>
      <c r="AJ15" s="1">
        <f t="shared" si="13"/>
        <v>1546</v>
      </c>
      <c r="AK15" s="1">
        <f t="shared" si="14"/>
        <v>1000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59</v>
      </c>
      <c r="B16" s="1" t="s">
        <v>34</v>
      </c>
      <c r="C16" s="1">
        <v>3042.1779999999999</v>
      </c>
      <c r="D16" s="1">
        <v>5690.741</v>
      </c>
      <c r="E16" s="1">
        <v>4053.5859999999998</v>
      </c>
      <c r="F16" s="1">
        <v>4645.7809999999999</v>
      </c>
      <c r="G16" s="8">
        <v>1</v>
      </c>
      <c r="I16" s="1" t="s">
        <v>60</v>
      </c>
      <c r="J16" s="1"/>
      <c r="K16" s="1">
        <v>4068.3690000000001</v>
      </c>
      <c r="L16" s="1">
        <f t="shared" si="3"/>
        <v>-14.783000000000357</v>
      </c>
      <c r="M16" s="1">
        <f t="shared" si="4"/>
        <v>3813.9169999999999</v>
      </c>
      <c r="N16" s="1">
        <v>239.66900000000001</v>
      </c>
      <c r="O16" s="1">
        <v>1700</v>
      </c>
      <c r="P16" s="1"/>
      <c r="Q16" s="1"/>
      <c r="R16" s="1">
        <f t="shared" si="5"/>
        <v>762.78340000000003</v>
      </c>
      <c r="S16" s="5">
        <f t="shared" si="6"/>
        <v>2807.6197999999995</v>
      </c>
      <c r="T16" s="5">
        <f t="shared" si="7"/>
        <v>2807.6197999999995</v>
      </c>
      <c r="U16" s="5">
        <f t="shared" si="18"/>
        <v>3099.6122591999997</v>
      </c>
      <c r="V16" s="5">
        <f t="shared" si="8"/>
        <v>1620.0837345221958</v>
      </c>
      <c r="W16" s="5">
        <f t="shared" si="19"/>
        <v>1479.5285246778039</v>
      </c>
      <c r="X16" s="5"/>
      <c r="Y16" s="5"/>
      <c r="Z16" s="1"/>
      <c r="AA16" s="1">
        <f t="shared" si="10"/>
        <v>12.38279865450664</v>
      </c>
      <c r="AB16" s="1">
        <f t="shared" si="11"/>
        <v>8.3192437066669243</v>
      </c>
      <c r="AC16" s="1">
        <v>722.84620000000007</v>
      </c>
      <c r="AD16" s="1">
        <v>706.84280000000001</v>
      </c>
      <c r="AE16" s="1">
        <v>748.38280000000009</v>
      </c>
      <c r="AF16" s="1">
        <v>655.88239999999996</v>
      </c>
      <c r="AG16" s="1">
        <v>775.13319999999999</v>
      </c>
      <c r="AH16" s="1" t="s">
        <v>36</v>
      </c>
      <c r="AI16" s="1">
        <f t="shared" si="12"/>
        <v>1620</v>
      </c>
      <c r="AJ16" s="1">
        <f t="shared" si="13"/>
        <v>1480</v>
      </c>
      <c r="AK16" s="1">
        <f t="shared" si="14"/>
        <v>0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61</v>
      </c>
      <c r="B17" s="1" t="s">
        <v>34</v>
      </c>
      <c r="C17" s="1">
        <v>134.81200000000001</v>
      </c>
      <c r="D17" s="1">
        <v>372.61399999999998</v>
      </c>
      <c r="E17" s="1">
        <v>282.40699999999998</v>
      </c>
      <c r="F17" s="1">
        <v>217.09899999999999</v>
      </c>
      <c r="G17" s="8">
        <v>1</v>
      </c>
      <c r="I17" s="1" t="s">
        <v>62</v>
      </c>
      <c r="J17" s="1"/>
      <c r="K17" s="1">
        <v>275.14999999999998</v>
      </c>
      <c r="L17" s="1">
        <f t="shared" si="3"/>
        <v>7.257000000000005</v>
      </c>
      <c r="M17" s="1">
        <f t="shared" si="4"/>
        <v>282.40699999999998</v>
      </c>
      <c r="N17" s="1"/>
      <c r="O17" s="1">
        <v>100</v>
      </c>
      <c r="P17" s="1">
        <v>163.3917342960001</v>
      </c>
      <c r="Q17" s="1">
        <v>117.8332817040001</v>
      </c>
      <c r="R17" s="1">
        <f t="shared" si="5"/>
        <v>56.481399999999994</v>
      </c>
      <c r="S17" s="5">
        <f t="shared" si="6"/>
        <v>79.452783999999667</v>
      </c>
      <c r="T17" s="5">
        <f t="shared" si="7"/>
        <v>79.452783999999667</v>
      </c>
      <c r="U17" s="5">
        <f t="shared" ref="U17:U20" si="20">T17</f>
        <v>79.452783999999667</v>
      </c>
      <c r="V17" s="5">
        <f t="shared" si="8"/>
        <v>79.452783999999667</v>
      </c>
      <c r="W17" s="5"/>
      <c r="X17" s="5"/>
      <c r="Y17" s="5"/>
      <c r="Z17" s="1"/>
      <c r="AA17" s="1">
        <f t="shared" si="10"/>
        <v>11.999999999999998</v>
      </c>
      <c r="AB17" s="1">
        <f t="shared" si="11"/>
        <v>10.593292942455395</v>
      </c>
      <c r="AC17" s="1">
        <v>55.717200000000012</v>
      </c>
      <c r="AD17" s="1">
        <v>68.611000000000004</v>
      </c>
      <c r="AE17" s="1">
        <v>50.957799999999999</v>
      </c>
      <c r="AF17" s="1">
        <v>50.501199999999997</v>
      </c>
      <c r="AG17" s="1">
        <v>55.050800000000002</v>
      </c>
      <c r="AH17" s="1"/>
      <c r="AI17" s="1">
        <f t="shared" si="12"/>
        <v>79</v>
      </c>
      <c r="AJ17" s="1">
        <f t="shared" si="13"/>
        <v>0</v>
      </c>
      <c r="AK17" s="1">
        <f t="shared" si="14"/>
        <v>0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1" t="s">
        <v>64</v>
      </c>
      <c r="B18" s="11" t="s">
        <v>34</v>
      </c>
      <c r="C18" s="11">
        <v>-1.7649999999999999</v>
      </c>
      <c r="D18" s="11"/>
      <c r="E18" s="11"/>
      <c r="F18" s="11">
        <v>-1.7649999999999999</v>
      </c>
      <c r="G18" s="19">
        <v>0</v>
      </c>
      <c r="H18" s="20"/>
      <c r="I18" s="11"/>
      <c r="J18" s="11"/>
      <c r="K18" s="11"/>
      <c r="L18" s="11">
        <f t="shared" si="3"/>
        <v>0</v>
      </c>
      <c r="M18" s="11">
        <f t="shared" si="4"/>
        <v>0</v>
      </c>
      <c r="N18" s="11"/>
      <c r="O18" s="11"/>
      <c r="P18" s="11"/>
      <c r="Q18" s="11"/>
      <c r="R18" s="11">
        <f t="shared" si="5"/>
        <v>0</v>
      </c>
      <c r="S18" s="21">
        <v>0</v>
      </c>
      <c r="T18" s="5">
        <f t="shared" si="7"/>
        <v>0</v>
      </c>
      <c r="U18" s="5">
        <f t="shared" si="20"/>
        <v>0</v>
      </c>
      <c r="V18" s="5">
        <f t="shared" si="8"/>
        <v>0</v>
      </c>
      <c r="W18" s="5"/>
      <c r="X18" s="5"/>
      <c r="Y18" s="21"/>
      <c r="Z18" s="11"/>
      <c r="AA18" s="1" t="e">
        <f t="shared" si="10"/>
        <v>#DIV/0!</v>
      </c>
      <c r="AB18" s="11" t="e">
        <f t="shared" si="11"/>
        <v>#DIV/0!</v>
      </c>
      <c r="AC18" s="11"/>
      <c r="AD18" s="11"/>
      <c r="AE18" s="11"/>
      <c r="AF18" s="11"/>
      <c r="AG18" s="11"/>
      <c r="AH18" s="11"/>
      <c r="AI18" s="1">
        <f t="shared" si="12"/>
        <v>0</v>
      </c>
      <c r="AJ18" s="1">
        <f t="shared" si="13"/>
        <v>0</v>
      </c>
      <c r="AK18" s="1">
        <f t="shared" si="14"/>
        <v>0</v>
      </c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3" t="s">
        <v>65</v>
      </c>
      <c r="B19" s="13" t="s">
        <v>34</v>
      </c>
      <c r="C19" s="13">
        <v>1288.5160000000001</v>
      </c>
      <c r="D19" s="13">
        <v>9.7959999999999994</v>
      </c>
      <c r="E19" s="13">
        <v>926.76300000000003</v>
      </c>
      <c r="F19" s="13">
        <v>363.52300000000002</v>
      </c>
      <c r="G19" s="14">
        <v>0</v>
      </c>
      <c r="H19" s="15"/>
      <c r="I19" s="12" t="s">
        <v>264</v>
      </c>
      <c r="J19" s="13"/>
      <c r="K19" s="13">
        <v>962.9</v>
      </c>
      <c r="L19" s="13">
        <f t="shared" si="3"/>
        <v>-36.136999999999944</v>
      </c>
      <c r="M19" s="13">
        <f t="shared" si="4"/>
        <v>926.76300000000003</v>
      </c>
      <c r="N19" s="13"/>
      <c r="O19" s="13"/>
      <c r="P19" s="13"/>
      <c r="Q19" s="13"/>
      <c r="R19" s="17">
        <f t="shared" si="5"/>
        <v>185.3526</v>
      </c>
      <c r="S19" s="18">
        <v>0</v>
      </c>
      <c r="T19" s="5">
        <f t="shared" si="7"/>
        <v>0</v>
      </c>
      <c r="U19" s="5">
        <f t="shared" si="20"/>
        <v>0</v>
      </c>
      <c r="V19" s="5">
        <f t="shared" si="8"/>
        <v>0</v>
      </c>
      <c r="W19" s="5"/>
      <c r="X19" s="5"/>
      <c r="Y19" s="16"/>
      <c r="Z19" s="13"/>
      <c r="AA19" s="1">
        <f t="shared" si="10"/>
        <v>1.9612511505098933</v>
      </c>
      <c r="AB19" s="13">
        <f t="shared" si="11"/>
        <v>1.9612511505098933</v>
      </c>
      <c r="AC19" s="13">
        <v>199.28919999999999</v>
      </c>
      <c r="AD19" s="13">
        <v>315.32100000000003</v>
      </c>
      <c r="AE19" s="13">
        <v>286.202</v>
      </c>
      <c r="AF19" s="13">
        <v>141.9708</v>
      </c>
      <c r="AG19" s="13">
        <v>164.84039999999999</v>
      </c>
      <c r="AH19" s="12" t="s">
        <v>265</v>
      </c>
      <c r="AI19" s="1">
        <f t="shared" si="12"/>
        <v>0</v>
      </c>
      <c r="AJ19" s="1">
        <f t="shared" si="13"/>
        <v>0</v>
      </c>
      <c r="AK19" s="1">
        <f t="shared" si="14"/>
        <v>0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66</v>
      </c>
      <c r="B20" s="1" t="s">
        <v>34</v>
      </c>
      <c r="C20" s="1">
        <v>14.102</v>
      </c>
      <c r="D20" s="1">
        <v>5.63</v>
      </c>
      <c r="E20" s="1">
        <v>5.585</v>
      </c>
      <c r="F20" s="1">
        <v>8.5169999999999995</v>
      </c>
      <c r="G20" s="8">
        <v>1</v>
      </c>
      <c r="I20" s="1" t="s">
        <v>67</v>
      </c>
      <c r="J20" s="1"/>
      <c r="K20" s="1">
        <v>10.48</v>
      </c>
      <c r="L20" s="1">
        <f t="shared" si="3"/>
        <v>-4.8950000000000005</v>
      </c>
      <c r="M20" s="1">
        <f t="shared" si="4"/>
        <v>5.585</v>
      </c>
      <c r="N20" s="1"/>
      <c r="O20" s="1">
        <v>0</v>
      </c>
      <c r="P20" s="1"/>
      <c r="Q20" s="1"/>
      <c r="R20" s="1">
        <f t="shared" si="5"/>
        <v>1.117</v>
      </c>
      <c r="S20" s="5">
        <f t="shared" si="6"/>
        <v>4.8870000000000005</v>
      </c>
      <c r="T20" s="5">
        <f t="shared" si="7"/>
        <v>4.8870000000000005</v>
      </c>
      <c r="U20" s="5">
        <f t="shared" si="20"/>
        <v>4.8870000000000005</v>
      </c>
      <c r="V20" s="5">
        <f t="shared" si="8"/>
        <v>4.8870000000000005</v>
      </c>
      <c r="W20" s="5"/>
      <c r="X20" s="5"/>
      <c r="Y20" s="5"/>
      <c r="Z20" s="1"/>
      <c r="AA20" s="1">
        <f t="shared" si="10"/>
        <v>12</v>
      </c>
      <c r="AB20" s="1">
        <f t="shared" si="11"/>
        <v>7.6248880931065353</v>
      </c>
      <c r="AC20" s="1">
        <v>0.61639999999999995</v>
      </c>
      <c r="AD20" s="1">
        <v>1.0631999999999999</v>
      </c>
      <c r="AE20" s="1">
        <v>0.13980000000000001</v>
      </c>
      <c r="AF20" s="1">
        <v>0.50239999999999996</v>
      </c>
      <c r="AG20" s="1">
        <v>1.3557999999999999</v>
      </c>
      <c r="AH20" s="1"/>
      <c r="AI20" s="1">
        <f t="shared" si="12"/>
        <v>5</v>
      </c>
      <c r="AJ20" s="1">
        <f t="shared" si="13"/>
        <v>0</v>
      </c>
      <c r="AK20" s="1">
        <f t="shared" si="14"/>
        <v>0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68</v>
      </c>
      <c r="B21" s="1" t="s">
        <v>34</v>
      </c>
      <c r="C21" s="1">
        <v>2905.3739999999998</v>
      </c>
      <c r="D21" s="1">
        <v>6700.7420000000002</v>
      </c>
      <c r="E21" s="1">
        <v>4699.3670000000002</v>
      </c>
      <c r="F21" s="1">
        <v>4831.3320000000003</v>
      </c>
      <c r="G21" s="8">
        <v>1</v>
      </c>
      <c r="I21" s="1" t="s">
        <v>69</v>
      </c>
      <c r="J21" s="1"/>
      <c r="K21" s="1">
        <v>4585.1769999999997</v>
      </c>
      <c r="L21" s="1">
        <f t="shared" si="3"/>
        <v>114.19000000000051</v>
      </c>
      <c r="M21" s="1">
        <f t="shared" si="4"/>
        <v>4699.3670000000002</v>
      </c>
      <c r="N21" s="1"/>
      <c r="O21" s="1">
        <v>700</v>
      </c>
      <c r="P21" s="1">
        <v>719.97143047200007</v>
      </c>
      <c r="Q21" s="1">
        <v>519.22208152800022</v>
      </c>
      <c r="R21" s="1">
        <f t="shared" si="5"/>
        <v>939.87340000000006</v>
      </c>
      <c r="S21" s="5">
        <f t="shared" si="6"/>
        <v>4507.955288000001</v>
      </c>
      <c r="T21" s="5">
        <f t="shared" si="7"/>
        <v>4507.955288000001</v>
      </c>
      <c r="U21" s="5">
        <f>T21*$U$1</f>
        <v>4976.7826379520011</v>
      </c>
      <c r="V21" s="5">
        <f t="shared" si="8"/>
        <v>2078.5570351109509</v>
      </c>
      <c r="W21" s="5">
        <f>(U21-X21)/$W$1</f>
        <v>1898.2256028410504</v>
      </c>
      <c r="X21" s="5">
        <v>1000</v>
      </c>
      <c r="Y21" s="5"/>
      <c r="Z21" s="1"/>
      <c r="AA21" s="1">
        <f t="shared" si="10"/>
        <v>12.498819681408156</v>
      </c>
      <c r="AB21" s="1">
        <f t="shared" si="11"/>
        <v>7.2036569095369654</v>
      </c>
      <c r="AC21" s="1">
        <v>926.64840000000004</v>
      </c>
      <c r="AD21" s="1">
        <v>875.15440000000001</v>
      </c>
      <c r="AE21" s="1">
        <v>870.96839999999997</v>
      </c>
      <c r="AF21" s="1">
        <v>923.96080000000006</v>
      </c>
      <c r="AG21" s="1">
        <v>848.45480000000009</v>
      </c>
      <c r="AH21" s="1" t="s">
        <v>70</v>
      </c>
      <c r="AI21" s="1">
        <f t="shared" si="12"/>
        <v>2079</v>
      </c>
      <c r="AJ21" s="1">
        <f t="shared" si="13"/>
        <v>1898</v>
      </c>
      <c r="AK21" s="1">
        <f t="shared" si="14"/>
        <v>1000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1" t="s">
        <v>71</v>
      </c>
      <c r="B22" s="11" t="s">
        <v>34</v>
      </c>
      <c r="C22" s="11">
        <v>-9.9649999999999999</v>
      </c>
      <c r="D22" s="11"/>
      <c r="E22" s="11"/>
      <c r="F22" s="11">
        <v>-9.9649999999999999</v>
      </c>
      <c r="G22" s="19">
        <v>0</v>
      </c>
      <c r="H22" s="20"/>
      <c r="I22" s="22" t="s">
        <v>266</v>
      </c>
      <c r="J22" s="11"/>
      <c r="K22" s="11"/>
      <c r="L22" s="11">
        <f t="shared" si="3"/>
        <v>0</v>
      </c>
      <c r="M22" s="11">
        <f t="shared" si="4"/>
        <v>0</v>
      </c>
      <c r="N22" s="11"/>
      <c r="O22" s="11"/>
      <c r="P22" s="11"/>
      <c r="Q22" s="11"/>
      <c r="R22" s="11">
        <f t="shared" si="5"/>
        <v>0</v>
      </c>
      <c r="S22" s="21">
        <v>0</v>
      </c>
      <c r="T22" s="5">
        <f t="shared" si="7"/>
        <v>0</v>
      </c>
      <c r="U22" s="5">
        <f t="shared" ref="U22:U23" si="21">T22</f>
        <v>0</v>
      </c>
      <c r="V22" s="5">
        <f t="shared" si="8"/>
        <v>0</v>
      </c>
      <c r="W22" s="5"/>
      <c r="X22" s="5"/>
      <c r="Y22" s="21"/>
      <c r="Z22" s="11"/>
      <c r="AA22" s="1" t="e">
        <f t="shared" si="10"/>
        <v>#DIV/0!</v>
      </c>
      <c r="AB22" s="11" t="e">
        <f t="shared" si="11"/>
        <v>#DIV/0!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/>
      <c r="AI22" s="1">
        <f t="shared" si="12"/>
        <v>0</v>
      </c>
      <c r="AJ22" s="1">
        <f t="shared" si="13"/>
        <v>0</v>
      </c>
      <c r="AK22" s="1">
        <f t="shared" si="14"/>
        <v>0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" t="s">
        <v>72</v>
      </c>
      <c r="B23" s="1" t="s">
        <v>34</v>
      </c>
      <c r="C23" s="1">
        <v>436.11</v>
      </c>
      <c r="D23" s="1">
        <v>238.27500000000001</v>
      </c>
      <c r="E23" s="1">
        <v>437.911</v>
      </c>
      <c r="F23" s="1">
        <v>229.95599999999999</v>
      </c>
      <c r="G23" s="8">
        <v>1</v>
      </c>
      <c r="I23" s="1" t="s">
        <v>73</v>
      </c>
      <c r="J23" s="1"/>
      <c r="K23" s="1">
        <v>414.15</v>
      </c>
      <c r="L23" s="1">
        <f t="shared" si="3"/>
        <v>23.761000000000024</v>
      </c>
      <c r="M23" s="1">
        <f t="shared" si="4"/>
        <v>437.911</v>
      </c>
      <c r="N23" s="1"/>
      <c r="O23" s="1">
        <v>400</v>
      </c>
      <c r="P23" s="1">
        <v>165.6537055739999</v>
      </c>
      <c r="Q23" s="1">
        <v>119.46454842599999</v>
      </c>
      <c r="R23" s="1">
        <f t="shared" si="5"/>
        <v>87.5822</v>
      </c>
      <c r="S23" s="5">
        <f t="shared" si="6"/>
        <v>135.91214600000015</v>
      </c>
      <c r="T23" s="5">
        <f t="shared" si="7"/>
        <v>135.91214600000015</v>
      </c>
      <c r="U23" s="5">
        <f t="shared" si="21"/>
        <v>135.91214600000015</v>
      </c>
      <c r="V23" s="5">
        <f t="shared" si="8"/>
        <v>135.91214600000015</v>
      </c>
      <c r="W23" s="5"/>
      <c r="X23" s="5"/>
      <c r="Y23" s="5"/>
      <c r="Z23" s="1"/>
      <c r="AA23" s="1">
        <f t="shared" si="10"/>
        <v>12</v>
      </c>
      <c r="AB23" s="1">
        <f t="shared" si="11"/>
        <v>10.448176159082552</v>
      </c>
      <c r="AC23" s="1">
        <v>89.291799999999995</v>
      </c>
      <c r="AD23" s="1">
        <v>91.848800000000011</v>
      </c>
      <c r="AE23" s="1">
        <v>109.9436</v>
      </c>
      <c r="AF23" s="1">
        <v>85.954800000000006</v>
      </c>
      <c r="AG23" s="1">
        <v>76.566000000000003</v>
      </c>
      <c r="AH23" s="1"/>
      <c r="AI23" s="1">
        <f t="shared" si="12"/>
        <v>136</v>
      </c>
      <c r="AJ23" s="1">
        <f t="shared" si="13"/>
        <v>0</v>
      </c>
      <c r="AK23" s="1">
        <f t="shared" si="14"/>
        <v>0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74</v>
      </c>
      <c r="B24" s="1" t="s">
        <v>34</v>
      </c>
      <c r="C24" s="1">
        <v>862.96299999999997</v>
      </c>
      <c r="D24" s="1">
        <v>2343.8330000000001</v>
      </c>
      <c r="E24" s="1">
        <v>1359.7929999999999</v>
      </c>
      <c r="F24" s="1">
        <v>1828.5730000000001</v>
      </c>
      <c r="G24" s="8">
        <v>1</v>
      </c>
      <c r="I24" s="1" t="s">
        <v>75</v>
      </c>
      <c r="J24" s="1"/>
      <c r="K24" s="1">
        <v>1306.5999999999999</v>
      </c>
      <c r="L24" s="1">
        <f t="shared" si="3"/>
        <v>53.192999999999984</v>
      </c>
      <c r="M24" s="1">
        <f t="shared" si="4"/>
        <v>1359.7929999999999</v>
      </c>
      <c r="N24" s="1"/>
      <c r="O24" s="1">
        <v>180</v>
      </c>
      <c r="P24" s="1">
        <v>230.17028932799951</v>
      </c>
      <c r="Q24" s="1">
        <v>165.99199867199971</v>
      </c>
      <c r="R24" s="1">
        <f t="shared" si="5"/>
        <v>271.95859999999999</v>
      </c>
      <c r="S24" s="5">
        <f t="shared" si="6"/>
        <v>858.76791200000093</v>
      </c>
      <c r="T24" s="5">
        <f t="shared" si="7"/>
        <v>858.76791200000093</v>
      </c>
      <c r="U24" s="5">
        <f>T24*$U$1</f>
        <v>948.07977484800108</v>
      </c>
      <c r="V24" s="5">
        <f t="shared" si="8"/>
        <v>495.53572957449228</v>
      </c>
      <c r="W24" s="5">
        <f>(U24-X24)/$W$1</f>
        <v>452.5440452735088</v>
      </c>
      <c r="X24" s="5"/>
      <c r="Y24" s="5"/>
      <c r="Z24" s="1"/>
      <c r="AA24" s="1">
        <f t="shared" si="10"/>
        <v>12.328402421721545</v>
      </c>
      <c r="AB24" s="1">
        <f t="shared" si="11"/>
        <v>8.8422844065236372</v>
      </c>
      <c r="AC24" s="1">
        <v>269.67360000000002</v>
      </c>
      <c r="AD24" s="1">
        <v>231.08519999999999</v>
      </c>
      <c r="AE24" s="1">
        <v>233.071</v>
      </c>
      <c r="AF24" s="1">
        <v>257.7124</v>
      </c>
      <c r="AG24" s="1">
        <v>251.00020000000001</v>
      </c>
      <c r="AH24" s="1" t="s">
        <v>36</v>
      </c>
      <c r="AI24" s="1">
        <f t="shared" si="12"/>
        <v>496</v>
      </c>
      <c r="AJ24" s="1">
        <f t="shared" si="13"/>
        <v>453</v>
      </c>
      <c r="AK24" s="1">
        <f t="shared" si="14"/>
        <v>0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" t="s">
        <v>76</v>
      </c>
      <c r="B25" s="1" t="s">
        <v>34</v>
      </c>
      <c r="C25" s="1">
        <v>1241.481</v>
      </c>
      <c r="D25" s="1">
        <v>1588.7429999999999</v>
      </c>
      <c r="E25" s="1">
        <v>2397.982</v>
      </c>
      <c r="F25" s="1">
        <v>358.95600000000002</v>
      </c>
      <c r="G25" s="8">
        <v>1</v>
      </c>
      <c r="I25" s="1" t="s">
        <v>77</v>
      </c>
      <c r="J25" s="1"/>
      <c r="K25" s="1">
        <v>2371.64</v>
      </c>
      <c r="L25" s="1">
        <f t="shared" si="3"/>
        <v>26.342000000000098</v>
      </c>
      <c r="M25" s="1">
        <f t="shared" si="4"/>
        <v>2345.797</v>
      </c>
      <c r="N25" s="1">
        <v>52.185000000000002</v>
      </c>
      <c r="O25" s="1">
        <v>1350</v>
      </c>
      <c r="P25" s="1">
        <v>2224.1321946899989</v>
      </c>
      <c r="Q25" s="1">
        <v>1603.97829531</v>
      </c>
      <c r="R25" s="1">
        <f t="shared" si="5"/>
        <v>469.15940000000001</v>
      </c>
      <c r="S25" s="5">
        <f t="shared" si="6"/>
        <v>92.846310000000926</v>
      </c>
      <c r="T25" s="5">
        <f t="shared" si="7"/>
        <v>92.846310000000926</v>
      </c>
      <c r="U25" s="5">
        <f t="shared" ref="U25:U26" si="22">T25</f>
        <v>92.846310000000926</v>
      </c>
      <c r="V25" s="5">
        <f t="shared" si="8"/>
        <v>92.846310000000926</v>
      </c>
      <c r="W25" s="5"/>
      <c r="X25" s="5"/>
      <c r="Y25" s="5"/>
      <c r="Z25" s="1"/>
      <c r="AA25" s="1">
        <f t="shared" si="10"/>
        <v>12</v>
      </c>
      <c r="AB25" s="1">
        <f t="shared" si="11"/>
        <v>11.802100714597213</v>
      </c>
      <c r="AC25" s="1">
        <v>501.86099999999999</v>
      </c>
      <c r="AD25" s="1">
        <v>425.32319999999999</v>
      </c>
      <c r="AE25" s="1">
        <v>412.91019999999997</v>
      </c>
      <c r="AF25" s="1">
        <v>446.06420000000003</v>
      </c>
      <c r="AG25" s="1">
        <v>403.29660000000001</v>
      </c>
      <c r="AH25" s="1" t="s">
        <v>78</v>
      </c>
      <c r="AI25" s="1">
        <f t="shared" si="12"/>
        <v>93</v>
      </c>
      <c r="AJ25" s="1">
        <f t="shared" si="13"/>
        <v>0</v>
      </c>
      <c r="AK25" s="1">
        <f t="shared" si="14"/>
        <v>0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1" t="s">
        <v>79</v>
      </c>
      <c r="B26" s="1" t="s">
        <v>34</v>
      </c>
      <c r="C26" s="1">
        <v>15.236000000000001</v>
      </c>
      <c r="D26" s="1">
        <v>117.16200000000001</v>
      </c>
      <c r="E26" s="1">
        <v>15.239000000000001</v>
      </c>
      <c r="F26" s="1">
        <v>115.312</v>
      </c>
      <c r="G26" s="8">
        <v>1</v>
      </c>
      <c r="I26" s="1" t="s">
        <v>80</v>
      </c>
      <c r="J26" s="1"/>
      <c r="K26" s="1">
        <v>42.8</v>
      </c>
      <c r="L26" s="1">
        <f t="shared" si="3"/>
        <v>-27.560999999999996</v>
      </c>
      <c r="M26" s="1">
        <f t="shared" si="4"/>
        <v>15.239000000000001</v>
      </c>
      <c r="N26" s="1"/>
      <c r="O26" s="1">
        <v>0</v>
      </c>
      <c r="P26" s="1"/>
      <c r="Q26" s="1"/>
      <c r="R26" s="1">
        <f t="shared" si="5"/>
        <v>3.0478000000000001</v>
      </c>
      <c r="S26" s="5"/>
      <c r="T26" s="5">
        <f t="shared" si="7"/>
        <v>0</v>
      </c>
      <c r="U26" s="5">
        <f t="shared" si="22"/>
        <v>0</v>
      </c>
      <c r="V26" s="5">
        <f t="shared" si="8"/>
        <v>0</v>
      </c>
      <c r="W26" s="5"/>
      <c r="X26" s="5"/>
      <c r="Y26" s="5"/>
      <c r="Z26" s="1"/>
      <c r="AA26" s="1">
        <f t="shared" si="10"/>
        <v>37.834503576350151</v>
      </c>
      <c r="AB26" s="1">
        <f t="shared" si="11"/>
        <v>37.834503576350151</v>
      </c>
      <c r="AC26" s="1">
        <v>2.6137999999999999</v>
      </c>
      <c r="AD26" s="1">
        <v>0.58140000000000003</v>
      </c>
      <c r="AE26" s="1">
        <v>9.3971999999999998</v>
      </c>
      <c r="AF26" s="1">
        <v>6.6224000000000007</v>
      </c>
      <c r="AG26" s="1">
        <v>11.1754</v>
      </c>
      <c r="AH26" s="1"/>
      <c r="AI26" s="1">
        <f t="shared" si="12"/>
        <v>0</v>
      </c>
      <c r="AJ26" s="1">
        <f t="shared" si="13"/>
        <v>0</v>
      </c>
      <c r="AK26" s="1">
        <f t="shared" si="14"/>
        <v>0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81</v>
      </c>
      <c r="B27" s="1" t="s">
        <v>34</v>
      </c>
      <c r="C27" s="1">
        <v>4660.5600000000004</v>
      </c>
      <c r="D27" s="1">
        <v>2578.6509999999998</v>
      </c>
      <c r="E27" s="1">
        <v>2655.1590000000001</v>
      </c>
      <c r="F27" s="1">
        <v>4517.7860000000001</v>
      </c>
      <c r="G27" s="8">
        <v>1</v>
      </c>
      <c r="I27" s="1" t="s">
        <v>82</v>
      </c>
      <c r="J27" s="1"/>
      <c r="K27" s="1">
        <v>2831.0219999999999</v>
      </c>
      <c r="L27" s="1">
        <f t="shared" si="3"/>
        <v>-175.86299999999983</v>
      </c>
      <c r="M27" s="1">
        <f t="shared" si="4"/>
        <v>2637.5370000000003</v>
      </c>
      <c r="N27" s="1">
        <v>17.622</v>
      </c>
      <c r="O27" s="1">
        <v>0</v>
      </c>
      <c r="P27" s="1"/>
      <c r="Q27" s="1"/>
      <c r="R27" s="1">
        <f t="shared" si="5"/>
        <v>527.50740000000008</v>
      </c>
      <c r="S27" s="5">
        <f>11*R27-Q27-P27-O27-F27</f>
        <v>1284.7954000000009</v>
      </c>
      <c r="T27" s="5">
        <f t="shared" si="7"/>
        <v>1284.7954000000009</v>
      </c>
      <c r="U27" s="5">
        <f>T27*$U$1</f>
        <v>1418.4141216000012</v>
      </c>
      <c r="V27" s="5">
        <f t="shared" si="8"/>
        <v>741.36680818711284</v>
      </c>
      <c r="W27" s="5">
        <f>(U27-X27)/$W$1</f>
        <v>677.04731341288834</v>
      </c>
      <c r="X27" s="5"/>
      <c r="Y27" s="18"/>
      <c r="Z27" s="1"/>
      <c r="AA27" s="1">
        <f t="shared" si="10"/>
        <v>11.253302079932906</v>
      </c>
      <c r="AB27" s="1">
        <f t="shared" si="11"/>
        <v>8.5644030775681994</v>
      </c>
      <c r="AC27" s="1">
        <v>438.75599999999997</v>
      </c>
      <c r="AD27" s="1">
        <v>67.332399999999993</v>
      </c>
      <c r="AE27" s="1">
        <v>-3.8862000000000001</v>
      </c>
      <c r="AF27" s="1">
        <v>293.17079999999999</v>
      </c>
      <c r="AG27" s="1">
        <v>592.37</v>
      </c>
      <c r="AH27" s="1" t="s">
        <v>36</v>
      </c>
      <c r="AI27" s="1">
        <f t="shared" si="12"/>
        <v>741</v>
      </c>
      <c r="AJ27" s="1">
        <f t="shared" si="13"/>
        <v>677</v>
      </c>
      <c r="AK27" s="1">
        <f t="shared" si="14"/>
        <v>0</v>
      </c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" t="s">
        <v>83</v>
      </c>
      <c r="B28" s="1" t="s">
        <v>34</v>
      </c>
      <c r="C28" s="1">
        <v>59.137999999999998</v>
      </c>
      <c r="D28" s="1">
        <v>7.6319999999999997</v>
      </c>
      <c r="E28" s="1">
        <v>43.844000000000001</v>
      </c>
      <c r="F28" s="1">
        <v>15.294</v>
      </c>
      <c r="G28" s="8">
        <v>1</v>
      </c>
      <c r="I28" s="1" t="s">
        <v>84</v>
      </c>
      <c r="J28" s="1"/>
      <c r="K28" s="1">
        <v>52.7</v>
      </c>
      <c r="L28" s="1">
        <f t="shared" si="3"/>
        <v>-8.8560000000000016</v>
      </c>
      <c r="M28" s="1">
        <f t="shared" si="4"/>
        <v>43.844000000000001</v>
      </c>
      <c r="N28" s="1"/>
      <c r="O28" s="1">
        <v>0</v>
      </c>
      <c r="P28" s="1">
        <v>61.153761563999993</v>
      </c>
      <c r="Q28" s="1">
        <v>44.102282436000003</v>
      </c>
      <c r="R28" s="1">
        <f t="shared" si="5"/>
        <v>8.7688000000000006</v>
      </c>
      <c r="S28" s="5"/>
      <c r="T28" s="5">
        <f t="shared" si="7"/>
        <v>0</v>
      </c>
      <c r="U28" s="5">
        <f>T28</f>
        <v>0</v>
      </c>
      <c r="V28" s="5">
        <f t="shared" si="8"/>
        <v>0</v>
      </c>
      <c r="W28" s="5"/>
      <c r="X28" s="5"/>
      <c r="Y28" s="5"/>
      <c r="Z28" s="1"/>
      <c r="AA28" s="1">
        <f t="shared" si="10"/>
        <v>13.747610163306264</v>
      </c>
      <c r="AB28" s="1">
        <f t="shared" si="11"/>
        <v>13.747610163306264</v>
      </c>
      <c r="AC28" s="1">
        <v>8.7688000000000006</v>
      </c>
      <c r="AD28" s="1">
        <v>0.80719999999999992</v>
      </c>
      <c r="AE28" s="1">
        <v>9.4638000000000009</v>
      </c>
      <c r="AF28" s="1">
        <v>4.7930000000000001</v>
      </c>
      <c r="AG28" s="1">
        <v>6.9644000000000004</v>
      </c>
      <c r="AH28" s="1"/>
      <c r="AI28" s="1">
        <f t="shared" si="12"/>
        <v>0</v>
      </c>
      <c r="AJ28" s="1">
        <f t="shared" si="13"/>
        <v>0</v>
      </c>
      <c r="AK28" s="1">
        <f t="shared" si="14"/>
        <v>0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85</v>
      </c>
      <c r="B29" s="1" t="s">
        <v>34</v>
      </c>
      <c r="C29" s="1">
        <v>7925.3519999999999</v>
      </c>
      <c r="D29" s="1">
        <v>5535.8810000000003</v>
      </c>
      <c r="E29" s="1">
        <v>8821.7459999999992</v>
      </c>
      <c r="F29" s="1">
        <v>4548.9080000000004</v>
      </c>
      <c r="G29" s="8">
        <v>1</v>
      </c>
      <c r="I29" s="1" t="s">
        <v>86</v>
      </c>
      <c r="J29" s="1"/>
      <c r="K29" s="1">
        <v>8134.6509999999998</v>
      </c>
      <c r="L29" s="1">
        <f t="shared" si="3"/>
        <v>687.09499999999935</v>
      </c>
      <c r="M29" s="1">
        <f t="shared" si="4"/>
        <v>7677.8939999999993</v>
      </c>
      <c r="N29" s="1">
        <v>1143.8520000000001</v>
      </c>
      <c r="O29" s="1">
        <v>0</v>
      </c>
      <c r="P29" s="1">
        <v>1081.957060422</v>
      </c>
      <c r="Q29" s="1">
        <v>780.27540157799967</v>
      </c>
      <c r="R29" s="1">
        <f t="shared" si="5"/>
        <v>1535.5787999999998</v>
      </c>
      <c r="S29" s="5">
        <f>11*R29-Q29-P29-O29-F29</f>
        <v>10480.226337999997</v>
      </c>
      <c r="T29" s="5">
        <f t="shared" si="7"/>
        <v>10480.226337999997</v>
      </c>
      <c r="U29" s="5">
        <f>T29*$U$1</f>
        <v>11570.169877151997</v>
      </c>
      <c r="V29" s="5">
        <f t="shared" si="8"/>
        <v>2911.377573022166</v>
      </c>
      <c r="W29" s="5">
        <f t="shared" ref="W29:W30" si="23">(U29-X29)/$W$1</f>
        <v>2658.7923041298313</v>
      </c>
      <c r="X29" s="5">
        <v>6000</v>
      </c>
      <c r="Y29" s="5"/>
      <c r="Z29" s="1"/>
      <c r="AA29" s="1">
        <f t="shared" si="10"/>
        <v>11.709793296932727</v>
      </c>
      <c r="AB29" s="1">
        <f t="shared" si="11"/>
        <v>4.175064452569937</v>
      </c>
      <c r="AC29" s="1">
        <v>1474.7154</v>
      </c>
      <c r="AD29" s="1">
        <v>0</v>
      </c>
      <c r="AE29" s="1">
        <v>1578.2021999999999</v>
      </c>
      <c r="AF29" s="1">
        <v>1492.6122</v>
      </c>
      <c r="AG29" s="1">
        <v>1763.4842000000001</v>
      </c>
      <c r="AH29" s="1"/>
      <c r="AI29" s="1">
        <f t="shared" si="12"/>
        <v>2911</v>
      </c>
      <c r="AJ29" s="1">
        <f t="shared" si="13"/>
        <v>2659</v>
      </c>
      <c r="AK29" s="1">
        <f t="shared" si="14"/>
        <v>6000</v>
      </c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" t="s">
        <v>87</v>
      </c>
      <c r="B30" s="1" t="s">
        <v>42</v>
      </c>
      <c r="C30" s="1">
        <v>8643</v>
      </c>
      <c r="D30" s="1">
        <v>2991</v>
      </c>
      <c r="E30" s="1">
        <v>4566</v>
      </c>
      <c r="F30" s="1">
        <v>6951</v>
      </c>
      <c r="G30" s="8">
        <v>0.4</v>
      </c>
      <c r="I30" s="1" t="s">
        <v>88</v>
      </c>
      <c r="J30" s="1"/>
      <c r="K30" s="1">
        <v>4721</v>
      </c>
      <c r="L30" s="1">
        <f t="shared" si="3"/>
        <v>-155</v>
      </c>
      <c r="M30" s="1">
        <f t="shared" si="4"/>
        <v>4182</v>
      </c>
      <c r="N30" s="1">
        <v>384</v>
      </c>
      <c r="O30" s="1">
        <v>0</v>
      </c>
      <c r="P30" s="1">
        <v>1433.4885180000001</v>
      </c>
      <c r="Q30" s="1">
        <v>1033.7894819999999</v>
      </c>
      <c r="R30" s="1">
        <f t="shared" si="5"/>
        <v>836.4</v>
      </c>
      <c r="S30" s="5">
        <f t="shared" si="6"/>
        <v>618.52199999999903</v>
      </c>
      <c r="T30" s="5">
        <f t="shared" si="7"/>
        <v>618.52199999999903</v>
      </c>
      <c r="U30" s="5">
        <f t="shared" ref="U30:U31" si="24">T30</f>
        <v>618.52199999999903</v>
      </c>
      <c r="V30" s="5">
        <f t="shared" si="8"/>
        <v>323.28476849641959</v>
      </c>
      <c r="W30" s="5">
        <f t="shared" si="23"/>
        <v>295.23723150357944</v>
      </c>
      <c r="X30" s="5"/>
      <c r="Y30" s="5"/>
      <c r="Z30" s="1"/>
      <c r="AA30" s="1">
        <f t="shared" si="10"/>
        <v>12</v>
      </c>
      <c r="AB30" s="1">
        <f t="shared" si="11"/>
        <v>11.260494978479198</v>
      </c>
      <c r="AC30" s="1">
        <v>934.6</v>
      </c>
      <c r="AD30" s="1">
        <v>824.4</v>
      </c>
      <c r="AE30" s="1">
        <v>789</v>
      </c>
      <c r="AF30" s="1">
        <v>1397.2</v>
      </c>
      <c r="AG30" s="1">
        <v>1094.4000000000001</v>
      </c>
      <c r="AH30" s="1" t="s">
        <v>36</v>
      </c>
      <c r="AI30" s="1">
        <f t="shared" si="12"/>
        <v>129</v>
      </c>
      <c r="AJ30" s="1">
        <f t="shared" si="13"/>
        <v>118</v>
      </c>
      <c r="AK30" s="1">
        <f t="shared" si="14"/>
        <v>0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89</v>
      </c>
      <c r="B31" s="1" t="s">
        <v>42</v>
      </c>
      <c r="C31" s="1">
        <v>895</v>
      </c>
      <c r="D31" s="1">
        <v>12</v>
      </c>
      <c r="E31" s="1">
        <v>556</v>
      </c>
      <c r="F31" s="1">
        <v>340</v>
      </c>
      <c r="G31" s="8">
        <v>0.45</v>
      </c>
      <c r="I31" s="1" t="s">
        <v>90</v>
      </c>
      <c r="J31" s="1"/>
      <c r="K31" s="1">
        <v>580</v>
      </c>
      <c r="L31" s="1">
        <f t="shared" si="3"/>
        <v>-24</v>
      </c>
      <c r="M31" s="1">
        <f t="shared" si="4"/>
        <v>556</v>
      </c>
      <c r="N31" s="1"/>
      <c r="O31" s="1">
        <v>170</v>
      </c>
      <c r="P31" s="1">
        <v>581</v>
      </c>
      <c r="Q31" s="1">
        <v>419</v>
      </c>
      <c r="R31" s="1">
        <f t="shared" si="5"/>
        <v>111.2</v>
      </c>
      <c r="S31" s="5"/>
      <c r="T31" s="5">
        <f t="shared" si="7"/>
        <v>0</v>
      </c>
      <c r="U31" s="5">
        <f t="shared" si="24"/>
        <v>0</v>
      </c>
      <c r="V31" s="5">
        <f t="shared" si="8"/>
        <v>0</v>
      </c>
      <c r="W31" s="5"/>
      <c r="X31" s="5"/>
      <c r="Y31" s="5"/>
      <c r="Z31" s="1"/>
      <c r="AA31" s="1">
        <f t="shared" si="10"/>
        <v>13.579136690647482</v>
      </c>
      <c r="AB31" s="1">
        <f t="shared" si="11"/>
        <v>13.579136690647482</v>
      </c>
      <c r="AC31" s="1">
        <v>94.2</v>
      </c>
      <c r="AD31" s="1">
        <v>166</v>
      </c>
      <c r="AE31" s="1">
        <v>120.8</v>
      </c>
      <c r="AF31" s="1">
        <v>153.6</v>
      </c>
      <c r="AG31" s="1">
        <v>89.2</v>
      </c>
      <c r="AH31" s="1" t="s">
        <v>46</v>
      </c>
      <c r="AI31" s="1">
        <f t="shared" si="12"/>
        <v>0</v>
      </c>
      <c r="AJ31" s="1">
        <f t="shared" si="13"/>
        <v>0</v>
      </c>
      <c r="AK31" s="1">
        <f t="shared" si="14"/>
        <v>0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" t="s">
        <v>91</v>
      </c>
      <c r="B32" s="1" t="s">
        <v>42</v>
      </c>
      <c r="C32" s="1">
        <v>492</v>
      </c>
      <c r="D32" s="1">
        <v>1550</v>
      </c>
      <c r="E32" s="1">
        <v>1126</v>
      </c>
      <c r="F32" s="1">
        <v>907</v>
      </c>
      <c r="G32" s="8">
        <v>0.4</v>
      </c>
      <c r="I32" s="1" t="s">
        <v>92</v>
      </c>
      <c r="J32" s="1"/>
      <c r="K32" s="1">
        <v>1156</v>
      </c>
      <c r="L32" s="1">
        <f t="shared" si="3"/>
        <v>-30</v>
      </c>
      <c r="M32" s="1">
        <f t="shared" si="4"/>
        <v>1006</v>
      </c>
      <c r="N32" s="1">
        <v>120</v>
      </c>
      <c r="O32" s="1">
        <v>450</v>
      </c>
      <c r="P32" s="1">
        <v>180.63057599999979</v>
      </c>
      <c r="Q32" s="1">
        <v>130.26542399999991</v>
      </c>
      <c r="R32" s="1">
        <f t="shared" si="5"/>
        <v>201.2</v>
      </c>
      <c r="S32" s="5">
        <f t="shared" si="6"/>
        <v>746.50399999999991</v>
      </c>
      <c r="T32" s="5">
        <f t="shared" si="7"/>
        <v>746.50399999999991</v>
      </c>
      <c r="U32" s="5">
        <f>T32*$U$1</f>
        <v>824.14041599999996</v>
      </c>
      <c r="V32" s="5">
        <f t="shared" si="8"/>
        <v>430.75596922195706</v>
      </c>
      <c r="W32" s="5">
        <f>(U32-X32)/$W$1</f>
        <v>393.3844467780429</v>
      </c>
      <c r="X32" s="5"/>
      <c r="Y32" s="5"/>
      <c r="Z32" s="1"/>
      <c r="AA32" s="1">
        <f t="shared" si="10"/>
        <v>12.385866878727635</v>
      </c>
      <c r="AB32" s="1">
        <f t="shared" si="11"/>
        <v>8.2897415506958243</v>
      </c>
      <c r="AC32" s="1">
        <v>198.2</v>
      </c>
      <c r="AD32" s="1">
        <v>204.4</v>
      </c>
      <c r="AE32" s="1">
        <v>183.2</v>
      </c>
      <c r="AF32" s="1">
        <v>200.6</v>
      </c>
      <c r="AG32" s="1">
        <v>219</v>
      </c>
      <c r="AH32" s="1"/>
      <c r="AI32" s="1">
        <f t="shared" si="12"/>
        <v>172</v>
      </c>
      <c r="AJ32" s="1">
        <f t="shared" si="13"/>
        <v>157</v>
      </c>
      <c r="AK32" s="1">
        <f t="shared" si="14"/>
        <v>0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93</v>
      </c>
      <c r="B33" s="1" t="s">
        <v>42</v>
      </c>
      <c r="C33" s="1">
        <v>314</v>
      </c>
      <c r="D33" s="1">
        <v>367</v>
      </c>
      <c r="E33" s="1">
        <v>366</v>
      </c>
      <c r="F33" s="1">
        <v>311</v>
      </c>
      <c r="G33" s="8">
        <v>0.4</v>
      </c>
      <c r="I33" s="1" t="s">
        <v>94</v>
      </c>
      <c r="J33" s="1"/>
      <c r="K33" s="1">
        <v>378</v>
      </c>
      <c r="L33" s="1">
        <f t="shared" si="3"/>
        <v>-12</v>
      </c>
      <c r="M33" s="1">
        <f t="shared" si="4"/>
        <v>366</v>
      </c>
      <c r="N33" s="1"/>
      <c r="O33" s="1">
        <v>120</v>
      </c>
      <c r="P33" s="1">
        <v>281.61302399999988</v>
      </c>
      <c r="Q33" s="1">
        <v>203.09097600000001</v>
      </c>
      <c r="R33" s="1">
        <f t="shared" si="5"/>
        <v>73.2</v>
      </c>
      <c r="S33" s="5"/>
      <c r="T33" s="5">
        <f t="shared" si="7"/>
        <v>0</v>
      </c>
      <c r="U33" s="5">
        <f t="shared" ref="U33:U69" si="25">T33</f>
        <v>0</v>
      </c>
      <c r="V33" s="5">
        <f t="shared" si="8"/>
        <v>0</v>
      </c>
      <c r="W33" s="5"/>
      <c r="X33" s="5"/>
      <c r="Y33" s="5"/>
      <c r="Z33" s="1"/>
      <c r="AA33" s="1">
        <f t="shared" si="10"/>
        <v>12.509617486338797</v>
      </c>
      <c r="AB33" s="1">
        <f t="shared" si="11"/>
        <v>12.509617486338797</v>
      </c>
      <c r="AC33" s="1">
        <v>81.8</v>
      </c>
      <c r="AD33" s="1">
        <v>99.388999999999996</v>
      </c>
      <c r="AE33" s="1">
        <v>77.164000000000001</v>
      </c>
      <c r="AF33" s="1">
        <v>80.400000000000006</v>
      </c>
      <c r="AG33" s="1">
        <v>65.2</v>
      </c>
      <c r="AH33" s="1"/>
      <c r="AI33" s="1">
        <f t="shared" si="12"/>
        <v>0</v>
      </c>
      <c r="AJ33" s="1">
        <f t="shared" si="13"/>
        <v>0</v>
      </c>
      <c r="AK33" s="1">
        <f t="shared" si="14"/>
        <v>0</v>
      </c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95</v>
      </c>
      <c r="B34" s="1" t="s">
        <v>42</v>
      </c>
      <c r="C34" s="1">
        <v>172</v>
      </c>
      <c r="D34" s="1">
        <v>205</v>
      </c>
      <c r="E34" s="1">
        <v>206</v>
      </c>
      <c r="F34" s="1">
        <v>166</v>
      </c>
      <c r="G34" s="8">
        <v>0.1</v>
      </c>
      <c r="I34" s="1" t="s">
        <v>96</v>
      </c>
      <c r="J34" s="1"/>
      <c r="K34" s="1">
        <v>214</v>
      </c>
      <c r="L34" s="1">
        <f t="shared" si="3"/>
        <v>-8</v>
      </c>
      <c r="M34" s="1">
        <f t="shared" si="4"/>
        <v>206</v>
      </c>
      <c r="N34" s="1"/>
      <c r="O34" s="1">
        <v>0</v>
      </c>
      <c r="P34" s="1">
        <v>212.809842</v>
      </c>
      <c r="Q34" s="1">
        <v>153.47215800000001</v>
      </c>
      <c r="R34" s="1">
        <f t="shared" si="5"/>
        <v>41.2</v>
      </c>
      <c r="S34" s="5"/>
      <c r="T34" s="5">
        <f t="shared" si="7"/>
        <v>0</v>
      </c>
      <c r="U34" s="5">
        <f t="shared" si="25"/>
        <v>0</v>
      </c>
      <c r="V34" s="5">
        <f t="shared" si="8"/>
        <v>0</v>
      </c>
      <c r="W34" s="5"/>
      <c r="X34" s="5"/>
      <c r="Y34" s="5"/>
      <c r="Z34" s="1"/>
      <c r="AA34" s="1">
        <f t="shared" si="10"/>
        <v>12.919466019417476</v>
      </c>
      <c r="AB34" s="1">
        <f t="shared" si="11"/>
        <v>12.919466019417476</v>
      </c>
      <c r="AC34" s="1">
        <v>42.4</v>
      </c>
      <c r="AD34" s="1">
        <v>33.200000000000003</v>
      </c>
      <c r="AE34" s="1">
        <v>46.8</v>
      </c>
      <c r="AF34" s="1">
        <v>35.6</v>
      </c>
      <c r="AG34" s="1">
        <v>38</v>
      </c>
      <c r="AH34" s="1"/>
      <c r="AI34" s="1">
        <f t="shared" si="12"/>
        <v>0</v>
      </c>
      <c r="AJ34" s="1">
        <f t="shared" si="13"/>
        <v>0</v>
      </c>
      <c r="AK34" s="1">
        <f t="shared" si="14"/>
        <v>0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97</v>
      </c>
      <c r="B35" s="1" t="s">
        <v>42</v>
      </c>
      <c r="C35" s="1">
        <v>16</v>
      </c>
      <c r="D35" s="1">
        <v>321</v>
      </c>
      <c r="E35" s="1">
        <v>86</v>
      </c>
      <c r="F35" s="1">
        <v>239</v>
      </c>
      <c r="G35" s="8">
        <v>0.35</v>
      </c>
      <c r="I35" s="1" t="s">
        <v>98</v>
      </c>
      <c r="J35" s="1"/>
      <c r="K35" s="1">
        <v>130</v>
      </c>
      <c r="L35" s="1">
        <f t="shared" si="3"/>
        <v>-44</v>
      </c>
      <c r="M35" s="1">
        <f t="shared" si="4"/>
        <v>86</v>
      </c>
      <c r="N35" s="1"/>
      <c r="O35" s="1">
        <v>0</v>
      </c>
      <c r="P35" s="1"/>
      <c r="Q35" s="1"/>
      <c r="R35" s="1">
        <f t="shared" si="5"/>
        <v>17.2</v>
      </c>
      <c r="S35" s="5"/>
      <c r="T35" s="5">
        <f t="shared" si="7"/>
        <v>0</v>
      </c>
      <c r="U35" s="5">
        <f t="shared" si="25"/>
        <v>0</v>
      </c>
      <c r="V35" s="5">
        <f t="shared" si="8"/>
        <v>0</v>
      </c>
      <c r="W35" s="5"/>
      <c r="X35" s="5"/>
      <c r="Y35" s="5"/>
      <c r="Z35" s="1"/>
      <c r="AA35" s="1">
        <f t="shared" si="10"/>
        <v>13.895348837209303</v>
      </c>
      <c r="AB35" s="1">
        <f t="shared" si="11"/>
        <v>13.895348837209303</v>
      </c>
      <c r="AC35" s="1">
        <v>15</v>
      </c>
      <c r="AD35" s="1">
        <v>18</v>
      </c>
      <c r="AE35" s="1">
        <v>26</v>
      </c>
      <c r="AF35" s="1">
        <v>14.8</v>
      </c>
      <c r="AG35" s="1">
        <v>31.6</v>
      </c>
      <c r="AH35" s="1" t="s">
        <v>46</v>
      </c>
      <c r="AI35" s="1">
        <f t="shared" si="12"/>
        <v>0</v>
      </c>
      <c r="AJ35" s="1">
        <f t="shared" si="13"/>
        <v>0</v>
      </c>
      <c r="AK35" s="1">
        <f t="shared" si="14"/>
        <v>0</v>
      </c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99</v>
      </c>
      <c r="B36" s="1" t="s">
        <v>34</v>
      </c>
      <c r="C36" s="1">
        <v>41.335000000000001</v>
      </c>
      <c r="D36" s="1">
        <v>5.76</v>
      </c>
      <c r="E36" s="1">
        <v>21.686</v>
      </c>
      <c r="F36" s="1">
        <v>15.926</v>
      </c>
      <c r="G36" s="8">
        <v>1</v>
      </c>
      <c r="I36" s="1" t="s">
        <v>100</v>
      </c>
      <c r="J36" s="1"/>
      <c r="K36" s="1">
        <v>33.299999999999997</v>
      </c>
      <c r="L36" s="1">
        <f t="shared" si="3"/>
        <v>-11.613999999999997</v>
      </c>
      <c r="M36" s="1">
        <f t="shared" si="4"/>
        <v>21.686</v>
      </c>
      <c r="N36" s="1"/>
      <c r="O36" s="1">
        <v>0</v>
      </c>
      <c r="P36" s="1"/>
      <c r="Q36" s="1"/>
      <c r="R36" s="1">
        <f t="shared" si="5"/>
        <v>4.3372000000000002</v>
      </c>
      <c r="S36" s="5">
        <f>11*R36-Q36-P36-O36-F36</f>
        <v>31.783200000000001</v>
      </c>
      <c r="T36" s="5">
        <f t="shared" si="7"/>
        <v>31.783200000000001</v>
      </c>
      <c r="U36" s="5">
        <f t="shared" si="25"/>
        <v>31.783200000000001</v>
      </c>
      <c r="V36" s="5">
        <f t="shared" si="8"/>
        <v>31.783200000000001</v>
      </c>
      <c r="W36" s="5"/>
      <c r="X36" s="5"/>
      <c r="Y36" s="5"/>
      <c r="Z36" s="1"/>
      <c r="AA36" s="1">
        <f t="shared" si="10"/>
        <v>11</v>
      </c>
      <c r="AB36" s="1">
        <f t="shared" si="11"/>
        <v>3.6719542562021581</v>
      </c>
      <c r="AC36" s="1">
        <v>4.6543999999999999</v>
      </c>
      <c r="AD36" s="1">
        <v>4.8607999999999993</v>
      </c>
      <c r="AE36" s="1">
        <v>7.4049999999999994</v>
      </c>
      <c r="AF36" s="1">
        <v>4.3841999999999999</v>
      </c>
      <c r="AG36" s="1">
        <v>2.9196</v>
      </c>
      <c r="AH36" s="1"/>
      <c r="AI36" s="1">
        <f t="shared" si="12"/>
        <v>32</v>
      </c>
      <c r="AJ36" s="1">
        <f t="shared" si="13"/>
        <v>0</v>
      </c>
      <c r="AK36" s="1">
        <f t="shared" si="14"/>
        <v>0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101</v>
      </c>
      <c r="B37" s="1" t="s">
        <v>42</v>
      </c>
      <c r="C37" s="1">
        <v>184</v>
      </c>
      <c r="D37" s="1">
        <v>546</v>
      </c>
      <c r="E37" s="1">
        <v>210</v>
      </c>
      <c r="F37" s="1">
        <v>517</v>
      </c>
      <c r="G37" s="8">
        <v>0.4</v>
      </c>
      <c r="I37" s="1" t="s">
        <v>102</v>
      </c>
      <c r="J37" s="1"/>
      <c r="K37" s="1">
        <v>361</v>
      </c>
      <c r="L37" s="1">
        <f t="shared" si="3"/>
        <v>-151</v>
      </c>
      <c r="M37" s="1">
        <f t="shared" si="4"/>
        <v>156</v>
      </c>
      <c r="N37" s="1">
        <v>54</v>
      </c>
      <c r="O37" s="1">
        <v>0</v>
      </c>
      <c r="P37" s="1"/>
      <c r="Q37" s="1"/>
      <c r="R37" s="1">
        <f t="shared" si="5"/>
        <v>31.2</v>
      </c>
      <c r="S37" s="5"/>
      <c r="T37" s="5">
        <f t="shared" si="7"/>
        <v>0</v>
      </c>
      <c r="U37" s="5">
        <f t="shared" si="25"/>
        <v>0</v>
      </c>
      <c r="V37" s="5">
        <f t="shared" si="8"/>
        <v>0</v>
      </c>
      <c r="W37" s="5"/>
      <c r="X37" s="5"/>
      <c r="Y37" s="5"/>
      <c r="Z37" s="1"/>
      <c r="AA37" s="1">
        <f t="shared" si="10"/>
        <v>16.570512820512821</v>
      </c>
      <c r="AB37" s="1">
        <f t="shared" si="11"/>
        <v>16.570512820512821</v>
      </c>
      <c r="AC37" s="1">
        <v>40.4</v>
      </c>
      <c r="AD37" s="1">
        <v>42.6</v>
      </c>
      <c r="AE37" s="1">
        <v>61.4</v>
      </c>
      <c r="AF37" s="1">
        <v>48</v>
      </c>
      <c r="AG37" s="1">
        <v>66.599999999999994</v>
      </c>
      <c r="AH37" s="1"/>
      <c r="AI37" s="1">
        <f t="shared" si="12"/>
        <v>0</v>
      </c>
      <c r="AJ37" s="1">
        <f t="shared" si="13"/>
        <v>0</v>
      </c>
      <c r="AK37" s="1">
        <f t="shared" si="14"/>
        <v>0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103</v>
      </c>
      <c r="B38" s="1" t="s">
        <v>42</v>
      </c>
      <c r="C38" s="1">
        <v>115</v>
      </c>
      <c r="D38" s="1">
        <v>264</v>
      </c>
      <c r="E38" s="1">
        <v>274</v>
      </c>
      <c r="F38" s="1">
        <v>101</v>
      </c>
      <c r="G38" s="8">
        <v>0.4</v>
      </c>
      <c r="I38" s="1" t="s">
        <v>104</v>
      </c>
      <c r="J38" s="1"/>
      <c r="K38" s="1">
        <v>308</v>
      </c>
      <c r="L38" s="1">
        <f t="shared" ref="L38:L69" si="26">E38-K38</f>
        <v>-34</v>
      </c>
      <c r="M38" s="1">
        <f t="shared" si="4"/>
        <v>274</v>
      </c>
      <c r="N38" s="1"/>
      <c r="O38" s="1">
        <v>0</v>
      </c>
      <c r="P38" s="1">
        <v>345.438198</v>
      </c>
      <c r="Q38" s="1">
        <v>249.11980199999999</v>
      </c>
      <c r="R38" s="1">
        <f t="shared" si="5"/>
        <v>54.8</v>
      </c>
      <c r="S38" s="5"/>
      <c r="T38" s="5">
        <f t="shared" si="7"/>
        <v>0</v>
      </c>
      <c r="U38" s="5">
        <f t="shared" si="25"/>
        <v>0</v>
      </c>
      <c r="V38" s="5">
        <f t="shared" si="8"/>
        <v>0</v>
      </c>
      <c r="W38" s="5"/>
      <c r="X38" s="5"/>
      <c r="Y38" s="5"/>
      <c r="Z38" s="1"/>
      <c r="AA38" s="1">
        <f t="shared" si="10"/>
        <v>12.692664233576643</v>
      </c>
      <c r="AB38" s="1">
        <f t="shared" si="11"/>
        <v>12.692664233576643</v>
      </c>
      <c r="AC38" s="1">
        <v>53.6</v>
      </c>
      <c r="AD38" s="1">
        <v>29.8</v>
      </c>
      <c r="AE38" s="1">
        <v>41.8</v>
      </c>
      <c r="AF38" s="1">
        <v>40.200000000000003</v>
      </c>
      <c r="AG38" s="1">
        <v>41.6</v>
      </c>
      <c r="AH38" s="1" t="s">
        <v>49</v>
      </c>
      <c r="AI38" s="1">
        <f t="shared" si="12"/>
        <v>0</v>
      </c>
      <c r="AJ38" s="1">
        <f t="shared" si="13"/>
        <v>0</v>
      </c>
      <c r="AK38" s="1">
        <f t="shared" si="14"/>
        <v>0</v>
      </c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105</v>
      </c>
      <c r="B39" s="1" t="s">
        <v>34</v>
      </c>
      <c r="C39" s="1">
        <v>31.818000000000001</v>
      </c>
      <c r="D39" s="1">
        <v>44.482999999999997</v>
      </c>
      <c r="E39" s="1">
        <v>23.803000000000001</v>
      </c>
      <c r="F39" s="1">
        <v>50.975999999999999</v>
      </c>
      <c r="G39" s="8">
        <v>1</v>
      </c>
      <c r="I39" s="1" t="s">
        <v>106</v>
      </c>
      <c r="J39" s="1"/>
      <c r="K39" s="1">
        <v>48.5</v>
      </c>
      <c r="L39" s="1">
        <f t="shared" si="26"/>
        <v>-24.696999999999999</v>
      </c>
      <c r="M39" s="1">
        <f t="shared" si="4"/>
        <v>23.803000000000001</v>
      </c>
      <c r="N39" s="1"/>
      <c r="O39" s="1">
        <v>0</v>
      </c>
      <c r="P39" s="1"/>
      <c r="Q39" s="1"/>
      <c r="R39" s="1">
        <f t="shared" si="5"/>
        <v>4.7606000000000002</v>
      </c>
      <c r="S39" s="5">
        <f t="shared" si="6"/>
        <v>6.1512000000000029</v>
      </c>
      <c r="T39" s="5">
        <f t="shared" si="7"/>
        <v>6.1512000000000029</v>
      </c>
      <c r="U39" s="5">
        <f t="shared" si="25"/>
        <v>6.1512000000000029</v>
      </c>
      <c r="V39" s="5">
        <f t="shared" si="8"/>
        <v>6.1512000000000029</v>
      </c>
      <c r="W39" s="5"/>
      <c r="X39" s="5"/>
      <c r="Y39" s="5"/>
      <c r="Z39" s="1"/>
      <c r="AA39" s="1">
        <f t="shared" si="10"/>
        <v>12</v>
      </c>
      <c r="AB39" s="1">
        <f t="shared" si="11"/>
        <v>10.707893962945846</v>
      </c>
      <c r="AC39" s="1">
        <v>6.7906000000000004</v>
      </c>
      <c r="AD39" s="1">
        <v>12.0244</v>
      </c>
      <c r="AE39" s="1">
        <v>9.3468</v>
      </c>
      <c r="AF39" s="1">
        <v>10.954800000000001</v>
      </c>
      <c r="AG39" s="1">
        <v>7.3952</v>
      </c>
      <c r="AH39" s="1"/>
      <c r="AI39" s="1">
        <f t="shared" si="12"/>
        <v>6</v>
      </c>
      <c r="AJ39" s="1">
        <f t="shared" si="13"/>
        <v>0</v>
      </c>
      <c r="AK39" s="1">
        <f t="shared" si="14"/>
        <v>0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107</v>
      </c>
      <c r="B40" s="1" t="s">
        <v>42</v>
      </c>
      <c r="C40" s="1">
        <v>428</v>
      </c>
      <c r="D40" s="1">
        <v>596</v>
      </c>
      <c r="E40" s="1">
        <v>643</v>
      </c>
      <c r="F40" s="1">
        <v>371</v>
      </c>
      <c r="G40" s="8">
        <v>0.35</v>
      </c>
      <c r="I40" s="1" t="s">
        <v>108</v>
      </c>
      <c r="J40" s="1"/>
      <c r="K40" s="1">
        <v>655</v>
      </c>
      <c r="L40" s="1">
        <f t="shared" si="26"/>
        <v>-12</v>
      </c>
      <c r="M40" s="1">
        <f t="shared" si="4"/>
        <v>643</v>
      </c>
      <c r="N40" s="1"/>
      <c r="O40" s="1">
        <v>120</v>
      </c>
      <c r="P40" s="1">
        <v>2044.539</v>
      </c>
      <c r="Q40" s="1">
        <v>1474.461</v>
      </c>
      <c r="R40" s="1">
        <f t="shared" si="5"/>
        <v>128.6</v>
      </c>
      <c r="S40" s="5"/>
      <c r="T40" s="5">
        <f t="shared" si="7"/>
        <v>0</v>
      </c>
      <c r="U40" s="5">
        <f t="shared" si="25"/>
        <v>0</v>
      </c>
      <c r="V40" s="5">
        <f t="shared" si="8"/>
        <v>0</v>
      </c>
      <c r="W40" s="5"/>
      <c r="X40" s="5"/>
      <c r="Y40" s="5"/>
      <c r="Z40" s="1"/>
      <c r="AA40" s="1">
        <f t="shared" si="10"/>
        <v>31.181959564541213</v>
      </c>
      <c r="AB40" s="1">
        <f t="shared" si="11"/>
        <v>31.181959564541213</v>
      </c>
      <c r="AC40" s="1">
        <v>118</v>
      </c>
      <c r="AD40" s="1">
        <v>217.4</v>
      </c>
      <c r="AE40" s="1">
        <v>150.19999999999999</v>
      </c>
      <c r="AF40" s="1">
        <v>101.4</v>
      </c>
      <c r="AG40" s="1">
        <v>112.2</v>
      </c>
      <c r="AH40" s="1" t="s">
        <v>36</v>
      </c>
      <c r="AI40" s="1">
        <f t="shared" si="12"/>
        <v>0</v>
      </c>
      <c r="AJ40" s="1">
        <f t="shared" si="13"/>
        <v>0</v>
      </c>
      <c r="AK40" s="1">
        <f t="shared" si="14"/>
        <v>0</v>
      </c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109</v>
      </c>
      <c r="B41" s="1" t="s">
        <v>42</v>
      </c>
      <c r="C41" s="1">
        <v>249</v>
      </c>
      <c r="D41" s="1">
        <v>477</v>
      </c>
      <c r="E41" s="1">
        <v>441</v>
      </c>
      <c r="F41" s="1">
        <v>278</v>
      </c>
      <c r="G41" s="8">
        <v>0.4</v>
      </c>
      <c r="I41" s="1" t="s">
        <v>110</v>
      </c>
      <c r="J41" s="1"/>
      <c r="K41" s="1">
        <v>481</v>
      </c>
      <c r="L41" s="1">
        <f t="shared" si="26"/>
        <v>-40</v>
      </c>
      <c r="M41" s="1">
        <f t="shared" si="4"/>
        <v>441</v>
      </c>
      <c r="N41" s="1"/>
      <c r="O41" s="1">
        <v>180</v>
      </c>
      <c r="P41" s="1">
        <v>331.92646200000007</v>
      </c>
      <c r="Q41" s="1">
        <v>239.37553800000009</v>
      </c>
      <c r="R41" s="1">
        <f t="shared" si="5"/>
        <v>88.2</v>
      </c>
      <c r="S41" s="5">
        <f t="shared" si="6"/>
        <v>29.0979999999999</v>
      </c>
      <c r="T41" s="5">
        <f t="shared" si="7"/>
        <v>29.0979999999999</v>
      </c>
      <c r="U41" s="5">
        <f t="shared" si="25"/>
        <v>29.0979999999999</v>
      </c>
      <c r="V41" s="5">
        <f t="shared" si="8"/>
        <v>29.0979999999999</v>
      </c>
      <c r="W41" s="5"/>
      <c r="X41" s="5"/>
      <c r="Y41" s="5"/>
      <c r="Z41" s="1"/>
      <c r="AA41" s="1">
        <f t="shared" si="10"/>
        <v>12</v>
      </c>
      <c r="AB41" s="1">
        <f t="shared" si="11"/>
        <v>11.670090702947848</v>
      </c>
      <c r="AC41" s="1">
        <v>91.4</v>
      </c>
      <c r="AD41" s="1">
        <v>81.599999999999994</v>
      </c>
      <c r="AE41" s="1">
        <v>86.4</v>
      </c>
      <c r="AF41" s="1">
        <v>80.2</v>
      </c>
      <c r="AG41" s="1">
        <v>81.599999999999994</v>
      </c>
      <c r="AH41" s="1" t="s">
        <v>46</v>
      </c>
      <c r="AI41" s="1">
        <f t="shared" si="12"/>
        <v>12</v>
      </c>
      <c r="AJ41" s="1">
        <f t="shared" si="13"/>
        <v>0</v>
      </c>
      <c r="AK41" s="1">
        <f t="shared" si="14"/>
        <v>0</v>
      </c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111</v>
      </c>
      <c r="B42" s="1" t="s">
        <v>34</v>
      </c>
      <c r="C42" s="1">
        <v>285.44200000000001</v>
      </c>
      <c r="D42" s="1">
        <v>2.7149999999999999</v>
      </c>
      <c r="E42" s="1">
        <v>114.19799999999999</v>
      </c>
      <c r="F42" s="1">
        <v>171.94499999999999</v>
      </c>
      <c r="G42" s="8">
        <v>1</v>
      </c>
      <c r="I42" s="1" t="s">
        <v>112</v>
      </c>
      <c r="J42" s="1"/>
      <c r="K42" s="1">
        <v>113.65</v>
      </c>
      <c r="L42" s="1">
        <f t="shared" si="26"/>
        <v>0.54799999999998761</v>
      </c>
      <c r="M42" s="1">
        <f t="shared" si="4"/>
        <v>114.19799999999999</v>
      </c>
      <c r="N42" s="1"/>
      <c r="O42" s="1">
        <v>0</v>
      </c>
      <c r="P42" s="1"/>
      <c r="Q42" s="1"/>
      <c r="R42" s="1">
        <f t="shared" si="5"/>
        <v>22.839599999999997</v>
      </c>
      <c r="S42" s="5">
        <f t="shared" si="6"/>
        <v>102.1302</v>
      </c>
      <c r="T42" s="5">
        <f t="shared" si="7"/>
        <v>102.1302</v>
      </c>
      <c r="U42" s="5">
        <f t="shared" si="25"/>
        <v>102.1302</v>
      </c>
      <c r="V42" s="5">
        <f t="shared" si="8"/>
        <v>102.1302</v>
      </c>
      <c r="W42" s="5"/>
      <c r="X42" s="5"/>
      <c r="Y42" s="5"/>
      <c r="Z42" s="1"/>
      <c r="AA42" s="1">
        <f t="shared" si="10"/>
        <v>12.000000000000002</v>
      </c>
      <c r="AB42" s="1">
        <f t="shared" si="11"/>
        <v>7.5283717753375718</v>
      </c>
      <c r="AC42" s="1">
        <v>22.878599999999999</v>
      </c>
      <c r="AD42" s="1">
        <v>16.0274</v>
      </c>
      <c r="AE42" s="1">
        <v>26.979399999999998</v>
      </c>
      <c r="AF42" s="1">
        <v>44.077399999999997</v>
      </c>
      <c r="AG42" s="1">
        <v>26.501999999999999</v>
      </c>
      <c r="AH42" s="1"/>
      <c r="AI42" s="1">
        <f t="shared" si="12"/>
        <v>102</v>
      </c>
      <c r="AJ42" s="1">
        <f t="shared" si="13"/>
        <v>0</v>
      </c>
      <c r="AK42" s="1">
        <f t="shared" si="14"/>
        <v>0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" t="s">
        <v>113</v>
      </c>
      <c r="B43" s="1" t="s">
        <v>34</v>
      </c>
      <c r="C43" s="1">
        <v>487.08</v>
      </c>
      <c r="D43" s="1">
        <v>446.541</v>
      </c>
      <c r="E43" s="1">
        <v>528.84699999999998</v>
      </c>
      <c r="F43" s="1">
        <v>313.18700000000001</v>
      </c>
      <c r="G43" s="8">
        <v>1</v>
      </c>
      <c r="I43" s="1" t="s">
        <v>114</v>
      </c>
      <c r="J43" s="1"/>
      <c r="K43" s="1">
        <v>699.04</v>
      </c>
      <c r="L43" s="1">
        <f t="shared" si="26"/>
        <v>-170.19299999999998</v>
      </c>
      <c r="M43" s="1">
        <f t="shared" si="4"/>
        <v>528.84699999999998</v>
      </c>
      <c r="N43" s="1"/>
      <c r="O43" s="1">
        <v>180</v>
      </c>
      <c r="P43" s="1">
        <v>210.82023887400001</v>
      </c>
      <c r="Q43" s="1">
        <v>152.03731512600001</v>
      </c>
      <c r="R43" s="1">
        <f t="shared" si="5"/>
        <v>105.76939999999999</v>
      </c>
      <c r="S43" s="5">
        <f t="shared" si="6"/>
        <v>413.18824599999971</v>
      </c>
      <c r="T43" s="5">
        <f t="shared" si="7"/>
        <v>413.18824599999971</v>
      </c>
      <c r="U43" s="5">
        <f t="shared" si="25"/>
        <v>413.18824599999971</v>
      </c>
      <c r="V43" s="5">
        <f t="shared" si="8"/>
        <v>215.96235292124092</v>
      </c>
      <c r="W43" s="5">
        <f>(U43-X43)/$W$1</f>
        <v>197.22589307875879</v>
      </c>
      <c r="X43" s="5"/>
      <c r="Y43" s="5"/>
      <c r="Z43" s="1"/>
      <c r="AA43" s="1">
        <f t="shared" si="10"/>
        <v>11.999999999999998</v>
      </c>
      <c r="AB43" s="1">
        <f t="shared" si="11"/>
        <v>8.0934991973103774</v>
      </c>
      <c r="AC43" s="1">
        <v>88.509799999999998</v>
      </c>
      <c r="AD43" s="1">
        <v>72.198800000000006</v>
      </c>
      <c r="AE43" s="1">
        <v>79.126999999999995</v>
      </c>
      <c r="AF43" s="1">
        <v>104.3784</v>
      </c>
      <c r="AG43" s="1">
        <v>89.689599999999999</v>
      </c>
      <c r="AH43" s="1"/>
      <c r="AI43" s="1">
        <f t="shared" si="12"/>
        <v>216</v>
      </c>
      <c r="AJ43" s="1">
        <f t="shared" si="13"/>
        <v>197</v>
      </c>
      <c r="AK43" s="1">
        <f t="shared" si="14"/>
        <v>0</v>
      </c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115</v>
      </c>
      <c r="B44" s="1" t="s">
        <v>42</v>
      </c>
      <c r="C44" s="1">
        <v>107.161</v>
      </c>
      <c r="D44" s="1">
        <v>744</v>
      </c>
      <c r="E44" s="1">
        <v>324.685</v>
      </c>
      <c r="F44" s="1">
        <v>507.476</v>
      </c>
      <c r="G44" s="8">
        <v>0.45</v>
      </c>
      <c r="I44" s="1" t="s">
        <v>116</v>
      </c>
      <c r="J44" s="1"/>
      <c r="K44" s="1">
        <v>437</v>
      </c>
      <c r="L44" s="1">
        <f t="shared" si="26"/>
        <v>-112.315</v>
      </c>
      <c r="M44" s="1">
        <f t="shared" si="4"/>
        <v>324.685</v>
      </c>
      <c r="N44" s="1"/>
      <c r="O44" s="1">
        <v>280</v>
      </c>
      <c r="P44" s="1"/>
      <c r="Q44" s="1"/>
      <c r="R44" s="1">
        <f t="shared" si="5"/>
        <v>64.936999999999998</v>
      </c>
      <c r="S44" s="5"/>
      <c r="T44" s="5">
        <f t="shared" si="7"/>
        <v>0</v>
      </c>
      <c r="U44" s="5">
        <f t="shared" si="25"/>
        <v>0</v>
      </c>
      <c r="V44" s="5">
        <f t="shared" si="8"/>
        <v>0</v>
      </c>
      <c r="W44" s="5"/>
      <c r="X44" s="5"/>
      <c r="Y44" s="5"/>
      <c r="Z44" s="1"/>
      <c r="AA44" s="1">
        <f t="shared" si="10"/>
        <v>12.126769022283137</v>
      </c>
      <c r="AB44" s="1">
        <f t="shared" si="11"/>
        <v>12.126769022283137</v>
      </c>
      <c r="AC44" s="1">
        <v>81.20320000000001</v>
      </c>
      <c r="AD44" s="1">
        <v>122.6</v>
      </c>
      <c r="AE44" s="1">
        <v>106.3646</v>
      </c>
      <c r="AF44" s="1">
        <v>74.2</v>
      </c>
      <c r="AG44" s="1">
        <v>95.6</v>
      </c>
      <c r="AH44" s="1" t="s">
        <v>36</v>
      </c>
      <c r="AI44" s="1">
        <f t="shared" si="12"/>
        <v>0</v>
      </c>
      <c r="AJ44" s="1">
        <f t="shared" si="13"/>
        <v>0</v>
      </c>
      <c r="AK44" s="1">
        <f t="shared" si="14"/>
        <v>0</v>
      </c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117</v>
      </c>
      <c r="B45" s="1" t="s">
        <v>42</v>
      </c>
      <c r="C45" s="1">
        <v>220</v>
      </c>
      <c r="D45" s="1">
        <v>483</v>
      </c>
      <c r="E45" s="1">
        <v>396</v>
      </c>
      <c r="F45" s="1">
        <v>304</v>
      </c>
      <c r="G45" s="8">
        <v>0.45</v>
      </c>
      <c r="I45" s="1" t="s">
        <v>118</v>
      </c>
      <c r="J45" s="1"/>
      <c r="K45" s="1">
        <v>408</v>
      </c>
      <c r="L45" s="1">
        <f t="shared" si="26"/>
        <v>-12</v>
      </c>
      <c r="M45" s="1">
        <f t="shared" si="4"/>
        <v>396</v>
      </c>
      <c r="N45" s="1"/>
      <c r="O45" s="1">
        <v>340</v>
      </c>
      <c r="P45" s="1">
        <v>242.32231799999991</v>
      </c>
      <c r="Q45" s="1">
        <v>174.75568200000001</v>
      </c>
      <c r="R45" s="1">
        <f t="shared" si="5"/>
        <v>79.2</v>
      </c>
      <c r="S45" s="5"/>
      <c r="T45" s="5">
        <f t="shared" si="7"/>
        <v>0</v>
      </c>
      <c r="U45" s="5">
        <f t="shared" si="25"/>
        <v>0</v>
      </c>
      <c r="V45" s="5">
        <f t="shared" si="8"/>
        <v>0</v>
      </c>
      <c r="W45" s="5"/>
      <c r="X45" s="5"/>
      <c r="Y45" s="5"/>
      <c r="Z45" s="1"/>
      <c r="AA45" s="1">
        <f t="shared" si="10"/>
        <v>13.397449494949495</v>
      </c>
      <c r="AB45" s="1">
        <f t="shared" si="11"/>
        <v>13.397449494949495</v>
      </c>
      <c r="AC45" s="1">
        <v>98.6</v>
      </c>
      <c r="AD45" s="1">
        <v>103</v>
      </c>
      <c r="AE45" s="1">
        <v>68.2</v>
      </c>
      <c r="AF45" s="1">
        <v>81.8</v>
      </c>
      <c r="AG45" s="1">
        <v>87.2</v>
      </c>
      <c r="AH45" s="1"/>
      <c r="AI45" s="1">
        <f t="shared" si="12"/>
        <v>0</v>
      </c>
      <c r="AJ45" s="1">
        <f t="shared" si="13"/>
        <v>0</v>
      </c>
      <c r="AK45" s="1">
        <f t="shared" si="14"/>
        <v>0</v>
      </c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119</v>
      </c>
      <c r="B46" s="1" t="s">
        <v>42</v>
      </c>
      <c r="C46" s="1">
        <v>69</v>
      </c>
      <c r="D46" s="1"/>
      <c r="E46" s="1">
        <v>21</v>
      </c>
      <c r="F46" s="1">
        <v>32</v>
      </c>
      <c r="G46" s="8">
        <v>0.4</v>
      </c>
      <c r="I46" s="1" t="s">
        <v>120</v>
      </c>
      <c r="J46" s="1"/>
      <c r="K46" s="1">
        <v>30</v>
      </c>
      <c r="L46" s="1">
        <f t="shared" si="26"/>
        <v>-9</v>
      </c>
      <c r="M46" s="1">
        <f t="shared" si="4"/>
        <v>21</v>
      </c>
      <c r="N46" s="1"/>
      <c r="O46" s="1">
        <v>0</v>
      </c>
      <c r="P46" s="1"/>
      <c r="Q46" s="1"/>
      <c r="R46" s="1">
        <f t="shared" si="5"/>
        <v>4.2</v>
      </c>
      <c r="S46" s="5">
        <f t="shared" si="6"/>
        <v>18.400000000000006</v>
      </c>
      <c r="T46" s="5">
        <f t="shared" si="7"/>
        <v>18.400000000000006</v>
      </c>
      <c r="U46" s="5">
        <f t="shared" si="25"/>
        <v>18.400000000000006</v>
      </c>
      <c r="V46" s="5">
        <f t="shared" si="8"/>
        <v>18.400000000000006</v>
      </c>
      <c r="W46" s="5"/>
      <c r="X46" s="5"/>
      <c r="Y46" s="5"/>
      <c r="Z46" s="1"/>
      <c r="AA46" s="1">
        <f t="shared" si="10"/>
        <v>12</v>
      </c>
      <c r="AB46" s="1">
        <f t="shared" si="11"/>
        <v>7.6190476190476186</v>
      </c>
      <c r="AC46" s="1">
        <v>6.2</v>
      </c>
      <c r="AD46" s="1">
        <v>13.8</v>
      </c>
      <c r="AE46" s="1">
        <v>6</v>
      </c>
      <c r="AF46" s="1">
        <v>7.6</v>
      </c>
      <c r="AG46" s="1">
        <v>3.6</v>
      </c>
      <c r="AH46" s="1" t="s">
        <v>121</v>
      </c>
      <c r="AI46" s="1">
        <f t="shared" si="12"/>
        <v>7</v>
      </c>
      <c r="AJ46" s="1">
        <f t="shared" si="13"/>
        <v>0</v>
      </c>
      <c r="AK46" s="1">
        <f t="shared" si="14"/>
        <v>0</v>
      </c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122</v>
      </c>
      <c r="B47" s="1" t="s">
        <v>34</v>
      </c>
      <c r="C47" s="1">
        <v>546.976</v>
      </c>
      <c r="D47" s="1">
        <v>133.37899999999999</v>
      </c>
      <c r="E47" s="1">
        <v>512.077</v>
      </c>
      <c r="F47" s="1">
        <v>162.03100000000001</v>
      </c>
      <c r="G47" s="8">
        <v>1</v>
      </c>
      <c r="I47" s="1" t="s">
        <v>123</v>
      </c>
      <c r="J47" s="1"/>
      <c r="K47" s="1">
        <v>508</v>
      </c>
      <c r="L47" s="1">
        <f t="shared" si="26"/>
        <v>4.0769999999999982</v>
      </c>
      <c r="M47" s="1">
        <f t="shared" si="4"/>
        <v>512.077</v>
      </c>
      <c r="N47" s="1"/>
      <c r="O47" s="1">
        <v>260</v>
      </c>
      <c r="P47" s="1">
        <v>399.62968201799998</v>
      </c>
      <c r="Q47" s="1">
        <v>288.20109598200003</v>
      </c>
      <c r="R47" s="1">
        <f t="shared" si="5"/>
        <v>102.41540000000001</v>
      </c>
      <c r="S47" s="5">
        <f t="shared" si="6"/>
        <v>119.12302200000016</v>
      </c>
      <c r="T47" s="5">
        <f t="shared" si="7"/>
        <v>119.12302200000016</v>
      </c>
      <c r="U47" s="5">
        <f t="shared" si="25"/>
        <v>119.12302200000016</v>
      </c>
      <c r="V47" s="5">
        <f t="shared" si="8"/>
        <v>119.12302200000016</v>
      </c>
      <c r="W47" s="5"/>
      <c r="X47" s="5"/>
      <c r="Y47" s="5"/>
      <c r="Z47" s="1"/>
      <c r="AA47" s="1">
        <f t="shared" si="10"/>
        <v>12.000000000000002</v>
      </c>
      <c r="AB47" s="1">
        <f t="shared" si="11"/>
        <v>10.836864163006734</v>
      </c>
      <c r="AC47" s="1">
        <v>98.602599999999995</v>
      </c>
      <c r="AD47" s="1">
        <v>84.755600000000001</v>
      </c>
      <c r="AE47" s="1">
        <v>107.6558</v>
      </c>
      <c r="AF47" s="1">
        <v>104.7816</v>
      </c>
      <c r="AG47" s="1">
        <v>77.586399999999998</v>
      </c>
      <c r="AH47" s="1" t="s">
        <v>36</v>
      </c>
      <c r="AI47" s="1">
        <f t="shared" si="12"/>
        <v>119</v>
      </c>
      <c r="AJ47" s="1">
        <f t="shared" si="13"/>
        <v>0</v>
      </c>
      <c r="AK47" s="1">
        <f t="shared" si="14"/>
        <v>0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124</v>
      </c>
      <c r="B48" s="1" t="s">
        <v>42</v>
      </c>
      <c r="C48" s="1">
        <v>60</v>
      </c>
      <c r="D48" s="1">
        <v>225</v>
      </c>
      <c r="E48" s="1">
        <v>138</v>
      </c>
      <c r="F48" s="1">
        <v>142</v>
      </c>
      <c r="G48" s="8">
        <v>0.1</v>
      </c>
      <c r="I48" s="1" t="s">
        <v>125</v>
      </c>
      <c r="J48" s="1"/>
      <c r="K48" s="1">
        <v>164</v>
      </c>
      <c r="L48" s="1">
        <f t="shared" si="26"/>
        <v>-26</v>
      </c>
      <c r="M48" s="1">
        <f t="shared" si="4"/>
        <v>138</v>
      </c>
      <c r="N48" s="1"/>
      <c r="O48" s="1">
        <v>0</v>
      </c>
      <c r="P48" s="1"/>
      <c r="Q48" s="1"/>
      <c r="R48" s="1">
        <f t="shared" si="5"/>
        <v>27.6</v>
      </c>
      <c r="S48" s="5">
        <f t="shared" si="6"/>
        <v>189.20000000000005</v>
      </c>
      <c r="T48" s="5">
        <f t="shared" si="7"/>
        <v>189.20000000000005</v>
      </c>
      <c r="U48" s="5">
        <f t="shared" si="25"/>
        <v>189.20000000000005</v>
      </c>
      <c r="V48" s="5">
        <f t="shared" si="8"/>
        <v>189.20000000000005</v>
      </c>
      <c r="W48" s="5"/>
      <c r="X48" s="5"/>
      <c r="Y48" s="5"/>
      <c r="Z48" s="1"/>
      <c r="AA48" s="1">
        <f t="shared" si="10"/>
        <v>12.000000000000002</v>
      </c>
      <c r="AB48" s="1">
        <f t="shared" si="11"/>
        <v>5.1449275362318838</v>
      </c>
      <c r="AC48" s="1">
        <v>21.6</v>
      </c>
      <c r="AD48" s="1">
        <v>24</v>
      </c>
      <c r="AE48" s="1">
        <v>27.6</v>
      </c>
      <c r="AF48" s="1">
        <v>26.8</v>
      </c>
      <c r="AG48" s="1">
        <v>28.2</v>
      </c>
      <c r="AH48" s="1"/>
      <c r="AI48" s="1">
        <f t="shared" si="12"/>
        <v>19</v>
      </c>
      <c r="AJ48" s="1">
        <f t="shared" si="13"/>
        <v>0</v>
      </c>
      <c r="AK48" s="1">
        <f t="shared" si="14"/>
        <v>0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126</v>
      </c>
      <c r="B49" s="1" t="s">
        <v>34</v>
      </c>
      <c r="C49" s="1">
        <v>692.73900000000003</v>
      </c>
      <c r="D49" s="1">
        <v>313.31</v>
      </c>
      <c r="E49" s="1">
        <v>537.47799999999995</v>
      </c>
      <c r="F49" s="1">
        <v>462.911</v>
      </c>
      <c r="G49" s="8">
        <v>1</v>
      </c>
      <c r="I49" s="1" t="s">
        <v>127</v>
      </c>
      <c r="J49" s="1"/>
      <c r="K49" s="1">
        <v>524.04999999999995</v>
      </c>
      <c r="L49" s="1">
        <f t="shared" si="26"/>
        <v>13.427999999999997</v>
      </c>
      <c r="M49" s="1">
        <f t="shared" si="4"/>
        <v>537.47799999999995</v>
      </c>
      <c r="N49" s="1"/>
      <c r="O49" s="1">
        <v>150</v>
      </c>
      <c r="P49" s="1">
        <v>128.70657462599999</v>
      </c>
      <c r="Q49" s="1">
        <v>92.819371373999985</v>
      </c>
      <c r="R49" s="1">
        <f t="shared" si="5"/>
        <v>107.4956</v>
      </c>
      <c r="S49" s="5">
        <f t="shared" si="6"/>
        <v>455.51025400000009</v>
      </c>
      <c r="T49" s="5">
        <f t="shared" si="7"/>
        <v>455.51025400000009</v>
      </c>
      <c r="U49" s="5">
        <f t="shared" si="25"/>
        <v>455.51025400000009</v>
      </c>
      <c r="V49" s="5">
        <f t="shared" si="8"/>
        <v>238.08292512171843</v>
      </c>
      <c r="W49" s="5">
        <f>(U49-X49)/$W$1</f>
        <v>217.42732887828166</v>
      </c>
      <c r="X49" s="5"/>
      <c r="Y49" s="5"/>
      <c r="Z49" s="1"/>
      <c r="AA49" s="1">
        <f t="shared" si="10"/>
        <v>12.000000000000002</v>
      </c>
      <c r="AB49" s="1">
        <f t="shared" si="11"/>
        <v>7.7625218706626136</v>
      </c>
      <c r="AC49" s="1">
        <v>89.548199999999994</v>
      </c>
      <c r="AD49" s="1">
        <v>78.435599999999994</v>
      </c>
      <c r="AE49" s="1">
        <v>86.919399999999996</v>
      </c>
      <c r="AF49" s="1">
        <v>118.1324</v>
      </c>
      <c r="AG49" s="1">
        <v>103.81319999999999</v>
      </c>
      <c r="AH49" s="1"/>
      <c r="AI49" s="1">
        <f t="shared" si="12"/>
        <v>238</v>
      </c>
      <c r="AJ49" s="1">
        <f t="shared" si="13"/>
        <v>217</v>
      </c>
      <c r="AK49" s="1">
        <f t="shared" si="14"/>
        <v>0</v>
      </c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" t="s">
        <v>128</v>
      </c>
      <c r="B50" s="1" t="s">
        <v>34</v>
      </c>
      <c r="C50" s="1">
        <v>65.593000000000004</v>
      </c>
      <c r="D50" s="1"/>
      <c r="E50" s="1">
        <v>23.274999999999999</v>
      </c>
      <c r="F50" s="1">
        <v>42.317999999999998</v>
      </c>
      <c r="G50" s="8">
        <v>1</v>
      </c>
      <c r="I50" s="1" t="s">
        <v>129</v>
      </c>
      <c r="J50" s="1"/>
      <c r="K50" s="1">
        <v>22.1</v>
      </c>
      <c r="L50" s="1">
        <f t="shared" si="26"/>
        <v>1.1749999999999972</v>
      </c>
      <c r="M50" s="1">
        <f t="shared" si="4"/>
        <v>23.274999999999999</v>
      </c>
      <c r="N50" s="1"/>
      <c r="O50" s="1">
        <v>0</v>
      </c>
      <c r="P50" s="1"/>
      <c r="Q50" s="1"/>
      <c r="R50" s="1">
        <f t="shared" si="5"/>
        <v>4.6549999999999994</v>
      </c>
      <c r="S50" s="5">
        <f t="shared" si="6"/>
        <v>13.541999999999994</v>
      </c>
      <c r="T50" s="5">
        <f t="shared" si="7"/>
        <v>13.541999999999994</v>
      </c>
      <c r="U50" s="5">
        <f t="shared" si="25"/>
        <v>13.541999999999994</v>
      </c>
      <c r="V50" s="5">
        <f t="shared" si="8"/>
        <v>13.541999999999994</v>
      </c>
      <c r="W50" s="5"/>
      <c r="X50" s="5"/>
      <c r="Y50" s="5"/>
      <c r="Z50" s="1"/>
      <c r="AA50" s="1">
        <f t="shared" si="10"/>
        <v>12</v>
      </c>
      <c r="AB50" s="1">
        <f t="shared" si="11"/>
        <v>9.0908700322234157</v>
      </c>
      <c r="AC50" s="1">
        <v>5.2093999999999996</v>
      </c>
      <c r="AD50" s="1">
        <v>14.451599999999999</v>
      </c>
      <c r="AE50" s="1">
        <v>7.6686000000000014</v>
      </c>
      <c r="AF50" s="1">
        <v>5.4643999999999986</v>
      </c>
      <c r="AG50" s="1">
        <v>7.1104000000000003</v>
      </c>
      <c r="AH50" s="17" t="s">
        <v>63</v>
      </c>
      <c r="AI50" s="1">
        <f t="shared" si="12"/>
        <v>14</v>
      </c>
      <c r="AJ50" s="1">
        <f t="shared" si="13"/>
        <v>0</v>
      </c>
      <c r="AK50" s="1">
        <f t="shared" si="14"/>
        <v>0</v>
      </c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" t="s">
        <v>130</v>
      </c>
      <c r="B51" s="1" t="s">
        <v>42</v>
      </c>
      <c r="C51" s="1">
        <v>7</v>
      </c>
      <c r="D51" s="1">
        <v>225</v>
      </c>
      <c r="E51" s="1">
        <v>117</v>
      </c>
      <c r="F51" s="1">
        <v>110</v>
      </c>
      <c r="G51" s="8">
        <v>0.1</v>
      </c>
      <c r="I51" s="1" t="s">
        <v>131</v>
      </c>
      <c r="J51" s="1"/>
      <c r="K51" s="1">
        <v>132</v>
      </c>
      <c r="L51" s="1">
        <f t="shared" si="26"/>
        <v>-15</v>
      </c>
      <c r="M51" s="1">
        <f t="shared" si="4"/>
        <v>117</v>
      </c>
      <c r="N51" s="1"/>
      <c r="O51" s="1">
        <v>0</v>
      </c>
      <c r="P51" s="1"/>
      <c r="Q51" s="1"/>
      <c r="R51" s="1">
        <f t="shared" si="5"/>
        <v>23.4</v>
      </c>
      <c r="S51" s="5">
        <f t="shared" si="6"/>
        <v>170.79999999999995</v>
      </c>
      <c r="T51" s="5">
        <f t="shared" si="7"/>
        <v>170.79999999999995</v>
      </c>
      <c r="U51" s="5">
        <f t="shared" si="25"/>
        <v>170.79999999999995</v>
      </c>
      <c r="V51" s="5">
        <f t="shared" si="8"/>
        <v>170.79999999999995</v>
      </c>
      <c r="W51" s="5"/>
      <c r="X51" s="5"/>
      <c r="Y51" s="5"/>
      <c r="Z51" s="1"/>
      <c r="AA51" s="1">
        <f t="shared" si="10"/>
        <v>11.999999999999998</v>
      </c>
      <c r="AB51" s="1">
        <f t="shared" si="11"/>
        <v>4.700854700854701</v>
      </c>
      <c r="AC51" s="1">
        <v>19.600000000000001</v>
      </c>
      <c r="AD51" s="1">
        <v>23</v>
      </c>
      <c r="AE51" s="1">
        <v>23.6</v>
      </c>
      <c r="AF51" s="1">
        <v>20.8</v>
      </c>
      <c r="AG51" s="1">
        <v>23.6</v>
      </c>
      <c r="AH51" s="1"/>
      <c r="AI51" s="1">
        <f t="shared" si="12"/>
        <v>17</v>
      </c>
      <c r="AJ51" s="1">
        <f t="shared" si="13"/>
        <v>0</v>
      </c>
      <c r="AK51" s="1">
        <f t="shared" si="14"/>
        <v>0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132</v>
      </c>
      <c r="B52" s="1" t="s">
        <v>42</v>
      </c>
      <c r="C52" s="1">
        <v>-4</v>
      </c>
      <c r="D52" s="1">
        <v>14</v>
      </c>
      <c r="E52" s="1"/>
      <c r="F52" s="1">
        <v>10</v>
      </c>
      <c r="G52" s="8">
        <v>0.4</v>
      </c>
      <c r="I52" s="1" t="s">
        <v>133</v>
      </c>
      <c r="J52" s="1"/>
      <c r="K52" s="1">
        <v>5</v>
      </c>
      <c r="L52" s="1">
        <f t="shared" si="26"/>
        <v>-5</v>
      </c>
      <c r="M52" s="1">
        <f t="shared" si="4"/>
        <v>0</v>
      </c>
      <c r="N52" s="1"/>
      <c r="O52" s="1">
        <v>0</v>
      </c>
      <c r="P52" s="1"/>
      <c r="Q52" s="1"/>
      <c r="R52" s="1">
        <f t="shared" si="5"/>
        <v>0</v>
      </c>
      <c r="S52" s="5"/>
      <c r="T52" s="5">
        <f t="shared" si="7"/>
        <v>0</v>
      </c>
      <c r="U52" s="5">
        <f t="shared" si="25"/>
        <v>0</v>
      </c>
      <c r="V52" s="5">
        <f t="shared" si="8"/>
        <v>0</v>
      </c>
      <c r="W52" s="5"/>
      <c r="X52" s="5"/>
      <c r="Y52" s="5"/>
      <c r="Z52" s="1"/>
      <c r="AA52" s="1" t="e">
        <f t="shared" si="10"/>
        <v>#DIV/0!</v>
      </c>
      <c r="AB52" s="1" t="e">
        <f t="shared" si="11"/>
        <v>#DIV/0!</v>
      </c>
      <c r="AC52" s="1">
        <v>0</v>
      </c>
      <c r="AD52" s="1">
        <v>0.2</v>
      </c>
      <c r="AE52" s="1">
        <v>1</v>
      </c>
      <c r="AF52" s="1">
        <v>0.8</v>
      </c>
      <c r="AG52" s="1">
        <v>0.6</v>
      </c>
      <c r="AH52" s="1"/>
      <c r="AI52" s="1">
        <f t="shared" si="12"/>
        <v>0</v>
      </c>
      <c r="AJ52" s="1">
        <f t="shared" si="13"/>
        <v>0</v>
      </c>
      <c r="AK52" s="1">
        <f t="shared" si="14"/>
        <v>0</v>
      </c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134</v>
      </c>
      <c r="B53" s="1" t="s">
        <v>34</v>
      </c>
      <c r="C53" s="1">
        <v>10.236000000000001</v>
      </c>
      <c r="D53" s="1">
        <v>84.578000000000003</v>
      </c>
      <c r="E53" s="1">
        <v>24.398</v>
      </c>
      <c r="F53" s="1">
        <v>5.3979999999999997</v>
      </c>
      <c r="G53" s="8">
        <v>1</v>
      </c>
      <c r="I53" s="1" t="s">
        <v>135</v>
      </c>
      <c r="J53" s="1"/>
      <c r="K53" s="1">
        <v>61.4</v>
      </c>
      <c r="L53" s="1">
        <f t="shared" si="26"/>
        <v>-37.001999999999995</v>
      </c>
      <c r="M53" s="1">
        <f t="shared" si="4"/>
        <v>24.398</v>
      </c>
      <c r="N53" s="1"/>
      <c r="O53" s="1">
        <v>240</v>
      </c>
      <c r="P53" s="1"/>
      <c r="Q53" s="1"/>
      <c r="R53" s="1">
        <f t="shared" si="5"/>
        <v>4.8795999999999999</v>
      </c>
      <c r="S53" s="5"/>
      <c r="T53" s="5">
        <f t="shared" si="7"/>
        <v>0</v>
      </c>
      <c r="U53" s="5">
        <f t="shared" si="25"/>
        <v>0</v>
      </c>
      <c r="V53" s="5">
        <f t="shared" si="8"/>
        <v>0</v>
      </c>
      <c r="W53" s="5"/>
      <c r="X53" s="5"/>
      <c r="Y53" s="5"/>
      <c r="Z53" s="1"/>
      <c r="AA53" s="1">
        <f t="shared" si="10"/>
        <v>50.290597589966389</v>
      </c>
      <c r="AB53" s="1">
        <f t="shared" si="11"/>
        <v>50.290597589966389</v>
      </c>
      <c r="AC53" s="1">
        <v>24.591000000000001</v>
      </c>
      <c r="AD53" s="1">
        <v>22.217199999999998</v>
      </c>
      <c r="AE53" s="1">
        <v>17.740400000000001</v>
      </c>
      <c r="AF53" s="1">
        <v>8.1560000000000006</v>
      </c>
      <c r="AG53" s="1">
        <v>6.88</v>
      </c>
      <c r="AH53" s="1"/>
      <c r="AI53" s="1">
        <f t="shared" si="12"/>
        <v>0</v>
      </c>
      <c r="AJ53" s="1">
        <f t="shared" si="13"/>
        <v>0</v>
      </c>
      <c r="AK53" s="1">
        <f t="shared" si="14"/>
        <v>0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1" t="s">
        <v>136</v>
      </c>
      <c r="B54" s="1" t="s">
        <v>34</v>
      </c>
      <c r="C54" s="1">
        <v>44.213000000000001</v>
      </c>
      <c r="D54" s="1">
        <v>0.56000000000000005</v>
      </c>
      <c r="E54" s="1">
        <v>40.655000000000001</v>
      </c>
      <c r="F54" s="1">
        <v>7.4999999999999997E-2</v>
      </c>
      <c r="G54" s="8">
        <v>1</v>
      </c>
      <c r="I54" s="1" t="s">
        <v>137</v>
      </c>
      <c r="J54" s="1"/>
      <c r="K54" s="1">
        <v>39</v>
      </c>
      <c r="L54" s="1">
        <f t="shared" si="26"/>
        <v>1.6550000000000011</v>
      </c>
      <c r="M54" s="1">
        <f t="shared" si="4"/>
        <v>40.655000000000001</v>
      </c>
      <c r="N54" s="1"/>
      <c r="O54" s="1">
        <v>0</v>
      </c>
      <c r="P54" s="1"/>
      <c r="Q54" s="1"/>
      <c r="R54" s="1">
        <f t="shared" si="5"/>
        <v>8.1310000000000002</v>
      </c>
      <c r="S54" s="5">
        <f>7*R54-Q54-P54-O54-F54</f>
        <v>56.841999999999999</v>
      </c>
      <c r="T54" s="5">
        <f t="shared" si="7"/>
        <v>56.841999999999999</v>
      </c>
      <c r="U54" s="5">
        <f t="shared" si="25"/>
        <v>56.841999999999999</v>
      </c>
      <c r="V54" s="5">
        <f t="shared" si="8"/>
        <v>56.841999999999999</v>
      </c>
      <c r="W54" s="5"/>
      <c r="X54" s="5"/>
      <c r="Y54" s="5"/>
      <c r="Z54" s="1"/>
      <c r="AA54" s="1">
        <f t="shared" si="10"/>
        <v>7</v>
      </c>
      <c r="AB54" s="1">
        <f t="shared" si="11"/>
        <v>9.2239576927807144E-3</v>
      </c>
      <c r="AC54" s="1">
        <v>7.1864000000000008</v>
      </c>
      <c r="AD54" s="1">
        <v>4.3975999999999997</v>
      </c>
      <c r="AE54" s="1">
        <v>3.7995999999999999</v>
      </c>
      <c r="AF54" s="1">
        <v>5.4703999999999997</v>
      </c>
      <c r="AG54" s="1">
        <v>2.8157999999999999</v>
      </c>
      <c r="AH54" s="1"/>
      <c r="AI54" s="1">
        <f t="shared" si="12"/>
        <v>57</v>
      </c>
      <c r="AJ54" s="1">
        <f t="shared" si="13"/>
        <v>0</v>
      </c>
      <c r="AK54" s="1">
        <f t="shared" si="14"/>
        <v>0</v>
      </c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138</v>
      </c>
      <c r="B55" s="1" t="s">
        <v>42</v>
      </c>
      <c r="C55" s="1">
        <v>46</v>
      </c>
      <c r="D55" s="1">
        <v>180</v>
      </c>
      <c r="E55" s="1">
        <v>112</v>
      </c>
      <c r="F55" s="1">
        <v>103</v>
      </c>
      <c r="G55" s="8">
        <v>0.4</v>
      </c>
      <c r="I55" s="1" t="s">
        <v>139</v>
      </c>
      <c r="J55" s="1"/>
      <c r="K55" s="1">
        <v>590</v>
      </c>
      <c r="L55" s="1">
        <f t="shared" si="26"/>
        <v>-478</v>
      </c>
      <c r="M55" s="1">
        <f t="shared" si="4"/>
        <v>112</v>
      </c>
      <c r="N55" s="1"/>
      <c r="O55" s="1">
        <v>700</v>
      </c>
      <c r="P55" s="1"/>
      <c r="Q55" s="1"/>
      <c r="R55" s="1">
        <f t="shared" si="5"/>
        <v>22.4</v>
      </c>
      <c r="S55" s="5"/>
      <c r="T55" s="5">
        <f t="shared" si="7"/>
        <v>0</v>
      </c>
      <c r="U55" s="5">
        <f t="shared" si="25"/>
        <v>0</v>
      </c>
      <c r="V55" s="5">
        <f t="shared" si="8"/>
        <v>0</v>
      </c>
      <c r="W55" s="5"/>
      <c r="X55" s="5"/>
      <c r="Y55" s="5"/>
      <c r="Z55" s="1"/>
      <c r="AA55" s="1">
        <f t="shared" si="10"/>
        <v>35.848214285714285</v>
      </c>
      <c r="AB55" s="1">
        <f t="shared" si="11"/>
        <v>35.848214285714285</v>
      </c>
      <c r="AC55" s="1">
        <v>59.2</v>
      </c>
      <c r="AD55" s="1">
        <v>122.8</v>
      </c>
      <c r="AE55" s="1">
        <v>126</v>
      </c>
      <c r="AF55" s="1">
        <v>127.8</v>
      </c>
      <c r="AG55" s="1">
        <v>117.2</v>
      </c>
      <c r="AH55" s="1"/>
      <c r="AI55" s="1">
        <f t="shared" si="12"/>
        <v>0</v>
      </c>
      <c r="AJ55" s="1">
        <f t="shared" si="13"/>
        <v>0</v>
      </c>
      <c r="AK55" s="1">
        <f t="shared" si="14"/>
        <v>0</v>
      </c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140</v>
      </c>
      <c r="B56" s="1" t="s">
        <v>42</v>
      </c>
      <c r="C56" s="1">
        <v>277</v>
      </c>
      <c r="D56" s="1">
        <v>482</v>
      </c>
      <c r="E56" s="1">
        <v>429</v>
      </c>
      <c r="F56" s="1">
        <v>325</v>
      </c>
      <c r="G56" s="8">
        <v>0.4</v>
      </c>
      <c r="I56" s="1" t="s">
        <v>141</v>
      </c>
      <c r="J56" s="1"/>
      <c r="K56" s="1">
        <v>445</v>
      </c>
      <c r="L56" s="1">
        <f t="shared" si="26"/>
        <v>-16</v>
      </c>
      <c r="M56" s="1">
        <f t="shared" si="4"/>
        <v>429</v>
      </c>
      <c r="N56" s="1"/>
      <c r="O56" s="1">
        <v>210</v>
      </c>
      <c r="P56" s="1">
        <v>172.09684799999991</v>
      </c>
      <c r="Q56" s="1">
        <v>124.1111519999999</v>
      </c>
      <c r="R56" s="1">
        <f t="shared" si="5"/>
        <v>85.8</v>
      </c>
      <c r="S56" s="5">
        <f t="shared" si="6"/>
        <v>198.39200000000005</v>
      </c>
      <c r="T56" s="5">
        <f t="shared" si="7"/>
        <v>198.39200000000005</v>
      </c>
      <c r="U56" s="5">
        <f t="shared" si="25"/>
        <v>198.39200000000005</v>
      </c>
      <c r="V56" s="5">
        <f t="shared" si="8"/>
        <v>198.39200000000005</v>
      </c>
      <c r="W56" s="5"/>
      <c r="X56" s="5"/>
      <c r="Y56" s="5"/>
      <c r="Z56" s="1"/>
      <c r="AA56" s="1">
        <f t="shared" si="10"/>
        <v>12</v>
      </c>
      <c r="AB56" s="1">
        <f t="shared" si="11"/>
        <v>9.687738927738927</v>
      </c>
      <c r="AC56" s="1">
        <v>85.6</v>
      </c>
      <c r="AD56" s="1">
        <v>89</v>
      </c>
      <c r="AE56" s="1">
        <v>88</v>
      </c>
      <c r="AF56" s="1">
        <v>87</v>
      </c>
      <c r="AG56" s="1">
        <v>87.2</v>
      </c>
      <c r="AH56" s="1"/>
      <c r="AI56" s="1">
        <f t="shared" si="12"/>
        <v>79</v>
      </c>
      <c r="AJ56" s="1">
        <f t="shared" si="13"/>
        <v>0</v>
      </c>
      <c r="AK56" s="1">
        <f t="shared" si="14"/>
        <v>0</v>
      </c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 t="s">
        <v>142</v>
      </c>
      <c r="B57" s="1" t="s">
        <v>34</v>
      </c>
      <c r="C57" s="1">
        <v>14.143000000000001</v>
      </c>
      <c r="D57" s="1">
        <v>176.23400000000001</v>
      </c>
      <c r="E57" s="1">
        <v>3.6309999999999998</v>
      </c>
      <c r="F57" s="1">
        <v>169.72</v>
      </c>
      <c r="G57" s="8">
        <v>1</v>
      </c>
      <c r="I57" s="1" t="s">
        <v>143</v>
      </c>
      <c r="J57" s="1"/>
      <c r="K57" s="1">
        <v>21.4</v>
      </c>
      <c r="L57" s="1">
        <f t="shared" si="26"/>
        <v>-17.768999999999998</v>
      </c>
      <c r="M57" s="1">
        <f t="shared" si="4"/>
        <v>3.6309999999999998</v>
      </c>
      <c r="N57" s="1"/>
      <c r="O57" s="1">
        <v>0</v>
      </c>
      <c r="P57" s="1"/>
      <c r="Q57" s="1"/>
      <c r="R57" s="1">
        <f t="shared" si="5"/>
        <v>0.72619999999999996</v>
      </c>
      <c r="S57" s="5"/>
      <c r="T57" s="5">
        <f t="shared" si="7"/>
        <v>0</v>
      </c>
      <c r="U57" s="5">
        <f t="shared" si="25"/>
        <v>0</v>
      </c>
      <c r="V57" s="5">
        <f t="shared" si="8"/>
        <v>0</v>
      </c>
      <c r="W57" s="5"/>
      <c r="X57" s="5"/>
      <c r="Y57" s="5"/>
      <c r="Z57" s="1"/>
      <c r="AA57" s="1">
        <f t="shared" si="10"/>
        <v>233.70972183971358</v>
      </c>
      <c r="AB57" s="1">
        <f t="shared" si="11"/>
        <v>233.70972183971358</v>
      </c>
      <c r="AC57" s="1">
        <v>-0.1802</v>
      </c>
      <c r="AD57" s="1">
        <v>5.9652000000000003</v>
      </c>
      <c r="AE57" s="1">
        <v>10.678800000000001</v>
      </c>
      <c r="AF57" s="1">
        <v>7.9730000000000008</v>
      </c>
      <c r="AG57" s="1">
        <v>16.890599999999999</v>
      </c>
      <c r="AH57" s="1"/>
      <c r="AI57" s="1">
        <f t="shared" si="12"/>
        <v>0</v>
      </c>
      <c r="AJ57" s="1">
        <f t="shared" si="13"/>
        <v>0</v>
      </c>
      <c r="AK57" s="1">
        <f t="shared" si="14"/>
        <v>0</v>
      </c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144</v>
      </c>
      <c r="B58" s="1" t="s">
        <v>34</v>
      </c>
      <c r="C58" s="1">
        <v>92.608999999999995</v>
      </c>
      <c r="D58" s="1">
        <v>0.90900000000000003</v>
      </c>
      <c r="E58" s="1">
        <v>66.876999999999995</v>
      </c>
      <c r="F58" s="1">
        <v>24.835999999999999</v>
      </c>
      <c r="G58" s="8">
        <v>1</v>
      </c>
      <c r="I58" s="1" t="s">
        <v>145</v>
      </c>
      <c r="J58" s="1"/>
      <c r="K58" s="1">
        <v>63.9</v>
      </c>
      <c r="L58" s="1">
        <f t="shared" si="26"/>
        <v>2.9769999999999968</v>
      </c>
      <c r="M58" s="1">
        <f t="shared" si="4"/>
        <v>66.876999999999995</v>
      </c>
      <c r="N58" s="1"/>
      <c r="O58" s="1">
        <v>0</v>
      </c>
      <c r="P58" s="1">
        <v>87.306082164000003</v>
      </c>
      <c r="Q58" s="1">
        <v>62.96256183600002</v>
      </c>
      <c r="R58" s="1">
        <f t="shared" si="5"/>
        <v>13.375399999999999</v>
      </c>
      <c r="S58" s="5"/>
      <c r="T58" s="5">
        <f t="shared" si="7"/>
        <v>0</v>
      </c>
      <c r="U58" s="5">
        <f t="shared" si="25"/>
        <v>0</v>
      </c>
      <c r="V58" s="5">
        <f t="shared" si="8"/>
        <v>0</v>
      </c>
      <c r="W58" s="5"/>
      <c r="X58" s="5"/>
      <c r="Y58" s="5"/>
      <c r="Z58" s="1"/>
      <c r="AA58" s="1">
        <f t="shared" si="10"/>
        <v>13.091544477174516</v>
      </c>
      <c r="AB58" s="1">
        <f t="shared" si="11"/>
        <v>13.091544477174516</v>
      </c>
      <c r="AC58" s="1">
        <v>12.828799999999999</v>
      </c>
      <c r="AD58" s="1">
        <v>10.311199999999999</v>
      </c>
      <c r="AE58" s="1">
        <v>15.530799999999999</v>
      </c>
      <c r="AF58" s="1">
        <v>14.7936</v>
      </c>
      <c r="AG58" s="1">
        <v>10.8622</v>
      </c>
      <c r="AH58" s="1" t="s">
        <v>49</v>
      </c>
      <c r="AI58" s="1">
        <f t="shared" si="12"/>
        <v>0</v>
      </c>
      <c r="AJ58" s="1">
        <f t="shared" si="13"/>
        <v>0</v>
      </c>
      <c r="AK58" s="1">
        <f t="shared" si="14"/>
        <v>0</v>
      </c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146</v>
      </c>
      <c r="B59" s="1" t="s">
        <v>34</v>
      </c>
      <c r="C59" s="1">
        <v>613.95399999999995</v>
      </c>
      <c r="D59" s="1">
        <v>580.61500000000001</v>
      </c>
      <c r="E59" s="1">
        <v>1020.176</v>
      </c>
      <c r="F59" s="1">
        <v>157.25700000000001</v>
      </c>
      <c r="G59" s="8">
        <v>1</v>
      </c>
      <c r="I59" s="1" t="s">
        <v>147</v>
      </c>
      <c r="J59" s="1"/>
      <c r="K59" s="1">
        <v>980.4</v>
      </c>
      <c r="L59" s="1">
        <f t="shared" si="26"/>
        <v>39.776000000000067</v>
      </c>
      <c r="M59" s="1">
        <f t="shared" si="4"/>
        <v>1020.176</v>
      </c>
      <c r="N59" s="1"/>
      <c r="O59" s="1">
        <v>220</v>
      </c>
      <c r="P59" s="1">
        <v>1363.040459928</v>
      </c>
      <c r="Q59" s="1">
        <v>982.98442807200013</v>
      </c>
      <c r="R59" s="1">
        <f t="shared" si="5"/>
        <v>204.0352</v>
      </c>
      <c r="S59" s="5"/>
      <c r="T59" s="5">
        <f t="shared" si="7"/>
        <v>0</v>
      </c>
      <c r="U59" s="5">
        <f t="shared" si="25"/>
        <v>0</v>
      </c>
      <c r="V59" s="5">
        <f t="shared" si="8"/>
        <v>0</v>
      </c>
      <c r="W59" s="5"/>
      <c r="X59" s="5"/>
      <c r="Y59" s="5"/>
      <c r="Z59" s="1"/>
      <c r="AA59" s="1">
        <f t="shared" si="10"/>
        <v>13.347117987484515</v>
      </c>
      <c r="AB59" s="1">
        <f t="shared" si="11"/>
        <v>13.347117987484515</v>
      </c>
      <c r="AC59" s="1">
        <v>200.19560000000001</v>
      </c>
      <c r="AD59" s="1">
        <v>168.12540000000001</v>
      </c>
      <c r="AE59" s="1">
        <v>125.8494</v>
      </c>
      <c r="AF59" s="1">
        <v>147.98500000000001</v>
      </c>
      <c r="AG59" s="1">
        <v>131.74639999999999</v>
      </c>
      <c r="AH59" s="1" t="s">
        <v>148</v>
      </c>
      <c r="AI59" s="1">
        <f t="shared" si="12"/>
        <v>0</v>
      </c>
      <c r="AJ59" s="1">
        <f t="shared" si="13"/>
        <v>0</v>
      </c>
      <c r="AK59" s="1">
        <f t="shared" si="14"/>
        <v>0</v>
      </c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 t="s">
        <v>149</v>
      </c>
      <c r="B60" s="1" t="s">
        <v>34</v>
      </c>
      <c r="C60" s="1">
        <v>89.191999999999993</v>
      </c>
      <c r="D60" s="1">
        <v>49.808999999999997</v>
      </c>
      <c r="E60" s="1">
        <v>45.807000000000002</v>
      </c>
      <c r="F60" s="1">
        <v>42.295999999999999</v>
      </c>
      <c r="G60" s="8">
        <v>1</v>
      </c>
      <c r="I60" s="1" t="s">
        <v>150</v>
      </c>
      <c r="J60" s="1"/>
      <c r="K60" s="1">
        <v>63.9</v>
      </c>
      <c r="L60" s="1">
        <f t="shared" si="26"/>
        <v>-18.092999999999996</v>
      </c>
      <c r="M60" s="1">
        <f t="shared" si="4"/>
        <v>45.807000000000002</v>
      </c>
      <c r="N60" s="1"/>
      <c r="O60" s="1">
        <v>0</v>
      </c>
      <c r="P60" s="1"/>
      <c r="Q60" s="1"/>
      <c r="R60" s="1">
        <f t="shared" si="5"/>
        <v>9.1614000000000004</v>
      </c>
      <c r="S60" s="5">
        <f t="shared" si="6"/>
        <v>67.640800000000013</v>
      </c>
      <c r="T60" s="5">
        <f t="shared" si="7"/>
        <v>67.640800000000013</v>
      </c>
      <c r="U60" s="5">
        <f t="shared" si="25"/>
        <v>67.640800000000013</v>
      </c>
      <c r="V60" s="5">
        <f t="shared" si="8"/>
        <v>67.640800000000013</v>
      </c>
      <c r="W60" s="5"/>
      <c r="X60" s="5"/>
      <c r="Y60" s="5"/>
      <c r="Z60" s="1"/>
      <c r="AA60" s="1">
        <f t="shared" si="10"/>
        <v>12</v>
      </c>
      <c r="AB60" s="1">
        <f t="shared" si="11"/>
        <v>4.6167616303185097</v>
      </c>
      <c r="AC60" s="1">
        <v>9.3217999999999996</v>
      </c>
      <c r="AD60" s="1">
        <v>17.030799999999999</v>
      </c>
      <c r="AE60" s="1">
        <v>13.9878</v>
      </c>
      <c r="AF60" s="1">
        <v>7.6651999999999996</v>
      </c>
      <c r="AG60" s="1">
        <v>13.283799999999999</v>
      </c>
      <c r="AH60" s="1"/>
      <c r="AI60" s="1">
        <f t="shared" si="12"/>
        <v>68</v>
      </c>
      <c r="AJ60" s="1">
        <f t="shared" si="13"/>
        <v>0</v>
      </c>
      <c r="AK60" s="1">
        <f t="shared" si="14"/>
        <v>0</v>
      </c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151</v>
      </c>
      <c r="B61" s="1" t="s">
        <v>34</v>
      </c>
      <c r="C61" s="1">
        <v>1548.616</v>
      </c>
      <c r="D61" s="1">
        <v>6.43</v>
      </c>
      <c r="E61" s="1">
        <v>280.91399999999999</v>
      </c>
      <c r="F61" s="1">
        <v>1239.7239999999999</v>
      </c>
      <c r="G61" s="8">
        <v>1</v>
      </c>
      <c r="I61" s="1" t="s">
        <v>152</v>
      </c>
      <c r="J61" s="1"/>
      <c r="K61" s="1">
        <v>317.89999999999998</v>
      </c>
      <c r="L61" s="1">
        <f t="shared" si="26"/>
        <v>-36.98599999999999</v>
      </c>
      <c r="M61" s="1">
        <f t="shared" si="4"/>
        <v>280.91399999999999</v>
      </c>
      <c r="N61" s="1"/>
      <c r="O61" s="1">
        <v>0</v>
      </c>
      <c r="P61" s="1"/>
      <c r="Q61" s="1"/>
      <c r="R61" s="1">
        <f t="shared" si="5"/>
        <v>56.1828</v>
      </c>
      <c r="S61" s="5"/>
      <c r="T61" s="5">
        <f t="shared" si="7"/>
        <v>0</v>
      </c>
      <c r="U61" s="5">
        <f t="shared" si="25"/>
        <v>0</v>
      </c>
      <c r="V61" s="5">
        <f t="shared" si="8"/>
        <v>0</v>
      </c>
      <c r="W61" s="5"/>
      <c r="X61" s="5"/>
      <c r="Y61" s="5"/>
      <c r="Z61" s="1"/>
      <c r="AA61" s="1">
        <f t="shared" si="10"/>
        <v>22.06589917198858</v>
      </c>
      <c r="AB61" s="1">
        <f t="shared" si="11"/>
        <v>22.06589917198858</v>
      </c>
      <c r="AC61" s="1">
        <v>55.811199999999999</v>
      </c>
      <c r="AD61" s="1">
        <v>100.8188</v>
      </c>
      <c r="AE61" s="1">
        <v>49.721200000000003</v>
      </c>
      <c r="AF61" s="1">
        <v>194.2208</v>
      </c>
      <c r="AG61" s="1">
        <v>53.8812</v>
      </c>
      <c r="AH61" s="1"/>
      <c r="AI61" s="1">
        <f t="shared" si="12"/>
        <v>0</v>
      </c>
      <c r="AJ61" s="1">
        <f t="shared" si="13"/>
        <v>0</v>
      </c>
      <c r="AK61" s="1">
        <f t="shared" si="14"/>
        <v>0</v>
      </c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153</v>
      </c>
      <c r="B62" s="1" t="s">
        <v>42</v>
      </c>
      <c r="C62" s="1">
        <v>541</v>
      </c>
      <c r="D62" s="1">
        <v>504</v>
      </c>
      <c r="E62" s="1">
        <v>770</v>
      </c>
      <c r="F62" s="1">
        <v>275</v>
      </c>
      <c r="G62" s="8">
        <v>0.6</v>
      </c>
      <c r="I62" s="1" t="s">
        <v>154</v>
      </c>
      <c r="J62" s="1"/>
      <c r="K62" s="1">
        <v>766</v>
      </c>
      <c r="L62" s="1">
        <f t="shared" si="26"/>
        <v>4</v>
      </c>
      <c r="M62" s="1">
        <f t="shared" si="4"/>
        <v>770</v>
      </c>
      <c r="N62" s="1"/>
      <c r="O62" s="1">
        <v>250</v>
      </c>
      <c r="P62" s="1">
        <v>627.58457999999996</v>
      </c>
      <c r="Q62" s="1">
        <v>452.5954200000001</v>
      </c>
      <c r="R62" s="1">
        <f t="shared" si="5"/>
        <v>154</v>
      </c>
      <c r="S62" s="5">
        <f t="shared" si="6"/>
        <v>242.81999999999994</v>
      </c>
      <c r="T62" s="5">
        <f t="shared" si="7"/>
        <v>242.81999999999994</v>
      </c>
      <c r="U62" s="5">
        <f t="shared" si="25"/>
        <v>242.81999999999994</v>
      </c>
      <c r="V62" s="5">
        <f t="shared" si="8"/>
        <v>126.91546539379473</v>
      </c>
      <c r="W62" s="5">
        <f t="shared" ref="W62:W63" si="27">(U62-X62)/$W$1</f>
        <v>115.9045346062052</v>
      </c>
      <c r="X62" s="5"/>
      <c r="Y62" s="5"/>
      <c r="Z62" s="1"/>
      <c r="AA62" s="1">
        <f t="shared" si="10"/>
        <v>12</v>
      </c>
      <c r="AB62" s="1">
        <f t="shared" si="11"/>
        <v>10.423246753246755</v>
      </c>
      <c r="AC62" s="1">
        <v>159</v>
      </c>
      <c r="AD62" s="1">
        <v>120.8</v>
      </c>
      <c r="AE62" s="1">
        <v>97.6</v>
      </c>
      <c r="AF62" s="1">
        <v>295</v>
      </c>
      <c r="AG62" s="1">
        <v>193.6</v>
      </c>
      <c r="AH62" s="1"/>
      <c r="AI62" s="1">
        <f t="shared" si="12"/>
        <v>76</v>
      </c>
      <c r="AJ62" s="1">
        <f t="shared" si="13"/>
        <v>70</v>
      </c>
      <c r="AK62" s="1">
        <f t="shared" si="14"/>
        <v>0</v>
      </c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" t="s">
        <v>155</v>
      </c>
      <c r="B63" s="1" t="s">
        <v>42</v>
      </c>
      <c r="C63" s="1">
        <v>26</v>
      </c>
      <c r="D63" s="1">
        <v>848</v>
      </c>
      <c r="E63" s="1">
        <v>433</v>
      </c>
      <c r="F63" s="1">
        <v>441</v>
      </c>
      <c r="G63" s="8">
        <v>0.6</v>
      </c>
      <c r="I63" s="1" t="s">
        <v>156</v>
      </c>
      <c r="J63" s="1"/>
      <c r="K63" s="1">
        <v>580</v>
      </c>
      <c r="L63" s="1">
        <f t="shared" si="26"/>
        <v>-147</v>
      </c>
      <c r="M63" s="1">
        <f t="shared" si="4"/>
        <v>433</v>
      </c>
      <c r="N63" s="1"/>
      <c r="O63" s="1">
        <v>330</v>
      </c>
      <c r="P63" s="1"/>
      <c r="Q63" s="1"/>
      <c r="R63" s="1">
        <f t="shared" si="5"/>
        <v>86.6</v>
      </c>
      <c r="S63" s="5">
        <f t="shared" si="6"/>
        <v>268.19999999999982</v>
      </c>
      <c r="T63" s="5">
        <f t="shared" si="7"/>
        <v>268.19999999999982</v>
      </c>
      <c r="U63" s="5">
        <f t="shared" si="25"/>
        <v>268.19999999999982</v>
      </c>
      <c r="V63" s="5">
        <f t="shared" si="8"/>
        <v>140.18090692124096</v>
      </c>
      <c r="W63" s="5">
        <f t="shared" si="27"/>
        <v>128.01909307875886</v>
      </c>
      <c r="X63" s="5"/>
      <c r="Y63" s="5"/>
      <c r="Z63" s="1"/>
      <c r="AA63" s="1">
        <f t="shared" si="10"/>
        <v>11.999999999999998</v>
      </c>
      <c r="AB63" s="1">
        <f t="shared" si="11"/>
        <v>8.9030023094688229</v>
      </c>
      <c r="AC63" s="1">
        <v>75.2</v>
      </c>
      <c r="AD63" s="1">
        <v>84.2</v>
      </c>
      <c r="AE63" s="1">
        <v>80.8</v>
      </c>
      <c r="AF63" s="1">
        <v>83</v>
      </c>
      <c r="AG63" s="1">
        <v>106.2</v>
      </c>
      <c r="AH63" s="1" t="s">
        <v>157</v>
      </c>
      <c r="AI63" s="1">
        <f t="shared" si="12"/>
        <v>84</v>
      </c>
      <c r="AJ63" s="1">
        <f t="shared" si="13"/>
        <v>77</v>
      </c>
      <c r="AK63" s="1">
        <f t="shared" si="14"/>
        <v>0</v>
      </c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158</v>
      </c>
      <c r="B64" s="1" t="s">
        <v>42</v>
      </c>
      <c r="C64" s="1">
        <v>98</v>
      </c>
      <c r="D64" s="1"/>
      <c r="E64" s="1">
        <v>85</v>
      </c>
      <c r="F64" s="1">
        <v>12</v>
      </c>
      <c r="G64" s="8">
        <v>0.35</v>
      </c>
      <c r="I64" s="1" t="s">
        <v>159</v>
      </c>
      <c r="J64" s="1"/>
      <c r="K64" s="1">
        <v>88</v>
      </c>
      <c r="L64" s="1">
        <f t="shared" si="26"/>
        <v>-3</v>
      </c>
      <c r="M64" s="1">
        <f t="shared" si="4"/>
        <v>85</v>
      </c>
      <c r="N64" s="1"/>
      <c r="O64" s="1">
        <v>0</v>
      </c>
      <c r="P64" s="1">
        <v>64.891889999999989</v>
      </c>
      <c r="Q64" s="1">
        <v>46.798110000000008</v>
      </c>
      <c r="R64" s="1">
        <f t="shared" si="5"/>
        <v>17</v>
      </c>
      <c r="S64" s="5">
        <f t="shared" si="6"/>
        <v>80.31</v>
      </c>
      <c r="T64" s="5">
        <f t="shared" si="7"/>
        <v>80.31</v>
      </c>
      <c r="U64" s="5">
        <f t="shared" si="25"/>
        <v>80.31</v>
      </c>
      <c r="V64" s="5">
        <f t="shared" si="8"/>
        <v>80.31</v>
      </c>
      <c r="W64" s="5"/>
      <c r="X64" s="5"/>
      <c r="Y64" s="5"/>
      <c r="Z64" s="1"/>
      <c r="AA64" s="1">
        <f t="shared" si="10"/>
        <v>12</v>
      </c>
      <c r="AB64" s="1">
        <f t="shared" si="11"/>
        <v>7.275882352941176</v>
      </c>
      <c r="AC64" s="1">
        <v>11</v>
      </c>
      <c r="AD64" s="1">
        <v>5.4</v>
      </c>
      <c r="AE64" s="1">
        <v>7.6</v>
      </c>
      <c r="AF64" s="1">
        <v>11.8</v>
      </c>
      <c r="AG64" s="1">
        <v>4.8</v>
      </c>
      <c r="AH64" s="1"/>
      <c r="AI64" s="1">
        <f t="shared" si="12"/>
        <v>28</v>
      </c>
      <c r="AJ64" s="1">
        <f t="shared" si="13"/>
        <v>0</v>
      </c>
      <c r="AK64" s="1">
        <f t="shared" si="14"/>
        <v>0</v>
      </c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 t="s">
        <v>160</v>
      </c>
      <c r="B65" s="1" t="s">
        <v>42</v>
      </c>
      <c r="C65" s="1">
        <v>161</v>
      </c>
      <c r="D65" s="1">
        <v>1</v>
      </c>
      <c r="E65" s="1">
        <v>118</v>
      </c>
      <c r="F65" s="1">
        <v>43</v>
      </c>
      <c r="G65" s="8">
        <v>0.37</v>
      </c>
      <c r="I65" s="1" t="s">
        <v>161</v>
      </c>
      <c r="J65" s="1"/>
      <c r="K65" s="1">
        <v>121</v>
      </c>
      <c r="L65" s="1">
        <f t="shared" si="26"/>
        <v>-3</v>
      </c>
      <c r="M65" s="1">
        <f t="shared" si="4"/>
        <v>118</v>
      </c>
      <c r="N65" s="1"/>
      <c r="O65" s="1">
        <v>140</v>
      </c>
      <c r="P65" s="1">
        <v>80.892629999999983</v>
      </c>
      <c r="Q65" s="1">
        <v>58.337370000000007</v>
      </c>
      <c r="R65" s="1">
        <f t="shared" si="5"/>
        <v>23.6</v>
      </c>
      <c r="S65" s="5"/>
      <c r="T65" s="5">
        <f t="shared" si="7"/>
        <v>0</v>
      </c>
      <c r="U65" s="5">
        <f t="shared" si="25"/>
        <v>0</v>
      </c>
      <c r="V65" s="5">
        <f t="shared" si="8"/>
        <v>0</v>
      </c>
      <c r="W65" s="5"/>
      <c r="X65" s="5"/>
      <c r="Y65" s="5"/>
      <c r="Z65" s="1"/>
      <c r="AA65" s="1">
        <f t="shared" si="10"/>
        <v>13.653813559322034</v>
      </c>
      <c r="AB65" s="1">
        <f t="shared" si="11"/>
        <v>13.653813559322034</v>
      </c>
      <c r="AC65" s="1">
        <v>31</v>
      </c>
      <c r="AD65" s="1">
        <v>21.4</v>
      </c>
      <c r="AE65" s="1">
        <v>22.4</v>
      </c>
      <c r="AF65" s="1">
        <v>30.2</v>
      </c>
      <c r="AG65" s="1">
        <v>14</v>
      </c>
      <c r="AH65" s="1"/>
      <c r="AI65" s="1">
        <f t="shared" si="12"/>
        <v>0</v>
      </c>
      <c r="AJ65" s="1">
        <f t="shared" si="13"/>
        <v>0</v>
      </c>
      <c r="AK65" s="1">
        <f t="shared" si="14"/>
        <v>0</v>
      </c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" t="s">
        <v>162</v>
      </c>
      <c r="B66" s="1" t="s">
        <v>42</v>
      </c>
      <c r="C66" s="1">
        <v>506</v>
      </c>
      <c r="D66" s="1"/>
      <c r="E66" s="1">
        <v>222</v>
      </c>
      <c r="F66" s="1">
        <v>284</v>
      </c>
      <c r="G66" s="8">
        <v>0.6</v>
      </c>
      <c r="I66" s="1" t="s">
        <v>163</v>
      </c>
      <c r="J66" s="1"/>
      <c r="K66" s="1">
        <v>225</v>
      </c>
      <c r="L66" s="1">
        <f t="shared" si="26"/>
        <v>-3</v>
      </c>
      <c r="M66" s="1">
        <f t="shared" si="4"/>
        <v>222</v>
      </c>
      <c r="N66" s="1"/>
      <c r="O66" s="1">
        <v>0</v>
      </c>
      <c r="P66" s="1"/>
      <c r="Q66" s="1"/>
      <c r="R66" s="1">
        <f t="shared" si="5"/>
        <v>44.4</v>
      </c>
      <c r="S66" s="5">
        <f t="shared" si="6"/>
        <v>248.79999999999995</v>
      </c>
      <c r="T66" s="5">
        <f t="shared" si="7"/>
        <v>248.79999999999995</v>
      </c>
      <c r="U66" s="5">
        <f t="shared" si="25"/>
        <v>248.79999999999995</v>
      </c>
      <c r="V66" s="5">
        <f t="shared" si="8"/>
        <v>130.04105011933171</v>
      </c>
      <c r="W66" s="5">
        <f>(U66-X66)/$W$1</f>
        <v>118.75894988066823</v>
      </c>
      <c r="X66" s="5"/>
      <c r="Y66" s="5"/>
      <c r="Z66" s="1"/>
      <c r="AA66" s="1">
        <f t="shared" si="10"/>
        <v>12</v>
      </c>
      <c r="AB66" s="1">
        <f t="shared" si="11"/>
        <v>6.3963963963963968</v>
      </c>
      <c r="AC66" s="1">
        <v>22.8</v>
      </c>
      <c r="AD66" s="1">
        <v>112.8</v>
      </c>
      <c r="AE66" s="1">
        <v>42</v>
      </c>
      <c r="AF66" s="1">
        <v>61</v>
      </c>
      <c r="AG66" s="1">
        <v>15</v>
      </c>
      <c r="AH66" s="1" t="s">
        <v>157</v>
      </c>
      <c r="AI66" s="1">
        <f t="shared" si="12"/>
        <v>78</v>
      </c>
      <c r="AJ66" s="1">
        <f t="shared" si="13"/>
        <v>71</v>
      </c>
      <c r="AK66" s="1">
        <f t="shared" si="14"/>
        <v>0</v>
      </c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 t="s">
        <v>164</v>
      </c>
      <c r="B67" s="1" t="s">
        <v>42</v>
      </c>
      <c r="C67" s="1">
        <v>9</v>
      </c>
      <c r="D67" s="1">
        <v>188</v>
      </c>
      <c r="E67" s="1">
        <v>21</v>
      </c>
      <c r="F67" s="1">
        <v>125</v>
      </c>
      <c r="G67" s="8">
        <v>0.33</v>
      </c>
      <c r="I67" s="1" t="s">
        <v>165</v>
      </c>
      <c r="J67" s="1"/>
      <c r="K67" s="1">
        <v>105</v>
      </c>
      <c r="L67" s="1">
        <f t="shared" si="26"/>
        <v>-84</v>
      </c>
      <c r="M67" s="1">
        <f t="shared" si="4"/>
        <v>21</v>
      </c>
      <c r="N67" s="1"/>
      <c r="O67" s="1">
        <v>0</v>
      </c>
      <c r="P67" s="1"/>
      <c r="Q67" s="1"/>
      <c r="R67" s="1">
        <f t="shared" si="5"/>
        <v>4.2</v>
      </c>
      <c r="S67" s="5"/>
      <c r="T67" s="5">
        <f t="shared" si="7"/>
        <v>0</v>
      </c>
      <c r="U67" s="5">
        <f t="shared" si="25"/>
        <v>0</v>
      </c>
      <c r="V67" s="5">
        <f t="shared" si="8"/>
        <v>0</v>
      </c>
      <c r="W67" s="5"/>
      <c r="X67" s="5"/>
      <c r="Y67" s="5"/>
      <c r="Z67" s="1"/>
      <c r="AA67" s="1">
        <f t="shared" si="10"/>
        <v>29.761904761904759</v>
      </c>
      <c r="AB67" s="1">
        <f t="shared" si="11"/>
        <v>29.761904761904759</v>
      </c>
      <c r="AC67" s="1">
        <v>12</v>
      </c>
      <c r="AD67" s="1">
        <v>13.6</v>
      </c>
      <c r="AE67" s="1">
        <v>21</v>
      </c>
      <c r="AF67" s="1">
        <v>7</v>
      </c>
      <c r="AG67" s="1">
        <v>13.4</v>
      </c>
      <c r="AH67" s="1"/>
      <c r="AI67" s="1">
        <f t="shared" si="12"/>
        <v>0</v>
      </c>
      <c r="AJ67" s="1">
        <f t="shared" si="13"/>
        <v>0</v>
      </c>
      <c r="AK67" s="1">
        <f t="shared" si="14"/>
        <v>0</v>
      </c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" t="s">
        <v>166</v>
      </c>
      <c r="B68" s="1" t="s">
        <v>42</v>
      </c>
      <c r="C68" s="1">
        <v>4.26</v>
      </c>
      <c r="D68" s="1">
        <v>96</v>
      </c>
      <c r="E68" s="1">
        <v>66</v>
      </c>
      <c r="F68" s="1">
        <v>31.26</v>
      </c>
      <c r="G68" s="8">
        <v>0.4</v>
      </c>
      <c r="I68" s="1" t="s">
        <v>167</v>
      </c>
      <c r="J68" s="1"/>
      <c r="K68" s="1">
        <v>94</v>
      </c>
      <c r="L68" s="1">
        <f t="shared" si="26"/>
        <v>-28</v>
      </c>
      <c r="M68" s="1">
        <f t="shared" si="4"/>
        <v>66</v>
      </c>
      <c r="N68" s="1"/>
      <c r="O68" s="1">
        <v>0</v>
      </c>
      <c r="P68" s="1"/>
      <c r="Q68" s="1"/>
      <c r="R68" s="1">
        <f t="shared" si="5"/>
        <v>13.2</v>
      </c>
      <c r="S68" s="5">
        <f>9*R68-Q68-P68-O68-F68</f>
        <v>87.539999999999992</v>
      </c>
      <c r="T68" s="5">
        <f t="shared" si="7"/>
        <v>87.539999999999992</v>
      </c>
      <c r="U68" s="5">
        <f t="shared" si="25"/>
        <v>87.539999999999992</v>
      </c>
      <c r="V68" s="5">
        <f t="shared" si="8"/>
        <v>87.539999999999992</v>
      </c>
      <c r="W68" s="5"/>
      <c r="X68" s="5"/>
      <c r="Y68" s="5"/>
      <c r="Z68" s="1"/>
      <c r="AA68" s="1">
        <f t="shared" si="10"/>
        <v>9</v>
      </c>
      <c r="AB68" s="1">
        <f t="shared" si="11"/>
        <v>2.3681818181818186</v>
      </c>
      <c r="AC68" s="1">
        <v>10.148</v>
      </c>
      <c r="AD68" s="1">
        <v>10.6</v>
      </c>
      <c r="AE68" s="1">
        <v>12.2</v>
      </c>
      <c r="AF68" s="1">
        <v>11.8</v>
      </c>
      <c r="AG68" s="1">
        <v>9.6</v>
      </c>
      <c r="AH68" s="1"/>
      <c r="AI68" s="1">
        <f t="shared" si="12"/>
        <v>35</v>
      </c>
      <c r="AJ68" s="1">
        <f t="shared" si="13"/>
        <v>0</v>
      </c>
      <c r="AK68" s="1">
        <f t="shared" si="14"/>
        <v>0</v>
      </c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" t="s">
        <v>168</v>
      </c>
      <c r="B69" s="1" t="s">
        <v>42</v>
      </c>
      <c r="C69" s="1">
        <v>87</v>
      </c>
      <c r="D69" s="1">
        <v>230</v>
      </c>
      <c r="E69" s="1">
        <v>259</v>
      </c>
      <c r="F69" s="1">
        <v>55</v>
      </c>
      <c r="G69" s="8">
        <v>0.35</v>
      </c>
      <c r="I69" s="1" t="s">
        <v>169</v>
      </c>
      <c r="J69" s="1"/>
      <c r="K69" s="1">
        <v>300</v>
      </c>
      <c r="L69" s="1">
        <f t="shared" si="26"/>
        <v>-41</v>
      </c>
      <c r="M69" s="1">
        <f t="shared" si="4"/>
        <v>259</v>
      </c>
      <c r="N69" s="1"/>
      <c r="O69" s="1">
        <v>0</v>
      </c>
      <c r="P69" s="1">
        <v>354.32749799999999</v>
      </c>
      <c r="Q69" s="1">
        <v>255.5305020000001</v>
      </c>
      <c r="R69" s="1">
        <f t="shared" si="5"/>
        <v>51.8</v>
      </c>
      <c r="S69" s="5"/>
      <c r="T69" s="5">
        <f t="shared" si="7"/>
        <v>0</v>
      </c>
      <c r="U69" s="5">
        <f t="shared" si="25"/>
        <v>0</v>
      </c>
      <c r="V69" s="5">
        <f t="shared" si="8"/>
        <v>0</v>
      </c>
      <c r="W69" s="5"/>
      <c r="X69" s="5"/>
      <c r="Y69" s="5"/>
      <c r="Z69" s="1"/>
      <c r="AA69" s="1">
        <f t="shared" si="10"/>
        <v>12.835096525096526</v>
      </c>
      <c r="AB69" s="1">
        <f t="shared" si="11"/>
        <v>12.835096525096526</v>
      </c>
      <c r="AC69" s="1">
        <v>47.6</v>
      </c>
      <c r="AD69" s="1">
        <v>42.2</v>
      </c>
      <c r="AE69" s="1">
        <v>31</v>
      </c>
      <c r="AF69" s="1">
        <v>28.6</v>
      </c>
      <c r="AG69" s="1">
        <v>31.6</v>
      </c>
      <c r="AH69" s="1" t="s">
        <v>170</v>
      </c>
      <c r="AI69" s="1">
        <f t="shared" si="12"/>
        <v>0</v>
      </c>
      <c r="AJ69" s="1">
        <f t="shared" si="13"/>
        <v>0</v>
      </c>
      <c r="AK69" s="1">
        <f t="shared" si="14"/>
        <v>0</v>
      </c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" t="s">
        <v>171</v>
      </c>
      <c r="B70" s="1" t="s">
        <v>42</v>
      </c>
      <c r="C70" s="1">
        <v>297</v>
      </c>
      <c r="D70" s="1">
        <v>672</v>
      </c>
      <c r="E70" s="1">
        <v>667</v>
      </c>
      <c r="F70" s="1">
        <v>294</v>
      </c>
      <c r="G70" s="8">
        <v>0.35</v>
      </c>
      <c r="I70" s="1" t="s">
        <v>172</v>
      </c>
      <c r="J70" s="1"/>
      <c r="K70" s="1">
        <v>684</v>
      </c>
      <c r="L70" s="1">
        <f t="shared" ref="L70:L101" si="28">E70-K70</f>
        <v>-17</v>
      </c>
      <c r="M70" s="1">
        <f t="shared" si="4"/>
        <v>667</v>
      </c>
      <c r="N70" s="1"/>
      <c r="O70" s="1">
        <v>0</v>
      </c>
      <c r="P70" s="1">
        <v>139.38422399999999</v>
      </c>
      <c r="Q70" s="1">
        <v>100.51977599999999</v>
      </c>
      <c r="R70" s="1">
        <f t="shared" si="5"/>
        <v>133.4</v>
      </c>
      <c r="S70" s="5">
        <f>10*R70-Q70-P70-O70-F70</f>
        <v>800.096</v>
      </c>
      <c r="T70" s="5">
        <f t="shared" si="7"/>
        <v>800.096</v>
      </c>
      <c r="U70" s="5">
        <f>T70*$U$1</f>
        <v>883.30598400000008</v>
      </c>
      <c r="V70" s="5">
        <f t="shared" si="8"/>
        <v>461.68021598090701</v>
      </c>
      <c r="W70" s="5">
        <f>(U70-X70)/$W$1</f>
        <v>421.62576801909307</v>
      </c>
      <c r="X70" s="5"/>
      <c r="Y70" s="5"/>
      <c r="Z70" s="1"/>
      <c r="AA70" s="1">
        <f t="shared" si="10"/>
        <v>10.62376299850075</v>
      </c>
      <c r="AB70" s="1">
        <f t="shared" si="11"/>
        <v>4.0022788605697146</v>
      </c>
      <c r="AC70" s="1">
        <v>75.8</v>
      </c>
      <c r="AD70" s="1">
        <v>79.400000000000006</v>
      </c>
      <c r="AE70" s="1">
        <v>79.400000000000006</v>
      </c>
      <c r="AF70" s="1">
        <v>84.2</v>
      </c>
      <c r="AG70" s="1">
        <v>95.6</v>
      </c>
      <c r="AH70" s="1" t="s">
        <v>36</v>
      </c>
      <c r="AI70" s="1">
        <f t="shared" si="12"/>
        <v>162</v>
      </c>
      <c r="AJ70" s="1">
        <f t="shared" si="13"/>
        <v>148</v>
      </c>
      <c r="AK70" s="1">
        <f t="shared" si="14"/>
        <v>0</v>
      </c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 t="s">
        <v>173</v>
      </c>
      <c r="B71" s="1" t="s">
        <v>42</v>
      </c>
      <c r="C71" s="1">
        <v>5</v>
      </c>
      <c r="D71" s="1">
        <v>50</v>
      </c>
      <c r="E71" s="1">
        <v>5</v>
      </c>
      <c r="F71" s="1">
        <v>50</v>
      </c>
      <c r="G71" s="8">
        <v>0.4</v>
      </c>
      <c r="I71" s="1" t="s">
        <v>174</v>
      </c>
      <c r="J71" s="1"/>
      <c r="K71" s="1">
        <v>60</v>
      </c>
      <c r="L71" s="1">
        <f t="shared" si="28"/>
        <v>-55</v>
      </c>
      <c r="M71" s="1">
        <f t="shared" ref="M71:M117" si="29">E71-N71</f>
        <v>5</v>
      </c>
      <c r="N71" s="1"/>
      <c r="O71" s="1">
        <v>0</v>
      </c>
      <c r="P71" s="1"/>
      <c r="Q71" s="1"/>
      <c r="R71" s="1">
        <f t="shared" ref="R71:R117" si="30">M71/5</f>
        <v>1</v>
      </c>
      <c r="S71" s="5"/>
      <c r="T71" s="5">
        <f t="shared" ref="T71:T117" si="31">S71</f>
        <v>0</v>
      </c>
      <c r="U71" s="5">
        <f t="shared" ref="U71:U72" si="32">T71</f>
        <v>0</v>
      </c>
      <c r="V71" s="5">
        <f t="shared" ref="V71:V117" si="33">U71-W71-X71</f>
        <v>0</v>
      </c>
      <c r="W71" s="5"/>
      <c r="X71" s="5"/>
      <c r="Y71" s="5"/>
      <c r="Z71" s="1"/>
      <c r="AA71" s="1">
        <f t="shared" ref="AA71:AA117" si="34">(F71+O71+P71+Q71+U71)/R71</f>
        <v>50</v>
      </c>
      <c r="AB71" s="1">
        <f t="shared" ref="AB71:AB117" si="35">(F71+O71+P71+Q71)/R71</f>
        <v>50</v>
      </c>
      <c r="AC71" s="1">
        <v>1</v>
      </c>
      <c r="AD71" s="1">
        <v>0</v>
      </c>
      <c r="AE71" s="1">
        <v>4.5999999999999996</v>
      </c>
      <c r="AF71" s="1">
        <v>3.4</v>
      </c>
      <c r="AG71" s="1">
        <v>5</v>
      </c>
      <c r="AH71" s="1" t="s">
        <v>175</v>
      </c>
      <c r="AI71" s="1">
        <f t="shared" ref="AI71:AI117" si="36">ROUND(V71*G71,0)</f>
        <v>0</v>
      </c>
      <c r="AJ71" s="1">
        <f t="shared" ref="AJ71:AJ117" si="37">ROUND(W71*G71,0)</f>
        <v>0</v>
      </c>
      <c r="AK71" s="1">
        <f t="shared" ref="AK71:AK117" si="38">ROUND(X71*G71,0)</f>
        <v>0</v>
      </c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" t="s">
        <v>176</v>
      </c>
      <c r="B72" s="1" t="s">
        <v>34</v>
      </c>
      <c r="C72" s="1">
        <v>68.813999999999993</v>
      </c>
      <c r="D72" s="1"/>
      <c r="E72" s="1">
        <v>28.228000000000002</v>
      </c>
      <c r="F72" s="1">
        <v>39.74</v>
      </c>
      <c r="G72" s="8">
        <v>1</v>
      </c>
      <c r="I72" s="1" t="s">
        <v>177</v>
      </c>
      <c r="J72" s="1"/>
      <c r="K72" s="1">
        <v>26.2</v>
      </c>
      <c r="L72" s="1">
        <f t="shared" si="28"/>
        <v>2.0280000000000022</v>
      </c>
      <c r="M72" s="1">
        <f t="shared" si="29"/>
        <v>28.228000000000002</v>
      </c>
      <c r="N72" s="1"/>
      <c r="O72" s="1">
        <v>0</v>
      </c>
      <c r="P72" s="1"/>
      <c r="Q72" s="1"/>
      <c r="R72" s="1">
        <f t="shared" si="30"/>
        <v>5.6456</v>
      </c>
      <c r="S72" s="5">
        <f t="shared" ref="S72:S105" si="39">12*R72-Q72-P72-O72-F72</f>
        <v>28.00719999999999</v>
      </c>
      <c r="T72" s="5">
        <f t="shared" si="31"/>
        <v>28.00719999999999</v>
      </c>
      <c r="U72" s="5">
        <f t="shared" si="32"/>
        <v>28.00719999999999</v>
      </c>
      <c r="V72" s="5">
        <f t="shared" si="33"/>
        <v>28.00719999999999</v>
      </c>
      <c r="W72" s="5"/>
      <c r="X72" s="5"/>
      <c r="Y72" s="5"/>
      <c r="Z72" s="1"/>
      <c r="AA72" s="1">
        <f t="shared" si="34"/>
        <v>11.999999999999998</v>
      </c>
      <c r="AB72" s="1">
        <f t="shared" si="35"/>
        <v>7.0391101034433898</v>
      </c>
      <c r="AC72" s="1">
        <v>4.0502000000000002</v>
      </c>
      <c r="AD72" s="1">
        <v>5.4164000000000003</v>
      </c>
      <c r="AE72" s="1">
        <v>0.78439999999999999</v>
      </c>
      <c r="AF72" s="1">
        <v>1.3715999999999999</v>
      </c>
      <c r="AG72" s="1">
        <v>0.46479999999999999</v>
      </c>
      <c r="AH72" s="1"/>
      <c r="AI72" s="1">
        <f t="shared" si="36"/>
        <v>28</v>
      </c>
      <c r="AJ72" s="1">
        <f t="shared" si="37"/>
        <v>0</v>
      </c>
      <c r="AK72" s="1">
        <f t="shared" si="38"/>
        <v>0</v>
      </c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 t="s">
        <v>178</v>
      </c>
      <c r="B73" s="1" t="s">
        <v>34</v>
      </c>
      <c r="C73" s="1">
        <v>3613.835</v>
      </c>
      <c r="D73" s="1">
        <v>5205.2979999999998</v>
      </c>
      <c r="E73" s="1">
        <v>3797.3560000000002</v>
      </c>
      <c r="F73" s="1">
        <v>4988.5789999999997</v>
      </c>
      <c r="G73" s="8">
        <v>1</v>
      </c>
      <c r="I73" s="1" t="s">
        <v>179</v>
      </c>
      <c r="J73" s="1"/>
      <c r="K73" s="1">
        <v>3790.04</v>
      </c>
      <c r="L73" s="1">
        <f t="shared" si="28"/>
        <v>7.3160000000002583</v>
      </c>
      <c r="M73" s="1">
        <f t="shared" si="29"/>
        <v>3343.0160000000001</v>
      </c>
      <c r="N73" s="1">
        <v>454.34</v>
      </c>
      <c r="O73" s="1">
        <v>500</v>
      </c>
      <c r="P73" s="1">
        <v>429.97455207000053</v>
      </c>
      <c r="Q73" s="1">
        <v>310.08491793000042</v>
      </c>
      <c r="R73" s="1">
        <f t="shared" si="30"/>
        <v>668.60320000000002</v>
      </c>
      <c r="S73" s="5">
        <f t="shared" si="39"/>
        <v>1794.5999299999994</v>
      </c>
      <c r="T73" s="5">
        <f t="shared" si="31"/>
        <v>1794.5999299999994</v>
      </c>
      <c r="U73" s="5">
        <f>T73*$U$1</f>
        <v>1981.2383227199996</v>
      </c>
      <c r="V73" s="5">
        <f t="shared" si="33"/>
        <v>1035.5398393214318</v>
      </c>
      <c r="W73" s="5">
        <f>(U73-X73)/$W$1</f>
        <v>945.69848339856776</v>
      </c>
      <c r="X73" s="5"/>
      <c r="Y73" s="5"/>
      <c r="Z73" s="1"/>
      <c r="AA73" s="1">
        <f t="shared" si="34"/>
        <v>12.279146723677064</v>
      </c>
      <c r="AB73" s="1">
        <f t="shared" si="35"/>
        <v>9.3158968877205499</v>
      </c>
      <c r="AC73" s="1">
        <v>799.48800000000006</v>
      </c>
      <c r="AD73" s="1">
        <v>781.14059999999995</v>
      </c>
      <c r="AE73" s="1">
        <v>821.63319999999999</v>
      </c>
      <c r="AF73" s="1">
        <v>754.90499999999997</v>
      </c>
      <c r="AG73" s="1">
        <v>782.39779999999996</v>
      </c>
      <c r="AH73" s="1" t="s">
        <v>78</v>
      </c>
      <c r="AI73" s="1">
        <f t="shared" si="36"/>
        <v>1036</v>
      </c>
      <c r="AJ73" s="1">
        <f t="shared" si="37"/>
        <v>946</v>
      </c>
      <c r="AK73" s="1">
        <f t="shared" si="38"/>
        <v>0</v>
      </c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 t="s">
        <v>180</v>
      </c>
      <c r="B74" s="1" t="s">
        <v>42</v>
      </c>
      <c r="C74" s="1">
        <v>201</v>
      </c>
      <c r="D74" s="1">
        <v>104</v>
      </c>
      <c r="E74" s="1">
        <v>201</v>
      </c>
      <c r="F74" s="1">
        <v>102</v>
      </c>
      <c r="G74" s="8">
        <v>0.3</v>
      </c>
      <c r="I74" s="1" t="s">
        <v>181</v>
      </c>
      <c r="J74" s="1"/>
      <c r="K74" s="1">
        <v>203</v>
      </c>
      <c r="L74" s="1">
        <f t="shared" si="28"/>
        <v>-2</v>
      </c>
      <c r="M74" s="1">
        <f t="shared" si="29"/>
        <v>201</v>
      </c>
      <c r="N74" s="1"/>
      <c r="O74" s="1">
        <v>80</v>
      </c>
      <c r="P74" s="1">
        <v>268.45686000000001</v>
      </c>
      <c r="Q74" s="1">
        <v>193.60314</v>
      </c>
      <c r="R74" s="1">
        <f t="shared" si="30"/>
        <v>40.200000000000003</v>
      </c>
      <c r="S74" s="5"/>
      <c r="T74" s="5">
        <f t="shared" si="31"/>
        <v>0</v>
      </c>
      <c r="U74" s="5">
        <f>T74</f>
        <v>0</v>
      </c>
      <c r="V74" s="5">
        <f t="shared" si="33"/>
        <v>0</v>
      </c>
      <c r="W74" s="5"/>
      <c r="X74" s="5"/>
      <c r="Y74" s="5"/>
      <c r="Z74" s="1"/>
      <c r="AA74" s="1">
        <f t="shared" si="34"/>
        <v>16.021393034825866</v>
      </c>
      <c r="AB74" s="1">
        <f t="shared" si="35"/>
        <v>16.021393034825866</v>
      </c>
      <c r="AC74" s="1">
        <v>53</v>
      </c>
      <c r="AD74" s="1">
        <v>21.2</v>
      </c>
      <c r="AE74" s="1">
        <v>3.6</v>
      </c>
      <c r="AF74" s="1">
        <v>38.200000000000003</v>
      </c>
      <c r="AG74" s="1">
        <v>6</v>
      </c>
      <c r="AH74" s="1"/>
      <c r="AI74" s="1">
        <f t="shared" si="36"/>
        <v>0</v>
      </c>
      <c r="AJ74" s="1">
        <f t="shared" si="37"/>
        <v>0</v>
      </c>
      <c r="AK74" s="1">
        <f t="shared" si="38"/>
        <v>0</v>
      </c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 t="s">
        <v>182</v>
      </c>
      <c r="B75" s="1" t="s">
        <v>34</v>
      </c>
      <c r="C75" s="1">
        <v>685.15099999999995</v>
      </c>
      <c r="D75" s="1">
        <v>3157.989</v>
      </c>
      <c r="E75" s="1">
        <v>1540.14</v>
      </c>
      <c r="F75" s="1">
        <v>2281.8690000000001</v>
      </c>
      <c r="G75" s="8">
        <v>1</v>
      </c>
      <c r="I75" s="1" t="s">
        <v>183</v>
      </c>
      <c r="J75" s="1"/>
      <c r="K75" s="1">
        <v>1569.1</v>
      </c>
      <c r="L75" s="1">
        <f t="shared" si="28"/>
        <v>-28.959999999999809</v>
      </c>
      <c r="M75" s="1">
        <f t="shared" si="29"/>
        <v>1540.14</v>
      </c>
      <c r="N75" s="1"/>
      <c r="O75" s="1">
        <v>300</v>
      </c>
      <c r="P75" s="1"/>
      <c r="Q75" s="1"/>
      <c r="R75" s="1">
        <f t="shared" si="30"/>
        <v>308.02800000000002</v>
      </c>
      <c r="S75" s="5">
        <f t="shared" si="39"/>
        <v>1114.4670000000001</v>
      </c>
      <c r="T75" s="5">
        <f t="shared" si="31"/>
        <v>1114.4670000000001</v>
      </c>
      <c r="U75" s="5">
        <f>T75*$U$1</f>
        <v>1230.3715680000003</v>
      </c>
      <c r="V75" s="5">
        <f t="shared" si="33"/>
        <v>643.08203673508376</v>
      </c>
      <c r="W75" s="5">
        <f>(U75-X75)/$W$1</f>
        <v>587.28953126491649</v>
      </c>
      <c r="X75" s="5"/>
      <c r="Y75" s="5"/>
      <c r="Z75" s="1"/>
      <c r="AA75" s="1">
        <f t="shared" si="34"/>
        <v>12.376279325256146</v>
      </c>
      <c r="AB75" s="1">
        <f t="shared" si="35"/>
        <v>8.3819295648447536</v>
      </c>
      <c r="AC75" s="1">
        <v>301.47000000000003</v>
      </c>
      <c r="AD75" s="1">
        <v>254.72839999999999</v>
      </c>
      <c r="AE75" s="1">
        <v>276.92239999999998</v>
      </c>
      <c r="AF75" s="1">
        <v>244.89420000000001</v>
      </c>
      <c r="AG75" s="1">
        <v>319.43419999999998</v>
      </c>
      <c r="AH75" s="1" t="s">
        <v>36</v>
      </c>
      <c r="AI75" s="1">
        <f t="shared" si="36"/>
        <v>643</v>
      </c>
      <c r="AJ75" s="1">
        <f t="shared" si="37"/>
        <v>587</v>
      </c>
      <c r="AK75" s="1">
        <f t="shared" si="38"/>
        <v>0</v>
      </c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" t="s">
        <v>184</v>
      </c>
      <c r="B76" s="1" t="s">
        <v>34</v>
      </c>
      <c r="C76" s="1">
        <v>2181.4690000000001</v>
      </c>
      <c r="D76" s="1">
        <v>9069.9770000000008</v>
      </c>
      <c r="E76" s="1">
        <v>3564.7660000000001</v>
      </c>
      <c r="F76" s="1">
        <v>7671.1310000000003</v>
      </c>
      <c r="G76" s="8">
        <v>1</v>
      </c>
      <c r="I76" s="1" t="s">
        <v>185</v>
      </c>
      <c r="J76" s="1"/>
      <c r="K76" s="1">
        <v>3596.1</v>
      </c>
      <c r="L76" s="1">
        <f t="shared" si="28"/>
        <v>-31.333999999999833</v>
      </c>
      <c r="M76" s="1">
        <f t="shared" si="29"/>
        <v>3564.7660000000001</v>
      </c>
      <c r="N76" s="1"/>
      <c r="O76" s="1">
        <v>1500</v>
      </c>
      <c r="P76" s="1"/>
      <c r="Q76" s="1"/>
      <c r="R76" s="1">
        <f t="shared" si="30"/>
        <v>712.95320000000004</v>
      </c>
      <c r="S76" s="5"/>
      <c r="T76" s="5">
        <f t="shared" si="31"/>
        <v>0</v>
      </c>
      <c r="U76" s="5">
        <f t="shared" ref="U76:U117" si="40">T76</f>
        <v>0</v>
      </c>
      <c r="V76" s="5">
        <f t="shared" si="33"/>
        <v>0</v>
      </c>
      <c r="W76" s="5"/>
      <c r="X76" s="5"/>
      <c r="Y76" s="5"/>
      <c r="Z76" s="1"/>
      <c r="AA76" s="1">
        <f t="shared" si="34"/>
        <v>12.863580667005914</v>
      </c>
      <c r="AB76" s="1">
        <f t="shared" si="35"/>
        <v>12.863580667005914</v>
      </c>
      <c r="AC76" s="1">
        <v>686.71839999999997</v>
      </c>
      <c r="AD76" s="1">
        <v>605.00379999999996</v>
      </c>
      <c r="AE76" s="1">
        <v>659.8646</v>
      </c>
      <c r="AF76" s="1">
        <v>643.58459999999991</v>
      </c>
      <c r="AG76" s="1">
        <v>892.06839999999988</v>
      </c>
      <c r="AH76" s="1" t="s">
        <v>36</v>
      </c>
      <c r="AI76" s="1">
        <f t="shared" si="36"/>
        <v>0</v>
      </c>
      <c r="AJ76" s="1">
        <f t="shared" si="37"/>
        <v>0</v>
      </c>
      <c r="AK76" s="1">
        <f t="shared" si="38"/>
        <v>0</v>
      </c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 t="s">
        <v>186</v>
      </c>
      <c r="B77" s="1" t="s">
        <v>34</v>
      </c>
      <c r="C77" s="1">
        <v>4590.3469999999998</v>
      </c>
      <c r="D77" s="1">
        <v>7135.6090000000004</v>
      </c>
      <c r="E77" s="1">
        <v>4310.4790000000003</v>
      </c>
      <c r="F77" s="1">
        <v>7387.83</v>
      </c>
      <c r="G77" s="8">
        <v>1</v>
      </c>
      <c r="I77" s="1" t="s">
        <v>187</v>
      </c>
      <c r="J77" s="1"/>
      <c r="K77" s="1">
        <v>4344.518</v>
      </c>
      <c r="L77" s="1">
        <f t="shared" si="28"/>
        <v>-34.03899999999976</v>
      </c>
      <c r="M77" s="1">
        <f t="shared" si="29"/>
        <v>4022.1610000000001</v>
      </c>
      <c r="N77" s="1">
        <v>288.31799999999998</v>
      </c>
      <c r="O77" s="1">
        <v>600</v>
      </c>
      <c r="P77" s="1">
        <v>1077.255865224</v>
      </c>
      <c r="Q77" s="1">
        <v>776.88503877599987</v>
      </c>
      <c r="R77" s="1">
        <f t="shared" si="30"/>
        <v>804.43219999999997</v>
      </c>
      <c r="S77" s="5"/>
      <c r="T77" s="5">
        <f t="shared" si="31"/>
        <v>0</v>
      </c>
      <c r="U77" s="5">
        <f t="shared" si="40"/>
        <v>0</v>
      </c>
      <c r="V77" s="5">
        <f t="shared" si="33"/>
        <v>0</v>
      </c>
      <c r="W77" s="5"/>
      <c r="X77" s="5"/>
      <c r="Y77" s="5"/>
      <c r="Z77" s="1"/>
      <c r="AA77" s="1">
        <f t="shared" si="34"/>
        <v>12.234680441682967</v>
      </c>
      <c r="AB77" s="1">
        <f t="shared" si="35"/>
        <v>12.234680441682967</v>
      </c>
      <c r="AC77" s="1">
        <v>793.85979999999995</v>
      </c>
      <c r="AD77" s="1">
        <v>670.39440000000002</v>
      </c>
      <c r="AE77" s="1">
        <v>796.82820000000004</v>
      </c>
      <c r="AF77" s="1">
        <v>814.63580000000002</v>
      </c>
      <c r="AG77" s="1">
        <v>890.33680000000004</v>
      </c>
      <c r="AH77" s="1" t="s">
        <v>36</v>
      </c>
      <c r="AI77" s="1">
        <f t="shared" si="36"/>
        <v>0</v>
      </c>
      <c r="AJ77" s="1">
        <f t="shared" si="37"/>
        <v>0</v>
      </c>
      <c r="AK77" s="1">
        <f t="shared" si="38"/>
        <v>0</v>
      </c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 t="s">
        <v>188</v>
      </c>
      <c r="B78" s="1" t="s">
        <v>34</v>
      </c>
      <c r="C78" s="1">
        <v>67.442999999999998</v>
      </c>
      <c r="D78" s="1">
        <v>12.24</v>
      </c>
      <c r="E78" s="1">
        <v>68.697000000000003</v>
      </c>
      <c r="F78" s="1">
        <v>9.6050000000000004</v>
      </c>
      <c r="G78" s="8">
        <v>1</v>
      </c>
      <c r="I78" s="1" t="s">
        <v>189</v>
      </c>
      <c r="J78" s="1"/>
      <c r="K78" s="1">
        <v>85.3</v>
      </c>
      <c r="L78" s="1">
        <f t="shared" si="28"/>
        <v>-16.602999999999994</v>
      </c>
      <c r="M78" s="1">
        <f t="shared" si="29"/>
        <v>68.697000000000003</v>
      </c>
      <c r="N78" s="1"/>
      <c r="O78" s="1">
        <v>0</v>
      </c>
      <c r="P78" s="1">
        <v>122.68958524200001</v>
      </c>
      <c r="Q78" s="1">
        <v>88.480096758000002</v>
      </c>
      <c r="R78" s="1">
        <f t="shared" si="30"/>
        <v>13.7394</v>
      </c>
      <c r="S78" s="5"/>
      <c r="T78" s="5">
        <f t="shared" si="31"/>
        <v>0</v>
      </c>
      <c r="U78" s="5">
        <f t="shared" si="40"/>
        <v>0</v>
      </c>
      <c r="V78" s="5">
        <f t="shared" si="33"/>
        <v>0</v>
      </c>
      <c r="W78" s="5"/>
      <c r="X78" s="5"/>
      <c r="Y78" s="5"/>
      <c r="Z78" s="1"/>
      <c r="AA78" s="1">
        <f t="shared" si="34"/>
        <v>16.068728037614452</v>
      </c>
      <c r="AB78" s="1">
        <f t="shared" si="35"/>
        <v>16.068728037614452</v>
      </c>
      <c r="AC78" s="1">
        <v>13.4664</v>
      </c>
      <c r="AD78" s="1">
        <v>1.6126</v>
      </c>
      <c r="AE78" s="1">
        <v>5.6142000000000003</v>
      </c>
      <c r="AF78" s="1">
        <v>8.8628</v>
      </c>
      <c r="AG78" s="1">
        <v>6.5221999999999998</v>
      </c>
      <c r="AH78" s="1"/>
      <c r="AI78" s="1">
        <f t="shared" si="36"/>
        <v>0</v>
      </c>
      <c r="AJ78" s="1">
        <f t="shared" si="37"/>
        <v>0</v>
      </c>
      <c r="AK78" s="1">
        <f t="shared" si="38"/>
        <v>0</v>
      </c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 t="s">
        <v>190</v>
      </c>
      <c r="B79" s="1" t="s">
        <v>34</v>
      </c>
      <c r="C79" s="1">
        <v>5.2709999999999999</v>
      </c>
      <c r="D79" s="1"/>
      <c r="E79" s="1">
        <v>3.996</v>
      </c>
      <c r="F79" s="1"/>
      <c r="G79" s="8">
        <v>1</v>
      </c>
      <c r="I79" s="1" t="s">
        <v>191</v>
      </c>
      <c r="J79" s="1"/>
      <c r="K79" s="1">
        <v>3.3</v>
      </c>
      <c r="L79" s="1">
        <f t="shared" si="28"/>
        <v>0.69600000000000017</v>
      </c>
      <c r="M79" s="1">
        <f t="shared" si="29"/>
        <v>3.996</v>
      </c>
      <c r="N79" s="1"/>
      <c r="O79" s="1">
        <v>0</v>
      </c>
      <c r="P79" s="1"/>
      <c r="Q79" s="1"/>
      <c r="R79" s="1">
        <f t="shared" si="30"/>
        <v>0.79920000000000002</v>
      </c>
      <c r="S79" s="5">
        <f>7*R79-Q79-P79-O79-F79</f>
        <v>5.5944000000000003</v>
      </c>
      <c r="T79" s="5">
        <f t="shared" si="31"/>
        <v>5.5944000000000003</v>
      </c>
      <c r="U79" s="5">
        <f t="shared" si="40"/>
        <v>5.5944000000000003</v>
      </c>
      <c r="V79" s="5">
        <f t="shared" si="33"/>
        <v>5.5944000000000003</v>
      </c>
      <c r="W79" s="5"/>
      <c r="X79" s="5"/>
      <c r="Y79" s="5"/>
      <c r="Z79" s="1"/>
      <c r="AA79" s="1">
        <f t="shared" si="34"/>
        <v>7</v>
      </c>
      <c r="AB79" s="1">
        <f t="shared" si="35"/>
        <v>0</v>
      </c>
      <c r="AC79" s="1">
        <v>4.7674000000000003</v>
      </c>
      <c r="AD79" s="1">
        <v>0</v>
      </c>
      <c r="AE79" s="1">
        <v>0</v>
      </c>
      <c r="AF79" s="1">
        <v>2.3889999999999998</v>
      </c>
      <c r="AG79" s="1">
        <v>9.5624000000000002</v>
      </c>
      <c r="AH79" s="1"/>
      <c r="AI79" s="1">
        <f t="shared" si="36"/>
        <v>6</v>
      </c>
      <c r="AJ79" s="1">
        <f t="shared" si="37"/>
        <v>0</v>
      </c>
      <c r="AK79" s="1">
        <f t="shared" si="38"/>
        <v>0</v>
      </c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 t="s">
        <v>192</v>
      </c>
      <c r="B80" s="1" t="s">
        <v>34</v>
      </c>
      <c r="C80" s="1">
        <v>388.01</v>
      </c>
      <c r="D80" s="1">
        <v>716.12900000000002</v>
      </c>
      <c r="E80" s="1">
        <v>5.3869999999999996</v>
      </c>
      <c r="F80" s="1">
        <v>1098.752</v>
      </c>
      <c r="G80" s="8">
        <v>1</v>
      </c>
      <c r="I80" s="1">
        <v>0</v>
      </c>
      <c r="J80" s="1"/>
      <c r="K80" s="1">
        <v>5.25</v>
      </c>
      <c r="L80" s="1">
        <f t="shared" si="28"/>
        <v>0.13699999999999957</v>
      </c>
      <c r="M80" s="1">
        <f t="shared" si="29"/>
        <v>5.3869999999999996</v>
      </c>
      <c r="N80" s="1"/>
      <c r="O80" s="1">
        <v>0</v>
      </c>
      <c r="P80" s="1"/>
      <c r="Q80" s="1"/>
      <c r="R80" s="1">
        <f t="shared" si="30"/>
        <v>1.0773999999999999</v>
      </c>
      <c r="S80" s="5"/>
      <c r="T80" s="5">
        <f t="shared" si="31"/>
        <v>0</v>
      </c>
      <c r="U80" s="5">
        <f t="shared" si="40"/>
        <v>0</v>
      </c>
      <c r="V80" s="5">
        <f t="shared" si="33"/>
        <v>0</v>
      </c>
      <c r="W80" s="5"/>
      <c r="X80" s="5"/>
      <c r="Y80" s="5"/>
      <c r="Z80" s="1"/>
      <c r="AA80" s="1">
        <f t="shared" si="34"/>
        <v>1019.8180805643216</v>
      </c>
      <c r="AB80" s="1">
        <f t="shared" si="35"/>
        <v>1019.8180805643216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/>
      <c r="AI80" s="1">
        <f t="shared" si="36"/>
        <v>0</v>
      </c>
      <c r="AJ80" s="1">
        <f t="shared" si="37"/>
        <v>0</v>
      </c>
      <c r="AK80" s="1">
        <f t="shared" si="38"/>
        <v>0</v>
      </c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" t="s">
        <v>193</v>
      </c>
      <c r="B81" s="1" t="s">
        <v>42</v>
      </c>
      <c r="C81" s="1">
        <v>103</v>
      </c>
      <c r="D81" s="1">
        <v>2</v>
      </c>
      <c r="E81" s="1">
        <v>92</v>
      </c>
      <c r="F81" s="1">
        <v>5</v>
      </c>
      <c r="G81" s="8">
        <v>0.3</v>
      </c>
      <c r="I81" s="1" t="s">
        <v>194</v>
      </c>
      <c r="J81" s="1"/>
      <c r="K81" s="1">
        <v>155</v>
      </c>
      <c r="L81" s="1">
        <f t="shared" si="28"/>
        <v>-63</v>
      </c>
      <c r="M81" s="1">
        <f t="shared" si="29"/>
        <v>92</v>
      </c>
      <c r="N81" s="1"/>
      <c r="O81" s="1">
        <v>190</v>
      </c>
      <c r="P81" s="1">
        <v>109.16060400000001</v>
      </c>
      <c r="Q81" s="1">
        <v>78.723396000000008</v>
      </c>
      <c r="R81" s="1">
        <f t="shared" si="30"/>
        <v>18.399999999999999</v>
      </c>
      <c r="S81" s="5"/>
      <c r="T81" s="5">
        <f t="shared" si="31"/>
        <v>0</v>
      </c>
      <c r="U81" s="5">
        <f t="shared" si="40"/>
        <v>0</v>
      </c>
      <c r="V81" s="5">
        <f t="shared" si="33"/>
        <v>0</v>
      </c>
      <c r="W81" s="5"/>
      <c r="X81" s="5"/>
      <c r="Y81" s="5"/>
      <c r="Z81" s="1"/>
      <c r="AA81" s="1">
        <f t="shared" si="34"/>
        <v>20.808913043478263</v>
      </c>
      <c r="AB81" s="1">
        <f t="shared" si="35"/>
        <v>20.808913043478263</v>
      </c>
      <c r="AC81" s="1">
        <v>31.8</v>
      </c>
      <c r="AD81" s="1">
        <v>18.8</v>
      </c>
      <c r="AE81" s="1">
        <v>14.6</v>
      </c>
      <c r="AF81" s="1">
        <v>28.2</v>
      </c>
      <c r="AG81" s="1">
        <v>11.6</v>
      </c>
      <c r="AH81" s="1" t="s">
        <v>195</v>
      </c>
      <c r="AI81" s="1">
        <f t="shared" si="36"/>
        <v>0</v>
      </c>
      <c r="AJ81" s="1">
        <f t="shared" si="37"/>
        <v>0</v>
      </c>
      <c r="AK81" s="1">
        <f t="shared" si="38"/>
        <v>0</v>
      </c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" t="s">
        <v>196</v>
      </c>
      <c r="B82" s="1" t="s">
        <v>42</v>
      </c>
      <c r="C82" s="1">
        <v>38</v>
      </c>
      <c r="D82" s="1">
        <v>30</v>
      </c>
      <c r="E82" s="1">
        <v>39</v>
      </c>
      <c r="F82" s="1">
        <v>29</v>
      </c>
      <c r="G82" s="8">
        <v>0.3</v>
      </c>
      <c r="I82" s="1" t="s">
        <v>197</v>
      </c>
      <c r="J82" s="1"/>
      <c r="K82" s="1">
        <v>39</v>
      </c>
      <c r="L82" s="1">
        <f t="shared" si="28"/>
        <v>0</v>
      </c>
      <c r="M82" s="1">
        <f t="shared" si="29"/>
        <v>39</v>
      </c>
      <c r="N82" s="1"/>
      <c r="O82" s="1">
        <v>0</v>
      </c>
      <c r="P82" s="1"/>
      <c r="Q82" s="1"/>
      <c r="R82" s="1">
        <f t="shared" si="30"/>
        <v>7.8</v>
      </c>
      <c r="S82" s="5">
        <f>11*R82-Q82-P82-O82-F82</f>
        <v>56.8</v>
      </c>
      <c r="T82" s="5">
        <f t="shared" si="31"/>
        <v>56.8</v>
      </c>
      <c r="U82" s="5">
        <f t="shared" si="40"/>
        <v>56.8</v>
      </c>
      <c r="V82" s="5">
        <f t="shared" si="33"/>
        <v>56.8</v>
      </c>
      <c r="W82" s="5"/>
      <c r="X82" s="5"/>
      <c r="Y82" s="5"/>
      <c r="Z82" s="1"/>
      <c r="AA82" s="1">
        <f t="shared" si="34"/>
        <v>11</v>
      </c>
      <c r="AB82" s="1">
        <f t="shared" si="35"/>
        <v>3.7179487179487181</v>
      </c>
      <c r="AC82" s="1">
        <v>8.1999999999999993</v>
      </c>
      <c r="AD82" s="1">
        <v>1.4</v>
      </c>
      <c r="AE82" s="1">
        <v>7.4</v>
      </c>
      <c r="AF82" s="1">
        <v>3.4</v>
      </c>
      <c r="AG82" s="1">
        <v>6</v>
      </c>
      <c r="AH82" s="1"/>
      <c r="AI82" s="1">
        <f t="shared" si="36"/>
        <v>17</v>
      </c>
      <c r="AJ82" s="1">
        <f t="shared" si="37"/>
        <v>0</v>
      </c>
      <c r="AK82" s="1">
        <f t="shared" si="38"/>
        <v>0</v>
      </c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 t="s">
        <v>198</v>
      </c>
      <c r="B83" s="1" t="s">
        <v>42</v>
      </c>
      <c r="C83" s="1">
        <v>81</v>
      </c>
      <c r="D83" s="1">
        <v>77</v>
      </c>
      <c r="E83" s="1">
        <v>80</v>
      </c>
      <c r="F83" s="1">
        <v>64</v>
      </c>
      <c r="G83" s="8">
        <v>7.0000000000000007E-2</v>
      </c>
      <c r="I83" s="1" t="s">
        <v>199</v>
      </c>
      <c r="J83" s="1"/>
      <c r="K83" s="1">
        <v>86</v>
      </c>
      <c r="L83" s="1">
        <f t="shared" si="28"/>
        <v>-6</v>
      </c>
      <c r="M83" s="1">
        <f t="shared" si="29"/>
        <v>80</v>
      </c>
      <c r="N83" s="1"/>
      <c r="O83" s="1">
        <v>0</v>
      </c>
      <c r="P83" s="1">
        <v>87.470711999999978</v>
      </c>
      <c r="Q83" s="1">
        <v>63.081287999999986</v>
      </c>
      <c r="R83" s="1">
        <f t="shared" si="30"/>
        <v>16</v>
      </c>
      <c r="S83" s="5"/>
      <c r="T83" s="5">
        <f t="shared" si="31"/>
        <v>0</v>
      </c>
      <c r="U83" s="5">
        <f t="shared" si="40"/>
        <v>0</v>
      </c>
      <c r="V83" s="5">
        <f t="shared" si="33"/>
        <v>0</v>
      </c>
      <c r="W83" s="5"/>
      <c r="X83" s="5"/>
      <c r="Y83" s="5"/>
      <c r="Z83" s="1"/>
      <c r="AA83" s="1">
        <f t="shared" si="34"/>
        <v>13.409499999999998</v>
      </c>
      <c r="AB83" s="1">
        <f t="shared" si="35"/>
        <v>13.409499999999998</v>
      </c>
      <c r="AC83" s="1">
        <v>16.399999999999999</v>
      </c>
      <c r="AD83" s="1">
        <v>14.6</v>
      </c>
      <c r="AE83" s="1">
        <v>20.6</v>
      </c>
      <c r="AF83" s="1">
        <v>16.600000000000001</v>
      </c>
      <c r="AG83" s="1">
        <v>14.4</v>
      </c>
      <c r="AH83" s="1"/>
      <c r="AI83" s="1">
        <f t="shared" si="36"/>
        <v>0</v>
      </c>
      <c r="AJ83" s="1">
        <f t="shared" si="37"/>
        <v>0</v>
      </c>
      <c r="AK83" s="1">
        <f t="shared" si="38"/>
        <v>0</v>
      </c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 t="s">
        <v>200</v>
      </c>
      <c r="B84" s="1" t="s">
        <v>42</v>
      </c>
      <c r="C84" s="1">
        <v>125</v>
      </c>
      <c r="D84" s="1">
        <v>5</v>
      </c>
      <c r="E84" s="1">
        <v>119</v>
      </c>
      <c r="F84" s="1">
        <v>-3</v>
      </c>
      <c r="G84" s="8">
        <v>7.0000000000000007E-2</v>
      </c>
      <c r="I84" s="1" t="s">
        <v>201</v>
      </c>
      <c r="J84" s="1"/>
      <c r="K84" s="1">
        <v>136</v>
      </c>
      <c r="L84" s="1">
        <f t="shared" si="28"/>
        <v>-17</v>
      </c>
      <c r="M84" s="1">
        <f t="shared" si="29"/>
        <v>119</v>
      </c>
      <c r="N84" s="1"/>
      <c r="O84" s="1">
        <v>0</v>
      </c>
      <c r="P84" s="1">
        <v>184.54186799999999</v>
      </c>
      <c r="Q84" s="1">
        <v>133.08613199999999</v>
      </c>
      <c r="R84" s="1">
        <f t="shared" si="30"/>
        <v>23.8</v>
      </c>
      <c r="S84" s="5"/>
      <c r="T84" s="5">
        <f t="shared" si="31"/>
        <v>0</v>
      </c>
      <c r="U84" s="5">
        <f t="shared" si="40"/>
        <v>0</v>
      </c>
      <c r="V84" s="5">
        <f t="shared" si="33"/>
        <v>0</v>
      </c>
      <c r="W84" s="5"/>
      <c r="X84" s="5"/>
      <c r="Y84" s="5"/>
      <c r="Z84" s="1"/>
      <c r="AA84" s="1">
        <f t="shared" si="34"/>
        <v>13.219663865546217</v>
      </c>
      <c r="AB84" s="1">
        <f t="shared" si="35"/>
        <v>13.219663865546217</v>
      </c>
      <c r="AC84" s="1">
        <v>23.6</v>
      </c>
      <c r="AD84" s="1">
        <v>18.399999999999999</v>
      </c>
      <c r="AE84" s="1">
        <v>30.6</v>
      </c>
      <c r="AF84" s="1">
        <v>19.2</v>
      </c>
      <c r="AG84" s="1">
        <v>15</v>
      </c>
      <c r="AH84" s="1"/>
      <c r="AI84" s="1">
        <f t="shared" si="36"/>
        <v>0</v>
      </c>
      <c r="AJ84" s="1">
        <f t="shared" si="37"/>
        <v>0</v>
      </c>
      <c r="AK84" s="1">
        <f t="shared" si="38"/>
        <v>0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" t="s">
        <v>202</v>
      </c>
      <c r="B85" s="1" t="s">
        <v>42</v>
      </c>
      <c r="C85" s="1">
        <v>95</v>
      </c>
      <c r="D85" s="1">
        <v>19</v>
      </c>
      <c r="E85" s="1">
        <v>84</v>
      </c>
      <c r="F85" s="1">
        <v>20</v>
      </c>
      <c r="G85" s="8">
        <v>7.0000000000000007E-2</v>
      </c>
      <c r="I85" s="1" t="s">
        <v>203</v>
      </c>
      <c r="J85" s="1"/>
      <c r="K85" s="1">
        <v>86</v>
      </c>
      <c r="L85" s="1">
        <f t="shared" si="28"/>
        <v>-2</v>
      </c>
      <c r="M85" s="1">
        <f t="shared" si="29"/>
        <v>84</v>
      </c>
      <c r="N85" s="1"/>
      <c r="O85" s="1">
        <v>0</v>
      </c>
      <c r="P85" s="1">
        <v>70.936614000000006</v>
      </c>
      <c r="Q85" s="1">
        <v>51.157386000000017</v>
      </c>
      <c r="R85" s="1">
        <f t="shared" si="30"/>
        <v>16.8</v>
      </c>
      <c r="S85" s="5">
        <f t="shared" si="39"/>
        <v>59.505999999999986</v>
      </c>
      <c r="T85" s="5">
        <f t="shared" si="31"/>
        <v>59.505999999999986</v>
      </c>
      <c r="U85" s="5">
        <f t="shared" si="40"/>
        <v>59.505999999999986</v>
      </c>
      <c r="V85" s="5">
        <f t="shared" si="33"/>
        <v>59.505999999999986</v>
      </c>
      <c r="W85" s="5"/>
      <c r="X85" s="5"/>
      <c r="Y85" s="5"/>
      <c r="Z85" s="1"/>
      <c r="AA85" s="1">
        <f t="shared" si="34"/>
        <v>12</v>
      </c>
      <c r="AB85" s="1">
        <f t="shared" si="35"/>
        <v>8.4579761904761916</v>
      </c>
      <c r="AC85" s="1">
        <v>13.8</v>
      </c>
      <c r="AD85" s="1">
        <v>14</v>
      </c>
      <c r="AE85" s="1">
        <v>15.2</v>
      </c>
      <c r="AF85" s="1">
        <v>16.600000000000001</v>
      </c>
      <c r="AG85" s="1">
        <v>12</v>
      </c>
      <c r="AH85" s="1"/>
      <c r="AI85" s="1">
        <f t="shared" si="36"/>
        <v>4</v>
      </c>
      <c r="AJ85" s="1">
        <f t="shared" si="37"/>
        <v>0</v>
      </c>
      <c r="AK85" s="1">
        <f t="shared" si="38"/>
        <v>0</v>
      </c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 t="s">
        <v>204</v>
      </c>
      <c r="B86" s="1" t="s">
        <v>42</v>
      </c>
      <c r="C86" s="1">
        <v>22</v>
      </c>
      <c r="D86" s="1">
        <v>55</v>
      </c>
      <c r="E86" s="1">
        <v>22</v>
      </c>
      <c r="F86" s="1">
        <v>54</v>
      </c>
      <c r="G86" s="8">
        <v>0.05</v>
      </c>
      <c r="I86" s="1" t="s">
        <v>205</v>
      </c>
      <c r="J86" s="1"/>
      <c r="K86" s="1">
        <v>29</v>
      </c>
      <c r="L86" s="1">
        <f t="shared" si="28"/>
        <v>-7</v>
      </c>
      <c r="M86" s="1">
        <f t="shared" si="29"/>
        <v>22</v>
      </c>
      <c r="N86" s="1"/>
      <c r="O86" s="1">
        <v>0</v>
      </c>
      <c r="P86" s="1"/>
      <c r="Q86" s="1"/>
      <c r="R86" s="1">
        <f t="shared" si="30"/>
        <v>4.4000000000000004</v>
      </c>
      <c r="S86" s="5"/>
      <c r="T86" s="5">
        <f t="shared" si="31"/>
        <v>0</v>
      </c>
      <c r="U86" s="5">
        <f t="shared" si="40"/>
        <v>0</v>
      </c>
      <c r="V86" s="5">
        <f t="shared" si="33"/>
        <v>0</v>
      </c>
      <c r="W86" s="5"/>
      <c r="X86" s="5"/>
      <c r="Y86" s="5"/>
      <c r="Z86" s="1"/>
      <c r="AA86" s="1">
        <f t="shared" si="34"/>
        <v>12.272727272727272</v>
      </c>
      <c r="AB86" s="1">
        <f t="shared" si="35"/>
        <v>12.272727272727272</v>
      </c>
      <c r="AC86" s="1">
        <v>8.4</v>
      </c>
      <c r="AD86" s="1">
        <v>9.1999999999999993</v>
      </c>
      <c r="AE86" s="1">
        <v>10.6</v>
      </c>
      <c r="AF86" s="1">
        <v>6.4</v>
      </c>
      <c r="AG86" s="1">
        <v>7.6</v>
      </c>
      <c r="AH86" s="1"/>
      <c r="AI86" s="1">
        <f t="shared" si="36"/>
        <v>0</v>
      </c>
      <c r="AJ86" s="1">
        <f t="shared" si="37"/>
        <v>0</v>
      </c>
      <c r="AK86" s="1">
        <f t="shared" si="38"/>
        <v>0</v>
      </c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 t="s">
        <v>206</v>
      </c>
      <c r="B87" s="1" t="s">
        <v>42</v>
      </c>
      <c r="C87" s="1">
        <v>126</v>
      </c>
      <c r="D87" s="1"/>
      <c r="E87" s="1">
        <v>51</v>
      </c>
      <c r="F87" s="1">
        <v>74</v>
      </c>
      <c r="G87" s="8">
        <v>0.05</v>
      </c>
      <c r="I87" s="1" t="s">
        <v>207</v>
      </c>
      <c r="J87" s="1"/>
      <c r="K87" s="1">
        <v>52</v>
      </c>
      <c r="L87" s="1">
        <f t="shared" si="28"/>
        <v>-1</v>
      </c>
      <c r="M87" s="1">
        <f t="shared" si="29"/>
        <v>51</v>
      </c>
      <c r="N87" s="1"/>
      <c r="O87" s="1">
        <v>0</v>
      </c>
      <c r="P87" s="1"/>
      <c r="Q87" s="1"/>
      <c r="R87" s="1">
        <f t="shared" si="30"/>
        <v>10.199999999999999</v>
      </c>
      <c r="S87" s="5">
        <f t="shared" si="39"/>
        <v>48.399999999999991</v>
      </c>
      <c r="T87" s="5">
        <f t="shared" si="31"/>
        <v>48.399999999999991</v>
      </c>
      <c r="U87" s="5">
        <f t="shared" si="40"/>
        <v>48.399999999999991</v>
      </c>
      <c r="V87" s="5">
        <f t="shared" si="33"/>
        <v>48.399999999999991</v>
      </c>
      <c r="W87" s="5"/>
      <c r="X87" s="5"/>
      <c r="Y87" s="5"/>
      <c r="Z87" s="1"/>
      <c r="AA87" s="1">
        <f t="shared" si="34"/>
        <v>12</v>
      </c>
      <c r="AB87" s="1">
        <f t="shared" si="35"/>
        <v>7.2549019607843146</v>
      </c>
      <c r="AC87" s="1">
        <v>5.6</v>
      </c>
      <c r="AD87" s="1">
        <v>9.8000000000000007</v>
      </c>
      <c r="AE87" s="1">
        <v>17.399999999999999</v>
      </c>
      <c r="AF87" s="1">
        <v>10.4</v>
      </c>
      <c r="AG87" s="1">
        <v>7.6</v>
      </c>
      <c r="AH87" s="1"/>
      <c r="AI87" s="1">
        <f t="shared" si="36"/>
        <v>2</v>
      </c>
      <c r="AJ87" s="1">
        <f t="shared" si="37"/>
        <v>0</v>
      </c>
      <c r="AK87" s="1">
        <f t="shared" si="38"/>
        <v>0</v>
      </c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 t="s">
        <v>208</v>
      </c>
      <c r="B88" s="1" t="s">
        <v>42</v>
      </c>
      <c r="C88" s="1">
        <v>142</v>
      </c>
      <c r="D88" s="1"/>
      <c r="E88" s="1">
        <v>52</v>
      </c>
      <c r="F88" s="1">
        <v>82</v>
      </c>
      <c r="G88" s="8">
        <v>5.5E-2</v>
      </c>
      <c r="I88" s="1" t="s">
        <v>209</v>
      </c>
      <c r="J88" s="1"/>
      <c r="K88" s="1">
        <v>60</v>
      </c>
      <c r="L88" s="1">
        <f t="shared" si="28"/>
        <v>-8</v>
      </c>
      <c r="M88" s="1">
        <f t="shared" si="29"/>
        <v>52</v>
      </c>
      <c r="N88" s="1"/>
      <c r="O88" s="1">
        <v>0</v>
      </c>
      <c r="P88" s="1"/>
      <c r="Q88" s="1"/>
      <c r="R88" s="1">
        <f t="shared" si="30"/>
        <v>10.4</v>
      </c>
      <c r="S88" s="5">
        <f t="shared" si="39"/>
        <v>42.800000000000011</v>
      </c>
      <c r="T88" s="5">
        <f t="shared" si="31"/>
        <v>42.800000000000011</v>
      </c>
      <c r="U88" s="5">
        <f t="shared" si="40"/>
        <v>42.800000000000011</v>
      </c>
      <c r="V88" s="5">
        <f t="shared" si="33"/>
        <v>42.800000000000011</v>
      </c>
      <c r="W88" s="5"/>
      <c r="X88" s="5"/>
      <c r="Y88" s="5"/>
      <c r="Z88" s="1"/>
      <c r="AA88" s="1">
        <f t="shared" si="34"/>
        <v>12</v>
      </c>
      <c r="AB88" s="1">
        <f t="shared" si="35"/>
        <v>7.8846153846153841</v>
      </c>
      <c r="AC88" s="1">
        <v>8.8000000000000007</v>
      </c>
      <c r="AD88" s="1">
        <v>20.399999999999999</v>
      </c>
      <c r="AE88" s="1">
        <v>5.6</v>
      </c>
      <c r="AF88" s="1">
        <v>6.8</v>
      </c>
      <c r="AG88" s="1">
        <v>7.8</v>
      </c>
      <c r="AH88" s="1"/>
      <c r="AI88" s="1">
        <f t="shared" si="36"/>
        <v>2</v>
      </c>
      <c r="AJ88" s="1">
        <f t="shared" si="37"/>
        <v>0</v>
      </c>
      <c r="AK88" s="1">
        <f t="shared" si="38"/>
        <v>0</v>
      </c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" t="s">
        <v>210</v>
      </c>
      <c r="B89" s="1" t="s">
        <v>42</v>
      </c>
      <c r="C89" s="1">
        <v>92</v>
      </c>
      <c r="D89" s="1"/>
      <c r="E89" s="1">
        <v>34</v>
      </c>
      <c r="F89" s="1">
        <v>51</v>
      </c>
      <c r="G89" s="8">
        <v>0.3</v>
      </c>
      <c r="I89" s="1" t="s">
        <v>211</v>
      </c>
      <c r="J89" s="1"/>
      <c r="K89" s="1">
        <v>36</v>
      </c>
      <c r="L89" s="1">
        <f t="shared" si="28"/>
        <v>-2</v>
      </c>
      <c r="M89" s="1">
        <f t="shared" si="29"/>
        <v>34</v>
      </c>
      <c r="N89" s="1"/>
      <c r="O89" s="1">
        <v>0</v>
      </c>
      <c r="P89" s="1"/>
      <c r="Q89" s="1"/>
      <c r="R89" s="1">
        <f t="shared" si="30"/>
        <v>6.8</v>
      </c>
      <c r="S89" s="5">
        <f t="shared" si="39"/>
        <v>30.599999999999994</v>
      </c>
      <c r="T89" s="5">
        <f t="shared" si="31"/>
        <v>30.599999999999994</v>
      </c>
      <c r="U89" s="5">
        <f t="shared" si="40"/>
        <v>30.599999999999994</v>
      </c>
      <c r="V89" s="5">
        <f t="shared" si="33"/>
        <v>30.599999999999994</v>
      </c>
      <c r="W89" s="5"/>
      <c r="X89" s="5"/>
      <c r="Y89" s="5"/>
      <c r="Z89" s="1"/>
      <c r="AA89" s="1">
        <f t="shared" si="34"/>
        <v>12</v>
      </c>
      <c r="AB89" s="1">
        <f t="shared" si="35"/>
        <v>7.5</v>
      </c>
      <c r="AC89" s="1">
        <v>7.2</v>
      </c>
      <c r="AD89" s="1">
        <v>1.2</v>
      </c>
      <c r="AE89" s="1">
        <v>3.6</v>
      </c>
      <c r="AF89" s="1">
        <v>10.4</v>
      </c>
      <c r="AG89" s="1">
        <v>2</v>
      </c>
      <c r="AH89" s="1"/>
      <c r="AI89" s="1">
        <f t="shared" si="36"/>
        <v>9</v>
      </c>
      <c r="AJ89" s="1">
        <f t="shared" si="37"/>
        <v>0</v>
      </c>
      <c r="AK89" s="1">
        <f t="shared" si="38"/>
        <v>0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" t="s">
        <v>212</v>
      </c>
      <c r="B90" s="1" t="s">
        <v>34</v>
      </c>
      <c r="C90" s="1">
        <v>24.353999999999999</v>
      </c>
      <c r="D90" s="1">
        <v>6.0709999999999997</v>
      </c>
      <c r="E90" s="1">
        <v>17.622</v>
      </c>
      <c r="F90" s="1">
        <v>12.803000000000001</v>
      </c>
      <c r="G90" s="8">
        <v>1</v>
      </c>
      <c r="I90" s="1" t="s">
        <v>213</v>
      </c>
      <c r="J90" s="1"/>
      <c r="K90" s="1">
        <v>14.3</v>
      </c>
      <c r="L90" s="1">
        <f t="shared" si="28"/>
        <v>3.3219999999999992</v>
      </c>
      <c r="M90" s="1">
        <f t="shared" si="29"/>
        <v>17.622</v>
      </c>
      <c r="N90" s="1"/>
      <c r="O90" s="1">
        <v>0</v>
      </c>
      <c r="P90" s="1"/>
      <c r="Q90" s="1"/>
      <c r="R90" s="1">
        <f t="shared" si="30"/>
        <v>3.5244</v>
      </c>
      <c r="S90" s="5">
        <f>11*R90-Q90-P90-O90-F90</f>
        <v>25.965399999999999</v>
      </c>
      <c r="T90" s="5">
        <f t="shared" si="31"/>
        <v>25.965399999999999</v>
      </c>
      <c r="U90" s="5">
        <f t="shared" si="40"/>
        <v>25.965399999999999</v>
      </c>
      <c r="V90" s="5">
        <f t="shared" si="33"/>
        <v>25.965399999999999</v>
      </c>
      <c r="W90" s="5"/>
      <c r="X90" s="5"/>
      <c r="Y90" s="5"/>
      <c r="Z90" s="1"/>
      <c r="AA90" s="1">
        <f t="shared" si="34"/>
        <v>11</v>
      </c>
      <c r="AB90" s="1">
        <f t="shared" si="35"/>
        <v>3.6326750652593351</v>
      </c>
      <c r="AC90" s="1">
        <v>3.4784000000000002</v>
      </c>
      <c r="AD90" s="1">
        <v>3.4672000000000001</v>
      </c>
      <c r="AE90" s="1">
        <v>4.1932</v>
      </c>
      <c r="AF90" s="1">
        <v>3.8694000000000002</v>
      </c>
      <c r="AG90" s="1">
        <v>1.2769999999999999</v>
      </c>
      <c r="AH90" s="1"/>
      <c r="AI90" s="1">
        <f t="shared" si="36"/>
        <v>26</v>
      </c>
      <c r="AJ90" s="1">
        <f t="shared" si="37"/>
        <v>0</v>
      </c>
      <c r="AK90" s="1">
        <f t="shared" si="38"/>
        <v>0</v>
      </c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 t="s">
        <v>214</v>
      </c>
      <c r="B91" s="1" t="s">
        <v>42</v>
      </c>
      <c r="C91" s="1">
        <v>6</v>
      </c>
      <c r="D91" s="1">
        <v>40</v>
      </c>
      <c r="E91" s="1">
        <v>10</v>
      </c>
      <c r="F91" s="1">
        <v>27</v>
      </c>
      <c r="G91" s="8">
        <v>0.11</v>
      </c>
      <c r="I91" s="1" t="s">
        <v>215</v>
      </c>
      <c r="J91" s="1"/>
      <c r="K91" s="1">
        <v>12</v>
      </c>
      <c r="L91" s="1">
        <f t="shared" si="28"/>
        <v>-2</v>
      </c>
      <c r="M91" s="1">
        <f t="shared" si="29"/>
        <v>10</v>
      </c>
      <c r="N91" s="1"/>
      <c r="O91" s="1">
        <v>0</v>
      </c>
      <c r="P91" s="1"/>
      <c r="Q91" s="1"/>
      <c r="R91" s="1">
        <f t="shared" si="30"/>
        <v>2</v>
      </c>
      <c r="S91" s="5"/>
      <c r="T91" s="5">
        <f t="shared" si="31"/>
        <v>0</v>
      </c>
      <c r="U91" s="5">
        <f t="shared" si="40"/>
        <v>0</v>
      </c>
      <c r="V91" s="5">
        <f t="shared" si="33"/>
        <v>0</v>
      </c>
      <c r="W91" s="5"/>
      <c r="X91" s="5"/>
      <c r="Y91" s="5"/>
      <c r="Z91" s="1"/>
      <c r="AA91" s="1">
        <f t="shared" si="34"/>
        <v>13.5</v>
      </c>
      <c r="AB91" s="1">
        <f t="shared" si="35"/>
        <v>13.5</v>
      </c>
      <c r="AC91" s="1">
        <v>0</v>
      </c>
      <c r="AD91" s="1">
        <v>1.6</v>
      </c>
      <c r="AE91" s="1">
        <v>2.4</v>
      </c>
      <c r="AF91" s="1">
        <v>2.6</v>
      </c>
      <c r="AG91" s="1">
        <v>1.6</v>
      </c>
      <c r="AH91" s="1"/>
      <c r="AI91" s="1">
        <f t="shared" si="36"/>
        <v>0</v>
      </c>
      <c r="AJ91" s="1">
        <f t="shared" si="37"/>
        <v>0</v>
      </c>
      <c r="AK91" s="1">
        <f t="shared" si="38"/>
        <v>0</v>
      </c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" t="s">
        <v>216</v>
      </c>
      <c r="B92" s="1" t="s">
        <v>42</v>
      </c>
      <c r="C92" s="1">
        <v>199</v>
      </c>
      <c r="D92" s="1">
        <v>11</v>
      </c>
      <c r="E92" s="1">
        <v>116</v>
      </c>
      <c r="F92" s="1">
        <v>47</v>
      </c>
      <c r="G92" s="8">
        <v>0.08</v>
      </c>
      <c r="I92" s="1" t="s">
        <v>217</v>
      </c>
      <c r="J92" s="1"/>
      <c r="K92" s="1">
        <v>164</v>
      </c>
      <c r="L92" s="1">
        <f t="shared" si="28"/>
        <v>-48</v>
      </c>
      <c r="M92" s="1">
        <f t="shared" si="29"/>
        <v>116</v>
      </c>
      <c r="N92" s="1"/>
      <c r="O92" s="1">
        <v>100</v>
      </c>
      <c r="P92" s="1"/>
      <c r="Q92" s="1"/>
      <c r="R92" s="1">
        <f t="shared" si="30"/>
        <v>23.2</v>
      </c>
      <c r="S92" s="5">
        <f t="shared" si="39"/>
        <v>131.39999999999998</v>
      </c>
      <c r="T92" s="5">
        <f t="shared" si="31"/>
        <v>131.39999999999998</v>
      </c>
      <c r="U92" s="5">
        <f t="shared" si="40"/>
        <v>131.39999999999998</v>
      </c>
      <c r="V92" s="5">
        <f t="shared" si="33"/>
        <v>131.39999999999998</v>
      </c>
      <c r="W92" s="5"/>
      <c r="X92" s="5"/>
      <c r="Y92" s="5"/>
      <c r="Z92" s="1"/>
      <c r="AA92" s="1">
        <f t="shared" si="34"/>
        <v>12</v>
      </c>
      <c r="AB92" s="1">
        <f t="shared" si="35"/>
        <v>6.3362068965517242</v>
      </c>
      <c r="AC92" s="1">
        <v>25.6</v>
      </c>
      <c r="AD92" s="1">
        <v>31</v>
      </c>
      <c r="AE92" s="1">
        <v>40.200000000000003</v>
      </c>
      <c r="AF92" s="1">
        <v>36.799999999999997</v>
      </c>
      <c r="AG92" s="1">
        <v>23.2</v>
      </c>
      <c r="AH92" s="1"/>
      <c r="AI92" s="1">
        <f t="shared" si="36"/>
        <v>11</v>
      </c>
      <c r="AJ92" s="1">
        <f t="shared" si="37"/>
        <v>0</v>
      </c>
      <c r="AK92" s="1">
        <f t="shared" si="38"/>
        <v>0</v>
      </c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" t="s">
        <v>218</v>
      </c>
      <c r="B93" s="1" t="s">
        <v>42</v>
      </c>
      <c r="C93" s="1">
        <v>68</v>
      </c>
      <c r="D93" s="1">
        <v>10</v>
      </c>
      <c r="E93" s="1">
        <v>81</v>
      </c>
      <c r="F93" s="1">
        <v>-14</v>
      </c>
      <c r="G93" s="8">
        <v>0.08</v>
      </c>
      <c r="I93" s="1" t="s">
        <v>219</v>
      </c>
      <c r="J93" s="1"/>
      <c r="K93" s="1">
        <v>132</v>
      </c>
      <c r="L93" s="1">
        <f t="shared" si="28"/>
        <v>-51</v>
      </c>
      <c r="M93" s="1">
        <f t="shared" si="29"/>
        <v>81</v>
      </c>
      <c r="N93" s="1"/>
      <c r="O93" s="1">
        <v>0</v>
      </c>
      <c r="P93" s="1">
        <v>263.65663799999999</v>
      </c>
      <c r="Q93" s="1">
        <v>190.14136199999999</v>
      </c>
      <c r="R93" s="1">
        <f t="shared" si="30"/>
        <v>16.2</v>
      </c>
      <c r="S93" s="5"/>
      <c r="T93" s="5">
        <f t="shared" si="31"/>
        <v>0</v>
      </c>
      <c r="U93" s="5">
        <f t="shared" si="40"/>
        <v>0</v>
      </c>
      <c r="V93" s="5">
        <f t="shared" si="33"/>
        <v>0</v>
      </c>
      <c r="W93" s="5"/>
      <c r="X93" s="5"/>
      <c r="Y93" s="5"/>
      <c r="Z93" s="1"/>
      <c r="AA93" s="1">
        <f t="shared" si="34"/>
        <v>27.148024691358025</v>
      </c>
      <c r="AB93" s="1">
        <f t="shared" si="35"/>
        <v>27.148024691358025</v>
      </c>
      <c r="AC93" s="1">
        <v>28.6</v>
      </c>
      <c r="AD93" s="1">
        <v>23</v>
      </c>
      <c r="AE93" s="1">
        <v>36.200000000000003</v>
      </c>
      <c r="AF93" s="1">
        <v>31.4</v>
      </c>
      <c r="AG93" s="1">
        <v>31.2</v>
      </c>
      <c r="AH93" s="1"/>
      <c r="AI93" s="1">
        <f t="shared" si="36"/>
        <v>0</v>
      </c>
      <c r="AJ93" s="1">
        <f t="shared" si="37"/>
        <v>0</v>
      </c>
      <c r="AK93" s="1">
        <f t="shared" si="38"/>
        <v>0</v>
      </c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 t="s">
        <v>220</v>
      </c>
      <c r="B94" s="1" t="s">
        <v>42</v>
      </c>
      <c r="C94" s="1">
        <v>-4</v>
      </c>
      <c r="D94" s="1">
        <v>65</v>
      </c>
      <c r="E94" s="1">
        <v>-4</v>
      </c>
      <c r="F94" s="1">
        <v>43</v>
      </c>
      <c r="G94" s="8">
        <v>0.17</v>
      </c>
      <c r="I94" s="1" t="s">
        <v>221</v>
      </c>
      <c r="J94" s="1"/>
      <c r="K94" s="1">
        <v>12</v>
      </c>
      <c r="L94" s="1">
        <f t="shared" si="28"/>
        <v>-16</v>
      </c>
      <c r="M94" s="1">
        <f t="shared" si="29"/>
        <v>-4</v>
      </c>
      <c r="N94" s="1"/>
      <c r="O94" s="1">
        <v>0</v>
      </c>
      <c r="P94" s="1"/>
      <c r="Q94" s="1"/>
      <c r="R94" s="1">
        <f t="shared" si="30"/>
        <v>-0.8</v>
      </c>
      <c r="S94" s="5"/>
      <c r="T94" s="5">
        <f t="shared" si="31"/>
        <v>0</v>
      </c>
      <c r="U94" s="5">
        <f t="shared" si="40"/>
        <v>0</v>
      </c>
      <c r="V94" s="5">
        <f t="shared" si="33"/>
        <v>0</v>
      </c>
      <c r="W94" s="5"/>
      <c r="X94" s="5"/>
      <c r="Y94" s="5"/>
      <c r="Z94" s="1"/>
      <c r="AA94" s="1">
        <f t="shared" si="34"/>
        <v>-53.75</v>
      </c>
      <c r="AB94" s="1">
        <f t="shared" si="35"/>
        <v>-53.75</v>
      </c>
      <c r="AC94" s="1">
        <v>1.2</v>
      </c>
      <c r="AD94" s="1">
        <v>9.8000000000000007</v>
      </c>
      <c r="AE94" s="1">
        <v>6.4</v>
      </c>
      <c r="AF94" s="1">
        <v>1.2</v>
      </c>
      <c r="AG94" s="1">
        <v>3.2</v>
      </c>
      <c r="AH94" s="1"/>
      <c r="AI94" s="1">
        <f t="shared" si="36"/>
        <v>0</v>
      </c>
      <c r="AJ94" s="1">
        <f t="shared" si="37"/>
        <v>0</v>
      </c>
      <c r="AK94" s="1">
        <f t="shared" si="38"/>
        <v>0</v>
      </c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 t="s">
        <v>222</v>
      </c>
      <c r="B95" s="1" t="s">
        <v>34</v>
      </c>
      <c r="C95" s="1">
        <v>156.55000000000001</v>
      </c>
      <c r="D95" s="1">
        <v>439.31400000000002</v>
      </c>
      <c r="E95" s="1">
        <v>296.62200000000001</v>
      </c>
      <c r="F95" s="1">
        <v>293.48099999999999</v>
      </c>
      <c r="G95" s="8">
        <v>1</v>
      </c>
      <c r="I95" s="1" t="s">
        <v>223</v>
      </c>
      <c r="J95" s="1"/>
      <c r="K95" s="1">
        <v>299.3</v>
      </c>
      <c r="L95" s="1">
        <f t="shared" si="28"/>
        <v>-2.6779999999999973</v>
      </c>
      <c r="M95" s="1">
        <f t="shared" si="29"/>
        <v>296.62200000000001</v>
      </c>
      <c r="N95" s="1"/>
      <c r="O95" s="1">
        <v>100</v>
      </c>
      <c r="P95" s="1">
        <v>206.892057204</v>
      </c>
      <c r="Q95" s="1">
        <v>149.20442679600001</v>
      </c>
      <c r="R95" s="1">
        <f t="shared" si="30"/>
        <v>59.324400000000004</v>
      </c>
      <c r="S95" s="5"/>
      <c r="T95" s="5">
        <f t="shared" si="31"/>
        <v>0</v>
      </c>
      <c r="U95" s="5">
        <f t="shared" si="40"/>
        <v>0</v>
      </c>
      <c r="V95" s="5">
        <f t="shared" si="33"/>
        <v>0</v>
      </c>
      <c r="W95" s="5"/>
      <c r="X95" s="5"/>
      <c r="Y95" s="5"/>
      <c r="Z95" s="1"/>
      <c r="AA95" s="1">
        <f t="shared" si="34"/>
        <v>12.635230765081484</v>
      </c>
      <c r="AB95" s="1">
        <f t="shared" si="35"/>
        <v>12.635230765081484</v>
      </c>
      <c r="AC95" s="1">
        <v>63.511800000000008</v>
      </c>
      <c r="AD95" s="1">
        <v>17.624600000000001</v>
      </c>
      <c r="AE95" s="1">
        <v>29.264800000000001</v>
      </c>
      <c r="AF95" s="1">
        <v>53.634</v>
      </c>
      <c r="AG95" s="1">
        <v>62.190800000000003</v>
      </c>
      <c r="AH95" s="1"/>
      <c r="AI95" s="1">
        <f t="shared" si="36"/>
        <v>0</v>
      </c>
      <c r="AJ95" s="1">
        <f t="shared" si="37"/>
        <v>0</v>
      </c>
      <c r="AK95" s="1">
        <f t="shared" si="38"/>
        <v>0</v>
      </c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" t="s">
        <v>224</v>
      </c>
      <c r="B96" s="1" t="s">
        <v>34</v>
      </c>
      <c r="C96" s="1">
        <v>264.81599999999997</v>
      </c>
      <c r="D96" s="1">
        <v>0.72899999999999998</v>
      </c>
      <c r="E96" s="1">
        <v>57.033999999999999</v>
      </c>
      <c r="F96" s="1">
        <v>204.89599999999999</v>
      </c>
      <c r="G96" s="8">
        <v>1</v>
      </c>
      <c r="I96" s="1" t="s">
        <v>225</v>
      </c>
      <c r="J96" s="1"/>
      <c r="K96" s="1">
        <v>57.429000000000002</v>
      </c>
      <c r="L96" s="1">
        <f t="shared" si="28"/>
        <v>-0.39500000000000313</v>
      </c>
      <c r="M96" s="1">
        <f t="shared" si="29"/>
        <v>57.033999999999999</v>
      </c>
      <c r="N96" s="1"/>
      <c r="O96" s="1">
        <v>0</v>
      </c>
      <c r="P96" s="1"/>
      <c r="Q96" s="1"/>
      <c r="R96" s="1">
        <f t="shared" si="30"/>
        <v>11.4068</v>
      </c>
      <c r="S96" s="5"/>
      <c r="T96" s="5">
        <f t="shared" si="31"/>
        <v>0</v>
      </c>
      <c r="U96" s="5">
        <f t="shared" si="40"/>
        <v>0</v>
      </c>
      <c r="V96" s="5">
        <f t="shared" si="33"/>
        <v>0</v>
      </c>
      <c r="W96" s="5"/>
      <c r="X96" s="5"/>
      <c r="Y96" s="5"/>
      <c r="Z96" s="1"/>
      <c r="AA96" s="1">
        <f t="shared" si="34"/>
        <v>17.962618788792646</v>
      </c>
      <c r="AB96" s="1">
        <f t="shared" si="35"/>
        <v>17.962618788792646</v>
      </c>
      <c r="AC96" s="1">
        <v>14.0228</v>
      </c>
      <c r="AD96" s="1">
        <v>0</v>
      </c>
      <c r="AE96" s="1">
        <v>0.7268</v>
      </c>
      <c r="AF96" s="1">
        <v>2.4918</v>
      </c>
      <c r="AG96" s="1">
        <v>5.8328000000000007</v>
      </c>
      <c r="AH96" s="1"/>
      <c r="AI96" s="1">
        <f t="shared" si="36"/>
        <v>0</v>
      </c>
      <c r="AJ96" s="1">
        <f t="shared" si="37"/>
        <v>0</v>
      </c>
      <c r="AK96" s="1">
        <f t="shared" si="38"/>
        <v>0</v>
      </c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" t="s">
        <v>226</v>
      </c>
      <c r="B97" s="1" t="s">
        <v>34</v>
      </c>
      <c r="C97" s="1">
        <v>163.09299999999999</v>
      </c>
      <c r="D97" s="1">
        <v>338.85899999999998</v>
      </c>
      <c r="E97" s="1">
        <v>232.833</v>
      </c>
      <c r="F97" s="1">
        <v>261.34800000000001</v>
      </c>
      <c r="G97" s="8">
        <v>1</v>
      </c>
      <c r="I97" s="1" t="s">
        <v>227</v>
      </c>
      <c r="J97" s="1"/>
      <c r="K97" s="1">
        <v>242.6</v>
      </c>
      <c r="L97" s="1">
        <f t="shared" si="28"/>
        <v>-9.7669999999999959</v>
      </c>
      <c r="M97" s="1">
        <f t="shared" si="29"/>
        <v>232.833</v>
      </c>
      <c r="N97" s="1"/>
      <c r="O97" s="1">
        <v>0</v>
      </c>
      <c r="P97" s="1">
        <v>188.18683657200009</v>
      </c>
      <c r="Q97" s="1">
        <v>135.71477542800011</v>
      </c>
      <c r="R97" s="1">
        <f t="shared" si="30"/>
        <v>46.566600000000001</v>
      </c>
      <c r="S97" s="5"/>
      <c r="T97" s="5">
        <f t="shared" si="31"/>
        <v>0</v>
      </c>
      <c r="U97" s="5">
        <f t="shared" si="40"/>
        <v>0</v>
      </c>
      <c r="V97" s="5">
        <f t="shared" si="33"/>
        <v>0</v>
      </c>
      <c r="W97" s="5"/>
      <c r="X97" s="5"/>
      <c r="Y97" s="5"/>
      <c r="Z97" s="1"/>
      <c r="AA97" s="1">
        <f t="shared" si="34"/>
        <v>12.568012523997893</v>
      </c>
      <c r="AB97" s="1">
        <f t="shared" si="35"/>
        <v>12.568012523997893</v>
      </c>
      <c r="AC97" s="1">
        <v>47.993400000000001</v>
      </c>
      <c r="AD97" s="1">
        <v>16.330200000000001</v>
      </c>
      <c r="AE97" s="1">
        <v>25.382400000000001</v>
      </c>
      <c r="AF97" s="1">
        <v>45.130600000000001</v>
      </c>
      <c r="AG97" s="1">
        <v>50.688400000000001</v>
      </c>
      <c r="AH97" s="1"/>
      <c r="AI97" s="1">
        <f t="shared" si="36"/>
        <v>0</v>
      </c>
      <c r="AJ97" s="1">
        <f t="shared" si="37"/>
        <v>0</v>
      </c>
      <c r="AK97" s="1">
        <f t="shared" si="38"/>
        <v>0</v>
      </c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 t="s">
        <v>228</v>
      </c>
      <c r="B98" s="1" t="s">
        <v>42</v>
      </c>
      <c r="C98" s="1">
        <v>40</v>
      </c>
      <c r="D98" s="1">
        <v>45</v>
      </c>
      <c r="E98" s="1">
        <v>40</v>
      </c>
      <c r="F98" s="1">
        <v>17</v>
      </c>
      <c r="G98" s="8">
        <v>0.3</v>
      </c>
      <c r="I98" s="1" t="s">
        <v>229</v>
      </c>
      <c r="J98" s="1"/>
      <c r="K98" s="1">
        <v>62</v>
      </c>
      <c r="L98" s="1">
        <f t="shared" si="28"/>
        <v>-22</v>
      </c>
      <c r="M98" s="1">
        <f t="shared" si="29"/>
        <v>40</v>
      </c>
      <c r="N98" s="1"/>
      <c r="O98" s="1">
        <v>0</v>
      </c>
      <c r="P98" s="1"/>
      <c r="Q98" s="1"/>
      <c r="R98" s="1">
        <f t="shared" si="30"/>
        <v>8</v>
      </c>
      <c r="S98" s="5">
        <f>9*R98-Q98-P98-O98-F98</f>
        <v>55</v>
      </c>
      <c r="T98" s="5">
        <f t="shared" si="31"/>
        <v>55</v>
      </c>
      <c r="U98" s="5">
        <f t="shared" si="40"/>
        <v>55</v>
      </c>
      <c r="V98" s="5">
        <f t="shared" si="33"/>
        <v>55</v>
      </c>
      <c r="W98" s="5"/>
      <c r="X98" s="5"/>
      <c r="Y98" s="5"/>
      <c r="Z98" s="1"/>
      <c r="AA98" s="1">
        <f t="shared" si="34"/>
        <v>9</v>
      </c>
      <c r="AB98" s="1">
        <f t="shared" si="35"/>
        <v>2.125</v>
      </c>
      <c r="AC98" s="1">
        <v>8.8000000000000007</v>
      </c>
      <c r="AD98" s="1">
        <v>10.199999999999999</v>
      </c>
      <c r="AE98" s="1">
        <v>11.8</v>
      </c>
      <c r="AF98" s="1">
        <v>12.2</v>
      </c>
      <c r="AG98" s="1">
        <v>12.2</v>
      </c>
      <c r="AH98" s="1"/>
      <c r="AI98" s="1">
        <f t="shared" si="36"/>
        <v>17</v>
      </c>
      <c r="AJ98" s="1">
        <f t="shared" si="37"/>
        <v>0</v>
      </c>
      <c r="AK98" s="1">
        <f t="shared" si="38"/>
        <v>0</v>
      </c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" t="s">
        <v>230</v>
      </c>
      <c r="B99" s="1" t="s">
        <v>34</v>
      </c>
      <c r="C99" s="1">
        <v>6.72</v>
      </c>
      <c r="D99" s="1"/>
      <c r="E99" s="1">
        <v>-1.36</v>
      </c>
      <c r="F99" s="1"/>
      <c r="G99" s="8">
        <v>1</v>
      </c>
      <c r="I99" s="1" t="s">
        <v>231</v>
      </c>
      <c r="J99" s="1"/>
      <c r="K99" s="1">
        <v>1</v>
      </c>
      <c r="L99" s="1">
        <f t="shared" si="28"/>
        <v>-2.3600000000000003</v>
      </c>
      <c r="M99" s="1">
        <f t="shared" si="29"/>
        <v>-1.36</v>
      </c>
      <c r="N99" s="1"/>
      <c r="O99" s="1">
        <v>0</v>
      </c>
      <c r="P99" s="1"/>
      <c r="Q99" s="1"/>
      <c r="R99" s="1">
        <f t="shared" si="30"/>
        <v>-0.27200000000000002</v>
      </c>
      <c r="S99" s="5">
        <v>5</v>
      </c>
      <c r="T99" s="5">
        <f t="shared" si="31"/>
        <v>5</v>
      </c>
      <c r="U99" s="5">
        <f t="shared" si="40"/>
        <v>5</v>
      </c>
      <c r="V99" s="5">
        <f t="shared" si="33"/>
        <v>5</v>
      </c>
      <c r="W99" s="5"/>
      <c r="X99" s="5"/>
      <c r="Y99" s="5"/>
      <c r="Z99" s="1"/>
      <c r="AA99" s="1">
        <f t="shared" si="34"/>
        <v>-18.382352941176471</v>
      </c>
      <c r="AB99" s="1">
        <f t="shared" si="35"/>
        <v>0</v>
      </c>
      <c r="AC99" s="1">
        <v>0</v>
      </c>
      <c r="AD99" s="1">
        <v>0</v>
      </c>
      <c r="AE99" s="1">
        <v>1.645</v>
      </c>
      <c r="AF99" s="1">
        <v>0.26779999999999998</v>
      </c>
      <c r="AG99" s="1">
        <v>0.26900000000000002</v>
      </c>
      <c r="AH99" s="1"/>
      <c r="AI99" s="1">
        <f t="shared" si="36"/>
        <v>5</v>
      </c>
      <c r="AJ99" s="1">
        <f t="shared" si="37"/>
        <v>0</v>
      </c>
      <c r="AK99" s="1">
        <f t="shared" si="38"/>
        <v>0</v>
      </c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" t="s">
        <v>232</v>
      </c>
      <c r="B100" s="1" t="s">
        <v>42</v>
      </c>
      <c r="C100" s="1">
        <v>209</v>
      </c>
      <c r="D100" s="1">
        <v>487</v>
      </c>
      <c r="E100" s="1">
        <v>447</v>
      </c>
      <c r="F100" s="1">
        <v>234</v>
      </c>
      <c r="G100" s="8">
        <v>0.28000000000000003</v>
      </c>
      <c r="I100" s="1" t="s">
        <v>233</v>
      </c>
      <c r="J100" s="1"/>
      <c r="K100" s="1">
        <v>461</v>
      </c>
      <c r="L100" s="1">
        <f t="shared" si="28"/>
        <v>-14</v>
      </c>
      <c r="M100" s="1">
        <f t="shared" si="29"/>
        <v>447</v>
      </c>
      <c r="N100" s="1"/>
      <c r="O100" s="1">
        <v>110</v>
      </c>
      <c r="P100" s="1">
        <v>293.52468599999997</v>
      </c>
      <c r="Q100" s="1">
        <v>211.68131399999999</v>
      </c>
      <c r="R100" s="1">
        <f t="shared" si="30"/>
        <v>89.4</v>
      </c>
      <c r="S100" s="5">
        <f t="shared" si="39"/>
        <v>223.59400000000028</v>
      </c>
      <c r="T100" s="5">
        <f t="shared" si="31"/>
        <v>223.59400000000028</v>
      </c>
      <c r="U100" s="5">
        <f t="shared" si="40"/>
        <v>223.59400000000028</v>
      </c>
      <c r="V100" s="5">
        <f t="shared" si="33"/>
        <v>116.86655369928417</v>
      </c>
      <c r="W100" s="5">
        <f>(U100-X100)/$W$1</f>
        <v>106.72744630071611</v>
      </c>
      <c r="X100" s="5"/>
      <c r="Y100" s="5"/>
      <c r="Z100" s="1"/>
      <c r="AA100" s="1">
        <f t="shared" si="34"/>
        <v>12.000000000000002</v>
      </c>
      <c r="AB100" s="1">
        <f t="shared" si="35"/>
        <v>9.4989485458612961</v>
      </c>
      <c r="AC100" s="1">
        <v>80.2</v>
      </c>
      <c r="AD100" s="1">
        <v>59.4</v>
      </c>
      <c r="AE100" s="1">
        <v>84.6</v>
      </c>
      <c r="AF100" s="1">
        <v>69</v>
      </c>
      <c r="AG100" s="1">
        <v>77.400000000000006</v>
      </c>
      <c r="AH100" s="1"/>
      <c r="AI100" s="1">
        <f t="shared" si="36"/>
        <v>33</v>
      </c>
      <c r="AJ100" s="1">
        <f t="shared" si="37"/>
        <v>30</v>
      </c>
      <c r="AK100" s="1">
        <f t="shared" si="38"/>
        <v>0</v>
      </c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 t="s">
        <v>234</v>
      </c>
      <c r="B101" s="1" t="s">
        <v>42</v>
      </c>
      <c r="C101" s="1"/>
      <c r="D101" s="1">
        <v>252</v>
      </c>
      <c r="E101" s="1">
        <v>52</v>
      </c>
      <c r="F101" s="1">
        <v>188</v>
      </c>
      <c r="G101" s="8">
        <v>0.28000000000000003</v>
      </c>
      <c r="I101" s="1"/>
      <c r="J101" s="1"/>
      <c r="K101" s="1">
        <v>160</v>
      </c>
      <c r="L101" s="1">
        <f t="shared" si="28"/>
        <v>-108</v>
      </c>
      <c r="M101" s="1">
        <f t="shared" si="29"/>
        <v>52</v>
      </c>
      <c r="N101" s="1"/>
      <c r="O101" s="1"/>
      <c r="P101" s="1"/>
      <c r="Q101" s="1"/>
      <c r="R101" s="1">
        <f t="shared" si="30"/>
        <v>10.4</v>
      </c>
      <c r="S101" s="5"/>
      <c r="T101" s="5">
        <f t="shared" si="31"/>
        <v>0</v>
      </c>
      <c r="U101" s="5">
        <f t="shared" si="40"/>
        <v>0</v>
      </c>
      <c r="V101" s="5">
        <f t="shared" si="33"/>
        <v>0</v>
      </c>
      <c r="W101" s="5"/>
      <c r="X101" s="5"/>
      <c r="Y101" s="5"/>
      <c r="Z101" s="1"/>
      <c r="AA101" s="1">
        <f t="shared" si="34"/>
        <v>18.076923076923077</v>
      </c>
      <c r="AB101" s="1">
        <f t="shared" si="35"/>
        <v>18.076923076923077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/>
      <c r="AI101" s="1">
        <f t="shared" si="36"/>
        <v>0</v>
      </c>
      <c r="AJ101" s="1">
        <f t="shared" si="37"/>
        <v>0</v>
      </c>
      <c r="AK101" s="1">
        <f t="shared" si="38"/>
        <v>0</v>
      </c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 t="s">
        <v>235</v>
      </c>
      <c r="B102" s="1" t="s">
        <v>42</v>
      </c>
      <c r="C102" s="1">
        <v>49</v>
      </c>
      <c r="D102" s="1">
        <v>796</v>
      </c>
      <c r="E102" s="1">
        <v>539</v>
      </c>
      <c r="F102" s="1">
        <v>279</v>
      </c>
      <c r="G102" s="8">
        <v>0.28000000000000003</v>
      </c>
      <c r="I102" s="1" t="s">
        <v>236</v>
      </c>
      <c r="J102" s="1"/>
      <c r="K102" s="1">
        <v>564</v>
      </c>
      <c r="L102" s="1">
        <f t="shared" ref="L102:L117" si="41">E102-K102</f>
        <v>-25</v>
      </c>
      <c r="M102" s="1">
        <f t="shared" si="29"/>
        <v>539</v>
      </c>
      <c r="N102" s="1"/>
      <c r="O102" s="1">
        <v>0</v>
      </c>
      <c r="P102" s="1">
        <v>382.77325799999988</v>
      </c>
      <c r="Q102" s="1">
        <v>276.04474199999999</v>
      </c>
      <c r="R102" s="1">
        <f t="shared" si="30"/>
        <v>107.8</v>
      </c>
      <c r="S102" s="5">
        <f t="shared" si="39"/>
        <v>355.78199999999993</v>
      </c>
      <c r="T102" s="5">
        <f t="shared" si="31"/>
        <v>355.78199999999993</v>
      </c>
      <c r="U102" s="5">
        <f t="shared" si="40"/>
        <v>355.78199999999993</v>
      </c>
      <c r="V102" s="5">
        <f t="shared" si="33"/>
        <v>185.9576563245823</v>
      </c>
      <c r="W102" s="5">
        <f>(U102-X102)/$W$1</f>
        <v>169.82434367541762</v>
      </c>
      <c r="X102" s="5"/>
      <c r="Y102" s="5"/>
      <c r="Z102" s="1"/>
      <c r="AA102" s="1">
        <f t="shared" si="34"/>
        <v>12</v>
      </c>
      <c r="AB102" s="1">
        <f t="shared" si="35"/>
        <v>8.69961038961039</v>
      </c>
      <c r="AC102" s="1">
        <v>88.6</v>
      </c>
      <c r="AD102" s="1">
        <v>68.8</v>
      </c>
      <c r="AE102" s="1">
        <v>91</v>
      </c>
      <c r="AF102" s="1">
        <v>65.8</v>
      </c>
      <c r="AG102" s="1">
        <v>91</v>
      </c>
      <c r="AH102" s="1"/>
      <c r="AI102" s="1">
        <f t="shared" si="36"/>
        <v>52</v>
      </c>
      <c r="AJ102" s="1">
        <f t="shared" si="37"/>
        <v>48</v>
      </c>
      <c r="AK102" s="1">
        <f t="shared" si="38"/>
        <v>0</v>
      </c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 t="s">
        <v>237</v>
      </c>
      <c r="B103" s="1" t="s">
        <v>42</v>
      </c>
      <c r="C103" s="1"/>
      <c r="D103" s="1">
        <v>60</v>
      </c>
      <c r="E103" s="1">
        <v>10</v>
      </c>
      <c r="F103" s="1">
        <v>42</v>
      </c>
      <c r="G103" s="8">
        <v>0.09</v>
      </c>
      <c r="I103" s="1"/>
      <c r="J103" s="1"/>
      <c r="K103" s="1">
        <v>10</v>
      </c>
      <c r="L103" s="1">
        <f t="shared" si="41"/>
        <v>0</v>
      </c>
      <c r="M103" s="1">
        <f t="shared" si="29"/>
        <v>10</v>
      </c>
      <c r="N103" s="1"/>
      <c r="O103" s="1"/>
      <c r="P103" s="1"/>
      <c r="Q103" s="1">
        <v>20</v>
      </c>
      <c r="R103" s="1">
        <f t="shared" si="30"/>
        <v>2</v>
      </c>
      <c r="S103" s="5"/>
      <c r="T103" s="5">
        <f t="shared" si="31"/>
        <v>0</v>
      </c>
      <c r="U103" s="5">
        <f t="shared" si="40"/>
        <v>0</v>
      </c>
      <c r="V103" s="5">
        <f t="shared" si="33"/>
        <v>0</v>
      </c>
      <c r="W103" s="5"/>
      <c r="X103" s="5"/>
      <c r="Y103" s="5"/>
      <c r="Z103" s="1"/>
      <c r="AA103" s="1">
        <f t="shared" si="34"/>
        <v>31</v>
      </c>
      <c r="AB103" s="1">
        <f t="shared" si="35"/>
        <v>31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/>
      <c r="AI103" s="1">
        <f t="shared" si="36"/>
        <v>0</v>
      </c>
      <c r="AJ103" s="1">
        <f t="shared" si="37"/>
        <v>0</v>
      </c>
      <c r="AK103" s="1">
        <f t="shared" si="38"/>
        <v>0</v>
      </c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" t="s">
        <v>238</v>
      </c>
      <c r="B104" s="1" t="s">
        <v>34</v>
      </c>
      <c r="C104" s="1">
        <v>151.96199999999999</v>
      </c>
      <c r="D104" s="1"/>
      <c r="E104" s="1">
        <v>72.864999999999995</v>
      </c>
      <c r="F104" s="1">
        <v>78.421999999999997</v>
      </c>
      <c r="G104" s="8">
        <v>1</v>
      </c>
      <c r="I104" s="1" t="s">
        <v>239</v>
      </c>
      <c r="J104" s="1"/>
      <c r="K104" s="1">
        <v>72.5</v>
      </c>
      <c r="L104" s="1">
        <f t="shared" si="41"/>
        <v>0.36499999999999488</v>
      </c>
      <c r="M104" s="1">
        <f t="shared" si="29"/>
        <v>72.864999999999995</v>
      </c>
      <c r="N104" s="1"/>
      <c r="O104" s="1">
        <v>0</v>
      </c>
      <c r="P104" s="1"/>
      <c r="Q104" s="1"/>
      <c r="R104" s="1">
        <f t="shared" si="30"/>
        <v>14.572999999999999</v>
      </c>
      <c r="S104" s="5">
        <f t="shared" si="39"/>
        <v>96.453999999999979</v>
      </c>
      <c r="T104" s="5">
        <f t="shared" si="31"/>
        <v>96.453999999999979</v>
      </c>
      <c r="U104" s="5">
        <f t="shared" si="40"/>
        <v>96.453999999999979</v>
      </c>
      <c r="V104" s="5">
        <f t="shared" si="33"/>
        <v>96.453999999999979</v>
      </c>
      <c r="W104" s="5"/>
      <c r="X104" s="5"/>
      <c r="Y104" s="5"/>
      <c r="Z104" s="1"/>
      <c r="AA104" s="1">
        <f t="shared" si="34"/>
        <v>12</v>
      </c>
      <c r="AB104" s="1">
        <f t="shared" si="35"/>
        <v>5.3813216221780005</v>
      </c>
      <c r="AC104" s="1">
        <v>12.059799999999999</v>
      </c>
      <c r="AD104" s="1">
        <v>8.6370000000000005</v>
      </c>
      <c r="AE104" s="1">
        <v>17.559000000000001</v>
      </c>
      <c r="AF104" s="1">
        <v>22.036200000000001</v>
      </c>
      <c r="AG104" s="1">
        <v>12.86</v>
      </c>
      <c r="AH104" s="1"/>
      <c r="AI104" s="1">
        <f t="shared" si="36"/>
        <v>96</v>
      </c>
      <c r="AJ104" s="1">
        <f t="shared" si="37"/>
        <v>0</v>
      </c>
      <c r="AK104" s="1">
        <f t="shared" si="38"/>
        <v>0</v>
      </c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 t="s">
        <v>240</v>
      </c>
      <c r="B105" s="1" t="s">
        <v>34</v>
      </c>
      <c r="C105" s="1">
        <v>184.55699999999999</v>
      </c>
      <c r="D105" s="1">
        <v>10.032999999999999</v>
      </c>
      <c r="E105" s="1">
        <v>124.02200000000001</v>
      </c>
      <c r="F105" s="1">
        <v>56.725000000000001</v>
      </c>
      <c r="G105" s="8">
        <v>1</v>
      </c>
      <c r="I105" s="1" t="s">
        <v>241</v>
      </c>
      <c r="J105" s="1"/>
      <c r="K105" s="1">
        <v>137.5</v>
      </c>
      <c r="L105" s="1">
        <f t="shared" si="41"/>
        <v>-13.477999999999994</v>
      </c>
      <c r="M105" s="1">
        <f t="shared" si="29"/>
        <v>124.02200000000001</v>
      </c>
      <c r="N105" s="1"/>
      <c r="O105" s="1">
        <v>0</v>
      </c>
      <c r="P105" s="1">
        <v>65.472716862000013</v>
      </c>
      <c r="Q105" s="1">
        <v>47.216985138000013</v>
      </c>
      <c r="R105" s="1">
        <f t="shared" si="30"/>
        <v>24.804400000000001</v>
      </c>
      <c r="S105" s="5">
        <f t="shared" si="39"/>
        <v>128.23809800000001</v>
      </c>
      <c r="T105" s="5">
        <f t="shared" si="31"/>
        <v>128.23809800000001</v>
      </c>
      <c r="U105" s="5">
        <f t="shared" si="40"/>
        <v>128.23809800000001</v>
      </c>
      <c r="V105" s="5">
        <f t="shared" si="33"/>
        <v>128.23809800000001</v>
      </c>
      <c r="W105" s="5"/>
      <c r="X105" s="5"/>
      <c r="Y105" s="5"/>
      <c r="Z105" s="1"/>
      <c r="AA105" s="1">
        <f t="shared" si="34"/>
        <v>12.000000000000002</v>
      </c>
      <c r="AB105" s="1">
        <f t="shared" si="35"/>
        <v>6.8300262050281413</v>
      </c>
      <c r="AC105" s="1">
        <v>17.557400000000001</v>
      </c>
      <c r="AD105" s="1">
        <v>6.492</v>
      </c>
      <c r="AE105" s="1">
        <v>11.9696</v>
      </c>
      <c r="AF105" s="1">
        <v>26.448</v>
      </c>
      <c r="AG105" s="1">
        <v>13.8512</v>
      </c>
      <c r="AH105" s="1"/>
      <c r="AI105" s="1">
        <f t="shared" si="36"/>
        <v>128</v>
      </c>
      <c r="AJ105" s="1">
        <f t="shared" si="37"/>
        <v>0</v>
      </c>
      <c r="AK105" s="1">
        <f t="shared" si="38"/>
        <v>0</v>
      </c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 t="s">
        <v>242</v>
      </c>
      <c r="B106" s="1" t="s">
        <v>42</v>
      </c>
      <c r="C106" s="1"/>
      <c r="D106" s="1">
        <v>60</v>
      </c>
      <c r="E106" s="1">
        <v>10</v>
      </c>
      <c r="F106" s="1">
        <v>42</v>
      </c>
      <c r="G106" s="8">
        <v>0.09</v>
      </c>
      <c r="I106" s="1"/>
      <c r="J106" s="1"/>
      <c r="K106" s="1">
        <v>10</v>
      </c>
      <c r="L106" s="1">
        <f t="shared" si="41"/>
        <v>0</v>
      </c>
      <c r="M106" s="1">
        <f t="shared" si="29"/>
        <v>10</v>
      </c>
      <c r="N106" s="1"/>
      <c r="O106" s="1"/>
      <c r="P106" s="1"/>
      <c r="Q106" s="1">
        <v>20</v>
      </c>
      <c r="R106" s="1">
        <f t="shared" si="30"/>
        <v>2</v>
      </c>
      <c r="S106" s="5"/>
      <c r="T106" s="5">
        <f t="shared" si="31"/>
        <v>0</v>
      </c>
      <c r="U106" s="5">
        <f t="shared" si="40"/>
        <v>0</v>
      </c>
      <c r="V106" s="5">
        <f t="shared" si="33"/>
        <v>0</v>
      </c>
      <c r="W106" s="5"/>
      <c r="X106" s="5"/>
      <c r="Y106" s="5"/>
      <c r="Z106" s="1"/>
      <c r="AA106" s="1">
        <f t="shared" si="34"/>
        <v>31</v>
      </c>
      <c r="AB106" s="1">
        <f t="shared" si="35"/>
        <v>31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/>
      <c r="AI106" s="1">
        <f t="shared" si="36"/>
        <v>0</v>
      </c>
      <c r="AJ106" s="1">
        <f t="shared" si="37"/>
        <v>0</v>
      </c>
      <c r="AK106" s="1">
        <f t="shared" si="38"/>
        <v>0</v>
      </c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 t="s">
        <v>243</v>
      </c>
      <c r="B107" s="1" t="s">
        <v>42</v>
      </c>
      <c r="C107" s="1"/>
      <c r="D107" s="1">
        <v>60</v>
      </c>
      <c r="E107" s="1">
        <v>10</v>
      </c>
      <c r="F107" s="1">
        <v>42</v>
      </c>
      <c r="G107" s="8">
        <v>0.09</v>
      </c>
      <c r="I107" s="1"/>
      <c r="J107" s="1"/>
      <c r="K107" s="1">
        <v>10</v>
      </c>
      <c r="L107" s="1">
        <f t="shared" si="41"/>
        <v>0</v>
      </c>
      <c r="M107" s="1">
        <f t="shared" si="29"/>
        <v>10</v>
      </c>
      <c r="N107" s="1"/>
      <c r="O107" s="1"/>
      <c r="P107" s="1"/>
      <c r="Q107" s="1">
        <v>20</v>
      </c>
      <c r="R107" s="1">
        <f t="shared" si="30"/>
        <v>2</v>
      </c>
      <c r="S107" s="5"/>
      <c r="T107" s="5">
        <f t="shared" si="31"/>
        <v>0</v>
      </c>
      <c r="U107" s="5">
        <f t="shared" si="40"/>
        <v>0</v>
      </c>
      <c r="V107" s="5">
        <f t="shared" si="33"/>
        <v>0</v>
      </c>
      <c r="W107" s="5"/>
      <c r="X107" s="5"/>
      <c r="Y107" s="5"/>
      <c r="Z107" s="1"/>
      <c r="AA107" s="1">
        <f t="shared" si="34"/>
        <v>31</v>
      </c>
      <c r="AB107" s="1">
        <f t="shared" si="35"/>
        <v>31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/>
      <c r="AI107" s="1">
        <f t="shared" si="36"/>
        <v>0</v>
      </c>
      <c r="AJ107" s="1">
        <f t="shared" si="37"/>
        <v>0</v>
      </c>
      <c r="AK107" s="1">
        <f t="shared" si="38"/>
        <v>0</v>
      </c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" t="s">
        <v>244</v>
      </c>
      <c r="B108" s="1" t="s">
        <v>34</v>
      </c>
      <c r="C108" s="1">
        <v>5.54</v>
      </c>
      <c r="D108" s="1">
        <v>1.4019999999999999</v>
      </c>
      <c r="E108" s="1">
        <v>1.371</v>
      </c>
      <c r="F108" s="1">
        <v>-6.8339999999999996</v>
      </c>
      <c r="G108" s="8">
        <v>1</v>
      </c>
      <c r="I108" s="1" t="s">
        <v>245</v>
      </c>
      <c r="J108" s="1"/>
      <c r="K108" s="1">
        <v>6.8710000000000004</v>
      </c>
      <c r="L108" s="1">
        <f t="shared" si="41"/>
        <v>-5.5</v>
      </c>
      <c r="M108" s="1">
        <f t="shared" si="29"/>
        <v>1.371</v>
      </c>
      <c r="N108" s="1"/>
      <c r="O108" s="1">
        <v>0</v>
      </c>
      <c r="P108" s="1"/>
      <c r="Q108" s="1"/>
      <c r="R108" s="1">
        <f t="shared" si="30"/>
        <v>0.2742</v>
      </c>
      <c r="S108" s="5">
        <v>20</v>
      </c>
      <c r="T108" s="5">
        <f>Y108</f>
        <v>260</v>
      </c>
      <c r="U108" s="5">
        <f t="shared" si="40"/>
        <v>260</v>
      </c>
      <c r="V108" s="5">
        <f t="shared" si="33"/>
        <v>135.89498806682579</v>
      </c>
      <c r="W108" s="5">
        <f>(U108-X108)/$W$1</f>
        <v>124.10501193317421</v>
      </c>
      <c r="X108" s="5"/>
      <c r="Y108" s="18">
        <v>260</v>
      </c>
      <c r="Z108" s="1" t="s">
        <v>268</v>
      </c>
      <c r="AA108" s="1">
        <f t="shared" si="34"/>
        <v>923.28956965718453</v>
      </c>
      <c r="AB108" s="1">
        <f t="shared" si="35"/>
        <v>-24.923413566739605</v>
      </c>
      <c r="AC108" s="1">
        <v>0</v>
      </c>
      <c r="AD108" s="1">
        <v>1.9238</v>
      </c>
      <c r="AE108" s="1">
        <v>15.334</v>
      </c>
      <c r="AF108" s="1">
        <v>10.6714</v>
      </c>
      <c r="AG108" s="1">
        <v>0</v>
      </c>
      <c r="AH108" s="1"/>
      <c r="AI108" s="1">
        <f t="shared" si="36"/>
        <v>136</v>
      </c>
      <c r="AJ108" s="1">
        <f t="shared" si="37"/>
        <v>124</v>
      </c>
      <c r="AK108" s="1">
        <f t="shared" si="38"/>
        <v>0</v>
      </c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 t="s">
        <v>246</v>
      </c>
      <c r="B109" s="1" t="s">
        <v>34</v>
      </c>
      <c r="C109" s="1">
        <v>188.166</v>
      </c>
      <c r="D109" s="1">
        <v>954.01300000000003</v>
      </c>
      <c r="E109" s="1">
        <v>252.285</v>
      </c>
      <c r="F109" s="1">
        <v>614.00199999999995</v>
      </c>
      <c r="G109" s="8">
        <v>1</v>
      </c>
      <c r="I109" s="1" t="s">
        <v>247</v>
      </c>
      <c r="J109" s="1"/>
      <c r="K109" s="1">
        <v>342.27100000000002</v>
      </c>
      <c r="L109" s="1">
        <f t="shared" si="41"/>
        <v>-89.986000000000018</v>
      </c>
      <c r="M109" s="1">
        <f t="shared" si="29"/>
        <v>252.285</v>
      </c>
      <c r="N109" s="1"/>
      <c r="O109" s="1">
        <v>400</v>
      </c>
      <c r="P109" s="1"/>
      <c r="Q109" s="1"/>
      <c r="R109" s="1">
        <f t="shared" si="30"/>
        <v>50.457000000000001</v>
      </c>
      <c r="S109" s="5"/>
      <c r="T109" s="5">
        <f t="shared" si="31"/>
        <v>0</v>
      </c>
      <c r="U109" s="5">
        <f t="shared" si="40"/>
        <v>0</v>
      </c>
      <c r="V109" s="5">
        <f t="shared" si="33"/>
        <v>0</v>
      </c>
      <c r="W109" s="5"/>
      <c r="X109" s="5"/>
      <c r="Y109" s="5"/>
      <c r="Z109" s="1"/>
      <c r="AA109" s="1">
        <f t="shared" si="34"/>
        <v>20.096359276215392</v>
      </c>
      <c r="AB109" s="1">
        <f t="shared" si="35"/>
        <v>20.096359276215392</v>
      </c>
      <c r="AC109" s="1">
        <v>79.408600000000007</v>
      </c>
      <c r="AD109" s="1">
        <v>43.247599999999998</v>
      </c>
      <c r="AE109" s="1">
        <v>66.809400000000011</v>
      </c>
      <c r="AF109" s="1">
        <v>66.981399999999994</v>
      </c>
      <c r="AG109" s="1">
        <v>119.91800000000001</v>
      </c>
      <c r="AH109" s="1"/>
      <c r="AI109" s="1">
        <f t="shared" si="36"/>
        <v>0</v>
      </c>
      <c r="AJ109" s="1">
        <f t="shared" si="37"/>
        <v>0</v>
      </c>
      <c r="AK109" s="1">
        <f t="shared" si="38"/>
        <v>0</v>
      </c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 t="s">
        <v>248</v>
      </c>
      <c r="B110" s="1" t="s">
        <v>34</v>
      </c>
      <c r="C110" s="1">
        <v>1.6E-2</v>
      </c>
      <c r="D110" s="1"/>
      <c r="E110" s="1"/>
      <c r="F110" s="1"/>
      <c r="G110" s="8">
        <v>1</v>
      </c>
      <c r="I110" s="1" t="s">
        <v>249</v>
      </c>
      <c r="J110" s="1"/>
      <c r="K110" s="1">
        <v>1</v>
      </c>
      <c r="L110" s="1">
        <f t="shared" si="41"/>
        <v>-1</v>
      </c>
      <c r="M110" s="1">
        <f t="shared" si="29"/>
        <v>0</v>
      </c>
      <c r="N110" s="1"/>
      <c r="O110" s="1">
        <v>40</v>
      </c>
      <c r="P110" s="1"/>
      <c r="Q110" s="1"/>
      <c r="R110" s="1">
        <f t="shared" si="30"/>
        <v>0</v>
      </c>
      <c r="S110" s="5"/>
      <c r="T110" s="5">
        <f>Y110</f>
        <v>120</v>
      </c>
      <c r="U110" s="5">
        <f t="shared" si="40"/>
        <v>120</v>
      </c>
      <c r="V110" s="5">
        <f t="shared" si="33"/>
        <v>120</v>
      </c>
      <c r="W110" s="5"/>
      <c r="X110" s="5"/>
      <c r="Y110" s="18">
        <v>120</v>
      </c>
      <c r="Z110" s="1" t="s">
        <v>268</v>
      </c>
      <c r="AA110" s="1" t="e">
        <f t="shared" si="34"/>
        <v>#DIV/0!</v>
      </c>
      <c r="AB110" s="1" t="e">
        <f t="shared" si="35"/>
        <v>#DIV/0!</v>
      </c>
      <c r="AC110" s="1">
        <v>0.54699999999999993</v>
      </c>
      <c r="AD110" s="1">
        <v>1.3692</v>
      </c>
      <c r="AE110" s="1">
        <v>0.8276</v>
      </c>
      <c r="AF110" s="1">
        <v>1.8240000000000001</v>
      </c>
      <c r="AG110" s="1">
        <v>4.4535999999999998</v>
      </c>
      <c r="AH110" s="1"/>
      <c r="AI110" s="1">
        <f t="shared" si="36"/>
        <v>120</v>
      </c>
      <c r="AJ110" s="1">
        <f t="shared" si="37"/>
        <v>0</v>
      </c>
      <c r="AK110" s="1">
        <f t="shared" si="38"/>
        <v>0</v>
      </c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 t="s">
        <v>250</v>
      </c>
      <c r="B111" s="1" t="s">
        <v>34</v>
      </c>
      <c r="C111" s="1"/>
      <c r="D111" s="1">
        <v>103.81100000000001</v>
      </c>
      <c r="E111" s="1"/>
      <c r="F111" s="1">
        <v>103.81100000000001</v>
      </c>
      <c r="G111" s="8">
        <v>1</v>
      </c>
      <c r="I111" s="1" t="s">
        <v>263</v>
      </c>
      <c r="J111" s="1"/>
      <c r="K111" s="1"/>
      <c r="L111" s="1">
        <f t="shared" si="41"/>
        <v>0</v>
      </c>
      <c r="M111" s="1">
        <f t="shared" si="29"/>
        <v>0</v>
      </c>
      <c r="N111" s="1"/>
      <c r="O111" s="1">
        <v>620</v>
      </c>
      <c r="P111" s="1">
        <v>668.08885323599986</v>
      </c>
      <c r="Q111" s="1">
        <v>481.80590276400011</v>
      </c>
      <c r="R111" s="17">
        <v>185.3526</v>
      </c>
      <c r="S111" s="18">
        <f>1860.7082-Q111-P111-O111</f>
        <v>90.813444000000004</v>
      </c>
      <c r="T111" s="5">
        <f t="shared" si="31"/>
        <v>90.813444000000004</v>
      </c>
      <c r="U111" s="5">
        <f t="shared" si="40"/>
        <v>90.813444000000004</v>
      </c>
      <c r="V111" s="5">
        <f t="shared" si="33"/>
        <v>90.813444000000004</v>
      </c>
      <c r="W111" s="5"/>
      <c r="X111" s="5"/>
      <c r="Y111" s="5"/>
      <c r="Z111" s="1"/>
      <c r="AA111" s="1">
        <f t="shared" si="34"/>
        <v>10.598821921030513</v>
      </c>
      <c r="AB111" s="1">
        <f t="shared" si="35"/>
        <v>10.108872257524308</v>
      </c>
      <c r="AC111" s="1">
        <v>199.28919999999999</v>
      </c>
      <c r="AD111" s="1">
        <v>315.32100000000003</v>
      </c>
      <c r="AE111" s="1">
        <v>286.202</v>
      </c>
      <c r="AF111" s="1">
        <v>141.9708</v>
      </c>
      <c r="AG111" s="1">
        <v>164.84039999999999</v>
      </c>
      <c r="AH111" s="10" t="s">
        <v>267</v>
      </c>
      <c r="AI111" s="1">
        <f t="shared" si="36"/>
        <v>91</v>
      </c>
      <c r="AJ111" s="1">
        <f t="shared" si="37"/>
        <v>0</v>
      </c>
      <c r="AK111" s="1">
        <f t="shared" si="38"/>
        <v>0</v>
      </c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" t="s">
        <v>251</v>
      </c>
      <c r="B112" s="1" t="s">
        <v>42</v>
      </c>
      <c r="C112" s="1">
        <v>115</v>
      </c>
      <c r="D112" s="1">
        <v>144</v>
      </c>
      <c r="E112" s="1">
        <v>179</v>
      </c>
      <c r="F112" s="1">
        <v>68</v>
      </c>
      <c r="G112" s="8">
        <v>0.3</v>
      </c>
      <c r="I112" s="1" t="s">
        <v>252</v>
      </c>
      <c r="J112" s="1"/>
      <c r="K112" s="1">
        <v>199</v>
      </c>
      <c r="L112" s="1">
        <f t="shared" si="41"/>
        <v>-20</v>
      </c>
      <c r="M112" s="1">
        <f t="shared" si="29"/>
        <v>179</v>
      </c>
      <c r="N112" s="1"/>
      <c r="O112" s="1">
        <v>120</v>
      </c>
      <c r="P112" s="1">
        <v>168.89670000000001</v>
      </c>
      <c r="Q112" s="1">
        <v>121.80329999999999</v>
      </c>
      <c r="R112" s="1">
        <f t="shared" si="30"/>
        <v>35.799999999999997</v>
      </c>
      <c r="S112" s="5"/>
      <c r="T112" s="5">
        <f t="shared" si="31"/>
        <v>0</v>
      </c>
      <c r="U112" s="5">
        <f t="shared" si="40"/>
        <v>0</v>
      </c>
      <c r="V112" s="5">
        <f t="shared" si="33"/>
        <v>0</v>
      </c>
      <c r="W112" s="5"/>
      <c r="X112" s="5"/>
      <c r="Y112" s="5"/>
      <c r="Z112" s="1"/>
      <c r="AA112" s="1">
        <f t="shared" si="34"/>
        <v>13.371508379888269</v>
      </c>
      <c r="AB112" s="1">
        <f t="shared" si="35"/>
        <v>13.371508379888269</v>
      </c>
      <c r="AC112" s="1">
        <v>40</v>
      </c>
      <c r="AD112" s="1">
        <v>28.6</v>
      </c>
      <c r="AE112" s="1">
        <v>33.799999999999997</v>
      </c>
      <c r="AF112" s="1">
        <v>35.4</v>
      </c>
      <c r="AG112" s="1">
        <v>30.6</v>
      </c>
      <c r="AH112" s="1"/>
      <c r="AI112" s="1">
        <f t="shared" si="36"/>
        <v>0</v>
      </c>
      <c r="AJ112" s="1">
        <f t="shared" si="37"/>
        <v>0</v>
      </c>
      <c r="AK112" s="1">
        <f t="shared" si="38"/>
        <v>0</v>
      </c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 t="s">
        <v>253</v>
      </c>
      <c r="B113" s="1" t="s">
        <v>42</v>
      </c>
      <c r="C113" s="1">
        <v>25</v>
      </c>
      <c r="D113" s="1">
        <v>209</v>
      </c>
      <c r="E113" s="1">
        <v>37</v>
      </c>
      <c r="F113" s="1">
        <v>129</v>
      </c>
      <c r="G113" s="8">
        <v>0.3</v>
      </c>
      <c r="I113" s="1" t="s">
        <v>254</v>
      </c>
      <c r="J113" s="1"/>
      <c r="K113" s="1">
        <v>71</v>
      </c>
      <c r="L113" s="1">
        <f t="shared" si="41"/>
        <v>-34</v>
      </c>
      <c r="M113" s="1">
        <f t="shared" si="29"/>
        <v>37</v>
      </c>
      <c r="N113" s="1"/>
      <c r="O113" s="1">
        <v>100</v>
      </c>
      <c r="P113" s="1"/>
      <c r="Q113" s="1"/>
      <c r="R113" s="1">
        <f t="shared" si="30"/>
        <v>7.4</v>
      </c>
      <c r="S113" s="5"/>
      <c r="T113" s="5">
        <f t="shared" si="31"/>
        <v>0</v>
      </c>
      <c r="U113" s="5">
        <f t="shared" si="40"/>
        <v>0</v>
      </c>
      <c r="V113" s="5">
        <f t="shared" si="33"/>
        <v>0</v>
      </c>
      <c r="W113" s="5"/>
      <c r="X113" s="5"/>
      <c r="Y113" s="5"/>
      <c r="Z113" s="1"/>
      <c r="AA113" s="1">
        <f t="shared" si="34"/>
        <v>30.945945945945944</v>
      </c>
      <c r="AB113" s="1">
        <f t="shared" si="35"/>
        <v>30.945945945945944</v>
      </c>
      <c r="AC113" s="1">
        <v>16</v>
      </c>
      <c r="AD113" s="1">
        <v>17.399999999999999</v>
      </c>
      <c r="AE113" s="1">
        <v>24.6</v>
      </c>
      <c r="AF113" s="1">
        <v>19.8</v>
      </c>
      <c r="AG113" s="1">
        <v>20.6</v>
      </c>
      <c r="AH113" s="1" t="s">
        <v>255</v>
      </c>
      <c r="AI113" s="1">
        <f t="shared" si="36"/>
        <v>0</v>
      </c>
      <c r="AJ113" s="1">
        <f t="shared" si="37"/>
        <v>0</v>
      </c>
      <c r="AK113" s="1">
        <f t="shared" si="38"/>
        <v>0</v>
      </c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 t="s">
        <v>256</v>
      </c>
      <c r="B114" s="1" t="s">
        <v>34</v>
      </c>
      <c r="C114" s="1">
        <v>-0.14099999999999999</v>
      </c>
      <c r="D114" s="1">
        <v>85.120999999999995</v>
      </c>
      <c r="E114" s="1">
        <v>16.27</v>
      </c>
      <c r="F114" s="1">
        <v>51.234999999999999</v>
      </c>
      <c r="G114" s="8">
        <v>1</v>
      </c>
      <c r="I114" s="1" t="s">
        <v>257</v>
      </c>
      <c r="J114" s="1"/>
      <c r="K114" s="1">
        <v>42.9</v>
      </c>
      <c r="L114" s="1">
        <f t="shared" si="41"/>
        <v>-26.63</v>
      </c>
      <c r="M114" s="1">
        <f t="shared" si="29"/>
        <v>16.27</v>
      </c>
      <c r="N114" s="1"/>
      <c r="O114" s="1">
        <v>100</v>
      </c>
      <c r="P114" s="1"/>
      <c r="Q114" s="1"/>
      <c r="R114" s="1">
        <f t="shared" si="30"/>
        <v>3.254</v>
      </c>
      <c r="S114" s="5"/>
      <c r="T114" s="5">
        <f t="shared" si="31"/>
        <v>0</v>
      </c>
      <c r="U114" s="5">
        <f t="shared" si="40"/>
        <v>0</v>
      </c>
      <c r="V114" s="5">
        <f t="shared" si="33"/>
        <v>0</v>
      </c>
      <c r="W114" s="5"/>
      <c r="X114" s="5"/>
      <c r="Y114" s="5"/>
      <c r="Z114" s="1"/>
      <c r="AA114" s="1">
        <f t="shared" si="34"/>
        <v>46.476644130301175</v>
      </c>
      <c r="AB114" s="1">
        <f t="shared" si="35"/>
        <v>46.476644130301175</v>
      </c>
      <c r="AC114" s="1">
        <v>12.4718</v>
      </c>
      <c r="AD114" s="1">
        <v>9.9214000000000002</v>
      </c>
      <c r="AE114" s="1">
        <v>8.9459999999999997</v>
      </c>
      <c r="AF114" s="1">
        <v>7.6662000000000008</v>
      </c>
      <c r="AG114" s="1">
        <v>8.5355999999999987</v>
      </c>
      <c r="AH114" s="1"/>
      <c r="AI114" s="1">
        <f t="shared" si="36"/>
        <v>0</v>
      </c>
      <c r="AJ114" s="1">
        <f t="shared" si="37"/>
        <v>0</v>
      </c>
      <c r="AK114" s="1">
        <f t="shared" si="38"/>
        <v>0</v>
      </c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 t="s">
        <v>258</v>
      </c>
      <c r="B115" s="1" t="s">
        <v>42</v>
      </c>
      <c r="C115" s="1">
        <v>43</v>
      </c>
      <c r="D115" s="1">
        <v>26</v>
      </c>
      <c r="E115" s="1">
        <v>47</v>
      </c>
      <c r="F115" s="1">
        <v>19</v>
      </c>
      <c r="G115" s="8">
        <v>0.3</v>
      </c>
      <c r="I115" s="1" t="s">
        <v>259</v>
      </c>
      <c r="J115" s="1"/>
      <c r="K115" s="1">
        <v>60</v>
      </c>
      <c r="L115" s="1">
        <f t="shared" si="41"/>
        <v>-13</v>
      </c>
      <c r="M115" s="1">
        <f t="shared" si="29"/>
        <v>47</v>
      </c>
      <c r="N115" s="1"/>
      <c r="O115" s="1">
        <v>0</v>
      </c>
      <c r="P115" s="1">
        <v>106.13824200000001</v>
      </c>
      <c r="Q115" s="1">
        <v>76.543758000000011</v>
      </c>
      <c r="R115" s="1">
        <f t="shared" si="30"/>
        <v>9.4</v>
      </c>
      <c r="S115" s="5"/>
      <c r="T115" s="5">
        <f t="shared" si="31"/>
        <v>0</v>
      </c>
      <c r="U115" s="5">
        <f t="shared" si="40"/>
        <v>0</v>
      </c>
      <c r="V115" s="5">
        <f t="shared" si="33"/>
        <v>0</v>
      </c>
      <c r="W115" s="5"/>
      <c r="X115" s="5"/>
      <c r="Y115" s="5"/>
      <c r="Z115" s="1"/>
      <c r="AA115" s="1">
        <f t="shared" si="34"/>
        <v>21.455531914893619</v>
      </c>
      <c r="AB115" s="1">
        <f t="shared" si="35"/>
        <v>21.455531914893619</v>
      </c>
      <c r="AC115" s="1">
        <v>13.4</v>
      </c>
      <c r="AD115" s="1">
        <v>10.8</v>
      </c>
      <c r="AE115" s="1">
        <v>11.6</v>
      </c>
      <c r="AF115" s="1">
        <v>12.2</v>
      </c>
      <c r="AG115" s="1">
        <v>8.8000000000000007</v>
      </c>
      <c r="AH115" s="1"/>
      <c r="AI115" s="1">
        <f t="shared" si="36"/>
        <v>0</v>
      </c>
      <c r="AJ115" s="1">
        <f t="shared" si="37"/>
        <v>0</v>
      </c>
      <c r="AK115" s="1">
        <f t="shared" si="38"/>
        <v>0</v>
      </c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 t="s">
        <v>260</v>
      </c>
      <c r="B116" s="1" t="s">
        <v>42</v>
      </c>
      <c r="C116" s="1">
        <v>4</v>
      </c>
      <c r="D116" s="1">
        <v>33</v>
      </c>
      <c r="E116" s="1">
        <v>3</v>
      </c>
      <c r="F116" s="1">
        <v>24</v>
      </c>
      <c r="G116" s="8">
        <v>0.12</v>
      </c>
      <c r="I116" s="1" t="s">
        <v>261</v>
      </c>
      <c r="J116" s="1"/>
      <c r="K116" s="1">
        <v>15</v>
      </c>
      <c r="L116" s="1">
        <f t="shared" si="41"/>
        <v>-12</v>
      </c>
      <c r="M116" s="1">
        <f t="shared" si="29"/>
        <v>3</v>
      </c>
      <c r="N116" s="1"/>
      <c r="O116" s="1">
        <v>0</v>
      </c>
      <c r="P116" s="1"/>
      <c r="Q116" s="1"/>
      <c r="R116" s="1">
        <f t="shared" si="30"/>
        <v>0.6</v>
      </c>
      <c r="S116" s="5"/>
      <c r="T116" s="5">
        <f t="shared" si="31"/>
        <v>0</v>
      </c>
      <c r="U116" s="5">
        <f t="shared" si="40"/>
        <v>0</v>
      </c>
      <c r="V116" s="5">
        <f t="shared" si="33"/>
        <v>0</v>
      </c>
      <c r="W116" s="5"/>
      <c r="X116" s="5"/>
      <c r="Y116" s="5"/>
      <c r="Z116" s="1"/>
      <c r="AA116" s="1">
        <f t="shared" si="34"/>
        <v>40</v>
      </c>
      <c r="AB116" s="1">
        <f t="shared" si="35"/>
        <v>40</v>
      </c>
      <c r="AC116" s="1">
        <v>3.8</v>
      </c>
      <c r="AD116" s="1">
        <v>5.4</v>
      </c>
      <c r="AE116" s="1">
        <v>5.8</v>
      </c>
      <c r="AF116" s="1">
        <v>7.8</v>
      </c>
      <c r="AG116" s="1">
        <v>3.2</v>
      </c>
      <c r="AH116" s="1"/>
      <c r="AI116" s="1">
        <f t="shared" si="36"/>
        <v>0</v>
      </c>
      <c r="AJ116" s="1">
        <f t="shared" si="37"/>
        <v>0</v>
      </c>
      <c r="AK116" s="1">
        <f t="shared" si="38"/>
        <v>0</v>
      </c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 t="s">
        <v>262</v>
      </c>
      <c r="B117" s="1" t="s">
        <v>34</v>
      </c>
      <c r="C117" s="1"/>
      <c r="D117" s="1">
        <v>86.429000000000002</v>
      </c>
      <c r="E117" s="1"/>
      <c r="F117" s="1">
        <v>86.429000000000002</v>
      </c>
      <c r="G117" s="8">
        <v>1</v>
      </c>
      <c r="I117" s="1"/>
      <c r="J117" s="1"/>
      <c r="K117" s="1"/>
      <c r="L117" s="1">
        <f t="shared" si="41"/>
        <v>0</v>
      </c>
      <c r="M117" s="1">
        <f t="shared" si="29"/>
        <v>0</v>
      </c>
      <c r="N117" s="1"/>
      <c r="O117" s="1"/>
      <c r="P117" s="1"/>
      <c r="Q117" s="1"/>
      <c r="R117" s="1">
        <f t="shared" si="30"/>
        <v>0</v>
      </c>
      <c r="S117" s="5"/>
      <c r="T117" s="5">
        <f t="shared" si="31"/>
        <v>0</v>
      </c>
      <c r="U117" s="5">
        <f t="shared" si="40"/>
        <v>0</v>
      </c>
      <c r="V117" s="5">
        <f t="shared" si="33"/>
        <v>0</v>
      </c>
      <c r="W117" s="5"/>
      <c r="X117" s="5"/>
      <c r="Y117" s="5"/>
      <c r="Z117" s="1"/>
      <c r="AA117" s="1" t="e">
        <f t="shared" si="34"/>
        <v>#DIV/0!</v>
      </c>
      <c r="AB117" s="1" t="e">
        <f t="shared" si="35"/>
        <v>#DIV/0!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/>
      <c r="AI117" s="1">
        <f t="shared" si="36"/>
        <v>0</v>
      </c>
      <c r="AJ117" s="1">
        <f t="shared" si="37"/>
        <v>0</v>
      </c>
      <c r="AK117" s="1">
        <f t="shared" si="38"/>
        <v>0</v>
      </c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/>
      <c r="B118" s="1"/>
      <c r="C118" s="1"/>
      <c r="D118" s="1"/>
      <c r="E118" s="1"/>
      <c r="F118" s="1"/>
      <c r="G118" s="1"/>
      <c r="H118" s="8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/>
      <c r="B119" s="1"/>
      <c r="C119" s="1"/>
      <c r="D119" s="1"/>
      <c r="E119" s="1"/>
      <c r="F119" s="1"/>
      <c r="G119" s="1"/>
      <c r="H119" s="8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"/>
      <c r="B120" s="1"/>
      <c r="C120" s="1"/>
      <c r="D120" s="1"/>
      <c r="E120" s="1"/>
      <c r="F120" s="1"/>
      <c r="G120" s="1"/>
      <c r="H120" s="8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"/>
      <c r="B121" s="1"/>
      <c r="C121" s="1"/>
      <c r="D121" s="1"/>
      <c r="E121" s="1"/>
      <c r="F121" s="1"/>
      <c r="G121" s="1"/>
      <c r="H121" s="8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/>
      <c r="B122" s="1"/>
      <c r="C122" s="1"/>
      <c r="D122" s="1"/>
      <c r="E122" s="1"/>
      <c r="F122" s="1"/>
      <c r="G122" s="1"/>
      <c r="H122" s="8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/>
      <c r="B123" s="1"/>
      <c r="C123" s="1"/>
      <c r="D123" s="1"/>
      <c r="E123" s="1"/>
      <c r="F123" s="1"/>
      <c r="G123" s="1"/>
      <c r="H123" s="8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/>
      <c r="B124" s="1"/>
      <c r="C124" s="1"/>
      <c r="D124" s="1"/>
      <c r="E124" s="1"/>
      <c r="F124" s="1"/>
      <c r="G124" s="1"/>
      <c r="H124" s="8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/>
      <c r="B125" s="1"/>
      <c r="C125" s="1"/>
      <c r="D125" s="1"/>
      <c r="E125" s="1"/>
      <c r="F125" s="1"/>
      <c r="G125" s="1"/>
      <c r="H125" s="8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/>
      <c r="B126" s="1"/>
      <c r="C126" s="1"/>
      <c r="D126" s="1"/>
      <c r="E126" s="1"/>
      <c r="F126" s="1"/>
      <c r="G126" s="1"/>
      <c r="H126" s="8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"/>
      <c r="B127" s="1"/>
      <c r="C127" s="1"/>
      <c r="D127" s="1"/>
      <c r="E127" s="1"/>
      <c r="F127" s="1"/>
      <c r="G127" s="1"/>
      <c r="H127" s="8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"/>
      <c r="B128" s="1"/>
      <c r="C128" s="1"/>
      <c r="D128" s="1"/>
      <c r="E128" s="1"/>
      <c r="F128" s="1"/>
      <c r="G128" s="1"/>
      <c r="H128" s="8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/>
      <c r="B129" s="1"/>
      <c r="C129" s="1"/>
      <c r="D129" s="1"/>
      <c r="E129" s="1"/>
      <c r="F129" s="1"/>
      <c r="G129" s="1"/>
      <c r="H129" s="8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"/>
      <c r="B130" s="1"/>
      <c r="C130" s="1"/>
      <c r="D130" s="1"/>
      <c r="E130" s="1"/>
      <c r="F130" s="1"/>
      <c r="G130" s="1"/>
      <c r="H130" s="8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"/>
      <c r="B131" s="1"/>
      <c r="C131" s="1"/>
      <c r="D131" s="1"/>
      <c r="E131" s="1"/>
      <c r="F131" s="1"/>
      <c r="G131" s="1"/>
      <c r="H131" s="8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1"/>
      <c r="H132" s="8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1"/>
      <c r="H133" s="8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1"/>
      <c r="H134" s="8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1"/>
      <c r="H135" s="8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1"/>
      <c r="H136" s="8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1"/>
      <c r="H137" s="8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1"/>
      <c r="H138" s="8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1"/>
      <c r="H139" s="8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1"/>
      <c r="H140" s="8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1"/>
      <c r="H141" s="8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1"/>
      <c r="H142" s="8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1"/>
      <c r="H143" s="8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1"/>
      <c r="H144" s="8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1"/>
      <c r="H145" s="8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1"/>
      <c r="H146" s="8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1"/>
      <c r="H147" s="8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1"/>
      <c r="H148" s="8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1"/>
      <c r="H149" s="8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1"/>
      <c r="H150" s="8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1"/>
      <c r="H151" s="8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1"/>
      <c r="H152" s="8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1"/>
      <c r="H153" s="8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1"/>
      <c r="H154" s="8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1"/>
      <c r="H155" s="8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1"/>
      <c r="H156" s="8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1"/>
      <c r="H157" s="8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1"/>
      <c r="H158" s="8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1"/>
      <c r="H159" s="8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1"/>
      <c r="H160" s="8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1"/>
      <c r="H161" s="8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1"/>
      <c r="H162" s="8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1"/>
      <c r="H163" s="8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1"/>
      <c r="H164" s="8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1"/>
      <c r="H165" s="8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1"/>
      <c r="H166" s="8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1"/>
      <c r="H167" s="8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1"/>
      <c r="H168" s="8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1"/>
      <c r="H169" s="8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1"/>
      <c r="H170" s="8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1"/>
      <c r="H171" s="8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1"/>
      <c r="H172" s="8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1"/>
      <c r="H173" s="8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1"/>
      <c r="H174" s="8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1"/>
      <c r="H175" s="8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1"/>
      <c r="H176" s="8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1"/>
      <c r="H177" s="8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1"/>
      <c r="H178" s="8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1"/>
      <c r="H179" s="8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1"/>
      <c r="H180" s="8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1"/>
      <c r="H181" s="8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1"/>
      <c r="H182" s="8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1"/>
      <c r="H183" s="8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1"/>
      <c r="H184" s="8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1"/>
      <c r="H185" s="8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1"/>
      <c r="H186" s="8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1"/>
      <c r="H187" s="8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1"/>
      <c r="H188" s="8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1"/>
      <c r="H189" s="8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1"/>
      <c r="H190" s="8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1"/>
      <c r="H191" s="8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1"/>
      <c r="H192" s="8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1"/>
      <c r="H193" s="8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1"/>
      <c r="H194" s="8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1"/>
      <c r="H195" s="8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1"/>
      <c r="H196" s="8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1"/>
      <c r="H197" s="8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1"/>
      <c r="H198" s="8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1"/>
      <c r="H199" s="8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1"/>
      <c r="H200" s="8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1"/>
      <c r="H201" s="8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1"/>
      <c r="H202" s="8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1"/>
      <c r="H203" s="8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1"/>
      <c r="H204" s="8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1"/>
      <c r="H205" s="8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1"/>
      <c r="H206" s="8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1"/>
      <c r="H207" s="8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1"/>
      <c r="H208" s="8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1"/>
      <c r="H209" s="8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1"/>
      <c r="H210" s="8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1"/>
      <c r="H211" s="8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1"/>
      <c r="H212" s="8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1"/>
      <c r="H213" s="8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1"/>
      <c r="H214" s="8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1"/>
      <c r="H215" s="8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1"/>
      <c r="H216" s="8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1"/>
      <c r="H217" s="8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1"/>
      <c r="H218" s="8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1"/>
      <c r="H219" s="8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1"/>
      <c r="H220" s="8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1"/>
      <c r="H221" s="8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1"/>
      <c r="H222" s="8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1"/>
      <c r="H223" s="8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1"/>
      <c r="H224" s="8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1"/>
      <c r="H225" s="8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1"/>
      <c r="H226" s="8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1"/>
      <c r="H227" s="8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1"/>
      <c r="H228" s="8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1"/>
      <c r="H229" s="8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1"/>
      <c r="H230" s="8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1"/>
      <c r="H231" s="8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1"/>
      <c r="H232" s="8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1"/>
      <c r="H233" s="8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1"/>
      <c r="H234" s="8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1"/>
      <c r="H235" s="8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1"/>
      <c r="H236" s="8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1"/>
      <c r="H237" s="8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1"/>
      <c r="H238" s="8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1"/>
      <c r="H239" s="8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1"/>
      <c r="H240" s="8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1"/>
      <c r="H241" s="8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1"/>
      <c r="H242" s="8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1"/>
      <c r="H243" s="8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1"/>
      <c r="H244" s="8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1"/>
      <c r="H245" s="8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1"/>
      <c r="H246" s="8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1"/>
      <c r="H247" s="8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1"/>
      <c r="H248" s="8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1"/>
      <c r="H249" s="8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1"/>
      <c r="H250" s="8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1"/>
      <c r="H251" s="8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1"/>
      <c r="H252" s="8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1"/>
      <c r="H253" s="8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1"/>
      <c r="H254" s="8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1"/>
      <c r="H255" s="8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1"/>
      <c r="H256" s="8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1"/>
      <c r="H257" s="8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1"/>
      <c r="H258" s="8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1"/>
      <c r="H259" s="8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1"/>
      <c r="H260" s="8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1"/>
      <c r="H261" s="8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1"/>
      <c r="H262" s="8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1"/>
      <c r="H263" s="8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1"/>
      <c r="H264" s="8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1"/>
      <c r="H265" s="8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1"/>
      <c r="H266" s="8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1"/>
      <c r="H267" s="8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1"/>
      <c r="H268" s="8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1"/>
      <c r="H269" s="8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1"/>
      <c r="H270" s="8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1"/>
      <c r="H271" s="8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1"/>
      <c r="H272" s="8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1"/>
      <c r="H273" s="8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1"/>
      <c r="H274" s="8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1"/>
      <c r="H275" s="8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1"/>
      <c r="H276" s="8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1"/>
      <c r="H277" s="8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1"/>
      <c r="H278" s="8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1"/>
      <c r="H279" s="8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1"/>
      <c r="H280" s="8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1"/>
      <c r="H281" s="8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1"/>
      <c r="H282" s="8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1"/>
      <c r="H283" s="8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1"/>
      <c r="H284" s="8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1"/>
      <c r="H285" s="8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1"/>
      <c r="H286" s="8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1"/>
      <c r="H287" s="8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1"/>
      <c r="H288" s="8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1"/>
      <c r="H289" s="8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1"/>
      <c r="H290" s="8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1"/>
      <c r="H291" s="8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1"/>
      <c r="H292" s="8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1"/>
      <c r="H293" s="8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1"/>
      <c r="H294" s="8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1"/>
      <c r="H295" s="8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1"/>
      <c r="H296" s="8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1"/>
      <c r="H297" s="8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1"/>
      <c r="H298" s="8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1"/>
      <c r="H299" s="8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1"/>
      <c r="H300" s="8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1"/>
      <c r="H301" s="8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1"/>
      <c r="H302" s="8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1"/>
      <c r="H303" s="8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1"/>
      <c r="H304" s="8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1"/>
      <c r="H305" s="8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1"/>
      <c r="H306" s="8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1"/>
      <c r="H307" s="8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1"/>
      <c r="H308" s="8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1"/>
      <c r="H309" s="8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1"/>
      <c r="H310" s="8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1"/>
      <c r="H311" s="8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1"/>
      <c r="H312" s="8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1"/>
      <c r="H313" s="8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1"/>
      <c r="H314" s="8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1"/>
      <c r="H315" s="8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1"/>
      <c r="H316" s="8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1"/>
      <c r="H317" s="8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1"/>
      <c r="H318" s="8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1"/>
      <c r="H319" s="8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1"/>
      <c r="H320" s="8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1"/>
      <c r="H321" s="8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1"/>
      <c r="H322" s="8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1"/>
      <c r="H323" s="8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1"/>
      <c r="H324" s="8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1"/>
      <c r="H325" s="8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1"/>
      <c r="H326" s="8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1"/>
      <c r="H327" s="8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1"/>
      <c r="H328" s="8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1"/>
      <c r="H329" s="8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1"/>
      <c r="H330" s="8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1"/>
      <c r="H331" s="8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1"/>
      <c r="H332" s="8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1"/>
      <c r="H333" s="8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1"/>
      <c r="H334" s="8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1"/>
      <c r="H335" s="8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1"/>
      <c r="H336" s="8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1"/>
      <c r="H337" s="8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1"/>
      <c r="H338" s="8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1"/>
      <c r="H339" s="8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1"/>
      <c r="H340" s="8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1"/>
      <c r="H341" s="8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1"/>
      <c r="H342" s="8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1"/>
      <c r="H343" s="8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1"/>
      <c r="H344" s="8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1"/>
      <c r="H345" s="8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1"/>
      <c r="H346" s="8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1"/>
      <c r="H347" s="8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1"/>
      <c r="H348" s="8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1"/>
      <c r="H349" s="8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1"/>
      <c r="H350" s="8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1"/>
      <c r="H351" s="8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1"/>
      <c r="H352" s="8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1"/>
      <c r="H353" s="8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1"/>
      <c r="H354" s="8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1"/>
      <c r="H355" s="8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1"/>
      <c r="H356" s="8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1"/>
      <c r="H357" s="8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1"/>
      <c r="H358" s="8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1"/>
      <c r="H359" s="8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1"/>
      <c r="H360" s="8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1"/>
      <c r="H361" s="8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1"/>
      <c r="H362" s="8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1"/>
      <c r="H363" s="8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1"/>
      <c r="H364" s="8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1"/>
      <c r="H365" s="8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1"/>
      <c r="H366" s="8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1"/>
      <c r="H367" s="8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1"/>
      <c r="H368" s="8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1"/>
      <c r="H369" s="8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1"/>
      <c r="H370" s="8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1"/>
      <c r="H371" s="8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1"/>
      <c r="H372" s="8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1"/>
      <c r="H373" s="8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1"/>
      <c r="H374" s="8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1"/>
      <c r="H375" s="8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1"/>
      <c r="H376" s="8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1"/>
      <c r="H377" s="8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1"/>
      <c r="H378" s="8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1"/>
      <c r="H379" s="8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1"/>
      <c r="H380" s="8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1"/>
      <c r="H381" s="8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1"/>
      <c r="H382" s="8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1"/>
      <c r="H383" s="8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1"/>
      <c r="H384" s="8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1"/>
      <c r="H385" s="8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1"/>
      <c r="H386" s="8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1"/>
      <c r="H387" s="8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1"/>
      <c r="H388" s="8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1"/>
      <c r="H389" s="8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1"/>
      <c r="H390" s="8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1"/>
      <c r="H391" s="8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1"/>
      <c r="H392" s="8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1"/>
      <c r="H393" s="8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1"/>
      <c r="H394" s="8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1"/>
      <c r="H395" s="8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1"/>
      <c r="H396" s="8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1"/>
      <c r="H397" s="8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1"/>
      <c r="H398" s="8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1"/>
      <c r="H399" s="8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1"/>
      <c r="H400" s="8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1"/>
      <c r="H401" s="8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1"/>
      <c r="H402" s="8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1"/>
      <c r="H403" s="8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1"/>
      <c r="H404" s="8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1"/>
      <c r="H405" s="8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1"/>
      <c r="H406" s="8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1"/>
      <c r="H407" s="8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1"/>
      <c r="H408" s="8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1"/>
      <c r="H409" s="8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1"/>
      <c r="H410" s="8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1"/>
      <c r="H411" s="8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1"/>
      <c r="H412" s="8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1"/>
      <c r="H413" s="8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1"/>
      <c r="H414" s="8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1"/>
      <c r="H415" s="8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1"/>
      <c r="H416" s="8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1"/>
      <c r="H417" s="8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1"/>
      <c r="H418" s="8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1"/>
      <c r="H419" s="8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1"/>
      <c r="H420" s="8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1"/>
      <c r="H421" s="8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1"/>
      <c r="H422" s="8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1"/>
      <c r="H423" s="8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1"/>
      <c r="H424" s="8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1"/>
      <c r="H425" s="8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1"/>
      <c r="H426" s="8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1"/>
      <c r="H427" s="8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1"/>
      <c r="H428" s="8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1"/>
      <c r="H429" s="8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1"/>
      <c r="H430" s="8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1"/>
      <c r="H431" s="8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1"/>
      <c r="H432" s="8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1"/>
      <c r="H433" s="8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1"/>
      <c r="H434" s="8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1"/>
      <c r="H435" s="8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1"/>
      <c r="H436" s="8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1"/>
      <c r="H437" s="8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1"/>
      <c r="H438" s="8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1"/>
      <c r="H439" s="8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1"/>
      <c r="H440" s="8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1"/>
      <c r="H441" s="8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1"/>
      <c r="H442" s="8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1"/>
      <c r="H443" s="8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1"/>
      <c r="H444" s="8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1"/>
      <c r="H445" s="8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1"/>
      <c r="H446" s="8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1"/>
      <c r="H447" s="8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1"/>
      <c r="H448" s="8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1"/>
      <c r="H449" s="8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1"/>
      <c r="H450" s="8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1"/>
      <c r="H451" s="8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1"/>
      <c r="H452" s="8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1"/>
      <c r="H453" s="8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1"/>
      <c r="H454" s="8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1"/>
      <c r="H455" s="8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1"/>
      <c r="H456" s="8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1"/>
      <c r="H457" s="8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1"/>
      <c r="H458" s="8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1"/>
      <c r="H459" s="8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1"/>
      <c r="H460" s="8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1"/>
      <c r="H461" s="8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1"/>
      <c r="H462" s="8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1"/>
      <c r="H463" s="8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1"/>
      <c r="H464" s="8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1"/>
      <c r="H465" s="8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1"/>
      <c r="H466" s="8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1"/>
      <c r="H467" s="8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1"/>
      <c r="H468" s="8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1"/>
      <c r="H469" s="8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1"/>
      <c r="H470" s="8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1"/>
      <c r="H471" s="8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1"/>
      <c r="H472" s="8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1"/>
      <c r="H473" s="8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1"/>
      <c r="H474" s="8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1"/>
      <c r="H475" s="8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1"/>
      <c r="H476" s="8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1"/>
      <c r="H477" s="8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1"/>
      <c r="H478" s="8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1"/>
      <c r="H479" s="8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1"/>
      <c r="H480" s="8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1"/>
      <c r="H481" s="8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1"/>
      <c r="H482" s="8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1"/>
      <c r="H483" s="8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1"/>
      <c r="H484" s="8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1"/>
      <c r="H485" s="8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1"/>
      <c r="H486" s="8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1"/>
      <c r="H487" s="8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1"/>
      <c r="H488" s="8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1"/>
      <c r="H489" s="8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1"/>
      <c r="H490" s="8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1"/>
      <c r="H491" s="8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1"/>
      <c r="H492" s="8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1"/>
      <c r="H493" s="8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1"/>
      <c r="H494" s="8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x14ac:dyDescent="0.25">
      <c r="A495" s="1"/>
      <c r="B495" s="1"/>
      <c r="C495" s="1"/>
      <c r="D495" s="1"/>
      <c r="E495" s="1"/>
      <c r="F495" s="1"/>
      <c r="G495" s="1"/>
      <c r="H495" s="8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x14ac:dyDescent="0.25">
      <c r="A496" s="1"/>
      <c r="B496" s="1"/>
      <c r="C496" s="1"/>
      <c r="D496" s="1"/>
      <c r="E496" s="1"/>
      <c r="F496" s="1"/>
      <c r="G496" s="1"/>
      <c r="H496" s="8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</sheetData>
  <autoFilter ref="A3:AI117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2026-06-25T11:33:07Z</dcterms:created>
  <dcterms:modified xsi:type="dcterms:W3CDTF">2026-06-26T12:29:21Z</dcterms:modified>
</cp:coreProperties>
</file>