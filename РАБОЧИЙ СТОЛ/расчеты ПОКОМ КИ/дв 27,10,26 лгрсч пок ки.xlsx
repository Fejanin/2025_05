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E854C8E-F70C-42ED-885F-28368A2C2E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6" i="1" l="1"/>
  <c r="AF132" i="1"/>
  <c r="AF119" i="1"/>
  <c r="AF114" i="1"/>
  <c r="AF110" i="1"/>
  <c r="AF94" i="1"/>
  <c r="Q133" i="1"/>
  <c r="L133" i="1"/>
  <c r="Q132" i="1"/>
  <c r="T132" i="1" s="1"/>
  <c r="L132" i="1"/>
  <c r="Q131" i="1"/>
  <c r="L131" i="1"/>
  <c r="Q130" i="1"/>
  <c r="S130" i="1" s="1"/>
  <c r="L130" i="1"/>
  <c r="Q129" i="1"/>
  <c r="T129" i="1" s="1"/>
  <c r="L129" i="1"/>
  <c r="Q128" i="1"/>
  <c r="L128" i="1"/>
  <c r="Q127" i="1"/>
  <c r="T127" i="1" s="1"/>
  <c r="L127" i="1"/>
  <c r="Q126" i="1"/>
  <c r="R126" i="1" s="1"/>
  <c r="L126" i="1"/>
  <c r="Q125" i="1"/>
  <c r="T125" i="1" s="1"/>
  <c r="L125" i="1"/>
  <c r="Q124" i="1"/>
  <c r="T124" i="1" s="1"/>
  <c r="L124" i="1"/>
  <c r="Q123" i="1"/>
  <c r="T123" i="1" s="1"/>
  <c r="L123" i="1"/>
  <c r="Q122" i="1"/>
  <c r="L122" i="1"/>
  <c r="AF121" i="1"/>
  <c r="Q121" i="1"/>
  <c r="T121" i="1" s="1"/>
  <c r="L121" i="1"/>
  <c r="Q120" i="1"/>
  <c r="L120" i="1"/>
  <c r="Q119" i="1"/>
  <c r="T119" i="1" s="1"/>
  <c r="L119" i="1"/>
  <c r="Q118" i="1"/>
  <c r="L118" i="1"/>
  <c r="Q117" i="1"/>
  <c r="T117" i="1" s="1"/>
  <c r="L117" i="1"/>
  <c r="Q116" i="1"/>
  <c r="L116" i="1"/>
  <c r="Q115" i="1"/>
  <c r="S115" i="1" s="1"/>
  <c r="L115" i="1"/>
  <c r="Q114" i="1"/>
  <c r="T114" i="1" s="1"/>
  <c r="L114" i="1"/>
  <c r="Q113" i="1"/>
  <c r="L113" i="1"/>
  <c r="AF112" i="1"/>
  <c r="Q112" i="1"/>
  <c r="T112" i="1" s="1"/>
  <c r="L112" i="1"/>
  <c r="Q111" i="1"/>
  <c r="L111" i="1"/>
  <c r="Q110" i="1"/>
  <c r="T110" i="1" s="1"/>
  <c r="L110" i="1"/>
  <c r="Q109" i="1"/>
  <c r="T109" i="1" s="1"/>
  <c r="L109" i="1"/>
  <c r="Q108" i="1"/>
  <c r="T108" i="1" s="1"/>
  <c r="L108" i="1"/>
  <c r="Q107" i="1"/>
  <c r="S107" i="1" s="1"/>
  <c r="L107" i="1"/>
  <c r="Q106" i="1"/>
  <c r="S106" i="1" s="1"/>
  <c r="L106" i="1"/>
  <c r="Q105" i="1"/>
  <c r="T105" i="1" s="1"/>
  <c r="L105" i="1"/>
  <c r="Q104" i="1"/>
  <c r="L104" i="1"/>
  <c r="Q103" i="1"/>
  <c r="T103" i="1" s="1"/>
  <c r="L103" i="1"/>
  <c r="Q102" i="1"/>
  <c r="L102" i="1"/>
  <c r="Q101" i="1"/>
  <c r="T101" i="1" s="1"/>
  <c r="L101" i="1"/>
  <c r="Q100" i="1"/>
  <c r="L100" i="1"/>
  <c r="Q99" i="1"/>
  <c r="S99" i="1" s="1"/>
  <c r="L99" i="1"/>
  <c r="Q98" i="1"/>
  <c r="S98" i="1" s="1"/>
  <c r="L98" i="1"/>
  <c r="E97" i="1"/>
  <c r="L97" i="1" s="1"/>
  <c r="Q96" i="1"/>
  <c r="L96" i="1"/>
  <c r="Q95" i="1"/>
  <c r="T95" i="1" s="1"/>
  <c r="L95" i="1"/>
  <c r="Q94" i="1"/>
  <c r="L94" i="1"/>
  <c r="Q93" i="1"/>
  <c r="S93" i="1" s="1"/>
  <c r="L93" i="1"/>
  <c r="Q92" i="1"/>
  <c r="L92" i="1"/>
  <c r="Q91" i="1"/>
  <c r="R91" i="1" s="1"/>
  <c r="L91" i="1"/>
  <c r="Q90" i="1"/>
  <c r="T90" i="1" s="1"/>
  <c r="L90" i="1"/>
  <c r="Q89" i="1"/>
  <c r="R89" i="1" s="1"/>
  <c r="AF89" i="1" s="1"/>
  <c r="L89" i="1"/>
  <c r="Q88" i="1"/>
  <c r="L88" i="1"/>
  <c r="Q87" i="1"/>
  <c r="L87" i="1"/>
  <c r="Q86" i="1"/>
  <c r="S86" i="1" s="1"/>
  <c r="L86" i="1"/>
  <c r="Q85" i="1"/>
  <c r="T85" i="1" s="1"/>
  <c r="L85" i="1"/>
  <c r="Q84" i="1"/>
  <c r="R84" i="1" s="1"/>
  <c r="AF84" i="1" s="1"/>
  <c r="L84" i="1"/>
  <c r="Q83" i="1"/>
  <c r="T83" i="1" s="1"/>
  <c r="L83" i="1"/>
  <c r="Q82" i="1"/>
  <c r="AF82" i="1" s="1"/>
  <c r="L82" i="1"/>
  <c r="Q81" i="1"/>
  <c r="T81" i="1" s="1"/>
  <c r="L81" i="1"/>
  <c r="Q80" i="1"/>
  <c r="AF80" i="1" s="1"/>
  <c r="L80" i="1"/>
  <c r="Q79" i="1"/>
  <c r="L79" i="1"/>
  <c r="Q78" i="1"/>
  <c r="L78" i="1"/>
  <c r="Q77" i="1"/>
  <c r="T77" i="1" s="1"/>
  <c r="L77" i="1"/>
  <c r="Q76" i="1"/>
  <c r="R76" i="1" s="1"/>
  <c r="AF76" i="1" s="1"/>
  <c r="L76" i="1"/>
  <c r="Q75" i="1"/>
  <c r="T75" i="1" s="1"/>
  <c r="L75" i="1"/>
  <c r="Q74" i="1"/>
  <c r="AF74" i="1" s="1"/>
  <c r="L74" i="1"/>
  <c r="Q73" i="1"/>
  <c r="T73" i="1" s="1"/>
  <c r="L73" i="1"/>
  <c r="Q72" i="1"/>
  <c r="AF72" i="1" s="1"/>
  <c r="L72" i="1"/>
  <c r="Q71" i="1"/>
  <c r="L71" i="1"/>
  <c r="Q70" i="1"/>
  <c r="L70" i="1"/>
  <c r="Q69" i="1"/>
  <c r="S69" i="1" s="1"/>
  <c r="L69" i="1"/>
  <c r="Q68" i="1"/>
  <c r="L68" i="1"/>
  <c r="Q67" i="1"/>
  <c r="AF67" i="1" s="1"/>
  <c r="L67" i="1"/>
  <c r="Q66" i="1"/>
  <c r="L66" i="1"/>
  <c r="Q65" i="1"/>
  <c r="T65" i="1" s="1"/>
  <c r="L65" i="1"/>
  <c r="Q64" i="1"/>
  <c r="L64" i="1"/>
  <c r="Q63" i="1"/>
  <c r="R63" i="1" s="1"/>
  <c r="AF63" i="1" s="1"/>
  <c r="L63" i="1"/>
  <c r="Q62" i="1"/>
  <c r="L62" i="1"/>
  <c r="Q61" i="1"/>
  <c r="T61" i="1" s="1"/>
  <c r="L61" i="1"/>
  <c r="Q60" i="1"/>
  <c r="L60" i="1"/>
  <c r="Q59" i="1"/>
  <c r="AF59" i="1" s="1"/>
  <c r="L59" i="1"/>
  <c r="Q58" i="1"/>
  <c r="L58" i="1"/>
  <c r="Q57" i="1"/>
  <c r="T57" i="1" s="1"/>
  <c r="L57" i="1"/>
  <c r="F56" i="1"/>
  <c r="E56" i="1"/>
  <c r="Q56" i="1" s="1"/>
  <c r="Q55" i="1"/>
  <c r="AF55" i="1" s="1"/>
  <c r="L55" i="1"/>
  <c r="Q54" i="1"/>
  <c r="L54" i="1"/>
  <c r="Q53" i="1"/>
  <c r="AF53" i="1" s="1"/>
  <c r="L53" i="1"/>
  <c r="Q52" i="1"/>
  <c r="L52" i="1"/>
  <c r="Q51" i="1"/>
  <c r="L51" i="1"/>
  <c r="E50" i="1"/>
  <c r="Q50" i="1" s="1"/>
  <c r="AF50" i="1" s="1"/>
  <c r="Q49" i="1"/>
  <c r="T49" i="1" s="1"/>
  <c r="L49" i="1"/>
  <c r="Q48" i="1"/>
  <c r="L48" i="1"/>
  <c r="Q47" i="1"/>
  <c r="T47" i="1" s="1"/>
  <c r="L47" i="1"/>
  <c r="L46" i="1"/>
  <c r="Q45" i="1"/>
  <c r="T45" i="1" s="1"/>
  <c r="L45" i="1"/>
  <c r="Q44" i="1"/>
  <c r="L44" i="1"/>
  <c r="Q43" i="1"/>
  <c r="T43" i="1" s="1"/>
  <c r="L43" i="1"/>
  <c r="Q42" i="1"/>
  <c r="L42" i="1"/>
  <c r="Q41" i="1"/>
  <c r="T41" i="1" s="1"/>
  <c r="L41" i="1"/>
  <c r="Q40" i="1"/>
  <c r="L40" i="1"/>
  <c r="Q39" i="1"/>
  <c r="T39" i="1" s="1"/>
  <c r="L39" i="1"/>
  <c r="Q38" i="1"/>
  <c r="L38" i="1"/>
  <c r="Q37" i="1"/>
  <c r="T37" i="1" s="1"/>
  <c r="L37" i="1"/>
  <c r="Q36" i="1"/>
  <c r="L36" i="1"/>
  <c r="Q35" i="1"/>
  <c r="T35" i="1" s="1"/>
  <c r="L35" i="1"/>
  <c r="Q34" i="1"/>
  <c r="T34" i="1" s="1"/>
  <c r="L34" i="1"/>
  <c r="Q33" i="1"/>
  <c r="T33" i="1" s="1"/>
  <c r="L33" i="1"/>
  <c r="Q32" i="1"/>
  <c r="L32" i="1"/>
  <c r="Q31" i="1"/>
  <c r="S31" i="1" s="1"/>
  <c r="L31" i="1"/>
  <c r="Q30" i="1"/>
  <c r="T30" i="1" s="1"/>
  <c r="L30" i="1"/>
  <c r="Q29" i="1"/>
  <c r="L29" i="1"/>
  <c r="Q28" i="1"/>
  <c r="T28" i="1" s="1"/>
  <c r="L28" i="1"/>
  <c r="Q27" i="1"/>
  <c r="R27" i="1" s="1"/>
  <c r="AF27" i="1" s="1"/>
  <c r="L27" i="1"/>
  <c r="Q26" i="1"/>
  <c r="T26" i="1" s="1"/>
  <c r="L26" i="1"/>
  <c r="Q25" i="1"/>
  <c r="T25" i="1" s="1"/>
  <c r="L25" i="1"/>
  <c r="Q24" i="1"/>
  <c r="S24" i="1" s="1"/>
  <c r="L24" i="1"/>
  <c r="Q23" i="1"/>
  <c r="T23" i="1" s="1"/>
  <c r="L23" i="1"/>
  <c r="Q22" i="1"/>
  <c r="L22" i="1"/>
  <c r="Q21" i="1"/>
  <c r="T21" i="1" s="1"/>
  <c r="L21" i="1"/>
  <c r="Q20" i="1"/>
  <c r="L20" i="1"/>
  <c r="Q19" i="1"/>
  <c r="T19" i="1" s="1"/>
  <c r="L19" i="1"/>
  <c r="Q18" i="1"/>
  <c r="T18" i="1" s="1"/>
  <c r="L18" i="1"/>
  <c r="E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S9" i="1" s="1"/>
  <c r="L9" i="1"/>
  <c r="Q8" i="1"/>
  <c r="L8" i="1"/>
  <c r="Q7" i="1"/>
  <c r="AF7" i="1" s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R105" i="1" l="1"/>
  <c r="R61" i="1"/>
  <c r="AF91" i="1"/>
  <c r="T63" i="1"/>
  <c r="S109" i="1"/>
  <c r="S124" i="1"/>
  <c r="R117" i="1"/>
  <c r="AF117" i="1" s="1"/>
  <c r="R125" i="1"/>
  <c r="S34" i="1"/>
  <c r="T69" i="1"/>
  <c r="T98" i="1"/>
  <c r="R101" i="1"/>
  <c r="AF101" i="1" s="1"/>
  <c r="AF105" i="1"/>
  <c r="S112" i="1"/>
  <c r="AF125" i="1"/>
  <c r="T59" i="1"/>
  <c r="T67" i="1"/>
  <c r="R103" i="1"/>
  <c r="AF103" i="1" s="1"/>
  <c r="R127" i="1"/>
  <c r="AF127" i="1" s="1"/>
  <c r="T8" i="1"/>
  <c r="R8" i="1"/>
  <c r="AF8" i="1" s="1"/>
  <c r="T13" i="1"/>
  <c r="AF13" i="1"/>
  <c r="AF22" i="1"/>
  <c r="AF25" i="1"/>
  <c r="AF36" i="1"/>
  <c r="AF38" i="1"/>
  <c r="R48" i="1"/>
  <c r="AF48" i="1" s="1"/>
  <c r="T52" i="1"/>
  <c r="S56" i="1"/>
  <c r="AF56" i="1"/>
  <c r="T60" i="1"/>
  <c r="T64" i="1"/>
  <c r="R64" i="1"/>
  <c r="T68" i="1"/>
  <c r="T71" i="1"/>
  <c r="T79" i="1"/>
  <c r="T88" i="1"/>
  <c r="R88" i="1"/>
  <c r="AF88" i="1" s="1"/>
  <c r="R100" i="1"/>
  <c r="AF100" i="1" s="1"/>
  <c r="S113" i="1"/>
  <c r="AF113" i="1"/>
  <c r="S118" i="1"/>
  <c r="AF118" i="1"/>
  <c r="S122" i="1"/>
  <c r="AF122" i="1"/>
  <c r="AF131" i="1"/>
  <c r="R12" i="1"/>
  <c r="AF12" i="1" s="1"/>
  <c r="R16" i="1"/>
  <c r="AF16" i="1" s="1"/>
  <c r="R21" i="1"/>
  <c r="AF21" i="1" s="1"/>
  <c r="R26" i="1"/>
  <c r="R30" i="1"/>
  <c r="R37" i="1"/>
  <c r="R49" i="1"/>
  <c r="R57" i="1"/>
  <c r="AF57" i="1" s="1"/>
  <c r="AF61" i="1"/>
  <c r="AF65" i="1"/>
  <c r="AF70" i="1"/>
  <c r="AF78" i="1"/>
  <c r="R87" i="1"/>
  <c r="AF87" i="1" s="1"/>
  <c r="AF96" i="1"/>
  <c r="R129" i="1"/>
  <c r="AF129" i="1" s="1"/>
  <c r="T6" i="1"/>
  <c r="R6" i="1"/>
  <c r="T11" i="1"/>
  <c r="AF11" i="1"/>
  <c r="T15" i="1"/>
  <c r="R15" i="1"/>
  <c r="AF15" i="1" s="1"/>
  <c r="AF20" i="1"/>
  <c r="R29" i="1"/>
  <c r="AF29" i="1" s="1"/>
  <c r="AF32" i="1"/>
  <c r="AF40" i="1"/>
  <c r="AF42" i="1"/>
  <c r="AF44" i="1"/>
  <c r="AF46" i="1"/>
  <c r="T54" i="1"/>
  <c r="AF54" i="1"/>
  <c r="T58" i="1"/>
  <c r="T62" i="1"/>
  <c r="T66" i="1"/>
  <c r="S91" i="1"/>
  <c r="T92" i="1"/>
  <c r="AF92" i="1"/>
  <c r="S104" i="1"/>
  <c r="AF104" i="1"/>
  <c r="S111" i="1"/>
  <c r="AF111" i="1"/>
  <c r="R116" i="1"/>
  <c r="AF116" i="1" s="1"/>
  <c r="S120" i="1"/>
  <c r="AF120" i="1"/>
  <c r="AF126" i="1"/>
  <c r="AF10" i="1"/>
  <c r="R14" i="1"/>
  <c r="AF14" i="1" s="1"/>
  <c r="R28" i="1"/>
  <c r="AF28" i="1" s="1"/>
  <c r="R35" i="1"/>
  <c r="AF35" i="1" s="1"/>
  <c r="AF39" i="1"/>
  <c r="AF43" i="1"/>
  <c r="R47" i="1"/>
  <c r="AF47" i="1" s="1"/>
  <c r="R51" i="1"/>
  <c r="AF51" i="1" s="1"/>
  <c r="S76" i="1"/>
  <c r="S84" i="1"/>
  <c r="S89" i="1"/>
  <c r="S94" i="1"/>
  <c r="AF73" i="1"/>
  <c r="AF77" i="1"/>
  <c r="R81" i="1"/>
  <c r="AF81" i="1" s="1"/>
  <c r="R85" i="1"/>
  <c r="AF85" i="1" s="1"/>
  <c r="AF90" i="1"/>
  <c r="AF95" i="1"/>
  <c r="AF102" i="1"/>
  <c r="AF108" i="1"/>
  <c r="R128" i="1"/>
  <c r="AF128" i="1" s="1"/>
  <c r="AF133" i="1"/>
  <c r="S53" i="1"/>
  <c r="S55" i="1"/>
  <c r="S59" i="1"/>
  <c r="S63" i="1"/>
  <c r="S65" i="1"/>
  <c r="S67" i="1"/>
  <c r="S72" i="1"/>
  <c r="S74" i="1"/>
  <c r="S80" i="1"/>
  <c r="S82" i="1"/>
  <c r="S8" i="1"/>
  <c r="T10" i="1"/>
  <c r="S11" i="1"/>
  <c r="T12" i="1"/>
  <c r="S13" i="1"/>
  <c r="T14" i="1"/>
  <c r="T16" i="1"/>
  <c r="S18" i="1"/>
  <c r="S28" i="1"/>
  <c r="S33" i="1"/>
  <c r="S39" i="1"/>
  <c r="S43" i="1"/>
  <c r="S47" i="1"/>
  <c r="L50" i="1"/>
  <c r="S54" i="1"/>
  <c r="T56" i="1"/>
  <c r="S73" i="1"/>
  <c r="S77" i="1"/>
  <c r="S81" i="1"/>
  <c r="T87" i="1"/>
  <c r="S88" i="1"/>
  <c r="T89" i="1"/>
  <c r="S90" i="1"/>
  <c r="T91" i="1"/>
  <c r="S92" i="1"/>
  <c r="T93" i="1"/>
  <c r="S95" i="1"/>
  <c r="Q97" i="1"/>
  <c r="S97" i="1" s="1"/>
  <c r="T100" i="1"/>
  <c r="S101" i="1"/>
  <c r="T102" i="1"/>
  <c r="S103" i="1"/>
  <c r="T104" i="1"/>
  <c r="T106" i="1"/>
  <c r="S110" i="1"/>
  <c r="S114" i="1"/>
  <c r="T116" i="1"/>
  <c r="S117" i="1"/>
  <c r="T118" i="1"/>
  <c r="S119" i="1"/>
  <c r="T120" i="1"/>
  <c r="S121" i="1"/>
  <c r="T122" i="1"/>
  <c r="S123" i="1"/>
  <c r="S125" i="1"/>
  <c r="T126" i="1"/>
  <c r="T128" i="1"/>
  <c r="T130" i="1"/>
  <c r="S132" i="1"/>
  <c r="S7" i="1"/>
  <c r="L17" i="1"/>
  <c r="E5" i="1"/>
  <c r="T50" i="1"/>
  <c r="S50" i="1"/>
  <c r="T7" i="1"/>
  <c r="T9" i="1"/>
  <c r="Q17" i="1"/>
  <c r="R17" i="1" s="1"/>
  <c r="AF17" i="1" s="1"/>
  <c r="T20" i="1"/>
  <c r="T22" i="1"/>
  <c r="T24" i="1"/>
  <c r="S27" i="1"/>
  <c r="T27" i="1"/>
  <c r="T29" i="1"/>
  <c r="T31" i="1"/>
  <c r="T32" i="1"/>
  <c r="T36" i="1"/>
  <c r="T38" i="1"/>
  <c r="T40" i="1"/>
  <c r="T42" i="1"/>
  <c r="T44" i="1"/>
  <c r="T46" i="1"/>
  <c r="T48" i="1"/>
  <c r="T51" i="1"/>
  <c r="T53" i="1"/>
  <c r="T55" i="1"/>
  <c r="L56" i="1"/>
  <c r="T70" i="1"/>
  <c r="T72" i="1"/>
  <c r="T74" i="1"/>
  <c r="T76" i="1"/>
  <c r="T78" i="1"/>
  <c r="T80" i="1"/>
  <c r="T82" i="1"/>
  <c r="T84" i="1"/>
  <c r="T86" i="1"/>
  <c r="T94" i="1"/>
  <c r="T96" i="1"/>
  <c r="T99" i="1"/>
  <c r="T107" i="1"/>
  <c r="T111" i="1"/>
  <c r="T113" i="1"/>
  <c r="T115" i="1"/>
  <c r="T131" i="1"/>
  <c r="T133" i="1"/>
  <c r="S127" i="1" l="1"/>
  <c r="S105" i="1"/>
  <c r="S57" i="1"/>
  <c r="S129" i="1"/>
  <c r="S21" i="1"/>
  <c r="T97" i="1"/>
  <c r="S85" i="1"/>
  <c r="S35" i="1"/>
  <c r="S15" i="1"/>
  <c r="S61" i="1"/>
  <c r="S126" i="1"/>
  <c r="S116" i="1"/>
  <c r="S100" i="1"/>
  <c r="R5" i="1"/>
  <c r="AF83" i="1"/>
  <c r="S83" i="1"/>
  <c r="S128" i="1"/>
  <c r="S102" i="1"/>
  <c r="AF19" i="1"/>
  <c r="S19" i="1"/>
  <c r="AF66" i="1"/>
  <c r="S66" i="1"/>
  <c r="AF62" i="1"/>
  <c r="S62" i="1"/>
  <c r="AF58" i="1"/>
  <c r="S58" i="1"/>
  <c r="S14" i="1"/>
  <c r="AF6" i="1"/>
  <c r="S6" i="1"/>
  <c r="S49" i="1"/>
  <c r="AF49" i="1"/>
  <c r="S41" i="1"/>
  <c r="AF41" i="1"/>
  <c r="AF30" i="1"/>
  <c r="S30" i="1"/>
  <c r="S131" i="1"/>
  <c r="S87" i="1"/>
  <c r="S71" i="1"/>
  <c r="AF71" i="1"/>
  <c r="S70" i="1"/>
  <c r="S16" i="1"/>
  <c r="AF75" i="1"/>
  <c r="S75" i="1"/>
  <c r="S133" i="1"/>
  <c r="S108" i="1"/>
  <c r="S23" i="1"/>
  <c r="AF23" i="1"/>
  <c r="S46" i="1"/>
  <c r="S44" i="1"/>
  <c r="S42" i="1"/>
  <c r="S40" i="1"/>
  <c r="S32" i="1"/>
  <c r="S29" i="1"/>
  <c r="S20" i="1"/>
  <c r="S10" i="1"/>
  <c r="AF45" i="1"/>
  <c r="S45" i="1"/>
  <c r="AF37" i="1"/>
  <c r="S37" i="1"/>
  <c r="S26" i="1"/>
  <c r="AF26" i="1"/>
  <c r="S96" i="1"/>
  <c r="S79" i="1"/>
  <c r="AF79" i="1"/>
  <c r="S78" i="1"/>
  <c r="AF68" i="1"/>
  <c r="S68" i="1"/>
  <c r="S64" i="1"/>
  <c r="AF64" i="1"/>
  <c r="S60" i="1"/>
  <c r="AF60" i="1"/>
  <c r="S52" i="1"/>
  <c r="AF52" i="1"/>
  <c r="S51" i="1"/>
  <c r="S48" i="1"/>
  <c r="S38" i="1"/>
  <c r="S36" i="1"/>
  <c r="S25" i="1"/>
  <c r="S22" i="1"/>
  <c r="S12" i="1"/>
  <c r="L5" i="1"/>
  <c r="S17" i="1"/>
  <c r="T17" i="1"/>
  <c r="Q5" i="1"/>
  <c r="AF5" i="1" l="1"/>
</calcChain>
</file>

<file path=xl/sharedStrings.xml><?xml version="1.0" encoding="utf-8"?>
<sst xmlns="http://schemas.openxmlformats.org/spreadsheetml/2006/main" count="467" uniqueCount="186">
  <si>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</si>
  <si>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</si>
  <si>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</si>
  <si>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</si>
  <si>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</si>
  <si>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</si>
  <si>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</si>
  <si>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</si>
  <si>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</si>
  <si>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</si>
  <si>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</si>
  <si>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</si>
  <si>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</si>
  <si>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</si>
  <si>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</si>
  <si>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</si>
  <si>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</si>
  <si>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</si>
  <si>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</si>
  <si>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</si>
  <si>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</si>
  <si>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</si>
  <si>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</si>
  <si>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</si>
  <si>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</si>
  <si>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</si>
  <si>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</si>
  <si>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</si>
  <si>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</si>
  <si>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</si>
  <si>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</si>
  <si>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</si>
  <si>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</si>
  <si>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</si>
  <si>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</si>
  <si>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</si>
  <si>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</si>
  <si>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</si>
  <si>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</si>
  <si>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</si>
  <si>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</si>
  <si>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</si>
  <si>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</si>
  <si>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</si>
  <si>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</si>
  <si>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</si>
  <si>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</si>
  <si>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</si>
  <si>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</si>
  <si>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</si>
  <si>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</si>
  <si>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</si>
  <si>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</si>
  <si>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</si>
  <si>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</si>
  <si>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</si>
  <si>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</si>
  <si>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</si>
  <si>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</si>
  <si>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</si>
  <si>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</si>
  <si>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</si>
  <si>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</si>
  <si>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</si>
  <si>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</si>
  <si>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</si>
  <si>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</si>
  <si>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</si>
  <si>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</si>
  <si>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</si>
  <si>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</si>
  <si>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</si>
  <si>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</si>
  <si>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</si>
  <si>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</si>
  <si>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</si>
  <si>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</si>
  <si>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</si>
  <si>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</si>
  <si>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</si>
  <si>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</si>
  <si>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</si>
  <si>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</si>
  <si>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</si>
  <si>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</si>
  <si>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</si>
  <si>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</si>
  <si>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</si>
  <si>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</si>
  <si>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</si>
  <si>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</si>
  <si>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</si>
  <si>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</si>
  <si>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</si>
  <si>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</si>
  <si>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</si>
  <si>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</si>
  <si>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</si>
  <si>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</si>
  <si>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</si>
  <si>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</si>
  <si>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</si>
  <si>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</si>
  <si>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</si>
  <si>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</si>
  <si>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</si>
  <si>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</si>
  <si>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</si>
  <si>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</si>
  <si>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</si>
  <si>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</si>
  <si>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</si>
  <si>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</si>
  <si>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</si>
  <si>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</si>
  <si>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</si>
  <si>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</si>
  <si>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</si>
  <si>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</si>
  <si>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</si>
  <si>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</si>
  <si>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</si>
  <si>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</si>
  <si>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</si>
  <si>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</si>
  <si>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</si>
  <si>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</si>
  <si>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</si>
  <si>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</si>
  <si>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</si>
  <si>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</si>
  <si>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</si>
  <si>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</si>
  <si>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</si>
  <si>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</si>
  <si>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</si>
  <si>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</si>
  <si>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</si>
  <si>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</si>
  <si>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</si>
  <si>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</si>
  <si>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</si>
  <si>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</si>
  <si>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</si>
  <si>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</si>
  <si>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</si>
  <si>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</si>
  <si>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</si>
  <si>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</si>
  <si>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</si>
  <si>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</si>
  <si>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</si>
  <si>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</si>
  <si>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</si>
  <si>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</si>
  <si>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</si>
  <si>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</si>
  <si>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</si>
  <si>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</si>
  <si>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</si>
  <si>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</si>
  <si>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</si>
  <si>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</si>
  <si>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</si>
  <si>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</si>
  <si>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</si>
  <si>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</si>
  <si>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</si>
  <si>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</si>
  <si>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</si>
  <si>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</si>
  <si>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</si>
  <si>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</si>
  <si>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</si>
  <si>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</si>
  <si>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</si>
  <si>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</si>
  <si>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</si>
  <si>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 xml:space="preserve"> 640  Шпикачки Зареченские ТС Зареченские продукты в оболочке полиамид в мод.газ.среде НД2  ПОКОМ</t>
  </si>
  <si>
    <t>новинка</t>
  </si>
  <si>
    <t xml:space="preserve"> 253  Сосиски Ганноверские 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</si>
  <si>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</si>
  <si>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</si>
  <si>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150 заказ под спар (07,10,26)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</si>
  <si>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200 заказ под спар (07,10,26)</t>
    </r>
  </si>
  <si>
    <t>SU004314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</si>
</sst>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164" fontId="1" fillId="5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6" borderId="1" xfId="1" applyNumberFormat="1" applyFont="1" applyFill="1"/>
    <xf numFmtId="164" fontId="4" fillId="6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5" width="6.85546875" customWidth="1"/>
    <col min="26" max="27" width="6" customWidth="1"/>
    <col min="28" max="30" width="6.85546875" customWidth="1"/>
    <col min="31" max="31" width="46" customWidth="1"/>
    <col min="32" max="32" width="7" customWidth="1"/>
    <col min="33" max="42" width="3" customWidth="1"/>
  </cols>
  <sheetData>
    <row r="1" spans="1:4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2" x14ac:dyDescent="0.25">
      <c r="A5" s="8"/>
      <c r="B5" s="8"/>
      <c r="C5" s="8"/>
      <c r="D5" s="8"/>
      <c r="E5" s="3">
        <f>SUM(E6:E494)</f>
        <v>52449.720000000008</v>
      </c>
      <c r="F5" s="3">
        <f>SUM(F6:F494)</f>
        <v>66899.566999999981</v>
      </c>
      <c r="G5" s="6"/>
      <c r="H5" s="8"/>
      <c r="I5" s="8"/>
      <c r="J5" s="8"/>
      <c r="K5" s="3">
        <f t="shared" ref="K5:R5" si="0">SUM(K6:K494)</f>
        <v>56744.111999999986</v>
      </c>
      <c r="L5" s="3">
        <f t="shared" si="0"/>
        <v>-4294.3920000000016</v>
      </c>
      <c r="M5" s="3">
        <f t="shared" si="0"/>
        <v>0</v>
      </c>
      <c r="N5" s="3">
        <f t="shared" si="0"/>
        <v>0</v>
      </c>
      <c r="O5" s="3">
        <f t="shared" si="0"/>
        <v>21760.079772258825</v>
      </c>
      <c r="P5" s="3">
        <f t="shared" si="0"/>
        <v>14769.013669375681</v>
      </c>
      <c r="Q5" s="3">
        <f t="shared" si="0"/>
        <v>10489.944</v>
      </c>
      <c r="R5" s="3">
        <f t="shared" si="0"/>
        <v>18453.535938365498</v>
      </c>
      <c r="S5" s="8"/>
      <c r="T5" s="8"/>
      <c r="U5" s="3">
        <f t="shared" ref="U5:AD5" si="1">SUM(U6:U494)</f>
        <v>10842.380399999995</v>
      </c>
      <c r="V5" s="3">
        <f t="shared" si="1"/>
        <v>11463.564199999999</v>
      </c>
      <c r="W5" s="3">
        <f t="shared" si="1"/>
        <v>10957.742599999998</v>
      </c>
      <c r="X5" s="3">
        <f t="shared" si="1"/>
        <v>10202.354599999997</v>
      </c>
      <c r="Y5" s="3">
        <f t="shared" si="1"/>
        <v>10071.470799999997</v>
      </c>
      <c r="Z5" s="3">
        <f t="shared" si="1"/>
        <v>9816.4820000000018</v>
      </c>
      <c r="AA5" s="3">
        <f t="shared" si="1"/>
        <v>9688.2588000000014</v>
      </c>
      <c r="AB5" s="3">
        <f t="shared" si="1"/>
        <v>10274.174200000009</v>
      </c>
      <c r="AC5" s="3">
        <f t="shared" si="1"/>
        <v>10906.315000000001</v>
      </c>
      <c r="AD5" s="3">
        <f t="shared" si="1"/>
        <v>10747.462999999996</v>
      </c>
      <c r="AE5" s="8"/>
      <c r="AF5" s="3">
        <f>SUM(AF6:AF494)</f>
        <v>15803.656888365498</v>
      </c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25">
      <c r="A6" s="8" t="s">
        <v>34</v>
      </c>
      <c r="B6" s="8" t="s">
        <v>35</v>
      </c>
      <c r="C6" s="8">
        <v>1554.528</v>
      </c>
      <c r="D6" s="8">
        <v>5245.4059999999999</v>
      </c>
      <c r="E6" s="8">
        <v>2557.0250000000001</v>
      </c>
      <c r="F6" s="8">
        <v>2943.7269999999999</v>
      </c>
      <c r="G6" s="6">
        <v>1</v>
      </c>
      <c r="H6" s="8">
        <v>50</v>
      </c>
      <c r="I6" s="8" t="s">
        <v>36</v>
      </c>
      <c r="J6" s="8"/>
      <c r="K6" s="8">
        <v>2772.4630000000002</v>
      </c>
      <c r="L6" s="8">
        <f t="shared" ref="L6:L37" si="2">E6-K6</f>
        <v>-215.4380000000001</v>
      </c>
      <c r="M6" s="8"/>
      <c r="N6" s="8"/>
      <c r="O6" s="8">
        <v>824.4095907899997</v>
      </c>
      <c r="P6" s="8">
        <v>719.42859420999991</v>
      </c>
      <c r="Q6" s="8">
        <f t="shared" ref="Q6:Q37" si="3">E6/5</f>
        <v>511.40500000000003</v>
      </c>
      <c r="R6" s="4">
        <f>10.5*Q6-P6-O6-F6</f>
        <v>882.18731500000149</v>
      </c>
      <c r="S6" s="8">
        <f t="shared" ref="S6:S37" si="4">(F6+O6+P6+R6)/Q6</f>
        <v>10.5</v>
      </c>
      <c r="T6" s="8">
        <f t="shared" ref="T6:T37" si="5">(F6+O6+P6)/Q6</f>
        <v>8.7749732306097883</v>
      </c>
      <c r="U6" s="8">
        <v>531.0018</v>
      </c>
      <c r="V6" s="8">
        <v>552.64499999999998</v>
      </c>
      <c r="W6" s="8">
        <v>598.48400000000004</v>
      </c>
      <c r="X6" s="8">
        <v>595.89340000000004</v>
      </c>
      <c r="Y6" s="8">
        <v>466.50080000000003</v>
      </c>
      <c r="Z6" s="8">
        <v>492.22899999999998</v>
      </c>
      <c r="AA6" s="8">
        <v>529.75339999999994</v>
      </c>
      <c r="AB6" s="8">
        <v>513.3356</v>
      </c>
      <c r="AC6" s="8">
        <v>551.42700000000002</v>
      </c>
      <c r="AD6" s="8">
        <v>517.61120000000005</v>
      </c>
      <c r="AE6" s="8"/>
      <c r="AF6" s="8">
        <f>G6*R6</f>
        <v>882.18731500000149</v>
      </c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25">
      <c r="A7" s="8" t="s">
        <v>37</v>
      </c>
      <c r="B7" s="8" t="s">
        <v>35</v>
      </c>
      <c r="C7" s="8">
        <v>513</v>
      </c>
      <c r="D7" s="8">
        <v>2406.6799999999998</v>
      </c>
      <c r="E7" s="8">
        <v>1038.626</v>
      </c>
      <c r="F7" s="8">
        <v>1427.8910000000001</v>
      </c>
      <c r="G7" s="6">
        <v>1</v>
      </c>
      <c r="H7" s="8">
        <v>45</v>
      </c>
      <c r="I7" s="8" t="s">
        <v>36</v>
      </c>
      <c r="J7" s="8"/>
      <c r="K7" s="8">
        <v>1157.8499999999999</v>
      </c>
      <c r="L7" s="8">
        <f t="shared" si="2"/>
        <v>-119.22399999999993</v>
      </c>
      <c r="M7" s="8"/>
      <c r="N7" s="8"/>
      <c r="O7" s="8">
        <v>427.2</v>
      </c>
      <c r="P7" s="8">
        <v>372.8</v>
      </c>
      <c r="Q7" s="8">
        <f t="shared" si="3"/>
        <v>207.7252</v>
      </c>
      <c r="R7" s="4"/>
      <c r="S7" s="8">
        <f t="shared" si="4"/>
        <v>10.725184041223693</v>
      </c>
      <c r="T7" s="8">
        <f t="shared" si="5"/>
        <v>10.725184041223693</v>
      </c>
      <c r="U7" s="8">
        <v>239.62180000000001</v>
      </c>
      <c r="V7" s="8">
        <v>250.958</v>
      </c>
      <c r="W7" s="8">
        <v>212.81659999999999</v>
      </c>
      <c r="X7" s="8">
        <v>200.62620000000001</v>
      </c>
      <c r="Y7" s="8">
        <v>184.89920000000001</v>
      </c>
      <c r="Z7" s="8">
        <v>182.24600000000001</v>
      </c>
      <c r="AA7" s="8">
        <v>212.876</v>
      </c>
      <c r="AB7" s="8">
        <v>220.70779999999999</v>
      </c>
      <c r="AC7" s="8">
        <v>207.75020000000001</v>
      </c>
      <c r="AD7" s="8">
        <v>215.72300000000001</v>
      </c>
      <c r="AE7" s="8"/>
      <c r="AF7" s="8">
        <f>G7*R7</f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2" x14ac:dyDescent="0.25">
      <c r="A8" s="8" t="s">
        <v>38</v>
      </c>
      <c r="B8" s="8" t="s">
        <v>35</v>
      </c>
      <c r="C8" s="8">
        <v>716.12300000000005</v>
      </c>
      <c r="D8" s="8">
        <v>1953.5239999999999</v>
      </c>
      <c r="E8" s="8">
        <v>1140.1420000000001</v>
      </c>
      <c r="F8" s="8">
        <v>1045.2049999999999</v>
      </c>
      <c r="G8" s="6">
        <v>1</v>
      </c>
      <c r="H8" s="8">
        <v>45</v>
      </c>
      <c r="I8" s="8" t="s">
        <v>36</v>
      </c>
      <c r="J8" s="8"/>
      <c r="K8" s="8">
        <v>1193.1500000000001</v>
      </c>
      <c r="L8" s="8">
        <f t="shared" si="2"/>
        <v>-53.008000000000038</v>
      </c>
      <c r="M8" s="8"/>
      <c r="N8" s="8"/>
      <c r="O8" s="8">
        <v>300.24447171000003</v>
      </c>
      <c r="P8" s="8">
        <v>262.01109329000002</v>
      </c>
      <c r="Q8" s="8">
        <f t="shared" si="3"/>
        <v>228.0284</v>
      </c>
      <c r="R8" s="4">
        <f t="shared" ref="R7:R8" si="6">10.5*Q8-P8-O8-F8</f>
        <v>786.83763500000009</v>
      </c>
      <c r="S8" s="8">
        <f t="shared" si="4"/>
        <v>10.5</v>
      </c>
      <c r="T8" s="8">
        <f t="shared" si="5"/>
        <v>7.0493875543572635</v>
      </c>
      <c r="U8" s="8">
        <v>202.13220000000001</v>
      </c>
      <c r="V8" s="8">
        <v>212.893</v>
      </c>
      <c r="W8" s="8">
        <v>217.8492</v>
      </c>
      <c r="X8" s="8">
        <v>205.40940000000001</v>
      </c>
      <c r="Y8" s="8">
        <v>190.92339999999999</v>
      </c>
      <c r="Z8" s="8">
        <v>198.07759999999999</v>
      </c>
      <c r="AA8" s="8">
        <v>222.83099999999999</v>
      </c>
      <c r="AB8" s="8">
        <v>217.4478</v>
      </c>
      <c r="AC8" s="8">
        <v>214.1678</v>
      </c>
      <c r="AD8" s="8">
        <v>218.27119999999999</v>
      </c>
      <c r="AE8" s="8"/>
      <c r="AF8" s="8">
        <f>G8*R8</f>
        <v>786.83763500000009</v>
      </c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25">
      <c r="A9" s="11" t="s">
        <v>39</v>
      </c>
      <c r="B9" s="11" t="s">
        <v>40</v>
      </c>
      <c r="C9" s="11"/>
      <c r="D9" s="11"/>
      <c r="E9" s="11"/>
      <c r="F9" s="11"/>
      <c r="G9" s="12">
        <v>0</v>
      </c>
      <c r="H9" s="11"/>
      <c r="I9" s="11" t="s">
        <v>36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>
        <f t="shared" si="3"/>
        <v>0</v>
      </c>
      <c r="R9" s="13"/>
      <c r="S9" s="11" t="e">
        <f t="shared" si="4"/>
        <v>#DIV/0!</v>
      </c>
      <c r="T9" s="11" t="e">
        <f t="shared" si="5"/>
        <v>#DIV/0!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 t="s">
        <v>41</v>
      </c>
      <c r="AF9" s="11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25">
      <c r="A10" s="8" t="s">
        <v>42</v>
      </c>
      <c r="B10" s="8" t="s">
        <v>40</v>
      </c>
      <c r="C10" s="8">
        <v>428</v>
      </c>
      <c r="D10" s="8">
        <v>1596</v>
      </c>
      <c r="E10" s="8">
        <v>659</v>
      </c>
      <c r="F10" s="8">
        <v>983</v>
      </c>
      <c r="G10" s="6">
        <v>0.45</v>
      </c>
      <c r="H10" s="8">
        <v>45</v>
      </c>
      <c r="I10" s="8" t="s">
        <v>36</v>
      </c>
      <c r="J10" s="8"/>
      <c r="K10" s="8">
        <v>749</v>
      </c>
      <c r="L10" s="8">
        <f t="shared" si="2"/>
        <v>-90</v>
      </c>
      <c r="M10" s="8"/>
      <c r="N10" s="8"/>
      <c r="O10" s="8">
        <v>310.30739999999992</v>
      </c>
      <c r="P10" s="8">
        <v>270.79259999999999</v>
      </c>
      <c r="Q10" s="8">
        <f t="shared" si="3"/>
        <v>131.80000000000001</v>
      </c>
      <c r="R10" s="4"/>
      <c r="S10" s="8">
        <f t="shared" si="4"/>
        <v>11.867223065250379</v>
      </c>
      <c r="T10" s="8">
        <f t="shared" si="5"/>
        <v>11.867223065250379</v>
      </c>
      <c r="U10" s="8">
        <v>169.6</v>
      </c>
      <c r="V10" s="8">
        <v>163</v>
      </c>
      <c r="W10" s="8">
        <v>150</v>
      </c>
      <c r="X10" s="8">
        <v>131.80000000000001</v>
      </c>
      <c r="Y10" s="8">
        <v>135.6</v>
      </c>
      <c r="Z10" s="8">
        <v>150.19999999999999</v>
      </c>
      <c r="AA10" s="8">
        <v>141.80000000000001</v>
      </c>
      <c r="AB10" s="8">
        <v>138.80000000000001</v>
      </c>
      <c r="AC10" s="8">
        <v>146</v>
      </c>
      <c r="AD10" s="8">
        <v>145.4</v>
      </c>
      <c r="AE10" s="8"/>
      <c r="AF10" s="8">
        <f t="shared" ref="AF10:AF17" si="7">G10*R10</f>
        <v>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x14ac:dyDescent="0.25">
      <c r="A11" s="8" t="s">
        <v>43</v>
      </c>
      <c r="B11" s="8" t="s">
        <v>40</v>
      </c>
      <c r="C11" s="8">
        <v>642</v>
      </c>
      <c r="D11" s="8">
        <v>2833</v>
      </c>
      <c r="E11" s="8">
        <v>1014</v>
      </c>
      <c r="F11" s="8">
        <v>1254</v>
      </c>
      <c r="G11" s="6">
        <v>0.45</v>
      </c>
      <c r="H11" s="8">
        <v>45</v>
      </c>
      <c r="I11" s="8" t="s">
        <v>36</v>
      </c>
      <c r="J11" s="8"/>
      <c r="K11" s="8">
        <v>1050</v>
      </c>
      <c r="L11" s="8">
        <f t="shared" si="2"/>
        <v>-36</v>
      </c>
      <c r="M11" s="8"/>
      <c r="N11" s="8"/>
      <c r="O11" s="8">
        <v>506.12199600000002</v>
      </c>
      <c r="P11" s="8">
        <v>441.67200400000002</v>
      </c>
      <c r="Q11" s="8">
        <f t="shared" si="3"/>
        <v>202.8</v>
      </c>
      <c r="R11" s="4"/>
      <c r="S11" s="8">
        <f t="shared" si="4"/>
        <v>10.856972386587771</v>
      </c>
      <c r="T11" s="8">
        <f t="shared" si="5"/>
        <v>10.856972386587771</v>
      </c>
      <c r="U11" s="8">
        <v>242</v>
      </c>
      <c r="V11" s="8">
        <v>220.4</v>
      </c>
      <c r="W11" s="8">
        <v>181.8</v>
      </c>
      <c r="X11" s="8">
        <v>175</v>
      </c>
      <c r="Y11" s="8">
        <v>184.4</v>
      </c>
      <c r="Z11" s="8">
        <v>201.2</v>
      </c>
      <c r="AA11" s="8">
        <v>207.4</v>
      </c>
      <c r="AB11" s="8">
        <v>199.2</v>
      </c>
      <c r="AC11" s="8">
        <v>198.6</v>
      </c>
      <c r="AD11" s="8">
        <v>206</v>
      </c>
      <c r="AE11" s="8"/>
      <c r="AF11" s="8">
        <f t="shared" si="7"/>
        <v>0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25">
      <c r="A12" s="8" t="s">
        <v>44</v>
      </c>
      <c r="B12" s="8" t="s">
        <v>40</v>
      </c>
      <c r="C12" s="8">
        <v>65</v>
      </c>
      <c r="D12" s="8">
        <v>173</v>
      </c>
      <c r="E12" s="8">
        <v>126</v>
      </c>
      <c r="F12" s="8">
        <v>106</v>
      </c>
      <c r="G12" s="6">
        <v>0.17</v>
      </c>
      <c r="H12" s="8">
        <v>180</v>
      </c>
      <c r="I12" s="8" t="s">
        <v>36</v>
      </c>
      <c r="J12" s="8"/>
      <c r="K12" s="8">
        <v>131</v>
      </c>
      <c r="L12" s="8">
        <f t="shared" si="2"/>
        <v>-5</v>
      </c>
      <c r="M12" s="8"/>
      <c r="N12" s="8"/>
      <c r="O12" s="8">
        <v>117.9</v>
      </c>
      <c r="P12" s="8"/>
      <c r="Q12" s="8">
        <f t="shared" si="3"/>
        <v>25.2</v>
      </c>
      <c r="R12" s="4">
        <f t="shared" ref="R10:R17" si="8">10.5*Q12-P12-O12-F12</f>
        <v>40.69999999999996</v>
      </c>
      <c r="S12" s="8">
        <f t="shared" si="4"/>
        <v>10.499999999999998</v>
      </c>
      <c r="T12" s="8">
        <f t="shared" si="5"/>
        <v>8.8849206349206362</v>
      </c>
      <c r="U12" s="8">
        <v>19.8</v>
      </c>
      <c r="V12" s="8">
        <v>17.600000000000001</v>
      </c>
      <c r="W12" s="8">
        <v>16.399999999999999</v>
      </c>
      <c r="X12" s="8">
        <v>14.6</v>
      </c>
      <c r="Y12" s="8">
        <v>13.6</v>
      </c>
      <c r="Z12" s="8">
        <v>13</v>
      </c>
      <c r="AA12" s="8">
        <v>14.4</v>
      </c>
      <c r="AB12" s="8">
        <v>14.8</v>
      </c>
      <c r="AC12" s="8">
        <v>11.8</v>
      </c>
      <c r="AD12" s="8">
        <v>11</v>
      </c>
      <c r="AE12" s="8"/>
      <c r="AF12" s="8">
        <f t="shared" si="7"/>
        <v>6.9189999999999934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25">
      <c r="A13" s="8" t="s">
        <v>45</v>
      </c>
      <c r="B13" s="8" t="s">
        <v>40</v>
      </c>
      <c r="C13" s="8">
        <v>1</v>
      </c>
      <c r="D13" s="8">
        <v>82</v>
      </c>
      <c r="E13" s="8">
        <v>-1</v>
      </c>
      <c r="F13" s="8">
        <v>60</v>
      </c>
      <c r="G13" s="6">
        <v>0.3</v>
      </c>
      <c r="H13" s="8">
        <v>40</v>
      </c>
      <c r="I13" s="9" t="s">
        <v>46</v>
      </c>
      <c r="J13" s="8"/>
      <c r="K13" s="8">
        <v>33</v>
      </c>
      <c r="L13" s="8">
        <f t="shared" si="2"/>
        <v>-34</v>
      </c>
      <c r="M13" s="8"/>
      <c r="N13" s="8"/>
      <c r="O13" s="8">
        <v>0</v>
      </c>
      <c r="P13" s="8"/>
      <c r="Q13" s="8">
        <f t="shared" si="3"/>
        <v>-0.2</v>
      </c>
      <c r="R13" s="4"/>
      <c r="S13" s="8">
        <f t="shared" si="4"/>
        <v>-300</v>
      </c>
      <c r="T13" s="8">
        <f t="shared" si="5"/>
        <v>-300</v>
      </c>
      <c r="U13" s="8">
        <v>8.1999999999999993</v>
      </c>
      <c r="V13" s="8">
        <v>14</v>
      </c>
      <c r="W13" s="8">
        <v>26</v>
      </c>
      <c r="X13" s="8">
        <v>26.8</v>
      </c>
      <c r="Y13" s="8">
        <v>28.8</v>
      </c>
      <c r="Z13" s="8">
        <v>34.799999999999997</v>
      </c>
      <c r="AA13" s="8">
        <v>24.4</v>
      </c>
      <c r="AB13" s="8">
        <v>28.4</v>
      </c>
      <c r="AC13" s="8">
        <v>36</v>
      </c>
      <c r="AD13" s="8">
        <v>39.4</v>
      </c>
      <c r="AE13" s="8"/>
      <c r="AF13" s="8">
        <f t="shared" si="7"/>
        <v>0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spans="1:42" x14ac:dyDescent="0.25">
      <c r="A14" s="8" t="s">
        <v>47</v>
      </c>
      <c r="B14" s="8" t="s">
        <v>40</v>
      </c>
      <c r="C14" s="8">
        <v>341</v>
      </c>
      <c r="D14" s="8">
        <v>248</v>
      </c>
      <c r="E14" s="8">
        <v>283</v>
      </c>
      <c r="F14" s="8">
        <v>268</v>
      </c>
      <c r="G14" s="6">
        <v>0.17</v>
      </c>
      <c r="H14" s="8">
        <v>180</v>
      </c>
      <c r="I14" s="8" t="s">
        <v>36</v>
      </c>
      <c r="J14" s="8"/>
      <c r="K14" s="8">
        <v>285</v>
      </c>
      <c r="L14" s="8">
        <f t="shared" si="2"/>
        <v>-2</v>
      </c>
      <c r="M14" s="8"/>
      <c r="N14" s="8"/>
      <c r="O14" s="8">
        <v>185.7150000000002</v>
      </c>
      <c r="P14" s="8"/>
      <c r="Q14" s="8">
        <f t="shared" si="3"/>
        <v>56.6</v>
      </c>
      <c r="R14" s="4">
        <f t="shared" si="8"/>
        <v>140.58499999999987</v>
      </c>
      <c r="S14" s="8">
        <f t="shared" si="4"/>
        <v>10.500000000000002</v>
      </c>
      <c r="T14" s="8">
        <f t="shared" si="5"/>
        <v>8.0161660777385197</v>
      </c>
      <c r="U14" s="8">
        <v>50.2</v>
      </c>
      <c r="V14" s="8">
        <v>51.4</v>
      </c>
      <c r="W14" s="8">
        <v>41.4</v>
      </c>
      <c r="X14" s="8">
        <v>38.799999999999997</v>
      </c>
      <c r="Y14" s="8">
        <v>53.8</v>
      </c>
      <c r="Z14" s="8">
        <v>51</v>
      </c>
      <c r="AA14" s="8">
        <v>41</v>
      </c>
      <c r="AB14" s="8">
        <v>42.6</v>
      </c>
      <c r="AC14" s="8">
        <v>45.8</v>
      </c>
      <c r="AD14" s="8">
        <v>48.6</v>
      </c>
      <c r="AE14" s="8"/>
      <c r="AF14" s="8">
        <f t="shared" si="7"/>
        <v>23.89944999999998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25">
      <c r="A15" s="8" t="s">
        <v>48</v>
      </c>
      <c r="B15" s="8" t="s">
        <v>35</v>
      </c>
      <c r="C15" s="8">
        <v>1129.607</v>
      </c>
      <c r="D15" s="8">
        <v>1791.508</v>
      </c>
      <c r="E15" s="8">
        <v>1220.9069999999999</v>
      </c>
      <c r="F15" s="8">
        <v>1299.3869999999999</v>
      </c>
      <c r="G15" s="6">
        <v>1</v>
      </c>
      <c r="H15" s="8">
        <v>70</v>
      </c>
      <c r="I15" s="8" t="s">
        <v>36</v>
      </c>
      <c r="J15" s="8"/>
      <c r="K15" s="8">
        <v>1189.19</v>
      </c>
      <c r="L15" s="8">
        <f t="shared" si="2"/>
        <v>31.716999999999871</v>
      </c>
      <c r="M15" s="8"/>
      <c r="N15" s="8"/>
      <c r="O15" s="8">
        <v>378.83212870800003</v>
      </c>
      <c r="P15" s="8">
        <v>330.591333292</v>
      </c>
      <c r="Q15" s="8">
        <f t="shared" si="3"/>
        <v>244.1814</v>
      </c>
      <c r="R15" s="4">
        <f t="shared" si="8"/>
        <v>555.09423800000013</v>
      </c>
      <c r="S15" s="8">
        <f t="shared" si="4"/>
        <v>10.5</v>
      </c>
      <c r="T15" s="8">
        <f t="shared" si="5"/>
        <v>8.2267136727039816</v>
      </c>
      <c r="U15" s="8">
        <v>241.3004</v>
      </c>
      <c r="V15" s="8">
        <v>251.9812</v>
      </c>
      <c r="W15" s="8">
        <v>212.7294</v>
      </c>
      <c r="X15" s="8">
        <v>208.01599999999999</v>
      </c>
      <c r="Y15" s="8">
        <v>228.04939999999999</v>
      </c>
      <c r="Z15" s="8">
        <v>224.29179999999999</v>
      </c>
      <c r="AA15" s="8">
        <v>230.38239999999999</v>
      </c>
      <c r="AB15" s="8">
        <v>239.61060000000001</v>
      </c>
      <c r="AC15" s="8">
        <v>266.99099999999999</v>
      </c>
      <c r="AD15" s="8">
        <v>267.36419999999998</v>
      </c>
      <c r="AE15" s="8"/>
      <c r="AF15" s="8">
        <f t="shared" si="7"/>
        <v>555.09423800000013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25">
      <c r="A16" s="8" t="s">
        <v>49</v>
      </c>
      <c r="B16" s="8" t="s">
        <v>35</v>
      </c>
      <c r="C16" s="8">
        <v>3415.6419999999998</v>
      </c>
      <c r="D16" s="8">
        <v>6517.57</v>
      </c>
      <c r="E16" s="8">
        <v>4009.248</v>
      </c>
      <c r="F16" s="8">
        <v>4347.6499999999996</v>
      </c>
      <c r="G16" s="6">
        <v>1</v>
      </c>
      <c r="H16" s="8">
        <v>50</v>
      </c>
      <c r="I16" s="8" t="s">
        <v>36</v>
      </c>
      <c r="J16" s="8"/>
      <c r="K16" s="8">
        <v>4020.8</v>
      </c>
      <c r="L16" s="8">
        <f t="shared" si="2"/>
        <v>-11.552000000000135</v>
      </c>
      <c r="M16" s="8"/>
      <c r="N16" s="8"/>
      <c r="O16" s="8">
        <v>1366.4593684500001</v>
      </c>
      <c r="P16" s="8">
        <v>1192.45330655</v>
      </c>
      <c r="Q16" s="8">
        <f t="shared" si="3"/>
        <v>801.84960000000001</v>
      </c>
      <c r="R16" s="4">
        <f t="shared" si="8"/>
        <v>1512.8581250000007</v>
      </c>
      <c r="S16" s="8">
        <f t="shared" si="4"/>
        <v>10.5</v>
      </c>
      <c r="T16" s="8">
        <f t="shared" si="5"/>
        <v>8.6132894186141638</v>
      </c>
      <c r="U16" s="8">
        <v>820.39419999999996</v>
      </c>
      <c r="V16" s="8">
        <v>843.31100000000004</v>
      </c>
      <c r="W16" s="8">
        <v>795.35839999999996</v>
      </c>
      <c r="X16" s="8">
        <v>775.00980000000004</v>
      </c>
      <c r="Y16" s="8">
        <v>780.07339999999999</v>
      </c>
      <c r="Z16" s="8">
        <v>675.8442</v>
      </c>
      <c r="AA16" s="8">
        <v>640.81600000000003</v>
      </c>
      <c r="AB16" s="8">
        <v>767.41360000000009</v>
      </c>
      <c r="AC16" s="8">
        <v>828.15359999999998</v>
      </c>
      <c r="AD16" s="8">
        <v>790.303</v>
      </c>
      <c r="AE16" s="8"/>
      <c r="AF16" s="8">
        <f t="shared" si="7"/>
        <v>1512.8581250000007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spans="1:42" x14ac:dyDescent="0.25">
      <c r="A17" s="8" t="s">
        <v>50</v>
      </c>
      <c r="B17" s="8" t="s">
        <v>35</v>
      </c>
      <c r="C17" s="8">
        <v>68.790000000000006</v>
      </c>
      <c r="D17" s="8">
        <v>102.087</v>
      </c>
      <c r="E17" s="16">
        <f>70.687+E18</f>
        <v>86.697000000000003</v>
      </c>
      <c r="F17" s="8">
        <v>44.826999999999998</v>
      </c>
      <c r="G17" s="6">
        <v>1</v>
      </c>
      <c r="H17" s="8">
        <v>60</v>
      </c>
      <c r="I17" s="8" t="s">
        <v>36</v>
      </c>
      <c r="J17" s="8"/>
      <c r="K17" s="8">
        <v>79.55</v>
      </c>
      <c r="L17" s="8">
        <f t="shared" si="2"/>
        <v>7.1470000000000056</v>
      </c>
      <c r="M17" s="8"/>
      <c r="N17" s="8"/>
      <c r="O17" s="8">
        <v>93.07969999999996</v>
      </c>
      <c r="P17" s="8"/>
      <c r="Q17" s="8">
        <f t="shared" si="3"/>
        <v>17.339400000000001</v>
      </c>
      <c r="R17" s="4">
        <f t="shared" si="8"/>
        <v>44.157000000000053</v>
      </c>
      <c r="S17" s="8">
        <f t="shared" si="4"/>
        <v>10.499999999999998</v>
      </c>
      <c r="T17" s="8">
        <f t="shared" si="5"/>
        <v>7.9533720889996156</v>
      </c>
      <c r="U17" s="8">
        <v>14.6488</v>
      </c>
      <c r="V17" s="8">
        <v>13.383800000000001</v>
      </c>
      <c r="W17" s="8">
        <v>14.3032</v>
      </c>
      <c r="X17" s="8">
        <v>16.235800000000001</v>
      </c>
      <c r="Y17" s="8">
        <v>14.9642</v>
      </c>
      <c r="Z17" s="8">
        <v>13.9262</v>
      </c>
      <c r="AA17" s="8">
        <v>16.6556</v>
      </c>
      <c r="AB17" s="8">
        <v>20.724799999999998</v>
      </c>
      <c r="AC17" s="8">
        <v>23.348199999999999</v>
      </c>
      <c r="AD17" s="8">
        <v>19.873799999999999</v>
      </c>
      <c r="AE17" s="8"/>
      <c r="AF17" s="8">
        <f t="shared" si="7"/>
        <v>44.157000000000053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25">
      <c r="A18" s="11" t="s">
        <v>51</v>
      </c>
      <c r="B18" s="11" t="s">
        <v>35</v>
      </c>
      <c r="C18" s="11"/>
      <c r="D18" s="11">
        <v>16.010000000000002</v>
      </c>
      <c r="E18" s="16">
        <v>16.010000000000002</v>
      </c>
      <c r="F18" s="11"/>
      <c r="G18" s="12">
        <v>0</v>
      </c>
      <c r="H18" s="11"/>
      <c r="I18" s="11" t="s">
        <v>52</v>
      </c>
      <c r="J18" s="11" t="s">
        <v>50</v>
      </c>
      <c r="K18" s="11">
        <v>15.3</v>
      </c>
      <c r="L18" s="11">
        <f t="shared" si="2"/>
        <v>0.71000000000000085</v>
      </c>
      <c r="M18" s="11"/>
      <c r="N18" s="11"/>
      <c r="O18" s="11">
        <v>0</v>
      </c>
      <c r="P18" s="11"/>
      <c r="Q18" s="11">
        <f t="shared" si="3"/>
        <v>3.2020000000000004</v>
      </c>
      <c r="R18" s="13"/>
      <c r="S18" s="11">
        <f t="shared" si="4"/>
        <v>0</v>
      </c>
      <c r="T18" s="11">
        <f t="shared" si="5"/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/>
      <c r="AF18" s="11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25">
      <c r="A19" s="8" t="s">
        <v>53</v>
      </c>
      <c r="B19" s="8" t="s">
        <v>35</v>
      </c>
      <c r="C19" s="8">
        <v>32.39</v>
      </c>
      <c r="D19" s="8">
        <v>228.69</v>
      </c>
      <c r="E19" s="8">
        <v>54.414999999999999</v>
      </c>
      <c r="F19" s="8">
        <v>192.59700000000001</v>
      </c>
      <c r="G19" s="6">
        <v>1</v>
      </c>
      <c r="H19" s="8">
        <v>60</v>
      </c>
      <c r="I19" s="8" t="s">
        <v>36</v>
      </c>
      <c r="J19" s="8"/>
      <c r="K19" s="8">
        <v>64.989999999999995</v>
      </c>
      <c r="L19" s="8">
        <f t="shared" si="2"/>
        <v>-10.574999999999996</v>
      </c>
      <c r="M19" s="8"/>
      <c r="N19" s="8"/>
      <c r="O19" s="8">
        <v>0</v>
      </c>
      <c r="P19" s="8"/>
      <c r="Q19" s="8">
        <f t="shared" si="3"/>
        <v>10.882999999999999</v>
      </c>
      <c r="R19" s="4"/>
      <c r="S19" s="8">
        <f t="shared" si="4"/>
        <v>17.697050445649179</v>
      </c>
      <c r="T19" s="8">
        <f t="shared" si="5"/>
        <v>17.697050445649179</v>
      </c>
      <c r="U19" s="8">
        <v>17.569600000000001</v>
      </c>
      <c r="V19" s="8">
        <v>22.449200000000001</v>
      </c>
      <c r="W19" s="8">
        <v>16.527799999999999</v>
      </c>
      <c r="X19" s="8">
        <v>9.158199999999999</v>
      </c>
      <c r="Y19" s="8">
        <v>12.9864</v>
      </c>
      <c r="Z19" s="8">
        <v>14.903</v>
      </c>
      <c r="AA19" s="8">
        <v>10.818</v>
      </c>
      <c r="AB19" s="8">
        <v>13.6614</v>
      </c>
      <c r="AC19" s="8">
        <v>18.693000000000001</v>
      </c>
      <c r="AD19" s="8">
        <v>17.530200000000001</v>
      </c>
      <c r="AE19" s="8"/>
      <c r="AF19" s="8">
        <f>G19*R19</f>
        <v>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25">
      <c r="A20" s="8" t="s">
        <v>54</v>
      </c>
      <c r="B20" s="8" t="s">
        <v>35</v>
      </c>
      <c r="C20" s="8">
        <v>36.764000000000003</v>
      </c>
      <c r="D20" s="8">
        <v>4.5940000000000003</v>
      </c>
      <c r="E20" s="8">
        <v>9.0229999999999997</v>
      </c>
      <c r="F20" s="8">
        <v>31.986999999999998</v>
      </c>
      <c r="G20" s="6">
        <v>1</v>
      </c>
      <c r="H20" s="8">
        <v>180</v>
      </c>
      <c r="I20" s="8" t="s">
        <v>36</v>
      </c>
      <c r="J20" s="8"/>
      <c r="K20" s="8">
        <v>9.8000000000000007</v>
      </c>
      <c r="L20" s="8">
        <f t="shared" si="2"/>
        <v>-0.77700000000000102</v>
      </c>
      <c r="M20" s="8"/>
      <c r="N20" s="8"/>
      <c r="O20" s="8">
        <v>0</v>
      </c>
      <c r="P20" s="8"/>
      <c r="Q20" s="8">
        <f t="shared" si="3"/>
        <v>1.8046</v>
      </c>
      <c r="R20" s="4"/>
      <c r="S20" s="8">
        <f t="shared" si="4"/>
        <v>17.725257674830988</v>
      </c>
      <c r="T20" s="8">
        <f t="shared" si="5"/>
        <v>17.725257674830988</v>
      </c>
      <c r="U20" s="8">
        <v>2.0731999999999999</v>
      </c>
      <c r="V20" s="8">
        <v>2.1372</v>
      </c>
      <c r="W20" s="8">
        <v>2.093</v>
      </c>
      <c r="X20" s="8">
        <v>2.0362</v>
      </c>
      <c r="Y20" s="8">
        <v>3.6604000000000001</v>
      </c>
      <c r="Z20" s="8">
        <v>3.3679999999999999</v>
      </c>
      <c r="AA20" s="8">
        <v>1.5246</v>
      </c>
      <c r="AB20" s="8">
        <v>1.8056000000000001</v>
      </c>
      <c r="AC20" s="8">
        <v>1.9366000000000001</v>
      </c>
      <c r="AD20" s="8">
        <v>1.5718000000000001</v>
      </c>
      <c r="AE20" s="8"/>
      <c r="AF20" s="8">
        <f>G20*R20</f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spans="1:42" x14ac:dyDescent="0.25">
      <c r="A21" s="8" t="s">
        <v>55</v>
      </c>
      <c r="B21" s="8" t="s">
        <v>35</v>
      </c>
      <c r="C21" s="8">
        <v>1164.905</v>
      </c>
      <c r="D21" s="8">
        <v>2161.3649999999998</v>
      </c>
      <c r="E21" s="8">
        <v>1395.0550000000001</v>
      </c>
      <c r="F21" s="8">
        <v>1296.5139999999999</v>
      </c>
      <c r="G21" s="6">
        <v>1</v>
      </c>
      <c r="H21" s="8">
        <v>60</v>
      </c>
      <c r="I21" s="8" t="s">
        <v>36</v>
      </c>
      <c r="J21" s="8"/>
      <c r="K21" s="8">
        <v>1375.146</v>
      </c>
      <c r="L21" s="8">
        <f t="shared" si="2"/>
        <v>19.909000000000106</v>
      </c>
      <c r="M21" s="8"/>
      <c r="N21" s="8"/>
      <c r="O21" s="8">
        <v>372.6958853848252</v>
      </c>
      <c r="P21" s="8">
        <v>325.23648424967899</v>
      </c>
      <c r="Q21" s="8">
        <f t="shared" si="3"/>
        <v>279.01100000000002</v>
      </c>
      <c r="R21" s="4">
        <f t="shared" ref="R19:R23" si="9">10.5*Q21-P21-O21-F21</f>
        <v>935.16913036549636</v>
      </c>
      <c r="S21" s="8">
        <f t="shared" si="4"/>
        <v>10.500000000000002</v>
      </c>
      <c r="T21" s="8">
        <f t="shared" si="5"/>
        <v>7.1482714646895786</v>
      </c>
      <c r="U21" s="8">
        <v>254.7244</v>
      </c>
      <c r="V21" s="8">
        <v>268.49160000000001</v>
      </c>
      <c r="W21" s="8">
        <v>269.43599999999998</v>
      </c>
      <c r="X21" s="8">
        <v>262.96539999999999</v>
      </c>
      <c r="Y21" s="8">
        <v>261.03739999999999</v>
      </c>
      <c r="Z21" s="8">
        <v>231.03299999999999</v>
      </c>
      <c r="AA21" s="8">
        <v>231.0196</v>
      </c>
      <c r="AB21" s="8">
        <v>266.68880000000001</v>
      </c>
      <c r="AC21" s="8">
        <v>289.93419999999998</v>
      </c>
      <c r="AD21" s="8">
        <v>292.35160000000002</v>
      </c>
      <c r="AE21" s="8"/>
      <c r="AF21" s="8">
        <f>G21*R21</f>
        <v>935.16913036549636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25">
      <c r="A22" s="8" t="s">
        <v>56</v>
      </c>
      <c r="B22" s="8" t="s">
        <v>35</v>
      </c>
      <c r="C22" s="8">
        <v>82.382000000000005</v>
      </c>
      <c r="D22" s="8">
        <v>554.78300000000002</v>
      </c>
      <c r="E22" s="8">
        <v>168.22200000000001</v>
      </c>
      <c r="F22" s="8">
        <v>447.93700000000001</v>
      </c>
      <c r="G22" s="6">
        <v>1</v>
      </c>
      <c r="H22" s="8">
        <v>70</v>
      </c>
      <c r="I22" s="8" t="s">
        <v>36</v>
      </c>
      <c r="J22" s="8"/>
      <c r="K22" s="8">
        <v>166.375</v>
      </c>
      <c r="L22" s="8">
        <f t="shared" si="2"/>
        <v>1.8470000000000084</v>
      </c>
      <c r="M22" s="8"/>
      <c r="N22" s="8"/>
      <c r="O22" s="8">
        <v>194.689775</v>
      </c>
      <c r="P22" s="8"/>
      <c r="Q22" s="8">
        <f t="shared" si="3"/>
        <v>33.644400000000005</v>
      </c>
      <c r="R22" s="4"/>
      <c r="S22" s="8">
        <f t="shared" si="4"/>
        <v>19.10055685344366</v>
      </c>
      <c r="T22" s="8">
        <f t="shared" si="5"/>
        <v>19.10055685344366</v>
      </c>
      <c r="U22" s="8">
        <v>58.666999999999987</v>
      </c>
      <c r="V22" s="8">
        <v>58.697000000000003</v>
      </c>
      <c r="W22" s="8">
        <v>36.935400000000001</v>
      </c>
      <c r="X22" s="8">
        <v>36.135199999999998</v>
      </c>
      <c r="Y22" s="8">
        <v>38.785600000000002</v>
      </c>
      <c r="Z22" s="8">
        <v>36.6614</v>
      </c>
      <c r="AA22" s="8">
        <v>41.685199999999988</v>
      </c>
      <c r="AB22" s="8">
        <v>47.904600000000002</v>
      </c>
      <c r="AC22" s="8">
        <v>59.2864</v>
      </c>
      <c r="AD22" s="8">
        <v>56.157799999999988</v>
      </c>
      <c r="AE22" s="8"/>
      <c r="AF22" s="8">
        <f>G22*R22</f>
        <v>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25">
      <c r="A23" s="8" t="s">
        <v>57</v>
      </c>
      <c r="B23" s="8" t="s">
        <v>35</v>
      </c>
      <c r="C23" s="8">
        <v>433.29899999999998</v>
      </c>
      <c r="D23" s="8">
        <v>711.73599999999999</v>
      </c>
      <c r="E23" s="8">
        <v>430.47800000000001</v>
      </c>
      <c r="F23" s="8">
        <v>590.33100000000002</v>
      </c>
      <c r="G23" s="6">
        <v>1</v>
      </c>
      <c r="H23" s="8">
        <v>70</v>
      </c>
      <c r="I23" s="8" t="s">
        <v>36</v>
      </c>
      <c r="J23" s="8"/>
      <c r="K23" s="8">
        <v>415.52499999999998</v>
      </c>
      <c r="L23" s="8">
        <f t="shared" si="2"/>
        <v>14.953000000000031</v>
      </c>
      <c r="M23" s="8"/>
      <c r="N23" s="8"/>
      <c r="O23" s="8">
        <v>213.6</v>
      </c>
      <c r="P23" s="8">
        <v>186.4</v>
      </c>
      <c r="Q23" s="8">
        <f t="shared" si="3"/>
        <v>86.095600000000005</v>
      </c>
      <c r="R23" s="4"/>
      <c r="S23" s="8">
        <f t="shared" si="4"/>
        <v>11.502690032940126</v>
      </c>
      <c r="T23" s="8">
        <f t="shared" si="5"/>
        <v>11.502690032940126</v>
      </c>
      <c r="U23" s="8">
        <v>90.975800000000007</v>
      </c>
      <c r="V23" s="8">
        <v>96.378799999999998</v>
      </c>
      <c r="W23" s="8">
        <v>86.611599999999996</v>
      </c>
      <c r="X23" s="8">
        <v>92.844200000000001</v>
      </c>
      <c r="Y23" s="8">
        <v>90.825400000000002</v>
      </c>
      <c r="Z23" s="8">
        <v>80.068399999999997</v>
      </c>
      <c r="AA23" s="8">
        <v>83.840599999999995</v>
      </c>
      <c r="AB23" s="8">
        <v>97.186000000000007</v>
      </c>
      <c r="AC23" s="8">
        <v>100.78400000000001</v>
      </c>
      <c r="AD23" s="8">
        <v>98.3446</v>
      </c>
      <c r="AE23" s="8"/>
      <c r="AF23" s="8">
        <f>G23*R23</f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x14ac:dyDescent="0.25">
      <c r="A24" s="11" t="s">
        <v>58</v>
      </c>
      <c r="B24" s="11" t="s">
        <v>35</v>
      </c>
      <c r="C24" s="11"/>
      <c r="D24" s="11"/>
      <c r="E24" s="11"/>
      <c r="F24" s="11"/>
      <c r="G24" s="12">
        <v>0</v>
      </c>
      <c r="H24" s="11"/>
      <c r="I24" s="11" t="s">
        <v>36</v>
      </c>
      <c r="J24" s="11"/>
      <c r="K24" s="11"/>
      <c r="L24" s="11">
        <f t="shared" si="2"/>
        <v>0</v>
      </c>
      <c r="M24" s="11"/>
      <c r="N24" s="11"/>
      <c r="O24" s="11">
        <v>0</v>
      </c>
      <c r="P24" s="11"/>
      <c r="Q24" s="11">
        <f t="shared" si="3"/>
        <v>0</v>
      </c>
      <c r="R24" s="13"/>
      <c r="S24" s="11" t="e">
        <f t="shared" si="4"/>
        <v>#DIV/0!</v>
      </c>
      <c r="T24" s="11" t="e">
        <f t="shared" si="5"/>
        <v>#DIV/0!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 t="s">
        <v>41</v>
      </c>
      <c r="AF24" s="11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25">
      <c r="A25" s="8" t="s">
        <v>59</v>
      </c>
      <c r="B25" s="8" t="s">
        <v>35</v>
      </c>
      <c r="C25" s="8">
        <v>606.58000000000004</v>
      </c>
      <c r="D25" s="8">
        <v>1120.7360000000001</v>
      </c>
      <c r="E25" s="8">
        <v>616.74099999999999</v>
      </c>
      <c r="F25" s="8">
        <v>857.40499999999997</v>
      </c>
      <c r="G25" s="6">
        <v>1</v>
      </c>
      <c r="H25" s="8">
        <v>70</v>
      </c>
      <c r="I25" s="8" t="s">
        <v>36</v>
      </c>
      <c r="J25" s="8"/>
      <c r="K25" s="8">
        <v>600.70500000000004</v>
      </c>
      <c r="L25" s="8">
        <f t="shared" si="2"/>
        <v>16.035999999999945</v>
      </c>
      <c r="M25" s="8"/>
      <c r="N25" s="8"/>
      <c r="O25" s="8">
        <v>331.08</v>
      </c>
      <c r="P25" s="8">
        <v>288.92</v>
      </c>
      <c r="Q25" s="8">
        <f t="shared" si="3"/>
        <v>123.34819999999999</v>
      </c>
      <c r="R25" s="4"/>
      <c r="S25" s="8">
        <f t="shared" si="4"/>
        <v>11.977515683244668</v>
      </c>
      <c r="T25" s="8">
        <f t="shared" si="5"/>
        <v>11.977515683244668</v>
      </c>
      <c r="U25" s="8">
        <v>135.40880000000001</v>
      </c>
      <c r="V25" s="8">
        <v>142.03540000000001</v>
      </c>
      <c r="W25" s="8">
        <v>141.16919999999999</v>
      </c>
      <c r="X25" s="8">
        <v>138.0496</v>
      </c>
      <c r="Y25" s="8">
        <v>134.48500000000001</v>
      </c>
      <c r="Z25" s="8">
        <v>114.6332</v>
      </c>
      <c r="AA25" s="8">
        <v>122.8556</v>
      </c>
      <c r="AB25" s="8">
        <v>154.4462</v>
      </c>
      <c r="AC25" s="8">
        <v>156.86439999999999</v>
      </c>
      <c r="AD25" s="8">
        <v>146.11439999999999</v>
      </c>
      <c r="AE25" s="8"/>
      <c r="AF25" s="8">
        <f t="shared" ref="AF25:AF30" si="10">G25*R25</f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25">
      <c r="A26" s="8" t="s">
        <v>60</v>
      </c>
      <c r="B26" s="8" t="s">
        <v>35</v>
      </c>
      <c r="C26" s="8">
        <v>149.77699999999999</v>
      </c>
      <c r="D26" s="8">
        <v>96.233000000000004</v>
      </c>
      <c r="E26" s="8">
        <v>111.39</v>
      </c>
      <c r="F26" s="8">
        <v>114.798</v>
      </c>
      <c r="G26" s="6">
        <v>1</v>
      </c>
      <c r="H26" s="8">
        <v>40</v>
      </c>
      <c r="I26" s="8" t="s">
        <v>36</v>
      </c>
      <c r="J26" s="8"/>
      <c r="K26" s="8">
        <v>112.25</v>
      </c>
      <c r="L26" s="8">
        <f t="shared" si="2"/>
        <v>-0.85999999999999943</v>
      </c>
      <c r="M26" s="8"/>
      <c r="N26" s="8"/>
      <c r="O26" s="8">
        <v>40</v>
      </c>
      <c r="P26" s="8"/>
      <c r="Q26" s="8">
        <f t="shared" si="3"/>
        <v>22.277999999999999</v>
      </c>
      <c r="R26" s="4">
        <f t="shared" ref="R25:R30" si="11">10.5*Q26-P26-O26-F26</f>
        <v>79.120999999999981</v>
      </c>
      <c r="S26" s="8">
        <f t="shared" si="4"/>
        <v>10.5</v>
      </c>
      <c r="T26" s="8">
        <f t="shared" si="5"/>
        <v>6.9484693419517018</v>
      </c>
      <c r="U26" s="8">
        <v>11.269600000000001</v>
      </c>
      <c r="V26" s="8">
        <v>12.119400000000001</v>
      </c>
      <c r="W26" s="8">
        <v>22.339200000000002</v>
      </c>
      <c r="X26" s="8">
        <v>22.230799999999999</v>
      </c>
      <c r="Y26" s="8">
        <v>20.890999999999998</v>
      </c>
      <c r="Z26" s="8">
        <v>21.743400000000001</v>
      </c>
      <c r="AA26" s="8">
        <v>31.498799999999999</v>
      </c>
      <c r="AB26" s="8">
        <v>36.451999999999998</v>
      </c>
      <c r="AC26" s="8">
        <v>28.552800000000001</v>
      </c>
      <c r="AD26" s="8">
        <v>25.166799999999999</v>
      </c>
      <c r="AE26" s="8"/>
      <c r="AF26" s="8">
        <f t="shared" si="10"/>
        <v>79.120999999999981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25">
      <c r="A27" s="8" t="s">
        <v>61</v>
      </c>
      <c r="B27" s="8" t="s">
        <v>35</v>
      </c>
      <c r="C27" s="8">
        <v>269.09699999999998</v>
      </c>
      <c r="D27" s="8">
        <v>410.14699999999999</v>
      </c>
      <c r="E27" s="8">
        <v>281.589</v>
      </c>
      <c r="F27" s="8">
        <v>269.58600000000001</v>
      </c>
      <c r="G27" s="6">
        <v>1</v>
      </c>
      <c r="H27" s="8">
        <v>30</v>
      </c>
      <c r="I27" s="8" t="s">
        <v>36</v>
      </c>
      <c r="J27" s="8"/>
      <c r="K27" s="8">
        <v>291.10000000000002</v>
      </c>
      <c r="L27" s="8">
        <f t="shared" si="2"/>
        <v>-9.5110000000000241</v>
      </c>
      <c r="M27" s="8"/>
      <c r="N27" s="8"/>
      <c r="O27" s="8">
        <v>175.595595</v>
      </c>
      <c r="P27" s="8"/>
      <c r="Q27" s="8">
        <f t="shared" si="3"/>
        <v>56.317799999999998</v>
      </c>
      <c r="R27" s="4">
        <f t="shared" si="11"/>
        <v>146.155305</v>
      </c>
      <c r="S27" s="8">
        <f t="shared" si="4"/>
        <v>10.5</v>
      </c>
      <c r="T27" s="8">
        <f t="shared" si="5"/>
        <v>7.9048115338312224</v>
      </c>
      <c r="U27" s="8">
        <v>55.660600000000002</v>
      </c>
      <c r="V27" s="8">
        <v>55.000800000000012</v>
      </c>
      <c r="W27" s="8">
        <v>47.564</v>
      </c>
      <c r="X27" s="8">
        <v>47.768799999999999</v>
      </c>
      <c r="Y27" s="8">
        <v>53.683399999999992</v>
      </c>
      <c r="Z27" s="8">
        <v>55.056600000000003</v>
      </c>
      <c r="AA27" s="8">
        <v>34.062199999999997</v>
      </c>
      <c r="AB27" s="8">
        <v>31.221399999999999</v>
      </c>
      <c r="AC27" s="8">
        <v>46.425600000000003</v>
      </c>
      <c r="AD27" s="8">
        <v>48.891800000000003</v>
      </c>
      <c r="AE27" s="8"/>
      <c r="AF27" s="8">
        <f t="shared" si="10"/>
        <v>146.155305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25">
      <c r="A28" s="8" t="s">
        <v>62</v>
      </c>
      <c r="B28" s="8" t="s">
        <v>35</v>
      </c>
      <c r="C28" s="8">
        <v>158.80500000000001</v>
      </c>
      <c r="D28" s="8">
        <v>276.57900000000001</v>
      </c>
      <c r="E28" s="8">
        <v>180.94900000000001</v>
      </c>
      <c r="F28" s="8">
        <v>178.876</v>
      </c>
      <c r="G28" s="6">
        <v>1</v>
      </c>
      <c r="H28" s="8">
        <v>40</v>
      </c>
      <c r="I28" s="9" t="s">
        <v>46</v>
      </c>
      <c r="J28" s="8"/>
      <c r="K28" s="8">
        <v>172.9</v>
      </c>
      <c r="L28" s="8">
        <f t="shared" si="2"/>
        <v>8.0490000000000066</v>
      </c>
      <c r="M28" s="8"/>
      <c r="N28" s="8"/>
      <c r="O28" s="8">
        <v>153.0790999999999</v>
      </c>
      <c r="P28" s="8"/>
      <c r="Q28" s="8">
        <f t="shared" si="3"/>
        <v>36.189800000000005</v>
      </c>
      <c r="R28" s="4">
        <f t="shared" si="11"/>
        <v>48.037800000000175</v>
      </c>
      <c r="S28" s="8">
        <f t="shared" si="4"/>
        <v>10.5</v>
      </c>
      <c r="T28" s="8">
        <f t="shared" si="5"/>
        <v>9.1726149357001105</v>
      </c>
      <c r="U28" s="8">
        <v>40.753799999999998</v>
      </c>
      <c r="V28" s="8">
        <v>40.241199999999999</v>
      </c>
      <c r="W28" s="8">
        <v>43.129600000000003</v>
      </c>
      <c r="X28" s="8">
        <v>39.3996</v>
      </c>
      <c r="Y28" s="8">
        <v>39.060400000000001</v>
      </c>
      <c r="Z28" s="8">
        <v>40.458199999999998</v>
      </c>
      <c r="AA28" s="8">
        <v>28.9742</v>
      </c>
      <c r="AB28" s="8">
        <v>29.550999999999998</v>
      </c>
      <c r="AC28" s="8">
        <v>35.141000000000012</v>
      </c>
      <c r="AD28" s="8">
        <v>39.5794</v>
      </c>
      <c r="AE28" s="8"/>
      <c r="AF28" s="8">
        <f t="shared" si="10"/>
        <v>48.037800000000175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25">
      <c r="A29" s="8" t="s">
        <v>63</v>
      </c>
      <c r="B29" s="8" t="s">
        <v>35</v>
      </c>
      <c r="C29" s="8">
        <v>1053.155</v>
      </c>
      <c r="D29" s="8">
        <v>1894.0450000000001</v>
      </c>
      <c r="E29" s="8">
        <v>1362.3240000000001</v>
      </c>
      <c r="F29" s="8">
        <v>1072.124</v>
      </c>
      <c r="G29" s="6">
        <v>1</v>
      </c>
      <c r="H29" s="8">
        <v>30</v>
      </c>
      <c r="I29" s="8" t="s">
        <v>36</v>
      </c>
      <c r="J29" s="8"/>
      <c r="K29" s="8">
        <v>1399.55</v>
      </c>
      <c r="L29" s="8">
        <f t="shared" si="2"/>
        <v>-37.225999999999885</v>
      </c>
      <c r="M29" s="8"/>
      <c r="N29" s="8"/>
      <c r="O29" s="8">
        <v>416.37028348799993</v>
      </c>
      <c r="P29" s="8">
        <v>363.34934851200001</v>
      </c>
      <c r="Q29" s="8">
        <f t="shared" si="3"/>
        <v>272.46480000000003</v>
      </c>
      <c r="R29" s="4">
        <f t="shared" si="11"/>
        <v>1009.0367680000002</v>
      </c>
      <c r="S29" s="8">
        <f t="shared" si="4"/>
        <v>10.499999999999998</v>
      </c>
      <c r="T29" s="8">
        <f t="shared" si="5"/>
        <v>6.7966343982782353</v>
      </c>
      <c r="U29" s="8">
        <v>238.2176</v>
      </c>
      <c r="V29" s="8">
        <v>250.89920000000001</v>
      </c>
      <c r="W29" s="8">
        <v>256.14980000000003</v>
      </c>
      <c r="X29" s="8">
        <v>243.46600000000001</v>
      </c>
      <c r="Y29" s="8">
        <v>244.32079999999999</v>
      </c>
      <c r="Z29" s="8">
        <v>256.52339999999998</v>
      </c>
      <c r="AA29" s="8">
        <v>270.452</v>
      </c>
      <c r="AB29" s="8">
        <v>280.71120000000002</v>
      </c>
      <c r="AC29" s="8">
        <v>310.25920000000002</v>
      </c>
      <c r="AD29" s="8">
        <v>314.48059999999998</v>
      </c>
      <c r="AE29" s="8"/>
      <c r="AF29" s="8">
        <f t="shared" si="10"/>
        <v>1009.0367680000002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spans="1:42" x14ac:dyDescent="0.25">
      <c r="A30" s="8" t="s">
        <v>64</v>
      </c>
      <c r="B30" s="8" t="s">
        <v>35</v>
      </c>
      <c r="C30" s="8">
        <v>1628.4559999999999</v>
      </c>
      <c r="D30" s="8">
        <v>2887.4839999999999</v>
      </c>
      <c r="E30" s="8">
        <v>2069.5859999999998</v>
      </c>
      <c r="F30" s="8">
        <v>1702.2829999999999</v>
      </c>
      <c r="G30" s="6">
        <v>1</v>
      </c>
      <c r="H30" s="8">
        <v>40</v>
      </c>
      <c r="I30" s="8" t="s">
        <v>36</v>
      </c>
      <c r="J30" s="8"/>
      <c r="K30" s="8">
        <v>1913.7</v>
      </c>
      <c r="L30" s="8">
        <f t="shared" si="2"/>
        <v>155.88599999999974</v>
      </c>
      <c r="M30" s="8"/>
      <c r="N30" s="8"/>
      <c r="O30" s="8">
        <v>669.98061689999997</v>
      </c>
      <c r="P30" s="8">
        <v>584.66473310000003</v>
      </c>
      <c r="Q30" s="8">
        <f t="shared" si="3"/>
        <v>413.91719999999998</v>
      </c>
      <c r="R30" s="4">
        <f t="shared" si="11"/>
        <v>1389.2022499999998</v>
      </c>
      <c r="S30" s="8">
        <f t="shared" si="4"/>
        <v>10.5</v>
      </c>
      <c r="T30" s="8">
        <f t="shared" si="5"/>
        <v>7.1437677632144778</v>
      </c>
      <c r="U30" s="8">
        <v>376.00360000000001</v>
      </c>
      <c r="V30" s="8">
        <v>381.28300000000002</v>
      </c>
      <c r="W30" s="8">
        <v>367.99079999999998</v>
      </c>
      <c r="X30" s="8">
        <v>334.6694</v>
      </c>
      <c r="Y30" s="8">
        <v>360.96960000000001</v>
      </c>
      <c r="Z30" s="8">
        <v>349.10199999999998</v>
      </c>
      <c r="AA30" s="8">
        <v>355.59320000000002</v>
      </c>
      <c r="AB30" s="8">
        <v>382.23180000000002</v>
      </c>
      <c r="AC30" s="8">
        <v>388.74599999999998</v>
      </c>
      <c r="AD30" s="8">
        <v>399.38979999999998</v>
      </c>
      <c r="AE30" s="8"/>
      <c r="AF30" s="8">
        <f t="shared" si="10"/>
        <v>1389.2022499999998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x14ac:dyDescent="0.25">
      <c r="A31" s="11" t="s">
        <v>65</v>
      </c>
      <c r="B31" s="11" t="s">
        <v>35</v>
      </c>
      <c r="C31" s="11"/>
      <c r="D31" s="11"/>
      <c r="E31" s="11"/>
      <c r="F31" s="11"/>
      <c r="G31" s="12">
        <v>0</v>
      </c>
      <c r="H31" s="11"/>
      <c r="I31" s="11" t="s">
        <v>36</v>
      </c>
      <c r="J31" s="11"/>
      <c r="K31" s="11"/>
      <c r="L31" s="11">
        <f t="shared" si="2"/>
        <v>0</v>
      </c>
      <c r="M31" s="11"/>
      <c r="N31" s="11"/>
      <c r="O31" s="11">
        <v>0</v>
      </c>
      <c r="P31" s="11"/>
      <c r="Q31" s="11">
        <f t="shared" si="3"/>
        <v>0</v>
      </c>
      <c r="R31" s="13"/>
      <c r="S31" s="11" t="e">
        <f t="shared" si="4"/>
        <v>#DIV/0!</v>
      </c>
      <c r="T31" s="11" t="e">
        <f t="shared" si="5"/>
        <v>#DIV/0!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 t="s">
        <v>41</v>
      </c>
      <c r="AF31" s="11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spans="1:42" x14ac:dyDescent="0.25">
      <c r="A32" s="8" t="s">
        <v>66</v>
      </c>
      <c r="B32" s="8" t="s">
        <v>35</v>
      </c>
      <c r="C32" s="8">
        <v>153.12</v>
      </c>
      <c r="D32" s="8">
        <v>415.78</v>
      </c>
      <c r="E32" s="8">
        <v>185.393</v>
      </c>
      <c r="F32" s="8">
        <v>294.24900000000002</v>
      </c>
      <c r="G32" s="6">
        <v>1</v>
      </c>
      <c r="H32" s="8">
        <v>30</v>
      </c>
      <c r="I32" s="8" t="s">
        <v>36</v>
      </c>
      <c r="J32" s="8"/>
      <c r="K32" s="8">
        <v>199.2</v>
      </c>
      <c r="L32" s="8">
        <f t="shared" si="2"/>
        <v>-13.806999999999988</v>
      </c>
      <c r="M32" s="8"/>
      <c r="N32" s="8"/>
      <c r="O32" s="8">
        <v>130.59905099999969</v>
      </c>
      <c r="P32" s="8"/>
      <c r="Q32" s="8">
        <f t="shared" si="3"/>
        <v>37.078600000000002</v>
      </c>
      <c r="R32" s="4"/>
      <c r="S32" s="8">
        <f t="shared" si="4"/>
        <v>11.458039165448525</v>
      </c>
      <c r="T32" s="8">
        <f t="shared" si="5"/>
        <v>11.458039165448525</v>
      </c>
      <c r="U32" s="8">
        <v>42.246400000000001</v>
      </c>
      <c r="V32" s="8">
        <v>44.314</v>
      </c>
      <c r="W32" s="8">
        <v>49.142000000000003</v>
      </c>
      <c r="X32" s="8">
        <v>42.608800000000002</v>
      </c>
      <c r="Y32" s="8">
        <v>39.976999999999997</v>
      </c>
      <c r="Z32" s="8">
        <v>38.119399999999999</v>
      </c>
      <c r="AA32" s="8">
        <v>30.584399999999999</v>
      </c>
      <c r="AB32" s="8">
        <v>31.743400000000001</v>
      </c>
      <c r="AC32" s="8">
        <v>43.1676</v>
      </c>
      <c r="AD32" s="8">
        <v>41.247399999999999</v>
      </c>
      <c r="AE32" s="8"/>
      <c r="AF32" s="8">
        <f>G32*R32</f>
        <v>0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spans="1:42" x14ac:dyDescent="0.25">
      <c r="A33" s="11" t="s">
        <v>67</v>
      </c>
      <c r="B33" s="11" t="s">
        <v>35</v>
      </c>
      <c r="C33" s="11"/>
      <c r="D33" s="11"/>
      <c r="E33" s="11"/>
      <c r="F33" s="11"/>
      <c r="G33" s="12">
        <v>0</v>
      </c>
      <c r="H33" s="11"/>
      <c r="I33" s="11" t="s">
        <v>36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>
        <f t="shared" si="3"/>
        <v>0</v>
      </c>
      <c r="R33" s="13"/>
      <c r="S33" s="11" t="e">
        <f t="shared" si="4"/>
        <v>#DIV/0!</v>
      </c>
      <c r="T33" s="11" t="e">
        <f t="shared" si="5"/>
        <v>#DIV/0!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 t="s">
        <v>41</v>
      </c>
      <c r="AF33" s="11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spans="1:42" x14ac:dyDescent="0.25">
      <c r="A34" s="11" t="s">
        <v>68</v>
      </c>
      <c r="B34" s="11" t="s">
        <v>35</v>
      </c>
      <c r="C34" s="11"/>
      <c r="D34" s="11"/>
      <c r="E34" s="11"/>
      <c r="F34" s="11"/>
      <c r="G34" s="12">
        <v>0</v>
      </c>
      <c r="H34" s="11"/>
      <c r="I34" s="11" t="s">
        <v>36</v>
      </c>
      <c r="J34" s="11"/>
      <c r="K34" s="11"/>
      <c r="L34" s="11">
        <f t="shared" si="2"/>
        <v>0</v>
      </c>
      <c r="M34" s="11"/>
      <c r="N34" s="11"/>
      <c r="O34" s="11">
        <v>0</v>
      </c>
      <c r="P34" s="11"/>
      <c r="Q34" s="11">
        <f t="shared" si="3"/>
        <v>0</v>
      </c>
      <c r="R34" s="13"/>
      <c r="S34" s="11" t="e">
        <f t="shared" si="4"/>
        <v>#DIV/0!</v>
      </c>
      <c r="T34" s="11" t="e">
        <f t="shared" si="5"/>
        <v>#DIV/0!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 t="s">
        <v>41</v>
      </c>
      <c r="AF34" s="11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spans="1:42" x14ac:dyDescent="0.25">
      <c r="A35" s="8" t="s">
        <v>69</v>
      </c>
      <c r="B35" s="8" t="s">
        <v>40</v>
      </c>
      <c r="C35" s="8">
        <v>3626</v>
      </c>
      <c r="D35" s="8">
        <v>8501</v>
      </c>
      <c r="E35" s="8">
        <v>4925</v>
      </c>
      <c r="F35" s="8">
        <v>5445</v>
      </c>
      <c r="G35" s="6">
        <v>0.4</v>
      </c>
      <c r="H35" s="8">
        <v>45</v>
      </c>
      <c r="I35" s="8" t="s">
        <v>36</v>
      </c>
      <c r="J35" s="8"/>
      <c r="K35" s="8">
        <v>5175</v>
      </c>
      <c r="L35" s="8">
        <f t="shared" si="2"/>
        <v>-250</v>
      </c>
      <c r="M35" s="8"/>
      <c r="N35" s="8"/>
      <c r="O35" s="8">
        <v>1727.9908919999989</v>
      </c>
      <c r="P35" s="8">
        <v>1507.9471079999989</v>
      </c>
      <c r="Q35" s="8">
        <f t="shared" si="3"/>
        <v>985</v>
      </c>
      <c r="R35" s="4">
        <f t="shared" ref="R35:R68" si="12">10.5*Q35-P35-O35-F35</f>
        <v>1661.5620000000026</v>
      </c>
      <c r="S35" s="8">
        <f t="shared" si="4"/>
        <v>10.5</v>
      </c>
      <c r="T35" s="8">
        <f t="shared" si="5"/>
        <v>8.8131350253807081</v>
      </c>
      <c r="U35" s="8">
        <v>1014.8</v>
      </c>
      <c r="V35" s="8">
        <v>1044.8</v>
      </c>
      <c r="W35" s="8">
        <v>1015.6</v>
      </c>
      <c r="X35" s="8">
        <v>977.8</v>
      </c>
      <c r="Y35" s="8">
        <v>931.4</v>
      </c>
      <c r="Z35" s="8">
        <v>904.4</v>
      </c>
      <c r="AA35" s="8">
        <v>986.06000000000006</v>
      </c>
      <c r="AB35" s="8">
        <v>1036.6600000000001</v>
      </c>
      <c r="AC35" s="8">
        <v>1083.5999999999999</v>
      </c>
      <c r="AD35" s="8">
        <v>1082</v>
      </c>
      <c r="AE35" s="8"/>
      <c r="AF35" s="8">
        <f t="shared" ref="AF35:AF68" si="13">G35*R35</f>
        <v>664.62480000000107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spans="1:42" x14ac:dyDescent="0.25">
      <c r="A36" s="8" t="s">
        <v>70</v>
      </c>
      <c r="B36" s="8" t="s">
        <v>40</v>
      </c>
      <c r="C36" s="8">
        <v>187</v>
      </c>
      <c r="D36" s="8">
        <v>1409</v>
      </c>
      <c r="E36" s="8">
        <v>361</v>
      </c>
      <c r="F36" s="8">
        <v>765</v>
      </c>
      <c r="G36" s="6">
        <v>0.45</v>
      </c>
      <c r="H36" s="8">
        <v>50</v>
      </c>
      <c r="I36" s="8" t="s">
        <v>36</v>
      </c>
      <c r="J36" s="8"/>
      <c r="K36" s="8">
        <v>518</v>
      </c>
      <c r="L36" s="8">
        <f t="shared" si="2"/>
        <v>-157</v>
      </c>
      <c r="M36" s="8"/>
      <c r="N36" s="8"/>
      <c r="O36" s="8">
        <v>199.91</v>
      </c>
      <c r="P36" s="8"/>
      <c r="Q36" s="8">
        <f t="shared" si="3"/>
        <v>72.2</v>
      </c>
      <c r="R36" s="4"/>
      <c r="S36" s="8">
        <f t="shared" si="4"/>
        <v>13.364404432132963</v>
      </c>
      <c r="T36" s="8">
        <f t="shared" si="5"/>
        <v>13.364404432132963</v>
      </c>
      <c r="U36" s="8">
        <v>106.8</v>
      </c>
      <c r="V36" s="8">
        <v>106.4</v>
      </c>
      <c r="W36" s="8">
        <v>99.6</v>
      </c>
      <c r="X36" s="8">
        <v>93.4</v>
      </c>
      <c r="Y36" s="8">
        <v>77.2</v>
      </c>
      <c r="Z36" s="8">
        <v>88.4</v>
      </c>
      <c r="AA36" s="8">
        <v>113.2</v>
      </c>
      <c r="AB36" s="8">
        <v>104.8</v>
      </c>
      <c r="AC36" s="8">
        <v>113.8</v>
      </c>
      <c r="AD36" s="8">
        <v>116.6</v>
      </c>
      <c r="AE36" s="8"/>
      <c r="AF36" s="8">
        <f t="shared" si="13"/>
        <v>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spans="1:42" x14ac:dyDescent="0.25">
      <c r="A37" s="8" t="s">
        <v>71</v>
      </c>
      <c r="B37" s="8" t="s">
        <v>40</v>
      </c>
      <c r="C37" s="8">
        <v>616</v>
      </c>
      <c r="D37" s="8">
        <v>2112</v>
      </c>
      <c r="E37" s="8">
        <v>905</v>
      </c>
      <c r="F37" s="8">
        <v>1032</v>
      </c>
      <c r="G37" s="6">
        <v>0.4</v>
      </c>
      <c r="H37" s="8">
        <v>45</v>
      </c>
      <c r="I37" s="9" t="s">
        <v>46</v>
      </c>
      <c r="J37" s="8"/>
      <c r="K37" s="8">
        <v>1067</v>
      </c>
      <c r="L37" s="8">
        <f t="shared" si="2"/>
        <v>-162</v>
      </c>
      <c r="M37" s="8"/>
      <c r="N37" s="8"/>
      <c r="O37" s="8">
        <v>226.82184000000001</v>
      </c>
      <c r="P37" s="8">
        <v>197.9381600000001</v>
      </c>
      <c r="Q37" s="8">
        <f t="shared" si="3"/>
        <v>181</v>
      </c>
      <c r="R37" s="4">
        <f t="shared" si="12"/>
        <v>443.73999999999978</v>
      </c>
      <c r="S37" s="8">
        <f t="shared" si="4"/>
        <v>10.5</v>
      </c>
      <c r="T37" s="8">
        <f t="shared" si="5"/>
        <v>8.0483977900552492</v>
      </c>
      <c r="U37" s="8">
        <v>182.4</v>
      </c>
      <c r="V37" s="8">
        <v>198</v>
      </c>
      <c r="W37" s="8">
        <v>182</v>
      </c>
      <c r="X37" s="8">
        <v>176.4</v>
      </c>
      <c r="Y37" s="8">
        <v>177.2</v>
      </c>
      <c r="Z37" s="8">
        <v>188</v>
      </c>
      <c r="AA37" s="8">
        <v>197.4</v>
      </c>
      <c r="AB37" s="8">
        <v>174.8</v>
      </c>
      <c r="AC37" s="8">
        <v>159.4</v>
      </c>
      <c r="AD37" s="8">
        <v>167.6</v>
      </c>
      <c r="AE37" s="8"/>
      <c r="AF37" s="8">
        <f t="shared" si="13"/>
        <v>177.49599999999992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spans="1:42" x14ac:dyDescent="0.25">
      <c r="A38" s="8" t="s">
        <v>72</v>
      </c>
      <c r="B38" s="8" t="s">
        <v>40</v>
      </c>
      <c r="C38" s="8">
        <v>18</v>
      </c>
      <c r="D38" s="8">
        <v>32</v>
      </c>
      <c r="E38" s="8">
        <v>15</v>
      </c>
      <c r="F38" s="8">
        <v>30</v>
      </c>
      <c r="G38" s="6">
        <v>0.4</v>
      </c>
      <c r="H38" s="8">
        <v>40</v>
      </c>
      <c r="I38" s="8" t="s">
        <v>36</v>
      </c>
      <c r="J38" s="8"/>
      <c r="K38" s="8">
        <v>28</v>
      </c>
      <c r="L38" s="8">
        <f t="shared" ref="L38:L69" si="14">E38-K38</f>
        <v>-13</v>
      </c>
      <c r="M38" s="8"/>
      <c r="N38" s="8"/>
      <c r="O38" s="8">
        <v>27.099999999999991</v>
      </c>
      <c r="P38" s="8"/>
      <c r="Q38" s="8">
        <f t="shared" ref="Q38:Q69" si="15">E38/5</f>
        <v>3</v>
      </c>
      <c r="R38" s="4"/>
      <c r="S38" s="8">
        <f t="shared" ref="S38:S69" si="16">(F38+O38+P38+R38)/Q38</f>
        <v>19.033333333333331</v>
      </c>
      <c r="T38" s="8">
        <f t="shared" ref="T38:T69" si="17">(F38+O38+P38)/Q38</f>
        <v>19.033333333333331</v>
      </c>
      <c r="U38" s="8">
        <v>4.8</v>
      </c>
      <c r="V38" s="8">
        <v>3.6</v>
      </c>
      <c r="W38" s="8">
        <v>3.4</v>
      </c>
      <c r="X38" s="8">
        <v>3.6</v>
      </c>
      <c r="Y38" s="8">
        <v>2.8</v>
      </c>
      <c r="Z38" s="8">
        <v>3.4</v>
      </c>
      <c r="AA38" s="8">
        <v>3.6</v>
      </c>
      <c r="AB38" s="8">
        <v>2.6</v>
      </c>
      <c r="AC38" s="8">
        <v>1.6</v>
      </c>
      <c r="AD38" s="8">
        <v>0.6</v>
      </c>
      <c r="AE38" s="8"/>
      <c r="AF38" s="8">
        <f t="shared" si="13"/>
        <v>0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spans="1:42" x14ac:dyDescent="0.25">
      <c r="A39" s="8" t="s">
        <v>73</v>
      </c>
      <c r="B39" s="8" t="s">
        <v>35</v>
      </c>
      <c r="C39" s="8">
        <v>99.234999999999999</v>
      </c>
      <c r="D39" s="8">
        <v>260.63099999999997</v>
      </c>
      <c r="E39" s="8">
        <v>114.765</v>
      </c>
      <c r="F39" s="8">
        <v>178.22300000000001</v>
      </c>
      <c r="G39" s="6">
        <v>1</v>
      </c>
      <c r="H39" s="8">
        <v>45</v>
      </c>
      <c r="I39" s="8" t="s">
        <v>36</v>
      </c>
      <c r="J39" s="8"/>
      <c r="K39" s="8">
        <v>118.85</v>
      </c>
      <c r="L39" s="8">
        <f t="shared" si="14"/>
        <v>-4.0849999999999937</v>
      </c>
      <c r="M39" s="8"/>
      <c r="N39" s="8"/>
      <c r="O39" s="8">
        <v>73.72439999999996</v>
      </c>
      <c r="P39" s="8"/>
      <c r="Q39" s="8">
        <f t="shared" si="15"/>
        <v>22.952999999999999</v>
      </c>
      <c r="R39" s="4"/>
      <c r="S39" s="8">
        <f t="shared" si="16"/>
        <v>10.976665359647974</v>
      </c>
      <c r="T39" s="8">
        <f t="shared" si="17"/>
        <v>10.976665359647974</v>
      </c>
      <c r="U39" s="8">
        <v>27.289400000000001</v>
      </c>
      <c r="V39" s="8">
        <v>28.3154</v>
      </c>
      <c r="W39" s="8">
        <v>25.433800000000002</v>
      </c>
      <c r="X39" s="8">
        <v>17.929600000000001</v>
      </c>
      <c r="Y39" s="8">
        <v>24.651</v>
      </c>
      <c r="Z39" s="8">
        <v>30.5916</v>
      </c>
      <c r="AA39" s="8">
        <v>23.4132</v>
      </c>
      <c r="AB39" s="8">
        <v>27.113600000000002</v>
      </c>
      <c r="AC39" s="8">
        <v>26.136800000000001</v>
      </c>
      <c r="AD39" s="8">
        <v>25.5244</v>
      </c>
      <c r="AE39" s="8"/>
      <c r="AF39" s="8">
        <f t="shared" si="13"/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x14ac:dyDescent="0.25">
      <c r="A40" s="8" t="s">
        <v>74</v>
      </c>
      <c r="B40" s="8" t="s">
        <v>40</v>
      </c>
      <c r="C40" s="8">
        <v>347</v>
      </c>
      <c r="D40" s="8">
        <v>646</v>
      </c>
      <c r="E40" s="8">
        <v>271</v>
      </c>
      <c r="F40" s="8">
        <v>572</v>
      </c>
      <c r="G40" s="6">
        <v>0.1</v>
      </c>
      <c r="H40" s="8">
        <v>731</v>
      </c>
      <c r="I40" s="8" t="s">
        <v>36</v>
      </c>
      <c r="J40" s="8"/>
      <c r="K40" s="8">
        <v>272</v>
      </c>
      <c r="L40" s="8">
        <f t="shared" si="14"/>
        <v>-1</v>
      </c>
      <c r="M40" s="8"/>
      <c r="N40" s="8"/>
      <c r="O40" s="8">
        <v>117.6</v>
      </c>
      <c r="P40" s="8"/>
      <c r="Q40" s="8">
        <f t="shared" si="15"/>
        <v>54.2</v>
      </c>
      <c r="R40" s="4"/>
      <c r="S40" s="8">
        <f t="shared" si="16"/>
        <v>12.723247232472325</v>
      </c>
      <c r="T40" s="8">
        <f t="shared" si="17"/>
        <v>12.723247232472325</v>
      </c>
      <c r="U40" s="8">
        <v>72.8</v>
      </c>
      <c r="V40" s="8">
        <v>85.2</v>
      </c>
      <c r="W40" s="8">
        <v>85.6</v>
      </c>
      <c r="X40" s="8">
        <v>79.2</v>
      </c>
      <c r="Y40" s="8">
        <v>79</v>
      </c>
      <c r="Z40" s="8">
        <v>73.400000000000006</v>
      </c>
      <c r="AA40" s="8">
        <v>76.599999999999994</v>
      </c>
      <c r="AB40" s="8">
        <v>83.2</v>
      </c>
      <c r="AC40" s="8">
        <v>87.4</v>
      </c>
      <c r="AD40" s="8">
        <v>84.4</v>
      </c>
      <c r="AE40" s="8"/>
      <c r="AF40" s="8">
        <f t="shared" si="13"/>
        <v>0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spans="1:42" x14ac:dyDescent="0.25">
      <c r="A41" s="8" t="s">
        <v>75</v>
      </c>
      <c r="B41" s="8" t="s">
        <v>40</v>
      </c>
      <c r="C41" s="8">
        <v>12</v>
      </c>
      <c r="D41" s="8">
        <v>980</v>
      </c>
      <c r="E41" s="8">
        <v>118</v>
      </c>
      <c r="F41" s="8">
        <v>710</v>
      </c>
      <c r="G41" s="6">
        <v>0.35</v>
      </c>
      <c r="H41" s="8">
        <v>40</v>
      </c>
      <c r="I41" s="9" t="s">
        <v>76</v>
      </c>
      <c r="J41" s="8"/>
      <c r="K41" s="8">
        <v>244</v>
      </c>
      <c r="L41" s="8">
        <f t="shared" si="14"/>
        <v>-126</v>
      </c>
      <c r="M41" s="8"/>
      <c r="N41" s="8"/>
      <c r="O41" s="8">
        <v>0</v>
      </c>
      <c r="P41" s="8"/>
      <c r="Q41" s="8">
        <f t="shared" si="15"/>
        <v>23.6</v>
      </c>
      <c r="R41" s="4"/>
      <c r="S41" s="8">
        <f t="shared" si="16"/>
        <v>30.084745762711862</v>
      </c>
      <c r="T41" s="8">
        <f t="shared" si="17"/>
        <v>30.084745762711862</v>
      </c>
      <c r="U41" s="8">
        <v>47</v>
      </c>
      <c r="V41" s="8">
        <v>98.2</v>
      </c>
      <c r="W41" s="8">
        <v>74</v>
      </c>
      <c r="X41" s="8">
        <v>23</v>
      </c>
      <c r="Y41" s="8">
        <v>28.2</v>
      </c>
      <c r="Z41" s="8">
        <v>59.2</v>
      </c>
      <c r="AA41" s="8">
        <v>32.200000000000003</v>
      </c>
      <c r="AB41" s="8">
        <v>1.2</v>
      </c>
      <c r="AC41" s="8">
        <v>-0.2</v>
      </c>
      <c r="AD41" s="8">
        <v>-0.4</v>
      </c>
      <c r="AE41" s="8" t="s">
        <v>77</v>
      </c>
      <c r="AF41" s="8">
        <f t="shared" si="13"/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x14ac:dyDescent="0.25">
      <c r="A42" s="8" t="s">
        <v>78</v>
      </c>
      <c r="B42" s="8" t="s">
        <v>35</v>
      </c>
      <c r="C42" s="8">
        <v>152.78800000000001</v>
      </c>
      <c r="D42" s="8">
        <v>206.923</v>
      </c>
      <c r="E42" s="8">
        <v>107.166</v>
      </c>
      <c r="F42" s="8">
        <v>232.35300000000001</v>
      </c>
      <c r="G42" s="6">
        <v>1</v>
      </c>
      <c r="H42" s="8">
        <v>40</v>
      </c>
      <c r="I42" s="8" t="s">
        <v>36</v>
      </c>
      <c r="J42" s="8"/>
      <c r="K42" s="8">
        <v>114.6</v>
      </c>
      <c r="L42" s="8">
        <f t="shared" si="14"/>
        <v>-7.4339999999999975</v>
      </c>
      <c r="M42" s="8"/>
      <c r="N42" s="8"/>
      <c r="O42" s="8">
        <v>130</v>
      </c>
      <c r="P42" s="8"/>
      <c r="Q42" s="8">
        <f t="shared" si="15"/>
        <v>21.433199999999999</v>
      </c>
      <c r="R42" s="4"/>
      <c r="S42" s="8">
        <f t="shared" si="16"/>
        <v>16.906154937200231</v>
      </c>
      <c r="T42" s="8">
        <f t="shared" si="17"/>
        <v>16.906154937200231</v>
      </c>
      <c r="U42" s="8">
        <v>21.7224</v>
      </c>
      <c r="V42" s="8">
        <v>22.284199999999998</v>
      </c>
      <c r="W42" s="8">
        <v>24.135400000000001</v>
      </c>
      <c r="X42" s="8">
        <v>26.602599999999999</v>
      </c>
      <c r="Y42" s="8">
        <v>26.461400000000001</v>
      </c>
      <c r="Z42" s="8">
        <v>25.2514</v>
      </c>
      <c r="AA42" s="8">
        <v>12.7476</v>
      </c>
      <c r="AB42" s="8">
        <v>5.3621999999999996</v>
      </c>
      <c r="AC42" s="8">
        <v>18.358599999999999</v>
      </c>
      <c r="AD42" s="8">
        <v>30.653400000000001</v>
      </c>
      <c r="AE42" s="8"/>
      <c r="AF42" s="8">
        <f t="shared" si="13"/>
        <v>0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spans="1:42" x14ac:dyDescent="0.25">
      <c r="A43" s="8" t="s">
        <v>79</v>
      </c>
      <c r="B43" s="8" t="s">
        <v>40</v>
      </c>
      <c r="C43" s="8">
        <v>274</v>
      </c>
      <c r="D43" s="8">
        <v>878</v>
      </c>
      <c r="E43" s="8">
        <v>358</v>
      </c>
      <c r="F43" s="8">
        <v>594</v>
      </c>
      <c r="G43" s="6">
        <v>0.4</v>
      </c>
      <c r="H43" s="8">
        <v>40</v>
      </c>
      <c r="I43" s="8" t="s">
        <v>36</v>
      </c>
      <c r="J43" s="8"/>
      <c r="K43" s="8">
        <v>440</v>
      </c>
      <c r="L43" s="8">
        <f t="shared" si="14"/>
        <v>-82</v>
      </c>
      <c r="M43" s="8"/>
      <c r="N43" s="8"/>
      <c r="O43" s="8">
        <v>194.24303400000011</v>
      </c>
      <c r="P43" s="8">
        <v>169.5079660000001</v>
      </c>
      <c r="Q43" s="8">
        <f t="shared" si="15"/>
        <v>71.599999999999994</v>
      </c>
      <c r="R43" s="4"/>
      <c r="S43" s="8">
        <f t="shared" si="16"/>
        <v>13.376410614525144</v>
      </c>
      <c r="T43" s="8">
        <f t="shared" si="17"/>
        <v>13.376410614525144</v>
      </c>
      <c r="U43" s="8">
        <v>93.4</v>
      </c>
      <c r="V43" s="8">
        <v>93.6</v>
      </c>
      <c r="W43" s="8">
        <v>44.8</v>
      </c>
      <c r="X43" s="8">
        <v>29.8</v>
      </c>
      <c r="Y43" s="8">
        <v>66.8</v>
      </c>
      <c r="Z43" s="8">
        <v>81.8</v>
      </c>
      <c r="AA43" s="8">
        <v>99.6</v>
      </c>
      <c r="AB43" s="8">
        <v>112</v>
      </c>
      <c r="AC43" s="8">
        <v>121.8</v>
      </c>
      <c r="AD43" s="8">
        <v>74</v>
      </c>
      <c r="AE43" s="8"/>
      <c r="AF43" s="8">
        <f t="shared" si="13"/>
        <v>0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x14ac:dyDescent="0.25">
      <c r="A44" s="8" t="s">
        <v>80</v>
      </c>
      <c r="B44" s="8" t="s">
        <v>40</v>
      </c>
      <c r="C44" s="8">
        <v>227</v>
      </c>
      <c r="D44" s="8">
        <v>763</v>
      </c>
      <c r="E44" s="8">
        <v>264</v>
      </c>
      <c r="F44" s="8">
        <v>464</v>
      </c>
      <c r="G44" s="6">
        <v>0.4</v>
      </c>
      <c r="H44" s="8">
        <v>45</v>
      </c>
      <c r="I44" s="8" t="s">
        <v>36</v>
      </c>
      <c r="J44" s="8"/>
      <c r="K44" s="8">
        <v>426</v>
      </c>
      <c r="L44" s="8">
        <f t="shared" si="14"/>
        <v>-162</v>
      </c>
      <c r="M44" s="8"/>
      <c r="N44" s="8"/>
      <c r="O44" s="8">
        <v>117.1435799999999</v>
      </c>
      <c r="P44" s="8">
        <v>102.22641999999991</v>
      </c>
      <c r="Q44" s="8">
        <f t="shared" si="15"/>
        <v>52.8</v>
      </c>
      <c r="R44" s="4"/>
      <c r="S44" s="8">
        <f t="shared" si="16"/>
        <v>12.942613636363635</v>
      </c>
      <c r="T44" s="8">
        <f t="shared" si="17"/>
        <v>12.942613636363635</v>
      </c>
      <c r="U44" s="8">
        <v>71.599999999999994</v>
      </c>
      <c r="V44" s="8">
        <v>69.400000000000006</v>
      </c>
      <c r="W44" s="8">
        <v>62.4</v>
      </c>
      <c r="X44" s="8">
        <v>58.6</v>
      </c>
      <c r="Y44" s="8">
        <v>60.4</v>
      </c>
      <c r="Z44" s="8">
        <v>45</v>
      </c>
      <c r="AA44" s="8">
        <v>33.799999999999997</v>
      </c>
      <c r="AB44" s="8">
        <v>43.2</v>
      </c>
      <c r="AC44" s="8">
        <v>55.2</v>
      </c>
      <c r="AD44" s="8">
        <v>56.8</v>
      </c>
      <c r="AE44" s="8"/>
      <c r="AF44" s="8">
        <f t="shared" si="13"/>
        <v>0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spans="1:42" x14ac:dyDescent="0.25">
      <c r="A45" s="8" t="s">
        <v>81</v>
      </c>
      <c r="B45" s="8" t="s">
        <v>35</v>
      </c>
      <c r="C45" s="8">
        <v>279.053</v>
      </c>
      <c r="D45" s="8">
        <v>467.983</v>
      </c>
      <c r="E45" s="8">
        <v>218.27099999999999</v>
      </c>
      <c r="F45" s="8">
        <v>499.45</v>
      </c>
      <c r="G45" s="6">
        <v>1</v>
      </c>
      <c r="H45" s="8">
        <v>40</v>
      </c>
      <c r="I45" s="8" t="s">
        <v>36</v>
      </c>
      <c r="J45" s="8"/>
      <c r="K45" s="8">
        <v>228.85</v>
      </c>
      <c r="L45" s="8">
        <f t="shared" si="14"/>
        <v>-10.579000000000008</v>
      </c>
      <c r="M45" s="8"/>
      <c r="N45" s="8"/>
      <c r="O45" s="8">
        <v>160.19999999999999</v>
      </c>
      <c r="P45" s="8">
        <v>139.80000000000001</v>
      </c>
      <c r="Q45" s="8">
        <f t="shared" si="15"/>
        <v>43.654199999999996</v>
      </c>
      <c r="R45" s="4"/>
      <c r="S45" s="8">
        <f t="shared" si="16"/>
        <v>18.313243628333588</v>
      </c>
      <c r="T45" s="8">
        <f t="shared" si="17"/>
        <v>18.313243628333588</v>
      </c>
      <c r="U45" s="8">
        <v>55.885199999999998</v>
      </c>
      <c r="V45" s="8">
        <v>68.31219999999999</v>
      </c>
      <c r="W45" s="8">
        <v>64.00800000000001</v>
      </c>
      <c r="X45" s="8">
        <v>63.973999999999997</v>
      </c>
      <c r="Y45" s="8">
        <v>63.660200000000003</v>
      </c>
      <c r="Z45" s="8">
        <v>81.626599999999996</v>
      </c>
      <c r="AA45" s="8">
        <v>49.550800000000002</v>
      </c>
      <c r="AB45" s="8">
        <v>8.9260000000000002</v>
      </c>
      <c r="AC45" s="8">
        <v>-0.46539999999999998</v>
      </c>
      <c r="AD45" s="8">
        <v>37.095999999999997</v>
      </c>
      <c r="AE45" s="8"/>
      <c r="AF45" s="8">
        <f t="shared" si="13"/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x14ac:dyDescent="0.25">
      <c r="A46" s="8" t="s">
        <v>82</v>
      </c>
      <c r="B46" s="8" t="s">
        <v>40</v>
      </c>
      <c r="C46" s="8">
        <v>-1</v>
      </c>
      <c r="D46" s="8">
        <v>2303</v>
      </c>
      <c r="E46" s="8">
        <v>406</v>
      </c>
      <c r="F46" s="8">
        <v>1652</v>
      </c>
      <c r="G46" s="6">
        <v>0.35</v>
      </c>
      <c r="H46" s="8">
        <v>40</v>
      </c>
      <c r="I46" s="9" t="s">
        <v>46</v>
      </c>
      <c r="J46" s="8"/>
      <c r="K46" s="8">
        <v>575</v>
      </c>
      <c r="L46" s="8">
        <f t="shared" si="14"/>
        <v>-169</v>
      </c>
      <c r="M46" s="8"/>
      <c r="N46" s="8"/>
      <c r="O46" s="8">
        <v>150</v>
      </c>
      <c r="P46" s="8"/>
      <c r="Q46" s="8">
        <f t="shared" si="15"/>
        <v>81.2</v>
      </c>
      <c r="R46" s="4"/>
      <c r="S46" s="8">
        <f t="shared" si="16"/>
        <v>22.192118226600986</v>
      </c>
      <c r="T46" s="8">
        <f t="shared" si="17"/>
        <v>22.192118226600986</v>
      </c>
      <c r="U46" s="8">
        <v>1</v>
      </c>
      <c r="V46" s="8">
        <v>131.6</v>
      </c>
      <c r="W46" s="8">
        <v>245.2</v>
      </c>
      <c r="X46" s="8">
        <v>114.4</v>
      </c>
      <c r="Y46" s="8">
        <v>137.6</v>
      </c>
      <c r="Z46" s="8">
        <v>203.4</v>
      </c>
      <c r="AA46" s="8">
        <v>106.6</v>
      </c>
      <c r="AB46" s="8">
        <v>39.4</v>
      </c>
      <c r="AC46" s="8">
        <v>32</v>
      </c>
      <c r="AD46" s="8">
        <v>167.4</v>
      </c>
      <c r="AE46" s="8"/>
      <c r="AF46" s="8">
        <f t="shared" si="13"/>
        <v>0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x14ac:dyDescent="0.25">
      <c r="A47" s="8" t="s">
        <v>83</v>
      </c>
      <c r="B47" s="8" t="s">
        <v>40</v>
      </c>
      <c r="C47" s="8">
        <v>548</v>
      </c>
      <c r="D47" s="8">
        <v>985</v>
      </c>
      <c r="E47" s="8">
        <v>659</v>
      </c>
      <c r="F47" s="8">
        <v>619</v>
      </c>
      <c r="G47" s="6">
        <v>0.4</v>
      </c>
      <c r="H47" s="8">
        <v>40</v>
      </c>
      <c r="I47" s="8" t="s">
        <v>36</v>
      </c>
      <c r="J47" s="8"/>
      <c r="K47" s="8">
        <v>680</v>
      </c>
      <c r="L47" s="8">
        <f t="shared" si="14"/>
        <v>-21</v>
      </c>
      <c r="M47" s="8"/>
      <c r="N47" s="8"/>
      <c r="O47" s="8">
        <v>208.8628859999998</v>
      </c>
      <c r="P47" s="8">
        <v>182.26611399999979</v>
      </c>
      <c r="Q47" s="8">
        <f t="shared" si="15"/>
        <v>131.80000000000001</v>
      </c>
      <c r="R47" s="4">
        <f t="shared" si="12"/>
        <v>373.77100000000053</v>
      </c>
      <c r="S47" s="8">
        <f t="shared" si="16"/>
        <v>10.5</v>
      </c>
      <c r="T47" s="8">
        <f t="shared" si="17"/>
        <v>7.6641047040971131</v>
      </c>
      <c r="U47" s="8">
        <v>121</v>
      </c>
      <c r="V47" s="8">
        <v>125.6</v>
      </c>
      <c r="W47" s="8">
        <v>139.19999999999999</v>
      </c>
      <c r="X47" s="8">
        <v>135</v>
      </c>
      <c r="Y47" s="8">
        <v>122.6</v>
      </c>
      <c r="Z47" s="8">
        <v>107.2</v>
      </c>
      <c r="AA47" s="8">
        <v>108</v>
      </c>
      <c r="AB47" s="8">
        <v>131.80000000000001</v>
      </c>
      <c r="AC47" s="8">
        <v>146.19999999999999</v>
      </c>
      <c r="AD47" s="8">
        <v>130.19999999999999</v>
      </c>
      <c r="AE47" s="8"/>
      <c r="AF47" s="8">
        <f t="shared" si="13"/>
        <v>149.50840000000022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 x14ac:dyDescent="0.25">
      <c r="A48" s="8" t="s">
        <v>84</v>
      </c>
      <c r="B48" s="8" t="s">
        <v>35</v>
      </c>
      <c r="C48" s="8">
        <v>613.66399999999999</v>
      </c>
      <c r="D48" s="8">
        <v>932.91499999999996</v>
      </c>
      <c r="E48" s="8">
        <v>675.548</v>
      </c>
      <c r="F48" s="8">
        <v>640.18399999999997</v>
      </c>
      <c r="G48" s="6">
        <v>1</v>
      </c>
      <c r="H48" s="8">
        <v>50</v>
      </c>
      <c r="I48" s="8" t="s">
        <v>36</v>
      </c>
      <c r="J48" s="8"/>
      <c r="K48" s="8">
        <v>665.35</v>
      </c>
      <c r="L48" s="8">
        <f t="shared" si="14"/>
        <v>10.197999999999979</v>
      </c>
      <c r="M48" s="8"/>
      <c r="N48" s="8"/>
      <c r="O48" s="8">
        <v>228.44919111600021</v>
      </c>
      <c r="P48" s="8">
        <v>199.35828288400009</v>
      </c>
      <c r="Q48" s="8">
        <f t="shared" si="15"/>
        <v>135.1096</v>
      </c>
      <c r="R48" s="4">
        <f t="shared" si="12"/>
        <v>350.65932599999962</v>
      </c>
      <c r="S48" s="8">
        <f t="shared" si="16"/>
        <v>10.5</v>
      </c>
      <c r="T48" s="8">
        <f t="shared" si="17"/>
        <v>7.9046305665918641</v>
      </c>
      <c r="U48" s="8">
        <v>130.91800000000001</v>
      </c>
      <c r="V48" s="8">
        <v>129.76339999999999</v>
      </c>
      <c r="W48" s="8">
        <v>88.131</v>
      </c>
      <c r="X48" s="8">
        <v>89.808199999999999</v>
      </c>
      <c r="Y48" s="8">
        <v>121.25839999999999</v>
      </c>
      <c r="Z48" s="8">
        <v>100.7212</v>
      </c>
      <c r="AA48" s="8">
        <v>84.682000000000002</v>
      </c>
      <c r="AB48" s="8">
        <v>101.071</v>
      </c>
      <c r="AC48" s="8">
        <v>105.2124</v>
      </c>
      <c r="AD48" s="8">
        <v>95.491600000000005</v>
      </c>
      <c r="AE48" s="8"/>
      <c r="AF48" s="8">
        <f t="shared" si="13"/>
        <v>350.65932599999962</v>
      </c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x14ac:dyDescent="0.25">
      <c r="A49" s="8" t="s">
        <v>85</v>
      </c>
      <c r="B49" s="8" t="s">
        <v>35</v>
      </c>
      <c r="C49" s="8">
        <v>700.92499999999995</v>
      </c>
      <c r="D49" s="8">
        <v>1041.8330000000001</v>
      </c>
      <c r="E49" s="8">
        <v>758.62199999999996</v>
      </c>
      <c r="F49" s="8">
        <v>678.38400000000001</v>
      </c>
      <c r="G49" s="6">
        <v>1</v>
      </c>
      <c r="H49" s="8">
        <v>50</v>
      </c>
      <c r="I49" s="8" t="s">
        <v>36</v>
      </c>
      <c r="J49" s="8"/>
      <c r="K49" s="8">
        <v>761.75</v>
      </c>
      <c r="L49" s="8">
        <f t="shared" si="14"/>
        <v>-3.1280000000000427</v>
      </c>
      <c r="M49" s="8"/>
      <c r="N49" s="8"/>
      <c r="O49" s="8">
        <v>389.82</v>
      </c>
      <c r="P49" s="8">
        <v>340.18</v>
      </c>
      <c r="Q49" s="8">
        <f t="shared" si="15"/>
        <v>151.7244</v>
      </c>
      <c r="R49" s="4">
        <f t="shared" si="12"/>
        <v>184.72219999999993</v>
      </c>
      <c r="S49" s="8">
        <f t="shared" si="16"/>
        <v>10.5</v>
      </c>
      <c r="T49" s="8">
        <f t="shared" si="17"/>
        <v>9.2825148756561244</v>
      </c>
      <c r="U49" s="8">
        <v>148.33439999999999</v>
      </c>
      <c r="V49" s="8">
        <v>143.39179999999999</v>
      </c>
      <c r="W49" s="8">
        <v>149.0598</v>
      </c>
      <c r="X49" s="8">
        <v>155.542</v>
      </c>
      <c r="Y49" s="8">
        <v>149.3494</v>
      </c>
      <c r="Z49" s="8">
        <v>132.19200000000001</v>
      </c>
      <c r="AA49" s="8">
        <v>116.61360000000001</v>
      </c>
      <c r="AB49" s="8">
        <v>124.0046</v>
      </c>
      <c r="AC49" s="8">
        <v>146.42580000000001</v>
      </c>
      <c r="AD49" s="8">
        <v>147.56039999999999</v>
      </c>
      <c r="AE49" s="8"/>
      <c r="AF49" s="8">
        <f t="shared" si="13"/>
        <v>184.72219999999993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 x14ac:dyDescent="0.25">
      <c r="A50" s="8" t="s">
        <v>86</v>
      </c>
      <c r="B50" s="8" t="s">
        <v>35</v>
      </c>
      <c r="C50" s="8">
        <v>22.597000000000001</v>
      </c>
      <c r="D50" s="8">
        <v>60.32</v>
      </c>
      <c r="E50" s="16">
        <f>2.917+E124</f>
        <v>4.3620000000000001</v>
      </c>
      <c r="F50" s="8">
        <v>80</v>
      </c>
      <c r="G50" s="6">
        <v>1</v>
      </c>
      <c r="H50" s="8">
        <v>45</v>
      </c>
      <c r="I50" s="10" t="s">
        <v>87</v>
      </c>
      <c r="J50" s="8"/>
      <c r="K50" s="8">
        <v>2.6</v>
      </c>
      <c r="L50" s="8">
        <f t="shared" si="14"/>
        <v>1.762</v>
      </c>
      <c r="M50" s="8"/>
      <c r="N50" s="8"/>
      <c r="O50" s="8">
        <v>0</v>
      </c>
      <c r="P50" s="8"/>
      <c r="Q50" s="8">
        <f t="shared" si="15"/>
        <v>0.87240000000000006</v>
      </c>
      <c r="R50" s="4"/>
      <c r="S50" s="8">
        <f t="shared" si="16"/>
        <v>91.701054562127453</v>
      </c>
      <c r="T50" s="8">
        <f t="shared" si="17"/>
        <v>91.701054562127453</v>
      </c>
      <c r="U50" s="8">
        <v>2.0499999999999998</v>
      </c>
      <c r="V50" s="8">
        <v>2.3620000000000001</v>
      </c>
      <c r="W50" s="8">
        <v>0.60099999999999998</v>
      </c>
      <c r="X50" s="8">
        <v>0</v>
      </c>
      <c r="Y50" s="8">
        <v>0</v>
      </c>
      <c r="Z50" s="8">
        <v>0</v>
      </c>
      <c r="AA50" s="8">
        <v>0.29899999999999999</v>
      </c>
      <c r="AB50" s="8">
        <v>0.29899999999999999</v>
      </c>
      <c r="AC50" s="8">
        <v>0</v>
      </c>
      <c r="AD50" s="8">
        <v>-0.30520000000000003</v>
      </c>
      <c r="AE50" s="14" t="s">
        <v>182</v>
      </c>
      <c r="AF50" s="8">
        <f t="shared" si="13"/>
        <v>0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x14ac:dyDescent="0.25">
      <c r="A51" s="8" t="s">
        <v>88</v>
      </c>
      <c r="B51" s="8" t="s">
        <v>40</v>
      </c>
      <c r="C51" s="8">
        <v>120</v>
      </c>
      <c r="D51" s="8">
        <v>260</v>
      </c>
      <c r="E51" s="8">
        <v>199</v>
      </c>
      <c r="F51" s="8">
        <v>142</v>
      </c>
      <c r="G51" s="6">
        <v>0.45</v>
      </c>
      <c r="H51" s="8">
        <v>50</v>
      </c>
      <c r="I51" s="8" t="s">
        <v>36</v>
      </c>
      <c r="J51" s="8"/>
      <c r="K51" s="8">
        <v>201</v>
      </c>
      <c r="L51" s="8">
        <f t="shared" si="14"/>
        <v>-2</v>
      </c>
      <c r="M51" s="8"/>
      <c r="N51" s="8"/>
      <c r="O51" s="8">
        <v>180.1</v>
      </c>
      <c r="P51" s="8"/>
      <c r="Q51" s="8">
        <f t="shared" si="15"/>
        <v>39.799999999999997</v>
      </c>
      <c r="R51" s="4">
        <f t="shared" si="12"/>
        <v>95.799999999999983</v>
      </c>
      <c r="S51" s="8">
        <f t="shared" si="16"/>
        <v>10.5</v>
      </c>
      <c r="T51" s="8">
        <f t="shared" si="17"/>
        <v>8.0929648241206049</v>
      </c>
      <c r="U51" s="8">
        <v>33.6</v>
      </c>
      <c r="V51" s="8">
        <v>30.6</v>
      </c>
      <c r="W51" s="8">
        <v>26.4</v>
      </c>
      <c r="X51" s="8">
        <v>21.8</v>
      </c>
      <c r="Y51" s="8">
        <v>23</v>
      </c>
      <c r="Z51" s="8">
        <v>34</v>
      </c>
      <c r="AA51" s="8">
        <v>37</v>
      </c>
      <c r="AB51" s="8">
        <v>29</v>
      </c>
      <c r="AC51" s="8">
        <v>39.200000000000003</v>
      </c>
      <c r="AD51" s="8">
        <v>49.8</v>
      </c>
      <c r="AE51" s="8"/>
      <c r="AF51" s="8">
        <f t="shared" si="13"/>
        <v>43.109999999999992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 x14ac:dyDescent="0.25">
      <c r="A52" s="8" t="s">
        <v>89</v>
      </c>
      <c r="B52" s="8" t="s">
        <v>40</v>
      </c>
      <c r="C52" s="8">
        <v>358</v>
      </c>
      <c r="D52" s="8">
        <v>1518</v>
      </c>
      <c r="E52" s="8">
        <v>543</v>
      </c>
      <c r="F52" s="8">
        <v>660</v>
      </c>
      <c r="G52" s="6">
        <v>0.45</v>
      </c>
      <c r="H52" s="8">
        <v>50</v>
      </c>
      <c r="I52" s="8" t="s">
        <v>36</v>
      </c>
      <c r="J52" s="8"/>
      <c r="K52" s="8">
        <v>635</v>
      </c>
      <c r="L52" s="8">
        <f t="shared" si="14"/>
        <v>-92</v>
      </c>
      <c r="M52" s="8"/>
      <c r="N52" s="8"/>
      <c r="O52" s="8">
        <v>274.36866600000002</v>
      </c>
      <c r="P52" s="8">
        <v>239.43033399999999</v>
      </c>
      <c r="Q52" s="8">
        <f t="shared" si="15"/>
        <v>108.6</v>
      </c>
      <c r="R52" s="4"/>
      <c r="S52" s="8">
        <f t="shared" si="16"/>
        <v>10.808462246777164</v>
      </c>
      <c r="T52" s="8">
        <f t="shared" si="17"/>
        <v>10.808462246777164</v>
      </c>
      <c r="U52" s="8">
        <v>128.6</v>
      </c>
      <c r="V52" s="8">
        <v>116.4</v>
      </c>
      <c r="W52" s="8">
        <v>105</v>
      </c>
      <c r="X52" s="8">
        <v>102.6</v>
      </c>
      <c r="Y52" s="8">
        <v>96</v>
      </c>
      <c r="Z52" s="8">
        <v>100.6</v>
      </c>
      <c r="AA52" s="8">
        <v>99.2</v>
      </c>
      <c r="AB52" s="8">
        <v>100</v>
      </c>
      <c r="AC52" s="8">
        <v>113.4</v>
      </c>
      <c r="AD52" s="8">
        <v>107.6</v>
      </c>
      <c r="AE52" s="8"/>
      <c r="AF52" s="8">
        <f t="shared" si="13"/>
        <v>0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x14ac:dyDescent="0.25">
      <c r="A53" s="8" t="s">
        <v>90</v>
      </c>
      <c r="B53" s="8" t="s">
        <v>40</v>
      </c>
      <c r="C53" s="8">
        <v>66</v>
      </c>
      <c r="D53" s="8">
        <v>34</v>
      </c>
      <c r="E53" s="8">
        <v>51</v>
      </c>
      <c r="F53" s="8">
        <v>24</v>
      </c>
      <c r="G53" s="6">
        <v>0.4</v>
      </c>
      <c r="H53" s="8">
        <v>40</v>
      </c>
      <c r="I53" s="8" t="s">
        <v>36</v>
      </c>
      <c r="J53" s="8"/>
      <c r="K53" s="8">
        <v>59</v>
      </c>
      <c r="L53" s="8">
        <f t="shared" si="14"/>
        <v>-8</v>
      </c>
      <c r="M53" s="8"/>
      <c r="N53" s="8"/>
      <c r="O53" s="8">
        <v>80.2</v>
      </c>
      <c r="P53" s="8"/>
      <c r="Q53" s="8">
        <f t="shared" si="15"/>
        <v>10.199999999999999</v>
      </c>
      <c r="R53" s="4">
        <v>6</v>
      </c>
      <c r="S53" s="8">
        <f t="shared" si="16"/>
        <v>10.803921568627452</v>
      </c>
      <c r="T53" s="8">
        <f t="shared" si="17"/>
        <v>10.215686274509805</v>
      </c>
      <c r="U53" s="8">
        <v>12.2</v>
      </c>
      <c r="V53" s="8">
        <v>7.8</v>
      </c>
      <c r="W53" s="8">
        <v>4.4000000000000004</v>
      </c>
      <c r="X53" s="8">
        <v>7</v>
      </c>
      <c r="Y53" s="8">
        <v>9.6</v>
      </c>
      <c r="Z53" s="8">
        <v>7.8</v>
      </c>
      <c r="AA53" s="8">
        <v>6.2</v>
      </c>
      <c r="AB53" s="8">
        <v>9.1999999999999993</v>
      </c>
      <c r="AC53" s="8">
        <v>9.1999999999999993</v>
      </c>
      <c r="AD53" s="8">
        <v>9.1999999999999993</v>
      </c>
      <c r="AE53" s="8"/>
      <c r="AF53" s="8">
        <f t="shared" si="13"/>
        <v>2.4000000000000004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spans="1:42" x14ac:dyDescent="0.25">
      <c r="A54" s="8" t="s">
        <v>91</v>
      </c>
      <c r="B54" s="8" t="s">
        <v>40</v>
      </c>
      <c r="C54" s="8">
        <v>29</v>
      </c>
      <c r="D54" s="8">
        <v>165</v>
      </c>
      <c r="E54" s="8">
        <v>71</v>
      </c>
      <c r="F54" s="8">
        <v>108</v>
      </c>
      <c r="G54" s="6">
        <v>0.4</v>
      </c>
      <c r="H54" s="8">
        <v>40</v>
      </c>
      <c r="I54" s="8" t="s">
        <v>36</v>
      </c>
      <c r="J54" s="8"/>
      <c r="K54" s="8">
        <v>72</v>
      </c>
      <c r="L54" s="8">
        <f t="shared" si="14"/>
        <v>-1</v>
      </c>
      <c r="M54" s="8"/>
      <c r="N54" s="8"/>
      <c r="O54" s="8">
        <v>98.9</v>
      </c>
      <c r="P54" s="8"/>
      <c r="Q54" s="8">
        <f t="shared" si="15"/>
        <v>14.2</v>
      </c>
      <c r="R54" s="4"/>
      <c r="S54" s="8">
        <f t="shared" si="16"/>
        <v>14.570422535211268</v>
      </c>
      <c r="T54" s="8">
        <f t="shared" si="17"/>
        <v>14.570422535211268</v>
      </c>
      <c r="U54" s="8">
        <v>19.600000000000001</v>
      </c>
      <c r="V54" s="8">
        <v>15</v>
      </c>
      <c r="W54" s="8">
        <v>11.6</v>
      </c>
      <c r="X54" s="8">
        <v>14.4</v>
      </c>
      <c r="Y54" s="8">
        <v>11.2</v>
      </c>
      <c r="Z54" s="8">
        <v>17.600000000000001</v>
      </c>
      <c r="AA54" s="8">
        <v>15.8</v>
      </c>
      <c r="AB54" s="8">
        <v>17.399999999999999</v>
      </c>
      <c r="AC54" s="8">
        <v>22.4</v>
      </c>
      <c r="AD54" s="8">
        <v>14.4</v>
      </c>
      <c r="AE54" s="8"/>
      <c r="AF54" s="8">
        <f t="shared" si="13"/>
        <v>0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x14ac:dyDescent="0.25">
      <c r="A55" s="8" t="s">
        <v>92</v>
      </c>
      <c r="B55" s="8" t="s">
        <v>35</v>
      </c>
      <c r="C55" s="8">
        <v>585.46</v>
      </c>
      <c r="D55" s="8">
        <v>1955.4849999999999</v>
      </c>
      <c r="E55" s="8">
        <v>739.77599999999995</v>
      </c>
      <c r="F55" s="8">
        <v>1532.7840000000001</v>
      </c>
      <c r="G55" s="6">
        <v>1</v>
      </c>
      <c r="H55" s="8">
        <v>50</v>
      </c>
      <c r="I55" s="8" t="s">
        <v>36</v>
      </c>
      <c r="J55" s="8"/>
      <c r="K55" s="8">
        <v>739.45</v>
      </c>
      <c r="L55" s="8">
        <f t="shared" si="14"/>
        <v>0.32599999999990814</v>
      </c>
      <c r="M55" s="8"/>
      <c r="N55" s="8"/>
      <c r="O55" s="8">
        <v>384.48</v>
      </c>
      <c r="P55" s="8">
        <v>335.52</v>
      </c>
      <c r="Q55" s="8">
        <f t="shared" si="15"/>
        <v>147.95519999999999</v>
      </c>
      <c r="R55" s="4"/>
      <c r="S55" s="8">
        <f t="shared" si="16"/>
        <v>15.226122501946536</v>
      </c>
      <c r="T55" s="8">
        <f t="shared" si="17"/>
        <v>15.226122501946536</v>
      </c>
      <c r="U55" s="8">
        <v>168.02539999999999</v>
      </c>
      <c r="V55" s="8">
        <v>193.98859999999999</v>
      </c>
      <c r="W55" s="8">
        <v>169.696</v>
      </c>
      <c r="X55" s="8">
        <v>157.18799999999999</v>
      </c>
      <c r="Y55" s="8">
        <v>152.66800000000001</v>
      </c>
      <c r="Z55" s="8">
        <v>130.7808</v>
      </c>
      <c r="AA55" s="8">
        <v>123.7856</v>
      </c>
      <c r="AB55" s="8">
        <v>130.64519999999999</v>
      </c>
      <c r="AC55" s="8">
        <v>141.1628</v>
      </c>
      <c r="AD55" s="8">
        <v>146.07660000000001</v>
      </c>
      <c r="AE55" s="8"/>
      <c r="AF55" s="8">
        <f t="shared" si="13"/>
        <v>0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spans="1:42" x14ac:dyDescent="0.25">
      <c r="A56" s="8" t="s">
        <v>93</v>
      </c>
      <c r="B56" s="8" t="s">
        <v>40</v>
      </c>
      <c r="C56" s="8">
        <v>310</v>
      </c>
      <c r="D56" s="8">
        <v>688</v>
      </c>
      <c r="E56" s="16">
        <f>175+E130</f>
        <v>236</v>
      </c>
      <c r="F56" s="16">
        <f>552+F130</f>
        <v>595</v>
      </c>
      <c r="G56" s="6">
        <v>0.1</v>
      </c>
      <c r="H56" s="8">
        <v>731</v>
      </c>
      <c r="I56" s="8" t="s">
        <v>36</v>
      </c>
      <c r="J56" s="8"/>
      <c r="K56" s="8">
        <v>177</v>
      </c>
      <c r="L56" s="8">
        <f t="shared" si="14"/>
        <v>59</v>
      </c>
      <c r="M56" s="8"/>
      <c r="N56" s="8"/>
      <c r="O56" s="8">
        <v>77.599999999999909</v>
      </c>
      <c r="P56" s="8"/>
      <c r="Q56" s="8">
        <f t="shared" si="15"/>
        <v>47.2</v>
      </c>
      <c r="R56" s="4"/>
      <c r="S56" s="8">
        <f t="shared" si="16"/>
        <v>14.249999999999996</v>
      </c>
      <c r="T56" s="8">
        <f t="shared" si="17"/>
        <v>14.249999999999996</v>
      </c>
      <c r="U56" s="8">
        <v>66.400000000000006</v>
      </c>
      <c r="V56" s="8">
        <v>80</v>
      </c>
      <c r="W56" s="8">
        <v>78</v>
      </c>
      <c r="X56" s="8">
        <v>74.8</v>
      </c>
      <c r="Y56" s="8">
        <v>78</v>
      </c>
      <c r="Z56" s="8">
        <v>65.2</v>
      </c>
      <c r="AA56" s="8">
        <v>67.8</v>
      </c>
      <c r="AB56" s="8">
        <v>70.8</v>
      </c>
      <c r="AC56" s="8">
        <v>73.599999999999994</v>
      </c>
      <c r="AD56" s="8">
        <v>77.2</v>
      </c>
      <c r="AE56" s="8"/>
      <c r="AF56" s="8">
        <f t="shared" si="13"/>
        <v>0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spans="1:42" x14ac:dyDescent="0.25">
      <c r="A57" s="8" t="s">
        <v>94</v>
      </c>
      <c r="B57" s="8" t="s">
        <v>35</v>
      </c>
      <c r="C57" s="8">
        <v>850.88599999999997</v>
      </c>
      <c r="D57" s="8">
        <v>1777.7550000000001</v>
      </c>
      <c r="E57" s="8">
        <v>1093.2190000000001</v>
      </c>
      <c r="F57" s="8">
        <v>1121.2070000000001</v>
      </c>
      <c r="G57" s="6">
        <v>1</v>
      </c>
      <c r="H57" s="8">
        <v>50</v>
      </c>
      <c r="I57" s="8" t="s">
        <v>36</v>
      </c>
      <c r="J57" s="8"/>
      <c r="K57" s="8">
        <v>1072</v>
      </c>
      <c r="L57" s="8">
        <f t="shared" si="14"/>
        <v>21.219000000000051</v>
      </c>
      <c r="M57" s="8"/>
      <c r="N57" s="8"/>
      <c r="O57" s="8">
        <v>507.3</v>
      </c>
      <c r="P57" s="8">
        <v>442.7</v>
      </c>
      <c r="Q57" s="8">
        <f t="shared" si="15"/>
        <v>218.6438</v>
      </c>
      <c r="R57" s="4">
        <f t="shared" si="12"/>
        <v>224.55289999999991</v>
      </c>
      <c r="S57" s="8">
        <f t="shared" si="16"/>
        <v>10.5</v>
      </c>
      <c r="T57" s="8">
        <f t="shared" si="17"/>
        <v>9.4729738506191339</v>
      </c>
      <c r="U57" s="8">
        <v>220.84739999999999</v>
      </c>
      <c r="V57" s="8">
        <v>220.42019999999999</v>
      </c>
      <c r="W57" s="8">
        <v>215.4616</v>
      </c>
      <c r="X57" s="8">
        <v>209.17959999999999</v>
      </c>
      <c r="Y57" s="8">
        <v>204.97620000000001</v>
      </c>
      <c r="Z57" s="8">
        <v>199.73179999999999</v>
      </c>
      <c r="AA57" s="8">
        <v>182.82060000000001</v>
      </c>
      <c r="AB57" s="8">
        <v>186.57300000000001</v>
      </c>
      <c r="AC57" s="8">
        <v>194.43940000000001</v>
      </c>
      <c r="AD57" s="8">
        <v>195.25960000000001</v>
      </c>
      <c r="AE57" s="8"/>
      <c r="AF57" s="8">
        <f t="shared" si="13"/>
        <v>224.55289999999991</v>
      </c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spans="1:42" x14ac:dyDescent="0.25">
      <c r="A58" s="8" t="s">
        <v>95</v>
      </c>
      <c r="B58" s="8" t="s">
        <v>35</v>
      </c>
      <c r="C58" s="8">
        <v>127.54300000000001</v>
      </c>
      <c r="D58" s="8">
        <v>76.650000000000006</v>
      </c>
      <c r="E58" s="8">
        <v>55.273000000000003</v>
      </c>
      <c r="F58" s="8">
        <v>110.922</v>
      </c>
      <c r="G58" s="6">
        <v>1</v>
      </c>
      <c r="H58" s="8">
        <v>55</v>
      </c>
      <c r="I58" s="8" t="s">
        <v>36</v>
      </c>
      <c r="J58" s="8"/>
      <c r="K58" s="8">
        <v>53.5</v>
      </c>
      <c r="L58" s="8">
        <f t="shared" si="14"/>
        <v>1.7730000000000032</v>
      </c>
      <c r="M58" s="8"/>
      <c r="N58" s="8"/>
      <c r="O58" s="8">
        <v>25.451740000000001</v>
      </c>
      <c r="P58" s="8"/>
      <c r="Q58" s="8">
        <f t="shared" si="15"/>
        <v>11.054600000000001</v>
      </c>
      <c r="R58" s="4"/>
      <c r="S58" s="8">
        <f t="shared" si="16"/>
        <v>12.336379425759411</v>
      </c>
      <c r="T58" s="8">
        <f t="shared" si="17"/>
        <v>12.336379425759411</v>
      </c>
      <c r="U58" s="8">
        <v>15.3728</v>
      </c>
      <c r="V58" s="8">
        <v>16.610199999999999</v>
      </c>
      <c r="W58" s="8">
        <v>17.662600000000001</v>
      </c>
      <c r="X58" s="8">
        <v>17.589200000000002</v>
      </c>
      <c r="Y58" s="8">
        <v>20.5428</v>
      </c>
      <c r="Z58" s="8">
        <v>19.153199999999998</v>
      </c>
      <c r="AA58" s="8">
        <v>13.6248</v>
      </c>
      <c r="AB58" s="8">
        <v>14.4322</v>
      </c>
      <c r="AC58" s="8">
        <v>14.9146</v>
      </c>
      <c r="AD58" s="8">
        <v>20.043399999999998</v>
      </c>
      <c r="AE58" s="8"/>
      <c r="AF58" s="8">
        <f t="shared" si="13"/>
        <v>0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spans="1:42" x14ac:dyDescent="0.25">
      <c r="A59" s="8" t="s">
        <v>96</v>
      </c>
      <c r="B59" s="8" t="s">
        <v>40</v>
      </c>
      <c r="C59" s="8">
        <v>319</v>
      </c>
      <c r="D59" s="8">
        <v>180</v>
      </c>
      <c r="E59" s="8">
        <v>173</v>
      </c>
      <c r="F59" s="8">
        <v>308</v>
      </c>
      <c r="G59" s="6">
        <v>0.1</v>
      </c>
      <c r="H59" s="8">
        <v>731</v>
      </c>
      <c r="I59" s="8" t="s">
        <v>36</v>
      </c>
      <c r="J59" s="8"/>
      <c r="K59" s="8">
        <v>173</v>
      </c>
      <c r="L59" s="8">
        <f t="shared" si="14"/>
        <v>0</v>
      </c>
      <c r="M59" s="8"/>
      <c r="N59" s="8"/>
      <c r="O59" s="8">
        <v>152.80000000000001</v>
      </c>
      <c r="P59" s="8"/>
      <c r="Q59" s="8">
        <f t="shared" si="15"/>
        <v>34.6</v>
      </c>
      <c r="R59" s="4"/>
      <c r="S59" s="8">
        <f t="shared" si="16"/>
        <v>13.317919075144509</v>
      </c>
      <c r="T59" s="8">
        <f t="shared" si="17"/>
        <v>13.317919075144509</v>
      </c>
      <c r="U59" s="8">
        <v>41.8</v>
      </c>
      <c r="V59" s="8">
        <v>41.8</v>
      </c>
      <c r="W59" s="8">
        <v>37.4</v>
      </c>
      <c r="X59" s="8">
        <v>37.200000000000003</v>
      </c>
      <c r="Y59" s="8">
        <v>48</v>
      </c>
      <c r="Z59" s="8">
        <v>49.4</v>
      </c>
      <c r="AA59" s="8">
        <v>40.200000000000003</v>
      </c>
      <c r="AB59" s="8">
        <v>36.6</v>
      </c>
      <c r="AC59" s="8">
        <v>38</v>
      </c>
      <c r="AD59" s="8">
        <v>36.6</v>
      </c>
      <c r="AE59" s="8"/>
      <c r="AF59" s="8">
        <f t="shared" si="13"/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spans="1:42" x14ac:dyDescent="0.25">
      <c r="A60" s="8" t="s">
        <v>97</v>
      </c>
      <c r="B60" s="8" t="s">
        <v>40</v>
      </c>
      <c r="C60" s="8">
        <v>124</v>
      </c>
      <c r="D60" s="8">
        <v>1082</v>
      </c>
      <c r="E60" s="8">
        <v>191</v>
      </c>
      <c r="F60" s="8">
        <v>570</v>
      </c>
      <c r="G60" s="6">
        <v>0.4</v>
      </c>
      <c r="H60" s="8">
        <v>50</v>
      </c>
      <c r="I60" s="10" t="s">
        <v>87</v>
      </c>
      <c r="J60" s="8"/>
      <c r="K60" s="8">
        <v>392</v>
      </c>
      <c r="L60" s="8">
        <f t="shared" si="14"/>
        <v>-201</v>
      </c>
      <c r="M60" s="8"/>
      <c r="N60" s="8"/>
      <c r="O60" s="8">
        <v>162.49199999999979</v>
      </c>
      <c r="P60" s="8"/>
      <c r="Q60" s="8">
        <f t="shared" si="15"/>
        <v>38.200000000000003</v>
      </c>
      <c r="R60" s="4"/>
      <c r="S60" s="8">
        <f t="shared" si="16"/>
        <v>19.175183246073289</v>
      </c>
      <c r="T60" s="8">
        <f t="shared" si="17"/>
        <v>19.175183246073289</v>
      </c>
      <c r="U60" s="8">
        <v>81.8</v>
      </c>
      <c r="V60" s="8">
        <v>87.2</v>
      </c>
      <c r="W60" s="8">
        <v>47.4</v>
      </c>
      <c r="X60" s="8">
        <v>32</v>
      </c>
      <c r="Y60" s="8">
        <v>18.2</v>
      </c>
      <c r="Z60" s="8">
        <v>25.8</v>
      </c>
      <c r="AA60" s="8">
        <v>47</v>
      </c>
      <c r="AB60" s="8">
        <v>52.6</v>
      </c>
      <c r="AC60" s="8">
        <v>40</v>
      </c>
      <c r="AD60" s="8">
        <v>40.6</v>
      </c>
      <c r="AE60" s="8" t="s">
        <v>98</v>
      </c>
      <c r="AF60" s="8">
        <f t="shared" si="13"/>
        <v>0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spans="1:42" x14ac:dyDescent="0.25">
      <c r="A61" s="8" t="s">
        <v>99</v>
      </c>
      <c r="B61" s="8" t="s">
        <v>35</v>
      </c>
      <c r="C61" s="8">
        <v>521.63300000000004</v>
      </c>
      <c r="D61" s="8">
        <v>410.9</v>
      </c>
      <c r="E61" s="8">
        <v>576.07299999999998</v>
      </c>
      <c r="F61" s="8">
        <v>104.565</v>
      </c>
      <c r="G61" s="6">
        <v>1</v>
      </c>
      <c r="H61" s="8">
        <v>40</v>
      </c>
      <c r="I61" s="8" t="s">
        <v>36</v>
      </c>
      <c r="J61" s="8"/>
      <c r="K61" s="8">
        <v>578.25</v>
      </c>
      <c r="L61" s="8">
        <f t="shared" si="14"/>
        <v>-2.1770000000000209</v>
      </c>
      <c r="M61" s="8"/>
      <c r="N61" s="8"/>
      <c r="O61" s="8">
        <v>271.08044885999999</v>
      </c>
      <c r="P61" s="8">
        <v>236.56084114000001</v>
      </c>
      <c r="Q61" s="8">
        <f t="shared" si="15"/>
        <v>115.21459999999999</v>
      </c>
      <c r="R61" s="4">
        <f>10*Q61-P61-O61-F61</f>
        <v>539.93970999999988</v>
      </c>
      <c r="S61" s="8">
        <f t="shared" si="16"/>
        <v>9.9999999999999982</v>
      </c>
      <c r="T61" s="8">
        <f t="shared" si="17"/>
        <v>5.3136172846149705</v>
      </c>
      <c r="U61" s="8">
        <v>91.225200000000001</v>
      </c>
      <c r="V61" s="8">
        <v>67.546599999999998</v>
      </c>
      <c r="W61" s="8">
        <v>73.622399999999999</v>
      </c>
      <c r="X61" s="8">
        <v>79.154600000000002</v>
      </c>
      <c r="Y61" s="8">
        <v>84.038600000000002</v>
      </c>
      <c r="Z61" s="8">
        <v>84.491</v>
      </c>
      <c r="AA61" s="8">
        <v>92.173400000000001</v>
      </c>
      <c r="AB61" s="8">
        <v>104.8788</v>
      </c>
      <c r="AC61" s="8">
        <v>105.1588</v>
      </c>
      <c r="AD61" s="8">
        <v>95.004600000000011</v>
      </c>
      <c r="AE61" s="8"/>
      <c r="AF61" s="8">
        <f t="shared" si="13"/>
        <v>539.93970999999988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spans="1:42" x14ac:dyDescent="0.25">
      <c r="A62" s="8" t="s">
        <v>100</v>
      </c>
      <c r="B62" s="8" t="s">
        <v>35</v>
      </c>
      <c r="C62" s="8">
        <v>140.79900000000001</v>
      </c>
      <c r="D62" s="8">
        <v>1003.134</v>
      </c>
      <c r="E62" s="8">
        <v>237.42099999999999</v>
      </c>
      <c r="F62" s="8">
        <v>752.80399999999997</v>
      </c>
      <c r="G62" s="6">
        <v>1</v>
      </c>
      <c r="H62" s="8">
        <v>40</v>
      </c>
      <c r="I62" s="8" t="s">
        <v>36</v>
      </c>
      <c r="J62" s="8"/>
      <c r="K62" s="8">
        <v>268.2</v>
      </c>
      <c r="L62" s="8">
        <f t="shared" si="14"/>
        <v>-30.778999999999996</v>
      </c>
      <c r="M62" s="8"/>
      <c r="N62" s="8"/>
      <c r="O62" s="8">
        <v>170.88</v>
      </c>
      <c r="P62" s="8">
        <v>149.12</v>
      </c>
      <c r="Q62" s="8">
        <f t="shared" si="15"/>
        <v>47.484200000000001</v>
      </c>
      <c r="R62" s="4"/>
      <c r="S62" s="8">
        <f t="shared" si="16"/>
        <v>22.592862467936705</v>
      </c>
      <c r="T62" s="8">
        <f t="shared" si="17"/>
        <v>22.592862467936705</v>
      </c>
      <c r="U62" s="8">
        <v>80.752800000000008</v>
      </c>
      <c r="V62" s="8">
        <v>90.680199999999999</v>
      </c>
      <c r="W62" s="8">
        <v>74.665199999999999</v>
      </c>
      <c r="X62" s="8">
        <v>66.578000000000003</v>
      </c>
      <c r="Y62" s="8">
        <v>61.303600000000003</v>
      </c>
      <c r="Z62" s="8">
        <v>86.032200000000003</v>
      </c>
      <c r="AA62" s="8">
        <v>60.540200000000013</v>
      </c>
      <c r="AB62" s="8">
        <v>16.110199999999999</v>
      </c>
      <c r="AC62" s="8">
        <v>63.010399999999997</v>
      </c>
      <c r="AD62" s="8">
        <v>100.036</v>
      </c>
      <c r="AE62" s="8"/>
      <c r="AF62" s="8">
        <f t="shared" si="13"/>
        <v>0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spans="1:42" x14ac:dyDescent="0.25">
      <c r="A63" s="8" t="s">
        <v>101</v>
      </c>
      <c r="B63" s="8" t="s">
        <v>40</v>
      </c>
      <c r="C63" s="8">
        <v>788</v>
      </c>
      <c r="D63" s="8">
        <v>1231</v>
      </c>
      <c r="E63" s="8">
        <v>991</v>
      </c>
      <c r="F63" s="8">
        <v>702</v>
      </c>
      <c r="G63" s="6">
        <v>0.4</v>
      </c>
      <c r="H63" s="8">
        <v>40</v>
      </c>
      <c r="I63" s="8" t="s">
        <v>36</v>
      </c>
      <c r="J63" s="8"/>
      <c r="K63" s="8">
        <v>1012</v>
      </c>
      <c r="L63" s="8">
        <f t="shared" si="14"/>
        <v>-21</v>
      </c>
      <c r="M63" s="8"/>
      <c r="N63" s="8"/>
      <c r="O63" s="8">
        <v>397.68635399999988</v>
      </c>
      <c r="P63" s="8">
        <v>347.04464599999989</v>
      </c>
      <c r="Q63" s="8">
        <f t="shared" si="15"/>
        <v>198.2</v>
      </c>
      <c r="R63" s="4">
        <f t="shared" si="12"/>
        <v>634.36900000000014</v>
      </c>
      <c r="S63" s="8">
        <f t="shared" si="16"/>
        <v>10.5</v>
      </c>
      <c r="T63" s="8">
        <f t="shared" si="17"/>
        <v>7.2993491422805237</v>
      </c>
      <c r="U63" s="8">
        <v>182.2</v>
      </c>
      <c r="V63" s="8">
        <v>175.6</v>
      </c>
      <c r="W63" s="8">
        <v>170.8</v>
      </c>
      <c r="X63" s="8">
        <v>173.4</v>
      </c>
      <c r="Y63" s="8">
        <v>175.2</v>
      </c>
      <c r="Z63" s="8">
        <v>177.8</v>
      </c>
      <c r="AA63" s="8">
        <v>184.4</v>
      </c>
      <c r="AB63" s="8">
        <v>182.6</v>
      </c>
      <c r="AC63" s="8">
        <v>193.4</v>
      </c>
      <c r="AD63" s="8">
        <v>188.4</v>
      </c>
      <c r="AE63" s="8"/>
      <c r="AF63" s="8">
        <f t="shared" si="13"/>
        <v>253.74760000000006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spans="1:42" x14ac:dyDescent="0.25">
      <c r="A64" s="8" t="s">
        <v>102</v>
      </c>
      <c r="B64" s="8" t="s">
        <v>40</v>
      </c>
      <c r="C64" s="8">
        <v>454</v>
      </c>
      <c r="D64" s="8">
        <v>1097</v>
      </c>
      <c r="E64" s="8">
        <v>601</v>
      </c>
      <c r="F64" s="8">
        <v>687</v>
      </c>
      <c r="G64" s="6">
        <v>0.4</v>
      </c>
      <c r="H64" s="8">
        <v>40</v>
      </c>
      <c r="I64" s="8" t="s">
        <v>36</v>
      </c>
      <c r="J64" s="8"/>
      <c r="K64" s="8">
        <v>663</v>
      </c>
      <c r="L64" s="8">
        <f t="shared" si="14"/>
        <v>-62</v>
      </c>
      <c r="M64" s="8"/>
      <c r="N64" s="8"/>
      <c r="O64" s="8">
        <v>215.5683240000001</v>
      </c>
      <c r="P64" s="8">
        <v>188.1176760000001</v>
      </c>
      <c r="Q64" s="8">
        <f t="shared" si="15"/>
        <v>120.2</v>
      </c>
      <c r="R64" s="4">
        <f t="shared" si="12"/>
        <v>171.41399999999999</v>
      </c>
      <c r="S64" s="8">
        <f t="shared" si="16"/>
        <v>10.5</v>
      </c>
      <c r="T64" s="8">
        <f t="shared" si="17"/>
        <v>9.0739267886855259</v>
      </c>
      <c r="U64" s="8">
        <v>130</v>
      </c>
      <c r="V64" s="8">
        <v>132.6</v>
      </c>
      <c r="W64" s="8">
        <v>111.2</v>
      </c>
      <c r="X64" s="8">
        <v>104.4</v>
      </c>
      <c r="Y64" s="8">
        <v>114.8</v>
      </c>
      <c r="Z64" s="8">
        <v>116.8</v>
      </c>
      <c r="AA64" s="8">
        <v>127.4</v>
      </c>
      <c r="AB64" s="8">
        <v>128.6</v>
      </c>
      <c r="AC64" s="8">
        <v>101.8</v>
      </c>
      <c r="AD64" s="8">
        <v>61.8</v>
      </c>
      <c r="AE64" s="8"/>
      <c r="AF64" s="8">
        <f t="shared" si="13"/>
        <v>68.565600000000003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spans="1:42" x14ac:dyDescent="0.25">
      <c r="A65" s="8" t="s">
        <v>103</v>
      </c>
      <c r="B65" s="8" t="s">
        <v>35</v>
      </c>
      <c r="C65" s="8">
        <v>112.333</v>
      </c>
      <c r="D65" s="8">
        <v>1076.192</v>
      </c>
      <c r="E65" s="8">
        <v>214.68299999999999</v>
      </c>
      <c r="F65" s="8">
        <v>893.76800000000003</v>
      </c>
      <c r="G65" s="6">
        <v>1</v>
      </c>
      <c r="H65" s="8">
        <v>40</v>
      </c>
      <c r="I65" s="8" t="s">
        <v>36</v>
      </c>
      <c r="J65" s="8"/>
      <c r="K65" s="8">
        <v>321.125</v>
      </c>
      <c r="L65" s="8">
        <f t="shared" si="14"/>
        <v>-106.44200000000001</v>
      </c>
      <c r="M65" s="8"/>
      <c r="N65" s="8"/>
      <c r="O65" s="8">
        <v>170.88</v>
      </c>
      <c r="P65" s="8">
        <v>149.12</v>
      </c>
      <c r="Q65" s="8">
        <f t="shared" si="15"/>
        <v>42.936599999999999</v>
      </c>
      <c r="R65" s="4"/>
      <c r="S65" s="8">
        <f t="shared" si="16"/>
        <v>28.268842898599331</v>
      </c>
      <c r="T65" s="8">
        <f t="shared" si="17"/>
        <v>28.268842898599331</v>
      </c>
      <c r="U65" s="8">
        <v>82.842799999999997</v>
      </c>
      <c r="V65" s="8">
        <v>109.9434</v>
      </c>
      <c r="W65" s="8">
        <v>96.201599999999999</v>
      </c>
      <c r="X65" s="8">
        <v>48.907400000000003</v>
      </c>
      <c r="Y65" s="8">
        <v>15.131</v>
      </c>
      <c r="Z65" s="8">
        <v>61.583000000000013</v>
      </c>
      <c r="AA65" s="8">
        <v>96.852400000000003</v>
      </c>
      <c r="AB65" s="8">
        <v>77.294000000000011</v>
      </c>
      <c r="AC65" s="8">
        <v>25.259599999999999</v>
      </c>
      <c r="AD65" s="8">
        <v>18.2072</v>
      </c>
      <c r="AE65" s="8"/>
      <c r="AF65" s="8">
        <f t="shared" si="13"/>
        <v>0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spans="1:42" x14ac:dyDescent="0.25">
      <c r="A66" s="8" t="s">
        <v>104</v>
      </c>
      <c r="B66" s="8" t="s">
        <v>35</v>
      </c>
      <c r="C66" s="8">
        <v>132.31800000000001</v>
      </c>
      <c r="D66" s="8">
        <v>480.21600000000001</v>
      </c>
      <c r="E66" s="8">
        <v>240.80199999999999</v>
      </c>
      <c r="F66" s="8">
        <v>320.21699999999998</v>
      </c>
      <c r="G66" s="6">
        <v>1</v>
      </c>
      <c r="H66" s="8">
        <v>40</v>
      </c>
      <c r="I66" s="8" t="s">
        <v>36</v>
      </c>
      <c r="J66" s="8"/>
      <c r="K66" s="8">
        <v>256.52499999999998</v>
      </c>
      <c r="L66" s="8">
        <f t="shared" si="14"/>
        <v>-15.722999999999985</v>
      </c>
      <c r="M66" s="8"/>
      <c r="N66" s="8"/>
      <c r="O66" s="8">
        <v>117.48</v>
      </c>
      <c r="P66" s="8">
        <v>102.52</v>
      </c>
      <c r="Q66" s="8">
        <f t="shared" si="15"/>
        <v>48.160399999999996</v>
      </c>
      <c r="R66" s="4"/>
      <c r="S66" s="8">
        <f t="shared" si="16"/>
        <v>11.217037233910018</v>
      </c>
      <c r="T66" s="8">
        <f t="shared" si="17"/>
        <v>11.217037233910018</v>
      </c>
      <c r="U66" s="8">
        <v>42.526799999999987</v>
      </c>
      <c r="V66" s="8">
        <v>21.747199999999999</v>
      </c>
      <c r="W66" s="8">
        <v>16.946200000000001</v>
      </c>
      <c r="X66" s="8">
        <v>42.628</v>
      </c>
      <c r="Y66" s="8">
        <v>29.645199999999999</v>
      </c>
      <c r="Z66" s="8">
        <v>0</v>
      </c>
      <c r="AA66" s="8">
        <v>2.3567999999999998</v>
      </c>
      <c r="AB66" s="8">
        <v>20.276199999999999</v>
      </c>
      <c r="AC66" s="8">
        <v>17.383400000000002</v>
      </c>
      <c r="AD66" s="8">
        <v>-0.53600000000000003</v>
      </c>
      <c r="AE66" s="8"/>
      <c r="AF66" s="8">
        <f t="shared" si="13"/>
        <v>0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 x14ac:dyDescent="0.25">
      <c r="A67" s="8" t="s">
        <v>105</v>
      </c>
      <c r="B67" s="8" t="s">
        <v>35</v>
      </c>
      <c r="C67" s="8">
        <v>-7.4999999999999997E-2</v>
      </c>
      <c r="D67" s="8">
        <v>947.00400000000002</v>
      </c>
      <c r="E67" s="8">
        <v>263.64999999999998</v>
      </c>
      <c r="F67" s="8">
        <v>489.64699999999999</v>
      </c>
      <c r="G67" s="6">
        <v>1</v>
      </c>
      <c r="H67" s="8">
        <v>40</v>
      </c>
      <c r="I67" s="8" t="s">
        <v>36</v>
      </c>
      <c r="J67" s="8"/>
      <c r="K67" s="8">
        <v>256.85000000000002</v>
      </c>
      <c r="L67" s="8">
        <f t="shared" si="14"/>
        <v>6.7999999999999545</v>
      </c>
      <c r="M67" s="8"/>
      <c r="N67" s="8"/>
      <c r="O67" s="8">
        <v>176.22</v>
      </c>
      <c r="P67" s="8">
        <v>153.78</v>
      </c>
      <c r="Q67" s="8">
        <f t="shared" si="15"/>
        <v>52.73</v>
      </c>
      <c r="R67" s="4"/>
      <c r="S67" s="8">
        <f t="shared" si="16"/>
        <v>15.544225298691448</v>
      </c>
      <c r="T67" s="8">
        <f t="shared" si="17"/>
        <v>15.544225298691448</v>
      </c>
      <c r="U67" s="8">
        <v>-0.1804</v>
      </c>
      <c r="V67" s="8">
        <v>7.2888000000000002</v>
      </c>
      <c r="W67" s="8">
        <v>51.259599999999999</v>
      </c>
      <c r="X67" s="8">
        <v>43.880800000000001</v>
      </c>
      <c r="Y67" s="8">
        <v>-0.09</v>
      </c>
      <c r="Z67" s="8">
        <v>-0.09</v>
      </c>
      <c r="AA67" s="8">
        <v>-0.1812</v>
      </c>
      <c r="AB67" s="8">
        <v>-0.36499999999999999</v>
      </c>
      <c r="AC67" s="8">
        <v>59.523000000000003</v>
      </c>
      <c r="AD67" s="8">
        <v>61.708000000000013</v>
      </c>
      <c r="AE67" s="8"/>
      <c r="AF67" s="8">
        <f t="shared" si="13"/>
        <v>0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 x14ac:dyDescent="0.25">
      <c r="A68" s="8" t="s">
        <v>106</v>
      </c>
      <c r="B68" s="8" t="s">
        <v>35</v>
      </c>
      <c r="C68" s="8">
        <v>16.193000000000001</v>
      </c>
      <c r="D68" s="8">
        <v>295.38499999999999</v>
      </c>
      <c r="E68" s="8">
        <v>76.322999999999993</v>
      </c>
      <c r="F68" s="8">
        <v>194.62100000000001</v>
      </c>
      <c r="G68" s="6">
        <v>1</v>
      </c>
      <c r="H68" s="8">
        <v>40</v>
      </c>
      <c r="I68" s="8" t="s">
        <v>36</v>
      </c>
      <c r="J68" s="8"/>
      <c r="K68" s="8">
        <v>104</v>
      </c>
      <c r="L68" s="8">
        <f t="shared" si="14"/>
        <v>-27.677000000000007</v>
      </c>
      <c r="M68" s="8"/>
      <c r="N68" s="8"/>
      <c r="O68" s="8">
        <v>0</v>
      </c>
      <c r="P68" s="8"/>
      <c r="Q68" s="8">
        <f t="shared" si="15"/>
        <v>15.264599999999998</v>
      </c>
      <c r="R68" s="4"/>
      <c r="S68" s="8">
        <f t="shared" si="16"/>
        <v>12.74982639571296</v>
      </c>
      <c r="T68" s="8">
        <f t="shared" si="17"/>
        <v>12.74982639571296</v>
      </c>
      <c r="U68" s="8">
        <v>5.6692</v>
      </c>
      <c r="V68" s="8">
        <v>13.414400000000001</v>
      </c>
      <c r="W68" s="8">
        <v>18.822199999999999</v>
      </c>
      <c r="X68" s="8">
        <v>8.4867999999999988</v>
      </c>
      <c r="Y68" s="8">
        <v>10.5602</v>
      </c>
      <c r="Z68" s="8">
        <v>10.377800000000001</v>
      </c>
      <c r="AA68" s="8">
        <v>-0.18240000000000001</v>
      </c>
      <c r="AB68" s="8">
        <v>-0.54620000000000002</v>
      </c>
      <c r="AC68" s="8">
        <v>-0.90079999999999993</v>
      </c>
      <c r="AD68" s="8">
        <v>-0.53520000000000001</v>
      </c>
      <c r="AE68" s="8"/>
      <c r="AF68" s="8">
        <f t="shared" si="13"/>
        <v>0</v>
      </c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 x14ac:dyDescent="0.25">
      <c r="A69" s="11" t="s">
        <v>107</v>
      </c>
      <c r="B69" s="11" t="s">
        <v>40</v>
      </c>
      <c r="C69" s="11">
        <v>2</v>
      </c>
      <c r="D69" s="11">
        <v>48</v>
      </c>
      <c r="E69" s="11"/>
      <c r="F69" s="11">
        <v>48</v>
      </c>
      <c r="G69" s="12">
        <v>0</v>
      </c>
      <c r="H69" s="11">
        <v>70</v>
      </c>
      <c r="I69" s="11" t="s">
        <v>108</v>
      </c>
      <c r="J69" s="11"/>
      <c r="K69" s="11">
        <v>16</v>
      </c>
      <c r="L69" s="11">
        <f t="shared" si="14"/>
        <v>-16</v>
      </c>
      <c r="M69" s="11"/>
      <c r="N69" s="11"/>
      <c r="O69" s="11">
        <v>0</v>
      </c>
      <c r="P69" s="11"/>
      <c r="Q69" s="11">
        <f t="shared" si="15"/>
        <v>0</v>
      </c>
      <c r="R69" s="13"/>
      <c r="S69" s="11" t="e">
        <f t="shared" si="16"/>
        <v>#DIV/0!</v>
      </c>
      <c r="T69" s="11" t="e">
        <f t="shared" si="17"/>
        <v>#DIV/0!</v>
      </c>
      <c r="U69" s="11">
        <v>1.2</v>
      </c>
      <c r="V69" s="11">
        <v>3.6</v>
      </c>
      <c r="W69" s="11">
        <v>3.2</v>
      </c>
      <c r="X69" s="11">
        <v>1.6</v>
      </c>
      <c r="Y69" s="11">
        <v>1.4</v>
      </c>
      <c r="Z69" s="11">
        <v>1.8</v>
      </c>
      <c r="AA69" s="11">
        <v>1.4</v>
      </c>
      <c r="AB69" s="11">
        <v>1.2</v>
      </c>
      <c r="AC69" s="11">
        <v>1.6</v>
      </c>
      <c r="AD69" s="11">
        <v>0.6</v>
      </c>
      <c r="AE69" s="15" t="s">
        <v>109</v>
      </c>
      <c r="AF69" s="11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1:42" x14ac:dyDescent="0.25">
      <c r="A70" s="8" t="s">
        <v>110</v>
      </c>
      <c r="B70" s="8" t="s">
        <v>35</v>
      </c>
      <c r="C70" s="8">
        <v>97.534000000000006</v>
      </c>
      <c r="D70" s="8">
        <v>131.90899999999999</v>
      </c>
      <c r="E70" s="8">
        <v>76.195999999999998</v>
      </c>
      <c r="F70" s="8">
        <v>91.63</v>
      </c>
      <c r="G70" s="6">
        <v>1</v>
      </c>
      <c r="H70" s="8">
        <v>30</v>
      </c>
      <c r="I70" s="9" t="s">
        <v>46</v>
      </c>
      <c r="J70" s="8"/>
      <c r="K70" s="8">
        <v>117.55</v>
      </c>
      <c r="L70" s="8">
        <f t="shared" ref="L70:L101" si="18">E70-K70</f>
        <v>-41.353999999999999</v>
      </c>
      <c r="M70" s="8"/>
      <c r="N70" s="8"/>
      <c r="O70" s="8">
        <v>168.81190000000001</v>
      </c>
      <c r="P70" s="8"/>
      <c r="Q70" s="8">
        <f t="shared" ref="Q70:Q101" si="19">E70/5</f>
        <v>15.2392</v>
      </c>
      <c r="R70" s="4"/>
      <c r="S70" s="8">
        <f t="shared" ref="S70:S101" si="20">(F70+O70+P70+R70)/Q70</f>
        <v>17.09026064360334</v>
      </c>
      <c r="T70" s="8">
        <f t="shared" ref="T70:T101" si="21">(F70+O70+P70)/Q70</f>
        <v>17.09026064360334</v>
      </c>
      <c r="U70" s="8">
        <v>30.987200000000001</v>
      </c>
      <c r="V70" s="8">
        <v>26.473800000000001</v>
      </c>
      <c r="W70" s="8">
        <v>25.355</v>
      </c>
      <c r="X70" s="8">
        <v>25.254000000000001</v>
      </c>
      <c r="Y70" s="8">
        <v>27.837800000000001</v>
      </c>
      <c r="Z70" s="8">
        <v>28.1508</v>
      </c>
      <c r="AA70" s="8">
        <v>34.746000000000002</v>
      </c>
      <c r="AB70" s="8">
        <v>35.825400000000002</v>
      </c>
      <c r="AC70" s="8">
        <v>37.188800000000001</v>
      </c>
      <c r="AD70" s="8">
        <v>38.170999999999999</v>
      </c>
      <c r="AE70" s="8"/>
      <c r="AF70" s="8">
        <f t="shared" ref="AF70:AF85" si="22">G70*R70</f>
        <v>0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spans="1:42" x14ac:dyDescent="0.25">
      <c r="A71" s="8" t="s">
        <v>111</v>
      </c>
      <c r="B71" s="8" t="s">
        <v>40</v>
      </c>
      <c r="C71" s="8">
        <v>69</v>
      </c>
      <c r="D71" s="8">
        <v>462</v>
      </c>
      <c r="E71" s="8">
        <v>100</v>
      </c>
      <c r="F71" s="8">
        <v>216</v>
      </c>
      <c r="G71" s="6">
        <v>0.6</v>
      </c>
      <c r="H71" s="8">
        <v>60</v>
      </c>
      <c r="I71" s="8" t="s">
        <v>36</v>
      </c>
      <c r="J71" s="8"/>
      <c r="K71" s="8">
        <v>124</v>
      </c>
      <c r="L71" s="8">
        <f t="shared" si="18"/>
        <v>-24</v>
      </c>
      <c r="M71" s="8"/>
      <c r="N71" s="8"/>
      <c r="O71" s="8">
        <v>146</v>
      </c>
      <c r="P71" s="8"/>
      <c r="Q71" s="8">
        <f t="shared" si="19"/>
        <v>20</v>
      </c>
      <c r="R71" s="4"/>
      <c r="S71" s="8">
        <f t="shared" si="20"/>
        <v>18.100000000000001</v>
      </c>
      <c r="T71" s="8">
        <f t="shared" si="21"/>
        <v>18.100000000000001</v>
      </c>
      <c r="U71" s="8">
        <v>32.200000000000003</v>
      </c>
      <c r="V71" s="8">
        <v>28.6</v>
      </c>
      <c r="W71" s="8">
        <v>26.6</v>
      </c>
      <c r="X71" s="8">
        <v>30</v>
      </c>
      <c r="Y71" s="8">
        <v>24</v>
      </c>
      <c r="Z71" s="8">
        <v>20.399999999999999</v>
      </c>
      <c r="AA71" s="8">
        <v>26.2</v>
      </c>
      <c r="AB71" s="8">
        <v>30.2</v>
      </c>
      <c r="AC71" s="8">
        <v>26</v>
      </c>
      <c r="AD71" s="8">
        <v>31.2</v>
      </c>
      <c r="AE71" s="8"/>
      <c r="AF71" s="8">
        <f t="shared" si="22"/>
        <v>0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spans="1:42" x14ac:dyDescent="0.25">
      <c r="A72" s="8" t="s">
        <v>112</v>
      </c>
      <c r="B72" s="8" t="s">
        <v>40</v>
      </c>
      <c r="C72" s="8">
        <v>42</v>
      </c>
      <c r="D72" s="8">
        <v>96</v>
      </c>
      <c r="E72" s="8">
        <v>42</v>
      </c>
      <c r="F72" s="8">
        <v>80</v>
      </c>
      <c r="G72" s="6">
        <v>0.6</v>
      </c>
      <c r="H72" s="8">
        <v>60</v>
      </c>
      <c r="I72" s="8" t="s">
        <v>36</v>
      </c>
      <c r="J72" s="8"/>
      <c r="K72" s="8">
        <v>53</v>
      </c>
      <c r="L72" s="8">
        <f t="shared" si="18"/>
        <v>-11</v>
      </c>
      <c r="M72" s="8"/>
      <c r="N72" s="8"/>
      <c r="O72" s="8">
        <v>13.89999999999999</v>
      </c>
      <c r="P72" s="8"/>
      <c r="Q72" s="8">
        <f t="shared" si="19"/>
        <v>8.4</v>
      </c>
      <c r="R72" s="4"/>
      <c r="S72" s="8">
        <f t="shared" si="20"/>
        <v>11.178571428571427</v>
      </c>
      <c r="T72" s="8">
        <f t="shared" si="21"/>
        <v>11.178571428571427</v>
      </c>
      <c r="U72" s="8">
        <v>8.6</v>
      </c>
      <c r="V72" s="8">
        <v>7.8</v>
      </c>
      <c r="W72" s="8">
        <v>10.4</v>
      </c>
      <c r="X72" s="8">
        <v>12.4</v>
      </c>
      <c r="Y72" s="8">
        <v>8.4</v>
      </c>
      <c r="Z72" s="8">
        <v>8</v>
      </c>
      <c r="AA72" s="8">
        <v>7</v>
      </c>
      <c r="AB72" s="8">
        <v>8.1999999999999993</v>
      </c>
      <c r="AC72" s="8">
        <v>12.6</v>
      </c>
      <c r="AD72" s="8">
        <v>13.2</v>
      </c>
      <c r="AE72" s="8"/>
      <c r="AF72" s="8">
        <f t="shared" si="22"/>
        <v>0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spans="1:42" x14ac:dyDescent="0.25">
      <c r="A73" s="8" t="s">
        <v>113</v>
      </c>
      <c r="B73" s="8" t="s">
        <v>40</v>
      </c>
      <c r="C73" s="8">
        <v>87</v>
      </c>
      <c r="D73" s="8">
        <v>193</v>
      </c>
      <c r="E73" s="8">
        <v>105</v>
      </c>
      <c r="F73" s="8">
        <v>138</v>
      </c>
      <c r="G73" s="6">
        <v>0.4</v>
      </c>
      <c r="H73" s="8">
        <v>90</v>
      </c>
      <c r="I73" s="9" t="s">
        <v>46</v>
      </c>
      <c r="J73" s="8"/>
      <c r="K73" s="8">
        <v>145</v>
      </c>
      <c r="L73" s="8">
        <f t="shared" si="18"/>
        <v>-40</v>
      </c>
      <c r="M73" s="8"/>
      <c r="N73" s="8"/>
      <c r="O73" s="8">
        <v>151.19999999999999</v>
      </c>
      <c r="P73" s="8"/>
      <c r="Q73" s="8">
        <f t="shared" si="19"/>
        <v>21</v>
      </c>
      <c r="R73" s="4"/>
      <c r="S73" s="8">
        <f t="shared" si="20"/>
        <v>13.77142857142857</v>
      </c>
      <c r="T73" s="8">
        <f t="shared" si="21"/>
        <v>13.77142857142857</v>
      </c>
      <c r="U73" s="8">
        <v>26</v>
      </c>
      <c r="V73" s="8">
        <v>21.6</v>
      </c>
      <c r="W73" s="8">
        <v>22.2</v>
      </c>
      <c r="X73" s="8">
        <v>24.6</v>
      </c>
      <c r="Y73" s="8">
        <v>25.2</v>
      </c>
      <c r="Z73" s="8">
        <v>22.8</v>
      </c>
      <c r="AA73" s="8">
        <v>19.399999999999999</v>
      </c>
      <c r="AB73" s="8">
        <v>28.2</v>
      </c>
      <c r="AC73" s="8">
        <v>31</v>
      </c>
      <c r="AD73" s="8">
        <v>25.8</v>
      </c>
      <c r="AE73" s="8"/>
      <c r="AF73" s="8">
        <f t="shared" si="22"/>
        <v>0</v>
      </c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spans="1:42" x14ac:dyDescent="0.25">
      <c r="A74" s="8" t="s">
        <v>114</v>
      </c>
      <c r="B74" s="8" t="s">
        <v>40</v>
      </c>
      <c r="C74" s="8">
        <v>163</v>
      </c>
      <c r="D74" s="8">
        <v>246</v>
      </c>
      <c r="E74" s="8">
        <v>128</v>
      </c>
      <c r="F74" s="8">
        <v>240</v>
      </c>
      <c r="G74" s="6">
        <v>0.33</v>
      </c>
      <c r="H74" s="8">
        <v>60</v>
      </c>
      <c r="I74" s="8" t="s">
        <v>36</v>
      </c>
      <c r="J74" s="8"/>
      <c r="K74" s="8">
        <v>132</v>
      </c>
      <c r="L74" s="8">
        <f t="shared" si="18"/>
        <v>-4</v>
      </c>
      <c r="M74" s="8"/>
      <c r="N74" s="8"/>
      <c r="O74" s="8">
        <v>49.400000000000013</v>
      </c>
      <c r="P74" s="8"/>
      <c r="Q74" s="8">
        <f t="shared" si="19"/>
        <v>25.6</v>
      </c>
      <c r="R74" s="4"/>
      <c r="S74" s="8">
        <f t="shared" si="20"/>
        <v>11.3046875</v>
      </c>
      <c r="T74" s="8">
        <f t="shared" si="21"/>
        <v>11.3046875</v>
      </c>
      <c r="U74" s="8">
        <v>30.4</v>
      </c>
      <c r="V74" s="8">
        <v>36.4</v>
      </c>
      <c r="W74" s="8">
        <v>29</v>
      </c>
      <c r="X74" s="8">
        <v>27.2</v>
      </c>
      <c r="Y74" s="8">
        <v>33</v>
      </c>
      <c r="Z74" s="8">
        <v>35.6</v>
      </c>
      <c r="AA74" s="8">
        <v>30.6</v>
      </c>
      <c r="AB74" s="8">
        <v>23.6</v>
      </c>
      <c r="AC74" s="8">
        <v>33.6</v>
      </c>
      <c r="AD74" s="8">
        <v>41.4</v>
      </c>
      <c r="AE74" s="8"/>
      <c r="AF74" s="8">
        <f t="shared" si="22"/>
        <v>0</v>
      </c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 x14ac:dyDescent="0.25">
      <c r="A75" s="8" t="s">
        <v>115</v>
      </c>
      <c r="B75" s="8" t="s">
        <v>40</v>
      </c>
      <c r="C75" s="8">
        <v>122</v>
      </c>
      <c r="D75" s="8">
        <v>202</v>
      </c>
      <c r="E75" s="8">
        <v>110</v>
      </c>
      <c r="F75" s="8">
        <v>168</v>
      </c>
      <c r="G75" s="6">
        <v>0.35</v>
      </c>
      <c r="H75" s="8">
        <v>90</v>
      </c>
      <c r="I75" s="8" t="s">
        <v>36</v>
      </c>
      <c r="J75" s="8"/>
      <c r="K75" s="8">
        <v>115</v>
      </c>
      <c r="L75" s="8">
        <f t="shared" si="18"/>
        <v>-5</v>
      </c>
      <c r="M75" s="8"/>
      <c r="N75" s="8"/>
      <c r="O75" s="8">
        <v>62.619999999999948</v>
      </c>
      <c r="P75" s="8"/>
      <c r="Q75" s="8">
        <f t="shared" si="19"/>
        <v>22</v>
      </c>
      <c r="R75" s="4"/>
      <c r="S75" s="8">
        <f t="shared" si="20"/>
        <v>10.482727272727271</v>
      </c>
      <c r="T75" s="8">
        <f t="shared" si="21"/>
        <v>10.482727272727271</v>
      </c>
      <c r="U75" s="8">
        <v>22.4</v>
      </c>
      <c r="V75" s="8">
        <v>25.2</v>
      </c>
      <c r="W75" s="8">
        <v>25.2</v>
      </c>
      <c r="X75" s="8">
        <v>20.399999999999999</v>
      </c>
      <c r="Y75" s="8">
        <v>23.6</v>
      </c>
      <c r="Z75" s="8">
        <v>18.600000000000001</v>
      </c>
      <c r="AA75" s="8">
        <v>17</v>
      </c>
      <c r="AB75" s="8">
        <v>14.8</v>
      </c>
      <c r="AC75" s="8">
        <v>5.4</v>
      </c>
      <c r="AD75" s="8">
        <v>9</v>
      </c>
      <c r="AE75" s="8"/>
      <c r="AF75" s="8">
        <f t="shared" si="22"/>
        <v>0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spans="1:42" x14ac:dyDescent="0.25">
      <c r="A76" s="8" t="s">
        <v>116</v>
      </c>
      <c r="B76" s="8" t="s">
        <v>40</v>
      </c>
      <c r="C76" s="8">
        <v>377</v>
      </c>
      <c r="D76" s="8">
        <v>1070</v>
      </c>
      <c r="E76" s="8">
        <v>419</v>
      </c>
      <c r="F76" s="8">
        <v>365</v>
      </c>
      <c r="G76" s="6">
        <v>0.37</v>
      </c>
      <c r="H76" s="8">
        <v>50</v>
      </c>
      <c r="I76" s="8" t="s">
        <v>36</v>
      </c>
      <c r="J76" s="8"/>
      <c r="K76" s="8">
        <v>426</v>
      </c>
      <c r="L76" s="8">
        <f t="shared" si="18"/>
        <v>-7</v>
      </c>
      <c r="M76" s="8"/>
      <c r="N76" s="8"/>
      <c r="O76" s="8">
        <v>154.04297999999989</v>
      </c>
      <c r="P76" s="8">
        <v>134.42702</v>
      </c>
      <c r="Q76" s="8">
        <f t="shared" si="19"/>
        <v>83.8</v>
      </c>
      <c r="R76" s="4">
        <f t="shared" ref="R70:R85" si="23">10.5*Q76-P76-O76-F76</f>
        <v>226.43000000000006</v>
      </c>
      <c r="S76" s="8">
        <f t="shared" si="20"/>
        <v>10.5</v>
      </c>
      <c r="T76" s="8">
        <f t="shared" si="21"/>
        <v>7.7979713603818608</v>
      </c>
      <c r="U76" s="8">
        <v>79.599999999999994</v>
      </c>
      <c r="V76" s="8">
        <v>74.400000000000006</v>
      </c>
      <c r="W76" s="8">
        <v>75</v>
      </c>
      <c r="X76" s="8">
        <v>83</v>
      </c>
      <c r="Y76" s="8">
        <v>77.2</v>
      </c>
      <c r="Z76" s="8">
        <v>80.2</v>
      </c>
      <c r="AA76" s="8">
        <v>85.6</v>
      </c>
      <c r="AB76" s="8">
        <v>87.8</v>
      </c>
      <c r="AC76" s="8">
        <v>104.4</v>
      </c>
      <c r="AD76" s="8">
        <v>100.2</v>
      </c>
      <c r="AE76" s="8"/>
      <c r="AF76" s="8">
        <f t="shared" si="22"/>
        <v>83.779100000000028</v>
      </c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 x14ac:dyDescent="0.25">
      <c r="A77" s="8" t="s">
        <v>117</v>
      </c>
      <c r="B77" s="8" t="s">
        <v>40</v>
      </c>
      <c r="C77" s="8">
        <v>96</v>
      </c>
      <c r="D77" s="8">
        <v>434</v>
      </c>
      <c r="E77" s="8">
        <v>122</v>
      </c>
      <c r="F77" s="8">
        <v>252</v>
      </c>
      <c r="G77" s="6">
        <v>0.6</v>
      </c>
      <c r="H77" s="8">
        <v>70</v>
      </c>
      <c r="I77" s="8" t="s">
        <v>36</v>
      </c>
      <c r="J77" s="8"/>
      <c r="K77" s="8">
        <v>122</v>
      </c>
      <c r="L77" s="8">
        <f t="shared" si="18"/>
        <v>0</v>
      </c>
      <c r="M77" s="8"/>
      <c r="N77" s="8"/>
      <c r="O77" s="8">
        <v>0</v>
      </c>
      <c r="P77" s="8"/>
      <c r="Q77" s="8">
        <f t="shared" si="19"/>
        <v>24.4</v>
      </c>
      <c r="R77" s="4">
        <v>6</v>
      </c>
      <c r="S77" s="8">
        <f t="shared" si="20"/>
        <v>10.573770491803279</v>
      </c>
      <c r="T77" s="8">
        <f t="shared" si="21"/>
        <v>10.327868852459018</v>
      </c>
      <c r="U77" s="8">
        <v>26</v>
      </c>
      <c r="V77" s="8">
        <v>31.2</v>
      </c>
      <c r="W77" s="8">
        <v>34.4</v>
      </c>
      <c r="X77" s="8">
        <v>28.4</v>
      </c>
      <c r="Y77" s="8">
        <v>25.6</v>
      </c>
      <c r="Z77" s="8">
        <v>30.6</v>
      </c>
      <c r="AA77" s="8">
        <v>36.200000000000003</v>
      </c>
      <c r="AB77" s="8">
        <v>37.6</v>
      </c>
      <c r="AC77" s="8">
        <v>36.200000000000003</v>
      </c>
      <c r="AD77" s="8">
        <v>30.2</v>
      </c>
      <c r="AE77" s="8"/>
      <c r="AF77" s="8">
        <f t="shared" si="22"/>
        <v>3.5999999999999996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1:42" x14ac:dyDescent="0.25">
      <c r="A78" s="8" t="s">
        <v>118</v>
      </c>
      <c r="B78" s="8" t="s">
        <v>40</v>
      </c>
      <c r="C78" s="8">
        <v>72</v>
      </c>
      <c r="D78" s="8">
        <v>25</v>
      </c>
      <c r="E78" s="8">
        <v>41</v>
      </c>
      <c r="F78" s="8">
        <v>50</v>
      </c>
      <c r="G78" s="6">
        <v>0.33</v>
      </c>
      <c r="H78" s="8">
        <v>40</v>
      </c>
      <c r="I78" s="8" t="s">
        <v>36</v>
      </c>
      <c r="J78" s="8"/>
      <c r="K78" s="8">
        <v>41</v>
      </c>
      <c r="L78" s="8">
        <f t="shared" si="18"/>
        <v>0</v>
      </c>
      <c r="M78" s="8"/>
      <c r="N78" s="8"/>
      <c r="O78" s="8">
        <v>55.399999999999991</v>
      </c>
      <c r="P78" s="8"/>
      <c r="Q78" s="8">
        <f t="shared" si="19"/>
        <v>8.1999999999999993</v>
      </c>
      <c r="R78" s="4"/>
      <c r="S78" s="8">
        <f t="shared" si="20"/>
        <v>12.853658536585366</v>
      </c>
      <c r="T78" s="8">
        <f t="shared" si="21"/>
        <v>12.853658536585366</v>
      </c>
      <c r="U78" s="8">
        <v>9.6</v>
      </c>
      <c r="V78" s="8">
        <v>8</v>
      </c>
      <c r="W78" s="8">
        <v>7.6</v>
      </c>
      <c r="X78" s="8">
        <v>7.6</v>
      </c>
      <c r="Y78" s="8">
        <v>10.4</v>
      </c>
      <c r="Z78" s="8">
        <v>9.4</v>
      </c>
      <c r="AA78" s="8">
        <v>4.4000000000000004</v>
      </c>
      <c r="AB78" s="8">
        <v>8.1999999999999993</v>
      </c>
      <c r="AC78" s="8">
        <v>12.2</v>
      </c>
      <c r="AD78" s="8">
        <v>12.2</v>
      </c>
      <c r="AE78" s="8"/>
      <c r="AF78" s="8">
        <f t="shared" si="22"/>
        <v>0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spans="1:42" x14ac:dyDescent="0.25">
      <c r="A79" s="8" t="s">
        <v>119</v>
      </c>
      <c r="B79" s="8" t="s">
        <v>40</v>
      </c>
      <c r="C79" s="8">
        <v>47</v>
      </c>
      <c r="D79" s="8">
        <v>1036</v>
      </c>
      <c r="E79" s="8">
        <v>171</v>
      </c>
      <c r="F79" s="8">
        <v>634</v>
      </c>
      <c r="G79" s="6">
        <v>0.4</v>
      </c>
      <c r="H79" s="8">
        <v>55</v>
      </c>
      <c r="I79" s="8" t="s">
        <v>36</v>
      </c>
      <c r="J79" s="8"/>
      <c r="K79" s="8">
        <v>317</v>
      </c>
      <c r="L79" s="8">
        <f t="shared" si="18"/>
        <v>-146</v>
      </c>
      <c r="M79" s="8"/>
      <c r="N79" s="8"/>
      <c r="O79" s="8">
        <v>11.700000000000051</v>
      </c>
      <c r="P79" s="8"/>
      <c r="Q79" s="8">
        <f t="shared" si="19"/>
        <v>34.200000000000003</v>
      </c>
      <c r="R79" s="4"/>
      <c r="S79" s="8">
        <f t="shared" si="20"/>
        <v>18.880116959064328</v>
      </c>
      <c r="T79" s="8">
        <f t="shared" si="21"/>
        <v>18.880116959064328</v>
      </c>
      <c r="U79" s="8">
        <v>63.4</v>
      </c>
      <c r="V79" s="8">
        <v>72.8</v>
      </c>
      <c r="W79" s="8">
        <v>62.8</v>
      </c>
      <c r="X79" s="8">
        <v>61.2</v>
      </c>
      <c r="Y79" s="8">
        <v>41.4</v>
      </c>
      <c r="Z79" s="8">
        <v>36</v>
      </c>
      <c r="AA79" s="8">
        <v>44.4</v>
      </c>
      <c r="AB79" s="8">
        <v>49.4</v>
      </c>
      <c r="AC79" s="8">
        <v>54.2</v>
      </c>
      <c r="AD79" s="8">
        <v>46</v>
      </c>
      <c r="AE79" s="8" t="s">
        <v>120</v>
      </c>
      <c r="AF79" s="8">
        <f t="shared" si="22"/>
        <v>0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spans="1:42" x14ac:dyDescent="0.25">
      <c r="A80" s="8" t="s">
        <v>121</v>
      </c>
      <c r="B80" s="8" t="s">
        <v>40</v>
      </c>
      <c r="C80" s="8">
        <v>16</v>
      </c>
      <c r="D80" s="8">
        <v>18</v>
      </c>
      <c r="E80" s="8">
        <v>9</v>
      </c>
      <c r="F80" s="8">
        <v>15</v>
      </c>
      <c r="G80" s="6">
        <v>0.35</v>
      </c>
      <c r="H80" s="8">
        <v>40</v>
      </c>
      <c r="I80" s="8" t="s">
        <v>36</v>
      </c>
      <c r="J80" s="8"/>
      <c r="K80" s="8">
        <v>18</v>
      </c>
      <c r="L80" s="8">
        <f t="shared" si="18"/>
        <v>-9</v>
      </c>
      <c r="M80" s="8"/>
      <c r="N80" s="8"/>
      <c r="O80" s="8">
        <v>9.9999999999999964</v>
      </c>
      <c r="P80" s="8"/>
      <c r="Q80" s="8">
        <f t="shared" si="19"/>
        <v>1.8</v>
      </c>
      <c r="R80" s="4"/>
      <c r="S80" s="8">
        <f t="shared" si="20"/>
        <v>13.888888888888886</v>
      </c>
      <c r="T80" s="8">
        <f t="shared" si="21"/>
        <v>13.888888888888886</v>
      </c>
      <c r="U80" s="8">
        <v>2.8</v>
      </c>
      <c r="V80" s="8">
        <v>1.6</v>
      </c>
      <c r="W80" s="8">
        <v>0</v>
      </c>
      <c r="X80" s="8">
        <v>2.4</v>
      </c>
      <c r="Y80" s="8">
        <v>0</v>
      </c>
      <c r="Z80" s="8">
        <v>0</v>
      </c>
      <c r="AA80" s="8">
        <v>-0.2</v>
      </c>
      <c r="AB80" s="8">
        <v>-0.2</v>
      </c>
      <c r="AC80" s="8">
        <v>0</v>
      </c>
      <c r="AD80" s="8">
        <v>0.4</v>
      </c>
      <c r="AE80" s="8"/>
      <c r="AF80" s="8">
        <f t="shared" si="22"/>
        <v>0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spans="1:42" x14ac:dyDescent="0.25">
      <c r="A81" s="8" t="s">
        <v>122</v>
      </c>
      <c r="B81" s="8" t="s">
        <v>40</v>
      </c>
      <c r="C81" s="8"/>
      <c r="D81" s="8">
        <v>96</v>
      </c>
      <c r="E81" s="8">
        <v>48</v>
      </c>
      <c r="F81" s="8">
        <v>39</v>
      </c>
      <c r="G81" s="6">
        <v>0.35</v>
      </c>
      <c r="H81" s="8">
        <v>45</v>
      </c>
      <c r="I81" s="8" t="s">
        <v>36</v>
      </c>
      <c r="J81" s="8"/>
      <c r="K81" s="8">
        <v>65</v>
      </c>
      <c r="L81" s="8">
        <f t="shared" si="18"/>
        <v>-17</v>
      </c>
      <c r="M81" s="8"/>
      <c r="N81" s="8"/>
      <c r="O81" s="8">
        <v>50</v>
      </c>
      <c r="P81" s="8"/>
      <c r="Q81" s="8">
        <f t="shared" si="19"/>
        <v>9.6</v>
      </c>
      <c r="R81" s="4">
        <f t="shared" si="23"/>
        <v>11.799999999999997</v>
      </c>
      <c r="S81" s="8">
        <f t="shared" si="20"/>
        <v>10.5</v>
      </c>
      <c r="T81" s="8">
        <f t="shared" si="21"/>
        <v>9.2708333333333339</v>
      </c>
      <c r="U81" s="8">
        <v>1.2</v>
      </c>
      <c r="V81" s="8">
        <v>2.4</v>
      </c>
      <c r="W81" s="8">
        <v>8.4</v>
      </c>
      <c r="X81" s="8">
        <v>7.2</v>
      </c>
      <c r="Y81" s="8">
        <v>0</v>
      </c>
      <c r="Z81" s="8">
        <v>-1.2</v>
      </c>
      <c r="AA81" s="8">
        <v>24.6</v>
      </c>
      <c r="AB81" s="8">
        <v>39.4</v>
      </c>
      <c r="AC81" s="8">
        <v>36</v>
      </c>
      <c r="AD81" s="8">
        <v>24.4</v>
      </c>
      <c r="AE81" s="8"/>
      <c r="AF81" s="8">
        <f t="shared" si="22"/>
        <v>4.129999999999999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spans="1:42" x14ac:dyDescent="0.25">
      <c r="A82" s="8" t="s">
        <v>123</v>
      </c>
      <c r="B82" s="8" t="s">
        <v>40</v>
      </c>
      <c r="C82" s="8">
        <v>128</v>
      </c>
      <c r="D82" s="8">
        <v>292</v>
      </c>
      <c r="E82" s="8">
        <v>127</v>
      </c>
      <c r="F82" s="8">
        <v>210</v>
      </c>
      <c r="G82" s="6">
        <v>0.4</v>
      </c>
      <c r="H82" s="8">
        <v>55</v>
      </c>
      <c r="I82" s="8" t="s">
        <v>36</v>
      </c>
      <c r="J82" s="8"/>
      <c r="K82" s="8">
        <v>147</v>
      </c>
      <c r="L82" s="8">
        <f t="shared" si="18"/>
        <v>-20</v>
      </c>
      <c r="M82" s="8"/>
      <c r="N82" s="8"/>
      <c r="O82" s="8">
        <v>103.3</v>
      </c>
      <c r="P82" s="8"/>
      <c r="Q82" s="8">
        <f t="shared" si="19"/>
        <v>25.4</v>
      </c>
      <c r="R82" s="4"/>
      <c r="S82" s="8">
        <f t="shared" si="20"/>
        <v>12.334645669291339</v>
      </c>
      <c r="T82" s="8">
        <f t="shared" si="21"/>
        <v>12.334645669291339</v>
      </c>
      <c r="U82" s="8">
        <v>36.6</v>
      </c>
      <c r="V82" s="8">
        <v>36.4</v>
      </c>
      <c r="W82" s="8">
        <v>14.8</v>
      </c>
      <c r="X82" s="8">
        <v>18</v>
      </c>
      <c r="Y82" s="8">
        <v>31.8</v>
      </c>
      <c r="Z82" s="8">
        <v>27.2</v>
      </c>
      <c r="AA82" s="8">
        <v>35.799999999999997</v>
      </c>
      <c r="AB82" s="8">
        <v>35.6</v>
      </c>
      <c r="AC82" s="8">
        <v>29.6</v>
      </c>
      <c r="AD82" s="8">
        <v>29.8</v>
      </c>
      <c r="AE82" s="8"/>
      <c r="AF82" s="8">
        <f t="shared" si="22"/>
        <v>0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spans="1:42" x14ac:dyDescent="0.25">
      <c r="A83" s="8" t="s">
        <v>124</v>
      </c>
      <c r="B83" s="8" t="s">
        <v>35</v>
      </c>
      <c r="C83" s="8">
        <v>58.302</v>
      </c>
      <c r="D83" s="8">
        <v>7.056</v>
      </c>
      <c r="E83" s="8">
        <v>3.6829999999999998</v>
      </c>
      <c r="F83" s="8">
        <v>59.557000000000002</v>
      </c>
      <c r="G83" s="6">
        <v>1</v>
      </c>
      <c r="H83" s="8">
        <v>55</v>
      </c>
      <c r="I83" s="8" t="s">
        <v>36</v>
      </c>
      <c r="J83" s="8"/>
      <c r="K83" s="8">
        <v>3.9</v>
      </c>
      <c r="L83" s="8">
        <f t="shared" si="18"/>
        <v>-0.21700000000000008</v>
      </c>
      <c r="M83" s="8"/>
      <c r="N83" s="8"/>
      <c r="O83" s="8">
        <v>0</v>
      </c>
      <c r="P83" s="8"/>
      <c r="Q83" s="8">
        <f t="shared" si="19"/>
        <v>0.73659999999999992</v>
      </c>
      <c r="R83" s="4"/>
      <c r="S83" s="8">
        <f t="shared" si="20"/>
        <v>80.853923431984811</v>
      </c>
      <c r="T83" s="8">
        <f t="shared" si="21"/>
        <v>80.853923431984811</v>
      </c>
      <c r="U83" s="8">
        <v>0.57380000000000009</v>
      </c>
      <c r="V83" s="8">
        <v>1.1456</v>
      </c>
      <c r="W83" s="8">
        <v>1.4379999999999999</v>
      </c>
      <c r="X83" s="8">
        <v>0.86620000000000008</v>
      </c>
      <c r="Y83" s="8">
        <v>0.56840000000000002</v>
      </c>
      <c r="Z83" s="8">
        <v>0.56840000000000002</v>
      </c>
      <c r="AA83" s="8">
        <v>1.1446000000000001</v>
      </c>
      <c r="AB83" s="8">
        <v>1.4156</v>
      </c>
      <c r="AC83" s="8">
        <v>1.1512</v>
      </c>
      <c r="AD83" s="8">
        <v>3.4895999999999998</v>
      </c>
      <c r="AE83" s="15" t="s">
        <v>109</v>
      </c>
      <c r="AF83" s="8">
        <f t="shared" si="22"/>
        <v>0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spans="1:42" x14ac:dyDescent="0.25">
      <c r="A84" s="8" t="s">
        <v>125</v>
      </c>
      <c r="B84" s="8" t="s">
        <v>35</v>
      </c>
      <c r="C84" s="8">
        <v>92.44</v>
      </c>
      <c r="D84" s="8">
        <v>244.32400000000001</v>
      </c>
      <c r="E84" s="8">
        <v>123.563</v>
      </c>
      <c r="F84" s="8">
        <v>128.67599999999999</v>
      </c>
      <c r="G84" s="6">
        <v>1</v>
      </c>
      <c r="H84" s="8">
        <v>55</v>
      </c>
      <c r="I84" s="8" t="s">
        <v>36</v>
      </c>
      <c r="J84" s="8"/>
      <c r="K84" s="8">
        <v>121.5</v>
      </c>
      <c r="L84" s="8">
        <f t="shared" si="18"/>
        <v>2.0630000000000024</v>
      </c>
      <c r="M84" s="8"/>
      <c r="N84" s="8"/>
      <c r="O84" s="8">
        <v>107.8621</v>
      </c>
      <c r="P84" s="8"/>
      <c r="Q84" s="8">
        <f t="shared" si="19"/>
        <v>24.712600000000002</v>
      </c>
      <c r="R84" s="4">
        <f t="shared" si="23"/>
        <v>22.944200000000023</v>
      </c>
      <c r="S84" s="8">
        <f t="shared" si="20"/>
        <v>10.5</v>
      </c>
      <c r="T84" s="8">
        <f t="shared" si="21"/>
        <v>9.5715586381036388</v>
      </c>
      <c r="U84" s="8">
        <v>23.388999999999999</v>
      </c>
      <c r="V84" s="8">
        <v>21.680800000000001</v>
      </c>
      <c r="W84" s="8">
        <v>21.646799999999999</v>
      </c>
      <c r="X84" s="8">
        <v>18.131399999999999</v>
      </c>
      <c r="Y84" s="8">
        <v>21.6068</v>
      </c>
      <c r="Z84" s="8">
        <v>28.839600000000001</v>
      </c>
      <c r="AA84" s="8">
        <v>25.4146</v>
      </c>
      <c r="AB84" s="8">
        <v>20.510200000000001</v>
      </c>
      <c r="AC84" s="8">
        <v>20.4178</v>
      </c>
      <c r="AD84" s="8">
        <v>26.796399999999998</v>
      </c>
      <c r="AE84" s="8" t="s">
        <v>120</v>
      </c>
      <c r="AF84" s="8">
        <f t="shared" si="22"/>
        <v>22.944200000000023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spans="1:42" x14ac:dyDescent="0.25">
      <c r="A85" s="8" t="s">
        <v>126</v>
      </c>
      <c r="B85" s="8" t="s">
        <v>35</v>
      </c>
      <c r="C85" s="8">
        <v>869.43399999999997</v>
      </c>
      <c r="D85" s="8">
        <v>972.57299999999998</v>
      </c>
      <c r="E85" s="8">
        <v>726.42</v>
      </c>
      <c r="F85" s="8">
        <v>736.28899999999999</v>
      </c>
      <c r="G85" s="6">
        <v>1</v>
      </c>
      <c r="H85" s="8">
        <v>60</v>
      </c>
      <c r="I85" s="8" t="s">
        <v>36</v>
      </c>
      <c r="J85" s="8"/>
      <c r="K85" s="8">
        <v>734.875</v>
      </c>
      <c r="L85" s="8">
        <f t="shared" si="18"/>
        <v>-8.4550000000000409</v>
      </c>
      <c r="M85" s="8"/>
      <c r="N85" s="8"/>
      <c r="O85" s="8">
        <v>283.02</v>
      </c>
      <c r="P85" s="8">
        <v>246.98</v>
      </c>
      <c r="Q85" s="8">
        <f t="shared" si="19"/>
        <v>145.28399999999999</v>
      </c>
      <c r="R85" s="4">
        <f t="shared" si="23"/>
        <v>259.19299999999998</v>
      </c>
      <c r="S85" s="8">
        <f t="shared" si="20"/>
        <v>10.5</v>
      </c>
      <c r="T85" s="8">
        <f t="shared" si="21"/>
        <v>8.7159563338013832</v>
      </c>
      <c r="U85" s="8">
        <v>139.1936</v>
      </c>
      <c r="V85" s="8">
        <v>150.78639999999999</v>
      </c>
      <c r="W85" s="8">
        <v>144.6326</v>
      </c>
      <c r="X85" s="8">
        <v>145.7482</v>
      </c>
      <c r="Y85" s="8">
        <v>161.48840000000001</v>
      </c>
      <c r="Z85" s="8">
        <v>133.17140000000001</v>
      </c>
      <c r="AA85" s="8">
        <v>128.61879999999999</v>
      </c>
      <c r="AB85" s="8">
        <v>152.0676</v>
      </c>
      <c r="AC85" s="8">
        <v>157.40639999999999</v>
      </c>
      <c r="AD85" s="8">
        <v>149.3056</v>
      </c>
      <c r="AE85" s="8"/>
      <c r="AF85" s="8">
        <f t="shared" si="22"/>
        <v>259.19299999999998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spans="1:42" x14ac:dyDescent="0.25">
      <c r="A86" s="11" t="s">
        <v>127</v>
      </c>
      <c r="B86" s="11" t="s">
        <v>40</v>
      </c>
      <c r="C86" s="11"/>
      <c r="D86" s="11"/>
      <c r="E86" s="11"/>
      <c r="F86" s="11"/>
      <c r="G86" s="12">
        <v>0</v>
      </c>
      <c r="H86" s="11"/>
      <c r="I86" s="11" t="s">
        <v>36</v>
      </c>
      <c r="J86" s="11"/>
      <c r="K86" s="11"/>
      <c r="L86" s="11">
        <f t="shared" si="18"/>
        <v>0</v>
      </c>
      <c r="M86" s="11"/>
      <c r="N86" s="11"/>
      <c r="O86" s="11">
        <v>0</v>
      </c>
      <c r="P86" s="11"/>
      <c r="Q86" s="11">
        <f t="shared" si="19"/>
        <v>0</v>
      </c>
      <c r="R86" s="13"/>
      <c r="S86" s="11" t="e">
        <f t="shared" si="20"/>
        <v>#DIV/0!</v>
      </c>
      <c r="T86" s="11" t="e">
        <f t="shared" si="21"/>
        <v>#DIV/0!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 t="s">
        <v>41</v>
      </c>
      <c r="AF86" s="11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spans="1:42" x14ac:dyDescent="0.25">
      <c r="A87" s="8" t="s">
        <v>128</v>
      </c>
      <c r="B87" s="8" t="s">
        <v>35</v>
      </c>
      <c r="C87" s="8">
        <v>1782.4659999999999</v>
      </c>
      <c r="D87" s="8">
        <v>4785.1440000000002</v>
      </c>
      <c r="E87" s="8">
        <v>2774.8870000000002</v>
      </c>
      <c r="F87" s="8">
        <v>2742.8850000000002</v>
      </c>
      <c r="G87" s="6">
        <v>1</v>
      </c>
      <c r="H87" s="8">
        <v>60</v>
      </c>
      <c r="I87" s="8" t="s">
        <v>36</v>
      </c>
      <c r="J87" s="8"/>
      <c r="K87" s="8">
        <v>2839.2</v>
      </c>
      <c r="L87" s="8">
        <f t="shared" si="18"/>
        <v>-64.312999999999647</v>
      </c>
      <c r="M87" s="8"/>
      <c r="N87" s="8"/>
      <c r="O87" s="8">
        <v>656.37134815199977</v>
      </c>
      <c r="P87" s="8">
        <v>572.78847984799984</v>
      </c>
      <c r="Q87" s="8">
        <f t="shared" si="19"/>
        <v>554.97739999999999</v>
      </c>
      <c r="R87" s="4">
        <f t="shared" ref="R87:R92" si="24">10.5*Q87-P87-O87-F87</f>
        <v>1855.2178720000002</v>
      </c>
      <c r="S87" s="8">
        <f t="shared" si="20"/>
        <v>10.5</v>
      </c>
      <c r="T87" s="8">
        <f t="shared" si="21"/>
        <v>7.1571289713779338</v>
      </c>
      <c r="U87" s="8">
        <v>493.79599999999999</v>
      </c>
      <c r="V87" s="8">
        <v>502.71559999999999</v>
      </c>
      <c r="W87" s="8">
        <v>542.02940000000001</v>
      </c>
      <c r="X87" s="8">
        <v>512.76220000000001</v>
      </c>
      <c r="Y87" s="8">
        <v>459.2072</v>
      </c>
      <c r="Z87" s="8">
        <v>405.00659999999999</v>
      </c>
      <c r="AA87" s="8">
        <v>427.90280000000001</v>
      </c>
      <c r="AB87" s="8">
        <v>494.89839999999998</v>
      </c>
      <c r="AC87" s="8">
        <v>526.31220000000008</v>
      </c>
      <c r="AD87" s="8">
        <v>493.4196</v>
      </c>
      <c r="AE87" s="8"/>
      <c r="AF87" s="8">
        <f t="shared" ref="AF87:AF92" si="25">G87*R87</f>
        <v>1855.2178720000002</v>
      </c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spans="1:42" x14ac:dyDescent="0.25">
      <c r="A88" s="8" t="s">
        <v>129</v>
      </c>
      <c r="B88" s="8" t="s">
        <v>35</v>
      </c>
      <c r="C88" s="8">
        <v>1565.6120000000001</v>
      </c>
      <c r="D88" s="8">
        <v>3128.5909999999999</v>
      </c>
      <c r="E88" s="8">
        <v>1859.585</v>
      </c>
      <c r="F88" s="8">
        <v>1545.44</v>
      </c>
      <c r="G88" s="6">
        <v>1</v>
      </c>
      <c r="H88" s="8">
        <v>60</v>
      </c>
      <c r="I88" s="8" t="s">
        <v>36</v>
      </c>
      <c r="J88" s="8"/>
      <c r="K88" s="8">
        <v>2082.8000000000002</v>
      </c>
      <c r="L88" s="8">
        <f t="shared" si="18"/>
        <v>-223.21500000000015</v>
      </c>
      <c r="M88" s="8"/>
      <c r="N88" s="8"/>
      <c r="O88" s="8">
        <v>801.81245430000001</v>
      </c>
      <c r="P88" s="8">
        <v>699.70899570000017</v>
      </c>
      <c r="Q88" s="8">
        <f t="shared" si="19"/>
        <v>371.91700000000003</v>
      </c>
      <c r="R88" s="4">
        <f t="shared" si="24"/>
        <v>858.16705000000002</v>
      </c>
      <c r="S88" s="8">
        <f t="shared" si="20"/>
        <v>10.5</v>
      </c>
      <c r="T88" s="8">
        <f t="shared" si="21"/>
        <v>8.1925845013806846</v>
      </c>
      <c r="U88" s="8">
        <v>375.10239999999999</v>
      </c>
      <c r="V88" s="8">
        <v>343.6112</v>
      </c>
      <c r="W88" s="8">
        <v>374.64</v>
      </c>
      <c r="X88" s="8">
        <v>362.87380000000002</v>
      </c>
      <c r="Y88" s="8">
        <v>356.65640000000002</v>
      </c>
      <c r="Z88" s="8">
        <v>370.45139999999998</v>
      </c>
      <c r="AA88" s="8">
        <v>435.01280000000003</v>
      </c>
      <c r="AB88" s="8">
        <v>454.02980000000002</v>
      </c>
      <c r="AC88" s="8">
        <v>464.01760000000002</v>
      </c>
      <c r="AD88" s="8">
        <v>470.22359999999998</v>
      </c>
      <c r="AE88" s="8"/>
      <c r="AF88" s="8">
        <f t="shared" si="25"/>
        <v>858.16705000000002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spans="1:42" x14ac:dyDescent="0.25">
      <c r="A89" s="8" t="s">
        <v>130</v>
      </c>
      <c r="B89" s="8" t="s">
        <v>35</v>
      </c>
      <c r="C89" s="8">
        <v>2554.8530000000001</v>
      </c>
      <c r="D89" s="8">
        <v>5602.4979999999996</v>
      </c>
      <c r="E89" s="8">
        <v>3198.0149999999999</v>
      </c>
      <c r="F89" s="8">
        <v>3325.8679999999999</v>
      </c>
      <c r="G89" s="6">
        <v>1</v>
      </c>
      <c r="H89" s="8">
        <v>60</v>
      </c>
      <c r="I89" s="8" t="s">
        <v>36</v>
      </c>
      <c r="J89" s="8"/>
      <c r="K89" s="8">
        <v>3211.45</v>
      </c>
      <c r="L89" s="8">
        <f t="shared" si="18"/>
        <v>-13.434999999999945</v>
      </c>
      <c r="M89" s="8"/>
      <c r="N89" s="8"/>
      <c r="O89" s="8">
        <v>1055.267061564</v>
      </c>
      <c r="P89" s="8">
        <v>920.888484436</v>
      </c>
      <c r="Q89" s="8">
        <f t="shared" si="19"/>
        <v>639.60299999999995</v>
      </c>
      <c r="R89" s="4">
        <f t="shared" si="24"/>
        <v>1413.8079539999994</v>
      </c>
      <c r="S89" s="8">
        <f t="shared" si="20"/>
        <v>10.500000000000002</v>
      </c>
      <c r="T89" s="8">
        <f t="shared" si="21"/>
        <v>8.2895539045314059</v>
      </c>
      <c r="U89" s="8">
        <v>617.20920000000001</v>
      </c>
      <c r="V89" s="8">
        <v>626.71460000000002</v>
      </c>
      <c r="W89" s="8">
        <v>607.15480000000002</v>
      </c>
      <c r="X89" s="8">
        <v>614.59640000000002</v>
      </c>
      <c r="Y89" s="8">
        <v>581.85900000000004</v>
      </c>
      <c r="Z89" s="8">
        <v>521.048</v>
      </c>
      <c r="AA89" s="8">
        <v>463.74439999999998</v>
      </c>
      <c r="AB89" s="8">
        <v>532.01880000000006</v>
      </c>
      <c r="AC89" s="8">
        <v>605.65300000000002</v>
      </c>
      <c r="AD89" s="8">
        <v>579.95619999999997</v>
      </c>
      <c r="AE89" s="8"/>
      <c r="AF89" s="8">
        <f t="shared" si="25"/>
        <v>1413.8079539999994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spans="1:42" x14ac:dyDescent="0.25">
      <c r="A90" s="8" t="s">
        <v>131</v>
      </c>
      <c r="B90" s="8" t="s">
        <v>35</v>
      </c>
      <c r="C90" s="8">
        <v>34.732999999999997</v>
      </c>
      <c r="D90" s="8">
        <v>155.93199999999999</v>
      </c>
      <c r="E90" s="8">
        <v>25.576000000000001</v>
      </c>
      <c r="F90" s="8">
        <v>96.656999999999996</v>
      </c>
      <c r="G90" s="6">
        <v>1</v>
      </c>
      <c r="H90" s="8">
        <v>55</v>
      </c>
      <c r="I90" s="8" t="s">
        <v>36</v>
      </c>
      <c r="J90" s="8"/>
      <c r="K90" s="8">
        <v>64.8</v>
      </c>
      <c r="L90" s="8">
        <f t="shared" si="18"/>
        <v>-39.223999999999997</v>
      </c>
      <c r="M90" s="8"/>
      <c r="N90" s="8"/>
      <c r="O90" s="8">
        <v>50.278800000000018</v>
      </c>
      <c r="P90" s="8"/>
      <c r="Q90" s="8">
        <f t="shared" si="19"/>
        <v>5.1151999999999997</v>
      </c>
      <c r="R90" s="4"/>
      <c r="S90" s="8">
        <f t="shared" si="20"/>
        <v>28.725328432905858</v>
      </c>
      <c r="T90" s="8">
        <f t="shared" si="21"/>
        <v>28.725328432905858</v>
      </c>
      <c r="U90" s="8">
        <v>13.686400000000001</v>
      </c>
      <c r="V90" s="8">
        <v>13.686400000000001</v>
      </c>
      <c r="W90" s="8">
        <v>5.3433999999999999</v>
      </c>
      <c r="X90" s="8">
        <v>5.6134000000000004</v>
      </c>
      <c r="Y90" s="8">
        <v>9.3739999999999988</v>
      </c>
      <c r="Z90" s="8">
        <v>9.3148</v>
      </c>
      <c r="AA90" s="8">
        <v>6.9373999999999993</v>
      </c>
      <c r="AB90" s="8">
        <v>6.7266000000000004</v>
      </c>
      <c r="AC90" s="8">
        <v>8.3040000000000003</v>
      </c>
      <c r="AD90" s="8">
        <v>8.5742000000000012</v>
      </c>
      <c r="AE90" s="15" t="s">
        <v>109</v>
      </c>
      <c r="AF90" s="8">
        <f t="shared" si="25"/>
        <v>0</v>
      </c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spans="1:42" x14ac:dyDescent="0.25">
      <c r="A91" s="8" t="s">
        <v>132</v>
      </c>
      <c r="B91" s="8" t="s">
        <v>40</v>
      </c>
      <c r="C91" s="8">
        <v>1</v>
      </c>
      <c r="D91" s="8">
        <v>102</v>
      </c>
      <c r="E91" s="8">
        <v>86</v>
      </c>
      <c r="F91" s="8">
        <v>1</v>
      </c>
      <c r="G91" s="6">
        <v>0.3</v>
      </c>
      <c r="H91" s="8">
        <v>40</v>
      </c>
      <c r="I91" s="8" t="s">
        <v>36</v>
      </c>
      <c r="J91" s="8"/>
      <c r="K91" s="8">
        <v>90</v>
      </c>
      <c r="L91" s="8">
        <f t="shared" si="18"/>
        <v>-4</v>
      </c>
      <c r="M91" s="8"/>
      <c r="N91" s="8"/>
      <c r="O91" s="8">
        <v>30</v>
      </c>
      <c r="P91" s="8"/>
      <c r="Q91" s="8">
        <f t="shared" si="19"/>
        <v>17.2</v>
      </c>
      <c r="R91" s="4">
        <f>8*Q91-P91-O91-F91</f>
        <v>106.6</v>
      </c>
      <c r="S91" s="8">
        <f t="shared" si="20"/>
        <v>8</v>
      </c>
      <c r="T91" s="8">
        <f t="shared" si="21"/>
        <v>1.8023255813953489</v>
      </c>
      <c r="U91" s="8">
        <v>1.6</v>
      </c>
      <c r="V91" s="8">
        <v>4.4000000000000004</v>
      </c>
      <c r="W91" s="8">
        <v>5</v>
      </c>
      <c r="X91" s="8">
        <v>2.2000000000000002</v>
      </c>
      <c r="Y91" s="8">
        <v>0</v>
      </c>
      <c r="Z91" s="8">
        <v>-0.2</v>
      </c>
      <c r="AA91" s="8">
        <v>-0.2</v>
      </c>
      <c r="AB91" s="8">
        <v>-0.2</v>
      </c>
      <c r="AC91" s="8">
        <v>-0.8</v>
      </c>
      <c r="AD91" s="8">
        <v>-0.6</v>
      </c>
      <c r="AE91" s="8"/>
      <c r="AF91" s="8">
        <f t="shared" si="25"/>
        <v>31.979999999999997</v>
      </c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spans="1:42" x14ac:dyDescent="0.25">
      <c r="A92" s="8" t="s">
        <v>133</v>
      </c>
      <c r="B92" s="8" t="s">
        <v>40</v>
      </c>
      <c r="C92" s="8">
        <v>43</v>
      </c>
      <c r="D92" s="8">
        <v>45</v>
      </c>
      <c r="E92" s="8">
        <v>9</v>
      </c>
      <c r="F92" s="8">
        <v>36</v>
      </c>
      <c r="G92" s="6">
        <v>0.3</v>
      </c>
      <c r="H92" s="8">
        <v>40</v>
      </c>
      <c r="I92" s="9" t="s">
        <v>46</v>
      </c>
      <c r="J92" s="8"/>
      <c r="K92" s="8">
        <v>26</v>
      </c>
      <c r="L92" s="8">
        <f t="shared" si="18"/>
        <v>-17</v>
      </c>
      <c r="M92" s="8"/>
      <c r="N92" s="8"/>
      <c r="O92" s="8">
        <v>52.599999999999987</v>
      </c>
      <c r="P92" s="8"/>
      <c r="Q92" s="8">
        <f t="shared" si="19"/>
        <v>1.8</v>
      </c>
      <c r="R92" s="4"/>
      <c r="S92" s="8">
        <f t="shared" si="20"/>
        <v>49.222222222222214</v>
      </c>
      <c r="T92" s="8">
        <f t="shared" si="21"/>
        <v>49.222222222222214</v>
      </c>
      <c r="U92" s="8">
        <v>11.4</v>
      </c>
      <c r="V92" s="8">
        <v>11</v>
      </c>
      <c r="W92" s="8">
        <v>13.8</v>
      </c>
      <c r="X92" s="8">
        <v>16.8</v>
      </c>
      <c r="Y92" s="8">
        <v>14.4</v>
      </c>
      <c r="Z92" s="8">
        <v>12.6</v>
      </c>
      <c r="AA92" s="8">
        <v>19.399999999999999</v>
      </c>
      <c r="AB92" s="8">
        <v>18.8</v>
      </c>
      <c r="AC92" s="8">
        <v>15.6</v>
      </c>
      <c r="AD92" s="8">
        <v>15</v>
      </c>
      <c r="AE92" s="8" t="s">
        <v>134</v>
      </c>
      <c r="AF92" s="8">
        <f t="shared" si="25"/>
        <v>0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spans="1:42" x14ac:dyDescent="0.25">
      <c r="A93" s="11" t="s">
        <v>135</v>
      </c>
      <c r="B93" s="11" t="s">
        <v>40</v>
      </c>
      <c r="C93" s="11"/>
      <c r="D93" s="11"/>
      <c r="E93" s="11"/>
      <c r="F93" s="11"/>
      <c r="G93" s="12">
        <v>0</v>
      </c>
      <c r="H93" s="11"/>
      <c r="I93" s="11" t="s">
        <v>36</v>
      </c>
      <c r="J93" s="11"/>
      <c r="K93" s="11"/>
      <c r="L93" s="11">
        <f t="shared" si="18"/>
        <v>0</v>
      </c>
      <c r="M93" s="11"/>
      <c r="N93" s="11"/>
      <c r="O93" s="11">
        <v>0</v>
      </c>
      <c r="P93" s="11"/>
      <c r="Q93" s="11">
        <f t="shared" si="19"/>
        <v>0</v>
      </c>
      <c r="R93" s="13"/>
      <c r="S93" s="11" t="e">
        <f t="shared" si="20"/>
        <v>#DIV/0!</v>
      </c>
      <c r="T93" s="11" t="e">
        <f t="shared" si="21"/>
        <v>#DIV/0!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 t="s">
        <v>41</v>
      </c>
      <c r="AF93" s="11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spans="1:42" x14ac:dyDescent="0.25">
      <c r="A94" s="8" t="s">
        <v>136</v>
      </c>
      <c r="B94" s="8" t="s">
        <v>40</v>
      </c>
      <c r="C94" s="8">
        <v>43</v>
      </c>
      <c r="D94" s="8">
        <v>306</v>
      </c>
      <c r="E94" s="8">
        <v>96</v>
      </c>
      <c r="F94" s="8">
        <v>237</v>
      </c>
      <c r="G94" s="6">
        <v>7.0000000000000007E-2</v>
      </c>
      <c r="H94" s="8">
        <v>90</v>
      </c>
      <c r="I94" s="8" t="s">
        <v>36</v>
      </c>
      <c r="J94" s="8"/>
      <c r="K94" s="8">
        <v>142</v>
      </c>
      <c r="L94" s="8">
        <f t="shared" si="18"/>
        <v>-46</v>
      </c>
      <c r="M94" s="8"/>
      <c r="N94" s="8"/>
      <c r="O94" s="8">
        <v>70</v>
      </c>
      <c r="P94" s="8"/>
      <c r="Q94" s="8">
        <f t="shared" si="19"/>
        <v>19.2</v>
      </c>
      <c r="R94" s="4"/>
      <c r="S94" s="8">
        <f t="shared" si="20"/>
        <v>15.989583333333334</v>
      </c>
      <c r="T94" s="8">
        <f t="shared" si="21"/>
        <v>15.989583333333334</v>
      </c>
      <c r="U94" s="8">
        <v>25.8</v>
      </c>
      <c r="V94" s="8">
        <v>31</v>
      </c>
      <c r="W94" s="8">
        <v>16.399999999999999</v>
      </c>
      <c r="X94" s="8">
        <v>2.8</v>
      </c>
      <c r="Y94" s="8">
        <v>2.8</v>
      </c>
      <c r="Z94" s="8">
        <v>9.1999999999999993</v>
      </c>
      <c r="AA94" s="8">
        <v>29.4</v>
      </c>
      <c r="AB94" s="8">
        <v>32.799999999999997</v>
      </c>
      <c r="AC94" s="8">
        <v>32.200000000000003</v>
      </c>
      <c r="AD94" s="8">
        <v>32.6</v>
      </c>
      <c r="AE94" s="8"/>
      <c r="AF94" s="8">
        <f>G94*R94</f>
        <v>0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spans="1:42" x14ac:dyDescent="0.25">
      <c r="A95" s="8" t="s">
        <v>137</v>
      </c>
      <c r="B95" s="8" t="s">
        <v>40</v>
      </c>
      <c r="C95" s="8">
        <v>59</v>
      </c>
      <c r="D95" s="8">
        <v>311</v>
      </c>
      <c r="E95" s="8">
        <v>85</v>
      </c>
      <c r="F95" s="8">
        <v>238</v>
      </c>
      <c r="G95" s="6">
        <v>7.0000000000000007E-2</v>
      </c>
      <c r="H95" s="8">
        <v>90</v>
      </c>
      <c r="I95" s="8" t="s">
        <v>36</v>
      </c>
      <c r="J95" s="8"/>
      <c r="K95" s="8">
        <v>139</v>
      </c>
      <c r="L95" s="8">
        <f t="shared" si="18"/>
        <v>-54</v>
      </c>
      <c r="M95" s="8"/>
      <c r="N95" s="8"/>
      <c r="O95" s="8">
        <v>70</v>
      </c>
      <c r="P95" s="8"/>
      <c r="Q95" s="8">
        <f t="shared" si="19"/>
        <v>17</v>
      </c>
      <c r="R95" s="4"/>
      <c r="S95" s="8">
        <f t="shared" si="20"/>
        <v>18.117647058823529</v>
      </c>
      <c r="T95" s="8">
        <f t="shared" si="21"/>
        <v>18.117647058823529</v>
      </c>
      <c r="U95" s="8">
        <v>25</v>
      </c>
      <c r="V95" s="8">
        <v>30.4</v>
      </c>
      <c r="W95" s="8">
        <v>28.4</v>
      </c>
      <c r="X95" s="8">
        <v>23.4</v>
      </c>
      <c r="Y95" s="8">
        <v>19.8</v>
      </c>
      <c r="Z95" s="8">
        <v>19.600000000000001</v>
      </c>
      <c r="AA95" s="8">
        <v>24.2</v>
      </c>
      <c r="AB95" s="8">
        <v>23.2</v>
      </c>
      <c r="AC95" s="8">
        <v>21.8</v>
      </c>
      <c r="AD95" s="8">
        <v>23.2</v>
      </c>
      <c r="AE95" s="8"/>
      <c r="AF95" s="8">
        <f>G95*R95</f>
        <v>0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spans="1:42" x14ac:dyDescent="0.25">
      <c r="A96" s="8" t="s">
        <v>138</v>
      </c>
      <c r="B96" s="8" t="s">
        <v>40</v>
      </c>
      <c r="C96" s="8">
        <v>3</v>
      </c>
      <c r="D96" s="8">
        <v>432</v>
      </c>
      <c r="E96" s="8">
        <v>45</v>
      </c>
      <c r="F96" s="8">
        <v>343</v>
      </c>
      <c r="G96" s="6">
        <v>0.3</v>
      </c>
      <c r="H96" s="8">
        <v>40</v>
      </c>
      <c r="I96" s="8" t="s">
        <v>36</v>
      </c>
      <c r="J96" s="8"/>
      <c r="K96" s="8">
        <v>80</v>
      </c>
      <c r="L96" s="8">
        <f t="shared" si="18"/>
        <v>-35</v>
      </c>
      <c r="M96" s="8"/>
      <c r="N96" s="8"/>
      <c r="O96" s="8">
        <v>0</v>
      </c>
      <c r="P96" s="8"/>
      <c r="Q96" s="8">
        <f t="shared" si="19"/>
        <v>9</v>
      </c>
      <c r="R96" s="4"/>
      <c r="S96" s="8">
        <f t="shared" si="20"/>
        <v>38.111111111111114</v>
      </c>
      <c r="T96" s="8">
        <f t="shared" si="21"/>
        <v>38.111111111111114</v>
      </c>
      <c r="U96" s="8">
        <v>15.8</v>
      </c>
      <c r="V96" s="8">
        <v>17.8</v>
      </c>
      <c r="W96" s="8">
        <v>34.6</v>
      </c>
      <c r="X96" s="8">
        <v>38.4</v>
      </c>
      <c r="Y96" s="8">
        <v>21.8</v>
      </c>
      <c r="Z96" s="8">
        <v>15.4</v>
      </c>
      <c r="AA96" s="8">
        <v>20.2</v>
      </c>
      <c r="AB96" s="8">
        <v>25.2</v>
      </c>
      <c r="AC96" s="8">
        <v>35.799999999999997</v>
      </c>
      <c r="AD96" s="8">
        <v>35.200000000000003</v>
      </c>
      <c r="AE96" s="8"/>
      <c r="AF96" s="8">
        <f>G96*R96</f>
        <v>0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spans="1:42" x14ac:dyDescent="0.25">
      <c r="A97" s="11" t="s">
        <v>139</v>
      </c>
      <c r="B97" s="11" t="s">
        <v>35</v>
      </c>
      <c r="C97" s="11">
        <v>5.5E-2</v>
      </c>
      <c r="D97" s="11">
        <v>60.941000000000003</v>
      </c>
      <c r="E97" s="16">
        <f>9.01+E123</f>
        <v>19.058999999999997</v>
      </c>
      <c r="F97" s="11">
        <v>41.963999999999999</v>
      </c>
      <c r="G97" s="12">
        <v>0</v>
      </c>
      <c r="H97" s="11">
        <v>55</v>
      </c>
      <c r="I97" s="11" t="s">
        <v>108</v>
      </c>
      <c r="J97" s="11"/>
      <c r="K97" s="11">
        <v>8.1999999999999993</v>
      </c>
      <c r="L97" s="11">
        <f t="shared" si="18"/>
        <v>10.858999999999998</v>
      </c>
      <c r="M97" s="11"/>
      <c r="N97" s="11"/>
      <c r="O97" s="11">
        <v>0</v>
      </c>
      <c r="P97" s="11"/>
      <c r="Q97" s="11">
        <f t="shared" si="19"/>
        <v>3.8117999999999994</v>
      </c>
      <c r="R97" s="13"/>
      <c r="S97" s="11">
        <f t="shared" si="20"/>
        <v>11.008972139146861</v>
      </c>
      <c r="T97" s="11">
        <f t="shared" si="21"/>
        <v>11.008972139146861</v>
      </c>
      <c r="U97" s="11">
        <v>5.5523999999999996</v>
      </c>
      <c r="V97" s="11">
        <v>6.9555999999999996</v>
      </c>
      <c r="W97" s="11">
        <v>6.8011999999999997</v>
      </c>
      <c r="X97" s="11">
        <v>6.2028000000000008</v>
      </c>
      <c r="Y97" s="11">
        <v>8.6044</v>
      </c>
      <c r="Z97" s="11">
        <v>10.189</v>
      </c>
      <c r="AA97" s="11">
        <v>17.175999999999998</v>
      </c>
      <c r="AB97" s="11">
        <v>17.811599999999999</v>
      </c>
      <c r="AC97" s="11">
        <v>16.019200000000001</v>
      </c>
      <c r="AD97" s="11">
        <v>15.393000000000001</v>
      </c>
      <c r="AE97" s="15" t="s">
        <v>109</v>
      </c>
      <c r="AF97" s="11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spans="1:42" x14ac:dyDescent="0.25">
      <c r="A98" s="11" t="s">
        <v>140</v>
      </c>
      <c r="B98" s="11" t="s">
        <v>40</v>
      </c>
      <c r="C98" s="11"/>
      <c r="D98" s="11"/>
      <c r="E98" s="11"/>
      <c r="F98" s="11"/>
      <c r="G98" s="12">
        <v>0</v>
      </c>
      <c r="H98" s="11"/>
      <c r="I98" s="11" t="s">
        <v>36</v>
      </c>
      <c r="J98" s="11"/>
      <c r="K98" s="11"/>
      <c r="L98" s="11">
        <f t="shared" si="18"/>
        <v>0</v>
      </c>
      <c r="M98" s="11"/>
      <c r="N98" s="11"/>
      <c r="O98" s="11">
        <v>0</v>
      </c>
      <c r="P98" s="11"/>
      <c r="Q98" s="11">
        <f t="shared" si="19"/>
        <v>0</v>
      </c>
      <c r="R98" s="13"/>
      <c r="S98" s="11" t="e">
        <f t="shared" si="20"/>
        <v>#DIV/0!</v>
      </c>
      <c r="T98" s="11" t="e">
        <f t="shared" si="21"/>
        <v>#DIV/0!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 t="s">
        <v>41</v>
      </c>
      <c r="AF98" s="11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spans="1:42" x14ac:dyDescent="0.25">
      <c r="A99" s="11" t="s">
        <v>141</v>
      </c>
      <c r="B99" s="11" t="s">
        <v>40</v>
      </c>
      <c r="C99" s="11"/>
      <c r="D99" s="11"/>
      <c r="E99" s="11"/>
      <c r="F99" s="11"/>
      <c r="G99" s="12">
        <v>0</v>
      </c>
      <c r="H99" s="11">
        <v>30</v>
      </c>
      <c r="I99" s="11" t="s">
        <v>36</v>
      </c>
      <c r="J99" s="11"/>
      <c r="K99" s="11"/>
      <c r="L99" s="11">
        <f t="shared" si="18"/>
        <v>0</v>
      </c>
      <c r="M99" s="11"/>
      <c r="N99" s="11"/>
      <c r="O99" s="11">
        <v>0</v>
      </c>
      <c r="P99" s="11"/>
      <c r="Q99" s="11">
        <f t="shared" si="19"/>
        <v>0</v>
      </c>
      <c r="R99" s="13"/>
      <c r="S99" s="11" t="e">
        <f t="shared" si="20"/>
        <v>#DIV/0!</v>
      </c>
      <c r="T99" s="11" t="e">
        <f t="shared" si="21"/>
        <v>#DIV/0!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 t="s">
        <v>41</v>
      </c>
      <c r="AF99" s="11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spans="1:42" x14ac:dyDescent="0.25">
      <c r="A100" s="8" t="s">
        <v>142</v>
      </c>
      <c r="B100" s="8" t="s">
        <v>40</v>
      </c>
      <c r="C100" s="8">
        <v>257</v>
      </c>
      <c r="D100" s="8">
        <v>442</v>
      </c>
      <c r="E100" s="8">
        <v>220</v>
      </c>
      <c r="F100" s="8">
        <v>383</v>
      </c>
      <c r="G100" s="6">
        <v>0.08</v>
      </c>
      <c r="H100" s="8">
        <v>45</v>
      </c>
      <c r="I100" s="8" t="s">
        <v>36</v>
      </c>
      <c r="J100" s="8"/>
      <c r="K100" s="8">
        <v>233</v>
      </c>
      <c r="L100" s="8">
        <f t="shared" si="18"/>
        <v>-13</v>
      </c>
      <c r="M100" s="8"/>
      <c r="N100" s="8"/>
      <c r="O100" s="8">
        <v>70</v>
      </c>
      <c r="P100" s="8"/>
      <c r="Q100" s="8">
        <f t="shared" si="19"/>
        <v>44</v>
      </c>
      <c r="R100" s="4">
        <f t="shared" ref="R100:R105" si="26">10.5*Q100-P100-O100-F100</f>
        <v>9</v>
      </c>
      <c r="S100" s="8">
        <f t="shared" si="20"/>
        <v>10.5</v>
      </c>
      <c r="T100" s="8">
        <f t="shared" si="21"/>
        <v>10.295454545454545</v>
      </c>
      <c r="U100" s="8">
        <v>39.799999999999997</v>
      </c>
      <c r="V100" s="8">
        <v>45</v>
      </c>
      <c r="W100" s="8">
        <v>57.6</v>
      </c>
      <c r="X100" s="8">
        <v>58</v>
      </c>
      <c r="Y100" s="8">
        <v>53</v>
      </c>
      <c r="Z100" s="8">
        <v>45</v>
      </c>
      <c r="AA100" s="8">
        <v>43.8</v>
      </c>
      <c r="AB100" s="8">
        <v>45.2</v>
      </c>
      <c r="AC100" s="8">
        <v>46.8</v>
      </c>
      <c r="AD100" s="8">
        <v>48.4</v>
      </c>
      <c r="AE100" s="8"/>
      <c r="AF100" s="8">
        <f t="shared" ref="AF100:AF105" si="27">G100*R100</f>
        <v>0.72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spans="1:42" x14ac:dyDescent="0.25">
      <c r="A101" s="8" t="s">
        <v>143</v>
      </c>
      <c r="B101" s="8" t="s">
        <v>40</v>
      </c>
      <c r="C101" s="8">
        <v>239</v>
      </c>
      <c r="D101" s="8">
        <v>290</v>
      </c>
      <c r="E101" s="8">
        <v>204</v>
      </c>
      <c r="F101" s="8">
        <v>258</v>
      </c>
      <c r="G101" s="6">
        <v>0.08</v>
      </c>
      <c r="H101" s="8">
        <v>45</v>
      </c>
      <c r="I101" s="8" t="s">
        <v>36</v>
      </c>
      <c r="J101" s="8"/>
      <c r="K101" s="8">
        <v>219</v>
      </c>
      <c r="L101" s="8">
        <f t="shared" si="18"/>
        <v>-15</v>
      </c>
      <c r="M101" s="8"/>
      <c r="N101" s="8"/>
      <c r="O101" s="8">
        <v>104.9</v>
      </c>
      <c r="P101" s="8"/>
      <c r="Q101" s="8">
        <f t="shared" si="19"/>
        <v>40.799999999999997</v>
      </c>
      <c r="R101" s="4">
        <f t="shared" si="26"/>
        <v>65.5</v>
      </c>
      <c r="S101" s="8">
        <f t="shared" si="20"/>
        <v>10.5</v>
      </c>
      <c r="T101" s="8">
        <f t="shared" si="21"/>
        <v>8.8946078431372548</v>
      </c>
      <c r="U101" s="8">
        <v>40.6</v>
      </c>
      <c r="V101" s="8">
        <v>46</v>
      </c>
      <c r="W101" s="8">
        <v>43</v>
      </c>
      <c r="X101" s="8">
        <v>44.8</v>
      </c>
      <c r="Y101" s="8">
        <v>45.2</v>
      </c>
      <c r="Z101" s="8">
        <v>38.200000000000003</v>
      </c>
      <c r="AA101" s="8">
        <v>41</v>
      </c>
      <c r="AB101" s="8">
        <v>38.6</v>
      </c>
      <c r="AC101" s="8">
        <v>37.6</v>
      </c>
      <c r="AD101" s="8">
        <v>37.6</v>
      </c>
      <c r="AE101" s="8"/>
      <c r="AF101" s="8">
        <f t="shared" si="27"/>
        <v>5.24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spans="1:42" x14ac:dyDescent="0.25">
      <c r="A102" s="8" t="s">
        <v>144</v>
      </c>
      <c r="B102" s="8" t="s">
        <v>40</v>
      </c>
      <c r="C102" s="8">
        <v>8</v>
      </c>
      <c r="D102" s="8">
        <v>91</v>
      </c>
      <c r="E102" s="8">
        <v>-15</v>
      </c>
      <c r="F102" s="8">
        <v>80</v>
      </c>
      <c r="G102" s="6">
        <v>0.17</v>
      </c>
      <c r="H102" s="8">
        <v>30</v>
      </c>
      <c r="I102" s="8" t="s">
        <v>36</v>
      </c>
      <c r="J102" s="8"/>
      <c r="K102" s="8">
        <v>11</v>
      </c>
      <c r="L102" s="8">
        <f t="shared" ref="L102:L133" si="28">E102-K102</f>
        <v>-26</v>
      </c>
      <c r="M102" s="8"/>
      <c r="N102" s="8"/>
      <c r="O102" s="8">
        <v>0</v>
      </c>
      <c r="P102" s="8"/>
      <c r="Q102" s="8">
        <f t="shared" ref="Q102:Q133" si="29">E102/5</f>
        <v>-3</v>
      </c>
      <c r="R102" s="4"/>
      <c r="S102" s="8">
        <f t="shared" ref="S102:S133" si="30">(F102+O102+P102+R102)/Q102</f>
        <v>-26.666666666666668</v>
      </c>
      <c r="T102" s="8">
        <f t="shared" ref="T102:T133" si="31">(F102+O102+P102)/Q102</f>
        <v>-26.666666666666668</v>
      </c>
      <c r="U102" s="8">
        <v>0</v>
      </c>
      <c r="V102" s="8">
        <v>0.6</v>
      </c>
      <c r="W102" s="8">
        <v>6.8</v>
      </c>
      <c r="X102" s="8">
        <v>6</v>
      </c>
      <c r="Y102" s="8">
        <v>0.2</v>
      </c>
      <c r="Z102" s="8">
        <v>0.8</v>
      </c>
      <c r="AA102" s="8">
        <v>-0.6</v>
      </c>
      <c r="AB102" s="8">
        <v>-0.2</v>
      </c>
      <c r="AC102" s="8">
        <v>3.6</v>
      </c>
      <c r="AD102" s="8">
        <v>5</v>
      </c>
      <c r="AE102" s="8" t="s">
        <v>145</v>
      </c>
      <c r="AF102" s="8">
        <f t="shared" si="27"/>
        <v>0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spans="1:42" x14ac:dyDescent="0.25">
      <c r="A103" s="8" t="s">
        <v>146</v>
      </c>
      <c r="B103" s="8" t="s">
        <v>35</v>
      </c>
      <c r="C103" s="8">
        <v>698.03200000000004</v>
      </c>
      <c r="D103" s="8">
        <v>1383.29</v>
      </c>
      <c r="E103" s="8">
        <v>955.428</v>
      </c>
      <c r="F103" s="8">
        <v>695.44500000000005</v>
      </c>
      <c r="G103" s="6">
        <v>1</v>
      </c>
      <c r="H103" s="8">
        <v>40</v>
      </c>
      <c r="I103" s="8" t="s">
        <v>36</v>
      </c>
      <c r="J103" s="8"/>
      <c r="K103" s="8">
        <v>1047.4590000000001</v>
      </c>
      <c r="L103" s="8">
        <f t="shared" si="28"/>
        <v>-92.031000000000063</v>
      </c>
      <c r="M103" s="8"/>
      <c r="N103" s="8"/>
      <c r="O103" s="8">
        <v>508.37992902599967</v>
      </c>
      <c r="P103" s="8">
        <v>443.6424099739998</v>
      </c>
      <c r="Q103" s="8">
        <f t="shared" si="29"/>
        <v>191.0856</v>
      </c>
      <c r="R103" s="4">
        <f t="shared" si="26"/>
        <v>358.93146100000047</v>
      </c>
      <c r="S103" s="8">
        <f t="shared" si="30"/>
        <v>10.5</v>
      </c>
      <c r="T103" s="8">
        <f t="shared" si="31"/>
        <v>8.6216195202568873</v>
      </c>
      <c r="U103" s="8">
        <v>187.43979999999999</v>
      </c>
      <c r="V103" s="8">
        <v>185.25640000000001</v>
      </c>
      <c r="W103" s="8">
        <v>94.037800000000004</v>
      </c>
      <c r="X103" s="8">
        <v>85.136200000000002</v>
      </c>
      <c r="Y103" s="8">
        <v>180.54419999999999</v>
      </c>
      <c r="Z103" s="8">
        <v>136.57839999999999</v>
      </c>
      <c r="AA103" s="8">
        <v>26.54</v>
      </c>
      <c r="AB103" s="8">
        <v>85.914999999999992</v>
      </c>
      <c r="AC103" s="8">
        <v>95.000599999999991</v>
      </c>
      <c r="AD103" s="8">
        <v>36.310600000000001</v>
      </c>
      <c r="AE103" s="8"/>
      <c r="AF103" s="8">
        <f t="shared" si="27"/>
        <v>358.93146100000047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spans="1:42" x14ac:dyDescent="0.25">
      <c r="A104" s="8" t="s">
        <v>147</v>
      </c>
      <c r="B104" s="8" t="s">
        <v>35</v>
      </c>
      <c r="C104" s="8">
        <v>10.593999999999999</v>
      </c>
      <c r="D104" s="8">
        <v>2420.8139999999999</v>
      </c>
      <c r="E104" s="8">
        <v>426.56900000000002</v>
      </c>
      <c r="F104" s="8">
        <v>1696.7850000000001</v>
      </c>
      <c r="G104" s="6">
        <v>1</v>
      </c>
      <c r="H104" s="8">
        <v>40</v>
      </c>
      <c r="I104" s="8" t="s">
        <v>36</v>
      </c>
      <c r="J104" s="8"/>
      <c r="K104" s="8">
        <v>594.1</v>
      </c>
      <c r="L104" s="8">
        <f t="shared" si="28"/>
        <v>-167.53100000000001</v>
      </c>
      <c r="M104" s="8"/>
      <c r="N104" s="8"/>
      <c r="O104" s="8">
        <v>160.19999999999999</v>
      </c>
      <c r="P104" s="8">
        <v>139.80000000000001</v>
      </c>
      <c r="Q104" s="8">
        <f t="shared" si="29"/>
        <v>85.313800000000001</v>
      </c>
      <c r="R104" s="4"/>
      <c r="S104" s="8">
        <f t="shared" si="30"/>
        <v>23.40518181114896</v>
      </c>
      <c r="T104" s="8">
        <f t="shared" si="31"/>
        <v>23.40518181114896</v>
      </c>
      <c r="U104" s="8">
        <v>160.5754</v>
      </c>
      <c r="V104" s="8">
        <v>217.10079999999999</v>
      </c>
      <c r="W104" s="8">
        <v>178.99959999999999</v>
      </c>
      <c r="X104" s="8">
        <v>121.483</v>
      </c>
      <c r="Y104" s="8">
        <v>79.496600000000001</v>
      </c>
      <c r="Z104" s="8">
        <v>111.6002</v>
      </c>
      <c r="AA104" s="8">
        <v>179.07859999999999</v>
      </c>
      <c r="AB104" s="8">
        <v>196.54900000000001</v>
      </c>
      <c r="AC104" s="8">
        <v>84.728999999999999</v>
      </c>
      <c r="AD104" s="8">
        <v>37.037599999999998</v>
      </c>
      <c r="AE104" s="8"/>
      <c r="AF104" s="8">
        <f t="shared" si="27"/>
        <v>0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spans="1:42" x14ac:dyDescent="0.25">
      <c r="A105" s="8" t="s">
        <v>148</v>
      </c>
      <c r="B105" s="8" t="s">
        <v>35</v>
      </c>
      <c r="C105" s="8">
        <v>-2.3439999999999999</v>
      </c>
      <c r="D105" s="8">
        <v>336.423</v>
      </c>
      <c r="E105" s="8">
        <v>257.87099999999998</v>
      </c>
      <c r="F105" s="8">
        <v>0.68300000000000005</v>
      </c>
      <c r="G105" s="6">
        <v>1</v>
      </c>
      <c r="H105" s="8">
        <v>40</v>
      </c>
      <c r="I105" s="9" t="s">
        <v>46</v>
      </c>
      <c r="J105" s="8"/>
      <c r="K105" s="8">
        <v>316.7</v>
      </c>
      <c r="L105" s="8">
        <f t="shared" si="28"/>
        <v>-58.829000000000008</v>
      </c>
      <c r="M105" s="8"/>
      <c r="N105" s="8"/>
      <c r="O105" s="8">
        <v>150</v>
      </c>
      <c r="P105" s="8"/>
      <c r="Q105" s="8">
        <f t="shared" si="29"/>
        <v>51.574199999999998</v>
      </c>
      <c r="R105" s="4">
        <f>9*Q105-P105-O105-F105</f>
        <v>313.48480000000001</v>
      </c>
      <c r="S105" s="8">
        <f t="shared" si="30"/>
        <v>9</v>
      </c>
      <c r="T105" s="8">
        <f t="shared" si="31"/>
        <v>2.9216740153022247</v>
      </c>
      <c r="U105" s="8">
        <v>19.4056</v>
      </c>
      <c r="V105" s="8">
        <v>53.915399999999998</v>
      </c>
      <c r="W105" s="8">
        <v>60.767999999999986</v>
      </c>
      <c r="X105" s="8">
        <v>26.117000000000001</v>
      </c>
      <c r="Y105" s="8">
        <v>34.499200000000002</v>
      </c>
      <c r="Z105" s="8">
        <v>34.926200000000001</v>
      </c>
      <c r="AA105" s="8">
        <v>10.3934</v>
      </c>
      <c r="AB105" s="8">
        <v>9.5038</v>
      </c>
      <c r="AC105" s="8">
        <v>-0.74480000000000002</v>
      </c>
      <c r="AD105" s="8">
        <v>-0.85359999999999991</v>
      </c>
      <c r="AE105" s="8"/>
      <c r="AF105" s="8">
        <f t="shared" si="27"/>
        <v>313.48480000000001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spans="1:42" x14ac:dyDescent="0.25">
      <c r="A106" s="11" t="s">
        <v>149</v>
      </c>
      <c r="B106" s="11" t="s">
        <v>40</v>
      </c>
      <c r="C106" s="11"/>
      <c r="D106" s="11"/>
      <c r="E106" s="11"/>
      <c r="F106" s="11"/>
      <c r="G106" s="12">
        <v>0</v>
      </c>
      <c r="H106" s="11"/>
      <c r="I106" s="11" t="s">
        <v>36</v>
      </c>
      <c r="J106" s="11"/>
      <c r="K106" s="11"/>
      <c r="L106" s="11">
        <f t="shared" si="28"/>
        <v>0</v>
      </c>
      <c r="M106" s="11"/>
      <c r="N106" s="11"/>
      <c r="O106" s="11">
        <v>0</v>
      </c>
      <c r="P106" s="11"/>
      <c r="Q106" s="11">
        <f t="shared" si="29"/>
        <v>0</v>
      </c>
      <c r="R106" s="13"/>
      <c r="S106" s="11" t="e">
        <f t="shared" si="30"/>
        <v>#DIV/0!</v>
      </c>
      <c r="T106" s="11" t="e">
        <f t="shared" si="31"/>
        <v>#DIV/0!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150</v>
      </c>
      <c r="AF106" s="11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spans="1:42" x14ac:dyDescent="0.25">
      <c r="A107" s="11" t="s">
        <v>151</v>
      </c>
      <c r="B107" s="11" t="s">
        <v>35</v>
      </c>
      <c r="C107" s="11">
        <v>55.238</v>
      </c>
      <c r="D107" s="11">
        <v>2.2999999999999998</v>
      </c>
      <c r="E107" s="11">
        <v>5.5380000000000003</v>
      </c>
      <c r="F107" s="11">
        <v>52</v>
      </c>
      <c r="G107" s="12">
        <v>0</v>
      </c>
      <c r="H107" s="11">
        <v>55</v>
      </c>
      <c r="I107" s="11" t="s">
        <v>108</v>
      </c>
      <c r="J107" s="11"/>
      <c r="K107" s="11">
        <v>5.2</v>
      </c>
      <c r="L107" s="11">
        <f t="shared" si="28"/>
        <v>0.33800000000000008</v>
      </c>
      <c r="M107" s="11"/>
      <c r="N107" s="11"/>
      <c r="O107" s="11">
        <v>0</v>
      </c>
      <c r="P107" s="11"/>
      <c r="Q107" s="11">
        <f t="shared" si="29"/>
        <v>1.1076000000000001</v>
      </c>
      <c r="R107" s="13"/>
      <c r="S107" s="11">
        <f t="shared" si="30"/>
        <v>46.948356807511729</v>
      </c>
      <c r="T107" s="11">
        <f t="shared" si="31"/>
        <v>46.948356807511729</v>
      </c>
      <c r="U107" s="11">
        <v>0.26419999999999999</v>
      </c>
      <c r="V107" s="11">
        <v>0.26419999999999999</v>
      </c>
      <c r="W107" s="11">
        <v>1.6339999999999999</v>
      </c>
      <c r="X107" s="11">
        <v>2.1850000000000001</v>
      </c>
      <c r="Y107" s="11">
        <v>1.0946</v>
      </c>
      <c r="Z107" s="11">
        <v>0.54359999999999997</v>
      </c>
      <c r="AA107" s="11">
        <v>4.95</v>
      </c>
      <c r="AB107" s="11">
        <v>4.95</v>
      </c>
      <c r="AC107" s="11">
        <v>2.1389999999999998</v>
      </c>
      <c r="AD107" s="11">
        <v>2.1389999999999998</v>
      </c>
      <c r="AE107" s="14" t="s">
        <v>181</v>
      </c>
      <c r="AF107" s="11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spans="1:42" x14ac:dyDescent="0.25">
      <c r="A108" s="8" t="s">
        <v>152</v>
      </c>
      <c r="B108" s="8" t="s">
        <v>40</v>
      </c>
      <c r="C108" s="8">
        <v>147</v>
      </c>
      <c r="D108" s="8">
        <v>468</v>
      </c>
      <c r="E108" s="8">
        <v>-3</v>
      </c>
      <c r="F108" s="8">
        <v>439</v>
      </c>
      <c r="G108" s="6">
        <v>0.28000000000000003</v>
      </c>
      <c r="H108" s="8">
        <v>40</v>
      </c>
      <c r="I108" s="9" t="s">
        <v>46</v>
      </c>
      <c r="J108" s="8"/>
      <c r="K108" s="8">
        <v>422</v>
      </c>
      <c r="L108" s="8">
        <f t="shared" si="28"/>
        <v>-425</v>
      </c>
      <c r="M108" s="8"/>
      <c r="N108" s="8"/>
      <c r="O108" s="8">
        <v>0</v>
      </c>
      <c r="P108" s="8"/>
      <c r="Q108" s="8">
        <f t="shared" si="29"/>
        <v>-0.6</v>
      </c>
      <c r="R108" s="4"/>
      <c r="S108" s="8">
        <f t="shared" si="30"/>
        <v>-731.66666666666674</v>
      </c>
      <c r="T108" s="8">
        <f t="shared" si="31"/>
        <v>-731.66666666666674</v>
      </c>
      <c r="U108" s="8">
        <v>16</v>
      </c>
      <c r="V108" s="8">
        <v>63.4</v>
      </c>
      <c r="W108" s="8">
        <v>50.2</v>
      </c>
      <c r="X108" s="8">
        <v>3.6</v>
      </c>
      <c r="Y108" s="8">
        <v>50</v>
      </c>
      <c r="Z108" s="8">
        <v>59.4</v>
      </c>
      <c r="AA108" s="8">
        <v>7.2</v>
      </c>
      <c r="AB108" s="8">
        <v>-1.8</v>
      </c>
      <c r="AC108" s="8">
        <v>60.2</v>
      </c>
      <c r="AD108" s="8">
        <v>110.8</v>
      </c>
      <c r="AE108" s="15" t="s">
        <v>109</v>
      </c>
      <c r="AF108" s="8">
        <f>G108*R108</f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spans="1:42" x14ac:dyDescent="0.25">
      <c r="A109" s="11" t="s">
        <v>153</v>
      </c>
      <c r="B109" s="11" t="s">
        <v>40</v>
      </c>
      <c r="C109" s="11"/>
      <c r="D109" s="11"/>
      <c r="E109" s="11"/>
      <c r="F109" s="11"/>
      <c r="G109" s="12">
        <v>0</v>
      </c>
      <c r="H109" s="11"/>
      <c r="I109" s="11" t="s">
        <v>46</v>
      </c>
      <c r="J109" s="11"/>
      <c r="K109" s="11"/>
      <c r="L109" s="11">
        <f t="shared" si="28"/>
        <v>0</v>
      </c>
      <c r="M109" s="11"/>
      <c r="N109" s="11"/>
      <c r="O109" s="11">
        <v>0</v>
      </c>
      <c r="P109" s="11"/>
      <c r="Q109" s="11">
        <f t="shared" si="29"/>
        <v>0</v>
      </c>
      <c r="R109" s="13"/>
      <c r="S109" s="11" t="e">
        <f t="shared" si="30"/>
        <v>#DIV/0!</v>
      </c>
      <c r="T109" s="11" t="e">
        <f t="shared" si="31"/>
        <v>#DIV/0!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 t="s">
        <v>41</v>
      </c>
      <c r="AF109" s="11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spans="1:42" x14ac:dyDescent="0.25">
      <c r="A110" s="8" t="s">
        <v>154</v>
      </c>
      <c r="B110" s="8" t="s">
        <v>40</v>
      </c>
      <c r="C110" s="8">
        <v>144</v>
      </c>
      <c r="D110" s="8">
        <v>369</v>
      </c>
      <c r="E110" s="8">
        <v>70</v>
      </c>
      <c r="F110" s="8">
        <v>271</v>
      </c>
      <c r="G110" s="6">
        <v>0.28000000000000003</v>
      </c>
      <c r="H110" s="8">
        <v>40</v>
      </c>
      <c r="I110" s="9" t="s">
        <v>46</v>
      </c>
      <c r="J110" s="8"/>
      <c r="K110" s="8">
        <v>467</v>
      </c>
      <c r="L110" s="8">
        <f t="shared" si="28"/>
        <v>-397</v>
      </c>
      <c r="M110" s="8"/>
      <c r="N110" s="8"/>
      <c r="O110" s="8">
        <v>100</v>
      </c>
      <c r="P110" s="8"/>
      <c r="Q110" s="8">
        <f t="shared" si="29"/>
        <v>14</v>
      </c>
      <c r="R110" s="4"/>
      <c r="S110" s="8">
        <f t="shared" si="30"/>
        <v>26.5</v>
      </c>
      <c r="T110" s="8">
        <f t="shared" si="31"/>
        <v>26.5</v>
      </c>
      <c r="U110" s="8">
        <v>-1.2</v>
      </c>
      <c r="V110" s="8">
        <v>33.4</v>
      </c>
      <c r="W110" s="8">
        <v>39.200000000000003</v>
      </c>
      <c r="X110" s="8">
        <v>5</v>
      </c>
      <c r="Y110" s="8">
        <v>16.600000000000001</v>
      </c>
      <c r="Z110" s="8">
        <v>23.2</v>
      </c>
      <c r="AA110" s="8">
        <v>5.2</v>
      </c>
      <c r="AB110" s="8">
        <v>-1.4</v>
      </c>
      <c r="AC110" s="8">
        <v>38.6</v>
      </c>
      <c r="AD110" s="8">
        <v>63</v>
      </c>
      <c r="AE110" s="15" t="s">
        <v>109</v>
      </c>
      <c r="AF110" s="8">
        <f>G110*R110</f>
        <v>0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spans="1:42" x14ac:dyDescent="0.25">
      <c r="A111" s="8" t="s">
        <v>155</v>
      </c>
      <c r="B111" s="8" t="s">
        <v>40</v>
      </c>
      <c r="C111" s="8">
        <v>123</v>
      </c>
      <c r="D111" s="8">
        <v>69</v>
      </c>
      <c r="E111" s="8">
        <v>68</v>
      </c>
      <c r="F111" s="8">
        <v>106</v>
      </c>
      <c r="G111" s="6">
        <v>0.09</v>
      </c>
      <c r="H111" s="8"/>
      <c r="I111" s="8" t="s">
        <v>36</v>
      </c>
      <c r="J111" s="8"/>
      <c r="K111" s="8">
        <v>69</v>
      </c>
      <c r="L111" s="8">
        <f t="shared" si="28"/>
        <v>-1</v>
      </c>
      <c r="M111" s="8"/>
      <c r="N111" s="8"/>
      <c r="O111" s="8">
        <v>32.652000000000029</v>
      </c>
      <c r="P111" s="8"/>
      <c r="Q111" s="8">
        <f t="shared" si="29"/>
        <v>13.6</v>
      </c>
      <c r="R111" s="4">
        <v>10</v>
      </c>
      <c r="S111" s="8">
        <f t="shared" si="30"/>
        <v>10.930294117647062</v>
      </c>
      <c r="T111" s="8">
        <f t="shared" si="31"/>
        <v>10.195000000000004</v>
      </c>
      <c r="U111" s="8">
        <v>16.2</v>
      </c>
      <c r="V111" s="8">
        <v>17</v>
      </c>
      <c r="W111" s="8">
        <v>20.399999999999999</v>
      </c>
      <c r="X111" s="8">
        <v>24</v>
      </c>
      <c r="Y111" s="8">
        <v>21.8</v>
      </c>
      <c r="Z111" s="8">
        <v>21</v>
      </c>
      <c r="AA111" s="8">
        <v>21</v>
      </c>
      <c r="AB111" s="8">
        <v>21.6</v>
      </c>
      <c r="AC111" s="8">
        <v>22.4</v>
      </c>
      <c r="AD111" s="8">
        <v>19.8</v>
      </c>
      <c r="AE111" s="8"/>
      <c r="AF111" s="8">
        <f>G111*R111</f>
        <v>0.89999999999999991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spans="1:42" x14ac:dyDescent="0.25">
      <c r="A112" s="8" t="s">
        <v>156</v>
      </c>
      <c r="B112" s="8" t="s">
        <v>35</v>
      </c>
      <c r="C112" s="8">
        <v>172.64099999999999</v>
      </c>
      <c r="D112" s="8">
        <v>224.80799999999999</v>
      </c>
      <c r="E112" s="8">
        <v>57.564</v>
      </c>
      <c r="F112" s="8">
        <v>321.79300000000001</v>
      </c>
      <c r="G112" s="6">
        <v>1</v>
      </c>
      <c r="H112" s="8">
        <v>60</v>
      </c>
      <c r="I112" s="8" t="s">
        <v>36</v>
      </c>
      <c r="J112" s="8"/>
      <c r="K112" s="8">
        <v>57.5</v>
      </c>
      <c r="L112" s="8">
        <f t="shared" si="28"/>
        <v>6.4000000000000057E-2</v>
      </c>
      <c r="M112" s="8"/>
      <c r="N112" s="8"/>
      <c r="O112" s="8">
        <v>158.65270000000001</v>
      </c>
      <c r="P112" s="8"/>
      <c r="Q112" s="8">
        <f t="shared" si="29"/>
        <v>11.5128</v>
      </c>
      <c r="R112" s="4"/>
      <c r="S112" s="8">
        <f t="shared" si="30"/>
        <v>41.731438051559998</v>
      </c>
      <c r="T112" s="8">
        <f t="shared" si="31"/>
        <v>41.731438051559998</v>
      </c>
      <c r="U112" s="8">
        <v>43.347799999999999</v>
      </c>
      <c r="V112" s="8">
        <v>43.808</v>
      </c>
      <c r="W112" s="8">
        <v>13.9482</v>
      </c>
      <c r="X112" s="8">
        <v>14.5182</v>
      </c>
      <c r="Y112" s="8">
        <v>12.6028</v>
      </c>
      <c r="Z112" s="8">
        <v>11.6654</v>
      </c>
      <c r="AA112" s="8">
        <v>14.174200000000001</v>
      </c>
      <c r="AB112" s="8">
        <v>45.174799999999998</v>
      </c>
      <c r="AC112" s="8">
        <v>44.218200000000003</v>
      </c>
      <c r="AD112" s="8">
        <v>10.622999999999999</v>
      </c>
      <c r="AE112" s="15" t="s">
        <v>109</v>
      </c>
      <c r="AF112" s="8">
        <f>G112*R112</f>
        <v>0</v>
      </c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spans="1:42" x14ac:dyDescent="0.25">
      <c r="A113" s="8" t="s">
        <v>157</v>
      </c>
      <c r="B113" s="8" t="s">
        <v>35</v>
      </c>
      <c r="C113" s="8">
        <v>89.655000000000001</v>
      </c>
      <c r="D113" s="8"/>
      <c r="E113" s="8"/>
      <c r="F113" s="8">
        <v>89.655000000000001</v>
      </c>
      <c r="G113" s="6">
        <v>1</v>
      </c>
      <c r="H113" s="8">
        <v>50</v>
      </c>
      <c r="I113" s="8" t="s">
        <v>36</v>
      </c>
      <c r="J113" s="8"/>
      <c r="K113" s="8">
        <v>7.5</v>
      </c>
      <c r="L113" s="8">
        <f t="shared" si="28"/>
        <v>-7.5</v>
      </c>
      <c r="M113" s="8"/>
      <c r="N113" s="8"/>
      <c r="O113" s="8">
        <v>0</v>
      </c>
      <c r="P113" s="8"/>
      <c r="Q113" s="8">
        <f t="shared" si="29"/>
        <v>0</v>
      </c>
      <c r="R113" s="4"/>
      <c r="S113" s="8" t="e">
        <f t="shared" si="30"/>
        <v>#DIV/0!</v>
      </c>
      <c r="T113" s="8" t="e">
        <f t="shared" si="31"/>
        <v>#DIV/0!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-0.3352</v>
      </c>
      <c r="AE113" s="15" t="s">
        <v>109</v>
      </c>
      <c r="AF113" s="8">
        <f>G113*R113</f>
        <v>0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spans="1:42" x14ac:dyDescent="0.25">
      <c r="A114" s="8" t="s">
        <v>158</v>
      </c>
      <c r="B114" s="8" t="s">
        <v>40</v>
      </c>
      <c r="C114" s="8">
        <v>87</v>
      </c>
      <c r="D114" s="8">
        <v>46</v>
      </c>
      <c r="E114" s="8">
        <v>51</v>
      </c>
      <c r="F114" s="8">
        <v>74</v>
      </c>
      <c r="G114" s="6">
        <v>0.09</v>
      </c>
      <c r="H114" s="8"/>
      <c r="I114" s="8" t="s">
        <v>36</v>
      </c>
      <c r="J114" s="8"/>
      <c r="K114" s="8">
        <v>57</v>
      </c>
      <c r="L114" s="8">
        <f t="shared" si="28"/>
        <v>-6</v>
      </c>
      <c r="M114" s="8"/>
      <c r="N114" s="8"/>
      <c r="O114" s="8">
        <v>58.400000000000013</v>
      </c>
      <c r="P114" s="8"/>
      <c r="Q114" s="8">
        <f t="shared" si="29"/>
        <v>10.199999999999999</v>
      </c>
      <c r="R114" s="4"/>
      <c r="S114" s="8">
        <f t="shared" si="30"/>
        <v>12.980392156862747</v>
      </c>
      <c r="T114" s="8">
        <f t="shared" si="31"/>
        <v>12.980392156862747</v>
      </c>
      <c r="U114" s="8">
        <v>10.8</v>
      </c>
      <c r="V114" s="8">
        <v>9.6</v>
      </c>
      <c r="W114" s="8">
        <v>5.6</v>
      </c>
      <c r="X114" s="8">
        <v>9.8000000000000007</v>
      </c>
      <c r="Y114" s="8">
        <v>15</v>
      </c>
      <c r="Z114" s="8">
        <v>11.6</v>
      </c>
      <c r="AA114" s="8">
        <v>11.8</v>
      </c>
      <c r="AB114" s="8">
        <v>12.6</v>
      </c>
      <c r="AC114" s="8">
        <v>8.1999999999999993</v>
      </c>
      <c r="AD114" s="8">
        <v>6.6</v>
      </c>
      <c r="AE114" s="8"/>
      <c r="AF114" s="8">
        <f>G114*R114</f>
        <v>0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spans="1:42" x14ac:dyDescent="0.25">
      <c r="A115" s="11" t="s">
        <v>159</v>
      </c>
      <c r="B115" s="11" t="s">
        <v>40</v>
      </c>
      <c r="C115" s="11"/>
      <c r="D115" s="11"/>
      <c r="E115" s="11"/>
      <c r="F115" s="11"/>
      <c r="G115" s="12">
        <v>0</v>
      </c>
      <c r="H115" s="11"/>
      <c r="I115" s="11" t="s">
        <v>36</v>
      </c>
      <c r="J115" s="11"/>
      <c r="K115" s="11"/>
      <c r="L115" s="11">
        <f t="shared" si="28"/>
        <v>0</v>
      </c>
      <c r="M115" s="11"/>
      <c r="N115" s="11"/>
      <c r="O115" s="11">
        <v>0</v>
      </c>
      <c r="P115" s="11"/>
      <c r="Q115" s="11">
        <f t="shared" si="29"/>
        <v>0</v>
      </c>
      <c r="R115" s="13"/>
      <c r="S115" s="11" t="e">
        <f t="shared" si="30"/>
        <v>#DIV/0!</v>
      </c>
      <c r="T115" s="11" t="e">
        <f t="shared" si="31"/>
        <v>#DIV/0!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 t="s">
        <v>41</v>
      </c>
      <c r="AF115" s="11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spans="1:42" x14ac:dyDescent="0.25">
      <c r="A116" s="8" t="s">
        <v>160</v>
      </c>
      <c r="B116" s="8" t="s">
        <v>35</v>
      </c>
      <c r="C116" s="8">
        <v>509.983</v>
      </c>
      <c r="D116" s="8">
        <v>671.79499999999996</v>
      </c>
      <c r="E116" s="8">
        <v>473.57</v>
      </c>
      <c r="F116" s="8">
        <v>543.31899999999996</v>
      </c>
      <c r="G116" s="6">
        <v>1</v>
      </c>
      <c r="H116" s="8">
        <v>60</v>
      </c>
      <c r="I116" s="8" t="s">
        <v>36</v>
      </c>
      <c r="J116" s="8"/>
      <c r="K116" s="8">
        <v>458.85</v>
      </c>
      <c r="L116" s="8">
        <f t="shared" si="28"/>
        <v>14.71999999999997</v>
      </c>
      <c r="M116" s="8"/>
      <c r="N116" s="8"/>
      <c r="O116" s="8">
        <v>175.17400614000019</v>
      </c>
      <c r="P116" s="8">
        <v>152.86720386000019</v>
      </c>
      <c r="Q116" s="8">
        <f t="shared" si="29"/>
        <v>94.713999999999999</v>
      </c>
      <c r="R116" s="4">
        <f t="shared" ref="R116:R122" si="32">10.5*Q116-P116-O116-F116</f>
        <v>123.13678999999968</v>
      </c>
      <c r="S116" s="8">
        <f t="shared" si="30"/>
        <v>10.5</v>
      </c>
      <c r="T116" s="8">
        <f t="shared" si="31"/>
        <v>9.1999093059104275</v>
      </c>
      <c r="U116" s="8">
        <v>97.586800000000011</v>
      </c>
      <c r="V116" s="8">
        <v>95.525800000000004</v>
      </c>
      <c r="W116" s="8">
        <v>84.726399999999998</v>
      </c>
      <c r="X116" s="8">
        <v>79.7958</v>
      </c>
      <c r="Y116" s="8">
        <v>96.615600000000001</v>
      </c>
      <c r="Z116" s="8">
        <v>82.1096</v>
      </c>
      <c r="AA116" s="8">
        <v>69.9298</v>
      </c>
      <c r="AB116" s="8">
        <v>86.117800000000003</v>
      </c>
      <c r="AC116" s="8">
        <v>86.794000000000011</v>
      </c>
      <c r="AD116" s="8">
        <v>73.754199999999997</v>
      </c>
      <c r="AE116" s="8"/>
      <c r="AF116" s="8">
        <f t="shared" ref="AF116:AF122" si="33">G116*R116</f>
        <v>123.13678999999968</v>
      </c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spans="1:42" x14ac:dyDescent="0.25">
      <c r="A117" s="8" t="s">
        <v>161</v>
      </c>
      <c r="B117" s="8" t="s">
        <v>35</v>
      </c>
      <c r="C117" s="8">
        <v>596.95399999999995</v>
      </c>
      <c r="D117" s="8">
        <v>977.57</v>
      </c>
      <c r="E117" s="8">
        <v>550.35699999999997</v>
      </c>
      <c r="F117" s="8">
        <v>798.46500000000003</v>
      </c>
      <c r="G117" s="6">
        <v>1</v>
      </c>
      <c r="H117" s="8">
        <v>60</v>
      </c>
      <c r="I117" s="8" t="s">
        <v>36</v>
      </c>
      <c r="J117" s="8"/>
      <c r="K117" s="8">
        <v>530.03399999999999</v>
      </c>
      <c r="L117" s="8">
        <f t="shared" si="28"/>
        <v>20.322999999999979</v>
      </c>
      <c r="M117" s="8"/>
      <c r="N117" s="8"/>
      <c r="O117" s="8">
        <v>163.027685394</v>
      </c>
      <c r="P117" s="8">
        <v>142.26760560599999</v>
      </c>
      <c r="Q117" s="8">
        <f t="shared" si="29"/>
        <v>110.0714</v>
      </c>
      <c r="R117" s="4">
        <f t="shared" si="32"/>
        <v>51.989409000000137</v>
      </c>
      <c r="S117" s="8">
        <f t="shared" si="30"/>
        <v>10.500000000000004</v>
      </c>
      <c r="T117" s="8">
        <f t="shared" si="31"/>
        <v>10.027675590571212</v>
      </c>
      <c r="U117" s="8">
        <v>127.0774</v>
      </c>
      <c r="V117" s="8">
        <v>140.6326</v>
      </c>
      <c r="W117" s="8">
        <v>119.9984</v>
      </c>
      <c r="X117" s="8">
        <v>104.12860000000001</v>
      </c>
      <c r="Y117" s="8">
        <v>125.753</v>
      </c>
      <c r="Z117" s="8">
        <v>106.21599999999999</v>
      </c>
      <c r="AA117" s="8">
        <v>88.082799999999992</v>
      </c>
      <c r="AB117" s="8">
        <v>110.0094</v>
      </c>
      <c r="AC117" s="8">
        <v>126.1358</v>
      </c>
      <c r="AD117" s="8">
        <v>118.1798</v>
      </c>
      <c r="AE117" s="8"/>
      <c r="AF117" s="8">
        <f t="shared" si="33"/>
        <v>51.989409000000137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spans="1:42" x14ac:dyDescent="0.25">
      <c r="A118" s="8" t="s">
        <v>162</v>
      </c>
      <c r="B118" s="8" t="s">
        <v>35</v>
      </c>
      <c r="C118" s="8">
        <v>316.29199999999997</v>
      </c>
      <c r="D118" s="8">
        <v>88.992999999999995</v>
      </c>
      <c r="E118" s="8">
        <v>124.87</v>
      </c>
      <c r="F118" s="8">
        <v>236.58199999999999</v>
      </c>
      <c r="G118" s="6">
        <v>1</v>
      </c>
      <c r="H118" s="8">
        <v>60</v>
      </c>
      <c r="I118" s="8" t="s">
        <v>36</v>
      </c>
      <c r="J118" s="8"/>
      <c r="K118" s="8">
        <v>124.4</v>
      </c>
      <c r="L118" s="8">
        <f t="shared" si="28"/>
        <v>0.46999999999999886</v>
      </c>
      <c r="M118" s="8"/>
      <c r="N118" s="8"/>
      <c r="O118" s="8">
        <v>114.01559999999991</v>
      </c>
      <c r="P118" s="8"/>
      <c r="Q118" s="8">
        <f t="shared" si="29"/>
        <v>24.974</v>
      </c>
      <c r="R118" s="4"/>
      <c r="S118" s="8">
        <f t="shared" si="30"/>
        <v>14.03850404420597</v>
      </c>
      <c r="T118" s="8">
        <f t="shared" si="31"/>
        <v>14.03850404420597</v>
      </c>
      <c r="U118" s="8">
        <v>35.547400000000003</v>
      </c>
      <c r="V118" s="8">
        <v>35.698999999999998</v>
      </c>
      <c r="W118" s="8">
        <v>29.297999999999998</v>
      </c>
      <c r="X118" s="8">
        <v>30.648</v>
      </c>
      <c r="Y118" s="8">
        <v>46.579000000000001</v>
      </c>
      <c r="Z118" s="8">
        <v>41.085599999999999</v>
      </c>
      <c r="AA118" s="8">
        <v>25.831600000000002</v>
      </c>
      <c r="AB118" s="8">
        <v>33.179000000000002</v>
      </c>
      <c r="AC118" s="8">
        <v>34.262799999999999</v>
      </c>
      <c r="AD118" s="8">
        <v>34.434399999999997</v>
      </c>
      <c r="AE118" s="8"/>
      <c r="AF118" s="8">
        <f t="shared" si="33"/>
        <v>0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spans="1:42" x14ac:dyDescent="0.25">
      <c r="A119" s="8" t="s">
        <v>163</v>
      </c>
      <c r="B119" s="8" t="s">
        <v>35</v>
      </c>
      <c r="C119" s="8">
        <v>1486.193</v>
      </c>
      <c r="D119" s="8">
        <v>4171.4340000000002</v>
      </c>
      <c r="E119" s="8">
        <v>2001.0170000000001</v>
      </c>
      <c r="F119" s="8">
        <v>2806.1350000000002</v>
      </c>
      <c r="G119" s="6">
        <v>1</v>
      </c>
      <c r="H119" s="8">
        <v>60</v>
      </c>
      <c r="I119" s="8" t="s">
        <v>36</v>
      </c>
      <c r="J119" s="8"/>
      <c r="K119" s="8">
        <v>2230.65</v>
      </c>
      <c r="L119" s="8">
        <f t="shared" si="28"/>
        <v>-229.63300000000004</v>
      </c>
      <c r="M119" s="8"/>
      <c r="N119" s="8"/>
      <c r="O119" s="8">
        <v>749.87628927600031</v>
      </c>
      <c r="P119" s="8">
        <v>654.38642472400034</v>
      </c>
      <c r="Q119" s="8">
        <f t="shared" si="29"/>
        <v>400.20339999999999</v>
      </c>
      <c r="R119" s="4"/>
      <c r="S119" s="8">
        <f t="shared" si="30"/>
        <v>10.520644537252808</v>
      </c>
      <c r="T119" s="8">
        <f t="shared" si="31"/>
        <v>10.520644537252808</v>
      </c>
      <c r="U119" s="8">
        <v>471.28120000000001</v>
      </c>
      <c r="V119" s="8">
        <v>487.17340000000002</v>
      </c>
      <c r="W119" s="8">
        <v>435.375</v>
      </c>
      <c r="X119" s="8">
        <v>425.35119999999989</v>
      </c>
      <c r="Y119" s="8">
        <v>404.13080000000002</v>
      </c>
      <c r="Z119" s="8">
        <v>357.29899999999998</v>
      </c>
      <c r="AA119" s="8">
        <v>310.04700000000003</v>
      </c>
      <c r="AB119" s="8">
        <v>340.2808</v>
      </c>
      <c r="AC119" s="8">
        <v>387.70940000000002</v>
      </c>
      <c r="AD119" s="8">
        <v>346.7552</v>
      </c>
      <c r="AE119" s="8"/>
      <c r="AF119" s="8">
        <f t="shared" si="33"/>
        <v>0</v>
      </c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spans="1:42" x14ac:dyDescent="0.25">
      <c r="A120" s="8" t="s">
        <v>164</v>
      </c>
      <c r="B120" s="8" t="s">
        <v>40</v>
      </c>
      <c r="C120" s="8">
        <v>328</v>
      </c>
      <c r="D120" s="8">
        <v>1</v>
      </c>
      <c r="E120" s="8">
        <v>22</v>
      </c>
      <c r="F120" s="8">
        <v>307</v>
      </c>
      <c r="G120" s="6">
        <v>0.25</v>
      </c>
      <c r="H120" s="8">
        <v>1096</v>
      </c>
      <c r="I120" s="10" t="s">
        <v>87</v>
      </c>
      <c r="J120" s="8"/>
      <c r="K120" s="8">
        <v>22</v>
      </c>
      <c r="L120" s="8">
        <f t="shared" si="28"/>
        <v>0</v>
      </c>
      <c r="M120" s="8"/>
      <c r="N120" s="8"/>
      <c r="O120" s="8">
        <v>0</v>
      </c>
      <c r="P120" s="8"/>
      <c r="Q120" s="8">
        <f t="shared" si="29"/>
        <v>4.4000000000000004</v>
      </c>
      <c r="R120" s="4"/>
      <c r="S120" s="8">
        <f t="shared" si="30"/>
        <v>69.772727272727266</v>
      </c>
      <c r="T120" s="8">
        <f t="shared" si="31"/>
        <v>69.772727272727266</v>
      </c>
      <c r="U120" s="8">
        <v>4.4000000000000004</v>
      </c>
      <c r="V120" s="8">
        <v>4.4000000000000004</v>
      </c>
      <c r="W120" s="8">
        <v>2.2000000000000002</v>
      </c>
      <c r="X120" s="8">
        <v>2.4</v>
      </c>
      <c r="Y120" s="8">
        <v>6.4</v>
      </c>
      <c r="Z120" s="8">
        <v>5.6</v>
      </c>
      <c r="AA120" s="8">
        <v>3</v>
      </c>
      <c r="AB120" s="8">
        <v>3.4</v>
      </c>
      <c r="AC120" s="8">
        <v>7.4</v>
      </c>
      <c r="AD120" s="8">
        <v>11.8</v>
      </c>
      <c r="AE120" s="14" t="s">
        <v>183</v>
      </c>
      <c r="AF120" s="8">
        <f t="shared" si="33"/>
        <v>0</v>
      </c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spans="1:42" x14ac:dyDescent="0.25">
      <c r="A121" s="8" t="s">
        <v>165</v>
      </c>
      <c r="B121" s="8" t="s">
        <v>40</v>
      </c>
      <c r="C121" s="8">
        <v>300</v>
      </c>
      <c r="D121" s="8"/>
      <c r="E121" s="8">
        <v>4</v>
      </c>
      <c r="F121" s="8">
        <v>296</v>
      </c>
      <c r="G121" s="6">
        <v>0.32500000000000001</v>
      </c>
      <c r="H121" s="8">
        <v>1096</v>
      </c>
      <c r="I121" s="8" t="s">
        <v>36</v>
      </c>
      <c r="J121" s="8"/>
      <c r="K121" s="8">
        <v>4</v>
      </c>
      <c r="L121" s="8">
        <f t="shared" si="28"/>
        <v>0</v>
      </c>
      <c r="M121" s="8"/>
      <c r="N121" s="8"/>
      <c r="O121" s="8">
        <v>0</v>
      </c>
      <c r="P121" s="8"/>
      <c r="Q121" s="8">
        <f t="shared" si="29"/>
        <v>0.8</v>
      </c>
      <c r="R121" s="4"/>
      <c r="S121" s="8">
        <f t="shared" si="30"/>
        <v>370</v>
      </c>
      <c r="T121" s="8">
        <f t="shared" si="31"/>
        <v>370</v>
      </c>
      <c r="U121" s="8">
        <v>0.2</v>
      </c>
      <c r="V121" s="8">
        <v>1.2</v>
      </c>
      <c r="W121" s="8">
        <v>2.6</v>
      </c>
      <c r="X121" s="8">
        <v>3</v>
      </c>
      <c r="Y121" s="8">
        <v>2.4</v>
      </c>
      <c r="Z121" s="8">
        <v>1</v>
      </c>
      <c r="AA121" s="8">
        <v>1.8</v>
      </c>
      <c r="AB121" s="8">
        <v>3.2</v>
      </c>
      <c r="AC121" s="8">
        <v>3.4</v>
      </c>
      <c r="AD121" s="8">
        <v>5.6</v>
      </c>
      <c r="AE121" s="15" t="s">
        <v>109</v>
      </c>
      <c r="AF121" s="8">
        <f t="shared" si="33"/>
        <v>0</v>
      </c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spans="1:42" x14ac:dyDescent="0.25">
      <c r="A122" s="8" t="s">
        <v>166</v>
      </c>
      <c r="B122" s="8" t="s">
        <v>40</v>
      </c>
      <c r="C122" s="8">
        <v>299</v>
      </c>
      <c r="D122" s="8">
        <v>4</v>
      </c>
      <c r="E122" s="8">
        <v>22</v>
      </c>
      <c r="F122" s="8">
        <v>281</v>
      </c>
      <c r="G122" s="6">
        <v>0.25</v>
      </c>
      <c r="H122" s="8">
        <v>1096</v>
      </c>
      <c r="I122" s="10" t="s">
        <v>87</v>
      </c>
      <c r="J122" s="8"/>
      <c r="K122" s="8">
        <v>22</v>
      </c>
      <c r="L122" s="8">
        <f t="shared" si="28"/>
        <v>0</v>
      </c>
      <c r="M122" s="8"/>
      <c r="N122" s="8"/>
      <c r="O122" s="8">
        <v>0</v>
      </c>
      <c r="P122" s="8"/>
      <c r="Q122" s="8">
        <f t="shared" si="29"/>
        <v>4.4000000000000004</v>
      </c>
      <c r="R122" s="4"/>
      <c r="S122" s="8">
        <f t="shared" si="30"/>
        <v>63.86363636363636</v>
      </c>
      <c r="T122" s="8">
        <f t="shared" si="31"/>
        <v>63.86363636363636</v>
      </c>
      <c r="U122" s="8">
        <v>2.2000000000000002</v>
      </c>
      <c r="V122" s="8">
        <v>1.6</v>
      </c>
      <c r="W122" s="8">
        <v>2.2000000000000002</v>
      </c>
      <c r="X122" s="8">
        <v>3.4</v>
      </c>
      <c r="Y122" s="8">
        <v>4.8</v>
      </c>
      <c r="Z122" s="8">
        <v>4</v>
      </c>
      <c r="AA122" s="8">
        <v>4</v>
      </c>
      <c r="AB122" s="8">
        <v>4.4000000000000004</v>
      </c>
      <c r="AC122" s="8">
        <v>8.1999999999999993</v>
      </c>
      <c r="AD122" s="8">
        <v>14</v>
      </c>
      <c r="AE122" s="14" t="s">
        <v>184</v>
      </c>
      <c r="AF122" s="8">
        <f t="shared" si="33"/>
        <v>0</v>
      </c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spans="1:42" x14ac:dyDescent="0.25">
      <c r="A123" s="11" t="s">
        <v>167</v>
      </c>
      <c r="B123" s="11" t="s">
        <v>35</v>
      </c>
      <c r="C123" s="11">
        <v>73.402000000000001</v>
      </c>
      <c r="D123" s="11">
        <v>2.0059999999999998</v>
      </c>
      <c r="E123" s="16">
        <v>10.048999999999999</v>
      </c>
      <c r="F123" s="11"/>
      <c r="G123" s="12">
        <v>0</v>
      </c>
      <c r="H123" s="11"/>
      <c r="I123" s="11" t="s">
        <v>168</v>
      </c>
      <c r="J123" s="11" t="s">
        <v>139</v>
      </c>
      <c r="K123" s="11">
        <v>11.7</v>
      </c>
      <c r="L123" s="11">
        <f t="shared" si="28"/>
        <v>-1.6509999999999998</v>
      </c>
      <c r="M123" s="11"/>
      <c r="N123" s="11"/>
      <c r="O123" s="11">
        <v>0</v>
      </c>
      <c r="P123" s="11"/>
      <c r="Q123" s="11">
        <f t="shared" si="29"/>
        <v>2.0097999999999998</v>
      </c>
      <c r="R123" s="13"/>
      <c r="S123" s="11">
        <f t="shared" si="30"/>
        <v>0</v>
      </c>
      <c r="T123" s="11">
        <f t="shared" si="31"/>
        <v>0</v>
      </c>
      <c r="U123" s="11">
        <v>5.3932000000000002</v>
      </c>
      <c r="V123" s="11">
        <v>7.3956</v>
      </c>
      <c r="W123" s="11">
        <v>3.5994000000000002</v>
      </c>
      <c r="X123" s="11">
        <v>1.7998000000000001</v>
      </c>
      <c r="Y123" s="11">
        <v>0.60199999999999998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/>
      <c r="AF123" s="11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spans="1:42" x14ac:dyDescent="0.25">
      <c r="A124" s="11" t="s">
        <v>169</v>
      </c>
      <c r="B124" s="11" t="s">
        <v>35</v>
      </c>
      <c r="C124" s="11">
        <v>62.085000000000001</v>
      </c>
      <c r="D124" s="11"/>
      <c r="E124" s="16">
        <v>1.4450000000000001</v>
      </c>
      <c r="F124" s="11"/>
      <c r="G124" s="12">
        <v>0</v>
      </c>
      <c r="H124" s="11"/>
      <c r="I124" s="11" t="s">
        <v>168</v>
      </c>
      <c r="J124" s="11" t="s">
        <v>86</v>
      </c>
      <c r="K124" s="11">
        <v>1.4</v>
      </c>
      <c r="L124" s="11">
        <f t="shared" si="28"/>
        <v>4.5000000000000151E-2</v>
      </c>
      <c r="M124" s="11"/>
      <c r="N124" s="11"/>
      <c r="O124" s="11">
        <v>0</v>
      </c>
      <c r="P124" s="11"/>
      <c r="Q124" s="11">
        <f t="shared" si="29"/>
        <v>0.28900000000000003</v>
      </c>
      <c r="R124" s="13"/>
      <c r="S124" s="11">
        <f t="shared" si="30"/>
        <v>0</v>
      </c>
      <c r="T124" s="11">
        <f t="shared" si="31"/>
        <v>0</v>
      </c>
      <c r="U124" s="11">
        <v>0.28899999999999998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/>
      <c r="AF124" s="11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spans="1:42" x14ac:dyDescent="0.25">
      <c r="A125" s="8" t="s">
        <v>170</v>
      </c>
      <c r="B125" s="8" t="s">
        <v>40</v>
      </c>
      <c r="C125" s="8"/>
      <c r="D125" s="8">
        <v>66</v>
      </c>
      <c r="E125" s="8">
        <v>59</v>
      </c>
      <c r="F125" s="8">
        <v>-1</v>
      </c>
      <c r="G125" s="6">
        <v>0.3</v>
      </c>
      <c r="H125" s="8">
        <v>40</v>
      </c>
      <c r="I125" s="8" t="s">
        <v>36</v>
      </c>
      <c r="J125" s="8"/>
      <c r="K125" s="8">
        <v>72</v>
      </c>
      <c r="L125" s="8">
        <f t="shared" si="28"/>
        <v>-13</v>
      </c>
      <c r="M125" s="8"/>
      <c r="N125" s="8"/>
      <c r="O125" s="8">
        <v>0</v>
      </c>
      <c r="P125" s="8"/>
      <c r="Q125" s="8">
        <f t="shared" si="29"/>
        <v>11.8</v>
      </c>
      <c r="R125" s="4">
        <f>8*Q125-P125-O125-F125</f>
        <v>95.4</v>
      </c>
      <c r="S125" s="8">
        <f t="shared" si="30"/>
        <v>8</v>
      </c>
      <c r="T125" s="8">
        <f t="shared" si="31"/>
        <v>-8.4745762711864403E-2</v>
      </c>
      <c r="U125" s="8">
        <v>-0.8</v>
      </c>
      <c r="V125" s="8">
        <v>0.2</v>
      </c>
      <c r="W125" s="8">
        <v>6</v>
      </c>
      <c r="X125" s="8">
        <v>4.8</v>
      </c>
      <c r="Y125" s="8">
        <v>-0.4</v>
      </c>
      <c r="Z125" s="8">
        <v>-0.2</v>
      </c>
      <c r="AA125" s="8">
        <v>-0.8</v>
      </c>
      <c r="AB125" s="8">
        <v>-2.6</v>
      </c>
      <c r="AC125" s="8">
        <v>18</v>
      </c>
      <c r="AD125" s="8">
        <v>19</v>
      </c>
      <c r="AE125" s="8"/>
      <c r="AF125" s="8">
        <f>G125*R125</f>
        <v>28.62</v>
      </c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spans="1:42" x14ac:dyDescent="0.25">
      <c r="A126" s="8" t="s">
        <v>171</v>
      </c>
      <c r="B126" s="8" t="s">
        <v>40</v>
      </c>
      <c r="C126" s="8"/>
      <c r="D126" s="8">
        <v>174</v>
      </c>
      <c r="E126" s="8">
        <v>82</v>
      </c>
      <c r="F126" s="8">
        <v>51</v>
      </c>
      <c r="G126" s="6">
        <v>0.3</v>
      </c>
      <c r="H126" s="8">
        <v>40</v>
      </c>
      <c r="I126" s="8" t="s">
        <v>36</v>
      </c>
      <c r="J126" s="8"/>
      <c r="K126" s="8">
        <v>81</v>
      </c>
      <c r="L126" s="8">
        <f t="shared" si="28"/>
        <v>1</v>
      </c>
      <c r="M126" s="8"/>
      <c r="N126" s="8"/>
      <c r="O126" s="8">
        <v>0</v>
      </c>
      <c r="P126" s="8"/>
      <c r="Q126" s="8">
        <f t="shared" si="29"/>
        <v>16.399999999999999</v>
      </c>
      <c r="R126" s="4">
        <f>9*Q126-P126-O126-F126</f>
        <v>96.6</v>
      </c>
      <c r="S126" s="8">
        <f t="shared" si="30"/>
        <v>9</v>
      </c>
      <c r="T126" s="8">
        <f t="shared" si="31"/>
        <v>3.1097560975609757</v>
      </c>
      <c r="U126" s="8">
        <v>0</v>
      </c>
      <c r="V126" s="8">
        <v>2.4</v>
      </c>
      <c r="W126" s="8">
        <v>13.6</v>
      </c>
      <c r="X126" s="8">
        <v>11.2</v>
      </c>
      <c r="Y126" s="8">
        <v>0</v>
      </c>
      <c r="Z126" s="8">
        <v>2.2000000000000002</v>
      </c>
      <c r="AA126" s="8">
        <v>4.5999999999999996</v>
      </c>
      <c r="AB126" s="8">
        <v>1.2</v>
      </c>
      <c r="AC126" s="8">
        <v>-1.8</v>
      </c>
      <c r="AD126" s="8">
        <v>-0.6</v>
      </c>
      <c r="AE126" s="8"/>
      <c r="AF126" s="8">
        <f>G126*R126</f>
        <v>28.979999999999997</v>
      </c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spans="1:42" x14ac:dyDescent="0.25">
      <c r="A127" s="8" t="s">
        <v>172</v>
      </c>
      <c r="B127" s="8" t="s">
        <v>35</v>
      </c>
      <c r="C127" s="8">
        <v>184.56899999999999</v>
      </c>
      <c r="D127" s="8">
        <v>460.00700000000001</v>
      </c>
      <c r="E127" s="8">
        <v>318.75299999999999</v>
      </c>
      <c r="F127" s="8">
        <v>223.21799999999999</v>
      </c>
      <c r="G127" s="6">
        <v>1</v>
      </c>
      <c r="H127" s="8">
        <v>50</v>
      </c>
      <c r="I127" s="9" t="s">
        <v>46</v>
      </c>
      <c r="J127" s="8"/>
      <c r="K127" s="8">
        <v>345.9</v>
      </c>
      <c r="L127" s="8">
        <f t="shared" si="28"/>
        <v>-27.146999999999991</v>
      </c>
      <c r="M127" s="8"/>
      <c r="N127" s="8"/>
      <c r="O127" s="8">
        <v>173.2016000000001</v>
      </c>
      <c r="P127" s="8"/>
      <c r="Q127" s="8">
        <f t="shared" si="29"/>
        <v>63.750599999999999</v>
      </c>
      <c r="R127" s="4">
        <f t="shared" ref="R125:R129" si="34">10.5*Q127-P127-O127-F127</f>
        <v>272.96169999999995</v>
      </c>
      <c r="S127" s="8">
        <f t="shared" si="30"/>
        <v>10.5</v>
      </c>
      <c r="T127" s="8">
        <f t="shared" si="31"/>
        <v>6.2182881416018052</v>
      </c>
      <c r="U127" s="8">
        <v>50.931600000000003</v>
      </c>
      <c r="V127" s="8">
        <v>52.135599999999997</v>
      </c>
      <c r="W127" s="8">
        <v>56.380999999999993</v>
      </c>
      <c r="X127" s="8">
        <v>47.3718</v>
      </c>
      <c r="Y127" s="8">
        <v>45.901799999999987</v>
      </c>
      <c r="Z127" s="8">
        <v>47.190600000000003</v>
      </c>
      <c r="AA127" s="8">
        <v>48.5548</v>
      </c>
      <c r="AB127" s="8">
        <v>73.612200000000001</v>
      </c>
      <c r="AC127" s="8">
        <v>75.552800000000005</v>
      </c>
      <c r="AD127" s="8">
        <v>57.231399999999987</v>
      </c>
      <c r="AE127" s="8"/>
      <c r="AF127" s="8">
        <f>G127*R127</f>
        <v>272.96169999999995</v>
      </c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spans="1:42" x14ac:dyDescent="0.25">
      <c r="A128" s="8" t="s">
        <v>173</v>
      </c>
      <c r="B128" s="8" t="s">
        <v>40</v>
      </c>
      <c r="C128" s="8"/>
      <c r="D128" s="8">
        <v>143</v>
      </c>
      <c r="E128" s="8">
        <v>56</v>
      </c>
      <c r="F128" s="8">
        <v>51</v>
      </c>
      <c r="G128" s="6">
        <v>0.3</v>
      </c>
      <c r="H128" s="8">
        <v>40</v>
      </c>
      <c r="I128" s="8" t="s">
        <v>36</v>
      </c>
      <c r="J128" s="8"/>
      <c r="K128" s="8">
        <v>58</v>
      </c>
      <c r="L128" s="8">
        <f t="shared" si="28"/>
        <v>-2</v>
      </c>
      <c r="M128" s="8"/>
      <c r="N128" s="8"/>
      <c r="O128" s="8">
        <v>50</v>
      </c>
      <c r="P128" s="8"/>
      <c r="Q128" s="8">
        <f t="shared" si="29"/>
        <v>11.2</v>
      </c>
      <c r="R128" s="4">
        <f t="shared" si="34"/>
        <v>16.599999999999994</v>
      </c>
      <c r="S128" s="8">
        <f t="shared" si="30"/>
        <v>10.5</v>
      </c>
      <c r="T128" s="8">
        <f t="shared" si="31"/>
        <v>9.0178571428571441</v>
      </c>
      <c r="U128" s="8">
        <v>0</v>
      </c>
      <c r="V128" s="8">
        <v>1.2</v>
      </c>
      <c r="W128" s="8">
        <v>4.4000000000000004</v>
      </c>
      <c r="X128" s="8">
        <v>3</v>
      </c>
      <c r="Y128" s="8">
        <v>-0.2</v>
      </c>
      <c r="Z128" s="8">
        <v>0</v>
      </c>
      <c r="AA128" s="8">
        <v>0</v>
      </c>
      <c r="AB128" s="8">
        <v>1</v>
      </c>
      <c r="AC128" s="8">
        <v>1</v>
      </c>
      <c r="AD128" s="8">
        <v>-0.2</v>
      </c>
      <c r="AE128" s="8"/>
      <c r="AF128" s="8">
        <f>G128*R128</f>
        <v>4.9799999999999978</v>
      </c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spans="1:42" x14ac:dyDescent="0.25">
      <c r="A129" s="8" t="s">
        <v>174</v>
      </c>
      <c r="B129" s="8" t="s">
        <v>40</v>
      </c>
      <c r="C129" s="8">
        <v>76</v>
      </c>
      <c r="D129" s="8">
        <v>94</v>
      </c>
      <c r="E129" s="8">
        <v>76</v>
      </c>
      <c r="F129" s="8">
        <v>81</v>
      </c>
      <c r="G129" s="6">
        <v>0.12</v>
      </c>
      <c r="H129" s="8">
        <v>45</v>
      </c>
      <c r="I129" s="8" t="s">
        <v>36</v>
      </c>
      <c r="J129" s="8"/>
      <c r="K129" s="8">
        <v>84</v>
      </c>
      <c r="L129" s="8">
        <f t="shared" si="28"/>
        <v>-8</v>
      </c>
      <c r="M129" s="8"/>
      <c r="N129" s="8"/>
      <c r="O129" s="8">
        <v>54.5</v>
      </c>
      <c r="P129" s="8"/>
      <c r="Q129" s="8">
        <f t="shared" si="29"/>
        <v>15.2</v>
      </c>
      <c r="R129" s="4">
        <f t="shared" si="34"/>
        <v>24.099999999999994</v>
      </c>
      <c r="S129" s="8">
        <f t="shared" si="30"/>
        <v>10.5</v>
      </c>
      <c r="T129" s="8">
        <f t="shared" si="31"/>
        <v>8.9144736842105274</v>
      </c>
      <c r="U129" s="8">
        <v>14.6</v>
      </c>
      <c r="V129" s="8">
        <v>14.8</v>
      </c>
      <c r="W129" s="8">
        <v>14.8</v>
      </c>
      <c r="X129" s="8">
        <v>14.8</v>
      </c>
      <c r="Y129" s="8">
        <v>13.4</v>
      </c>
      <c r="Z129" s="8">
        <v>13.6</v>
      </c>
      <c r="AA129" s="8">
        <v>16.8</v>
      </c>
      <c r="AB129" s="8">
        <v>16.2</v>
      </c>
      <c r="AC129" s="8">
        <v>14.2</v>
      </c>
      <c r="AD129" s="8">
        <v>13.8</v>
      </c>
      <c r="AE129" s="8"/>
      <c r="AF129" s="8">
        <f>G129*R129</f>
        <v>2.891999999999999</v>
      </c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spans="1:42" x14ac:dyDescent="0.25">
      <c r="A130" s="11" t="s">
        <v>175</v>
      </c>
      <c r="B130" s="11" t="s">
        <v>40</v>
      </c>
      <c r="C130" s="11">
        <v>54</v>
      </c>
      <c r="D130" s="11">
        <v>61</v>
      </c>
      <c r="E130" s="16">
        <v>61</v>
      </c>
      <c r="F130" s="16">
        <v>43</v>
      </c>
      <c r="G130" s="12">
        <v>0</v>
      </c>
      <c r="H130" s="11"/>
      <c r="I130" s="11" t="s">
        <v>176</v>
      </c>
      <c r="J130" s="11" t="s">
        <v>93</v>
      </c>
      <c r="K130" s="11">
        <v>61</v>
      </c>
      <c r="L130" s="11">
        <f t="shared" si="28"/>
        <v>0</v>
      </c>
      <c r="M130" s="11"/>
      <c r="N130" s="11"/>
      <c r="O130" s="11">
        <v>0</v>
      </c>
      <c r="P130" s="11"/>
      <c r="Q130" s="11">
        <f t="shared" si="29"/>
        <v>12.2</v>
      </c>
      <c r="R130" s="13"/>
      <c r="S130" s="11">
        <f t="shared" si="30"/>
        <v>3.5245901639344264</v>
      </c>
      <c r="T130" s="11">
        <f t="shared" si="31"/>
        <v>3.5245901639344264</v>
      </c>
      <c r="U130" s="11">
        <v>13.8</v>
      </c>
      <c r="V130" s="11">
        <v>20.399999999999999</v>
      </c>
      <c r="W130" s="11">
        <v>27.6</v>
      </c>
      <c r="X130" s="11">
        <v>24.6</v>
      </c>
      <c r="Y130" s="11">
        <v>23.8</v>
      </c>
      <c r="Z130" s="11">
        <v>19</v>
      </c>
      <c r="AA130" s="11">
        <v>19.399999999999999</v>
      </c>
      <c r="AB130" s="11">
        <v>19.2</v>
      </c>
      <c r="AC130" s="11">
        <v>21.6</v>
      </c>
      <c r="AD130" s="11">
        <v>26</v>
      </c>
      <c r="AE130" s="11"/>
      <c r="AF130" s="11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spans="1:42" x14ac:dyDescent="0.25">
      <c r="A131" s="17" t="s">
        <v>177</v>
      </c>
      <c r="B131" s="8" t="s">
        <v>35</v>
      </c>
      <c r="C131" s="8"/>
      <c r="D131" s="8"/>
      <c r="E131" s="8"/>
      <c r="F131" s="8"/>
      <c r="G131" s="6">
        <v>1</v>
      </c>
      <c r="H131" s="8"/>
      <c r="I131" s="8" t="s">
        <v>36</v>
      </c>
      <c r="J131" s="8"/>
      <c r="K131" s="8"/>
      <c r="L131" s="8">
        <f t="shared" si="28"/>
        <v>0</v>
      </c>
      <c r="M131" s="8"/>
      <c r="N131" s="8"/>
      <c r="O131" s="8">
        <v>160.19999999999999</v>
      </c>
      <c r="P131" s="8">
        <v>139.80000000000001</v>
      </c>
      <c r="Q131" s="8">
        <f t="shared" si="29"/>
        <v>0</v>
      </c>
      <c r="R131" s="4"/>
      <c r="S131" s="8" t="e">
        <f t="shared" si="30"/>
        <v>#DIV/0!</v>
      </c>
      <c r="T131" s="8" t="e">
        <f t="shared" si="31"/>
        <v>#DIV/0!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18" t="s">
        <v>185</v>
      </c>
      <c r="AF131" s="8">
        <f>G131*R131</f>
        <v>0</v>
      </c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spans="1:42" x14ac:dyDescent="0.25">
      <c r="A132" s="8" t="s">
        <v>178</v>
      </c>
      <c r="B132" s="8" t="s">
        <v>35</v>
      </c>
      <c r="C132" s="8"/>
      <c r="D132" s="8">
        <v>164.16399999999999</v>
      </c>
      <c r="E132" s="8"/>
      <c r="F132" s="8">
        <v>148.66200000000001</v>
      </c>
      <c r="G132" s="6">
        <v>1</v>
      </c>
      <c r="H132" s="8"/>
      <c r="I132" s="8" t="s">
        <v>36</v>
      </c>
      <c r="J132" s="8"/>
      <c r="K132" s="8"/>
      <c r="L132" s="8">
        <f t="shared" si="28"/>
        <v>0</v>
      </c>
      <c r="M132" s="8"/>
      <c r="N132" s="8"/>
      <c r="O132" s="8">
        <v>0</v>
      </c>
      <c r="P132" s="8"/>
      <c r="Q132" s="8">
        <f t="shared" si="29"/>
        <v>0</v>
      </c>
      <c r="R132" s="4"/>
      <c r="S132" s="8" t="e">
        <f t="shared" si="30"/>
        <v>#DIV/0!</v>
      </c>
      <c r="T132" s="8" t="e">
        <f t="shared" si="31"/>
        <v>#DIV/0!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 t="s">
        <v>179</v>
      </c>
      <c r="AF132" s="8">
        <f>G132*R132</f>
        <v>0</v>
      </c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spans="1:42" x14ac:dyDescent="0.25">
      <c r="A133" s="8" t="s">
        <v>180</v>
      </c>
      <c r="B133" s="8" t="s">
        <v>35</v>
      </c>
      <c r="C133" s="8"/>
      <c r="D133" s="8">
        <v>162.28700000000001</v>
      </c>
      <c r="E133" s="8">
        <v>10.930999999999999</v>
      </c>
      <c r="F133" s="8">
        <v>151.35599999999999</v>
      </c>
      <c r="G133" s="6">
        <v>1</v>
      </c>
      <c r="H133" s="8"/>
      <c r="I133" s="8" t="s">
        <v>36</v>
      </c>
      <c r="J133" s="8"/>
      <c r="K133" s="8"/>
      <c r="L133" s="8">
        <f t="shared" si="28"/>
        <v>10.930999999999999</v>
      </c>
      <c r="M133" s="8"/>
      <c r="N133" s="8"/>
      <c r="O133" s="8">
        <v>0</v>
      </c>
      <c r="P133" s="8"/>
      <c r="Q133" s="8">
        <f t="shared" si="29"/>
        <v>2.1861999999999999</v>
      </c>
      <c r="R133" s="4"/>
      <c r="S133" s="8">
        <f t="shared" si="30"/>
        <v>69.232458146555672</v>
      </c>
      <c r="T133" s="8">
        <f t="shared" si="31"/>
        <v>69.232458146555672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 t="s">
        <v>179</v>
      </c>
      <c r="AF133" s="8">
        <f>G133*R133</f>
        <v>0</v>
      </c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spans="1:4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spans="1:4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spans="1:4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spans="1:4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spans="1:4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spans="1:4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spans="1:4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spans="1:4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spans="1:4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spans="1:4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spans="1:4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spans="1:4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spans="1:4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spans="1:4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spans="1:4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spans="1:4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spans="1:4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spans="1:4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spans="1:4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spans="1:4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spans="1:4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spans="1:4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spans="1:4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spans="1:4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spans="1:4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spans="1:4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spans="1:4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spans="1:4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spans="1:4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spans="1:4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spans="1:4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spans="1:4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spans="1:4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spans="1:4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spans="1:4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spans="1:4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spans="1:4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spans="1:4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spans="1:4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spans="1:4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spans="1:4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spans="1:4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spans="1:4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spans="1:4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spans="1:4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spans="1:4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spans="1:4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spans="1:4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spans="1:4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spans="1:4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spans="1:4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spans="1:4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spans="1:4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spans="1:4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spans="1:4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spans="1:4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spans="1:4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spans="1:4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spans="1:4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spans="1:4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spans="1:4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spans="1:4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spans="1:4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spans="1:4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spans="1:4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spans="1:4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spans="1:4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spans="1:4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spans="1:4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spans="1:4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spans="1:4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spans="1:4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spans="1:4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spans="1:4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spans="1:4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spans="1:4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spans="1:4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spans="1:4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spans="1:4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spans="1:4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spans="1:4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spans="1:4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spans="1:4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spans="1:4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spans="1:4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spans="1:4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spans="1:4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spans="1:4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spans="1:4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spans="1:4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spans="1:4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spans="1:4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spans="1:4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spans="1:4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spans="1:4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spans="1:4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spans="1:4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spans="1:4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spans="1:4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spans="1:4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spans="1:4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spans="1:4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spans="1:4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spans="1:4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spans="1:4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spans="1:4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spans="1:4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spans="1:4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spans="1:4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spans="1:4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spans="1:4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spans="1:4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spans="1:4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spans="1:4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spans="1:4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spans="1:4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spans="1:4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spans="1:4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spans="1:4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spans="1:4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spans="1:4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spans="1:4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spans="1:4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spans="1:4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spans="1:4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spans="1:4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spans="1:4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spans="1:4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spans="1:4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spans="1:4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spans="1:4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spans="1:4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spans="1:4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spans="1:4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spans="1:4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spans="1:4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spans="1:4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spans="1:4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spans="1:4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spans="1:4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spans="1:4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spans="1:4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spans="1:4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spans="1:4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spans="1:4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spans="1:4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spans="1:4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spans="1:4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spans="1:4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spans="1:4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spans="1:4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spans="1:4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spans="1:4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spans="1:4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spans="1:4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spans="1:4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spans="1:4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spans="1:4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spans="1:4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spans="1:4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spans="1:4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spans="1:4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spans="1:4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spans="1:4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spans="1:4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spans="1:4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spans="1:4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spans="1:4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spans="1:4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spans="1:4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spans="1:4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spans="1:4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spans="1:4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spans="1:4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spans="1:4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spans="1:4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spans="1:4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spans="1:4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spans="1:4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spans="1:4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spans="1:4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spans="1:4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spans="1:4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spans="1:4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spans="1:4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spans="1:4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spans="1:4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spans="1:4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spans="1:4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spans="1:4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spans="1:4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spans="1:4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spans="1:4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spans="1:4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spans="1:4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spans="1:4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spans="1:4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spans="1:4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spans="1:4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spans="1:4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spans="1:4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spans="1:4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spans="1:4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spans="1:4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spans="1:4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spans="1:4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spans="1:4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spans="1:4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spans="1:4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spans="1:4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spans="1:4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spans="1:4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spans="1:4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spans="1:4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spans="1:4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spans="1:4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spans="1:4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spans="1:4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spans="1:4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spans="1:4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spans="1:4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spans="1:4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spans="1:4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spans="1:4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spans="1:4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spans="1:4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spans="1:4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spans="1:4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spans="1:4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spans="1:4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spans="1:4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spans="1:4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spans="1:4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spans="1:4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spans="1:4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spans="1:4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spans="1:4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spans="1:4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spans="1:4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spans="1:4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spans="1:4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spans="1:4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spans="1:4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spans="1:4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spans="1:4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spans="1:4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spans="1:4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spans="1:4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spans="1:4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spans="1:4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spans="1:4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spans="1:4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spans="1:4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spans="1:4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spans="1:4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spans="1:4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spans="1:4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spans="1:4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spans="1:4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spans="1:4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spans="1:4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spans="1:4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spans="1:4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spans="1:4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spans="1:4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spans="1:4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spans="1:4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spans="1:4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spans="1:4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spans="1:4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spans="1:4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spans="1:4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spans="1:4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spans="1:4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spans="1:4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spans="1:4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spans="1:4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spans="1:4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spans="1:4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spans="1:4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spans="1:4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spans="1:4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spans="1:4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spans="1:4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spans="1:4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spans="1:4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spans="1:4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spans="1:4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spans="1:4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spans="1:4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spans="1:4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spans="1:4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spans="1:4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spans="1:4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spans="1:4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spans="1:4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spans="1:4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spans="1:4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spans="1:4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spans="1:4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spans="1:4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spans="1:4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spans="1:4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spans="1:4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spans="1:4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spans="1:4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spans="1:4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spans="1:4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spans="1:4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spans="1:4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spans="1:4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spans="1:4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spans="1:4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spans="1:4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spans="1:4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spans="1:4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spans="1:4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spans="1:42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spans="1:42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spans="1:42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spans="1:42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spans="1:42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spans="1:42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spans="1:42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spans="1:42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spans="1:42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spans="1:42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spans="1:42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spans="1:42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spans="1:42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spans="1:42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spans="1:42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spans="1:42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spans="1:42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spans="1:42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spans="1:42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spans="1:42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spans="1:42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spans="1:42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spans="1:42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spans="1:42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spans="1:42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spans="1:42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spans="1:42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spans="1:42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spans="1:42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spans="1:42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spans="1:42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spans="1:42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spans="1:42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spans="1:42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spans="1:42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spans="1:42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spans="1:42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spans="1:42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spans="1:42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spans="1:42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spans="1:42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spans="1:42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spans="1:42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spans="1:42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</sheetData>
  <autoFilter ref="A3:AF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2026-10-27T12:43:09Z</dcterms:created>
  <dcterms:modified xsi:type="dcterms:W3CDTF">2026-10-27T13:15:02Z</dcterms:modified>
</cp:coreProperties>
</file>