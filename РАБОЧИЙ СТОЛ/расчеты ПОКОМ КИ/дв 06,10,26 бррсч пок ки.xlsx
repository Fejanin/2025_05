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28C436C-2DFC-4930-BF0E-A023A14DCA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28" i="1" l="1"/>
  <c r="V128" i="1" s="1"/>
  <c r="L128" i="1"/>
  <c r="S127" i="1"/>
  <c r="L127" i="1"/>
  <c r="S126" i="1"/>
  <c r="L126" i="1"/>
  <c r="S125" i="1"/>
  <c r="L125" i="1"/>
  <c r="S124" i="1"/>
  <c r="L124" i="1"/>
  <c r="S123" i="1"/>
  <c r="L123" i="1"/>
  <c r="S122" i="1"/>
  <c r="U122" i="1" s="1"/>
  <c r="L122" i="1"/>
  <c r="S121" i="1"/>
  <c r="L121" i="1"/>
  <c r="S120" i="1"/>
  <c r="L120" i="1"/>
  <c r="S119" i="1"/>
  <c r="L119" i="1"/>
  <c r="S118" i="1"/>
  <c r="L118" i="1"/>
  <c r="S117" i="1"/>
  <c r="L117" i="1"/>
  <c r="S116" i="1"/>
  <c r="L116" i="1"/>
  <c r="S115" i="1"/>
  <c r="L115" i="1"/>
  <c r="S114" i="1"/>
  <c r="L114" i="1"/>
  <c r="S113" i="1"/>
  <c r="L113" i="1"/>
  <c r="S112" i="1"/>
  <c r="L112" i="1"/>
  <c r="S111" i="1"/>
  <c r="L111" i="1"/>
  <c r="S110" i="1"/>
  <c r="L110" i="1"/>
  <c r="S109" i="1"/>
  <c r="L109" i="1"/>
  <c r="S108" i="1"/>
  <c r="L108" i="1"/>
  <c r="S107" i="1"/>
  <c r="L107" i="1"/>
  <c r="S106" i="1"/>
  <c r="V106" i="1" s="1"/>
  <c r="L106" i="1"/>
  <c r="S105" i="1"/>
  <c r="V105" i="1" s="1"/>
  <c r="L105" i="1"/>
  <c r="S104" i="1"/>
  <c r="L104" i="1"/>
  <c r="S103" i="1"/>
  <c r="L103" i="1"/>
  <c r="S102" i="1"/>
  <c r="L102" i="1"/>
  <c r="S101" i="1"/>
  <c r="U101" i="1" s="1"/>
  <c r="L101" i="1"/>
  <c r="S100" i="1"/>
  <c r="L100" i="1"/>
  <c r="S99" i="1"/>
  <c r="L99" i="1"/>
  <c r="S98" i="1"/>
  <c r="U98" i="1" s="1"/>
  <c r="L98" i="1"/>
  <c r="S97" i="1"/>
  <c r="U97" i="1" s="1"/>
  <c r="L97" i="1"/>
  <c r="S96" i="1"/>
  <c r="L96" i="1"/>
  <c r="F96" i="1"/>
  <c r="V96" i="1" s="1"/>
  <c r="S95" i="1"/>
  <c r="L95" i="1"/>
  <c r="S94" i="1"/>
  <c r="L94" i="1"/>
  <c r="S93" i="1"/>
  <c r="L93" i="1"/>
  <c r="S92" i="1"/>
  <c r="L92" i="1"/>
  <c r="V91" i="1"/>
  <c r="S91" i="1"/>
  <c r="U91" i="1" s="1"/>
  <c r="L91" i="1"/>
  <c r="S90" i="1"/>
  <c r="L90" i="1"/>
  <c r="S89" i="1"/>
  <c r="V89" i="1" s="1"/>
  <c r="L89" i="1"/>
  <c r="S88" i="1"/>
  <c r="L88" i="1"/>
  <c r="S87" i="1"/>
  <c r="L87" i="1"/>
  <c r="S86" i="1"/>
  <c r="T86" i="1" s="1"/>
  <c r="L86" i="1"/>
  <c r="S85" i="1"/>
  <c r="U85" i="1" s="1"/>
  <c r="L85" i="1"/>
  <c r="S84" i="1"/>
  <c r="L84" i="1"/>
  <c r="S83" i="1"/>
  <c r="V83" i="1" s="1"/>
  <c r="L83" i="1"/>
  <c r="S82" i="1"/>
  <c r="V82" i="1" s="1"/>
  <c r="L82" i="1"/>
  <c r="S81" i="1"/>
  <c r="V81" i="1" s="1"/>
  <c r="L81" i="1"/>
  <c r="S80" i="1"/>
  <c r="L80" i="1"/>
  <c r="S79" i="1"/>
  <c r="L79" i="1"/>
  <c r="S78" i="1"/>
  <c r="L78" i="1"/>
  <c r="S77" i="1"/>
  <c r="L77" i="1"/>
  <c r="S76" i="1"/>
  <c r="L76" i="1"/>
  <c r="S75" i="1"/>
  <c r="L75" i="1"/>
  <c r="S74" i="1"/>
  <c r="L74" i="1"/>
  <c r="S73" i="1"/>
  <c r="L73" i="1"/>
  <c r="S72" i="1"/>
  <c r="L72" i="1"/>
  <c r="S71" i="1"/>
  <c r="U71" i="1" s="1"/>
  <c r="L71" i="1"/>
  <c r="S70" i="1"/>
  <c r="U70" i="1" s="1"/>
  <c r="L70" i="1"/>
  <c r="S69" i="1"/>
  <c r="L69" i="1"/>
  <c r="S68" i="1"/>
  <c r="V68" i="1" s="1"/>
  <c r="L68" i="1"/>
  <c r="S67" i="1"/>
  <c r="L67" i="1"/>
  <c r="S66" i="1"/>
  <c r="L66" i="1"/>
  <c r="S65" i="1"/>
  <c r="L65" i="1"/>
  <c r="S64" i="1"/>
  <c r="L64" i="1"/>
  <c r="S63" i="1"/>
  <c r="L63" i="1"/>
  <c r="S62" i="1"/>
  <c r="L62" i="1"/>
  <c r="S61" i="1"/>
  <c r="L61" i="1"/>
  <c r="S60" i="1"/>
  <c r="L60" i="1"/>
  <c r="S59" i="1"/>
  <c r="L59" i="1"/>
  <c r="S58" i="1"/>
  <c r="L58" i="1"/>
  <c r="S57" i="1"/>
  <c r="L57" i="1"/>
  <c r="S56" i="1"/>
  <c r="L56" i="1"/>
  <c r="F55" i="1"/>
  <c r="E55" i="1"/>
  <c r="L55" i="1" s="1"/>
  <c r="S54" i="1"/>
  <c r="L54" i="1"/>
  <c r="S53" i="1"/>
  <c r="L53" i="1"/>
  <c r="S52" i="1"/>
  <c r="L52" i="1"/>
  <c r="S51" i="1"/>
  <c r="L51" i="1"/>
  <c r="S50" i="1"/>
  <c r="L50" i="1"/>
  <c r="S49" i="1"/>
  <c r="L49" i="1"/>
  <c r="S48" i="1"/>
  <c r="L48" i="1"/>
  <c r="S47" i="1"/>
  <c r="L47" i="1"/>
  <c r="S46" i="1"/>
  <c r="L46" i="1"/>
  <c r="S45" i="1"/>
  <c r="L45" i="1"/>
  <c r="S44" i="1"/>
  <c r="L44" i="1"/>
  <c r="S43" i="1"/>
  <c r="L43" i="1"/>
  <c r="S42" i="1"/>
  <c r="L42" i="1"/>
  <c r="S41" i="1"/>
  <c r="T41" i="1" s="1"/>
  <c r="L41" i="1"/>
  <c r="S40" i="1"/>
  <c r="L40" i="1"/>
  <c r="S39" i="1"/>
  <c r="L39" i="1"/>
  <c r="S38" i="1"/>
  <c r="L38" i="1"/>
  <c r="S37" i="1"/>
  <c r="L37" i="1"/>
  <c r="S36" i="1"/>
  <c r="L36" i="1"/>
  <c r="S35" i="1"/>
  <c r="L35" i="1"/>
  <c r="S34" i="1"/>
  <c r="L34" i="1"/>
  <c r="S33" i="1"/>
  <c r="T33" i="1" s="1"/>
  <c r="L33" i="1"/>
  <c r="S32" i="1"/>
  <c r="L32" i="1"/>
  <c r="S31" i="1"/>
  <c r="L31" i="1"/>
  <c r="S30" i="1"/>
  <c r="L30" i="1"/>
  <c r="S29" i="1"/>
  <c r="L29" i="1"/>
  <c r="S28" i="1"/>
  <c r="L28" i="1"/>
  <c r="S27" i="1"/>
  <c r="L27" i="1"/>
  <c r="S26" i="1"/>
  <c r="T26" i="1" s="1"/>
  <c r="L26" i="1"/>
  <c r="S25" i="1"/>
  <c r="V25" i="1" s="1"/>
  <c r="L25" i="1"/>
  <c r="S24" i="1"/>
  <c r="L24" i="1"/>
  <c r="S23" i="1"/>
  <c r="L23" i="1"/>
  <c r="S22" i="1"/>
  <c r="L22" i="1"/>
  <c r="S21" i="1"/>
  <c r="L21" i="1"/>
  <c r="S20" i="1"/>
  <c r="L20" i="1"/>
  <c r="S19" i="1"/>
  <c r="L19" i="1"/>
  <c r="S18" i="1"/>
  <c r="L18" i="1"/>
  <c r="S17" i="1"/>
  <c r="L17" i="1"/>
  <c r="S16" i="1"/>
  <c r="T16" i="1" s="1"/>
  <c r="L16" i="1"/>
  <c r="S15" i="1"/>
  <c r="L15" i="1"/>
  <c r="S14" i="1"/>
  <c r="L14" i="1"/>
  <c r="S13" i="1"/>
  <c r="L13" i="1"/>
  <c r="S12" i="1"/>
  <c r="L12" i="1"/>
  <c r="S11" i="1"/>
  <c r="L11" i="1"/>
  <c r="S10" i="1"/>
  <c r="AH10" i="1" s="1"/>
  <c r="L10" i="1"/>
  <c r="S9" i="1"/>
  <c r="L9" i="1"/>
  <c r="S8" i="1"/>
  <c r="L8" i="1"/>
  <c r="S7" i="1"/>
  <c r="L7" i="1"/>
  <c r="S6" i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L5" i="1" l="1"/>
  <c r="U82" i="1"/>
  <c r="V6" i="1"/>
  <c r="V8" i="1"/>
  <c r="V11" i="1"/>
  <c r="U14" i="1"/>
  <c r="AH14" i="1"/>
  <c r="V17" i="1"/>
  <c r="AH17" i="1"/>
  <c r="U20" i="1"/>
  <c r="AH20" i="1"/>
  <c r="AH7" i="1"/>
  <c r="V7" i="1"/>
  <c r="U9" i="1"/>
  <c r="V9" i="1"/>
  <c r="T12" i="1"/>
  <c r="AH12" i="1" s="1"/>
  <c r="V19" i="1"/>
  <c r="U22" i="1"/>
  <c r="AH22" i="1"/>
  <c r="V26" i="1"/>
  <c r="U27" i="1"/>
  <c r="AH27" i="1"/>
  <c r="U29" i="1"/>
  <c r="AH29" i="1"/>
  <c r="V32" i="1"/>
  <c r="T32" i="1"/>
  <c r="AH32" i="1" s="1"/>
  <c r="V34" i="1"/>
  <c r="T34" i="1"/>
  <c r="U35" i="1"/>
  <c r="AH35" i="1"/>
  <c r="U37" i="1"/>
  <c r="AH37" i="1"/>
  <c r="V40" i="1"/>
  <c r="AH40" i="1"/>
  <c r="V42" i="1"/>
  <c r="U43" i="1"/>
  <c r="AH43" i="1"/>
  <c r="U45" i="1"/>
  <c r="AH45" i="1"/>
  <c r="V48" i="1"/>
  <c r="T48" i="1"/>
  <c r="AH48" i="1" s="1"/>
  <c r="V50" i="1"/>
  <c r="T50" i="1"/>
  <c r="AH51" i="1"/>
  <c r="AH53" i="1"/>
  <c r="V56" i="1"/>
  <c r="T57" i="1"/>
  <c r="AH57" i="1" s="1"/>
  <c r="V58" i="1"/>
  <c r="AH59" i="1"/>
  <c r="V60" i="1"/>
  <c r="U61" i="1"/>
  <c r="AH61" i="1"/>
  <c r="V62" i="1"/>
  <c r="T62" i="1"/>
  <c r="T63" i="1"/>
  <c r="AH63" i="1" s="1"/>
  <c r="V64" i="1"/>
  <c r="U65" i="1"/>
  <c r="AH65" i="1"/>
  <c r="V66" i="1"/>
  <c r="U67" i="1"/>
  <c r="AH67" i="1"/>
  <c r="T72" i="1"/>
  <c r="AH72" i="1" s="1"/>
  <c r="U74" i="1"/>
  <c r="AH74" i="1"/>
  <c r="V77" i="1"/>
  <c r="AH77" i="1"/>
  <c r="V79" i="1"/>
  <c r="AH80" i="1"/>
  <c r="V84" i="1"/>
  <c r="V87" i="1"/>
  <c r="AH88" i="1"/>
  <c r="U92" i="1"/>
  <c r="AH92" i="1"/>
  <c r="V95" i="1"/>
  <c r="AH95" i="1"/>
  <c r="AH96" i="1"/>
  <c r="V100" i="1"/>
  <c r="T100" i="1"/>
  <c r="AH100" i="1" s="1"/>
  <c r="V103" i="1"/>
  <c r="AH103" i="1"/>
  <c r="V109" i="1"/>
  <c r="AH109" i="1"/>
  <c r="V111" i="1"/>
  <c r="AH112" i="1"/>
  <c r="AH114" i="1"/>
  <c r="V117" i="1"/>
  <c r="T117" i="1"/>
  <c r="AH117" i="1" s="1"/>
  <c r="V119" i="1"/>
  <c r="AH120" i="1"/>
  <c r="AH123" i="1"/>
  <c r="T125" i="1"/>
  <c r="AH125" i="1" s="1"/>
  <c r="AH127" i="1"/>
  <c r="F5" i="1"/>
  <c r="V13" i="1"/>
  <c r="AH13" i="1"/>
  <c r="V15" i="1"/>
  <c r="T15" i="1"/>
  <c r="AH16" i="1"/>
  <c r="AH18" i="1"/>
  <c r="V21" i="1"/>
  <c r="AH21" i="1"/>
  <c r="V23" i="1"/>
  <c r="AH24" i="1"/>
  <c r="V28" i="1"/>
  <c r="AH28" i="1"/>
  <c r="V30" i="1"/>
  <c r="U31" i="1"/>
  <c r="AH31" i="1"/>
  <c r="AH33" i="1"/>
  <c r="V36" i="1"/>
  <c r="T36" i="1"/>
  <c r="AH36" i="1" s="1"/>
  <c r="V38" i="1"/>
  <c r="AH39" i="1"/>
  <c r="AH41" i="1"/>
  <c r="V44" i="1"/>
  <c r="AH44" i="1"/>
  <c r="V46" i="1"/>
  <c r="T46" i="1"/>
  <c r="AH47" i="1"/>
  <c r="T49" i="1"/>
  <c r="AH49" i="1" s="1"/>
  <c r="V52" i="1"/>
  <c r="AH52" i="1"/>
  <c r="V54" i="1"/>
  <c r="T54" i="1"/>
  <c r="V57" i="1"/>
  <c r="V59" i="1"/>
  <c r="V61" i="1"/>
  <c r="V63" i="1"/>
  <c r="V65" i="1"/>
  <c r="V67" i="1"/>
  <c r="U68" i="1"/>
  <c r="V69" i="1"/>
  <c r="AH69" i="1"/>
  <c r="V73" i="1"/>
  <c r="AH73" i="1"/>
  <c r="V75" i="1"/>
  <c r="AH76" i="1"/>
  <c r="T78" i="1"/>
  <c r="AH78" i="1" s="1"/>
  <c r="V85" i="1"/>
  <c r="AH86" i="1"/>
  <c r="V90" i="1"/>
  <c r="V93" i="1"/>
  <c r="AH94" i="1"/>
  <c r="U96" i="1"/>
  <c r="V97" i="1"/>
  <c r="T99" i="1"/>
  <c r="AH99" i="1" s="1"/>
  <c r="U102" i="1"/>
  <c r="AH102" i="1"/>
  <c r="T104" i="1"/>
  <c r="AH104" i="1" s="1"/>
  <c r="U105" i="1"/>
  <c r="V107" i="1"/>
  <c r="AH108" i="1"/>
  <c r="AH110" i="1"/>
  <c r="V113" i="1"/>
  <c r="AH113" i="1"/>
  <c r="V115" i="1"/>
  <c r="T115" i="1"/>
  <c r="T116" i="1"/>
  <c r="AH116" i="1" s="1"/>
  <c r="AH118" i="1"/>
  <c r="V121" i="1"/>
  <c r="AH121" i="1"/>
  <c r="V124" i="1"/>
  <c r="AH124" i="1"/>
  <c r="V126" i="1"/>
  <c r="AH126" i="1"/>
  <c r="S55" i="1"/>
  <c r="AH55" i="1" s="1"/>
  <c r="E5" i="1"/>
  <c r="U17" i="1"/>
  <c r="U25" i="1"/>
  <c r="U28" i="1"/>
  <c r="U40" i="1"/>
  <c r="U44" i="1"/>
  <c r="U69" i="1"/>
  <c r="V71" i="1"/>
  <c r="U73" i="1"/>
  <c r="U77" i="1"/>
  <c r="U81" i="1"/>
  <c r="U83" i="1"/>
  <c r="U89" i="1"/>
  <c r="U95" i="1"/>
  <c r="V99" i="1"/>
  <c r="V101" i="1"/>
  <c r="U106" i="1"/>
  <c r="U113" i="1"/>
  <c r="U121" i="1"/>
  <c r="V123" i="1"/>
  <c r="U124" i="1"/>
  <c r="V125" i="1"/>
  <c r="U126" i="1"/>
  <c r="V127" i="1"/>
  <c r="U128" i="1"/>
  <c r="U10" i="1"/>
  <c r="V10" i="1"/>
  <c r="V12" i="1"/>
  <c r="V14" i="1"/>
  <c r="V16" i="1"/>
  <c r="V18" i="1"/>
  <c r="V20" i="1"/>
  <c r="V22" i="1"/>
  <c r="V24" i="1"/>
  <c r="V27" i="1"/>
  <c r="V29" i="1"/>
  <c r="V31" i="1"/>
  <c r="V33" i="1"/>
  <c r="V35" i="1"/>
  <c r="V37" i="1"/>
  <c r="V39" i="1"/>
  <c r="V41" i="1"/>
  <c r="V43" i="1"/>
  <c r="V45" i="1"/>
  <c r="V47" i="1"/>
  <c r="V49" i="1"/>
  <c r="V51" i="1"/>
  <c r="V53" i="1"/>
  <c r="V70" i="1"/>
  <c r="V72" i="1"/>
  <c r="V74" i="1"/>
  <c r="V76" i="1"/>
  <c r="V78" i="1"/>
  <c r="V80" i="1"/>
  <c r="V86" i="1"/>
  <c r="V88" i="1"/>
  <c r="V92" i="1"/>
  <c r="V94" i="1"/>
  <c r="V98" i="1"/>
  <c r="V102" i="1"/>
  <c r="V104" i="1"/>
  <c r="V108" i="1"/>
  <c r="V110" i="1"/>
  <c r="V112" i="1"/>
  <c r="V114" i="1"/>
  <c r="V116" i="1"/>
  <c r="V118" i="1"/>
  <c r="V120" i="1"/>
  <c r="V122" i="1"/>
  <c r="S5" i="1" l="1"/>
  <c r="U55" i="1"/>
  <c r="U12" i="1"/>
  <c r="V55" i="1"/>
  <c r="U32" i="1"/>
  <c r="U72" i="1"/>
  <c r="U63" i="1"/>
  <c r="U48" i="1"/>
  <c r="U52" i="1"/>
  <c r="U36" i="1"/>
  <c r="U21" i="1"/>
  <c r="U13" i="1"/>
  <c r="U104" i="1"/>
  <c r="U99" i="1"/>
  <c r="U94" i="1"/>
  <c r="U86" i="1"/>
  <c r="U49" i="1"/>
  <c r="U47" i="1"/>
  <c r="U41" i="1"/>
  <c r="U39" i="1"/>
  <c r="U33" i="1"/>
  <c r="U24" i="1"/>
  <c r="U18" i="1"/>
  <c r="U16" i="1"/>
  <c r="U88" i="1"/>
  <c r="U80" i="1"/>
  <c r="U59" i="1"/>
  <c r="U57" i="1"/>
  <c r="U53" i="1"/>
  <c r="U51" i="1"/>
  <c r="AH115" i="1"/>
  <c r="U115" i="1"/>
  <c r="AH107" i="1"/>
  <c r="U107" i="1"/>
  <c r="AH75" i="1"/>
  <c r="U75" i="1"/>
  <c r="U119" i="1"/>
  <c r="AH119" i="1"/>
  <c r="U111" i="1"/>
  <c r="AH111" i="1"/>
  <c r="U7" i="1"/>
  <c r="U117" i="1"/>
  <c r="U109" i="1"/>
  <c r="U103" i="1"/>
  <c r="U100" i="1"/>
  <c r="U118" i="1"/>
  <c r="U116" i="1"/>
  <c r="U110" i="1"/>
  <c r="U108" i="1"/>
  <c r="AH93" i="1"/>
  <c r="U93" i="1"/>
  <c r="AH90" i="1"/>
  <c r="U90" i="1"/>
  <c r="U78" i="1"/>
  <c r="U76" i="1"/>
  <c r="AH54" i="1"/>
  <c r="U54" i="1"/>
  <c r="AH46" i="1"/>
  <c r="U46" i="1"/>
  <c r="AH38" i="1"/>
  <c r="U38" i="1"/>
  <c r="AH30" i="1"/>
  <c r="U30" i="1"/>
  <c r="AH23" i="1"/>
  <c r="U23" i="1"/>
  <c r="AH15" i="1"/>
  <c r="U15" i="1"/>
  <c r="U127" i="1"/>
  <c r="U125" i="1"/>
  <c r="U123" i="1"/>
  <c r="U120" i="1"/>
  <c r="U114" i="1"/>
  <c r="U112" i="1"/>
  <c r="U87" i="1"/>
  <c r="AH87" i="1"/>
  <c r="U84" i="1"/>
  <c r="AH84" i="1"/>
  <c r="U79" i="1"/>
  <c r="AH79" i="1"/>
  <c r="U66" i="1"/>
  <c r="AH66" i="1"/>
  <c r="U64" i="1"/>
  <c r="AH64" i="1"/>
  <c r="U62" i="1"/>
  <c r="AH62" i="1"/>
  <c r="U60" i="1"/>
  <c r="AH60" i="1"/>
  <c r="U58" i="1"/>
  <c r="AH58" i="1"/>
  <c r="U56" i="1"/>
  <c r="AH56" i="1"/>
  <c r="U50" i="1"/>
  <c r="AH50" i="1"/>
  <c r="U42" i="1"/>
  <c r="AH42" i="1"/>
  <c r="U34" i="1"/>
  <c r="AH34" i="1"/>
  <c r="U26" i="1"/>
  <c r="AH26" i="1"/>
  <c r="U19" i="1"/>
  <c r="AH19" i="1"/>
  <c r="U11" i="1"/>
  <c r="AH11" i="1"/>
  <c r="U8" i="1"/>
  <c r="AH8" i="1"/>
  <c r="U6" i="1"/>
  <c r="AH6" i="1"/>
  <c r="T5" i="1"/>
  <c r="AH5" i="1" l="1"/>
</calcChain>
</file>

<file path=xl/sharedStrings.xml><?xml version="1.0" encoding="utf-8"?>
<sst xmlns="http://schemas.openxmlformats.org/spreadsheetml/2006/main" count="472" uniqueCount="183">
  <si>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</si>
  <si>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</si>
  <si>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</si>
  <si>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</si>
  <si>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</si>
  <si>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</si>
  <si>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</si>
  <si>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</si>
  <si>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</si>
  <si>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</si>
  <si>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</si>
  <si>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</si>
  <si>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</si>
  <si>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</si>
  <si>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</si>
  <si>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</si>
  <si>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</si>
  <si>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</si>
  <si>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</si>
  <si>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</si>
  <si>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</si>
  <si>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</si>
  <si>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</t>
  </si>
  <si>
    <t>29,09,недогр</t>
  </si>
  <si>
    <t>29,09,доз</t>
  </si>
  <si>
    <t>06,10,</t>
  </si>
  <si>
    <t>01,10,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</si>
  <si>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</si>
  <si>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</si>
  <si>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</si>
  <si>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</si>
  <si>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</si>
  <si>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</si>
  <si>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</si>
  <si>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</si>
  <si>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</si>
  <si>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</si>
  <si>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</si>
  <si>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</si>
  <si>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</si>
  <si>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</si>
  <si>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</si>
  <si>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</si>
  <si>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</si>
  <si>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</si>
  <si>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</si>
  <si>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</si>
  <si>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</si>
  <si>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</si>
  <si>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</si>
  <si>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</si>
  <si>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</si>
  <si>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</si>
  <si>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</si>
  <si>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</si>
  <si>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</si>
  <si>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</si>
  <si>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</si>
  <si>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</si>
  <si>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</si>
  <si>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</si>
  <si>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</si>
  <si>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</si>
  <si>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</si>
  <si>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</si>
  <si>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</si>
  <si>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</si>
  <si>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</si>
  <si>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</si>
  <si>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</si>
  <si>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</si>
  <si>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</si>
  <si>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</si>
  <si>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</si>
  <si>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</si>
  <si>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</si>
  <si>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</si>
  <si>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</si>
  <si>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</si>
  <si>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</si>
  <si>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</si>
  <si>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</si>
  <si>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</si>
  <si>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</si>
  <si>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</si>
  <si>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</si>
  <si>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</si>
  <si>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</si>
  <si>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</si>
  <si>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</si>
  <si>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</si>
  <si>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</si>
  <si>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</si>
  <si>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</si>
  <si>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</si>
  <si>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</si>
  <si>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</si>
  <si>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</si>
  <si>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</si>
  <si>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</si>
  <si>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</si>
  <si>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</si>
  <si>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</si>
  <si>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</si>
  <si>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</si>
  <si>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</si>
  <si>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</si>
  <si>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</si>
  <si>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</si>
  <si>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</si>
  <si>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</si>
  <si>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</si>
  <si>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</si>
  <si>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</si>
  <si>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</si>
  <si>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</si>
  <si>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</si>
  <si>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</si>
  <si>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</si>
  <si>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</si>
  <si>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</si>
  <si>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</si>
  <si>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</si>
  <si>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</si>
  <si>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</si>
  <si>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</si>
  <si>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</si>
  <si>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</si>
  <si>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</si>
  <si>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</si>
  <si>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</si>
  <si>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</si>
  <si>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</si>
  <si>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</si>
  <si>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</si>
  <si>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</si>
  <si>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</si>
  <si>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</si>
  <si>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</si>
  <si>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</si>
  <si>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</si>
  <si>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</si>
  <si>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нужно увеличить продажи / 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</si>
  <si>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</si>
  <si>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</si>
  <si>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</si>
  <si>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</si>
  <si>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</si>
  <si>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</si>
  <si>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</si>
  <si>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</si>
  <si>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</si>
  <si>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</si>
  <si>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</si>
  <si>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</si>
  <si>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</si>
  <si>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</si>
  <si>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</si>
  <si>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</si>
  <si>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</si>
  <si>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</si>
  <si>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</si>
  <si>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</si>
  <si>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</si>
  <si>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</si>
  <si>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</si>
  <si>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</si>
  <si>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</si>
  <si>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</si>
  <si>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</si>
  <si>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</si>
  <si>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</si>
  <si>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</si>
  <si>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</si>
  <si>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</si>
  <si>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</si>
  <si>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</si>
  <si>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</si>
  <si>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</si>
  <si>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281кг списано (19,09,26)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</si>
  <si>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</si>
  <si>
    <t>1274кг списано (19,09,26)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</si>
  <si>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46кг списание сроки (11,08,26)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</si>
</sst>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6" fillId="4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5" customWidth="1"/>
    <col min="23" max="32" width="6" customWidth="1"/>
    <col min="33" max="33" width="41.42578125" customWidth="1"/>
    <col min="34" max="34" width="7" customWidth="1"/>
    <col min="35" max="45" width="8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25</v>
      </c>
      <c r="T4" s="1"/>
      <c r="U4" s="1"/>
      <c r="V4" s="1"/>
      <c r="W4" s="1" t="s">
        <v>26</v>
      </c>
      <c r="X4" s="1" t="s">
        <v>22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SUM(E6:E498)</f>
        <v>13056.898999999999</v>
      </c>
      <c r="F5" s="4">
        <f>SUM(F6:F498)</f>
        <v>13595.72</v>
      </c>
      <c r="G5" s="7"/>
      <c r="H5" s="1"/>
      <c r="I5" s="1"/>
      <c r="J5" s="1"/>
      <c r="K5" s="4">
        <f t="shared" ref="K5:T5" si="0">SUM(K6:K498)</f>
        <v>13722.378000000002</v>
      </c>
      <c r="L5" s="4">
        <f t="shared" si="0"/>
        <v>-665.47900000000016</v>
      </c>
      <c r="M5" s="4">
        <f t="shared" si="0"/>
        <v>0</v>
      </c>
      <c r="N5" s="4">
        <f t="shared" si="0"/>
        <v>0</v>
      </c>
      <c r="O5" s="4">
        <f t="shared" si="0"/>
        <v>13802.115944170748</v>
      </c>
      <c r="P5" s="4">
        <f t="shared" si="0"/>
        <v>-1235.1984126984128</v>
      </c>
      <c r="Q5" s="4">
        <f t="shared" si="0"/>
        <v>450</v>
      </c>
      <c r="R5" s="4">
        <f t="shared" si="0"/>
        <v>6425.186884706417</v>
      </c>
      <c r="S5" s="4">
        <f t="shared" si="0"/>
        <v>2611.3797999999997</v>
      </c>
      <c r="T5" s="4">
        <f t="shared" si="0"/>
        <v>4886.7899607906129</v>
      </c>
      <c r="U5" s="1"/>
      <c r="V5" s="1"/>
      <c r="W5" s="4">
        <f t="shared" ref="W5:AF5" si="1">SUM(W6:W498)</f>
        <v>2163.9158000000002</v>
      </c>
      <c r="X5" s="4">
        <f t="shared" si="1"/>
        <v>2574.4265999999993</v>
      </c>
      <c r="Y5" s="4">
        <f t="shared" si="1"/>
        <v>2831.5130000000004</v>
      </c>
      <c r="Z5" s="4">
        <f t="shared" si="1"/>
        <v>3211.0783999999999</v>
      </c>
      <c r="AA5" s="4">
        <f t="shared" si="1"/>
        <v>3221.5873999999994</v>
      </c>
      <c r="AB5" s="4">
        <f t="shared" si="1"/>
        <v>3336.7943999999984</v>
      </c>
      <c r="AC5" s="4">
        <f t="shared" si="1"/>
        <v>4291.6760000000013</v>
      </c>
      <c r="AD5" s="4">
        <f t="shared" si="1"/>
        <v>4268.5132000000003</v>
      </c>
      <c r="AE5" s="4">
        <f t="shared" si="1"/>
        <v>3864.1036000000017</v>
      </c>
      <c r="AF5" s="4">
        <f t="shared" si="1"/>
        <v>3651.6625999999987</v>
      </c>
      <c r="AG5" s="1"/>
      <c r="AH5" s="4">
        <f>SUM(AH6:AH498)</f>
        <v>3706.0968633045513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35</v>
      </c>
      <c r="B6" s="1" t="s">
        <v>36</v>
      </c>
      <c r="C6" s="1">
        <v>249.59800000000001</v>
      </c>
      <c r="D6" s="1"/>
      <c r="E6" s="1">
        <v>94.156000000000006</v>
      </c>
      <c r="F6" s="1">
        <v>2.9350000000000001</v>
      </c>
      <c r="G6" s="7">
        <v>1</v>
      </c>
      <c r="H6" s="1">
        <v>50</v>
      </c>
      <c r="I6" s="1" t="s">
        <v>37</v>
      </c>
      <c r="J6" s="1"/>
      <c r="K6" s="1">
        <v>95.3</v>
      </c>
      <c r="L6" s="1">
        <f t="shared" ref="L6:L37" si="2">E6-K6</f>
        <v>-1.1439999999999912</v>
      </c>
      <c r="M6" s="1"/>
      <c r="N6" s="1"/>
      <c r="O6" s="1">
        <v>90.360999999999933</v>
      </c>
      <c r="P6" s="1"/>
      <c r="Q6" s="1"/>
      <c r="R6" s="1">
        <v>246.0988000000001</v>
      </c>
      <c r="S6" s="1">
        <f t="shared" ref="S6:S37" si="3">E6/5</f>
        <v>18.831200000000003</v>
      </c>
      <c r="T6" s="5"/>
      <c r="U6" s="1">
        <f t="shared" ref="U6:U37" si="4">(F6+O6+P6+Q6+R6+T6)/S6</f>
        <v>18.023004375716894</v>
      </c>
      <c r="V6" s="1">
        <f t="shared" ref="V6:V37" si="5">(F6+O6+P6+Q6+R6)/S6</f>
        <v>18.023004375716894</v>
      </c>
      <c r="W6" s="1">
        <v>29.421600000000002</v>
      </c>
      <c r="X6" s="1">
        <v>35.228200000000001</v>
      </c>
      <c r="Y6" s="1">
        <v>20.837399999999999</v>
      </c>
      <c r="Z6" s="1">
        <v>32.624200000000002</v>
      </c>
      <c r="AA6" s="1">
        <v>49.9176</v>
      </c>
      <c r="AB6" s="1">
        <v>50.513599999999997</v>
      </c>
      <c r="AC6" s="1">
        <v>52.347000000000001</v>
      </c>
      <c r="AD6" s="1">
        <v>48.521000000000001</v>
      </c>
      <c r="AE6" s="1">
        <v>43.444600000000001</v>
      </c>
      <c r="AF6" s="1">
        <v>50.715400000000002</v>
      </c>
      <c r="AG6" s="1"/>
      <c r="AH6" s="1">
        <f>G6*T6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38</v>
      </c>
      <c r="B7" s="1" t="s">
        <v>36</v>
      </c>
      <c r="C7" s="1">
        <v>539.94100000000003</v>
      </c>
      <c r="D7" s="1">
        <v>248.31299999999999</v>
      </c>
      <c r="E7" s="1">
        <v>155.28100000000001</v>
      </c>
      <c r="F7" s="1">
        <v>153.85900000000001</v>
      </c>
      <c r="G7" s="7">
        <v>1</v>
      </c>
      <c r="H7" s="1">
        <v>45</v>
      </c>
      <c r="I7" s="1" t="s">
        <v>37</v>
      </c>
      <c r="J7" s="1"/>
      <c r="K7" s="1">
        <v>162</v>
      </c>
      <c r="L7" s="1">
        <f t="shared" si="2"/>
        <v>-6.7189999999999941</v>
      </c>
      <c r="M7" s="1"/>
      <c r="N7" s="1"/>
      <c r="O7" s="1">
        <v>217.62223963173241</v>
      </c>
      <c r="P7" s="1"/>
      <c r="Q7" s="1"/>
      <c r="R7" s="1">
        <v>67.342879999999653</v>
      </c>
      <c r="S7" s="1">
        <f t="shared" si="3"/>
        <v>31.0562</v>
      </c>
      <c r="T7" s="5"/>
      <c r="U7" s="1">
        <f t="shared" si="4"/>
        <v>14.130000438937541</v>
      </c>
      <c r="V7" s="1">
        <f t="shared" si="5"/>
        <v>14.130000438937541</v>
      </c>
      <c r="W7" s="1">
        <v>38.915199999999999</v>
      </c>
      <c r="X7" s="1">
        <v>48.795200000000001</v>
      </c>
      <c r="Y7" s="1">
        <v>46.159799999999997</v>
      </c>
      <c r="Z7" s="1">
        <v>75.304000000000002</v>
      </c>
      <c r="AA7" s="1">
        <v>93.414999999999992</v>
      </c>
      <c r="AB7" s="1">
        <v>102.57940000000001</v>
      </c>
      <c r="AC7" s="1">
        <v>91.360199999999992</v>
      </c>
      <c r="AD7" s="1">
        <v>75.338800000000006</v>
      </c>
      <c r="AE7" s="1">
        <v>78.611599999999996</v>
      </c>
      <c r="AF7" s="1">
        <v>107.873</v>
      </c>
      <c r="AG7" s="1"/>
      <c r="AH7" s="1">
        <f>G7*T7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39</v>
      </c>
      <c r="B8" s="1" t="s">
        <v>36</v>
      </c>
      <c r="C8" s="1">
        <v>510.57</v>
      </c>
      <c r="D8" s="1">
        <v>280.82499999999999</v>
      </c>
      <c r="E8" s="1">
        <v>225.15799999999999</v>
      </c>
      <c r="F8" s="1">
        <v>495.83199999999999</v>
      </c>
      <c r="G8" s="7">
        <v>1</v>
      </c>
      <c r="H8" s="1">
        <v>45</v>
      </c>
      <c r="I8" s="9" t="s">
        <v>40</v>
      </c>
      <c r="J8" s="1"/>
      <c r="K8" s="1">
        <v>245.1</v>
      </c>
      <c r="L8" s="1">
        <f t="shared" si="2"/>
        <v>-19.942000000000007</v>
      </c>
      <c r="M8" s="1"/>
      <c r="N8" s="1"/>
      <c r="O8" s="1">
        <v>0</v>
      </c>
      <c r="P8" s="1"/>
      <c r="Q8" s="1"/>
      <c r="R8" s="1">
        <v>0</v>
      </c>
      <c r="S8" s="1">
        <f t="shared" si="3"/>
        <v>45.031599999999997</v>
      </c>
      <c r="T8" s="5">
        <v>20</v>
      </c>
      <c r="U8" s="1">
        <f t="shared" si="4"/>
        <v>11.454889455404651</v>
      </c>
      <c r="V8" s="1">
        <f t="shared" si="5"/>
        <v>11.010756890716742</v>
      </c>
      <c r="W8" s="1">
        <v>41.704599999999999</v>
      </c>
      <c r="X8" s="1">
        <v>52.938400000000001</v>
      </c>
      <c r="Y8" s="1">
        <v>54.453600000000009</v>
      </c>
      <c r="Z8" s="1">
        <v>85.114000000000004</v>
      </c>
      <c r="AA8" s="1">
        <v>96.858000000000004</v>
      </c>
      <c r="AB8" s="1">
        <v>78.322800000000001</v>
      </c>
      <c r="AC8" s="1">
        <v>84.352599999999995</v>
      </c>
      <c r="AD8" s="1">
        <v>119.5784</v>
      </c>
      <c r="AE8" s="1">
        <v>115.399</v>
      </c>
      <c r="AF8" s="1">
        <v>92.236400000000003</v>
      </c>
      <c r="AG8" s="1"/>
      <c r="AH8" s="1">
        <f>G8*T8</f>
        <v>20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2"/>
        <v>0</v>
      </c>
      <c r="M9" s="10"/>
      <c r="N9" s="10"/>
      <c r="O9" s="10">
        <v>0</v>
      </c>
      <c r="P9" s="10"/>
      <c r="Q9" s="10"/>
      <c r="R9" s="10">
        <v>0</v>
      </c>
      <c r="S9" s="10">
        <f t="shared" si="3"/>
        <v>0</v>
      </c>
      <c r="T9" s="12"/>
      <c r="U9" s="10" t="e">
        <f t="shared" si="4"/>
        <v>#DIV/0!</v>
      </c>
      <c r="V9" s="10" t="e">
        <f t="shared" si="5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 t="s">
        <v>43</v>
      </c>
      <c r="AH9" s="10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44</v>
      </c>
      <c r="B10" s="1" t="s">
        <v>42</v>
      </c>
      <c r="C10" s="1">
        <v>580</v>
      </c>
      <c r="D10" s="1">
        <v>813</v>
      </c>
      <c r="E10" s="1">
        <v>181</v>
      </c>
      <c r="F10" s="1">
        <v>697</v>
      </c>
      <c r="G10" s="7">
        <v>0.45</v>
      </c>
      <c r="H10" s="1">
        <v>45</v>
      </c>
      <c r="I10" s="1" t="s">
        <v>37</v>
      </c>
      <c r="J10" s="1"/>
      <c r="K10" s="1">
        <v>191</v>
      </c>
      <c r="L10" s="1">
        <f t="shared" si="2"/>
        <v>-10</v>
      </c>
      <c r="M10" s="1"/>
      <c r="N10" s="1"/>
      <c r="O10" s="1">
        <v>0</v>
      </c>
      <c r="P10" s="1"/>
      <c r="Q10" s="1"/>
      <c r="R10" s="1">
        <v>0</v>
      </c>
      <c r="S10" s="1">
        <f t="shared" si="3"/>
        <v>36.200000000000003</v>
      </c>
      <c r="T10" s="5"/>
      <c r="U10" s="1">
        <f t="shared" si="4"/>
        <v>19.254143646408838</v>
      </c>
      <c r="V10" s="1">
        <f t="shared" si="5"/>
        <v>19.254143646408838</v>
      </c>
      <c r="W10" s="1">
        <v>37.4</v>
      </c>
      <c r="X10" s="1">
        <v>32.799999999999997</v>
      </c>
      <c r="Y10" s="1">
        <v>1.8</v>
      </c>
      <c r="Z10" s="1">
        <v>-2.4</v>
      </c>
      <c r="AA10" s="1">
        <v>1.8</v>
      </c>
      <c r="AB10" s="1">
        <v>59.4</v>
      </c>
      <c r="AC10" s="1">
        <v>80.107600000000005</v>
      </c>
      <c r="AD10" s="1">
        <v>22.907599999999999</v>
      </c>
      <c r="AE10" s="1">
        <v>53.8</v>
      </c>
      <c r="AF10" s="1">
        <v>96.8</v>
      </c>
      <c r="AG10" s="13" t="s">
        <v>179</v>
      </c>
      <c r="AH10" s="1">
        <f t="shared" ref="AH10:AH24" si="6">G10*T10</f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45</v>
      </c>
      <c r="B11" s="1" t="s">
        <v>42</v>
      </c>
      <c r="C11" s="1">
        <v>683</v>
      </c>
      <c r="D11" s="1">
        <v>1849</v>
      </c>
      <c r="E11" s="1">
        <v>323</v>
      </c>
      <c r="F11" s="1">
        <v>827</v>
      </c>
      <c r="G11" s="7">
        <v>0.45</v>
      </c>
      <c r="H11" s="1">
        <v>45</v>
      </c>
      <c r="I11" s="1" t="s">
        <v>37</v>
      </c>
      <c r="J11" s="1"/>
      <c r="K11" s="1">
        <v>329</v>
      </c>
      <c r="L11" s="1">
        <f t="shared" si="2"/>
        <v>-6</v>
      </c>
      <c r="M11" s="1"/>
      <c r="N11" s="1"/>
      <c r="O11" s="1">
        <v>0</v>
      </c>
      <c r="P11" s="1"/>
      <c r="Q11" s="1"/>
      <c r="R11" s="1">
        <v>0</v>
      </c>
      <c r="S11" s="1">
        <f t="shared" si="3"/>
        <v>64.599999999999994</v>
      </c>
      <c r="T11" s="5"/>
      <c r="U11" s="1">
        <f t="shared" si="4"/>
        <v>12.80185758513932</v>
      </c>
      <c r="V11" s="1">
        <f t="shared" si="5"/>
        <v>12.80185758513932</v>
      </c>
      <c r="W11" s="1">
        <v>60.8</v>
      </c>
      <c r="X11" s="1">
        <v>59</v>
      </c>
      <c r="Y11" s="1">
        <v>68.400000000000006</v>
      </c>
      <c r="Z11" s="1">
        <v>186</v>
      </c>
      <c r="AA11" s="1">
        <v>149.80000000000001</v>
      </c>
      <c r="AB11" s="1">
        <v>27.2</v>
      </c>
      <c r="AC11" s="1">
        <v>95.2</v>
      </c>
      <c r="AD11" s="1">
        <v>169.6</v>
      </c>
      <c r="AE11" s="1">
        <v>188.2</v>
      </c>
      <c r="AF11" s="1">
        <v>158.4</v>
      </c>
      <c r="AG11" s="1"/>
      <c r="AH11" s="1">
        <f t="shared" si="6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1" t="s">
        <v>46</v>
      </c>
      <c r="B12" s="1" t="s">
        <v>42</v>
      </c>
      <c r="C12" s="1">
        <v>180</v>
      </c>
      <c r="D12" s="1">
        <v>242</v>
      </c>
      <c r="E12" s="1">
        <v>93</v>
      </c>
      <c r="F12" s="1">
        <v>177</v>
      </c>
      <c r="G12" s="7">
        <v>0.17</v>
      </c>
      <c r="H12" s="1">
        <v>180</v>
      </c>
      <c r="I12" s="1" t="s">
        <v>37</v>
      </c>
      <c r="J12" s="1"/>
      <c r="K12" s="1">
        <v>95</v>
      </c>
      <c r="L12" s="1">
        <f t="shared" si="2"/>
        <v>-2</v>
      </c>
      <c r="M12" s="1"/>
      <c r="N12" s="1"/>
      <c r="O12" s="1">
        <v>0</v>
      </c>
      <c r="P12" s="1"/>
      <c r="Q12" s="1"/>
      <c r="R12" s="1">
        <v>0</v>
      </c>
      <c r="S12" s="1">
        <f t="shared" si="3"/>
        <v>18.600000000000001</v>
      </c>
      <c r="T12" s="5">
        <f t="shared" ref="T10:T24" si="7">11*S12-R12-Q12-P12-O12-F12</f>
        <v>27.600000000000023</v>
      </c>
      <c r="U12" s="1">
        <f t="shared" si="4"/>
        <v>11</v>
      </c>
      <c r="V12" s="1">
        <f t="shared" si="5"/>
        <v>9.5161290322580641</v>
      </c>
      <c r="W12" s="1">
        <v>6.2</v>
      </c>
      <c r="X12" s="1">
        <v>3.2</v>
      </c>
      <c r="Y12" s="1">
        <v>13.4</v>
      </c>
      <c r="Z12" s="1">
        <v>30</v>
      </c>
      <c r="AA12" s="1">
        <v>20.399999999999999</v>
      </c>
      <c r="AB12" s="1">
        <v>8.4</v>
      </c>
      <c r="AC12" s="1">
        <v>9</v>
      </c>
      <c r="AD12" s="1">
        <v>4.4000000000000004</v>
      </c>
      <c r="AE12" s="1">
        <v>19.8</v>
      </c>
      <c r="AF12" s="1">
        <v>26.4</v>
      </c>
      <c r="AG12" s="1"/>
      <c r="AH12" s="1">
        <f t="shared" si="6"/>
        <v>4.6920000000000046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48</v>
      </c>
      <c r="B13" s="1" t="s">
        <v>42</v>
      </c>
      <c r="C13" s="1">
        <v>71</v>
      </c>
      <c r="D13" s="1">
        <v>108</v>
      </c>
      <c r="E13" s="1">
        <v>63</v>
      </c>
      <c r="F13" s="1">
        <v>32</v>
      </c>
      <c r="G13" s="7">
        <v>0.3</v>
      </c>
      <c r="H13" s="1">
        <v>40</v>
      </c>
      <c r="I13" s="1" t="s">
        <v>37</v>
      </c>
      <c r="J13" s="1"/>
      <c r="K13" s="1">
        <v>98</v>
      </c>
      <c r="L13" s="1">
        <f t="shared" si="2"/>
        <v>-35</v>
      </c>
      <c r="M13" s="1"/>
      <c r="N13" s="1"/>
      <c r="O13" s="1">
        <v>211.23842931937159</v>
      </c>
      <c r="P13" s="1"/>
      <c r="Q13" s="1"/>
      <c r="R13" s="1">
        <v>0</v>
      </c>
      <c r="S13" s="1">
        <f t="shared" si="3"/>
        <v>12.6</v>
      </c>
      <c r="T13" s="5"/>
      <c r="U13" s="1">
        <f t="shared" si="4"/>
        <v>19.304637247569175</v>
      </c>
      <c r="V13" s="1">
        <f t="shared" si="5"/>
        <v>19.304637247569175</v>
      </c>
      <c r="W13" s="1">
        <v>3</v>
      </c>
      <c r="X13" s="1">
        <v>18.600000000000001</v>
      </c>
      <c r="Y13" s="1">
        <v>22.4</v>
      </c>
      <c r="Z13" s="1">
        <v>9.4</v>
      </c>
      <c r="AA13" s="1">
        <v>5.8</v>
      </c>
      <c r="AB13" s="1">
        <v>6.2</v>
      </c>
      <c r="AC13" s="1">
        <v>11.4</v>
      </c>
      <c r="AD13" s="1">
        <v>16</v>
      </c>
      <c r="AE13" s="1">
        <v>6.8</v>
      </c>
      <c r="AF13" s="1">
        <v>-1.2</v>
      </c>
      <c r="AG13" s="1"/>
      <c r="AH13" s="1">
        <f t="shared" si="6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49</v>
      </c>
      <c r="B14" s="1" t="s">
        <v>42</v>
      </c>
      <c r="C14" s="1">
        <v>144</v>
      </c>
      <c r="D14" s="1">
        <v>2</v>
      </c>
      <c r="E14" s="1">
        <v>41</v>
      </c>
      <c r="F14" s="1">
        <v>-2</v>
      </c>
      <c r="G14" s="7">
        <v>0.17</v>
      </c>
      <c r="H14" s="1">
        <v>180</v>
      </c>
      <c r="I14" s="1" t="s">
        <v>37</v>
      </c>
      <c r="J14" s="1"/>
      <c r="K14" s="1">
        <v>49</v>
      </c>
      <c r="L14" s="1">
        <f t="shared" si="2"/>
        <v>-8</v>
      </c>
      <c r="M14" s="1"/>
      <c r="N14" s="1"/>
      <c r="O14" s="1">
        <v>337</v>
      </c>
      <c r="P14" s="1"/>
      <c r="Q14" s="1"/>
      <c r="R14" s="1">
        <v>100</v>
      </c>
      <c r="S14" s="1">
        <f t="shared" si="3"/>
        <v>8.1999999999999993</v>
      </c>
      <c r="T14" s="5"/>
      <c r="U14" s="1">
        <f t="shared" si="4"/>
        <v>53.048780487804883</v>
      </c>
      <c r="V14" s="1">
        <f t="shared" si="5"/>
        <v>53.048780487804883</v>
      </c>
      <c r="W14" s="1">
        <v>23.8</v>
      </c>
      <c r="X14" s="1">
        <v>31.4</v>
      </c>
      <c r="Y14" s="1">
        <v>32</v>
      </c>
      <c r="Z14" s="1">
        <v>38.6</v>
      </c>
      <c r="AA14" s="1">
        <v>35.799999999999997</v>
      </c>
      <c r="AB14" s="1">
        <v>42.8</v>
      </c>
      <c r="AC14" s="1">
        <v>55.6</v>
      </c>
      <c r="AD14" s="1">
        <v>50.6</v>
      </c>
      <c r="AE14" s="1">
        <v>53.6</v>
      </c>
      <c r="AF14" s="1">
        <v>49</v>
      </c>
      <c r="AG14" s="1"/>
      <c r="AH14" s="1">
        <f t="shared" si="6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1" t="s">
        <v>50</v>
      </c>
      <c r="B15" s="1" t="s">
        <v>36</v>
      </c>
      <c r="C15" s="1">
        <v>657.37199999999996</v>
      </c>
      <c r="D15" s="1">
        <v>327.41500000000002</v>
      </c>
      <c r="E15" s="1">
        <v>186.81299999999999</v>
      </c>
      <c r="F15" s="1">
        <v>328.38200000000001</v>
      </c>
      <c r="G15" s="7">
        <v>1</v>
      </c>
      <c r="H15" s="1">
        <v>70</v>
      </c>
      <c r="I15" s="1" t="s">
        <v>37</v>
      </c>
      <c r="J15" s="1"/>
      <c r="K15" s="1">
        <v>186.5</v>
      </c>
      <c r="L15" s="1">
        <f t="shared" si="2"/>
        <v>0.31299999999998818</v>
      </c>
      <c r="M15" s="1"/>
      <c r="N15" s="1"/>
      <c r="O15" s="1">
        <v>0</v>
      </c>
      <c r="P15" s="1"/>
      <c r="Q15" s="1"/>
      <c r="R15" s="1">
        <v>44.063111718687622</v>
      </c>
      <c r="S15" s="1">
        <f t="shared" si="3"/>
        <v>37.3626</v>
      </c>
      <c r="T15" s="5">
        <f t="shared" si="7"/>
        <v>38.543488281312364</v>
      </c>
      <c r="U15" s="1">
        <f t="shared" si="4"/>
        <v>10.999999999999998</v>
      </c>
      <c r="V15" s="1">
        <f t="shared" si="5"/>
        <v>9.9683938408645965</v>
      </c>
      <c r="W15" s="1">
        <v>35.295400000000001</v>
      </c>
      <c r="X15" s="1">
        <v>36.7044</v>
      </c>
      <c r="Y15" s="1">
        <v>34.183599999999998</v>
      </c>
      <c r="Z15" s="1">
        <v>66.669600000000003</v>
      </c>
      <c r="AA15" s="1">
        <v>94.391199999999998</v>
      </c>
      <c r="AB15" s="1">
        <v>92.775999999999996</v>
      </c>
      <c r="AC15" s="1">
        <v>91.034000000000006</v>
      </c>
      <c r="AD15" s="1">
        <v>96.842399999999998</v>
      </c>
      <c r="AE15" s="1">
        <v>93.471599999999995</v>
      </c>
      <c r="AF15" s="1">
        <v>88.441000000000003</v>
      </c>
      <c r="AG15" s="1"/>
      <c r="AH15" s="1">
        <f t="shared" si="6"/>
        <v>38.543488281312364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51</v>
      </c>
      <c r="B16" s="1" t="s">
        <v>36</v>
      </c>
      <c r="C16" s="1">
        <v>2934.402</v>
      </c>
      <c r="D16" s="1">
        <v>724.71600000000001</v>
      </c>
      <c r="E16" s="1">
        <v>1488.597</v>
      </c>
      <c r="F16" s="1">
        <v>348.33800000000002</v>
      </c>
      <c r="G16" s="7">
        <v>1</v>
      </c>
      <c r="H16" s="1">
        <v>50</v>
      </c>
      <c r="I16" s="1" t="s">
        <v>37</v>
      </c>
      <c r="J16" s="1"/>
      <c r="K16" s="1">
        <v>1472.5</v>
      </c>
      <c r="L16" s="1">
        <f t="shared" si="2"/>
        <v>16.09699999999998</v>
      </c>
      <c r="M16" s="1"/>
      <c r="N16" s="1"/>
      <c r="O16" s="1">
        <v>2052.8198000000011</v>
      </c>
      <c r="P16" s="1"/>
      <c r="Q16" s="1"/>
      <c r="R16" s="1">
        <v>0</v>
      </c>
      <c r="S16" s="1">
        <f t="shared" si="3"/>
        <v>297.71940000000001</v>
      </c>
      <c r="T16" s="5">
        <f>10.5*S16-R16-Q16-P16-O16-F16</f>
        <v>724.89589999999885</v>
      </c>
      <c r="U16" s="1">
        <f t="shared" si="4"/>
        <v>10.500000000000002</v>
      </c>
      <c r="V16" s="1">
        <f t="shared" si="5"/>
        <v>8.065170761461971</v>
      </c>
      <c r="W16" s="1">
        <v>158.25280000000001</v>
      </c>
      <c r="X16" s="1">
        <v>261.35239999999999</v>
      </c>
      <c r="Y16" s="1">
        <v>314.37259999999998</v>
      </c>
      <c r="Z16" s="1">
        <v>350.28039999999999</v>
      </c>
      <c r="AA16" s="1">
        <v>480.89580000000001</v>
      </c>
      <c r="AB16" s="1">
        <v>437.53480000000002</v>
      </c>
      <c r="AC16" s="1">
        <v>456.43400000000003</v>
      </c>
      <c r="AD16" s="1">
        <v>513.70119999999997</v>
      </c>
      <c r="AE16" s="1">
        <v>424.07979999999998</v>
      </c>
      <c r="AF16" s="1">
        <v>400.34519999999998</v>
      </c>
      <c r="AG16" s="1"/>
      <c r="AH16" s="1">
        <f t="shared" si="6"/>
        <v>724.89589999999885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52</v>
      </c>
      <c r="B17" s="1" t="s">
        <v>36</v>
      </c>
      <c r="C17" s="1">
        <v>71.728999999999999</v>
      </c>
      <c r="D17" s="1"/>
      <c r="E17" s="1">
        <v>11.452999999999999</v>
      </c>
      <c r="F17" s="1">
        <v>60.276000000000003</v>
      </c>
      <c r="G17" s="7">
        <v>1</v>
      </c>
      <c r="H17" s="1">
        <v>60</v>
      </c>
      <c r="I17" s="1" t="s">
        <v>37</v>
      </c>
      <c r="J17" s="1"/>
      <c r="K17" s="1">
        <v>11.5</v>
      </c>
      <c r="L17" s="1">
        <f t="shared" si="2"/>
        <v>-4.7000000000000597E-2</v>
      </c>
      <c r="M17" s="1"/>
      <c r="N17" s="1"/>
      <c r="O17" s="1">
        <v>0</v>
      </c>
      <c r="P17" s="1"/>
      <c r="Q17" s="1"/>
      <c r="R17" s="1">
        <v>0</v>
      </c>
      <c r="S17" s="1">
        <f t="shared" si="3"/>
        <v>2.2906</v>
      </c>
      <c r="T17" s="5"/>
      <c r="U17" s="1">
        <f t="shared" si="4"/>
        <v>26.314502750371084</v>
      </c>
      <c r="V17" s="1">
        <f t="shared" si="5"/>
        <v>26.314502750371084</v>
      </c>
      <c r="W17" s="1">
        <v>1.5915999999999999</v>
      </c>
      <c r="X17" s="1">
        <v>1.4101999999999999</v>
      </c>
      <c r="Y17" s="1">
        <v>0.70200000000000029</v>
      </c>
      <c r="Z17" s="1">
        <v>6.7040000000000006</v>
      </c>
      <c r="AA17" s="1">
        <v>9.8385999999999996</v>
      </c>
      <c r="AB17" s="1">
        <v>11.293200000000001</v>
      </c>
      <c r="AC17" s="1">
        <v>15.170199999999999</v>
      </c>
      <c r="AD17" s="1">
        <v>14.3386</v>
      </c>
      <c r="AE17" s="1">
        <v>12.2934</v>
      </c>
      <c r="AF17" s="1">
        <v>14.3178</v>
      </c>
      <c r="AG17" s="17" t="s">
        <v>53</v>
      </c>
      <c r="AH17" s="1">
        <f t="shared" si="6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" t="s">
        <v>54</v>
      </c>
      <c r="B18" s="1" t="s">
        <v>36</v>
      </c>
      <c r="C18" s="1">
        <v>60.857999999999997</v>
      </c>
      <c r="D18" s="1"/>
      <c r="E18" s="1">
        <v>10.532</v>
      </c>
      <c r="F18" s="1">
        <v>50.326000000000001</v>
      </c>
      <c r="G18" s="7">
        <v>1</v>
      </c>
      <c r="H18" s="1">
        <v>60</v>
      </c>
      <c r="I18" s="1" t="s">
        <v>37</v>
      </c>
      <c r="J18" s="1"/>
      <c r="K18" s="1">
        <v>10.5</v>
      </c>
      <c r="L18" s="1">
        <f t="shared" si="2"/>
        <v>3.2000000000000028E-2</v>
      </c>
      <c r="M18" s="1"/>
      <c r="N18" s="1"/>
      <c r="O18" s="1">
        <v>0</v>
      </c>
      <c r="P18" s="1"/>
      <c r="Q18" s="1"/>
      <c r="R18" s="1">
        <v>0</v>
      </c>
      <c r="S18" s="1">
        <f t="shared" si="3"/>
        <v>2.1063999999999998</v>
      </c>
      <c r="T18" s="5"/>
      <c r="U18" s="1">
        <f t="shared" si="4"/>
        <v>23.891948347892139</v>
      </c>
      <c r="V18" s="1">
        <f t="shared" si="5"/>
        <v>23.891948347892139</v>
      </c>
      <c r="W18" s="1">
        <v>2.1065999999999998</v>
      </c>
      <c r="X18" s="1">
        <v>1.1686000000000001</v>
      </c>
      <c r="Y18" s="1">
        <v>0.5292</v>
      </c>
      <c r="Z18" s="1">
        <v>2.8111999999999999</v>
      </c>
      <c r="AA18" s="1">
        <v>5.9997999999999996</v>
      </c>
      <c r="AB18" s="1">
        <v>7.8230000000000004</v>
      </c>
      <c r="AC18" s="1">
        <v>10.795400000000001</v>
      </c>
      <c r="AD18" s="1">
        <v>9.7043999999999997</v>
      </c>
      <c r="AE18" s="1">
        <v>7.2253999999999996</v>
      </c>
      <c r="AF18" s="1">
        <v>9.3013999999999992</v>
      </c>
      <c r="AG18" s="17" t="s">
        <v>53</v>
      </c>
      <c r="AH18" s="1">
        <f t="shared" si="6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1" t="s">
        <v>55</v>
      </c>
      <c r="B19" s="1" t="s">
        <v>36</v>
      </c>
      <c r="C19" s="1">
        <v>37.875</v>
      </c>
      <c r="D19" s="1">
        <v>0.35599999999999998</v>
      </c>
      <c r="E19" s="1"/>
      <c r="F19" s="1">
        <v>-0.21</v>
      </c>
      <c r="G19" s="7">
        <v>1</v>
      </c>
      <c r="H19" s="1">
        <v>180</v>
      </c>
      <c r="I19" s="1" t="s">
        <v>37</v>
      </c>
      <c r="J19" s="1"/>
      <c r="K19" s="1">
        <v>2.2000000000000002</v>
      </c>
      <c r="L19" s="1">
        <f t="shared" si="2"/>
        <v>-2.2000000000000002</v>
      </c>
      <c r="M19" s="1"/>
      <c r="N19" s="1"/>
      <c r="O19" s="1">
        <v>63.97999999999999</v>
      </c>
      <c r="P19" s="1"/>
      <c r="Q19" s="1"/>
      <c r="R19" s="1">
        <v>0</v>
      </c>
      <c r="S19" s="1">
        <f t="shared" si="3"/>
        <v>0</v>
      </c>
      <c r="T19" s="5">
        <v>10</v>
      </c>
      <c r="U19" s="1" t="e">
        <f t="shared" si="4"/>
        <v>#DIV/0!</v>
      </c>
      <c r="V19" s="1" t="e">
        <f t="shared" si="5"/>
        <v>#DIV/0!</v>
      </c>
      <c r="W19" s="1">
        <v>1.2298</v>
      </c>
      <c r="X19" s="1">
        <v>4.8632</v>
      </c>
      <c r="Y19" s="1">
        <v>4.8779999999999992</v>
      </c>
      <c r="Z19" s="1">
        <v>4.3624000000000001</v>
      </c>
      <c r="AA19" s="1">
        <v>4.9363999999999999</v>
      </c>
      <c r="AB19" s="1">
        <v>5.5602</v>
      </c>
      <c r="AC19" s="1">
        <v>7.5060000000000002</v>
      </c>
      <c r="AD19" s="1">
        <v>7.0279999999999996</v>
      </c>
      <c r="AE19" s="1">
        <v>6.3250000000000002</v>
      </c>
      <c r="AF19" s="1">
        <v>6.3784000000000001</v>
      </c>
      <c r="AG19" s="1"/>
      <c r="AH19" s="1">
        <f t="shared" si="6"/>
        <v>10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1" t="s">
        <v>56</v>
      </c>
      <c r="B20" s="1" t="s">
        <v>36</v>
      </c>
      <c r="C20" s="1">
        <v>299.12200000000001</v>
      </c>
      <c r="D20" s="1">
        <v>335.38900000000001</v>
      </c>
      <c r="E20" s="1">
        <v>105.026</v>
      </c>
      <c r="F20" s="1">
        <v>315.017</v>
      </c>
      <c r="G20" s="7">
        <v>1</v>
      </c>
      <c r="H20" s="1">
        <v>60</v>
      </c>
      <c r="I20" s="1" t="s">
        <v>37</v>
      </c>
      <c r="J20" s="1"/>
      <c r="K20" s="1">
        <v>132.80000000000001</v>
      </c>
      <c r="L20" s="1">
        <f t="shared" si="2"/>
        <v>-27.774000000000015</v>
      </c>
      <c r="M20" s="1"/>
      <c r="N20" s="1"/>
      <c r="O20" s="1">
        <v>0</v>
      </c>
      <c r="P20" s="1"/>
      <c r="Q20" s="1"/>
      <c r="R20" s="1">
        <v>0</v>
      </c>
      <c r="S20" s="1">
        <f t="shared" si="3"/>
        <v>21.005199999999999</v>
      </c>
      <c r="T20" s="5"/>
      <c r="U20" s="1">
        <f t="shared" si="4"/>
        <v>14.997095957191553</v>
      </c>
      <c r="V20" s="1">
        <f t="shared" si="5"/>
        <v>14.997095957191553</v>
      </c>
      <c r="W20" s="1">
        <v>21.827999999999999</v>
      </c>
      <c r="X20" s="1">
        <v>24.819600000000001</v>
      </c>
      <c r="Y20" s="1">
        <v>23.265000000000001</v>
      </c>
      <c r="Z20" s="1">
        <v>64.643600000000006</v>
      </c>
      <c r="AA20" s="1">
        <v>58.071800000000003</v>
      </c>
      <c r="AB20" s="1">
        <v>56.750199999999992</v>
      </c>
      <c r="AC20" s="1">
        <v>79.769800000000004</v>
      </c>
      <c r="AD20" s="1">
        <v>80.206800000000001</v>
      </c>
      <c r="AE20" s="1">
        <v>75.62</v>
      </c>
      <c r="AF20" s="1">
        <v>64.991</v>
      </c>
      <c r="AG20" s="1"/>
      <c r="AH20" s="1">
        <f t="shared" si="6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57</v>
      </c>
      <c r="B21" s="1" t="s">
        <v>36</v>
      </c>
      <c r="C21" s="1">
        <v>279.63200000000001</v>
      </c>
      <c r="D21" s="1">
        <v>21.077999999999999</v>
      </c>
      <c r="E21" s="1">
        <v>22.015999999999998</v>
      </c>
      <c r="F21" s="1">
        <v>110.254</v>
      </c>
      <c r="G21" s="7">
        <v>1</v>
      </c>
      <c r="H21" s="1">
        <v>70</v>
      </c>
      <c r="I21" s="1" t="s">
        <v>37</v>
      </c>
      <c r="J21" s="1"/>
      <c r="K21" s="1">
        <v>25.108000000000001</v>
      </c>
      <c r="L21" s="1">
        <f t="shared" si="2"/>
        <v>-3.0920000000000023</v>
      </c>
      <c r="M21" s="1"/>
      <c r="N21" s="1"/>
      <c r="O21" s="1">
        <v>0</v>
      </c>
      <c r="P21" s="1"/>
      <c r="Q21" s="1"/>
      <c r="R21" s="1">
        <v>0</v>
      </c>
      <c r="S21" s="1">
        <f t="shared" si="3"/>
        <v>4.4032</v>
      </c>
      <c r="T21" s="5"/>
      <c r="U21" s="1">
        <f t="shared" si="4"/>
        <v>25.039516715116282</v>
      </c>
      <c r="V21" s="1">
        <f t="shared" si="5"/>
        <v>25.039516715116282</v>
      </c>
      <c r="W21" s="1">
        <v>5.0922000000000001</v>
      </c>
      <c r="X21" s="1">
        <v>2.9807999999999999</v>
      </c>
      <c r="Y21" s="1">
        <v>1.7667999999999999</v>
      </c>
      <c r="Z21" s="1">
        <v>11.1084</v>
      </c>
      <c r="AA21" s="1">
        <v>22.072600000000001</v>
      </c>
      <c r="AB21" s="1">
        <v>24.557600000000001</v>
      </c>
      <c r="AC21" s="1">
        <v>24.7864</v>
      </c>
      <c r="AD21" s="1">
        <v>16.4818</v>
      </c>
      <c r="AE21" s="1">
        <v>17.9194</v>
      </c>
      <c r="AF21" s="1">
        <v>20.691400000000002</v>
      </c>
      <c r="AG21" s="17" t="s">
        <v>53</v>
      </c>
      <c r="AH21" s="1">
        <f t="shared" si="6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58</v>
      </c>
      <c r="B22" s="1" t="s">
        <v>36</v>
      </c>
      <c r="C22" s="1">
        <v>274.108</v>
      </c>
      <c r="D22" s="1"/>
      <c r="E22" s="1">
        <v>32.509</v>
      </c>
      <c r="F22" s="1">
        <v>141.39500000000001</v>
      </c>
      <c r="G22" s="7">
        <v>1</v>
      </c>
      <c r="H22" s="1">
        <v>70</v>
      </c>
      <c r="I22" s="1" t="s">
        <v>37</v>
      </c>
      <c r="J22" s="1"/>
      <c r="K22" s="1">
        <v>30.5</v>
      </c>
      <c r="L22" s="1">
        <f t="shared" si="2"/>
        <v>2.0090000000000003</v>
      </c>
      <c r="M22" s="1"/>
      <c r="N22" s="1"/>
      <c r="O22" s="1">
        <v>0</v>
      </c>
      <c r="P22" s="1"/>
      <c r="Q22" s="1"/>
      <c r="R22" s="1">
        <v>0</v>
      </c>
      <c r="S22" s="1">
        <f t="shared" si="3"/>
        <v>6.5018000000000002</v>
      </c>
      <c r="T22" s="5"/>
      <c r="U22" s="1">
        <f t="shared" si="4"/>
        <v>21.747054661785967</v>
      </c>
      <c r="V22" s="1">
        <f t="shared" si="5"/>
        <v>21.747054661785967</v>
      </c>
      <c r="W22" s="1">
        <v>8.7881999999999998</v>
      </c>
      <c r="X22" s="1">
        <v>12.298999999999999</v>
      </c>
      <c r="Y22" s="1">
        <v>9.3088000000000015</v>
      </c>
      <c r="Z22" s="1">
        <v>12.678599999999999</v>
      </c>
      <c r="AA22" s="1">
        <v>24.118200000000002</v>
      </c>
      <c r="AB22" s="1">
        <v>18.269200000000001</v>
      </c>
      <c r="AC22" s="1">
        <v>21.5534</v>
      </c>
      <c r="AD22" s="1">
        <v>26.809000000000001</v>
      </c>
      <c r="AE22" s="1">
        <v>31.9404</v>
      </c>
      <c r="AF22" s="1">
        <v>32.387</v>
      </c>
      <c r="AG22" s="13" t="s">
        <v>180</v>
      </c>
      <c r="AH22" s="1">
        <f t="shared" si="6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1" t="s">
        <v>60</v>
      </c>
      <c r="B23" s="1" t="s">
        <v>36</v>
      </c>
      <c r="C23" s="1">
        <v>43.067</v>
      </c>
      <c r="D23" s="1"/>
      <c r="E23" s="1">
        <v>6.6769999999999996</v>
      </c>
      <c r="F23" s="1">
        <v>-0.186</v>
      </c>
      <c r="G23" s="7">
        <v>1</v>
      </c>
      <c r="H23" s="1">
        <v>180</v>
      </c>
      <c r="I23" s="1" t="s">
        <v>37</v>
      </c>
      <c r="J23" s="1"/>
      <c r="K23" s="1">
        <v>5.9</v>
      </c>
      <c r="L23" s="1">
        <f t="shared" si="2"/>
        <v>0.77699999999999925</v>
      </c>
      <c r="M23" s="1"/>
      <c r="N23" s="1"/>
      <c r="O23" s="1">
        <v>58.63280000000001</v>
      </c>
      <c r="P23" s="1"/>
      <c r="Q23" s="1"/>
      <c r="R23" s="1">
        <v>0</v>
      </c>
      <c r="S23" s="1">
        <f t="shared" si="3"/>
        <v>1.3353999999999999</v>
      </c>
      <c r="T23" s="5">
        <v>10</v>
      </c>
      <c r="U23" s="1">
        <f t="shared" si="4"/>
        <v>51.255653736708112</v>
      </c>
      <c r="V23" s="1">
        <f t="shared" si="5"/>
        <v>43.767260745843956</v>
      </c>
      <c r="W23" s="1">
        <v>3.2978000000000001</v>
      </c>
      <c r="X23" s="1">
        <v>6.2813999999999997</v>
      </c>
      <c r="Y23" s="1">
        <v>5.3385999999999996</v>
      </c>
      <c r="Z23" s="1">
        <v>3.8740000000000001</v>
      </c>
      <c r="AA23" s="1">
        <v>4.6496000000000004</v>
      </c>
      <c r="AB23" s="1">
        <v>6.7364000000000006</v>
      </c>
      <c r="AC23" s="1">
        <v>8.1237999999999992</v>
      </c>
      <c r="AD23" s="1">
        <v>7.3412000000000006</v>
      </c>
      <c r="AE23" s="1">
        <v>7.2737999999999996</v>
      </c>
      <c r="AF23" s="1">
        <v>6.770999999999999</v>
      </c>
      <c r="AG23" s="1"/>
      <c r="AH23" s="1">
        <f t="shared" si="6"/>
        <v>10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1" t="s">
        <v>61</v>
      </c>
      <c r="B24" s="1" t="s">
        <v>36</v>
      </c>
      <c r="C24" s="1">
        <v>440.41800000000001</v>
      </c>
      <c r="D24" s="1">
        <v>8.798</v>
      </c>
      <c r="E24" s="1">
        <v>48.353999999999999</v>
      </c>
      <c r="F24" s="1">
        <v>86.406000000000006</v>
      </c>
      <c r="G24" s="7">
        <v>1</v>
      </c>
      <c r="H24" s="1">
        <v>70</v>
      </c>
      <c r="I24" s="1" t="s">
        <v>37</v>
      </c>
      <c r="J24" s="1"/>
      <c r="K24" s="1">
        <v>51.8</v>
      </c>
      <c r="L24" s="1">
        <f t="shared" si="2"/>
        <v>-3.445999999999998</v>
      </c>
      <c r="M24" s="1"/>
      <c r="N24" s="1"/>
      <c r="O24" s="1">
        <v>0</v>
      </c>
      <c r="P24" s="1"/>
      <c r="Q24" s="1"/>
      <c r="R24" s="1">
        <v>54.1008</v>
      </c>
      <c r="S24" s="1">
        <f t="shared" si="3"/>
        <v>9.6707999999999998</v>
      </c>
      <c r="T24" s="5"/>
      <c r="U24" s="1">
        <f t="shared" si="4"/>
        <v>14.528973818091576</v>
      </c>
      <c r="V24" s="1">
        <f t="shared" si="5"/>
        <v>14.528973818091576</v>
      </c>
      <c r="W24" s="1">
        <v>12.0936</v>
      </c>
      <c r="X24" s="1">
        <v>12.107799999999999</v>
      </c>
      <c r="Y24" s="1">
        <v>10.0344</v>
      </c>
      <c r="Z24" s="1">
        <v>32.643000000000001</v>
      </c>
      <c r="AA24" s="1">
        <v>50.256799999999998</v>
      </c>
      <c r="AB24" s="1">
        <v>50.878</v>
      </c>
      <c r="AC24" s="1">
        <v>32.047199999999997</v>
      </c>
      <c r="AD24" s="1">
        <v>25.897600000000001</v>
      </c>
      <c r="AE24" s="1">
        <v>37.567</v>
      </c>
      <c r="AF24" s="1">
        <v>37.298999999999999</v>
      </c>
      <c r="AG24" s="1" t="s">
        <v>59</v>
      </c>
      <c r="AH24" s="1">
        <f t="shared" si="6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10" t="s">
        <v>62</v>
      </c>
      <c r="B25" s="10" t="s">
        <v>36</v>
      </c>
      <c r="C25" s="10"/>
      <c r="D25" s="10"/>
      <c r="E25" s="10"/>
      <c r="F25" s="10"/>
      <c r="G25" s="11">
        <v>0</v>
      </c>
      <c r="H25" s="10"/>
      <c r="I25" s="10" t="s">
        <v>37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>
        <f t="shared" si="3"/>
        <v>0</v>
      </c>
      <c r="T25" s="12"/>
      <c r="U25" s="10" t="e">
        <f t="shared" si="4"/>
        <v>#DIV/0!</v>
      </c>
      <c r="V25" s="10" t="e">
        <f t="shared" si="5"/>
        <v>#DIV/0!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 t="s">
        <v>43</v>
      </c>
      <c r="AH25" s="10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1" t="s">
        <v>63</v>
      </c>
      <c r="B26" s="1" t="s">
        <v>36</v>
      </c>
      <c r="C26" s="1">
        <v>220.25</v>
      </c>
      <c r="D26" s="1">
        <v>95.460999999999999</v>
      </c>
      <c r="E26" s="1">
        <v>134.298</v>
      </c>
      <c r="F26" s="1">
        <v>114.429</v>
      </c>
      <c r="G26" s="7">
        <v>1</v>
      </c>
      <c r="H26" s="1"/>
      <c r="I26" s="1" t="s">
        <v>37</v>
      </c>
      <c r="J26" s="1"/>
      <c r="K26" s="1">
        <v>135.4</v>
      </c>
      <c r="L26" s="1">
        <f t="shared" si="2"/>
        <v>-1.1020000000000039</v>
      </c>
      <c r="M26" s="1"/>
      <c r="N26" s="1"/>
      <c r="O26" s="1">
        <v>0</v>
      </c>
      <c r="P26" s="1"/>
      <c r="Q26" s="1"/>
      <c r="R26" s="1">
        <v>0</v>
      </c>
      <c r="S26" s="1">
        <f t="shared" si="3"/>
        <v>26.8596</v>
      </c>
      <c r="T26" s="5">
        <f>10*S26-R26-Q26-P26-O26-F26</f>
        <v>154.167</v>
      </c>
      <c r="U26" s="1">
        <f t="shared" si="4"/>
        <v>10</v>
      </c>
      <c r="V26" s="1">
        <f t="shared" si="5"/>
        <v>4.2602644864406018</v>
      </c>
      <c r="W26" s="1">
        <v>9.6592000000000002</v>
      </c>
      <c r="X26" s="1">
        <v>4.1318000000000001</v>
      </c>
      <c r="Y26" s="1">
        <v>11.148199999999999</v>
      </c>
      <c r="Z26" s="1">
        <v>25.6892</v>
      </c>
      <c r="AA26" s="1">
        <v>21.925799999999999</v>
      </c>
      <c r="AB26" s="1">
        <v>18.2592</v>
      </c>
      <c r="AC26" s="1">
        <v>16.141200000000001</v>
      </c>
      <c r="AD26" s="1">
        <v>2.0912000000000002</v>
      </c>
      <c r="AE26" s="1">
        <v>5.1159999999999997</v>
      </c>
      <c r="AF26" s="1">
        <v>17.8748</v>
      </c>
      <c r="AG26" s="1"/>
      <c r="AH26" s="1">
        <f t="shared" ref="AH26:AH67" si="8">G26*T26</f>
        <v>154.167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" t="s">
        <v>64</v>
      </c>
      <c r="B27" s="1" t="s">
        <v>36</v>
      </c>
      <c r="C27" s="1">
        <v>-6.3E-2</v>
      </c>
      <c r="D27" s="1">
        <v>147.63</v>
      </c>
      <c r="E27" s="1">
        <v>47.374000000000002</v>
      </c>
      <c r="F27" s="1">
        <v>81.778999999999996</v>
      </c>
      <c r="G27" s="7">
        <v>1</v>
      </c>
      <c r="H27" s="1">
        <v>40</v>
      </c>
      <c r="I27" s="9" t="s">
        <v>40</v>
      </c>
      <c r="J27" s="1"/>
      <c r="K27" s="1">
        <v>45.5</v>
      </c>
      <c r="L27" s="1">
        <f t="shared" si="2"/>
        <v>1.8740000000000023</v>
      </c>
      <c r="M27" s="1"/>
      <c r="N27" s="1"/>
      <c r="O27" s="1">
        <v>52</v>
      </c>
      <c r="P27" s="1"/>
      <c r="Q27" s="1"/>
      <c r="R27" s="1">
        <v>0</v>
      </c>
      <c r="S27" s="1">
        <f t="shared" si="3"/>
        <v>9.4748000000000001</v>
      </c>
      <c r="T27" s="5"/>
      <c r="U27" s="1">
        <f t="shared" si="4"/>
        <v>14.119453708785409</v>
      </c>
      <c r="V27" s="1">
        <f t="shared" si="5"/>
        <v>14.119453708785409</v>
      </c>
      <c r="W27" s="1">
        <v>0</v>
      </c>
      <c r="X27" s="1">
        <v>0</v>
      </c>
      <c r="Y27" s="1">
        <v>2.1427999999999998</v>
      </c>
      <c r="Z27" s="1">
        <v>10.8134</v>
      </c>
      <c r="AA27" s="1">
        <v>17.641400000000001</v>
      </c>
      <c r="AB27" s="1">
        <v>8.9708000000000006</v>
      </c>
      <c r="AC27" s="1">
        <v>-0.30919999999999997</v>
      </c>
      <c r="AD27" s="1">
        <v>-0.6</v>
      </c>
      <c r="AE27" s="1">
        <v>-0.49919999999999998</v>
      </c>
      <c r="AF27" s="1">
        <v>-0.2084</v>
      </c>
      <c r="AG27" s="1"/>
      <c r="AH27" s="1">
        <f t="shared" si="8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65</v>
      </c>
      <c r="B28" s="1" t="s">
        <v>36</v>
      </c>
      <c r="C28" s="1">
        <v>129.35400000000001</v>
      </c>
      <c r="D28" s="1">
        <v>4.1280000000000001</v>
      </c>
      <c r="E28" s="1">
        <v>125.94499999999999</v>
      </c>
      <c r="F28" s="1">
        <v>-2.6139999999999999</v>
      </c>
      <c r="G28" s="7">
        <v>1</v>
      </c>
      <c r="H28" s="1">
        <v>30</v>
      </c>
      <c r="I28" s="9" t="s">
        <v>40</v>
      </c>
      <c r="J28" s="1"/>
      <c r="K28" s="1">
        <v>135.30000000000001</v>
      </c>
      <c r="L28" s="1">
        <f t="shared" si="2"/>
        <v>-9.3550000000000182</v>
      </c>
      <c r="M28" s="1"/>
      <c r="N28" s="1"/>
      <c r="O28" s="1">
        <v>58.979179999999992</v>
      </c>
      <c r="P28" s="1"/>
      <c r="Q28" s="1"/>
      <c r="R28" s="1">
        <v>280</v>
      </c>
      <c r="S28" s="1">
        <f t="shared" si="3"/>
        <v>25.189</v>
      </c>
      <c r="T28" s="5">
        <v>25</v>
      </c>
      <c r="U28" s="1">
        <f t="shared" si="4"/>
        <v>14.346150303703999</v>
      </c>
      <c r="V28" s="1">
        <f t="shared" si="5"/>
        <v>13.35365357894319</v>
      </c>
      <c r="W28" s="1">
        <v>39.961599999999997</v>
      </c>
      <c r="X28" s="1">
        <v>36.950599999999987</v>
      </c>
      <c r="Y28" s="1">
        <v>19.311800000000002</v>
      </c>
      <c r="Z28" s="1">
        <v>9.3336000000000006</v>
      </c>
      <c r="AA28" s="1">
        <v>16.171600000000002</v>
      </c>
      <c r="AB28" s="1">
        <v>39.539400000000001</v>
      </c>
      <c r="AC28" s="1">
        <v>40.031599999999997</v>
      </c>
      <c r="AD28" s="1">
        <v>22.977399999999999</v>
      </c>
      <c r="AE28" s="1">
        <v>27.055800000000001</v>
      </c>
      <c r="AF28" s="1">
        <v>48.028799999999997</v>
      </c>
      <c r="AG28" s="1"/>
      <c r="AH28" s="1">
        <f t="shared" si="8"/>
        <v>25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1" t="s">
        <v>66</v>
      </c>
      <c r="B29" s="1" t="s">
        <v>36</v>
      </c>
      <c r="C29" s="1">
        <v>547.59799999999996</v>
      </c>
      <c r="D29" s="1">
        <v>3.2040000000000002</v>
      </c>
      <c r="E29" s="1">
        <v>264.58</v>
      </c>
      <c r="F29" s="1">
        <v>-21.998000000000001</v>
      </c>
      <c r="G29" s="7">
        <v>1</v>
      </c>
      <c r="H29" s="1">
        <v>40</v>
      </c>
      <c r="I29" s="1" t="s">
        <v>37</v>
      </c>
      <c r="J29" s="1"/>
      <c r="K29" s="1">
        <v>254.4</v>
      </c>
      <c r="L29" s="1">
        <f t="shared" si="2"/>
        <v>10.179999999999978</v>
      </c>
      <c r="M29" s="1"/>
      <c r="N29" s="1"/>
      <c r="O29" s="1">
        <v>1111.8580199999999</v>
      </c>
      <c r="P29" s="1"/>
      <c r="Q29" s="1"/>
      <c r="R29" s="1">
        <v>0</v>
      </c>
      <c r="S29" s="1">
        <f t="shared" si="3"/>
        <v>52.915999999999997</v>
      </c>
      <c r="T29" s="5"/>
      <c r="U29" s="1">
        <f t="shared" si="4"/>
        <v>20.596039383173331</v>
      </c>
      <c r="V29" s="1">
        <f t="shared" si="5"/>
        <v>20.596039383173331</v>
      </c>
      <c r="W29" s="1">
        <v>78.383799999999994</v>
      </c>
      <c r="X29" s="1">
        <v>82.191000000000003</v>
      </c>
      <c r="Y29" s="1">
        <v>101.8682</v>
      </c>
      <c r="Z29" s="1">
        <v>58.460400000000007</v>
      </c>
      <c r="AA29" s="1">
        <v>43.297199999999997</v>
      </c>
      <c r="AB29" s="1">
        <v>65.6066</v>
      </c>
      <c r="AC29" s="1">
        <v>148.5498</v>
      </c>
      <c r="AD29" s="1">
        <v>181.39400000000001</v>
      </c>
      <c r="AE29" s="1">
        <v>103.46299999999999</v>
      </c>
      <c r="AF29" s="1">
        <v>27.103999999999999</v>
      </c>
      <c r="AG29" s="1"/>
      <c r="AH29" s="1">
        <f t="shared" si="8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1" t="s">
        <v>67</v>
      </c>
      <c r="B30" s="1" t="s">
        <v>36</v>
      </c>
      <c r="C30" s="1">
        <v>24.178999999999998</v>
      </c>
      <c r="D30" s="1">
        <v>69.147999999999996</v>
      </c>
      <c r="E30" s="1">
        <v>20.898</v>
      </c>
      <c r="F30" s="1">
        <v>37.741</v>
      </c>
      <c r="G30" s="7">
        <v>1</v>
      </c>
      <c r="H30" s="1">
        <v>40</v>
      </c>
      <c r="I30" s="1" t="s">
        <v>37</v>
      </c>
      <c r="J30" s="1"/>
      <c r="K30" s="1">
        <v>18.7</v>
      </c>
      <c r="L30" s="1">
        <f t="shared" si="2"/>
        <v>2.1980000000000004</v>
      </c>
      <c r="M30" s="1"/>
      <c r="N30" s="1"/>
      <c r="O30" s="1">
        <v>26</v>
      </c>
      <c r="P30" s="1"/>
      <c r="Q30" s="1"/>
      <c r="R30" s="1">
        <v>0</v>
      </c>
      <c r="S30" s="1">
        <f t="shared" si="3"/>
        <v>4.1795999999999998</v>
      </c>
      <c r="T30" s="5"/>
      <c r="U30" s="1">
        <f t="shared" si="4"/>
        <v>15.250502440424922</v>
      </c>
      <c r="V30" s="1">
        <f t="shared" si="5"/>
        <v>15.250502440424922</v>
      </c>
      <c r="W30" s="1">
        <v>2.1640000000000001</v>
      </c>
      <c r="X30" s="1">
        <v>1.5367999999999999</v>
      </c>
      <c r="Y30" s="1">
        <v>0.94800000000000006</v>
      </c>
      <c r="Z30" s="1">
        <v>1.244</v>
      </c>
      <c r="AA30" s="1">
        <v>4.5960000000000001</v>
      </c>
      <c r="AB30" s="1">
        <v>5.7263999999999999</v>
      </c>
      <c r="AC30" s="1">
        <v>3.5457999999999998</v>
      </c>
      <c r="AD30" s="1">
        <v>2.9331999999999998</v>
      </c>
      <c r="AE30" s="1">
        <v>2.6417999999999999</v>
      </c>
      <c r="AF30" s="1">
        <v>0</v>
      </c>
      <c r="AG30" s="1"/>
      <c r="AH30" s="1">
        <f t="shared" si="8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1" t="s">
        <v>68</v>
      </c>
      <c r="B31" s="1" t="s">
        <v>36</v>
      </c>
      <c r="C31" s="1">
        <v>36.743000000000002</v>
      </c>
      <c r="D31" s="1">
        <v>4.0960000000000001</v>
      </c>
      <c r="E31" s="1">
        <v>30.052</v>
      </c>
      <c r="F31" s="1">
        <v>5.0460000000000003</v>
      </c>
      <c r="G31" s="7">
        <v>1</v>
      </c>
      <c r="H31" s="1">
        <v>30</v>
      </c>
      <c r="I31" s="9" t="s">
        <v>40</v>
      </c>
      <c r="J31" s="1"/>
      <c r="K31" s="1">
        <v>41.3</v>
      </c>
      <c r="L31" s="1">
        <f t="shared" si="2"/>
        <v>-11.247999999999998</v>
      </c>
      <c r="M31" s="1"/>
      <c r="N31" s="1"/>
      <c r="O31" s="1">
        <v>163.13900000000001</v>
      </c>
      <c r="P31" s="1"/>
      <c r="Q31" s="1"/>
      <c r="R31" s="1">
        <v>0</v>
      </c>
      <c r="S31" s="1">
        <f t="shared" si="3"/>
        <v>6.0103999999999997</v>
      </c>
      <c r="T31" s="5"/>
      <c r="U31" s="1">
        <f t="shared" si="4"/>
        <v>27.982330626913352</v>
      </c>
      <c r="V31" s="1">
        <f t="shared" si="5"/>
        <v>27.982330626913352</v>
      </c>
      <c r="W31" s="1">
        <v>7.9418000000000006</v>
      </c>
      <c r="X31" s="1">
        <v>17.933199999999999</v>
      </c>
      <c r="Y31" s="1">
        <v>20.16</v>
      </c>
      <c r="Z31" s="1">
        <v>6.9640000000000004</v>
      </c>
      <c r="AA31" s="1">
        <v>-1.2383999999999999</v>
      </c>
      <c r="AB31" s="1">
        <v>7.7220000000000004</v>
      </c>
      <c r="AC31" s="1">
        <v>20.628799999999998</v>
      </c>
      <c r="AD31" s="1">
        <v>19.175799999999999</v>
      </c>
      <c r="AE31" s="1">
        <v>5.3548</v>
      </c>
      <c r="AF31" s="1">
        <v>3.99</v>
      </c>
      <c r="AG31" s="1" t="s">
        <v>69</v>
      </c>
      <c r="AH31" s="1">
        <f t="shared" si="8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1" t="s">
        <v>70</v>
      </c>
      <c r="B32" s="1" t="s">
        <v>36</v>
      </c>
      <c r="C32" s="1">
        <v>316.94900000000001</v>
      </c>
      <c r="D32" s="1"/>
      <c r="E32" s="1">
        <v>102.681</v>
      </c>
      <c r="F32" s="1">
        <v>0.27200000000000002</v>
      </c>
      <c r="G32" s="7">
        <v>1</v>
      </c>
      <c r="H32" s="1">
        <v>50</v>
      </c>
      <c r="I32" s="1" t="s">
        <v>37</v>
      </c>
      <c r="J32" s="1"/>
      <c r="K32" s="1">
        <v>97.3</v>
      </c>
      <c r="L32" s="1">
        <f t="shared" si="2"/>
        <v>5.3810000000000002</v>
      </c>
      <c r="M32" s="1"/>
      <c r="N32" s="1"/>
      <c r="O32" s="1">
        <v>0</v>
      </c>
      <c r="P32" s="1"/>
      <c r="Q32" s="1"/>
      <c r="R32" s="1">
        <v>100</v>
      </c>
      <c r="S32" s="1">
        <f t="shared" si="3"/>
        <v>20.536200000000001</v>
      </c>
      <c r="T32" s="5">
        <f t="shared" ref="T26:T67" si="9">11*S32-R32-Q32-P32-O32-F32</f>
        <v>125.6262</v>
      </c>
      <c r="U32" s="1">
        <f t="shared" si="4"/>
        <v>11</v>
      </c>
      <c r="V32" s="1">
        <f t="shared" si="5"/>
        <v>4.8826949484325244</v>
      </c>
      <c r="W32" s="1">
        <v>13.7806</v>
      </c>
      <c r="X32" s="1">
        <v>7.1421999999999999</v>
      </c>
      <c r="Y32" s="1">
        <v>7.5117999999999991</v>
      </c>
      <c r="Z32" s="1">
        <v>0.18379999999999999</v>
      </c>
      <c r="AA32" s="1">
        <v>4.2085999999999997</v>
      </c>
      <c r="AB32" s="1">
        <v>21.8612</v>
      </c>
      <c r="AC32" s="1">
        <v>24.236000000000001</v>
      </c>
      <c r="AD32" s="1">
        <v>10.8574</v>
      </c>
      <c r="AE32" s="1">
        <v>12.3216</v>
      </c>
      <c r="AF32" s="1">
        <v>5.9024000000000001</v>
      </c>
      <c r="AG32" s="1" t="s">
        <v>59</v>
      </c>
      <c r="AH32" s="1">
        <f t="shared" si="8"/>
        <v>125.6262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1" t="s">
        <v>71</v>
      </c>
      <c r="B33" s="1" t="s">
        <v>36</v>
      </c>
      <c r="C33" s="1">
        <v>192.67699999999999</v>
      </c>
      <c r="D33" s="1">
        <v>141.11199999999999</v>
      </c>
      <c r="E33" s="1">
        <v>143.459</v>
      </c>
      <c r="F33" s="1">
        <v>83.656000000000006</v>
      </c>
      <c r="G33" s="7">
        <v>1</v>
      </c>
      <c r="H33" s="1">
        <v>50</v>
      </c>
      <c r="I33" s="1" t="s">
        <v>37</v>
      </c>
      <c r="J33" s="1"/>
      <c r="K33" s="1">
        <v>137.69999999999999</v>
      </c>
      <c r="L33" s="1">
        <f t="shared" si="2"/>
        <v>5.7590000000000146</v>
      </c>
      <c r="M33" s="1"/>
      <c r="N33" s="1"/>
      <c r="O33" s="1">
        <v>0</v>
      </c>
      <c r="P33" s="1"/>
      <c r="Q33" s="1"/>
      <c r="R33" s="1">
        <v>43.579040553093492</v>
      </c>
      <c r="S33" s="1">
        <f t="shared" si="3"/>
        <v>28.691800000000001</v>
      </c>
      <c r="T33" s="5">
        <f>10*S33-R33-Q33-P33-O33-F33</f>
        <v>159.68295944690652</v>
      </c>
      <c r="U33" s="1">
        <f t="shared" si="4"/>
        <v>10</v>
      </c>
      <c r="V33" s="1">
        <f t="shared" si="5"/>
        <v>4.4345436868057595</v>
      </c>
      <c r="W33" s="1">
        <v>12.837</v>
      </c>
      <c r="X33" s="1">
        <v>-0.1898</v>
      </c>
      <c r="Y33" s="1">
        <v>7.3756000000000004</v>
      </c>
      <c r="Z33" s="1">
        <v>28.135400000000001</v>
      </c>
      <c r="AA33" s="1">
        <v>25.8796</v>
      </c>
      <c r="AB33" s="1">
        <v>9.8638000000000012</v>
      </c>
      <c r="AC33" s="1">
        <v>26.817399999999999</v>
      </c>
      <c r="AD33" s="1">
        <v>26.715599999999998</v>
      </c>
      <c r="AE33" s="1">
        <v>23.43</v>
      </c>
      <c r="AF33" s="1">
        <v>7.003400000000001</v>
      </c>
      <c r="AG33" s="1"/>
      <c r="AH33" s="1">
        <f t="shared" si="8"/>
        <v>159.68295944690652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1" t="s">
        <v>72</v>
      </c>
      <c r="B34" s="1" t="s">
        <v>42</v>
      </c>
      <c r="C34" s="1">
        <v>1077</v>
      </c>
      <c r="D34" s="1">
        <v>1028</v>
      </c>
      <c r="E34" s="1">
        <v>1099</v>
      </c>
      <c r="F34" s="1">
        <v>530</v>
      </c>
      <c r="G34" s="7">
        <v>0.4</v>
      </c>
      <c r="H34" s="1">
        <v>45</v>
      </c>
      <c r="I34" s="9" t="s">
        <v>40</v>
      </c>
      <c r="J34" s="1"/>
      <c r="K34" s="1">
        <v>1116</v>
      </c>
      <c r="L34" s="1">
        <f t="shared" si="2"/>
        <v>-17</v>
      </c>
      <c r="M34" s="1"/>
      <c r="N34" s="1"/>
      <c r="O34" s="1">
        <v>0</v>
      </c>
      <c r="P34" s="1"/>
      <c r="Q34" s="1"/>
      <c r="R34" s="1">
        <v>1200</v>
      </c>
      <c r="S34" s="1">
        <f t="shared" si="3"/>
        <v>219.8</v>
      </c>
      <c r="T34" s="5">
        <f t="shared" si="9"/>
        <v>687.80000000000018</v>
      </c>
      <c r="U34" s="1">
        <f t="shared" si="4"/>
        <v>11</v>
      </c>
      <c r="V34" s="1">
        <f t="shared" si="5"/>
        <v>7.8707916287534117</v>
      </c>
      <c r="W34" s="1">
        <v>216.6</v>
      </c>
      <c r="X34" s="1">
        <v>149.4</v>
      </c>
      <c r="Y34" s="1">
        <v>96.8</v>
      </c>
      <c r="Z34" s="1">
        <v>94.4</v>
      </c>
      <c r="AA34" s="1">
        <v>116.2</v>
      </c>
      <c r="AB34" s="1">
        <v>89.6</v>
      </c>
      <c r="AC34" s="1">
        <v>12.8</v>
      </c>
      <c r="AD34" s="1">
        <v>15.2</v>
      </c>
      <c r="AE34" s="1">
        <v>168.4</v>
      </c>
      <c r="AF34" s="1">
        <v>297.2</v>
      </c>
      <c r="AG34" s="1"/>
      <c r="AH34" s="1">
        <f t="shared" si="8"/>
        <v>275.12000000000006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1" t="s">
        <v>73</v>
      </c>
      <c r="B35" s="1" t="s">
        <v>42</v>
      </c>
      <c r="C35" s="1">
        <v>85</v>
      </c>
      <c r="D35" s="1">
        <v>35</v>
      </c>
      <c r="E35" s="1">
        <v>85</v>
      </c>
      <c r="F35" s="1"/>
      <c r="G35" s="7">
        <v>0.45</v>
      </c>
      <c r="H35" s="1">
        <v>50</v>
      </c>
      <c r="I35" s="1" t="s">
        <v>37</v>
      </c>
      <c r="J35" s="1"/>
      <c r="K35" s="1">
        <v>98</v>
      </c>
      <c r="L35" s="1">
        <f t="shared" si="2"/>
        <v>-13</v>
      </c>
      <c r="M35" s="1"/>
      <c r="N35" s="1"/>
      <c r="O35" s="1">
        <v>218.6</v>
      </c>
      <c r="P35" s="1"/>
      <c r="Q35" s="1"/>
      <c r="R35" s="1">
        <v>32.999999999999993</v>
      </c>
      <c r="S35" s="1">
        <f t="shared" si="3"/>
        <v>17</v>
      </c>
      <c r="T35" s="5"/>
      <c r="U35" s="1">
        <f t="shared" si="4"/>
        <v>14.799999999999999</v>
      </c>
      <c r="V35" s="1">
        <f t="shared" si="5"/>
        <v>14.799999999999999</v>
      </c>
      <c r="W35" s="1">
        <v>22.2</v>
      </c>
      <c r="X35" s="1">
        <v>32.200000000000003</v>
      </c>
      <c r="Y35" s="1">
        <v>28.2</v>
      </c>
      <c r="Z35" s="1">
        <v>49.8</v>
      </c>
      <c r="AA35" s="1">
        <v>55.4</v>
      </c>
      <c r="AB35" s="1">
        <v>60.4</v>
      </c>
      <c r="AC35" s="1">
        <v>85.4</v>
      </c>
      <c r="AD35" s="1">
        <v>80.2</v>
      </c>
      <c r="AE35" s="1">
        <v>64.400000000000006</v>
      </c>
      <c r="AF35" s="1">
        <v>40.4</v>
      </c>
      <c r="AG35" s="1"/>
      <c r="AH35" s="1">
        <f t="shared" si="8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1" t="s">
        <v>74</v>
      </c>
      <c r="B36" s="1" t="s">
        <v>42</v>
      </c>
      <c r="C36" s="1">
        <v>399</v>
      </c>
      <c r="D36" s="1">
        <v>157</v>
      </c>
      <c r="E36" s="1">
        <v>252</v>
      </c>
      <c r="F36" s="1">
        <v>51</v>
      </c>
      <c r="G36" s="7">
        <v>0.4</v>
      </c>
      <c r="H36" s="1">
        <v>45</v>
      </c>
      <c r="I36" s="1" t="s">
        <v>37</v>
      </c>
      <c r="J36" s="1"/>
      <c r="K36" s="1">
        <v>253</v>
      </c>
      <c r="L36" s="1">
        <f t="shared" si="2"/>
        <v>-1</v>
      </c>
      <c r="M36" s="1"/>
      <c r="N36" s="1"/>
      <c r="O36" s="1">
        <v>104</v>
      </c>
      <c r="P36" s="1"/>
      <c r="Q36" s="1"/>
      <c r="R36" s="1">
        <v>248</v>
      </c>
      <c r="S36" s="1">
        <f t="shared" si="3"/>
        <v>50.4</v>
      </c>
      <c r="T36" s="5">
        <f t="shared" si="9"/>
        <v>151.39999999999998</v>
      </c>
      <c r="U36" s="1">
        <f t="shared" si="4"/>
        <v>11</v>
      </c>
      <c r="V36" s="1">
        <f t="shared" si="5"/>
        <v>7.996031746031746</v>
      </c>
      <c r="W36" s="1">
        <v>39</v>
      </c>
      <c r="X36" s="1">
        <v>47.6</v>
      </c>
      <c r="Y36" s="1">
        <v>37.799999999999997</v>
      </c>
      <c r="Z36" s="1">
        <v>37.4</v>
      </c>
      <c r="AA36" s="1">
        <v>42.2</v>
      </c>
      <c r="AB36" s="1">
        <v>56.4</v>
      </c>
      <c r="AC36" s="1">
        <v>72.400000000000006</v>
      </c>
      <c r="AD36" s="1">
        <v>42.4</v>
      </c>
      <c r="AE36" s="1">
        <v>24.4</v>
      </c>
      <c r="AF36" s="1">
        <v>-0.6</v>
      </c>
      <c r="AG36" s="1"/>
      <c r="AH36" s="1">
        <f t="shared" si="8"/>
        <v>60.559999999999995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1" t="s">
        <v>75</v>
      </c>
      <c r="B37" s="1" t="s">
        <v>42</v>
      </c>
      <c r="C37" s="1">
        <v>150</v>
      </c>
      <c r="D37" s="1">
        <v>102</v>
      </c>
      <c r="E37" s="1">
        <v>2</v>
      </c>
      <c r="F37" s="1">
        <v>70</v>
      </c>
      <c r="G37" s="7">
        <v>0.4</v>
      </c>
      <c r="H37" s="1">
        <v>40</v>
      </c>
      <c r="I37" s="1" t="s">
        <v>37</v>
      </c>
      <c r="J37" s="1"/>
      <c r="K37" s="1">
        <v>13</v>
      </c>
      <c r="L37" s="1">
        <f t="shared" si="2"/>
        <v>-11</v>
      </c>
      <c r="M37" s="1"/>
      <c r="N37" s="1"/>
      <c r="O37" s="1">
        <v>0</v>
      </c>
      <c r="P37" s="1"/>
      <c r="Q37" s="1"/>
      <c r="R37" s="1">
        <v>20</v>
      </c>
      <c r="S37" s="1">
        <f t="shared" si="3"/>
        <v>0.4</v>
      </c>
      <c r="T37" s="5"/>
      <c r="U37" s="1">
        <f t="shared" si="4"/>
        <v>225</v>
      </c>
      <c r="V37" s="1">
        <f t="shared" si="5"/>
        <v>225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-0.2</v>
      </c>
      <c r="AC37" s="1">
        <v>-0.2</v>
      </c>
      <c r="AD37" s="1">
        <v>0</v>
      </c>
      <c r="AE37" s="1">
        <v>0</v>
      </c>
      <c r="AF37" s="1">
        <v>3</v>
      </c>
      <c r="AG37" s="17" t="s">
        <v>53</v>
      </c>
      <c r="AH37" s="1">
        <f t="shared" si="8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76</v>
      </c>
      <c r="B38" s="1" t="s">
        <v>36</v>
      </c>
      <c r="C38" s="1">
        <v>88.555000000000007</v>
      </c>
      <c r="D38" s="1">
        <v>43.243000000000002</v>
      </c>
      <c r="E38" s="1">
        <v>43.134</v>
      </c>
      <c r="F38" s="1">
        <v>63.398000000000003</v>
      </c>
      <c r="G38" s="7">
        <v>1</v>
      </c>
      <c r="H38" s="1">
        <v>45</v>
      </c>
      <c r="I38" s="1" t="s">
        <v>37</v>
      </c>
      <c r="J38" s="1"/>
      <c r="K38" s="1">
        <v>41.3</v>
      </c>
      <c r="L38" s="1">
        <f t="shared" ref="L38:L69" si="10">E38-K38</f>
        <v>1.8340000000000032</v>
      </c>
      <c r="M38" s="1"/>
      <c r="N38" s="1"/>
      <c r="O38" s="1">
        <v>13</v>
      </c>
      <c r="P38" s="1"/>
      <c r="Q38" s="1"/>
      <c r="R38" s="1">
        <v>29.84367683488772</v>
      </c>
      <c r="S38" s="1">
        <f t="shared" ref="S38:S69" si="11">E38/5</f>
        <v>8.6267999999999994</v>
      </c>
      <c r="T38" s="5"/>
      <c r="U38" s="1">
        <f t="shared" ref="U38:U69" si="12">(F38+O38+P38+Q38+R38+T38)/S38</f>
        <v>12.315305424362188</v>
      </c>
      <c r="V38" s="1">
        <f t="shared" ref="V38:V69" si="13">(F38+O38+P38+Q38+R38)/S38</f>
        <v>12.315305424362188</v>
      </c>
      <c r="W38" s="1">
        <v>8.5864000000000011</v>
      </c>
      <c r="X38" s="1">
        <v>6.4725999999999999</v>
      </c>
      <c r="Y38" s="1">
        <v>8.2210000000000001</v>
      </c>
      <c r="Z38" s="1">
        <v>13.138</v>
      </c>
      <c r="AA38" s="1">
        <v>13.4964</v>
      </c>
      <c r="AB38" s="1">
        <v>12.9948</v>
      </c>
      <c r="AC38" s="1">
        <v>12.9156</v>
      </c>
      <c r="AD38" s="1">
        <v>11.095599999999999</v>
      </c>
      <c r="AE38" s="1">
        <v>7.1444000000000001</v>
      </c>
      <c r="AF38" s="1">
        <v>1.1714</v>
      </c>
      <c r="AG38" s="1" t="s">
        <v>59</v>
      </c>
      <c r="AH38" s="1">
        <f t="shared" si="8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77</v>
      </c>
      <c r="B39" s="1" t="s">
        <v>42</v>
      </c>
      <c r="C39" s="1">
        <v>201</v>
      </c>
      <c r="D39" s="1">
        <v>340</v>
      </c>
      <c r="E39" s="1">
        <v>75</v>
      </c>
      <c r="F39" s="1">
        <v>206</v>
      </c>
      <c r="G39" s="7">
        <v>0.1</v>
      </c>
      <c r="H39" s="1">
        <v>731</v>
      </c>
      <c r="I39" s="1" t="s">
        <v>37</v>
      </c>
      <c r="J39" s="1"/>
      <c r="K39" s="1">
        <v>97</v>
      </c>
      <c r="L39" s="1">
        <f t="shared" si="10"/>
        <v>-22</v>
      </c>
      <c r="M39" s="1"/>
      <c r="N39" s="1"/>
      <c r="O39" s="1">
        <v>374.52367149758442</v>
      </c>
      <c r="P39" s="1"/>
      <c r="Q39" s="1"/>
      <c r="R39" s="1">
        <v>0</v>
      </c>
      <c r="S39" s="1">
        <f t="shared" si="11"/>
        <v>15</v>
      </c>
      <c r="T39" s="5"/>
      <c r="U39" s="1">
        <f t="shared" si="12"/>
        <v>38.701578099838962</v>
      </c>
      <c r="V39" s="1">
        <f t="shared" si="13"/>
        <v>38.701578099838962</v>
      </c>
      <c r="W39" s="1">
        <v>15.8</v>
      </c>
      <c r="X39" s="1">
        <v>29.2</v>
      </c>
      <c r="Y39" s="1">
        <v>50.8</v>
      </c>
      <c r="Z39" s="1">
        <v>58.6</v>
      </c>
      <c r="AA39" s="1">
        <v>39.6</v>
      </c>
      <c r="AB39" s="1">
        <v>43.2</v>
      </c>
      <c r="AC39" s="1">
        <v>50.2</v>
      </c>
      <c r="AD39" s="1">
        <v>33.6</v>
      </c>
      <c r="AE39" s="1">
        <v>22.8</v>
      </c>
      <c r="AF39" s="1">
        <v>25</v>
      </c>
      <c r="AG39" s="13" t="s">
        <v>180</v>
      </c>
      <c r="AH39" s="1">
        <f t="shared" si="8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5" t="s">
        <v>78</v>
      </c>
      <c r="B40" s="1" t="s">
        <v>42</v>
      </c>
      <c r="C40" s="1">
        <v>2</v>
      </c>
      <c r="D40" s="1">
        <v>1</v>
      </c>
      <c r="E40" s="1"/>
      <c r="F40" s="1"/>
      <c r="G40" s="7">
        <v>0.35</v>
      </c>
      <c r="H40" s="1">
        <v>40</v>
      </c>
      <c r="I40" s="9" t="s">
        <v>40</v>
      </c>
      <c r="J40" s="1"/>
      <c r="K40" s="1">
        <v>1</v>
      </c>
      <c r="L40" s="1">
        <f t="shared" si="10"/>
        <v>-1</v>
      </c>
      <c r="M40" s="1"/>
      <c r="N40" s="1"/>
      <c r="O40" s="1">
        <v>65</v>
      </c>
      <c r="P40" s="1"/>
      <c r="Q40" s="1"/>
      <c r="R40" s="1">
        <v>30</v>
      </c>
      <c r="S40" s="1">
        <f t="shared" si="11"/>
        <v>0</v>
      </c>
      <c r="T40" s="5">
        <v>20</v>
      </c>
      <c r="U40" s="1" t="e">
        <f t="shared" si="12"/>
        <v>#DIV/0!</v>
      </c>
      <c r="V40" s="1" t="e">
        <f t="shared" si="13"/>
        <v>#DIV/0!</v>
      </c>
      <c r="W40" s="1">
        <v>-0.2</v>
      </c>
      <c r="X40" s="1">
        <v>-0.2</v>
      </c>
      <c r="Y40" s="1">
        <v>0</v>
      </c>
      <c r="Z40" s="1">
        <v>13.6</v>
      </c>
      <c r="AA40" s="1">
        <v>19.8</v>
      </c>
      <c r="AB40" s="1">
        <v>6.8</v>
      </c>
      <c r="AC40" s="1">
        <v>0</v>
      </c>
      <c r="AD40" s="1">
        <v>-0.6</v>
      </c>
      <c r="AE40" s="1">
        <v>-0.6</v>
      </c>
      <c r="AF40" s="1">
        <v>-0.8</v>
      </c>
      <c r="AG40" s="1"/>
      <c r="AH40" s="1">
        <f t="shared" si="8"/>
        <v>7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79</v>
      </c>
      <c r="B41" s="1" t="s">
        <v>36</v>
      </c>
      <c r="C41" s="1">
        <v>186.804</v>
      </c>
      <c r="D41" s="1">
        <v>94.611000000000004</v>
      </c>
      <c r="E41" s="1">
        <v>201.14699999999999</v>
      </c>
      <c r="F41" s="1">
        <v>6.6139999999999999</v>
      </c>
      <c r="G41" s="7">
        <v>1</v>
      </c>
      <c r="H41" s="1">
        <v>40</v>
      </c>
      <c r="I41" s="1" t="s">
        <v>37</v>
      </c>
      <c r="J41" s="1"/>
      <c r="K41" s="1">
        <v>198.9</v>
      </c>
      <c r="L41" s="1">
        <f t="shared" si="10"/>
        <v>2.2469999999999857</v>
      </c>
      <c r="M41" s="1"/>
      <c r="N41" s="1"/>
      <c r="O41" s="1">
        <v>0</v>
      </c>
      <c r="P41" s="1"/>
      <c r="Q41" s="1"/>
      <c r="R41" s="1">
        <v>97.623455395932226</v>
      </c>
      <c r="S41" s="1">
        <f t="shared" si="11"/>
        <v>40.229399999999998</v>
      </c>
      <c r="T41" s="5">
        <f>9*S41-R41-Q41-P41-O41-F41</f>
        <v>257.82714460406777</v>
      </c>
      <c r="U41" s="1">
        <f t="shared" si="12"/>
        <v>9</v>
      </c>
      <c r="V41" s="1">
        <f t="shared" si="13"/>
        <v>2.5910765608219917</v>
      </c>
      <c r="W41" s="1">
        <v>13.703200000000001</v>
      </c>
      <c r="X41" s="1">
        <v>6.3550000000000004</v>
      </c>
      <c r="Y41" s="1">
        <v>11.1378</v>
      </c>
      <c r="Z41" s="1">
        <v>21.081199999999999</v>
      </c>
      <c r="AA41" s="1">
        <v>19.641200000000001</v>
      </c>
      <c r="AB41" s="1">
        <v>9.0427999999999997</v>
      </c>
      <c r="AC41" s="1">
        <v>8.4745999999999988</v>
      </c>
      <c r="AD41" s="1">
        <v>7.7513999999999994</v>
      </c>
      <c r="AE41" s="1">
        <v>5.5529999999999999</v>
      </c>
      <c r="AF41" s="1">
        <v>-1.6140000000000001</v>
      </c>
      <c r="AG41" s="1" t="s">
        <v>59</v>
      </c>
      <c r="AH41" s="1">
        <f t="shared" si="8"/>
        <v>257.82714460406777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15" t="s">
        <v>80</v>
      </c>
      <c r="B42" s="1" t="s">
        <v>42</v>
      </c>
      <c r="C42" s="1">
        <v>52</v>
      </c>
      <c r="D42" s="1">
        <v>180</v>
      </c>
      <c r="E42" s="1">
        <v>69</v>
      </c>
      <c r="F42" s="1">
        <v>72</v>
      </c>
      <c r="G42" s="7">
        <v>0.4</v>
      </c>
      <c r="H42" s="1">
        <v>40</v>
      </c>
      <c r="I42" s="9" t="s">
        <v>40</v>
      </c>
      <c r="J42" s="1"/>
      <c r="K42" s="1">
        <v>69</v>
      </c>
      <c r="L42" s="1">
        <f t="shared" si="10"/>
        <v>0</v>
      </c>
      <c r="M42" s="1"/>
      <c r="N42" s="1"/>
      <c r="O42" s="1">
        <v>130</v>
      </c>
      <c r="P42" s="1">
        <v>-132.5</v>
      </c>
      <c r="Q42" s="1"/>
      <c r="R42" s="1">
        <v>0</v>
      </c>
      <c r="S42" s="1">
        <f t="shared" si="11"/>
        <v>13.8</v>
      </c>
      <c r="T42" s="5">
        <v>60</v>
      </c>
      <c r="U42" s="1">
        <f t="shared" si="12"/>
        <v>9.3840579710144922</v>
      </c>
      <c r="V42" s="1">
        <f t="shared" si="13"/>
        <v>5.0362318840579707</v>
      </c>
      <c r="W42" s="1">
        <v>14.8</v>
      </c>
      <c r="X42" s="1">
        <v>20.2</v>
      </c>
      <c r="Y42" s="1">
        <v>19</v>
      </c>
      <c r="Z42" s="1">
        <v>9.6</v>
      </c>
      <c r="AA42" s="1">
        <v>9.4</v>
      </c>
      <c r="AB42" s="1">
        <v>6</v>
      </c>
      <c r="AC42" s="1">
        <v>12.8</v>
      </c>
      <c r="AD42" s="1">
        <v>21.4</v>
      </c>
      <c r="AE42" s="1">
        <v>19.8</v>
      </c>
      <c r="AF42" s="1">
        <v>8.6</v>
      </c>
      <c r="AG42" s="1"/>
      <c r="AH42" s="1">
        <f t="shared" si="8"/>
        <v>24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5" t="s">
        <v>81</v>
      </c>
      <c r="B43" s="1" t="s">
        <v>42</v>
      </c>
      <c r="C43" s="1">
        <v>154</v>
      </c>
      <c r="D43" s="1">
        <v>306</v>
      </c>
      <c r="E43" s="1">
        <v>136</v>
      </c>
      <c r="F43" s="1">
        <v>142</v>
      </c>
      <c r="G43" s="7">
        <v>0.4</v>
      </c>
      <c r="H43" s="1">
        <v>45</v>
      </c>
      <c r="I43" s="9" t="s">
        <v>40</v>
      </c>
      <c r="J43" s="1"/>
      <c r="K43" s="1">
        <v>138</v>
      </c>
      <c r="L43" s="1">
        <f t="shared" si="10"/>
        <v>-2</v>
      </c>
      <c r="M43" s="1"/>
      <c r="N43" s="1"/>
      <c r="O43" s="1">
        <v>0</v>
      </c>
      <c r="P43" s="1"/>
      <c r="Q43" s="1"/>
      <c r="R43" s="1">
        <v>186.68979591836739</v>
      </c>
      <c r="S43" s="1">
        <f t="shared" si="11"/>
        <v>27.2</v>
      </c>
      <c r="T43" s="5"/>
      <c r="U43" s="1">
        <f t="shared" si="12"/>
        <v>12.08418367346939</v>
      </c>
      <c r="V43" s="1">
        <f t="shared" si="13"/>
        <v>12.08418367346939</v>
      </c>
      <c r="W43" s="1">
        <v>26.4</v>
      </c>
      <c r="X43" s="1">
        <v>5.2</v>
      </c>
      <c r="Y43" s="1">
        <v>0.4</v>
      </c>
      <c r="Z43" s="1">
        <v>11.4</v>
      </c>
      <c r="AA43" s="1">
        <v>16</v>
      </c>
      <c r="AB43" s="1">
        <v>27.8</v>
      </c>
      <c r="AC43" s="1">
        <v>36.4</v>
      </c>
      <c r="AD43" s="1">
        <v>23.2</v>
      </c>
      <c r="AE43" s="1">
        <v>30.2</v>
      </c>
      <c r="AF43" s="1">
        <v>28.6</v>
      </c>
      <c r="AG43" s="1" t="s">
        <v>82</v>
      </c>
      <c r="AH43" s="1">
        <f t="shared" si="8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5" t="s">
        <v>83</v>
      </c>
      <c r="B44" s="1" t="s">
        <v>36</v>
      </c>
      <c r="C44" s="1">
        <v>152.43299999999999</v>
      </c>
      <c r="D44" s="1">
        <v>1.478</v>
      </c>
      <c r="E44" s="1">
        <v>52.433999999999997</v>
      </c>
      <c r="F44" s="1">
        <v>-0.61799999999999999</v>
      </c>
      <c r="G44" s="7">
        <v>1</v>
      </c>
      <c r="H44" s="1">
        <v>40</v>
      </c>
      <c r="I44" s="9" t="s">
        <v>40</v>
      </c>
      <c r="J44" s="1"/>
      <c r="K44" s="1">
        <v>68.599999999999994</v>
      </c>
      <c r="L44" s="1">
        <f t="shared" si="10"/>
        <v>-16.165999999999997</v>
      </c>
      <c r="M44" s="1"/>
      <c r="N44" s="1"/>
      <c r="O44" s="1">
        <v>130</v>
      </c>
      <c r="P44" s="1"/>
      <c r="Q44" s="1"/>
      <c r="R44" s="1">
        <v>80</v>
      </c>
      <c r="S44" s="1">
        <f t="shared" si="11"/>
        <v>10.486799999999999</v>
      </c>
      <c r="T44" s="5"/>
      <c r="U44" s="1">
        <f t="shared" si="12"/>
        <v>19.966243277262848</v>
      </c>
      <c r="V44" s="1">
        <f t="shared" si="13"/>
        <v>19.966243277262848</v>
      </c>
      <c r="W44" s="1">
        <v>10.1912</v>
      </c>
      <c r="X44" s="1">
        <v>17.109400000000001</v>
      </c>
      <c r="Y44" s="1">
        <v>24.5684</v>
      </c>
      <c r="Z44" s="1">
        <v>11.5448</v>
      </c>
      <c r="AA44" s="1">
        <v>8.1449999999999996</v>
      </c>
      <c r="AB44" s="1">
        <v>3.4784000000000002</v>
      </c>
      <c r="AC44" s="1">
        <v>2.7585999999999999</v>
      </c>
      <c r="AD44" s="1">
        <v>8.6112000000000002</v>
      </c>
      <c r="AE44" s="1">
        <v>5.2758000000000003</v>
      </c>
      <c r="AF44" s="1">
        <v>-0.58460000000000001</v>
      </c>
      <c r="AG44" s="1" t="s">
        <v>59</v>
      </c>
      <c r="AH44" s="1">
        <f t="shared" si="8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5" t="s">
        <v>84</v>
      </c>
      <c r="B45" s="1" t="s">
        <v>42</v>
      </c>
      <c r="C45" s="1"/>
      <c r="D45" s="1"/>
      <c r="E45" s="1">
        <v>-2</v>
      </c>
      <c r="F45" s="1"/>
      <c r="G45" s="7">
        <v>0.35</v>
      </c>
      <c r="H45" s="1">
        <v>40</v>
      </c>
      <c r="I45" s="9" t="s">
        <v>40</v>
      </c>
      <c r="J45" s="1"/>
      <c r="K45" s="1"/>
      <c r="L45" s="1">
        <f t="shared" si="10"/>
        <v>-2</v>
      </c>
      <c r="M45" s="1"/>
      <c r="N45" s="1"/>
      <c r="O45" s="1">
        <v>195</v>
      </c>
      <c r="P45" s="1"/>
      <c r="Q45" s="1"/>
      <c r="R45" s="1">
        <v>50</v>
      </c>
      <c r="S45" s="1">
        <f t="shared" si="11"/>
        <v>-0.4</v>
      </c>
      <c r="T45" s="5"/>
      <c r="U45" s="1">
        <f t="shared" si="12"/>
        <v>-612.5</v>
      </c>
      <c r="V45" s="1">
        <f t="shared" si="13"/>
        <v>-612.5</v>
      </c>
      <c r="W45" s="1">
        <v>-0.4</v>
      </c>
      <c r="X45" s="1">
        <v>13.4</v>
      </c>
      <c r="Y45" s="1">
        <v>23</v>
      </c>
      <c r="Z45" s="1">
        <v>18.8</v>
      </c>
      <c r="AA45" s="1">
        <v>15.6</v>
      </c>
      <c r="AB45" s="1">
        <v>28.8</v>
      </c>
      <c r="AC45" s="1">
        <v>35.4</v>
      </c>
      <c r="AD45" s="1">
        <v>26.6</v>
      </c>
      <c r="AE45" s="1">
        <v>13.4</v>
      </c>
      <c r="AF45" s="1">
        <v>0.4</v>
      </c>
      <c r="AG45" s="1"/>
      <c r="AH45" s="1">
        <f t="shared" si="8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1" t="s">
        <v>85</v>
      </c>
      <c r="B46" s="1" t="s">
        <v>42</v>
      </c>
      <c r="C46" s="1">
        <v>229</v>
      </c>
      <c r="D46" s="1">
        <v>1</v>
      </c>
      <c r="E46" s="1">
        <v>193</v>
      </c>
      <c r="F46" s="1">
        <v>15</v>
      </c>
      <c r="G46" s="7">
        <v>0.4</v>
      </c>
      <c r="H46" s="1">
        <v>40</v>
      </c>
      <c r="I46" s="1" t="s">
        <v>37</v>
      </c>
      <c r="J46" s="1"/>
      <c r="K46" s="1">
        <v>215</v>
      </c>
      <c r="L46" s="1">
        <f t="shared" si="10"/>
        <v>-22</v>
      </c>
      <c r="M46" s="1"/>
      <c r="N46" s="1"/>
      <c r="O46" s="1">
        <v>298.74</v>
      </c>
      <c r="P46" s="1"/>
      <c r="Q46" s="1"/>
      <c r="R46" s="1">
        <v>0</v>
      </c>
      <c r="S46" s="1">
        <f t="shared" si="11"/>
        <v>38.6</v>
      </c>
      <c r="T46" s="5">
        <f t="shared" si="9"/>
        <v>110.86000000000001</v>
      </c>
      <c r="U46" s="1">
        <f t="shared" si="12"/>
        <v>11</v>
      </c>
      <c r="V46" s="1">
        <f t="shared" si="13"/>
        <v>8.1279792746113984</v>
      </c>
      <c r="W46" s="1">
        <v>31.8</v>
      </c>
      <c r="X46" s="1">
        <v>46.6</v>
      </c>
      <c r="Y46" s="1">
        <v>43.4</v>
      </c>
      <c r="Z46" s="1">
        <v>18.2</v>
      </c>
      <c r="AA46" s="1">
        <v>16.8</v>
      </c>
      <c r="AB46" s="1">
        <v>48.8</v>
      </c>
      <c r="AC46" s="1">
        <v>98</v>
      </c>
      <c r="AD46" s="1">
        <v>87.2</v>
      </c>
      <c r="AE46" s="1">
        <v>48.6</v>
      </c>
      <c r="AF46" s="1">
        <v>46</v>
      </c>
      <c r="AG46" s="1"/>
      <c r="AH46" s="1">
        <f t="shared" si="8"/>
        <v>44.344000000000008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86</v>
      </c>
      <c r="B47" s="1" t="s">
        <v>36</v>
      </c>
      <c r="C47" s="1">
        <v>134.81200000000001</v>
      </c>
      <c r="D47" s="1">
        <v>53.948</v>
      </c>
      <c r="E47" s="1">
        <v>48.366999999999997</v>
      </c>
      <c r="F47" s="1">
        <v>118.764</v>
      </c>
      <c r="G47" s="7">
        <v>1</v>
      </c>
      <c r="H47" s="1">
        <v>50</v>
      </c>
      <c r="I47" s="1" t="s">
        <v>37</v>
      </c>
      <c r="J47" s="1"/>
      <c r="K47" s="1">
        <v>43.6</v>
      </c>
      <c r="L47" s="1">
        <f t="shared" si="10"/>
        <v>4.7669999999999959</v>
      </c>
      <c r="M47" s="1"/>
      <c r="N47" s="1"/>
      <c r="O47" s="1">
        <v>0</v>
      </c>
      <c r="P47" s="1"/>
      <c r="Q47" s="1"/>
      <c r="R47" s="1">
        <v>0</v>
      </c>
      <c r="S47" s="1">
        <f t="shared" si="11"/>
        <v>9.6733999999999991</v>
      </c>
      <c r="T47" s="5"/>
      <c r="U47" s="1">
        <f t="shared" si="12"/>
        <v>12.277379204829741</v>
      </c>
      <c r="V47" s="1">
        <f t="shared" si="13"/>
        <v>12.277379204829741</v>
      </c>
      <c r="W47" s="1">
        <v>3.6549999999999998</v>
      </c>
      <c r="X47" s="1">
        <v>4.1407999999999996</v>
      </c>
      <c r="Y47" s="1">
        <v>7.4958</v>
      </c>
      <c r="Z47" s="1">
        <v>14.864000000000001</v>
      </c>
      <c r="AA47" s="1">
        <v>16.485800000000001</v>
      </c>
      <c r="AB47" s="1">
        <v>12.978999999999999</v>
      </c>
      <c r="AC47" s="1">
        <v>13.252599999999999</v>
      </c>
      <c r="AD47" s="1">
        <v>18.2804</v>
      </c>
      <c r="AE47" s="1">
        <v>17.846</v>
      </c>
      <c r="AF47" s="1">
        <v>16.891999999999999</v>
      </c>
      <c r="AG47" s="13" t="s">
        <v>47</v>
      </c>
      <c r="AH47" s="1">
        <f t="shared" si="8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87</v>
      </c>
      <c r="B48" s="1" t="s">
        <v>36</v>
      </c>
      <c r="C48" s="1">
        <v>298.84899999999999</v>
      </c>
      <c r="D48" s="1"/>
      <c r="E48" s="1">
        <v>67.995000000000005</v>
      </c>
      <c r="F48" s="1">
        <v>96.311000000000007</v>
      </c>
      <c r="G48" s="7">
        <v>1</v>
      </c>
      <c r="H48" s="1">
        <v>50</v>
      </c>
      <c r="I48" s="1" t="s">
        <v>37</v>
      </c>
      <c r="J48" s="1"/>
      <c r="K48" s="1">
        <v>64.3</v>
      </c>
      <c r="L48" s="1">
        <f t="shared" si="10"/>
        <v>3.6950000000000074</v>
      </c>
      <c r="M48" s="1"/>
      <c r="N48" s="1"/>
      <c r="O48" s="1">
        <v>0</v>
      </c>
      <c r="P48" s="1"/>
      <c r="Q48" s="1"/>
      <c r="R48" s="1">
        <v>35.645799999999987</v>
      </c>
      <c r="S48" s="1">
        <f t="shared" si="11"/>
        <v>13.599</v>
      </c>
      <c r="T48" s="5">
        <f t="shared" si="9"/>
        <v>17.632200000000012</v>
      </c>
      <c r="U48" s="1">
        <f t="shared" si="12"/>
        <v>11</v>
      </c>
      <c r="V48" s="1">
        <f t="shared" si="13"/>
        <v>9.7034193690712538</v>
      </c>
      <c r="W48" s="1">
        <v>12.0236</v>
      </c>
      <c r="X48" s="1">
        <v>11.5182</v>
      </c>
      <c r="Y48" s="1">
        <v>2.968</v>
      </c>
      <c r="Z48" s="1">
        <v>0.1734</v>
      </c>
      <c r="AA48" s="1">
        <v>14.5382</v>
      </c>
      <c r="AB48" s="1">
        <v>31.075199999999999</v>
      </c>
      <c r="AC48" s="1">
        <v>26.267199999999999</v>
      </c>
      <c r="AD48" s="1">
        <v>8.4220000000000006</v>
      </c>
      <c r="AE48" s="1">
        <v>-0.2974</v>
      </c>
      <c r="AF48" s="1">
        <v>10.7278</v>
      </c>
      <c r="AG48" s="1" t="s">
        <v>88</v>
      </c>
      <c r="AH48" s="1">
        <f t="shared" si="8"/>
        <v>17.632200000000012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5" t="s">
        <v>89</v>
      </c>
      <c r="B49" s="1" t="s">
        <v>36</v>
      </c>
      <c r="C49" s="1">
        <v>262.90899999999999</v>
      </c>
      <c r="D49" s="1">
        <v>3.0019999999999998</v>
      </c>
      <c r="E49" s="1">
        <v>77.787999999999997</v>
      </c>
      <c r="F49" s="1">
        <v>29.41</v>
      </c>
      <c r="G49" s="7">
        <v>1</v>
      </c>
      <c r="H49" s="1">
        <v>45</v>
      </c>
      <c r="I49" s="9" t="s">
        <v>40</v>
      </c>
      <c r="J49" s="1"/>
      <c r="K49" s="1">
        <v>72.3</v>
      </c>
      <c r="L49" s="1">
        <f t="shared" si="10"/>
        <v>5.4879999999999995</v>
      </c>
      <c r="M49" s="1"/>
      <c r="N49" s="1"/>
      <c r="O49" s="1">
        <v>0</v>
      </c>
      <c r="P49" s="1"/>
      <c r="Q49" s="1"/>
      <c r="R49" s="1">
        <v>34.787000000000013</v>
      </c>
      <c r="S49" s="1">
        <f t="shared" si="11"/>
        <v>15.557599999999999</v>
      </c>
      <c r="T49" s="5">
        <f t="shared" si="9"/>
        <v>106.9366</v>
      </c>
      <c r="U49" s="1">
        <f t="shared" si="12"/>
        <v>11</v>
      </c>
      <c r="V49" s="1">
        <f t="shared" si="13"/>
        <v>4.1264076721345209</v>
      </c>
      <c r="W49" s="1">
        <v>6.2990000000000004</v>
      </c>
      <c r="X49" s="1">
        <v>0</v>
      </c>
      <c r="Y49" s="1">
        <v>0</v>
      </c>
      <c r="Z49" s="1">
        <v>0</v>
      </c>
      <c r="AA49" s="1">
        <v>0</v>
      </c>
      <c r="AB49" s="1">
        <v>-1.0289999999999999</v>
      </c>
      <c r="AC49" s="1">
        <v>-0.15640000000000001</v>
      </c>
      <c r="AD49" s="1">
        <v>-0.15640000000000001</v>
      </c>
      <c r="AE49" s="1">
        <v>-1.0711999999999999</v>
      </c>
      <c r="AF49" s="1">
        <v>-1.0711999999999999</v>
      </c>
      <c r="AG49" s="1"/>
      <c r="AH49" s="1">
        <f t="shared" si="8"/>
        <v>106.9366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90</v>
      </c>
      <c r="B50" s="1" t="s">
        <v>42</v>
      </c>
      <c r="C50" s="1">
        <v>251</v>
      </c>
      <c r="D50" s="1">
        <v>118</v>
      </c>
      <c r="E50" s="1">
        <v>59</v>
      </c>
      <c r="F50" s="1">
        <v>92</v>
      </c>
      <c r="G50" s="7">
        <v>0.45</v>
      </c>
      <c r="H50" s="1">
        <v>50</v>
      </c>
      <c r="I50" s="1" t="s">
        <v>37</v>
      </c>
      <c r="J50" s="1"/>
      <c r="K50" s="1">
        <v>60</v>
      </c>
      <c r="L50" s="1">
        <f t="shared" si="10"/>
        <v>-1</v>
      </c>
      <c r="M50" s="1"/>
      <c r="N50" s="1"/>
      <c r="O50" s="1">
        <v>12.6</v>
      </c>
      <c r="P50" s="1"/>
      <c r="Q50" s="1"/>
      <c r="R50" s="1">
        <v>0</v>
      </c>
      <c r="S50" s="1">
        <f t="shared" si="11"/>
        <v>11.8</v>
      </c>
      <c r="T50" s="5">
        <f t="shared" si="9"/>
        <v>25.200000000000017</v>
      </c>
      <c r="U50" s="1">
        <f t="shared" si="12"/>
        <v>11</v>
      </c>
      <c r="V50" s="1">
        <f t="shared" si="13"/>
        <v>8.8644067796610155</v>
      </c>
      <c r="W50" s="1">
        <v>7.4</v>
      </c>
      <c r="X50" s="1">
        <v>9.8000000000000007</v>
      </c>
      <c r="Y50" s="1">
        <v>12.6</v>
      </c>
      <c r="Z50" s="1">
        <v>21.4</v>
      </c>
      <c r="AA50" s="1">
        <v>29</v>
      </c>
      <c r="AB50" s="1">
        <v>29.6</v>
      </c>
      <c r="AC50" s="1">
        <v>43</v>
      </c>
      <c r="AD50" s="1">
        <v>42.6</v>
      </c>
      <c r="AE50" s="1">
        <v>20.399999999999999</v>
      </c>
      <c r="AF50" s="1">
        <v>15.4</v>
      </c>
      <c r="AG50" s="1"/>
      <c r="AH50" s="1">
        <f t="shared" si="8"/>
        <v>11.340000000000009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91</v>
      </c>
      <c r="B51" s="1" t="s">
        <v>42</v>
      </c>
      <c r="C51" s="1">
        <v>123</v>
      </c>
      <c r="D51" s="1">
        <v>186</v>
      </c>
      <c r="E51" s="1">
        <v>83</v>
      </c>
      <c r="F51" s="1">
        <v>96</v>
      </c>
      <c r="G51" s="7">
        <v>0.45</v>
      </c>
      <c r="H51" s="1">
        <v>50</v>
      </c>
      <c r="I51" s="1" t="s">
        <v>37</v>
      </c>
      <c r="J51" s="1"/>
      <c r="K51" s="1">
        <v>81</v>
      </c>
      <c r="L51" s="1">
        <f t="shared" si="10"/>
        <v>2</v>
      </c>
      <c r="M51" s="1"/>
      <c r="N51" s="1"/>
      <c r="O51" s="1">
        <v>20</v>
      </c>
      <c r="P51" s="1"/>
      <c r="Q51" s="1"/>
      <c r="R51" s="1">
        <v>83.088372093023253</v>
      </c>
      <c r="S51" s="1">
        <f t="shared" si="11"/>
        <v>16.600000000000001</v>
      </c>
      <c r="T51" s="5"/>
      <c r="U51" s="1">
        <f t="shared" si="12"/>
        <v>11.993275427290556</v>
      </c>
      <c r="V51" s="1">
        <f t="shared" si="13"/>
        <v>11.993275427290556</v>
      </c>
      <c r="W51" s="1">
        <v>19</v>
      </c>
      <c r="X51" s="1">
        <v>23</v>
      </c>
      <c r="Y51" s="1">
        <v>20</v>
      </c>
      <c r="Z51" s="1">
        <v>43.2</v>
      </c>
      <c r="AA51" s="1">
        <v>32.200000000000003</v>
      </c>
      <c r="AB51" s="1">
        <v>15.8</v>
      </c>
      <c r="AC51" s="1">
        <v>47.8</v>
      </c>
      <c r="AD51" s="1">
        <v>63.2</v>
      </c>
      <c r="AE51" s="1">
        <v>48.6</v>
      </c>
      <c r="AF51" s="1">
        <v>28.2</v>
      </c>
      <c r="AG51" s="1"/>
      <c r="AH51" s="1">
        <f t="shared" si="8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" t="s">
        <v>92</v>
      </c>
      <c r="B52" s="1" t="s">
        <v>42</v>
      </c>
      <c r="C52" s="1">
        <v>41</v>
      </c>
      <c r="D52" s="1">
        <v>36</v>
      </c>
      <c r="E52" s="1">
        <v>18</v>
      </c>
      <c r="F52" s="1">
        <v>53</v>
      </c>
      <c r="G52" s="7">
        <v>0.4</v>
      </c>
      <c r="H52" s="1">
        <v>40</v>
      </c>
      <c r="I52" s="1" t="s">
        <v>37</v>
      </c>
      <c r="J52" s="1"/>
      <c r="K52" s="1">
        <v>18</v>
      </c>
      <c r="L52" s="1">
        <f t="shared" si="10"/>
        <v>0</v>
      </c>
      <c r="M52" s="1"/>
      <c r="N52" s="1"/>
      <c r="O52" s="1">
        <v>26</v>
      </c>
      <c r="P52" s="1"/>
      <c r="Q52" s="1"/>
      <c r="R52" s="1">
        <v>0</v>
      </c>
      <c r="S52" s="1">
        <f t="shared" si="11"/>
        <v>3.6</v>
      </c>
      <c r="T52" s="5"/>
      <c r="U52" s="1">
        <f t="shared" si="12"/>
        <v>21.944444444444443</v>
      </c>
      <c r="V52" s="1">
        <f t="shared" si="13"/>
        <v>21.944444444444443</v>
      </c>
      <c r="W52" s="1">
        <v>3.8</v>
      </c>
      <c r="X52" s="1">
        <v>8</v>
      </c>
      <c r="Y52" s="1">
        <v>6.4</v>
      </c>
      <c r="Z52" s="1">
        <v>0.4</v>
      </c>
      <c r="AA52" s="1">
        <v>0</v>
      </c>
      <c r="AB52" s="1">
        <v>-0.2</v>
      </c>
      <c r="AC52" s="1">
        <v>-0.2</v>
      </c>
      <c r="AD52" s="1">
        <v>0</v>
      </c>
      <c r="AE52" s="1">
        <v>4</v>
      </c>
      <c r="AF52" s="1">
        <v>6.8</v>
      </c>
      <c r="AG52" s="17" t="s">
        <v>53</v>
      </c>
      <c r="AH52" s="1">
        <f t="shared" si="8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1" t="s">
        <v>93</v>
      </c>
      <c r="B53" s="1" t="s">
        <v>42</v>
      </c>
      <c r="C53" s="1">
        <v>53</v>
      </c>
      <c r="D53" s="1">
        <v>25</v>
      </c>
      <c r="E53" s="1">
        <v>29</v>
      </c>
      <c r="F53" s="1">
        <v>30</v>
      </c>
      <c r="G53" s="7">
        <v>0.4</v>
      </c>
      <c r="H53" s="1">
        <v>40</v>
      </c>
      <c r="I53" s="1" t="s">
        <v>37</v>
      </c>
      <c r="J53" s="1"/>
      <c r="K53" s="1">
        <v>30</v>
      </c>
      <c r="L53" s="1">
        <f t="shared" si="10"/>
        <v>-1</v>
      </c>
      <c r="M53" s="1"/>
      <c r="N53" s="1"/>
      <c r="O53" s="1">
        <v>45.759999999999977</v>
      </c>
      <c r="P53" s="1"/>
      <c r="Q53" s="1"/>
      <c r="R53" s="1">
        <v>0</v>
      </c>
      <c r="S53" s="1">
        <f t="shared" si="11"/>
        <v>5.8</v>
      </c>
      <c r="T53" s="5"/>
      <c r="U53" s="1">
        <f t="shared" si="12"/>
        <v>13.062068965517238</v>
      </c>
      <c r="V53" s="1">
        <f t="shared" si="13"/>
        <v>13.062068965517238</v>
      </c>
      <c r="W53" s="1">
        <v>5.6</v>
      </c>
      <c r="X53" s="1">
        <v>9</v>
      </c>
      <c r="Y53" s="1">
        <v>8.6</v>
      </c>
      <c r="Z53" s="1">
        <v>3.6</v>
      </c>
      <c r="AA53" s="1">
        <v>1.6</v>
      </c>
      <c r="AB53" s="1">
        <v>0.4</v>
      </c>
      <c r="AC53" s="1">
        <v>5.8</v>
      </c>
      <c r="AD53" s="1">
        <v>8.8000000000000007</v>
      </c>
      <c r="AE53" s="1">
        <v>8.6</v>
      </c>
      <c r="AF53" s="1">
        <v>7.4</v>
      </c>
      <c r="AG53" s="1"/>
      <c r="AH53" s="1">
        <f t="shared" si="8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" t="s">
        <v>94</v>
      </c>
      <c r="B54" s="1" t="s">
        <v>36</v>
      </c>
      <c r="C54" s="1">
        <v>224.20099999999999</v>
      </c>
      <c r="D54" s="1"/>
      <c r="E54" s="1">
        <v>37.718000000000004</v>
      </c>
      <c r="F54" s="1">
        <v>33.75</v>
      </c>
      <c r="G54" s="7">
        <v>1</v>
      </c>
      <c r="H54" s="1">
        <v>50</v>
      </c>
      <c r="I54" s="1" t="s">
        <v>37</v>
      </c>
      <c r="J54" s="1"/>
      <c r="K54" s="1">
        <v>32</v>
      </c>
      <c r="L54" s="1">
        <f t="shared" si="10"/>
        <v>5.7180000000000035</v>
      </c>
      <c r="M54" s="1"/>
      <c r="N54" s="1"/>
      <c r="O54" s="1">
        <v>0</v>
      </c>
      <c r="P54" s="1"/>
      <c r="Q54" s="1"/>
      <c r="R54" s="1">
        <v>34.476400000000012</v>
      </c>
      <c r="S54" s="1">
        <f t="shared" si="11"/>
        <v>7.5436000000000005</v>
      </c>
      <c r="T54" s="5">
        <f t="shared" si="9"/>
        <v>14.753199999999993</v>
      </c>
      <c r="U54" s="1">
        <f t="shared" si="12"/>
        <v>11</v>
      </c>
      <c r="V54" s="1">
        <f t="shared" si="13"/>
        <v>9.0442759425208141</v>
      </c>
      <c r="W54" s="1">
        <v>6.1837999999999997</v>
      </c>
      <c r="X54" s="1">
        <v>7.2691999999999997</v>
      </c>
      <c r="Y54" s="1">
        <v>5.6552000000000007</v>
      </c>
      <c r="Z54" s="1">
        <v>10.2532</v>
      </c>
      <c r="AA54" s="1">
        <v>15.079599999999999</v>
      </c>
      <c r="AB54" s="1">
        <v>14.2872</v>
      </c>
      <c r="AC54" s="1">
        <v>18.321200000000001</v>
      </c>
      <c r="AD54" s="1">
        <v>15.973000000000001</v>
      </c>
      <c r="AE54" s="1">
        <v>7.6050000000000004</v>
      </c>
      <c r="AF54" s="1">
        <v>6.9670000000000014</v>
      </c>
      <c r="AG54" s="1" t="s">
        <v>59</v>
      </c>
      <c r="AH54" s="1">
        <f t="shared" si="8"/>
        <v>14.753199999999993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95</v>
      </c>
      <c r="B55" s="1" t="s">
        <v>42</v>
      </c>
      <c r="C55" s="1">
        <v>132</v>
      </c>
      <c r="D55" s="1">
        <v>290</v>
      </c>
      <c r="E55" s="14">
        <f>162+E128</f>
        <v>203</v>
      </c>
      <c r="F55" s="14">
        <f>69+F128</f>
        <v>165</v>
      </c>
      <c r="G55" s="7">
        <v>0.1</v>
      </c>
      <c r="H55" s="1">
        <v>731</v>
      </c>
      <c r="I55" s="1" t="s">
        <v>37</v>
      </c>
      <c r="J55" s="1"/>
      <c r="K55" s="1">
        <v>162</v>
      </c>
      <c r="L55" s="1">
        <f t="shared" si="10"/>
        <v>41</v>
      </c>
      <c r="M55" s="1"/>
      <c r="N55" s="1"/>
      <c r="O55" s="1">
        <v>86.474947368421113</v>
      </c>
      <c r="P55" s="1"/>
      <c r="Q55" s="1"/>
      <c r="R55" s="1">
        <v>220.99999999999989</v>
      </c>
      <c r="S55" s="1">
        <f t="shared" si="11"/>
        <v>40.6</v>
      </c>
      <c r="T55" s="5"/>
      <c r="U55" s="1">
        <f t="shared" si="12"/>
        <v>11.637313974591649</v>
      </c>
      <c r="V55" s="1">
        <f t="shared" si="13"/>
        <v>11.637313974591649</v>
      </c>
      <c r="W55" s="1">
        <v>40</v>
      </c>
      <c r="X55" s="1">
        <v>35.799999999999997</v>
      </c>
      <c r="Y55" s="1">
        <v>39</v>
      </c>
      <c r="Z55" s="1">
        <v>54.6</v>
      </c>
      <c r="AA55" s="1">
        <v>50.4</v>
      </c>
      <c r="AB55" s="1">
        <v>48.6</v>
      </c>
      <c r="AC55" s="1">
        <v>62.6</v>
      </c>
      <c r="AD55" s="1">
        <v>47.8</v>
      </c>
      <c r="AE55" s="1">
        <v>19.2</v>
      </c>
      <c r="AF55" s="1">
        <v>14.6</v>
      </c>
      <c r="AG55" s="1" t="s">
        <v>59</v>
      </c>
      <c r="AH55" s="1">
        <f t="shared" si="8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1" t="s">
        <v>96</v>
      </c>
      <c r="B56" s="1" t="s">
        <v>36</v>
      </c>
      <c r="C56" s="1">
        <v>259.19</v>
      </c>
      <c r="D56" s="1">
        <v>174.31299999999999</v>
      </c>
      <c r="E56" s="1">
        <v>50.156999999999996</v>
      </c>
      <c r="F56" s="1">
        <v>134.078</v>
      </c>
      <c r="G56" s="7">
        <v>1</v>
      </c>
      <c r="H56" s="1">
        <v>50</v>
      </c>
      <c r="I56" s="1" t="s">
        <v>37</v>
      </c>
      <c r="J56" s="1"/>
      <c r="K56" s="1">
        <v>44.5</v>
      </c>
      <c r="L56" s="1">
        <f t="shared" si="10"/>
        <v>5.6569999999999965</v>
      </c>
      <c r="M56" s="1"/>
      <c r="N56" s="1"/>
      <c r="O56" s="1">
        <v>13.907999999999999</v>
      </c>
      <c r="P56" s="1"/>
      <c r="Q56" s="1"/>
      <c r="R56" s="1">
        <v>0</v>
      </c>
      <c r="S56" s="1">
        <f t="shared" si="11"/>
        <v>10.0314</v>
      </c>
      <c r="T56" s="5"/>
      <c r="U56" s="1">
        <f t="shared" si="12"/>
        <v>14.752277847558664</v>
      </c>
      <c r="V56" s="1">
        <f t="shared" si="13"/>
        <v>14.752277847558664</v>
      </c>
      <c r="W56" s="1">
        <v>4.5906000000000002</v>
      </c>
      <c r="X56" s="1">
        <v>4.2729999999999997</v>
      </c>
      <c r="Y56" s="1">
        <v>13.907999999999999</v>
      </c>
      <c r="Z56" s="1">
        <v>32.824800000000003</v>
      </c>
      <c r="AA56" s="1">
        <v>29.584199999999999</v>
      </c>
      <c r="AB56" s="1">
        <v>28.664000000000001</v>
      </c>
      <c r="AC56" s="1">
        <v>22.774799999999999</v>
      </c>
      <c r="AD56" s="1">
        <v>14.909599999999999</v>
      </c>
      <c r="AE56" s="1">
        <v>28.376000000000001</v>
      </c>
      <c r="AF56" s="1">
        <v>33.974800000000002</v>
      </c>
      <c r="AG56" s="1" t="s">
        <v>59</v>
      </c>
      <c r="AH56" s="1">
        <f t="shared" si="8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" t="s">
        <v>97</v>
      </c>
      <c r="B57" s="1" t="s">
        <v>36</v>
      </c>
      <c r="C57" s="1">
        <v>46.045000000000002</v>
      </c>
      <c r="D57" s="1">
        <v>65.34</v>
      </c>
      <c r="E57" s="1">
        <v>36.110999999999997</v>
      </c>
      <c r="F57" s="1">
        <v>53.304000000000002</v>
      </c>
      <c r="G57" s="7">
        <v>1</v>
      </c>
      <c r="H57" s="1">
        <v>55</v>
      </c>
      <c r="I57" s="1" t="s">
        <v>37</v>
      </c>
      <c r="J57" s="1"/>
      <c r="K57" s="1">
        <v>31.3</v>
      </c>
      <c r="L57" s="1">
        <f t="shared" si="10"/>
        <v>4.8109999999999964</v>
      </c>
      <c r="M57" s="1"/>
      <c r="N57" s="1"/>
      <c r="O57" s="1">
        <v>0</v>
      </c>
      <c r="P57" s="1"/>
      <c r="Q57" s="1"/>
      <c r="R57" s="1">
        <v>0</v>
      </c>
      <c r="S57" s="1">
        <f t="shared" si="11"/>
        <v>7.2221999999999991</v>
      </c>
      <c r="T57" s="5">
        <f t="shared" si="9"/>
        <v>26.140199999999993</v>
      </c>
      <c r="U57" s="1">
        <f t="shared" si="12"/>
        <v>11</v>
      </c>
      <c r="V57" s="1">
        <f t="shared" si="13"/>
        <v>7.3805765556201726</v>
      </c>
      <c r="W57" s="1">
        <v>4.0502000000000002</v>
      </c>
      <c r="X57" s="1">
        <v>3.7761999999999998</v>
      </c>
      <c r="Y57" s="1">
        <v>5.9706000000000001</v>
      </c>
      <c r="Z57" s="1">
        <v>8.2767999999999997</v>
      </c>
      <c r="AA57" s="1">
        <v>5.8301999999999996</v>
      </c>
      <c r="AB57" s="1">
        <v>6.5529999999999999</v>
      </c>
      <c r="AC57" s="1">
        <v>8.4641999999999999</v>
      </c>
      <c r="AD57" s="1">
        <v>5.9944000000000006</v>
      </c>
      <c r="AE57" s="1">
        <v>7.5114000000000001</v>
      </c>
      <c r="AF57" s="1">
        <v>6.9714</v>
      </c>
      <c r="AG57" s="1"/>
      <c r="AH57" s="1">
        <f t="shared" si="8"/>
        <v>26.140199999999993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1" t="s">
        <v>98</v>
      </c>
      <c r="B58" s="1" t="s">
        <v>42</v>
      </c>
      <c r="C58" s="1">
        <v>48</v>
      </c>
      <c r="D58" s="1">
        <v>126</v>
      </c>
      <c r="E58" s="1">
        <v>92</v>
      </c>
      <c r="F58" s="1">
        <v>56</v>
      </c>
      <c r="G58" s="7">
        <v>0.1</v>
      </c>
      <c r="H58" s="1">
        <v>731</v>
      </c>
      <c r="I58" s="1" t="s">
        <v>37</v>
      </c>
      <c r="J58" s="1"/>
      <c r="K58" s="1">
        <v>119</v>
      </c>
      <c r="L58" s="1">
        <f t="shared" si="10"/>
        <v>-27</v>
      </c>
      <c r="M58" s="1"/>
      <c r="N58" s="1"/>
      <c r="O58" s="1">
        <v>221.53202357563839</v>
      </c>
      <c r="P58" s="1"/>
      <c r="Q58" s="1"/>
      <c r="R58" s="1">
        <v>0</v>
      </c>
      <c r="S58" s="1">
        <f t="shared" si="11"/>
        <v>18.399999999999999</v>
      </c>
      <c r="T58" s="5"/>
      <c r="U58" s="1">
        <f t="shared" si="12"/>
        <v>15.083262150849913</v>
      </c>
      <c r="V58" s="1">
        <f t="shared" si="13"/>
        <v>15.083262150849913</v>
      </c>
      <c r="W58" s="1">
        <v>22.4</v>
      </c>
      <c r="X58" s="1">
        <v>29.6</v>
      </c>
      <c r="Y58" s="1">
        <v>31.2</v>
      </c>
      <c r="Z58" s="1">
        <v>34.799999999999997</v>
      </c>
      <c r="AA58" s="1">
        <v>32</v>
      </c>
      <c r="AB58" s="1">
        <v>34</v>
      </c>
      <c r="AC58" s="1">
        <v>39.6</v>
      </c>
      <c r="AD58" s="1">
        <v>29.8</v>
      </c>
      <c r="AE58" s="1">
        <v>25.2</v>
      </c>
      <c r="AF58" s="1">
        <v>21.2</v>
      </c>
      <c r="AG58" s="1" t="s">
        <v>59</v>
      </c>
      <c r="AH58" s="1">
        <f t="shared" si="8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" t="s">
        <v>99</v>
      </c>
      <c r="B59" s="1" t="s">
        <v>42</v>
      </c>
      <c r="C59" s="1">
        <v>22</v>
      </c>
      <c r="D59" s="1">
        <v>2</v>
      </c>
      <c r="E59" s="1">
        <v>1</v>
      </c>
      <c r="F59" s="1">
        <v>1</v>
      </c>
      <c r="G59" s="7">
        <v>0.4</v>
      </c>
      <c r="H59" s="1">
        <v>50</v>
      </c>
      <c r="I59" s="1" t="s">
        <v>37</v>
      </c>
      <c r="J59" s="1"/>
      <c r="K59" s="1">
        <v>1</v>
      </c>
      <c r="L59" s="1">
        <f t="shared" si="10"/>
        <v>0</v>
      </c>
      <c r="M59" s="1"/>
      <c r="N59" s="1"/>
      <c r="O59" s="1">
        <v>8.4000000000000021</v>
      </c>
      <c r="P59" s="1"/>
      <c r="Q59" s="1"/>
      <c r="R59" s="1">
        <v>10.4</v>
      </c>
      <c r="S59" s="1">
        <f t="shared" si="11"/>
        <v>0.2</v>
      </c>
      <c r="T59" s="5"/>
      <c r="U59" s="1">
        <f t="shared" si="12"/>
        <v>99.000000000000014</v>
      </c>
      <c r="V59" s="1">
        <f t="shared" si="13"/>
        <v>99.000000000000014</v>
      </c>
      <c r="W59" s="1">
        <v>1.6</v>
      </c>
      <c r="X59" s="1">
        <v>2.8</v>
      </c>
      <c r="Y59" s="1">
        <v>1.8</v>
      </c>
      <c r="Z59" s="1">
        <v>1</v>
      </c>
      <c r="AA59" s="1">
        <v>3.4</v>
      </c>
      <c r="AB59" s="1">
        <v>4</v>
      </c>
      <c r="AC59" s="1">
        <v>3.4</v>
      </c>
      <c r="AD59" s="1">
        <v>3.2</v>
      </c>
      <c r="AE59" s="1">
        <v>1.2</v>
      </c>
      <c r="AF59" s="1">
        <v>0.2</v>
      </c>
      <c r="AG59" s="1"/>
      <c r="AH59" s="1">
        <f t="shared" si="8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5" t="s">
        <v>100</v>
      </c>
      <c r="B60" s="1" t="s">
        <v>36</v>
      </c>
      <c r="C60" s="1">
        <v>83.507999999999996</v>
      </c>
      <c r="D60" s="1">
        <v>113.822</v>
      </c>
      <c r="E60" s="1">
        <v>118.059</v>
      </c>
      <c r="F60" s="1">
        <v>54.2</v>
      </c>
      <c r="G60" s="7">
        <v>1</v>
      </c>
      <c r="H60" s="1">
        <v>40</v>
      </c>
      <c r="I60" s="9" t="s">
        <v>40</v>
      </c>
      <c r="J60" s="1"/>
      <c r="K60" s="1">
        <v>118.5</v>
      </c>
      <c r="L60" s="1">
        <f t="shared" si="10"/>
        <v>-0.4410000000000025</v>
      </c>
      <c r="M60" s="1"/>
      <c r="N60" s="1"/>
      <c r="O60" s="1">
        <v>125.4214342667517</v>
      </c>
      <c r="P60" s="1"/>
      <c r="Q60" s="1"/>
      <c r="R60" s="1">
        <v>88.313992092288075</v>
      </c>
      <c r="S60" s="1">
        <f t="shared" si="11"/>
        <v>23.611799999999999</v>
      </c>
      <c r="T60" s="5"/>
      <c r="U60" s="1">
        <f t="shared" si="12"/>
        <v>11.347522271027188</v>
      </c>
      <c r="V60" s="1">
        <f t="shared" si="13"/>
        <v>11.347522271027188</v>
      </c>
      <c r="W60" s="1">
        <v>23.540600000000001</v>
      </c>
      <c r="X60" s="1">
        <v>29.2972</v>
      </c>
      <c r="Y60" s="1">
        <v>24.019200000000001</v>
      </c>
      <c r="Z60" s="1">
        <v>15.448399999999999</v>
      </c>
      <c r="AA60" s="1">
        <v>13.5816</v>
      </c>
      <c r="AB60" s="1">
        <v>21.594999999999999</v>
      </c>
      <c r="AC60" s="1">
        <v>26.615600000000001</v>
      </c>
      <c r="AD60" s="1">
        <v>27.269600000000001</v>
      </c>
      <c r="AE60" s="1">
        <v>19.244599999999998</v>
      </c>
      <c r="AF60" s="1">
        <v>2.0972</v>
      </c>
      <c r="AG60" s="1"/>
      <c r="AH60" s="1">
        <f t="shared" si="8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101</v>
      </c>
      <c r="B61" s="1" t="s">
        <v>36</v>
      </c>
      <c r="C61" s="1">
        <v>-0.13900000000000001</v>
      </c>
      <c r="D61" s="1">
        <v>181.244</v>
      </c>
      <c r="E61" s="1">
        <v>35.628999999999998</v>
      </c>
      <c r="F61" s="1">
        <v>125.809</v>
      </c>
      <c r="G61" s="7">
        <v>1</v>
      </c>
      <c r="H61" s="1">
        <v>40</v>
      </c>
      <c r="I61" s="1" t="s">
        <v>37</v>
      </c>
      <c r="J61" s="1"/>
      <c r="K61" s="1">
        <v>38.1</v>
      </c>
      <c r="L61" s="1">
        <f t="shared" si="10"/>
        <v>-2.4710000000000036</v>
      </c>
      <c r="M61" s="1"/>
      <c r="N61" s="1"/>
      <c r="O61" s="1">
        <v>65</v>
      </c>
      <c r="P61" s="1"/>
      <c r="Q61" s="1"/>
      <c r="R61" s="1">
        <v>30</v>
      </c>
      <c r="S61" s="1">
        <f t="shared" si="11"/>
        <v>7.1257999999999999</v>
      </c>
      <c r="T61" s="5"/>
      <c r="U61" s="1">
        <f t="shared" si="12"/>
        <v>30.987257571079738</v>
      </c>
      <c r="V61" s="1">
        <f t="shared" si="13"/>
        <v>30.987257571079738</v>
      </c>
      <c r="W61" s="1">
        <v>0.5978</v>
      </c>
      <c r="X61" s="1">
        <v>1.6666000000000001</v>
      </c>
      <c r="Y61" s="1">
        <v>5.6360000000000001</v>
      </c>
      <c r="Z61" s="1">
        <v>11.8102</v>
      </c>
      <c r="AA61" s="1">
        <v>25.3964</v>
      </c>
      <c r="AB61" s="1">
        <v>39.029400000000003</v>
      </c>
      <c r="AC61" s="1">
        <v>33.448999999999998</v>
      </c>
      <c r="AD61" s="1">
        <v>20.904800000000002</v>
      </c>
      <c r="AE61" s="1">
        <v>8.2733999999999988</v>
      </c>
      <c r="AF61" s="1">
        <v>11.537800000000001</v>
      </c>
      <c r="AG61" s="1"/>
      <c r="AH61" s="1">
        <f t="shared" si="8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102</v>
      </c>
      <c r="B62" s="1" t="s">
        <v>42</v>
      </c>
      <c r="C62" s="1">
        <v>766</v>
      </c>
      <c r="D62" s="1">
        <v>108</v>
      </c>
      <c r="E62" s="1">
        <v>358</v>
      </c>
      <c r="F62" s="1">
        <v>23</v>
      </c>
      <c r="G62" s="7">
        <v>0.4</v>
      </c>
      <c r="H62" s="1">
        <v>40</v>
      </c>
      <c r="I62" s="1" t="s">
        <v>37</v>
      </c>
      <c r="J62" s="1"/>
      <c r="K62" s="1">
        <v>365</v>
      </c>
      <c r="L62" s="1">
        <f t="shared" si="10"/>
        <v>-7</v>
      </c>
      <c r="M62" s="1"/>
      <c r="N62" s="1"/>
      <c r="O62" s="1">
        <v>195</v>
      </c>
      <c r="P62" s="1"/>
      <c r="Q62" s="1"/>
      <c r="R62" s="1">
        <v>408.33508005822432</v>
      </c>
      <c r="S62" s="1">
        <f t="shared" si="11"/>
        <v>71.599999999999994</v>
      </c>
      <c r="T62" s="5">
        <f t="shared" si="9"/>
        <v>161.26491994177559</v>
      </c>
      <c r="U62" s="1">
        <f t="shared" si="12"/>
        <v>11</v>
      </c>
      <c r="V62" s="1">
        <f t="shared" si="13"/>
        <v>8.7476966488578825</v>
      </c>
      <c r="W62" s="1">
        <v>61.2</v>
      </c>
      <c r="X62" s="1">
        <v>73.400000000000006</v>
      </c>
      <c r="Y62" s="1">
        <v>57.2</v>
      </c>
      <c r="Z62" s="1">
        <v>35.799999999999997</v>
      </c>
      <c r="AA62" s="1">
        <v>36.6</v>
      </c>
      <c r="AB62" s="1">
        <v>28.8</v>
      </c>
      <c r="AC62" s="1">
        <v>9</v>
      </c>
      <c r="AD62" s="1">
        <v>49</v>
      </c>
      <c r="AE62" s="1">
        <v>115.2</v>
      </c>
      <c r="AF62" s="1">
        <v>114</v>
      </c>
      <c r="AG62" s="1"/>
      <c r="AH62" s="1">
        <f t="shared" si="8"/>
        <v>64.505967976710238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5" t="s">
        <v>103</v>
      </c>
      <c r="B63" s="1" t="s">
        <v>42</v>
      </c>
      <c r="C63" s="1">
        <v>246</v>
      </c>
      <c r="D63" s="1">
        <v>207</v>
      </c>
      <c r="E63" s="1">
        <v>192</v>
      </c>
      <c r="F63" s="1">
        <v>196</v>
      </c>
      <c r="G63" s="7">
        <v>0.4</v>
      </c>
      <c r="H63" s="1">
        <v>40</v>
      </c>
      <c r="I63" s="9" t="s">
        <v>40</v>
      </c>
      <c r="J63" s="1"/>
      <c r="K63" s="1">
        <v>194</v>
      </c>
      <c r="L63" s="1">
        <f t="shared" si="10"/>
        <v>-2</v>
      </c>
      <c r="M63" s="1"/>
      <c r="N63" s="1"/>
      <c r="O63" s="1">
        <v>0</v>
      </c>
      <c r="P63" s="1"/>
      <c r="Q63" s="1"/>
      <c r="R63" s="1">
        <v>124.4173212487412</v>
      </c>
      <c r="S63" s="1">
        <f t="shared" si="11"/>
        <v>38.4</v>
      </c>
      <c r="T63" s="5">
        <f t="shared" si="9"/>
        <v>101.98267875125879</v>
      </c>
      <c r="U63" s="1">
        <f t="shared" si="12"/>
        <v>11</v>
      </c>
      <c r="V63" s="1">
        <f t="shared" si="13"/>
        <v>8.3442010741859693</v>
      </c>
      <c r="W63" s="1">
        <v>31.6</v>
      </c>
      <c r="X63" s="1">
        <v>37.200000000000003</v>
      </c>
      <c r="Y63" s="1">
        <v>29.6</v>
      </c>
      <c r="Z63" s="1">
        <v>34.200000000000003</v>
      </c>
      <c r="AA63" s="1">
        <v>38.4</v>
      </c>
      <c r="AB63" s="1">
        <v>38.200000000000003</v>
      </c>
      <c r="AC63" s="1">
        <v>54</v>
      </c>
      <c r="AD63" s="1">
        <v>42.6</v>
      </c>
      <c r="AE63" s="1">
        <v>53.4</v>
      </c>
      <c r="AF63" s="1">
        <v>71.599999999999994</v>
      </c>
      <c r="AG63" s="1"/>
      <c r="AH63" s="1">
        <f t="shared" si="8"/>
        <v>40.793071500503515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5" t="s">
        <v>104</v>
      </c>
      <c r="B64" s="1" t="s">
        <v>36</v>
      </c>
      <c r="C64" s="1">
        <v>130.17500000000001</v>
      </c>
      <c r="D64" s="1">
        <v>73.677999999999997</v>
      </c>
      <c r="E64" s="1">
        <v>125.768</v>
      </c>
      <c r="F64" s="1">
        <v>-0.627</v>
      </c>
      <c r="G64" s="7">
        <v>1</v>
      </c>
      <c r="H64" s="1">
        <v>40</v>
      </c>
      <c r="I64" s="9" t="s">
        <v>40</v>
      </c>
      <c r="J64" s="1"/>
      <c r="K64" s="1">
        <v>157.5</v>
      </c>
      <c r="L64" s="1">
        <f t="shared" si="10"/>
        <v>-31.731999999999999</v>
      </c>
      <c r="M64" s="1"/>
      <c r="N64" s="1"/>
      <c r="O64" s="1">
        <v>26</v>
      </c>
      <c r="P64" s="1"/>
      <c r="Q64" s="1"/>
      <c r="R64" s="1">
        <v>100</v>
      </c>
      <c r="S64" s="1">
        <f t="shared" si="11"/>
        <v>25.153600000000001</v>
      </c>
      <c r="T64" s="5">
        <v>100</v>
      </c>
      <c r="U64" s="1">
        <f t="shared" si="12"/>
        <v>8.9598705553081857</v>
      </c>
      <c r="V64" s="1">
        <f t="shared" si="13"/>
        <v>4.9842964824120601</v>
      </c>
      <c r="W64" s="1">
        <v>10.579800000000001</v>
      </c>
      <c r="X64" s="1">
        <v>0.18360000000000001</v>
      </c>
      <c r="Y64" s="1">
        <v>14.255800000000001</v>
      </c>
      <c r="Z64" s="1">
        <v>19.347200000000001</v>
      </c>
      <c r="AA64" s="1">
        <v>13.451000000000001</v>
      </c>
      <c r="AB64" s="1">
        <v>8.1768000000000001</v>
      </c>
      <c r="AC64" s="1">
        <v>2.9136000000000002</v>
      </c>
      <c r="AD64" s="1">
        <v>16.226600000000001</v>
      </c>
      <c r="AE64" s="1">
        <v>18.217400000000001</v>
      </c>
      <c r="AF64" s="1">
        <v>20.844200000000001</v>
      </c>
      <c r="AG64" s="1"/>
      <c r="AH64" s="1">
        <f t="shared" si="8"/>
        <v>100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5" t="s">
        <v>105</v>
      </c>
      <c r="B65" s="1" t="s">
        <v>36</v>
      </c>
      <c r="C65" s="1">
        <v>102.29900000000001</v>
      </c>
      <c r="D65" s="1"/>
      <c r="E65" s="1"/>
      <c r="F65" s="1"/>
      <c r="G65" s="7">
        <v>1</v>
      </c>
      <c r="H65" s="1">
        <v>40</v>
      </c>
      <c r="I65" s="9" t="s">
        <v>40</v>
      </c>
      <c r="J65" s="1"/>
      <c r="K65" s="1">
        <v>33.299999999999997</v>
      </c>
      <c r="L65" s="1">
        <f t="shared" si="10"/>
        <v>-33.299999999999997</v>
      </c>
      <c r="M65" s="1"/>
      <c r="N65" s="1"/>
      <c r="O65" s="1">
        <v>26</v>
      </c>
      <c r="P65" s="1"/>
      <c r="Q65" s="1"/>
      <c r="R65" s="1">
        <v>40</v>
      </c>
      <c r="S65" s="1">
        <f t="shared" si="11"/>
        <v>0</v>
      </c>
      <c r="T65" s="5">
        <v>20</v>
      </c>
      <c r="U65" s="1" t="e">
        <f t="shared" si="12"/>
        <v>#DIV/0!</v>
      </c>
      <c r="V65" s="1" t="e">
        <f t="shared" si="13"/>
        <v>#DIV/0!</v>
      </c>
      <c r="W65" s="1">
        <v>-0.70499999999999996</v>
      </c>
      <c r="X65" s="1">
        <v>-0.88500000000000001</v>
      </c>
      <c r="Y65" s="1">
        <v>-0.18</v>
      </c>
      <c r="Z65" s="1">
        <v>-0.3654</v>
      </c>
      <c r="AA65" s="1">
        <v>-0.3654</v>
      </c>
      <c r="AB65" s="1">
        <v>-1.2702</v>
      </c>
      <c r="AC65" s="1">
        <v>-1.0875999999999999</v>
      </c>
      <c r="AD65" s="1">
        <v>10.1266</v>
      </c>
      <c r="AE65" s="1">
        <v>11.384600000000001</v>
      </c>
      <c r="AF65" s="1">
        <v>8.4802</v>
      </c>
      <c r="AG65" s="1"/>
      <c r="AH65" s="1">
        <f t="shared" si="8"/>
        <v>20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5" t="s">
        <v>106</v>
      </c>
      <c r="B66" s="1" t="s">
        <v>36</v>
      </c>
      <c r="C66" s="1">
        <v>-0.41</v>
      </c>
      <c r="D66" s="1"/>
      <c r="E66" s="1"/>
      <c r="F66" s="1">
        <v>-0.41</v>
      </c>
      <c r="G66" s="7">
        <v>1</v>
      </c>
      <c r="H66" s="1">
        <v>40</v>
      </c>
      <c r="I66" s="9" t="s">
        <v>40</v>
      </c>
      <c r="J66" s="1"/>
      <c r="K66" s="1">
        <v>0.8</v>
      </c>
      <c r="L66" s="1">
        <f t="shared" si="10"/>
        <v>-0.8</v>
      </c>
      <c r="M66" s="1"/>
      <c r="N66" s="1"/>
      <c r="O66" s="1">
        <v>260</v>
      </c>
      <c r="P66" s="1">
        <v>-8</v>
      </c>
      <c r="Q66" s="1"/>
      <c r="R66" s="1">
        <v>100</v>
      </c>
      <c r="S66" s="1">
        <f t="shared" si="11"/>
        <v>0</v>
      </c>
      <c r="T66" s="5">
        <v>50</v>
      </c>
      <c r="U66" s="1" t="e">
        <f t="shared" si="12"/>
        <v>#DIV/0!</v>
      </c>
      <c r="V66" s="1" t="e">
        <f t="shared" si="13"/>
        <v>#DIV/0!</v>
      </c>
      <c r="W66" s="1">
        <v>0</v>
      </c>
      <c r="X66" s="1">
        <v>15.165800000000001</v>
      </c>
      <c r="Y66" s="1">
        <v>54.539200000000008</v>
      </c>
      <c r="Z66" s="1">
        <v>38.833599999999997</v>
      </c>
      <c r="AA66" s="1">
        <v>-1.4410000000000001</v>
      </c>
      <c r="AB66" s="1">
        <v>-0.9012</v>
      </c>
      <c r="AC66" s="1">
        <v>26.5594</v>
      </c>
      <c r="AD66" s="1">
        <v>56.472000000000001</v>
      </c>
      <c r="AE66" s="1">
        <v>75.826599999999999</v>
      </c>
      <c r="AF66" s="1">
        <v>76.188999999999993</v>
      </c>
      <c r="AG66" s="1"/>
      <c r="AH66" s="1">
        <f t="shared" si="8"/>
        <v>50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5" t="s">
        <v>107</v>
      </c>
      <c r="B67" s="1" t="s">
        <v>36</v>
      </c>
      <c r="C67" s="1"/>
      <c r="D67" s="1">
        <v>43.862000000000002</v>
      </c>
      <c r="E67" s="1">
        <v>-1.825</v>
      </c>
      <c r="F67" s="1"/>
      <c r="G67" s="7">
        <v>1</v>
      </c>
      <c r="H67" s="1">
        <v>40</v>
      </c>
      <c r="I67" s="9" t="s">
        <v>40</v>
      </c>
      <c r="J67" s="1"/>
      <c r="K67" s="1"/>
      <c r="L67" s="1">
        <f t="shared" si="10"/>
        <v>-1.825</v>
      </c>
      <c r="M67" s="1"/>
      <c r="N67" s="1"/>
      <c r="O67" s="1">
        <v>26</v>
      </c>
      <c r="P67" s="1">
        <v>-27</v>
      </c>
      <c r="Q67" s="1"/>
      <c r="R67" s="1">
        <v>50</v>
      </c>
      <c r="S67" s="1">
        <f t="shared" si="11"/>
        <v>-0.36499999999999999</v>
      </c>
      <c r="T67" s="5">
        <v>40</v>
      </c>
      <c r="U67" s="1">
        <f t="shared" si="12"/>
        <v>-243.83561643835617</v>
      </c>
      <c r="V67" s="1">
        <f t="shared" si="13"/>
        <v>-134.24657534246575</v>
      </c>
      <c r="W67" s="1">
        <v>-0.18340000000000001</v>
      </c>
      <c r="X67" s="1">
        <v>0</v>
      </c>
      <c r="Y67" s="1">
        <v>-0.1852</v>
      </c>
      <c r="Z67" s="1">
        <v>2.7107999999999999</v>
      </c>
      <c r="AA67" s="1">
        <v>18.175599999999999</v>
      </c>
      <c r="AB67" s="1">
        <v>14.3584</v>
      </c>
      <c r="AC67" s="1">
        <v>-0.11700000000000001</v>
      </c>
      <c r="AD67" s="1">
        <v>11.7364</v>
      </c>
      <c r="AE67" s="1">
        <v>16.224799999999998</v>
      </c>
      <c r="AF67" s="1">
        <v>34.017000000000003</v>
      </c>
      <c r="AG67" s="1"/>
      <c r="AH67" s="1">
        <f t="shared" si="8"/>
        <v>40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0" t="s">
        <v>108</v>
      </c>
      <c r="B68" s="10" t="s">
        <v>42</v>
      </c>
      <c r="C68" s="10"/>
      <c r="D68" s="10"/>
      <c r="E68" s="10"/>
      <c r="F68" s="10"/>
      <c r="G68" s="11">
        <v>0</v>
      </c>
      <c r="H68" s="10"/>
      <c r="I68" s="10" t="s">
        <v>37</v>
      </c>
      <c r="J68" s="10"/>
      <c r="K68" s="10"/>
      <c r="L68" s="10">
        <f t="shared" si="10"/>
        <v>0</v>
      </c>
      <c r="M68" s="10"/>
      <c r="N68" s="10"/>
      <c r="O68" s="10">
        <v>0</v>
      </c>
      <c r="P68" s="10"/>
      <c r="Q68" s="10"/>
      <c r="R68" s="10">
        <v>0</v>
      </c>
      <c r="S68" s="10">
        <f t="shared" si="11"/>
        <v>0</v>
      </c>
      <c r="T68" s="12"/>
      <c r="U68" s="10" t="e">
        <f t="shared" si="12"/>
        <v>#DIV/0!</v>
      </c>
      <c r="V68" s="10" t="e">
        <f t="shared" si="13"/>
        <v>#DIV/0!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 t="s">
        <v>43</v>
      </c>
      <c r="AH68" s="10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1" t="s">
        <v>109</v>
      </c>
      <c r="B69" s="1" t="s">
        <v>36</v>
      </c>
      <c r="C69" s="1">
        <v>161.69999999999999</v>
      </c>
      <c r="D69" s="1">
        <v>80.572000000000003</v>
      </c>
      <c r="E69" s="1">
        <v>83.563000000000002</v>
      </c>
      <c r="F69" s="1">
        <v>130.77000000000001</v>
      </c>
      <c r="G69" s="7">
        <v>1</v>
      </c>
      <c r="H69" s="1">
        <v>30</v>
      </c>
      <c r="I69" s="1" t="s">
        <v>37</v>
      </c>
      <c r="J69" s="1"/>
      <c r="K69" s="1">
        <v>108.5</v>
      </c>
      <c r="L69" s="1">
        <f t="shared" si="10"/>
        <v>-24.936999999999998</v>
      </c>
      <c r="M69" s="1"/>
      <c r="N69" s="1"/>
      <c r="O69" s="1">
        <v>87.828732675415679</v>
      </c>
      <c r="P69" s="1"/>
      <c r="Q69" s="1"/>
      <c r="R69" s="1">
        <v>0</v>
      </c>
      <c r="S69" s="1">
        <f t="shared" si="11"/>
        <v>16.712600000000002</v>
      </c>
      <c r="T69" s="5"/>
      <c r="U69" s="1">
        <f t="shared" si="12"/>
        <v>13.079875822757421</v>
      </c>
      <c r="V69" s="1">
        <f t="shared" si="13"/>
        <v>13.079875822757421</v>
      </c>
      <c r="W69" s="1">
        <v>15.083600000000001</v>
      </c>
      <c r="X69" s="1">
        <v>22.851600000000001</v>
      </c>
      <c r="Y69" s="1">
        <v>27.151399999999999</v>
      </c>
      <c r="Z69" s="1">
        <v>11.3246</v>
      </c>
      <c r="AA69" s="1">
        <v>-3.0474000000000001</v>
      </c>
      <c r="AB69" s="1">
        <v>6.3057999999999996</v>
      </c>
      <c r="AC69" s="1">
        <v>38.624600000000001</v>
      </c>
      <c r="AD69" s="1">
        <v>42.8994</v>
      </c>
      <c r="AE69" s="1">
        <v>11.5352</v>
      </c>
      <c r="AF69" s="1">
        <v>1.75</v>
      </c>
      <c r="AG69" s="1" t="s">
        <v>110</v>
      </c>
      <c r="AH69" s="1">
        <f>G69*T69</f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0" t="s">
        <v>111</v>
      </c>
      <c r="B70" s="10" t="s">
        <v>42</v>
      </c>
      <c r="C70" s="10">
        <v>132</v>
      </c>
      <c r="D70" s="10">
        <v>232</v>
      </c>
      <c r="E70" s="10">
        <v>51</v>
      </c>
      <c r="F70" s="10">
        <v>161</v>
      </c>
      <c r="G70" s="11">
        <v>0</v>
      </c>
      <c r="H70" s="10">
        <v>60</v>
      </c>
      <c r="I70" s="10" t="s">
        <v>37</v>
      </c>
      <c r="J70" s="10"/>
      <c r="K70" s="10">
        <v>43</v>
      </c>
      <c r="L70" s="10">
        <f t="shared" ref="L70:L101" si="14">E70-K70</f>
        <v>8</v>
      </c>
      <c r="M70" s="10"/>
      <c r="N70" s="10"/>
      <c r="O70" s="10">
        <v>0</v>
      </c>
      <c r="P70" s="10"/>
      <c r="Q70" s="10"/>
      <c r="R70" s="10">
        <v>0</v>
      </c>
      <c r="S70" s="10">
        <f t="shared" ref="S70:S101" si="15">E70/5</f>
        <v>10.199999999999999</v>
      </c>
      <c r="T70" s="12"/>
      <c r="U70" s="10">
        <f t="shared" ref="U70:U101" si="16">(F70+O70+P70+Q70+R70+T70)/S70</f>
        <v>15.784313725490197</v>
      </c>
      <c r="V70" s="10">
        <f t="shared" ref="V70:V101" si="17">(F70+O70+P70+Q70+R70)/S70</f>
        <v>15.784313725490197</v>
      </c>
      <c r="W70" s="10">
        <v>10</v>
      </c>
      <c r="X70" s="10">
        <v>5.6</v>
      </c>
      <c r="Y70" s="10">
        <v>11</v>
      </c>
      <c r="Z70" s="10">
        <v>36.200000000000003</v>
      </c>
      <c r="AA70" s="10">
        <v>27</v>
      </c>
      <c r="AB70" s="10">
        <v>1.2</v>
      </c>
      <c r="AC70" s="10">
        <v>3.2</v>
      </c>
      <c r="AD70" s="10">
        <v>19.399999999999999</v>
      </c>
      <c r="AE70" s="10">
        <v>37</v>
      </c>
      <c r="AF70" s="10">
        <v>27.2</v>
      </c>
      <c r="AG70" s="13" t="s">
        <v>112</v>
      </c>
      <c r="AH70" s="10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0" t="s">
        <v>113</v>
      </c>
      <c r="B71" s="10" t="s">
        <v>42</v>
      </c>
      <c r="C71" s="10">
        <v>227</v>
      </c>
      <c r="D71" s="10">
        <v>248</v>
      </c>
      <c r="E71" s="10">
        <v>85</v>
      </c>
      <c r="F71" s="10">
        <v>214</v>
      </c>
      <c r="G71" s="11">
        <v>0</v>
      </c>
      <c r="H71" s="10">
        <v>60</v>
      </c>
      <c r="I71" s="10" t="s">
        <v>37</v>
      </c>
      <c r="J71" s="10"/>
      <c r="K71" s="10">
        <v>83</v>
      </c>
      <c r="L71" s="10">
        <f t="shared" si="14"/>
        <v>2</v>
      </c>
      <c r="M71" s="10"/>
      <c r="N71" s="10"/>
      <c r="O71" s="10">
        <v>0</v>
      </c>
      <c r="P71" s="10"/>
      <c r="Q71" s="10"/>
      <c r="R71" s="10">
        <v>0</v>
      </c>
      <c r="S71" s="10">
        <f t="shared" si="15"/>
        <v>17</v>
      </c>
      <c r="T71" s="12"/>
      <c r="U71" s="10">
        <f t="shared" si="16"/>
        <v>12.588235294117647</v>
      </c>
      <c r="V71" s="10">
        <f t="shared" si="17"/>
        <v>12.588235294117647</v>
      </c>
      <c r="W71" s="10">
        <v>15.6</v>
      </c>
      <c r="X71" s="10">
        <v>11.2</v>
      </c>
      <c r="Y71" s="10">
        <v>17.2</v>
      </c>
      <c r="Z71" s="10">
        <v>47.6</v>
      </c>
      <c r="AA71" s="10">
        <v>37</v>
      </c>
      <c r="AB71" s="10">
        <v>11.8</v>
      </c>
      <c r="AC71" s="10">
        <v>25.4</v>
      </c>
      <c r="AD71" s="10">
        <v>30.4</v>
      </c>
      <c r="AE71" s="10">
        <v>51</v>
      </c>
      <c r="AF71" s="10">
        <v>42</v>
      </c>
      <c r="AG71" s="10" t="s">
        <v>43</v>
      </c>
      <c r="AH71" s="10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1" t="s">
        <v>114</v>
      </c>
      <c r="B72" s="1" t="s">
        <v>42</v>
      </c>
      <c r="C72" s="1">
        <v>256</v>
      </c>
      <c r="D72" s="1">
        <v>74</v>
      </c>
      <c r="E72" s="1">
        <v>65</v>
      </c>
      <c r="F72" s="1">
        <v>87</v>
      </c>
      <c r="G72" s="7">
        <v>0.4</v>
      </c>
      <c r="H72" s="1">
        <v>90</v>
      </c>
      <c r="I72" s="1" t="s">
        <v>37</v>
      </c>
      <c r="J72" s="1"/>
      <c r="K72" s="1">
        <v>62</v>
      </c>
      <c r="L72" s="1">
        <f t="shared" si="14"/>
        <v>3</v>
      </c>
      <c r="M72" s="1"/>
      <c r="N72" s="1"/>
      <c r="O72" s="1">
        <v>0</v>
      </c>
      <c r="P72" s="1"/>
      <c r="Q72" s="1"/>
      <c r="R72" s="1">
        <v>14.38181818181817</v>
      </c>
      <c r="S72" s="1">
        <f t="shared" si="15"/>
        <v>13</v>
      </c>
      <c r="T72" s="5">
        <f t="shared" ref="T72:T80" si="18">11*S72-R72-Q72-P72-O72-F72</f>
        <v>41.618181818181824</v>
      </c>
      <c r="U72" s="1">
        <f t="shared" si="16"/>
        <v>11</v>
      </c>
      <c r="V72" s="1">
        <f t="shared" si="17"/>
        <v>7.7986013986013978</v>
      </c>
      <c r="W72" s="1">
        <v>9.1999999999999993</v>
      </c>
      <c r="X72" s="1">
        <v>7.8</v>
      </c>
      <c r="Y72" s="1">
        <v>11.6</v>
      </c>
      <c r="Z72" s="1">
        <v>18</v>
      </c>
      <c r="AA72" s="1">
        <v>23.6</v>
      </c>
      <c r="AB72" s="1">
        <v>29</v>
      </c>
      <c r="AC72" s="1">
        <v>27.8</v>
      </c>
      <c r="AD72" s="1">
        <v>26</v>
      </c>
      <c r="AE72" s="1">
        <v>21.4</v>
      </c>
      <c r="AF72" s="1">
        <v>17</v>
      </c>
      <c r="AG72" s="1"/>
      <c r="AH72" s="1">
        <f t="shared" ref="AH72:AH80" si="19">G72*T72</f>
        <v>16.647272727272732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15" t="s">
        <v>115</v>
      </c>
      <c r="B73" s="1" t="s">
        <v>42</v>
      </c>
      <c r="C73" s="1">
        <v>299</v>
      </c>
      <c r="D73" s="1">
        <v>47</v>
      </c>
      <c r="E73" s="1">
        <v>104</v>
      </c>
      <c r="F73" s="1"/>
      <c r="G73" s="7">
        <v>0.33</v>
      </c>
      <c r="H73" s="1">
        <v>60</v>
      </c>
      <c r="I73" s="9" t="s">
        <v>40</v>
      </c>
      <c r="J73" s="1"/>
      <c r="K73" s="1">
        <v>122</v>
      </c>
      <c r="L73" s="1">
        <f t="shared" si="14"/>
        <v>-18</v>
      </c>
      <c r="M73" s="1"/>
      <c r="N73" s="1"/>
      <c r="O73" s="1">
        <v>0</v>
      </c>
      <c r="P73" s="1"/>
      <c r="Q73" s="1"/>
      <c r="R73" s="1">
        <v>120</v>
      </c>
      <c r="S73" s="1">
        <f t="shared" si="15"/>
        <v>20.8</v>
      </c>
      <c r="T73" s="5">
        <v>100</v>
      </c>
      <c r="U73" s="1">
        <f t="shared" si="16"/>
        <v>10.576923076923077</v>
      </c>
      <c r="V73" s="1">
        <f t="shared" si="17"/>
        <v>5.7692307692307692</v>
      </c>
      <c r="W73" s="1">
        <v>21.6</v>
      </c>
      <c r="X73" s="1">
        <v>17.2</v>
      </c>
      <c r="Y73" s="1">
        <v>16</v>
      </c>
      <c r="Z73" s="1">
        <v>21.2</v>
      </c>
      <c r="AA73" s="1">
        <v>23.8</v>
      </c>
      <c r="AB73" s="1">
        <v>36.200000000000003</v>
      </c>
      <c r="AC73" s="1">
        <v>36.4</v>
      </c>
      <c r="AD73" s="1">
        <v>33.6</v>
      </c>
      <c r="AE73" s="1">
        <v>31.8</v>
      </c>
      <c r="AF73" s="1">
        <v>29.6</v>
      </c>
      <c r="AG73" s="1"/>
      <c r="AH73" s="1">
        <f t="shared" si="19"/>
        <v>33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1" t="s">
        <v>116</v>
      </c>
      <c r="B74" s="1" t="s">
        <v>42</v>
      </c>
      <c r="C74" s="1">
        <v>225</v>
      </c>
      <c r="D74" s="1">
        <v>172</v>
      </c>
      <c r="E74" s="1">
        <v>10</v>
      </c>
      <c r="F74" s="1">
        <v>54</v>
      </c>
      <c r="G74" s="7">
        <v>0.35</v>
      </c>
      <c r="H74" s="1">
        <v>90</v>
      </c>
      <c r="I74" s="1" t="s">
        <v>37</v>
      </c>
      <c r="J74" s="1"/>
      <c r="K74" s="1">
        <v>37</v>
      </c>
      <c r="L74" s="1">
        <f t="shared" si="14"/>
        <v>-27</v>
      </c>
      <c r="M74" s="1"/>
      <c r="N74" s="1"/>
      <c r="O74" s="1">
        <v>130</v>
      </c>
      <c r="P74" s="1"/>
      <c r="Q74" s="1"/>
      <c r="R74" s="1">
        <v>0</v>
      </c>
      <c r="S74" s="1">
        <f t="shared" si="15"/>
        <v>2</v>
      </c>
      <c r="T74" s="5"/>
      <c r="U74" s="1">
        <f t="shared" si="16"/>
        <v>92</v>
      </c>
      <c r="V74" s="1">
        <f t="shared" si="17"/>
        <v>92</v>
      </c>
      <c r="W74" s="1">
        <v>1.2</v>
      </c>
      <c r="X74" s="1">
        <v>9</v>
      </c>
      <c r="Y74" s="1">
        <v>12.8</v>
      </c>
      <c r="Z74" s="1">
        <v>20</v>
      </c>
      <c r="AA74" s="1">
        <v>25.6</v>
      </c>
      <c r="AB74" s="1">
        <v>33.4</v>
      </c>
      <c r="AC74" s="1">
        <v>36.200000000000003</v>
      </c>
      <c r="AD74" s="1">
        <v>29.8</v>
      </c>
      <c r="AE74" s="1">
        <v>32.4</v>
      </c>
      <c r="AF74" s="1">
        <v>29.2</v>
      </c>
      <c r="AG74" s="17" t="s">
        <v>53</v>
      </c>
      <c r="AH74" s="1">
        <f t="shared" si="19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" t="s">
        <v>117</v>
      </c>
      <c r="B75" s="1" t="s">
        <v>42</v>
      </c>
      <c r="C75" s="1">
        <v>62</v>
      </c>
      <c r="D75" s="1"/>
      <c r="E75" s="1">
        <v>9</v>
      </c>
      <c r="F75" s="1">
        <v>23</v>
      </c>
      <c r="G75" s="7">
        <v>0.37</v>
      </c>
      <c r="H75" s="1"/>
      <c r="I75" s="1" t="s">
        <v>37</v>
      </c>
      <c r="J75" s="1"/>
      <c r="K75" s="1">
        <v>9</v>
      </c>
      <c r="L75" s="1">
        <f t="shared" si="14"/>
        <v>0</v>
      </c>
      <c r="M75" s="1"/>
      <c r="N75" s="1"/>
      <c r="O75" s="1">
        <v>0</v>
      </c>
      <c r="P75" s="1"/>
      <c r="Q75" s="1"/>
      <c r="R75" s="1">
        <v>0</v>
      </c>
      <c r="S75" s="1">
        <f t="shared" si="15"/>
        <v>1.8</v>
      </c>
      <c r="T75" s="5"/>
      <c r="U75" s="1">
        <f t="shared" si="16"/>
        <v>12.777777777777777</v>
      </c>
      <c r="V75" s="1">
        <f t="shared" si="17"/>
        <v>12.777777777777777</v>
      </c>
      <c r="W75" s="1">
        <v>0.2</v>
      </c>
      <c r="X75" s="1">
        <v>0.2</v>
      </c>
      <c r="Y75" s="1">
        <v>0.4</v>
      </c>
      <c r="Z75" s="1">
        <v>1.8</v>
      </c>
      <c r="AA75" s="1">
        <v>4.5999999999999996</v>
      </c>
      <c r="AB75" s="1">
        <v>3.6</v>
      </c>
      <c r="AC75" s="1">
        <v>0.4</v>
      </c>
      <c r="AD75" s="1">
        <v>0</v>
      </c>
      <c r="AE75" s="1">
        <v>0</v>
      </c>
      <c r="AF75" s="1">
        <v>0</v>
      </c>
      <c r="AG75" s="1" t="s">
        <v>118</v>
      </c>
      <c r="AH75" s="1">
        <f t="shared" si="19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1" t="s">
        <v>119</v>
      </c>
      <c r="B76" s="1" t="s">
        <v>42</v>
      </c>
      <c r="C76" s="1">
        <v>-21.2</v>
      </c>
      <c r="D76" s="1">
        <v>192</v>
      </c>
      <c r="E76" s="1">
        <v>8</v>
      </c>
      <c r="F76" s="1">
        <v>10.8</v>
      </c>
      <c r="G76" s="7">
        <v>0.6</v>
      </c>
      <c r="H76" s="1">
        <v>70</v>
      </c>
      <c r="I76" s="1" t="s">
        <v>37</v>
      </c>
      <c r="J76" s="1"/>
      <c r="K76" s="1">
        <v>8</v>
      </c>
      <c r="L76" s="1">
        <f t="shared" si="14"/>
        <v>0</v>
      </c>
      <c r="M76" s="1"/>
      <c r="N76" s="1"/>
      <c r="O76" s="1">
        <v>71.098039215686256</v>
      </c>
      <c r="P76" s="1"/>
      <c r="Q76" s="1"/>
      <c r="R76" s="1">
        <v>0</v>
      </c>
      <c r="S76" s="1">
        <f t="shared" si="15"/>
        <v>1.6</v>
      </c>
      <c r="T76" s="5"/>
      <c r="U76" s="1">
        <f t="shared" si="16"/>
        <v>51.186274509803908</v>
      </c>
      <c r="V76" s="1">
        <f t="shared" si="17"/>
        <v>51.186274509803908</v>
      </c>
      <c r="W76" s="1">
        <v>0.6</v>
      </c>
      <c r="X76" s="1">
        <v>2</v>
      </c>
      <c r="Y76" s="1">
        <v>6.6</v>
      </c>
      <c r="Z76" s="1">
        <v>21.8</v>
      </c>
      <c r="AA76" s="1">
        <v>14</v>
      </c>
      <c r="AB76" s="1">
        <v>3</v>
      </c>
      <c r="AC76" s="1">
        <v>5</v>
      </c>
      <c r="AD76" s="1">
        <v>8</v>
      </c>
      <c r="AE76" s="1">
        <v>19</v>
      </c>
      <c r="AF76" s="1">
        <v>18.399999999999999</v>
      </c>
      <c r="AG76" s="1"/>
      <c r="AH76" s="1">
        <f t="shared" si="19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120</v>
      </c>
      <c r="B77" s="1" t="s">
        <v>42</v>
      </c>
      <c r="C77" s="1">
        <v>156</v>
      </c>
      <c r="D77" s="1">
        <v>127</v>
      </c>
      <c r="E77" s="1">
        <v>55</v>
      </c>
      <c r="F77" s="1">
        <v>100</v>
      </c>
      <c r="G77" s="7">
        <v>0.33</v>
      </c>
      <c r="H77" s="1">
        <v>40</v>
      </c>
      <c r="I77" s="1" t="s">
        <v>37</v>
      </c>
      <c r="J77" s="1"/>
      <c r="K77" s="1">
        <v>54</v>
      </c>
      <c r="L77" s="1">
        <f t="shared" si="14"/>
        <v>1</v>
      </c>
      <c r="M77" s="1"/>
      <c r="N77" s="1"/>
      <c r="O77" s="1">
        <v>0</v>
      </c>
      <c r="P77" s="1"/>
      <c r="Q77" s="1"/>
      <c r="R77" s="1">
        <v>30.818340611353701</v>
      </c>
      <c r="S77" s="1">
        <f t="shared" si="15"/>
        <v>11</v>
      </c>
      <c r="T77" s="5"/>
      <c r="U77" s="1">
        <f t="shared" si="16"/>
        <v>11.892576419213974</v>
      </c>
      <c r="V77" s="1">
        <f t="shared" si="17"/>
        <v>11.892576419213974</v>
      </c>
      <c r="W77" s="1">
        <v>10.199999999999999</v>
      </c>
      <c r="X77" s="1">
        <v>3.4</v>
      </c>
      <c r="Y77" s="1">
        <v>0.2</v>
      </c>
      <c r="Z77" s="1">
        <v>1.6</v>
      </c>
      <c r="AA77" s="1">
        <v>5</v>
      </c>
      <c r="AB77" s="1">
        <v>15.8</v>
      </c>
      <c r="AC77" s="1">
        <v>18</v>
      </c>
      <c r="AD77" s="1">
        <v>7</v>
      </c>
      <c r="AE77" s="1">
        <v>9.6</v>
      </c>
      <c r="AF77" s="1">
        <v>13.4</v>
      </c>
      <c r="AG77" s="1"/>
      <c r="AH77" s="1">
        <f t="shared" si="19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15" t="s">
        <v>121</v>
      </c>
      <c r="B78" s="1" t="s">
        <v>42</v>
      </c>
      <c r="C78" s="1">
        <v>98</v>
      </c>
      <c r="D78" s="1">
        <v>32</v>
      </c>
      <c r="E78" s="1">
        <v>29</v>
      </c>
      <c r="F78" s="1">
        <v>37</v>
      </c>
      <c r="G78" s="7">
        <v>0.4</v>
      </c>
      <c r="H78" s="1">
        <v>55</v>
      </c>
      <c r="I78" s="9" t="s">
        <v>40</v>
      </c>
      <c r="J78" s="1"/>
      <c r="K78" s="1">
        <v>31</v>
      </c>
      <c r="L78" s="1">
        <f t="shared" si="14"/>
        <v>-2</v>
      </c>
      <c r="M78" s="1"/>
      <c r="N78" s="1"/>
      <c r="O78" s="1">
        <v>0</v>
      </c>
      <c r="P78" s="1"/>
      <c r="Q78" s="1"/>
      <c r="R78" s="1">
        <v>9.600000000000005</v>
      </c>
      <c r="S78" s="1">
        <f t="shared" si="15"/>
        <v>5.8</v>
      </c>
      <c r="T78" s="5">
        <f t="shared" si="18"/>
        <v>17.199999999999989</v>
      </c>
      <c r="U78" s="1">
        <f t="shared" si="16"/>
        <v>11</v>
      </c>
      <c r="V78" s="1">
        <f t="shared" si="17"/>
        <v>8.0344827586206922</v>
      </c>
      <c r="W78" s="1">
        <v>5.2</v>
      </c>
      <c r="X78" s="1">
        <v>5.8</v>
      </c>
      <c r="Y78" s="1">
        <v>2.2000000000000002</v>
      </c>
      <c r="Z78" s="1">
        <v>6</v>
      </c>
      <c r="AA78" s="1">
        <v>11.6</v>
      </c>
      <c r="AB78" s="1">
        <v>12.4</v>
      </c>
      <c r="AC78" s="1">
        <v>11.4</v>
      </c>
      <c r="AD78" s="1">
        <v>6.2</v>
      </c>
      <c r="AE78" s="1">
        <v>8.4</v>
      </c>
      <c r="AF78" s="1">
        <v>10.6</v>
      </c>
      <c r="AG78" s="1"/>
      <c r="AH78" s="1">
        <f t="shared" si="19"/>
        <v>6.8799999999999955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15" t="s">
        <v>122</v>
      </c>
      <c r="B79" s="1" t="s">
        <v>42</v>
      </c>
      <c r="C79" s="1">
        <v>48</v>
      </c>
      <c r="D79" s="1">
        <v>18</v>
      </c>
      <c r="E79" s="1">
        <v>12</v>
      </c>
      <c r="F79" s="1">
        <v>18</v>
      </c>
      <c r="G79" s="7">
        <v>0.35</v>
      </c>
      <c r="H79" s="1">
        <v>40</v>
      </c>
      <c r="I79" s="9" t="s">
        <v>40</v>
      </c>
      <c r="J79" s="1"/>
      <c r="K79" s="1">
        <v>12</v>
      </c>
      <c r="L79" s="1">
        <f t="shared" si="14"/>
        <v>0</v>
      </c>
      <c r="M79" s="1"/>
      <c r="N79" s="1"/>
      <c r="O79" s="1">
        <v>26</v>
      </c>
      <c r="P79" s="1"/>
      <c r="Q79" s="1"/>
      <c r="R79" s="1">
        <v>0</v>
      </c>
      <c r="S79" s="1">
        <f t="shared" si="15"/>
        <v>2.4</v>
      </c>
      <c r="T79" s="5"/>
      <c r="U79" s="1">
        <f t="shared" si="16"/>
        <v>18.333333333333336</v>
      </c>
      <c r="V79" s="1">
        <f t="shared" si="17"/>
        <v>18.333333333333336</v>
      </c>
      <c r="W79" s="1">
        <v>1</v>
      </c>
      <c r="X79" s="1">
        <v>2.4</v>
      </c>
      <c r="Y79" s="1">
        <v>3.2</v>
      </c>
      <c r="Z79" s="1">
        <v>2</v>
      </c>
      <c r="AA79" s="1">
        <v>1.2</v>
      </c>
      <c r="AB79" s="1">
        <v>0</v>
      </c>
      <c r="AC79" s="1">
        <v>-0.6</v>
      </c>
      <c r="AD79" s="1">
        <v>-0.4</v>
      </c>
      <c r="AE79" s="1">
        <v>3.6</v>
      </c>
      <c r="AF79" s="1">
        <v>4.4000000000000004</v>
      </c>
      <c r="AG79" s="1" t="s">
        <v>123</v>
      </c>
      <c r="AH79" s="1">
        <f t="shared" si="19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" t="s">
        <v>124</v>
      </c>
      <c r="B80" s="1" t="s">
        <v>42</v>
      </c>
      <c r="C80" s="1">
        <v>39</v>
      </c>
      <c r="D80" s="1">
        <v>36</v>
      </c>
      <c r="E80" s="1">
        <v>6</v>
      </c>
      <c r="F80" s="1">
        <v>30</v>
      </c>
      <c r="G80" s="7">
        <v>0.35</v>
      </c>
      <c r="H80" s="1">
        <v>45</v>
      </c>
      <c r="I80" s="1" t="s">
        <v>37</v>
      </c>
      <c r="J80" s="1"/>
      <c r="K80" s="1">
        <v>9</v>
      </c>
      <c r="L80" s="1">
        <f t="shared" si="14"/>
        <v>-3</v>
      </c>
      <c r="M80" s="1"/>
      <c r="N80" s="1"/>
      <c r="O80" s="1">
        <v>0</v>
      </c>
      <c r="P80" s="1"/>
      <c r="Q80" s="1"/>
      <c r="R80" s="1">
        <v>10</v>
      </c>
      <c r="S80" s="1">
        <f t="shared" si="15"/>
        <v>1.2</v>
      </c>
      <c r="T80" s="5"/>
      <c r="U80" s="1">
        <f t="shared" si="16"/>
        <v>33.333333333333336</v>
      </c>
      <c r="V80" s="1">
        <f t="shared" si="17"/>
        <v>33.333333333333336</v>
      </c>
      <c r="W80" s="1">
        <v>1.4</v>
      </c>
      <c r="X80" s="1">
        <v>2.8</v>
      </c>
      <c r="Y80" s="1">
        <v>2.6</v>
      </c>
      <c r="Z80" s="1">
        <v>6.6</v>
      </c>
      <c r="AA80" s="1">
        <v>10.6</v>
      </c>
      <c r="AB80" s="1">
        <v>11</v>
      </c>
      <c r="AC80" s="1">
        <v>11.8</v>
      </c>
      <c r="AD80" s="1">
        <v>10.199999999999999</v>
      </c>
      <c r="AE80" s="1">
        <v>11</v>
      </c>
      <c r="AF80" s="1">
        <v>7</v>
      </c>
      <c r="AG80" s="17" t="s">
        <v>53</v>
      </c>
      <c r="AH80" s="1">
        <f t="shared" si="19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0" t="s">
        <v>125</v>
      </c>
      <c r="B81" s="10" t="s">
        <v>42</v>
      </c>
      <c r="C81" s="10"/>
      <c r="D81" s="10"/>
      <c r="E81" s="10"/>
      <c r="F81" s="10"/>
      <c r="G81" s="11">
        <v>0</v>
      </c>
      <c r="H81" s="10"/>
      <c r="I81" s="10" t="s">
        <v>37</v>
      </c>
      <c r="J81" s="10"/>
      <c r="K81" s="10"/>
      <c r="L81" s="10">
        <f t="shared" si="14"/>
        <v>0</v>
      </c>
      <c r="M81" s="10"/>
      <c r="N81" s="10"/>
      <c r="O81" s="10">
        <v>0</v>
      </c>
      <c r="P81" s="10"/>
      <c r="Q81" s="10"/>
      <c r="R81" s="10">
        <v>0</v>
      </c>
      <c r="S81" s="10">
        <f t="shared" si="15"/>
        <v>0</v>
      </c>
      <c r="T81" s="12"/>
      <c r="U81" s="10" t="e">
        <f t="shared" si="16"/>
        <v>#DIV/0!</v>
      </c>
      <c r="V81" s="10" t="e">
        <f t="shared" si="17"/>
        <v>#DIV/0!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 t="s">
        <v>43</v>
      </c>
      <c r="AH81" s="10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10" t="s">
        <v>126</v>
      </c>
      <c r="B82" s="10" t="s">
        <v>36</v>
      </c>
      <c r="C82" s="10"/>
      <c r="D82" s="10"/>
      <c r="E82" s="10"/>
      <c r="F82" s="10"/>
      <c r="G82" s="11">
        <v>0</v>
      </c>
      <c r="H82" s="10"/>
      <c r="I82" s="10" t="s">
        <v>37</v>
      </c>
      <c r="J82" s="10"/>
      <c r="K82" s="10"/>
      <c r="L82" s="10">
        <f t="shared" si="14"/>
        <v>0</v>
      </c>
      <c r="M82" s="10"/>
      <c r="N82" s="10"/>
      <c r="O82" s="10">
        <v>0</v>
      </c>
      <c r="P82" s="10"/>
      <c r="Q82" s="10"/>
      <c r="R82" s="10">
        <v>0</v>
      </c>
      <c r="S82" s="10">
        <f t="shared" si="15"/>
        <v>0</v>
      </c>
      <c r="T82" s="12"/>
      <c r="U82" s="10" t="e">
        <f t="shared" si="16"/>
        <v>#DIV/0!</v>
      </c>
      <c r="V82" s="10" t="e">
        <f t="shared" si="17"/>
        <v>#DIV/0!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 t="s">
        <v>43</v>
      </c>
      <c r="AH82" s="10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10" t="s">
        <v>127</v>
      </c>
      <c r="B83" s="10" t="s">
        <v>36</v>
      </c>
      <c r="C83" s="10"/>
      <c r="D83" s="10"/>
      <c r="E83" s="10"/>
      <c r="F83" s="10"/>
      <c r="G83" s="11">
        <v>0</v>
      </c>
      <c r="H83" s="10"/>
      <c r="I83" s="10" t="s">
        <v>37</v>
      </c>
      <c r="J83" s="10"/>
      <c r="K83" s="10"/>
      <c r="L83" s="10">
        <f t="shared" si="14"/>
        <v>0</v>
      </c>
      <c r="M83" s="10"/>
      <c r="N83" s="10"/>
      <c r="O83" s="10">
        <v>0</v>
      </c>
      <c r="P83" s="10"/>
      <c r="Q83" s="10"/>
      <c r="R83" s="10">
        <v>0</v>
      </c>
      <c r="S83" s="10">
        <f t="shared" si="15"/>
        <v>0</v>
      </c>
      <c r="T83" s="12"/>
      <c r="U83" s="10" t="e">
        <f t="shared" si="16"/>
        <v>#DIV/0!</v>
      </c>
      <c r="V83" s="10" t="e">
        <f t="shared" si="17"/>
        <v>#DIV/0!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 t="s">
        <v>43</v>
      </c>
      <c r="AH83" s="10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1" t="s">
        <v>128</v>
      </c>
      <c r="B84" s="1" t="s">
        <v>36</v>
      </c>
      <c r="C84" s="1">
        <v>316.476</v>
      </c>
      <c r="D84" s="1">
        <v>102.114</v>
      </c>
      <c r="E84" s="1">
        <v>51.808</v>
      </c>
      <c r="F84" s="1">
        <v>300.38799999999998</v>
      </c>
      <c r="G84" s="7">
        <v>1</v>
      </c>
      <c r="H84" s="1">
        <v>60</v>
      </c>
      <c r="I84" s="1" t="s">
        <v>37</v>
      </c>
      <c r="J84" s="1"/>
      <c r="K84" s="1">
        <v>49.3</v>
      </c>
      <c r="L84" s="1">
        <f t="shared" si="14"/>
        <v>2.5080000000000027</v>
      </c>
      <c r="M84" s="1"/>
      <c r="N84" s="1"/>
      <c r="O84" s="1">
        <v>0</v>
      </c>
      <c r="P84" s="1"/>
      <c r="Q84" s="1"/>
      <c r="R84" s="1">
        <v>0</v>
      </c>
      <c r="S84" s="1">
        <f t="shared" si="15"/>
        <v>10.361599999999999</v>
      </c>
      <c r="T84" s="5"/>
      <c r="U84" s="1">
        <f t="shared" si="16"/>
        <v>28.99050339715874</v>
      </c>
      <c r="V84" s="1">
        <f t="shared" si="17"/>
        <v>28.99050339715874</v>
      </c>
      <c r="W84" s="1">
        <v>8.0372000000000003</v>
      </c>
      <c r="X84" s="1">
        <v>7.5448000000000004</v>
      </c>
      <c r="Y84" s="1">
        <v>9.0503999999999998</v>
      </c>
      <c r="Z84" s="1">
        <v>31.274799999999999</v>
      </c>
      <c r="AA84" s="1">
        <v>38.356999999999999</v>
      </c>
      <c r="AB84" s="1">
        <v>28.520600000000002</v>
      </c>
      <c r="AC84" s="1">
        <v>36.330599999999997</v>
      </c>
      <c r="AD84" s="1">
        <v>35.1526</v>
      </c>
      <c r="AE84" s="1">
        <v>35.555399999999999</v>
      </c>
      <c r="AF84" s="1">
        <v>38.276200000000003</v>
      </c>
      <c r="AG84" s="17" t="s">
        <v>53</v>
      </c>
      <c r="AH84" s="1">
        <f>G84*T84</f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10" t="s">
        <v>129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4"/>
        <v>0</v>
      </c>
      <c r="M85" s="10"/>
      <c r="N85" s="10"/>
      <c r="O85" s="10">
        <v>0</v>
      </c>
      <c r="P85" s="10"/>
      <c r="Q85" s="10"/>
      <c r="R85" s="10">
        <v>0</v>
      </c>
      <c r="S85" s="10">
        <f t="shared" si="15"/>
        <v>0</v>
      </c>
      <c r="T85" s="12"/>
      <c r="U85" s="10" t="e">
        <f t="shared" si="16"/>
        <v>#DIV/0!</v>
      </c>
      <c r="V85" s="10" t="e">
        <f t="shared" si="17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43</v>
      </c>
      <c r="AH85" s="10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1" t="s">
        <v>130</v>
      </c>
      <c r="B86" s="1" t="s">
        <v>36</v>
      </c>
      <c r="C86" s="1">
        <v>2096.7559999999999</v>
      </c>
      <c r="D86" s="1">
        <v>812.80100000000004</v>
      </c>
      <c r="E86" s="1">
        <v>1487.874</v>
      </c>
      <c r="F86" s="1">
        <v>243.09399999999999</v>
      </c>
      <c r="G86" s="7">
        <v>1</v>
      </c>
      <c r="H86" s="1">
        <v>60</v>
      </c>
      <c r="I86" s="1" t="s">
        <v>37</v>
      </c>
      <c r="J86" s="1"/>
      <c r="K86" s="1">
        <v>1487.5650000000001</v>
      </c>
      <c r="L86" s="1">
        <f t="shared" si="14"/>
        <v>0.30899999999996908</v>
      </c>
      <c r="M86" s="1"/>
      <c r="N86" s="1"/>
      <c r="O86" s="1">
        <v>1861.153369399276</v>
      </c>
      <c r="P86" s="1"/>
      <c r="Q86" s="1"/>
      <c r="R86" s="1">
        <v>0</v>
      </c>
      <c r="S86" s="1">
        <f t="shared" si="15"/>
        <v>297.57479999999998</v>
      </c>
      <c r="T86" s="5">
        <f>10.5*S86-R86-Q86-P86-O86-F86</f>
        <v>1020.2880306007237</v>
      </c>
      <c r="U86" s="1">
        <f t="shared" si="16"/>
        <v>10.5</v>
      </c>
      <c r="V86" s="1">
        <f t="shared" si="17"/>
        <v>7.0713224688356551</v>
      </c>
      <c r="W86" s="1">
        <v>91.319400000000002</v>
      </c>
      <c r="X86" s="1">
        <v>153.9624</v>
      </c>
      <c r="Y86" s="1">
        <v>276.22120000000001</v>
      </c>
      <c r="Z86" s="1">
        <v>278.00040000000001</v>
      </c>
      <c r="AA86" s="1">
        <v>350.90559999999999</v>
      </c>
      <c r="AB86" s="1">
        <v>329.9796</v>
      </c>
      <c r="AC86" s="1">
        <v>326.053</v>
      </c>
      <c r="AD86" s="1">
        <v>345.89080000000001</v>
      </c>
      <c r="AE86" s="1">
        <v>302.62</v>
      </c>
      <c r="AF86" s="1">
        <v>310.3272</v>
      </c>
      <c r="AG86" s="1"/>
      <c r="AH86" s="1">
        <f>G86*T86</f>
        <v>1020.2880306007237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1" t="s">
        <v>131</v>
      </c>
      <c r="B87" s="1" t="s">
        <v>36</v>
      </c>
      <c r="C87" s="1">
        <v>2556.0659999999998</v>
      </c>
      <c r="D87" s="1">
        <v>1222.5550000000001</v>
      </c>
      <c r="E87" s="1">
        <v>612.07000000000005</v>
      </c>
      <c r="F87" s="1">
        <v>2031.15</v>
      </c>
      <c r="G87" s="7">
        <v>1</v>
      </c>
      <c r="H87" s="1">
        <v>60</v>
      </c>
      <c r="I87" s="1" t="s">
        <v>37</v>
      </c>
      <c r="J87" s="1"/>
      <c r="K87" s="1">
        <v>615.35500000000002</v>
      </c>
      <c r="L87" s="1">
        <f t="shared" si="14"/>
        <v>-3.2849999999999682</v>
      </c>
      <c r="M87" s="1"/>
      <c r="N87" s="1"/>
      <c r="O87" s="1">
        <v>0</v>
      </c>
      <c r="P87" s="1"/>
      <c r="Q87" s="1"/>
      <c r="R87" s="1">
        <v>0</v>
      </c>
      <c r="S87" s="1">
        <f t="shared" si="15"/>
        <v>122.41400000000002</v>
      </c>
      <c r="T87" s="5"/>
      <c r="U87" s="1">
        <f t="shared" si="16"/>
        <v>16.592464914143807</v>
      </c>
      <c r="V87" s="1">
        <f t="shared" si="17"/>
        <v>16.592464914143807</v>
      </c>
      <c r="W87" s="1">
        <v>130.29400000000001</v>
      </c>
      <c r="X87" s="1">
        <v>144.5746</v>
      </c>
      <c r="Y87" s="1">
        <v>208.70779999999999</v>
      </c>
      <c r="Z87" s="1">
        <v>294.3168</v>
      </c>
      <c r="AA87" s="1">
        <v>304.10160000000002</v>
      </c>
      <c r="AB87" s="1">
        <v>228.40280000000001</v>
      </c>
      <c r="AC87" s="1">
        <v>232.9778</v>
      </c>
      <c r="AD87" s="1">
        <v>248.2516</v>
      </c>
      <c r="AE87" s="1">
        <v>249.66139999999999</v>
      </c>
      <c r="AF87" s="1">
        <v>205.2064</v>
      </c>
      <c r="AG87" s="16" t="s">
        <v>47</v>
      </c>
      <c r="AH87" s="1">
        <f>G87*T87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" t="s">
        <v>132</v>
      </c>
      <c r="B88" s="1" t="s">
        <v>36</v>
      </c>
      <c r="C88" s="1">
        <v>2756.2280000000001</v>
      </c>
      <c r="D88" s="1">
        <v>1076.7850000000001</v>
      </c>
      <c r="E88" s="1">
        <v>1165.8309999999999</v>
      </c>
      <c r="F88" s="1">
        <v>1275.5899999999999</v>
      </c>
      <c r="G88" s="7">
        <v>1</v>
      </c>
      <c r="H88" s="1">
        <v>60</v>
      </c>
      <c r="I88" s="1" t="s">
        <v>37</v>
      </c>
      <c r="J88" s="1"/>
      <c r="K88" s="1">
        <v>1141.3499999999999</v>
      </c>
      <c r="L88" s="1">
        <f t="shared" si="14"/>
        <v>24.480999999999995</v>
      </c>
      <c r="M88" s="1"/>
      <c r="N88" s="1"/>
      <c r="O88" s="1">
        <v>1261.4407476891911</v>
      </c>
      <c r="P88" s="1"/>
      <c r="Q88" s="1">
        <v>450</v>
      </c>
      <c r="R88" s="1">
        <v>0</v>
      </c>
      <c r="S88" s="1">
        <f t="shared" si="15"/>
        <v>233.16619999999998</v>
      </c>
      <c r="T88" s="5"/>
      <c r="U88" s="1">
        <f t="shared" si="16"/>
        <v>12.810736494780082</v>
      </c>
      <c r="V88" s="1">
        <f t="shared" si="17"/>
        <v>12.810736494780082</v>
      </c>
      <c r="W88" s="1">
        <v>201.67420000000001</v>
      </c>
      <c r="X88" s="1">
        <v>259.97320000000002</v>
      </c>
      <c r="Y88" s="1">
        <v>265.08339999999998</v>
      </c>
      <c r="Z88" s="1">
        <v>161.8836</v>
      </c>
      <c r="AA88" s="1">
        <v>16.910799999999998</v>
      </c>
      <c r="AB88" s="1">
        <v>161.07499999999999</v>
      </c>
      <c r="AC88" s="1">
        <v>363.33519999999999</v>
      </c>
      <c r="AD88" s="1">
        <v>362.65</v>
      </c>
      <c r="AE88" s="1">
        <v>268.4776</v>
      </c>
      <c r="AF88" s="1">
        <v>268.70100000000002</v>
      </c>
      <c r="AG88" s="18" t="s">
        <v>181</v>
      </c>
      <c r="AH88" s="1">
        <f>G88*T88</f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10" t="s">
        <v>133</v>
      </c>
      <c r="B89" s="10" t="s">
        <v>36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14"/>
        <v>0</v>
      </c>
      <c r="M89" s="10"/>
      <c r="N89" s="10"/>
      <c r="O89" s="10">
        <v>0</v>
      </c>
      <c r="P89" s="10"/>
      <c r="Q89" s="10"/>
      <c r="R89" s="10">
        <v>0</v>
      </c>
      <c r="S89" s="10">
        <f t="shared" si="15"/>
        <v>0</v>
      </c>
      <c r="T89" s="12"/>
      <c r="U89" s="10" t="e">
        <f t="shared" si="16"/>
        <v>#DIV/0!</v>
      </c>
      <c r="V89" s="10" t="e">
        <f t="shared" si="17"/>
        <v>#DIV/0!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 t="s">
        <v>43</v>
      </c>
      <c r="AH89" s="10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15" t="s">
        <v>134</v>
      </c>
      <c r="B90" s="1" t="s">
        <v>42</v>
      </c>
      <c r="C90" s="1"/>
      <c r="D90" s="1"/>
      <c r="E90" s="1"/>
      <c r="F90" s="1"/>
      <c r="G90" s="7">
        <v>0.3</v>
      </c>
      <c r="H90" s="1">
        <v>40</v>
      </c>
      <c r="I90" s="9" t="s">
        <v>40</v>
      </c>
      <c r="J90" s="1"/>
      <c r="K90" s="1"/>
      <c r="L90" s="1">
        <f t="shared" si="14"/>
        <v>0</v>
      </c>
      <c r="M90" s="1"/>
      <c r="N90" s="1"/>
      <c r="O90" s="1">
        <v>13</v>
      </c>
      <c r="P90" s="1">
        <v>-16.666666666666671</v>
      </c>
      <c r="Q90" s="1"/>
      <c r="R90" s="1">
        <v>20</v>
      </c>
      <c r="S90" s="1">
        <f t="shared" si="15"/>
        <v>0</v>
      </c>
      <c r="T90" s="5">
        <v>10</v>
      </c>
      <c r="U90" s="1" t="e">
        <f t="shared" si="16"/>
        <v>#DIV/0!</v>
      </c>
      <c r="V90" s="1" t="e">
        <f t="shared" si="17"/>
        <v>#DIV/0!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-0.4</v>
      </c>
      <c r="AC90" s="1">
        <v>-1.6</v>
      </c>
      <c r="AD90" s="1">
        <v>-1.8</v>
      </c>
      <c r="AE90" s="1">
        <v>-1</v>
      </c>
      <c r="AF90" s="1">
        <v>-0.8</v>
      </c>
      <c r="AG90" s="1"/>
      <c r="AH90" s="1">
        <f>G90*T90</f>
        <v>3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0" t="s">
        <v>135</v>
      </c>
      <c r="B91" s="10" t="s">
        <v>42</v>
      </c>
      <c r="C91" s="10"/>
      <c r="D91" s="10"/>
      <c r="E91" s="10"/>
      <c r="F91" s="10"/>
      <c r="G91" s="11">
        <v>0</v>
      </c>
      <c r="H91" s="10"/>
      <c r="I91" s="10" t="s">
        <v>37</v>
      </c>
      <c r="J91" s="10"/>
      <c r="K91" s="10"/>
      <c r="L91" s="10">
        <f t="shared" si="14"/>
        <v>0</v>
      </c>
      <c r="M91" s="10"/>
      <c r="N91" s="10"/>
      <c r="O91" s="10">
        <v>0</v>
      </c>
      <c r="P91" s="10"/>
      <c r="Q91" s="10"/>
      <c r="R91" s="10">
        <v>0</v>
      </c>
      <c r="S91" s="10">
        <f t="shared" si="15"/>
        <v>0</v>
      </c>
      <c r="T91" s="12"/>
      <c r="U91" s="10" t="e">
        <f t="shared" si="16"/>
        <v>#DIV/0!</v>
      </c>
      <c r="V91" s="10" t="e">
        <f t="shared" si="17"/>
        <v>#DIV/0!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 t="s">
        <v>43</v>
      </c>
      <c r="AH91" s="10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15" t="s">
        <v>136</v>
      </c>
      <c r="B92" s="1" t="s">
        <v>42</v>
      </c>
      <c r="C92" s="1">
        <v>18</v>
      </c>
      <c r="D92" s="1">
        <v>18</v>
      </c>
      <c r="E92" s="1"/>
      <c r="F92" s="1"/>
      <c r="G92" s="7">
        <v>7.0000000000000007E-2</v>
      </c>
      <c r="H92" s="1">
        <v>90</v>
      </c>
      <c r="I92" s="9" t="s">
        <v>40</v>
      </c>
      <c r="J92" s="1"/>
      <c r="K92" s="1">
        <v>5</v>
      </c>
      <c r="L92" s="1">
        <f t="shared" si="14"/>
        <v>-5</v>
      </c>
      <c r="M92" s="1"/>
      <c r="N92" s="1"/>
      <c r="O92" s="1">
        <v>171.00687500000001</v>
      </c>
      <c r="P92" s="1">
        <v>-185.71428571428569</v>
      </c>
      <c r="Q92" s="1"/>
      <c r="R92" s="1">
        <v>20</v>
      </c>
      <c r="S92" s="1">
        <f t="shared" si="15"/>
        <v>0</v>
      </c>
      <c r="T92" s="5">
        <v>50</v>
      </c>
      <c r="U92" s="1" t="e">
        <f t="shared" si="16"/>
        <v>#DIV/0!</v>
      </c>
      <c r="V92" s="1" t="e">
        <f t="shared" si="17"/>
        <v>#DIV/0!</v>
      </c>
      <c r="W92" s="1">
        <v>0.8</v>
      </c>
      <c r="X92" s="1">
        <v>8.6</v>
      </c>
      <c r="Y92" s="1">
        <v>13.6</v>
      </c>
      <c r="Z92" s="1">
        <v>5.8</v>
      </c>
      <c r="AA92" s="1">
        <v>0</v>
      </c>
      <c r="AB92" s="1">
        <v>0</v>
      </c>
      <c r="AC92" s="1">
        <v>6.8</v>
      </c>
      <c r="AD92" s="1">
        <v>10.199999999999999</v>
      </c>
      <c r="AE92" s="1">
        <v>7.8</v>
      </c>
      <c r="AF92" s="1">
        <v>10.6</v>
      </c>
      <c r="AG92" s="1"/>
      <c r="AH92" s="1">
        <f>G92*T92</f>
        <v>3.5000000000000004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15" t="s">
        <v>137</v>
      </c>
      <c r="B93" s="1" t="s">
        <v>42</v>
      </c>
      <c r="C93" s="1">
        <v>43</v>
      </c>
      <c r="D93" s="1">
        <v>1</v>
      </c>
      <c r="E93" s="1">
        <v>51</v>
      </c>
      <c r="F93" s="1">
        <v>-8</v>
      </c>
      <c r="G93" s="7">
        <v>7.0000000000000007E-2</v>
      </c>
      <c r="H93" s="1">
        <v>90</v>
      </c>
      <c r="I93" s="9" t="s">
        <v>40</v>
      </c>
      <c r="J93" s="1"/>
      <c r="K93" s="1">
        <v>53</v>
      </c>
      <c r="L93" s="1">
        <f t="shared" si="14"/>
        <v>-2</v>
      </c>
      <c r="M93" s="1"/>
      <c r="N93" s="1"/>
      <c r="O93" s="1">
        <v>51.582790697674383</v>
      </c>
      <c r="P93" s="1">
        <v>-71.428571428571416</v>
      </c>
      <c r="Q93" s="1"/>
      <c r="R93" s="1">
        <v>70</v>
      </c>
      <c r="S93" s="1">
        <f t="shared" si="15"/>
        <v>10.199999999999999</v>
      </c>
      <c r="T93" s="5">
        <v>30</v>
      </c>
      <c r="U93" s="1">
        <f t="shared" si="16"/>
        <v>7.0739430655983302</v>
      </c>
      <c r="V93" s="1">
        <f t="shared" si="17"/>
        <v>4.1327665950100947</v>
      </c>
      <c r="W93" s="1">
        <v>13</v>
      </c>
      <c r="X93" s="1">
        <v>15.6</v>
      </c>
      <c r="Y93" s="1">
        <v>11.2</v>
      </c>
      <c r="Z93" s="1">
        <v>5.8</v>
      </c>
      <c r="AA93" s="1">
        <v>8.4</v>
      </c>
      <c r="AB93" s="1">
        <v>15.2</v>
      </c>
      <c r="AC93" s="1">
        <v>24.6</v>
      </c>
      <c r="AD93" s="1">
        <v>21.6</v>
      </c>
      <c r="AE93" s="1">
        <v>6</v>
      </c>
      <c r="AF93" s="1">
        <v>1.4</v>
      </c>
      <c r="AG93" s="1"/>
      <c r="AH93" s="1">
        <f>G93*T93</f>
        <v>2.1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" t="s">
        <v>138</v>
      </c>
      <c r="B94" s="1" t="s">
        <v>42</v>
      </c>
      <c r="C94" s="1">
        <v>185</v>
      </c>
      <c r="D94" s="1">
        <v>90</v>
      </c>
      <c r="E94" s="1">
        <v>55</v>
      </c>
      <c r="F94" s="1">
        <v>130</v>
      </c>
      <c r="G94" s="7">
        <v>7.0000000000000007E-2</v>
      </c>
      <c r="H94" s="1">
        <v>90</v>
      </c>
      <c r="I94" s="1" t="s">
        <v>37</v>
      </c>
      <c r="J94" s="1"/>
      <c r="K94" s="1">
        <v>55</v>
      </c>
      <c r="L94" s="1">
        <f t="shared" si="14"/>
        <v>0</v>
      </c>
      <c r="M94" s="1"/>
      <c r="N94" s="1"/>
      <c r="O94" s="1">
        <v>0</v>
      </c>
      <c r="P94" s="1"/>
      <c r="Q94" s="1"/>
      <c r="R94" s="1">
        <v>0</v>
      </c>
      <c r="S94" s="1">
        <f t="shared" si="15"/>
        <v>11</v>
      </c>
      <c r="T94" s="5"/>
      <c r="U94" s="1">
        <f t="shared" si="16"/>
        <v>11.818181818181818</v>
      </c>
      <c r="V94" s="1">
        <f t="shared" si="17"/>
        <v>11.818181818181818</v>
      </c>
      <c r="W94" s="1">
        <v>8.1999999999999993</v>
      </c>
      <c r="X94" s="1">
        <v>12.4</v>
      </c>
      <c r="Y94" s="1">
        <v>14.2</v>
      </c>
      <c r="Z94" s="1">
        <v>13.4</v>
      </c>
      <c r="AA94" s="1">
        <v>12.6</v>
      </c>
      <c r="AB94" s="1">
        <v>15</v>
      </c>
      <c r="AC94" s="1">
        <v>27</v>
      </c>
      <c r="AD94" s="1">
        <v>21.8</v>
      </c>
      <c r="AE94" s="1">
        <v>19.8</v>
      </c>
      <c r="AF94" s="1">
        <v>22</v>
      </c>
      <c r="AG94" s="1"/>
      <c r="AH94" s="1">
        <f>G94*T94</f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1" t="s">
        <v>139</v>
      </c>
      <c r="B95" s="1" t="s">
        <v>42</v>
      </c>
      <c r="C95" s="1">
        <v>37</v>
      </c>
      <c r="D95" s="1">
        <v>12</v>
      </c>
      <c r="E95" s="1">
        <v>17</v>
      </c>
      <c r="F95" s="1">
        <v>18</v>
      </c>
      <c r="G95" s="7">
        <v>0.3</v>
      </c>
      <c r="H95" s="1"/>
      <c r="I95" s="1" t="s">
        <v>37</v>
      </c>
      <c r="J95" s="1"/>
      <c r="K95" s="1">
        <v>19</v>
      </c>
      <c r="L95" s="1">
        <f t="shared" si="14"/>
        <v>-2</v>
      </c>
      <c r="M95" s="1"/>
      <c r="N95" s="1"/>
      <c r="O95" s="1">
        <v>0</v>
      </c>
      <c r="P95" s="1"/>
      <c r="Q95" s="1"/>
      <c r="R95" s="1">
        <v>60.400000000000013</v>
      </c>
      <c r="S95" s="1">
        <f t="shared" si="15"/>
        <v>3.4</v>
      </c>
      <c r="T95" s="5"/>
      <c r="U95" s="1">
        <f t="shared" si="16"/>
        <v>23.058823529411768</v>
      </c>
      <c r="V95" s="1">
        <f t="shared" si="17"/>
        <v>23.058823529411768</v>
      </c>
      <c r="W95" s="1">
        <v>7.4</v>
      </c>
      <c r="X95" s="1">
        <v>8</v>
      </c>
      <c r="Y95" s="1">
        <v>3.2</v>
      </c>
      <c r="Z95" s="1">
        <v>0</v>
      </c>
      <c r="AA95" s="1">
        <v>0.8</v>
      </c>
      <c r="AB95" s="1">
        <v>12.6</v>
      </c>
      <c r="AC95" s="1">
        <v>15.8</v>
      </c>
      <c r="AD95" s="1">
        <v>4</v>
      </c>
      <c r="AE95" s="1">
        <v>0</v>
      </c>
      <c r="AF95" s="1">
        <v>0</v>
      </c>
      <c r="AG95" s="1"/>
      <c r="AH95" s="1">
        <f>G95*T95</f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15" t="s">
        <v>140</v>
      </c>
      <c r="B96" s="1" t="s">
        <v>36</v>
      </c>
      <c r="C96" s="1"/>
      <c r="D96" s="1"/>
      <c r="E96" s="1"/>
      <c r="F96" s="14">
        <f>0+F122</f>
        <v>17.875</v>
      </c>
      <c r="G96" s="7">
        <v>1</v>
      </c>
      <c r="H96" s="1">
        <v>55</v>
      </c>
      <c r="I96" s="1" t="s">
        <v>37</v>
      </c>
      <c r="J96" s="1"/>
      <c r="K96" s="1"/>
      <c r="L96" s="1">
        <f t="shared" si="14"/>
        <v>0</v>
      </c>
      <c r="M96" s="1"/>
      <c r="N96" s="1"/>
      <c r="O96" s="1">
        <v>5.2</v>
      </c>
      <c r="P96" s="1"/>
      <c r="Q96" s="1"/>
      <c r="R96" s="1">
        <v>0</v>
      </c>
      <c r="S96" s="1">
        <f t="shared" si="15"/>
        <v>0</v>
      </c>
      <c r="T96" s="5"/>
      <c r="U96" s="1" t="e">
        <f t="shared" si="16"/>
        <v>#DIV/0!</v>
      </c>
      <c r="V96" s="1" t="e">
        <f t="shared" si="17"/>
        <v>#DIV/0!</v>
      </c>
      <c r="W96" s="1">
        <v>0</v>
      </c>
      <c r="X96" s="1">
        <v>0</v>
      </c>
      <c r="Y96" s="1">
        <v>0</v>
      </c>
      <c r="Z96" s="1">
        <v>-0.318</v>
      </c>
      <c r="AA96" s="1">
        <v>-0.318</v>
      </c>
      <c r="AB96" s="1">
        <v>1.2194</v>
      </c>
      <c r="AC96" s="1">
        <v>2.0341999999999998</v>
      </c>
      <c r="AD96" s="1">
        <v>0.81479999999999997</v>
      </c>
      <c r="AE96" s="1">
        <v>0.20419999999999999</v>
      </c>
      <c r="AF96" s="1">
        <v>0.2034</v>
      </c>
      <c r="AG96" s="13" t="s">
        <v>182</v>
      </c>
      <c r="AH96" s="1">
        <f>G96*T96</f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10" t="s">
        <v>141</v>
      </c>
      <c r="B97" s="10" t="s">
        <v>42</v>
      </c>
      <c r="C97" s="10">
        <v>43</v>
      </c>
      <c r="D97" s="10"/>
      <c r="E97" s="10">
        <v>-7</v>
      </c>
      <c r="F97" s="10">
        <v>31</v>
      </c>
      <c r="G97" s="11">
        <v>0</v>
      </c>
      <c r="H97" s="10">
        <v>30</v>
      </c>
      <c r="I97" s="10" t="s">
        <v>37</v>
      </c>
      <c r="J97" s="10"/>
      <c r="K97" s="10">
        <v>11</v>
      </c>
      <c r="L97" s="10">
        <f t="shared" si="14"/>
        <v>-18</v>
      </c>
      <c r="M97" s="10"/>
      <c r="N97" s="10"/>
      <c r="O97" s="10">
        <v>0</v>
      </c>
      <c r="P97" s="10"/>
      <c r="Q97" s="10"/>
      <c r="R97" s="10">
        <v>0</v>
      </c>
      <c r="S97" s="10">
        <f t="shared" si="15"/>
        <v>-1.4</v>
      </c>
      <c r="T97" s="12"/>
      <c r="U97" s="10">
        <f t="shared" si="16"/>
        <v>-22.142857142857146</v>
      </c>
      <c r="V97" s="10">
        <f t="shared" si="17"/>
        <v>-22.142857142857146</v>
      </c>
      <c r="W97" s="10">
        <v>11.2</v>
      </c>
      <c r="X97" s="10">
        <v>10</v>
      </c>
      <c r="Y97" s="10">
        <v>0</v>
      </c>
      <c r="Z97" s="10">
        <v>1</v>
      </c>
      <c r="AA97" s="10">
        <v>1.4</v>
      </c>
      <c r="AB97" s="10">
        <v>0.4</v>
      </c>
      <c r="AC97" s="10">
        <v>11</v>
      </c>
      <c r="AD97" s="10">
        <v>1.4</v>
      </c>
      <c r="AE97" s="10">
        <v>3.2</v>
      </c>
      <c r="AF97" s="10">
        <v>3.6</v>
      </c>
      <c r="AG97" s="13" t="s">
        <v>142</v>
      </c>
      <c r="AH97" s="10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0" t="s">
        <v>143</v>
      </c>
      <c r="B98" s="10" t="s">
        <v>42</v>
      </c>
      <c r="C98" s="10"/>
      <c r="D98" s="10"/>
      <c r="E98" s="10"/>
      <c r="F98" s="10"/>
      <c r="G98" s="11">
        <v>0</v>
      </c>
      <c r="H98" s="10"/>
      <c r="I98" s="10" t="s">
        <v>37</v>
      </c>
      <c r="J98" s="10"/>
      <c r="K98" s="10"/>
      <c r="L98" s="10">
        <f t="shared" si="14"/>
        <v>0</v>
      </c>
      <c r="M98" s="10"/>
      <c r="N98" s="10"/>
      <c r="O98" s="10">
        <v>0</v>
      </c>
      <c r="P98" s="10"/>
      <c r="Q98" s="10"/>
      <c r="R98" s="10">
        <v>0</v>
      </c>
      <c r="S98" s="10">
        <f t="shared" si="15"/>
        <v>0</v>
      </c>
      <c r="T98" s="12"/>
      <c r="U98" s="10" t="e">
        <f t="shared" si="16"/>
        <v>#DIV/0!</v>
      </c>
      <c r="V98" s="10" t="e">
        <f t="shared" si="17"/>
        <v>#DIV/0!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 t="s">
        <v>144</v>
      </c>
      <c r="AH98" s="10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1" t="s">
        <v>145</v>
      </c>
      <c r="B99" s="1" t="s">
        <v>42</v>
      </c>
      <c r="C99" s="1">
        <v>164</v>
      </c>
      <c r="D99" s="1">
        <v>80</v>
      </c>
      <c r="E99" s="1">
        <v>75</v>
      </c>
      <c r="F99" s="1">
        <v>129</v>
      </c>
      <c r="G99" s="7">
        <v>0.08</v>
      </c>
      <c r="H99" s="1">
        <v>45</v>
      </c>
      <c r="I99" s="1" t="s">
        <v>37</v>
      </c>
      <c r="J99" s="1"/>
      <c r="K99" s="1">
        <v>75</v>
      </c>
      <c r="L99" s="1">
        <f t="shared" si="14"/>
        <v>0</v>
      </c>
      <c r="M99" s="1"/>
      <c r="N99" s="1"/>
      <c r="O99" s="1">
        <v>0</v>
      </c>
      <c r="P99" s="1"/>
      <c r="Q99" s="1"/>
      <c r="R99" s="1">
        <v>0</v>
      </c>
      <c r="S99" s="1">
        <f t="shared" si="15"/>
        <v>15</v>
      </c>
      <c r="T99" s="5">
        <f t="shared" ref="T99:T100" si="20">11*S99-R99-Q99-P99-O99-F99</f>
        <v>36</v>
      </c>
      <c r="U99" s="1">
        <f t="shared" si="16"/>
        <v>11</v>
      </c>
      <c r="V99" s="1">
        <f t="shared" si="17"/>
        <v>8.6</v>
      </c>
      <c r="W99" s="1">
        <v>8.8000000000000007</v>
      </c>
      <c r="X99" s="1">
        <v>11.4</v>
      </c>
      <c r="Y99" s="1">
        <v>13</v>
      </c>
      <c r="Z99" s="1">
        <v>21.6</v>
      </c>
      <c r="AA99" s="1">
        <v>22.8</v>
      </c>
      <c r="AB99" s="1">
        <v>18</v>
      </c>
      <c r="AC99" s="1">
        <v>24.4</v>
      </c>
      <c r="AD99" s="1">
        <v>21.8</v>
      </c>
      <c r="AE99" s="1">
        <v>22.4</v>
      </c>
      <c r="AF99" s="1">
        <v>19.399999999999999</v>
      </c>
      <c r="AG99" s="1"/>
      <c r="AH99" s="1">
        <f>G99*T99</f>
        <v>2.88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1" t="s">
        <v>146</v>
      </c>
      <c r="B100" s="1" t="s">
        <v>42</v>
      </c>
      <c r="C100" s="1">
        <v>121</v>
      </c>
      <c r="D100" s="1">
        <v>61</v>
      </c>
      <c r="E100" s="1">
        <v>49</v>
      </c>
      <c r="F100" s="1">
        <v>52</v>
      </c>
      <c r="G100" s="7">
        <v>0.08</v>
      </c>
      <c r="H100" s="1">
        <v>45</v>
      </c>
      <c r="I100" s="1" t="s">
        <v>37</v>
      </c>
      <c r="J100" s="1"/>
      <c r="K100" s="1">
        <v>50</v>
      </c>
      <c r="L100" s="1">
        <f t="shared" si="14"/>
        <v>-1</v>
      </c>
      <c r="M100" s="1"/>
      <c r="N100" s="1"/>
      <c r="O100" s="1">
        <v>25.224316109422482</v>
      </c>
      <c r="P100" s="1"/>
      <c r="Q100" s="1"/>
      <c r="R100" s="1">
        <v>0</v>
      </c>
      <c r="S100" s="1">
        <f t="shared" si="15"/>
        <v>9.8000000000000007</v>
      </c>
      <c r="T100" s="5">
        <f t="shared" si="20"/>
        <v>30.575683890577523</v>
      </c>
      <c r="U100" s="1">
        <f t="shared" si="16"/>
        <v>11</v>
      </c>
      <c r="V100" s="1">
        <f t="shared" si="17"/>
        <v>7.8800322560635188</v>
      </c>
      <c r="W100" s="1">
        <v>7.4</v>
      </c>
      <c r="X100" s="1">
        <v>10.6</v>
      </c>
      <c r="Y100" s="1">
        <v>9.8000000000000007</v>
      </c>
      <c r="Z100" s="1">
        <v>16.600000000000001</v>
      </c>
      <c r="AA100" s="1">
        <v>17.600000000000001</v>
      </c>
      <c r="AB100" s="1">
        <v>11.2</v>
      </c>
      <c r="AC100" s="1">
        <v>18</v>
      </c>
      <c r="AD100" s="1">
        <v>19</v>
      </c>
      <c r="AE100" s="1">
        <v>18</v>
      </c>
      <c r="AF100" s="1">
        <v>15.6</v>
      </c>
      <c r="AG100" s="1"/>
      <c r="AH100" s="1">
        <f>G100*T100</f>
        <v>2.4460547112462017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10" t="s">
        <v>147</v>
      </c>
      <c r="B101" s="10" t="s">
        <v>42</v>
      </c>
      <c r="C101" s="10">
        <v>32</v>
      </c>
      <c r="D101" s="10">
        <v>24</v>
      </c>
      <c r="E101" s="10">
        <v>20</v>
      </c>
      <c r="F101" s="10">
        <v>11</v>
      </c>
      <c r="G101" s="11">
        <v>0</v>
      </c>
      <c r="H101" s="10">
        <v>30</v>
      </c>
      <c r="I101" s="10" t="s">
        <v>40</v>
      </c>
      <c r="J101" s="10"/>
      <c r="K101" s="10">
        <v>16</v>
      </c>
      <c r="L101" s="10">
        <f t="shared" si="14"/>
        <v>4</v>
      </c>
      <c r="M101" s="10"/>
      <c r="N101" s="10"/>
      <c r="O101" s="10">
        <v>0</v>
      </c>
      <c r="P101" s="10"/>
      <c r="Q101" s="10"/>
      <c r="R101" s="10">
        <v>0</v>
      </c>
      <c r="S101" s="10">
        <f t="shared" si="15"/>
        <v>4</v>
      </c>
      <c r="T101" s="12"/>
      <c r="U101" s="10">
        <f t="shared" si="16"/>
        <v>2.75</v>
      </c>
      <c r="V101" s="10">
        <f t="shared" si="17"/>
        <v>2.75</v>
      </c>
      <c r="W101" s="10">
        <v>1.4</v>
      </c>
      <c r="X101" s="10">
        <v>0</v>
      </c>
      <c r="Y101" s="10">
        <v>0</v>
      </c>
      <c r="Z101" s="10">
        <v>0</v>
      </c>
      <c r="AA101" s="10">
        <v>0.2</v>
      </c>
      <c r="AB101" s="10">
        <v>0.2</v>
      </c>
      <c r="AC101" s="10">
        <v>1</v>
      </c>
      <c r="AD101" s="10">
        <v>1</v>
      </c>
      <c r="AE101" s="10">
        <v>1.4</v>
      </c>
      <c r="AF101" s="10">
        <v>1.2</v>
      </c>
      <c r="AG101" s="10" t="s">
        <v>148</v>
      </c>
      <c r="AH101" s="10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15" t="s">
        <v>149</v>
      </c>
      <c r="B102" s="1" t="s">
        <v>36</v>
      </c>
      <c r="C102" s="1">
        <v>-0.72399999999999998</v>
      </c>
      <c r="D102" s="1">
        <v>90.867999999999995</v>
      </c>
      <c r="E102" s="1">
        <v>66.471000000000004</v>
      </c>
      <c r="F102" s="1">
        <v>-1.579</v>
      </c>
      <c r="G102" s="7">
        <v>1</v>
      </c>
      <c r="H102" s="1">
        <v>40</v>
      </c>
      <c r="I102" s="9" t="s">
        <v>40</v>
      </c>
      <c r="J102" s="1"/>
      <c r="K102" s="1">
        <v>88</v>
      </c>
      <c r="L102" s="1">
        <f t="shared" ref="L102:L128" si="21">E102-K102</f>
        <v>-21.528999999999996</v>
      </c>
      <c r="M102" s="1"/>
      <c r="N102" s="1"/>
      <c r="O102" s="1">
        <v>156</v>
      </c>
      <c r="P102" s="1"/>
      <c r="Q102" s="1"/>
      <c r="R102" s="1">
        <v>250</v>
      </c>
      <c r="S102" s="1">
        <f t="shared" ref="S102:S128" si="22">E102/5</f>
        <v>13.2942</v>
      </c>
      <c r="T102" s="5"/>
      <c r="U102" s="1">
        <f t="shared" ref="U102:U128" si="23">(F102+O102+P102+Q102+R102+T102)/S102</f>
        <v>30.420860224759668</v>
      </c>
      <c r="V102" s="1">
        <f t="shared" ref="V102:V128" si="24">(F102+O102+P102+Q102+R102)/S102</f>
        <v>30.420860224759668</v>
      </c>
      <c r="W102" s="1">
        <v>5.4349999999999996</v>
      </c>
      <c r="X102" s="1">
        <v>20.235800000000001</v>
      </c>
      <c r="Y102" s="1">
        <v>19.062200000000001</v>
      </c>
      <c r="Z102" s="1">
        <v>4.2573999999999996</v>
      </c>
      <c r="AA102" s="1">
        <v>0.29620000000000002</v>
      </c>
      <c r="AB102" s="1">
        <v>12.997</v>
      </c>
      <c r="AC102" s="1">
        <v>22.168800000000001</v>
      </c>
      <c r="AD102" s="1">
        <v>13.851800000000001</v>
      </c>
      <c r="AE102" s="1">
        <v>7.4358000000000004</v>
      </c>
      <c r="AF102" s="1">
        <v>1.85</v>
      </c>
      <c r="AG102" s="1"/>
      <c r="AH102" s="1">
        <f>G102*T102</f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15" t="s">
        <v>150</v>
      </c>
      <c r="B103" s="1" t="s">
        <v>36</v>
      </c>
      <c r="C103" s="1">
        <v>252.333</v>
      </c>
      <c r="D103" s="1">
        <v>61.933999999999997</v>
      </c>
      <c r="E103" s="1">
        <v>61.106999999999999</v>
      </c>
      <c r="F103" s="1">
        <v>-0.51100000000000001</v>
      </c>
      <c r="G103" s="7">
        <v>1</v>
      </c>
      <c r="H103" s="1">
        <v>40</v>
      </c>
      <c r="I103" s="9" t="s">
        <v>40</v>
      </c>
      <c r="J103" s="1"/>
      <c r="K103" s="1">
        <v>85.9</v>
      </c>
      <c r="L103" s="1">
        <f t="shared" si="21"/>
        <v>-24.793000000000006</v>
      </c>
      <c r="M103" s="1"/>
      <c r="N103" s="1"/>
      <c r="O103" s="1">
        <v>91</v>
      </c>
      <c r="P103" s="1"/>
      <c r="Q103" s="1"/>
      <c r="R103" s="1">
        <v>250</v>
      </c>
      <c r="S103" s="1">
        <f t="shared" si="22"/>
        <v>12.221399999999999</v>
      </c>
      <c r="T103" s="5"/>
      <c r="U103" s="1">
        <f t="shared" si="23"/>
        <v>27.860065131654316</v>
      </c>
      <c r="V103" s="1">
        <f t="shared" si="24"/>
        <v>27.860065131654316</v>
      </c>
      <c r="W103" s="1">
        <v>-0.29299999999999998</v>
      </c>
      <c r="X103" s="1">
        <v>-0.1474</v>
      </c>
      <c r="Y103" s="1">
        <v>10.8888</v>
      </c>
      <c r="Z103" s="1">
        <v>13.965199999999999</v>
      </c>
      <c r="AA103" s="1">
        <v>19.686800000000002</v>
      </c>
      <c r="AB103" s="1">
        <v>16.466799999999999</v>
      </c>
      <c r="AC103" s="1">
        <v>7.055200000000001</v>
      </c>
      <c r="AD103" s="1">
        <v>12.9968</v>
      </c>
      <c r="AE103" s="1">
        <v>8.9847999999999999</v>
      </c>
      <c r="AF103" s="1">
        <v>1.7248000000000001</v>
      </c>
      <c r="AG103" s="1"/>
      <c r="AH103" s="1">
        <f>G103*T103</f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1" t="s">
        <v>151</v>
      </c>
      <c r="B104" s="1" t="s">
        <v>36</v>
      </c>
      <c r="C104" s="1"/>
      <c r="D104" s="1">
        <v>57.219000000000001</v>
      </c>
      <c r="E104" s="1">
        <v>56.566000000000003</v>
      </c>
      <c r="F104" s="1">
        <v>-7.6999999999999999E-2</v>
      </c>
      <c r="G104" s="7">
        <v>1</v>
      </c>
      <c r="H104" s="1">
        <v>40</v>
      </c>
      <c r="I104" s="1" t="s">
        <v>37</v>
      </c>
      <c r="J104" s="1"/>
      <c r="K104" s="1">
        <v>89.2</v>
      </c>
      <c r="L104" s="1">
        <f t="shared" si="21"/>
        <v>-32.634</v>
      </c>
      <c r="M104" s="1"/>
      <c r="N104" s="1"/>
      <c r="O104" s="1">
        <v>39</v>
      </c>
      <c r="P104" s="1"/>
      <c r="Q104" s="1"/>
      <c r="R104" s="1">
        <v>50</v>
      </c>
      <c r="S104" s="1">
        <f t="shared" si="22"/>
        <v>11.3132</v>
      </c>
      <c r="T104" s="5">
        <f t="shared" ref="T102:T104" si="25">11*S104-R104-Q104-P104-O104-F104</f>
        <v>35.522199999999998</v>
      </c>
      <c r="U104" s="1">
        <f t="shared" si="23"/>
        <v>11</v>
      </c>
      <c r="V104" s="1">
        <f t="shared" si="24"/>
        <v>7.8601103136159534</v>
      </c>
      <c r="W104" s="1">
        <v>0</v>
      </c>
      <c r="X104" s="1">
        <v>-0.14399999999999999</v>
      </c>
      <c r="Y104" s="1">
        <v>-0.14399999999999999</v>
      </c>
      <c r="Z104" s="1">
        <v>-0.28499999999999998</v>
      </c>
      <c r="AA104" s="1">
        <v>-0.71140000000000003</v>
      </c>
      <c r="AB104" s="1">
        <v>-0.71239999999999992</v>
      </c>
      <c r="AC104" s="1">
        <v>-0.42520000000000002</v>
      </c>
      <c r="AD104" s="1">
        <v>-0.4284</v>
      </c>
      <c r="AE104" s="1">
        <v>2.9601999999999999</v>
      </c>
      <c r="AF104" s="1">
        <v>5.3917999999999999</v>
      </c>
      <c r="AG104" s="1"/>
      <c r="AH104" s="1">
        <f>G104*T104</f>
        <v>35.522199999999998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10" t="s">
        <v>152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21"/>
        <v>0</v>
      </c>
      <c r="M105" s="10"/>
      <c r="N105" s="10"/>
      <c r="O105" s="10">
        <v>0</v>
      </c>
      <c r="P105" s="10"/>
      <c r="Q105" s="10"/>
      <c r="R105" s="10">
        <v>0</v>
      </c>
      <c r="S105" s="10">
        <f t="shared" si="22"/>
        <v>0</v>
      </c>
      <c r="T105" s="12"/>
      <c r="U105" s="10" t="e">
        <f t="shared" si="23"/>
        <v>#DIV/0!</v>
      </c>
      <c r="V105" s="10" t="e">
        <f t="shared" si="24"/>
        <v>#DIV/0!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 t="s">
        <v>43</v>
      </c>
      <c r="AH105" s="10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0" t="s">
        <v>153</v>
      </c>
      <c r="B106" s="10" t="s">
        <v>36</v>
      </c>
      <c r="C106" s="10"/>
      <c r="D106" s="10"/>
      <c r="E106" s="10"/>
      <c r="F106" s="10"/>
      <c r="G106" s="11">
        <v>0</v>
      </c>
      <c r="H106" s="10"/>
      <c r="I106" s="10" t="s">
        <v>40</v>
      </c>
      <c r="J106" s="10"/>
      <c r="K106" s="10"/>
      <c r="L106" s="10">
        <f t="shared" si="21"/>
        <v>0</v>
      </c>
      <c r="M106" s="10"/>
      <c r="N106" s="10"/>
      <c r="O106" s="10">
        <v>0</v>
      </c>
      <c r="P106" s="10"/>
      <c r="Q106" s="10"/>
      <c r="R106" s="10">
        <v>0</v>
      </c>
      <c r="S106" s="10">
        <f t="shared" si="22"/>
        <v>0</v>
      </c>
      <c r="T106" s="12"/>
      <c r="U106" s="10" t="e">
        <f t="shared" si="23"/>
        <v>#DIV/0!</v>
      </c>
      <c r="V106" s="10" t="e">
        <f t="shared" si="24"/>
        <v>#DIV/0!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 t="s">
        <v>43</v>
      </c>
      <c r="AH106" s="10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15" t="s">
        <v>154</v>
      </c>
      <c r="B107" s="1" t="s">
        <v>42</v>
      </c>
      <c r="C107" s="1"/>
      <c r="D107" s="1">
        <v>144</v>
      </c>
      <c r="E107" s="1">
        <v>63</v>
      </c>
      <c r="F107" s="1"/>
      <c r="G107" s="7">
        <v>0.28000000000000003</v>
      </c>
      <c r="H107" s="1">
        <v>40</v>
      </c>
      <c r="I107" s="9" t="s">
        <v>40</v>
      </c>
      <c r="J107" s="1"/>
      <c r="K107" s="1">
        <v>80</v>
      </c>
      <c r="L107" s="1">
        <f t="shared" si="21"/>
        <v>-17</v>
      </c>
      <c r="M107" s="1"/>
      <c r="N107" s="1"/>
      <c r="O107" s="1">
        <v>104</v>
      </c>
      <c r="P107" s="1">
        <v>-107.1428571428571</v>
      </c>
      <c r="Q107" s="1"/>
      <c r="R107" s="1">
        <v>250</v>
      </c>
      <c r="S107" s="1">
        <f t="shared" si="22"/>
        <v>12.6</v>
      </c>
      <c r="T107" s="5">
        <v>50</v>
      </c>
      <c r="U107" s="1">
        <f t="shared" si="23"/>
        <v>23.56009070294785</v>
      </c>
      <c r="V107" s="1">
        <f t="shared" si="24"/>
        <v>19.591836734693882</v>
      </c>
      <c r="W107" s="1">
        <v>-0.2</v>
      </c>
      <c r="X107" s="1">
        <v>-0.2</v>
      </c>
      <c r="Y107" s="1">
        <v>11</v>
      </c>
      <c r="Z107" s="1">
        <v>10.8</v>
      </c>
      <c r="AA107" s="1">
        <v>0.2</v>
      </c>
      <c r="AB107" s="1">
        <v>13.2</v>
      </c>
      <c r="AC107" s="1">
        <v>23.2</v>
      </c>
      <c r="AD107" s="1">
        <v>17.8</v>
      </c>
      <c r="AE107" s="1">
        <v>7.4</v>
      </c>
      <c r="AF107" s="1">
        <v>-2</v>
      </c>
      <c r="AG107" s="1"/>
      <c r="AH107" s="1">
        <f t="shared" ref="AH107:AH121" si="26">G107*T107</f>
        <v>14.000000000000002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15" t="s">
        <v>155</v>
      </c>
      <c r="B108" s="1" t="s">
        <v>42</v>
      </c>
      <c r="C108" s="1">
        <v>266</v>
      </c>
      <c r="D108" s="1">
        <v>17</v>
      </c>
      <c r="E108" s="1">
        <v>8</v>
      </c>
      <c r="F108" s="1">
        <v>2</v>
      </c>
      <c r="G108" s="7">
        <v>0.28000000000000003</v>
      </c>
      <c r="H108" s="1">
        <v>40</v>
      </c>
      <c r="I108" s="9" t="s">
        <v>40</v>
      </c>
      <c r="J108" s="1"/>
      <c r="K108" s="1">
        <v>77</v>
      </c>
      <c r="L108" s="1">
        <f t="shared" si="21"/>
        <v>-69</v>
      </c>
      <c r="M108" s="1"/>
      <c r="N108" s="1"/>
      <c r="O108" s="1">
        <v>524.42000000000007</v>
      </c>
      <c r="P108" s="1">
        <v>-528.57142857142856</v>
      </c>
      <c r="Q108" s="1"/>
      <c r="R108" s="1">
        <v>200</v>
      </c>
      <c r="S108" s="1">
        <f t="shared" si="22"/>
        <v>1.6</v>
      </c>
      <c r="T108" s="5">
        <v>50</v>
      </c>
      <c r="U108" s="1">
        <f t="shared" si="23"/>
        <v>154.90535714285718</v>
      </c>
      <c r="V108" s="1">
        <f t="shared" si="24"/>
        <v>123.6553571428572</v>
      </c>
      <c r="W108" s="1">
        <v>20</v>
      </c>
      <c r="X108" s="1">
        <v>46.2</v>
      </c>
      <c r="Y108" s="1">
        <v>39.200000000000003</v>
      </c>
      <c r="Z108" s="1">
        <v>10.8</v>
      </c>
      <c r="AA108" s="1">
        <v>-0.6</v>
      </c>
      <c r="AB108" s="1">
        <v>14.4</v>
      </c>
      <c r="AC108" s="1">
        <v>25</v>
      </c>
      <c r="AD108" s="1">
        <v>16.600000000000001</v>
      </c>
      <c r="AE108" s="1">
        <v>8.8000000000000007</v>
      </c>
      <c r="AF108" s="1">
        <v>-1.2</v>
      </c>
      <c r="AG108" s="1"/>
      <c r="AH108" s="1">
        <f t="shared" si="26"/>
        <v>14.000000000000002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5" t="s">
        <v>156</v>
      </c>
      <c r="B109" s="1" t="s">
        <v>42</v>
      </c>
      <c r="C109" s="1">
        <v>7</v>
      </c>
      <c r="D109" s="1">
        <v>3</v>
      </c>
      <c r="E109" s="1">
        <v>5</v>
      </c>
      <c r="F109" s="1">
        <v>1</v>
      </c>
      <c r="G109" s="7">
        <v>0.28000000000000003</v>
      </c>
      <c r="H109" s="1">
        <v>40</v>
      </c>
      <c r="I109" s="9" t="s">
        <v>40</v>
      </c>
      <c r="J109" s="1"/>
      <c r="K109" s="1">
        <v>23</v>
      </c>
      <c r="L109" s="1">
        <f t="shared" si="21"/>
        <v>-18</v>
      </c>
      <c r="M109" s="1"/>
      <c r="N109" s="1"/>
      <c r="O109" s="1">
        <v>91</v>
      </c>
      <c r="P109" s="1">
        <v>-89.285714285714278</v>
      </c>
      <c r="Q109" s="1"/>
      <c r="R109" s="1">
        <v>250</v>
      </c>
      <c r="S109" s="1">
        <f t="shared" si="22"/>
        <v>1</v>
      </c>
      <c r="T109" s="5">
        <v>50</v>
      </c>
      <c r="U109" s="1">
        <f t="shared" si="23"/>
        <v>302.71428571428572</v>
      </c>
      <c r="V109" s="1">
        <f t="shared" si="24"/>
        <v>252.71428571428572</v>
      </c>
      <c r="W109" s="1">
        <v>15.4</v>
      </c>
      <c r="X109" s="1">
        <v>28.2</v>
      </c>
      <c r="Y109" s="1">
        <v>13.8</v>
      </c>
      <c r="Z109" s="1">
        <v>-0.4</v>
      </c>
      <c r="AA109" s="1">
        <v>-0.2</v>
      </c>
      <c r="AB109" s="1">
        <v>9.1999999999999993</v>
      </c>
      <c r="AC109" s="1">
        <v>19.600000000000001</v>
      </c>
      <c r="AD109" s="1">
        <v>12.2</v>
      </c>
      <c r="AE109" s="1">
        <v>4.8</v>
      </c>
      <c r="AF109" s="1">
        <v>0</v>
      </c>
      <c r="AG109" s="1"/>
      <c r="AH109" s="1">
        <f t="shared" si="26"/>
        <v>14.000000000000002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" t="s">
        <v>157</v>
      </c>
      <c r="B110" s="1" t="s">
        <v>42</v>
      </c>
      <c r="C110" s="1">
        <v>11</v>
      </c>
      <c r="D110" s="1">
        <v>70</v>
      </c>
      <c r="E110" s="1">
        <v>32</v>
      </c>
      <c r="F110" s="1">
        <v>29</v>
      </c>
      <c r="G110" s="7">
        <v>0.09</v>
      </c>
      <c r="H110" s="1">
        <v>45</v>
      </c>
      <c r="I110" s="1" t="s">
        <v>37</v>
      </c>
      <c r="J110" s="1"/>
      <c r="K110" s="1">
        <v>28</v>
      </c>
      <c r="L110" s="1">
        <f t="shared" si="21"/>
        <v>4</v>
      </c>
      <c r="M110" s="1"/>
      <c r="N110" s="1"/>
      <c r="O110" s="1">
        <v>14.96652719665275</v>
      </c>
      <c r="P110" s="1"/>
      <c r="Q110" s="1"/>
      <c r="R110" s="1">
        <v>41.20000000000001</v>
      </c>
      <c r="S110" s="1">
        <f t="shared" si="22"/>
        <v>6.4</v>
      </c>
      <c r="T110" s="5"/>
      <c r="U110" s="1">
        <f t="shared" si="23"/>
        <v>13.307269874476994</v>
      </c>
      <c r="V110" s="1">
        <f t="shared" si="24"/>
        <v>13.307269874476994</v>
      </c>
      <c r="W110" s="1">
        <v>7.4</v>
      </c>
      <c r="X110" s="1">
        <v>6.8</v>
      </c>
      <c r="Y110" s="1">
        <v>6</v>
      </c>
      <c r="Z110" s="1">
        <v>8.1999999999999993</v>
      </c>
      <c r="AA110" s="1">
        <v>8.1999999999999993</v>
      </c>
      <c r="AB110" s="1">
        <v>8.8000000000000007</v>
      </c>
      <c r="AC110" s="1">
        <v>12.4</v>
      </c>
      <c r="AD110" s="1">
        <v>12.6</v>
      </c>
      <c r="AE110" s="1">
        <v>15</v>
      </c>
      <c r="AF110" s="1">
        <v>15</v>
      </c>
      <c r="AG110" s="1"/>
      <c r="AH110" s="1">
        <f t="shared" si="26"/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1" t="s">
        <v>158</v>
      </c>
      <c r="B111" s="1" t="s">
        <v>36</v>
      </c>
      <c r="C111" s="1">
        <v>55.420999999999999</v>
      </c>
      <c r="D111" s="1"/>
      <c r="E111" s="1">
        <v>24.058</v>
      </c>
      <c r="F111" s="1">
        <v>0.19900000000000001</v>
      </c>
      <c r="G111" s="7">
        <v>1</v>
      </c>
      <c r="H111" s="1">
        <v>60</v>
      </c>
      <c r="I111" s="1" t="s">
        <v>37</v>
      </c>
      <c r="J111" s="1"/>
      <c r="K111" s="1">
        <v>45</v>
      </c>
      <c r="L111" s="1">
        <f t="shared" si="21"/>
        <v>-20.942</v>
      </c>
      <c r="M111" s="1"/>
      <c r="N111" s="1"/>
      <c r="O111" s="1">
        <v>57.112000000000023</v>
      </c>
      <c r="P111" s="1"/>
      <c r="Q111" s="1"/>
      <c r="R111" s="1">
        <v>129.74600000000001</v>
      </c>
      <c r="S111" s="1">
        <f t="shared" si="22"/>
        <v>4.8116000000000003</v>
      </c>
      <c r="T111" s="5"/>
      <c r="U111" s="1">
        <f t="shared" si="23"/>
        <v>38.87625737800316</v>
      </c>
      <c r="V111" s="1">
        <f t="shared" si="24"/>
        <v>38.87625737800316</v>
      </c>
      <c r="W111" s="1">
        <v>14.388999999999999</v>
      </c>
      <c r="X111" s="1">
        <v>15.897399999999999</v>
      </c>
      <c r="Y111" s="1">
        <v>9.0400000000000009</v>
      </c>
      <c r="Z111" s="1">
        <v>5.0895999999999999</v>
      </c>
      <c r="AA111" s="1">
        <v>8.0502000000000002</v>
      </c>
      <c r="AB111" s="1">
        <v>10.552199999999999</v>
      </c>
      <c r="AC111" s="1">
        <v>11.1274</v>
      </c>
      <c r="AD111" s="1">
        <v>8.5960000000000001</v>
      </c>
      <c r="AE111" s="1">
        <v>6.4635999999999996</v>
      </c>
      <c r="AF111" s="1">
        <v>6.4147999999999996</v>
      </c>
      <c r="AG111" s="1"/>
      <c r="AH111" s="1">
        <f t="shared" si="26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1" t="s">
        <v>159</v>
      </c>
      <c r="B112" s="1" t="s">
        <v>36</v>
      </c>
      <c r="C112" s="1">
        <v>146.941</v>
      </c>
      <c r="D112" s="1"/>
      <c r="E112" s="1">
        <v>54.728000000000002</v>
      </c>
      <c r="F112" s="1">
        <v>32.353000000000002</v>
      </c>
      <c r="G112" s="7">
        <v>1</v>
      </c>
      <c r="H112" s="1">
        <v>50</v>
      </c>
      <c r="I112" s="1" t="s">
        <v>37</v>
      </c>
      <c r="J112" s="1"/>
      <c r="K112" s="1">
        <v>55</v>
      </c>
      <c r="L112" s="1">
        <f t="shared" si="21"/>
        <v>-0.27199999999999847</v>
      </c>
      <c r="M112" s="1"/>
      <c r="N112" s="1"/>
      <c r="O112" s="1">
        <v>0</v>
      </c>
      <c r="P112" s="1"/>
      <c r="Q112" s="1"/>
      <c r="R112" s="1">
        <v>91.032000000000011</v>
      </c>
      <c r="S112" s="1">
        <f t="shared" si="22"/>
        <v>10.945600000000001</v>
      </c>
      <c r="T112" s="5"/>
      <c r="U112" s="1">
        <f t="shared" si="23"/>
        <v>11.272566145300395</v>
      </c>
      <c r="V112" s="1">
        <f t="shared" si="24"/>
        <v>11.272566145300395</v>
      </c>
      <c r="W112" s="1">
        <v>10.451000000000001</v>
      </c>
      <c r="X112" s="1">
        <v>12.464600000000001</v>
      </c>
      <c r="Y112" s="1">
        <v>6.9792000000000014</v>
      </c>
      <c r="Z112" s="1">
        <v>2.5167999999999999</v>
      </c>
      <c r="AA112" s="1">
        <v>9.4036000000000008</v>
      </c>
      <c r="AB112" s="1">
        <v>18.6568</v>
      </c>
      <c r="AC112" s="1">
        <v>16.679200000000002</v>
      </c>
      <c r="AD112" s="1">
        <v>8.3925999999999998</v>
      </c>
      <c r="AE112" s="1">
        <v>11.4232</v>
      </c>
      <c r="AF112" s="1">
        <v>9.4489999999999998</v>
      </c>
      <c r="AG112" s="1"/>
      <c r="AH112" s="1">
        <f t="shared" si="26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15" t="s">
        <v>160</v>
      </c>
      <c r="B113" s="1" t="s">
        <v>42</v>
      </c>
      <c r="C113" s="1">
        <v>30</v>
      </c>
      <c r="D113" s="1">
        <v>145</v>
      </c>
      <c r="E113" s="1">
        <v>38</v>
      </c>
      <c r="F113" s="1">
        <v>110</v>
      </c>
      <c r="G113" s="7">
        <v>0.09</v>
      </c>
      <c r="H113" s="1">
        <v>45</v>
      </c>
      <c r="I113" s="9" t="s">
        <v>40</v>
      </c>
      <c r="J113" s="1"/>
      <c r="K113" s="1">
        <v>39</v>
      </c>
      <c r="L113" s="1">
        <f t="shared" si="21"/>
        <v>-1</v>
      </c>
      <c r="M113" s="1"/>
      <c r="N113" s="1"/>
      <c r="O113" s="1">
        <v>10</v>
      </c>
      <c r="P113" s="1">
        <v>-22.222222222222221</v>
      </c>
      <c r="Q113" s="1"/>
      <c r="R113" s="1">
        <v>0</v>
      </c>
      <c r="S113" s="1">
        <f t="shared" si="22"/>
        <v>7.6</v>
      </c>
      <c r="T113" s="5"/>
      <c r="U113" s="1">
        <f t="shared" si="23"/>
        <v>12.865497076023392</v>
      </c>
      <c r="V113" s="1">
        <f t="shared" si="24"/>
        <v>12.865497076023392</v>
      </c>
      <c r="W113" s="1">
        <v>4.8</v>
      </c>
      <c r="X113" s="1">
        <v>5.6</v>
      </c>
      <c r="Y113" s="1">
        <v>10</v>
      </c>
      <c r="Z113" s="1">
        <v>13.8</v>
      </c>
      <c r="AA113" s="1">
        <v>9.1999999999999993</v>
      </c>
      <c r="AB113" s="1">
        <v>3.6</v>
      </c>
      <c r="AC113" s="1">
        <v>8.4</v>
      </c>
      <c r="AD113" s="1">
        <v>12.8</v>
      </c>
      <c r="AE113" s="1">
        <v>13.8</v>
      </c>
      <c r="AF113" s="1">
        <v>12</v>
      </c>
      <c r="AG113" s="13" t="s">
        <v>47</v>
      </c>
      <c r="AH113" s="1">
        <f t="shared" si="26"/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" t="s">
        <v>161</v>
      </c>
      <c r="B114" s="1" t="s">
        <v>42</v>
      </c>
      <c r="C114" s="1">
        <v>-1</v>
      </c>
      <c r="D114" s="1">
        <v>120</v>
      </c>
      <c r="E114" s="1">
        <v>22</v>
      </c>
      <c r="F114" s="1">
        <v>37</v>
      </c>
      <c r="G114" s="7">
        <v>0.09</v>
      </c>
      <c r="H114" s="1">
        <v>45</v>
      </c>
      <c r="I114" s="1" t="s">
        <v>37</v>
      </c>
      <c r="J114" s="1"/>
      <c r="K114" s="1">
        <v>22</v>
      </c>
      <c r="L114" s="1">
        <f t="shared" si="21"/>
        <v>0</v>
      </c>
      <c r="M114" s="1"/>
      <c r="N114" s="1"/>
      <c r="O114" s="1">
        <v>48.931707317073183</v>
      </c>
      <c r="P114" s="1"/>
      <c r="Q114" s="1"/>
      <c r="R114" s="1">
        <v>0</v>
      </c>
      <c r="S114" s="1">
        <f t="shared" si="22"/>
        <v>4.4000000000000004</v>
      </c>
      <c r="T114" s="5"/>
      <c r="U114" s="1">
        <f t="shared" si="23"/>
        <v>19.529933481152995</v>
      </c>
      <c r="V114" s="1">
        <f t="shared" si="24"/>
        <v>19.529933481152995</v>
      </c>
      <c r="W114" s="1">
        <v>5</v>
      </c>
      <c r="X114" s="1">
        <v>9.4</v>
      </c>
      <c r="Y114" s="1">
        <v>9.8000000000000007</v>
      </c>
      <c r="Z114" s="1">
        <v>10</v>
      </c>
      <c r="AA114" s="1">
        <v>7.2</v>
      </c>
      <c r="AB114" s="1">
        <v>4</v>
      </c>
      <c r="AC114" s="1">
        <v>11</v>
      </c>
      <c r="AD114" s="1">
        <v>14.6</v>
      </c>
      <c r="AE114" s="1">
        <v>14.6</v>
      </c>
      <c r="AF114" s="1">
        <v>14</v>
      </c>
      <c r="AG114" s="1"/>
      <c r="AH114" s="1">
        <f t="shared" si="26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5" t="s">
        <v>162</v>
      </c>
      <c r="B115" s="1" t="s">
        <v>36</v>
      </c>
      <c r="C115" s="1">
        <v>53.887</v>
      </c>
      <c r="D115" s="1">
        <v>83.081999999999994</v>
      </c>
      <c r="E115" s="1">
        <v>77.209999999999994</v>
      </c>
      <c r="F115" s="1">
        <v>35.064999999999998</v>
      </c>
      <c r="G115" s="7">
        <v>1</v>
      </c>
      <c r="H115" s="1">
        <v>60</v>
      </c>
      <c r="I115" s="9" t="s">
        <v>40</v>
      </c>
      <c r="J115" s="1"/>
      <c r="K115" s="1">
        <v>74</v>
      </c>
      <c r="L115" s="1">
        <f t="shared" si="21"/>
        <v>3.2099999999999937</v>
      </c>
      <c r="M115" s="1"/>
      <c r="N115" s="1"/>
      <c r="O115" s="1">
        <v>50.464426544190857</v>
      </c>
      <c r="P115" s="1"/>
      <c r="Q115" s="1"/>
      <c r="R115" s="1">
        <v>46.152400000000007</v>
      </c>
      <c r="S115" s="1">
        <f t="shared" si="22"/>
        <v>15.441999999999998</v>
      </c>
      <c r="T115" s="5">
        <f t="shared" ref="T107:T121" si="27">11*S115-R115-Q115-P115-O115-F115</f>
        <v>38.18017345580914</v>
      </c>
      <c r="U115" s="1">
        <f t="shared" si="23"/>
        <v>11.000000000000002</v>
      </c>
      <c r="V115" s="1">
        <f t="shared" si="24"/>
        <v>8.5275111089360767</v>
      </c>
      <c r="W115" s="1">
        <v>12.912000000000001</v>
      </c>
      <c r="X115" s="1">
        <v>12.9278</v>
      </c>
      <c r="Y115" s="1">
        <v>12.5936</v>
      </c>
      <c r="Z115" s="1">
        <v>15.5222</v>
      </c>
      <c r="AA115" s="1">
        <v>15.4832</v>
      </c>
      <c r="AB115" s="1">
        <v>12.798999999999999</v>
      </c>
      <c r="AC115" s="1">
        <v>18.248999999999999</v>
      </c>
      <c r="AD115" s="1">
        <v>21.303999999999998</v>
      </c>
      <c r="AE115" s="1">
        <v>16.989799999999999</v>
      </c>
      <c r="AF115" s="1">
        <v>15.9558</v>
      </c>
      <c r="AG115" s="1"/>
      <c r="AH115" s="1">
        <f t="shared" si="26"/>
        <v>38.18017345580914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1" t="s">
        <v>163</v>
      </c>
      <c r="B116" s="1" t="s">
        <v>36</v>
      </c>
      <c r="C116" s="1">
        <v>220.06700000000001</v>
      </c>
      <c r="D116" s="1">
        <v>57.963999999999999</v>
      </c>
      <c r="E116" s="1">
        <v>119.846</v>
      </c>
      <c r="F116" s="1">
        <v>97.382999999999996</v>
      </c>
      <c r="G116" s="7">
        <v>1</v>
      </c>
      <c r="H116" s="1">
        <v>60</v>
      </c>
      <c r="I116" s="1" t="s">
        <v>37</v>
      </c>
      <c r="J116" s="1"/>
      <c r="K116" s="1">
        <v>117</v>
      </c>
      <c r="L116" s="1">
        <f t="shared" si="21"/>
        <v>2.8460000000000036</v>
      </c>
      <c r="M116" s="1"/>
      <c r="N116" s="1"/>
      <c r="O116" s="1">
        <v>0</v>
      </c>
      <c r="P116" s="1"/>
      <c r="Q116" s="1"/>
      <c r="R116" s="1">
        <v>141.01</v>
      </c>
      <c r="S116" s="1">
        <f t="shared" si="22"/>
        <v>23.969200000000001</v>
      </c>
      <c r="T116" s="5">
        <f t="shared" si="27"/>
        <v>25.268200000000022</v>
      </c>
      <c r="U116" s="1">
        <f t="shared" si="23"/>
        <v>11</v>
      </c>
      <c r="V116" s="1">
        <f t="shared" si="24"/>
        <v>9.945805450327919</v>
      </c>
      <c r="W116" s="1">
        <v>22.408999999999999</v>
      </c>
      <c r="X116" s="1">
        <v>22.56</v>
      </c>
      <c r="Y116" s="1">
        <v>14.490399999999999</v>
      </c>
      <c r="Z116" s="1">
        <v>17.466999999999999</v>
      </c>
      <c r="AA116" s="1">
        <v>27.170999999999999</v>
      </c>
      <c r="AB116" s="1">
        <v>43.596200000000003</v>
      </c>
      <c r="AC116" s="1">
        <v>48.666800000000002</v>
      </c>
      <c r="AD116" s="1">
        <v>30.369199999999999</v>
      </c>
      <c r="AE116" s="1">
        <v>23.996400000000001</v>
      </c>
      <c r="AF116" s="1">
        <v>29.323</v>
      </c>
      <c r="AG116" s="1"/>
      <c r="AH116" s="1">
        <f t="shared" si="26"/>
        <v>25.268200000000022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164</v>
      </c>
      <c r="B117" s="1" t="s">
        <v>36</v>
      </c>
      <c r="C117" s="1">
        <v>85.909000000000006</v>
      </c>
      <c r="D117" s="1"/>
      <c r="E117" s="1">
        <v>31.513000000000002</v>
      </c>
      <c r="F117" s="1">
        <v>36.884</v>
      </c>
      <c r="G117" s="7">
        <v>1</v>
      </c>
      <c r="H117" s="1">
        <v>60</v>
      </c>
      <c r="I117" s="1" t="s">
        <v>37</v>
      </c>
      <c r="J117" s="1"/>
      <c r="K117" s="1">
        <v>31.5</v>
      </c>
      <c r="L117" s="1">
        <f t="shared" si="21"/>
        <v>1.3000000000001677E-2</v>
      </c>
      <c r="M117" s="1"/>
      <c r="N117" s="1"/>
      <c r="O117" s="1">
        <v>0</v>
      </c>
      <c r="P117" s="1"/>
      <c r="Q117" s="1"/>
      <c r="R117" s="1">
        <v>25.19319999999999</v>
      </c>
      <c r="S117" s="1">
        <f t="shared" si="22"/>
        <v>6.3026</v>
      </c>
      <c r="T117" s="5">
        <f t="shared" si="27"/>
        <v>7.2514000000000038</v>
      </c>
      <c r="U117" s="1">
        <f t="shared" si="23"/>
        <v>11</v>
      </c>
      <c r="V117" s="1">
        <f t="shared" si="24"/>
        <v>9.8494589534477814</v>
      </c>
      <c r="W117" s="1">
        <v>5.5053999999999998</v>
      </c>
      <c r="X117" s="1">
        <v>4.6790000000000003</v>
      </c>
      <c r="Y117" s="1">
        <v>3.8368000000000002</v>
      </c>
      <c r="Z117" s="1">
        <v>2.1898</v>
      </c>
      <c r="AA117" s="1">
        <v>5.8907999999999996</v>
      </c>
      <c r="AB117" s="1">
        <v>10.9154</v>
      </c>
      <c r="AC117" s="1">
        <v>11.5212</v>
      </c>
      <c r="AD117" s="1">
        <v>7.3034000000000008</v>
      </c>
      <c r="AE117" s="1">
        <v>5.2080000000000002</v>
      </c>
      <c r="AF117" s="1">
        <v>6.9459999999999997</v>
      </c>
      <c r="AG117" s="1"/>
      <c r="AH117" s="1">
        <f t="shared" si="26"/>
        <v>7.2514000000000038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" t="s">
        <v>165</v>
      </c>
      <c r="B118" s="1" t="s">
        <v>36</v>
      </c>
      <c r="C118" s="1">
        <v>729.36599999999999</v>
      </c>
      <c r="D118" s="1">
        <v>361.98200000000003</v>
      </c>
      <c r="E118" s="1">
        <v>358.86200000000002</v>
      </c>
      <c r="F118" s="1">
        <v>11.252000000000001</v>
      </c>
      <c r="G118" s="7">
        <v>1</v>
      </c>
      <c r="H118" s="1">
        <v>60</v>
      </c>
      <c r="I118" s="1" t="s">
        <v>37</v>
      </c>
      <c r="J118" s="1"/>
      <c r="K118" s="1">
        <v>530</v>
      </c>
      <c r="L118" s="1">
        <f t="shared" si="21"/>
        <v>-171.13799999999998</v>
      </c>
      <c r="M118" s="1"/>
      <c r="N118" s="1"/>
      <c r="O118" s="1">
        <v>1658.8091999999999</v>
      </c>
      <c r="P118" s="1"/>
      <c r="Q118" s="1"/>
      <c r="R118" s="1">
        <v>0</v>
      </c>
      <c r="S118" s="1">
        <f t="shared" si="22"/>
        <v>71.772400000000005</v>
      </c>
      <c r="T118" s="5"/>
      <c r="U118" s="1">
        <f t="shared" si="23"/>
        <v>23.268849864293234</v>
      </c>
      <c r="V118" s="1">
        <f t="shared" si="24"/>
        <v>23.268849864293234</v>
      </c>
      <c r="W118" s="1">
        <v>99.548599999999993</v>
      </c>
      <c r="X118" s="1">
        <v>135.04179999999999</v>
      </c>
      <c r="Y118" s="1">
        <v>171.96340000000001</v>
      </c>
      <c r="Z118" s="1">
        <v>121.3768</v>
      </c>
      <c r="AA118" s="1">
        <v>-0.12620000000000001</v>
      </c>
      <c r="AB118" s="1">
        <v>16.735600000000002</v>
      </c>
      <c r="AC118" s="1">
        <v>189.98179999999999</v>
      </c>
      <c r="AD118" s="1">
        <v>232.40639999999999</v>
      </c>
      <c r="AE118" s="1">
        <v>104.16679999999999</v>
      </c>
      <c r="AF118" s="1">
        <v>38.833199999999998</v>
      </c>
      <c r="AG118" s="1" t="s">
        <v>166</v>
      </c>
      <c r="AH118" s="1">
        <f t="shared" si="26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1" t="s">
        <v>167</v>
      </c>
      <c r="B119" s="1" t="s">
        <v>42</v>
      </c>
      <c r="C119" s="1">
        <v>391</v>
      </c>
      <c r="D119" s="1">
        <v>60</v>
      </c>
      <c r="E119" s="1">
        <v>4</v>
      </c>
      <c r="F119" s="1">
        <v>387</v>
      </c>
      <c r="G119" s="7">
        <v>0.25</v>
      </c>
      <c r="H119" s="1">
        <v>1096</v>
      </c>
      <c r="I119" s="1" t="s">
        <v>37</v>
      </c>
      <c r="J119" s="1"/>
      <c r="K119" s="1">
        <v>4</v>
      </c>
      <c r="L119" s="1">
        <f t="shared" si="21"/>
        <v>0</v>
      </c>
      <c r="M119" s="1"/>
      <c r="N119" s="1"/>
      <c r="O119" s="1">
        <v>0</v>
      </c>
      <c r="P119" s="1"/>
      <c r="Q119" s="1"/>
      <c r="R119" s="1">
        <v>0</v>
      </c>
      <c r="S119" s="1">
        <f t="shared" si="22"/>
        <v>0.8</v>
      </c>
      <c r="T119" s="5"/>
      <c r="U119" s="1">
        <f t="shared" si="23"/>
        <v>483.75</v>
      </c>
      <c r="V119" s="1">
        <f t="shared" si="24"/>
        <v>483.75</v>
      </c>
      <c r="W119" s="1">
        <v>8.1999999999999993</v>
      </c>
      <c r="X119" s="1">
        <v>14.6</v>
      </c>
      <c r="Y119" s="1">
        <v>13</v>
      </c>
      <c r="Z119" s="1">
        <v>12</v>
      </c>
      <c r="AA119" s="1">
        <v>8.1999999999999993</v>
      </c>
      <c r="AB119" s="1">
        <v>28.6</v>
      </c>
      <c r="AC119" s="1">
        <v>57.6</v>
      </c>
      <c r="AD119" s="1">
        <v>38</v>
      </c>
      <c r="AE119" s="1">
        <v>10.4</v>
      </c>
      <c r="AF119" s="1">
        <v>4.8</v>
      </c>
      <c r="AG119" s="17" t="s">
        <v>53</v>
      </c>
      <c r="AH119" s="1">
        <f t="shared" si="26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1" t="s">
        <v>168</v>
      </c>
      <c r="B120" s="1" t="s">
        <v>42</v>
      </c>
      <c r="C120" s="1">
        <v>223</v>
      </c>
      <c r="D120" s="1"/>
      <c r="E120" s="1">
        <v>2</v>
      </c>
      <c r="F120" s="1">
        <v>221</v>
      </c>
      <c r="G120" s="7">
        <v>0.32500000000000001</v>
      </c>
      <c r="H120" s="1">
        <v>1096</v>
      </c>
      <c r="I120" s="1" t="s">
        <v>37</v>
      </c>
      <c r="J120" s="1"/>
      <c r="K120" s="1">
        <v>2</v>
      </c>
      <c r="L120" s="1">
        <f t="shared" si="21"/>
        <v>0</v>
      </c>
      <c r="M120" s="1"/>
      <c r="N120" s="1"/>
      <c r="O120" s="1">
        <v>0</v>
      </c>
      <c r="P120" s="1"/>
      <c r="Q120" s="1"/>
      <c r="R120" s="1">
        <v>0</v>
      </c>
      <c r="S120" s="1">
        <f t="shared" si="22"/>
        <v>0.4</v>
      </c>
      <c r="T120" s="5"/>
      <c r="U120" s="1">
        <f t="shared" si="23"/>
        <v>552.5</v>
      </c>
      <c r="V120" s="1">
        <f t="shared" si="24"/>
        <v>552.5</v>
      </c>
      <c r="W120" s="1">
        <v>0.6</v>
      </c>
      <c r="X120" s="1">
        <v>1.4</v>
      </c>
      <c r="Y120" s="1">
        <v>3.4</v>
      </c>
      <c r="Z120" s="1">
        <v>10.199999999999999</v>
      </c>
      <c r="AA120" s="1">
        <v>14.2</v>
      </c>
      <c r="AB120" s="1">
        <v>26.4</v>
      </c>
      <c r="AC120" s="1">
        <v>35</v>
      </c>
      <c r="AD120" s="1">
        <v>17</v>
      </c>
      <c r="AE120" s="1">
        <v>11.2</v>
      </c>
      <c r="AF120" s="1">
        <v>18</v>
      </c>
      <c r="AG120" s="17" t="s">
        <v>53</v>
      </c>
      <c r="AH120" s="1">
        <f t="shared" si="26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5" t="s">
        <v>169</v>
      </c>
      <c r="B121" s="1" t="s">
        <v>42</v>
      </c>
      <c r="C121" s="1">
        <v>680</v>
      </c>
      <c r="D121" s="1"/>
      <c r="E121" s="1">
        <v>33</v>
      </c>
      <c r="F121" s="1">
        <v>647</v>
      </c>
      <c r="G121" s="7">
        <v>0.25</v>
      </c>
      <c r="H121" s="1">
        <v>1096</v>
      </c>
      <c r="I121" s="9" t="s">
        <v>40</v>
      </c>
      <c r="J121" s="1"/>
      <c r="K121" s="1">
        <v>33</v>
      </c>
      <c r="L121" s="1">
        <f t="shared" si="21"/>
        <v>0</v>
      </c>
      <c r="M121" s="1"/>
      <c r="N121" s="1"/>
      <c r="O121" s="1">
        <v>0</v>
      </c>
      <c r="P121" s="1"/>
      <c r="Q121" s="1"/>
      <c r="R121" s="1">
        <v>0</v>
      </c>
      <c r="S121" s="1">
        <f t="shared" si="22"/>
        <v>6.6</v>
      </c>
      <c r="T121" s="5"/>
      <c r="U121" s="1">
        <f t="shared" si="23"/>
        <v>98.030303030303031</v>
      </c>
      <c r="V121" s="1">
        <f t="shared" si="24"/>
        <v>98.030303030303031</v>
      </c>
      <c r="W121" s="1">
        <v>12.6</v>
      </c>
      <c r="X121" s="1">
        <v>13.2</v>
      </c>
      <c r="Y121" s="1">
        <v>8</v>
      </c>
      <c r="Z121" s="1">
        <v>17.600000000000001</v>
      </c>
      <c r="AA121" s="1">
        <v>27.4</v>
      </c>
      <c r="AB121" s="1">
        <v>50.6</v>
      </c>
      <c r="AC121" s="1">
        <v>68.599999999999994</v>
      </c>
      <c r="AD121" s="1">
        <v>45</v>
      </c>
      <c r="AE121" s="1">
        <v>43.2</v>
      </c>
      <c r="AF121" s="1">
        <v>44</v>
      </c>
      <c r="AG121" s="17" t="s">
        <v>53</v>
      </c>
      <c r="AH121" s="1">
        <f t="shared" si="26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10" t="s">
        <v>170</v>
      </c>
      <c r="B122" s="10" t="s">
        <v>36</v>
      </c>
      <c r="C122" s="10">
        <v>11.885</v>
      </c>
      <c r="D122" s="10">
        <v>23.974</v>
      </c>
      <c r="E122" s="10"/>
      <c r="F122" s="14">
        <v>17.875</v>
      </c>
      <c r="G122" s="11">
        <v>0</v>
      </c>
      <c r="H122" s="10"/>
      <c r="I122" s="10" t="s">
        <v>171</v>
      </c>
      <c r="J122" s="10" t="s">
        <v>140</v>
      </c>
      <c r="K122" s="10"/>
      <c r="L122" s="10">
        <f t="shared" si="21"/>
        <v>0</v>
      </c>
      <c r="M122" s="10"/>
      <c r="N122" s="10"/>
      <c r="O122" s="10"/>
      <c r="P122" s="10"/>
      <c r="Q122" s="10"/>
      <c r="R122" s="10">
        <v>0</v>
      </c>
      <c r="S122" s="10">
        <f t="shared" si="22"/>
        <v>0</v>
      </c>
      <c r="T122" s="12"/>
      <c r="U122" s="10" t="e">
        <f t="shared" si="23"/>
        <v>#DIV/0!</v>
      </c>
      <c r="V122" s="10" t="e">
        <f t="shared" si="24"/>
        <v>#DIV/0!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7" t="s">
        <v>53</v>
      </c>
      <c r="AH122" s="10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5" t="s">
        <v>172</v>
      </c>
      <c r="B123" s="1" t="s">
        <v>42</v>
      </c>
      <c r="C123" s="1"/>
      <c r="D123" s="1"/>
      <c r="E123" s="1"/>
      <c r="F123" s="1"/>
      <c r="G123" s="7">
        <v>0.3</v>
      </c>
      <c r="H123" s="1">
        <v>40</v>
      </c>
      <c r="I123" s="9" t="s">
        <v>40</v>
      </c>
      <c r="J123" s="1"/>
      <c r="K123" s="1"/>
      <c r="L123" s="1">
        <f t="shared" si="21"/>
        <v>0</v>
      </c>
      <c r="M123" s="1"/>
      <c r="N123" s="1"/>
      <c r="O123" s="1">
        <v>26</v>
      </c>
      <c r="P123" s="1">
        <v>-30</v>
      </c>
      <c r="Q123" s="1"/>
      <c r="R123" s="1">
        <v>20</v>
      </c>
      <c r="S123" s="1">
        <f t="shared" si="22"/>
        <v>0</v>
      </c>
      <c r="T123" s="5">
        <v>10</v>
      </c>
      <c r="U123" s="1" t="e">
        <f t="shared" si="23"/>
        <v>#DIV/0!</v>
      </c>
      <c r="V123" s="1" t="e">
        <f t="shared" si="24"/>
        <v>#DIV/0!</v>
      </c>
      <c r="W123" s="1">
        <v>-0.2</v>
      </c>
      <c r="X123" s="1">
        <v>-0.2</v>
      </c>
      <c r="Y123" s="1">
        <v>-0.6</v>
      </c>
      <c r="Z123" s="1">
        <v>-0.6</v>
      </c>
      <c r="AA123" s="1">
        <v>-0.8</v>
      </c>
      <c r="AB123" s="1">
        <v>-1</v>
      </c>
      <c r="AC123" s="1">
        <v>-0.4</v>
      </c>
      <c r="AD123" s="1">
        <v>-0.2</v>
      </c>
      <c r="AE123" s="1">
        <v>-0.2</v>
      </c>
      <c r="AF123" s="1">
        <v>0</v>
      </c>
      <c r="AG123" s="1"/>
      <c r="AH123" s="1">
        <f>G123*T123</f>
        <v>3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5" t="s">
        <v>173</v>
      </c>
      <c r="B124" s="1" t="s">
        <v>42</v>
      </c>
      <c r="C124" s="1"/>
      <c r="D124" s="1">
        <v>72</v>
      </c>
      <c r="E124" s="1">
        <v>14</v>
      </c>
      <c r="F124" s="1">
        <v>58</v>
      </c>
      <c r="G124" s="7">
        <v>0.3</v>
      </c>
      <c r="H124" s="1">
        <v>40</v>
      </c>
      <c r="I124" s="9" t="s">
        <v>40</v>
      </c>
      <c r="J124" s="1"/>
      <c r="K124" s="1">
        <v>14</v>
      </c>
      <c r="L124" s="1">
        <f t="shared" si="21"/>
        <v>0</v>
      </c>
      <c r="M124" s="1"/>
      <c r="N124" s="1"/>
      <c r="O124" s="1">
        <v>26</v>
      </c>
      <c r="P124" s="1"/>
      <c r="Q124" s="1"/>
      <c r="R124" s="1">
        <v>20</v>
      </c>
      <c r="S124" s="1">
        <f t="shared" si="22"/>
        <v>2.8</v>
      </c>
      <c r="T124" s="5"/>
      <c r="U124" s="1">
        <f t="shared" si="23"/>
        <v>37.142857142857146</v>
      </c>
      <c r="V124" s="1">
        <f t="shared" si="24"/>
        <v>37.142857142857146</v>
      </c>
      <c r="W124" s="1">
        <v>0</v>
      </c>
      <c r="X124" s="1">
        <v>0</v>
      </c>
      <c r="Y124" s="1">
        <v>0</v>
      </c>
      <c r="Z124" s="1">
        <v>0</v>
      </c>
      <c r="AA124" s="1">
        <v>-0.6</v>
      </c>
      <c r="AB124" s="1">
        <v>-0.8</v>
      </c>
      <c r="AC124" s="1">
        <v>-1</v>
      </c>
      <c r="AD124" s="1">
        <v>-1.8</v>
      </c>
      <c r="AE124" s="1">
        <v>-2</v>
      </c>
      <c r="AF124" s="1">
        <v>-1.8</v>
      </c>
      <c r="AG124" s="1"/>
      <c r="AH124" s="1">
        <f>G124*T124</f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" t="s">
        <v>174</v>
      </c>
      <c r="B125" s="1" t="s">
        <v>36</v>
      </c>
      <c r="C125" s="1">
        <v>39.341999999999999</v>
      </c>
      <c r="D125" s="1">
        <v>11.01</v>
      </c>
      <c r="E125" s="1">
        <v>23.050999999999998</v>
      </c>
      <c r="F125" s="1">
        <v>16.291</v>
      </c>
      <c r="G125" s="7">
        <v>1</v>
      </c>
      <c r="H125" s="1">
        <v>50</v>
      </c>
      <c r="I125" s="1" t="s">
        <v>37</v>
      </c>
      <c r="J125" s="1"/>
      <c r="K125" s="1">
        <v>18.399999999999999</v>
      </c>
      <c r="L125" s="1">
        <f t="shared" si="21"/>
        <v>4.6509999999999998</v>
      </c>
      <c r="M125" s="1"/>
      <c r="N125" s="1"/>
      <c r="O125" s="1">
        <v>0</v>
      </c>
      <c r="P125" s="1"/>
      <c r="Q125" s="1"/>
      <c r="R125" s="1">
        <v>6.8476000000000017</v>
      </c>
      <c r="S125" s="1">
        <f t="shared" si="22"/>
        <v>4.6101999999999999</v>
      </c>
      <c r="T125" s="5">
        <f t="shared" ref="T123:T127" si="28">11*S125-R125-Q125-P125-O125-F125</f>
        <v>27.573599999999995</v>
      </c>
      <c r="U125" s="1">
        <f t="shared" si="23"/>
        <v>11</v>
      </c>
      <c r="V125" s="1">
        <f t="shared" si="24"/>
        <v>5.0190013448440425</v>
      </c>
      <c r="W125" s="1">
        <v>2.0922000000000001</v>
      </c>
      <c r="X125" s="1">
        <v>1.4174</v>
      </c>
      <c r="Y125" s="1">
        <v>0.68240000000000001</v>
      </c>
      <c r="Z125" s="1">
        <v>2.1141999999999999</v>
      </c>
      <c r="AA125" s="1">
        <v>3.4316</v>
      </c>
      <c r="AB125" s="1">
        <v>3.7071999999999998</v>
      </c>
      <c r="AC125" s="1">
        <v>4.2619999999999996</v>
      </c>
      <c r="AD125" s="1">
        <v>3.2035999999999998</v>
      </c>
      <c r="AE125" s="1">
        <v>1.8520000000000001</v>
      </c>
      <c r="AF125" s="1">
        <v>0.26700000000000002</v>
      </c>
      <c r="AG125" s="1"/>
      <c r="AH125" s="1">
        <f>G125*T125</f>
        <v>27.573599999999995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5" t="s">
        <v>175</v>
      </c>
      <c r="B126" s="1" t="s">
        <v>42</v>
      </c>
      <c r="C126" s="1"/>
      <c r="D126" s="1"/>
      <c r="E126" s="1"/>
      <c r="F126" s="1"/>
      <c r="G126" s="7">
        <v>0.3</v>
      </c>
      <c r="H126" s="1">
        <v>40</v>
      </c>
      <c r="I126" s="9" t="s">
        <v>40</v>
      </c>
      <c r="J126" s="1"/>
      <c r="K126" s="1"/>
      <c r="L126" s="1">
        <f t="shared" si="21"/>
        <v>0</v>
      </c>
      <c r="M126" s="1"/>
      <c r="N126" s="1"/>
      <c r="O126" s="1">
        <v>13</v>
      </c>
      <c r="P126" s="1">
        <v>-16.666666666666671</v>
      </c>
      <c r="Q126" s="1"/>
      <c r="R126" s="1">
        <v>20</v>
      </c>
      <c r="S126" s="1">
        <f t="shared" si="22"/>
        <v>0</v>
      </c>
      <c r="T126" s="5">
        <v>10</v>
      </c>
      <c r="U126" s="1" t="e">
        <f t="shared" si="23"/>
        <v>#DIV/0!</v>
      </c>
      <c r="V126" s="1" t="e">
        <f t="shared" si="24"/>
        <v>#DIV/0!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-0.2</v>
      </c>
      <c r="AD126" s="1">
        <v>-0.2</v>
      </c>
      <c r="AE126" s="1">
        <v>-0.4</v>
      </c>
      <c r="AF126" s="1">
        <v>0.4</v>
      </c>
      <c r="AG126" s="1"/>
      <c r="AH126" s="1">
        <f>G126*T126</f>
        <v>3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" t="s">
        <v>176</v>
      </c>
      <c r="B127" s="1" t="s">
        <v>42</v>
      </c>
      <c r="C127" s="1">
        <v>50</v>
      </c>
      <c r="D127" s="1">
        <v>75</v>
      </c>
      <c r="E127" s="1">
        <v>33</v>
      </c>
      <c r="F127" s="1">
        <v>32</v>
      </c>
      <c r="G127" s="7">
        <v>0.12</v>
      </c>
      <c r="H127" s="1">
        <v>45</v>
      </c>
      <c r="I127" s="9" t="s">
        <v>40</v>
      </c>
      <c r="J127" s="1"/>
      <c r="K127" s="1">
        <v>33</v>
      </c>
      <c r="L127" s="1">
        <f t="shared" si="21"/>
        <v>0</v>
      </c>
      <c r="M127" s="1"/>
      <c r="N127" s="1"/>
      <c r="O127" s="1">
        <v>57.286666666666648</v>
      </c>
      <c r="P127" s="1"/>
      <c r="Q127" s="1"/>
      <c r="R127" s="1">
        <v>8</v>
      </c>
      <c r="S127" s="1">
        <f t="shared" si="22"/>
        <v>6.6</v>
      </c>
      <c r="T127" s="5"/>
      <c r="U127" s="1">
        <f t="shared" si="23"/>
        <v>14.740404040404039</v>
      </c>
      <c r="V127" s="1">
        <f t="shared" si="24"/>
        <v>14.740404040404039</v>
      </c>
      <c r="W127" s="1">
        <v>8.1999999999999993</v>
      </c>
      <c r="X127" s="1">
        <v>10</v>
      </c>
      <c r="Y127" s="1">
        <v>9.1999999999999993</v>
      </c>
      <c r="Z127" s="1">
        <v>3.6</v>
      </c>
      <c r="AA127" s="1">
        <v>-0.2</v>
      </c>
      <c r="AB127" s="1">
        <v>2.6</v>
      </c>
      <c r="AC127" s="1">
        <v>8</v>
      </c>
      <c r="AD127" s="1">
        <v>6.2</v>
      </c>
      <c r="AE127" s="1">
        <v>7.8</v>
      </c>
      <c r="AF127" s="1">
        <v>11.4</v>
      </c>
      <c r="AG127" s="1"/>
      <c r="AH127" s="1">
        <f>G127*T127</f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0" t="s">
        <v>177</v>
      </c>
      <c r="B128" s="10" t="s">
        <v>42</v>
      </c>
      <c r="C128" s="10">
        <v>17</v>
      </c>
      <c r="D128" s="10">
        <v>122</v>
      </c>
      <c r="E128" s="14">
        <v>41</v>
      </c>
      <c r="F128" s="14">
        <v>96</v>
      </c>
      <c r="G128" s="11">
        <v>0</v>
      </c>
      <c r="H128" s="10"/>
      <c r="I128" s="10" t="s">
        <v>178</v>
      </c>
      <c r="J128" s="10" t="s">
        <v>95</v>
      </c>
      <c r="K128" s="10">
        <v>43</v>
      </c>
      <c r="L128" s="10">
        <f t="shared" si="21"/>
        <v>-2</v>
      </c>
      <c r="M128" s="10"/>
      <c r="N128" s="10"/>
      <c r="O128" s="10">
        <v>0</v>
      </c>
      <c r="P128" s="10"/>
      <c r="Q128" s="10"/>
      <c r="R128" s="10">
        <v>0</v>
      </c>
      <c r="S128" s="10">
        <f t="shared" si="22"/>
        <v>8.1999999999999993</v>
      </c>
      <c r="T128" s="12"/>
      <c r="U128" s="10">
        <f t="shared" si="23"/>
        <v>11.707317073170733</v>
      </c>
      <c r="V128" s="10">
        <f t="shared" si="24"/>
        <v>11.707317073170733</v>
      </c>
      <c r="W128" s="10">
        <v>11.6</v>
      </c>
      <c r="X128" s="10">
        <v>7.4</v>
      </c>
      <c r="Y128" s="10">
        <v>6.2</v>
      </c>
      <c r="Z128" s="10">
        <v>15.4</v>
      </c>
      <c r="AA128" s="10">
        <v>18.399999999999999</v>
      </c>
      <c r="AB128" s="10">
        <v>15.4</v>
      </c>
      <c r="AC128" s="10">
        <v>18</v>
      </c>
      <c r="AD128" s="10">
        <v>14.4</v>
      </c>
      <c r="AE128" s="10">
        <v>2.8</v>
      </c>
      <c r="AF128" s="10">
        <v>0</v>
      </c>
      <c r="AG128" s="10"/>
      <c r="AH128" s="10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</sheetData>
  <autoFilter ref="A3:AH12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2026-10-06T09:20:37Z</dcterms:created>
  <dcterms:modified xsi:type="dcterms:W3CDTF">2026-10-06T10:17:50Z</dcterms:modified>
</cp:coreProperties>
</file>