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7879611-BD0D-4AB2-88C4-5065EBEC6E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X363" i="1"/>
  <c r="BO362" i="1"/>
  <c r="BM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X357" i="1"/>
  <c r="Y356" i="1"/>
  <c r="X356" i="1"/>
  <c r="BP355" i="1"/>
  <c r="BO355" i="1"/>
  <c r="BN355" i="1"/>
  <c r="BM355" i="1"/>
  <c r="Z355" i="1"/>
  <c r="Z356" i="1" s="1"/>
  <c r="Y355" i="1"/>
  <c r="Y357" i="1" s="1"/>
  <c r="P355" i="1"/>
  <c r="X353" i="1"/>
  <c r="Y352" i="1"/>
  <c r="X352" i="1"/>
  <c r="BP351" i="1"/>
  <c r="BO351" i="1"/>
  <c r="BN351" i="1"/>
  <c r="BM351" i="1"/>
  <c r="Z351" i="1"/>
  <c r="Z352" i="1" s="1"/>
  <c r="Y351" i="1"/>
  <c r="S572" i="1" s="1"/>
  <c r="P351" i="1"/>
  <c r="X348" i="1"/>
  <c r="Y347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N313" i="1"/>
  <c r="BM313" i="1"/>
  <c r="Z313" i="1"/>
  <c r="Y313" i="1"/>
  <c r="BP313" i="1" s="1"/>
  <c r="P313" i="1"/>
  <c r="BO312" i="1"/>
  <c r="BM312" i="1"/>
  <c r="Y312" i="1"/>
  <c r="P312" i="1"/>
  <c r="BO311" i="1"/>
  <c r="BM311" i="1"/>
  <c r="Y311" i="1"/>
  <c r="BP311" i="1" s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X289" i="1"/>
  <c r="X288" i="1"/>
  <c r="BO287" i="1"/>
  <c r="BM287" i="1"/>
  <c r="Y287" i="1"/>
  <c r="P287" i="1"/>
  <c r="BO286" i="1"/>
  <c r="BM286" i="1"/>
  <c r="Y286" i="1"/>
  <c r="BP286" i="1" s="1"/>
  <c r="P286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O251" i="1"/>
  <c r="BM251" i="1"/>
  <c r="Y251" i="1"/>
  <c r="BO250" i="1"/>
  <c r="BM250" i="1"/>
  <c r="Y250" i="1"/>
  <c r="P250" i="1"/>
  <c r="BO249" i="1"/>
  <c r="BM249" i="1"/>
  <c r="Y249" i="1"/>
  <c r="BP249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X162" i="1"/>
  <c r="BO161" i="1"/>
  <c r="BM161" i="1"/>
  <c r="Y161" i="1"/>
  <c r="BP161" i="1" s="1"/>
  <c r="P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X155" i="1"/>
  <c r="X154" i="1"/>
  <c r="BO153" i="1"/>
  <c r="BM153" i="1"/>
  <c r="Y153" i="1"/>
  <c r="P153" i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H572" i="1" s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Y122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2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Y33" i="1" s="1"/>
  <c r="P30" i="1"/>
  <c r="X28" i="1"/>
  <c r="X27" i="1"/>
  <c r="BO26" i="1"/>
  <c r="BM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X564" i="1" s="1"/>
  <c r="BM22" i="1"/>
  <c r="Y22" i="1"/>
  <c r="B572" i="1" s="1"/>
  <c r="P22" i="1"/>
  <c r="H10" i="1"/>
  <c r="A9" i="1"/>
  <c r="F10" i="1" s="1"/>
  <c r="D7" i="1"/>
  <c r="Q6" i="1"/>
  <c r="P2" i="1"/>
  <c r="BP320" i="1" l="1"/>
  <c r="BN320" i="1"/>
  <c r="Z320" i="1"/>
  <c r="BP338" i="1"/>
  <c r="BN338" i="1"/>
  <c r="Z338" i="1"/>
  <c r="BP362" i="1"/>
  <c r="BN362" i="1"/>
  <c r="Z362" i="1"/>
  <c r="BP373" i="1"/>
  <c r="BN373" i="1"/>
  <c r="Z373" i="1"/>
  <c r="BP383" i="1"/>
  <c r="BN383" i="1"/>
  <c r="Z383" i="1"/>
  <c r="BP401" i="1"/>
  <c r="BN401" i="1"/>
  <c r="Z401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X563" i="1"/>
  <c r="X565" i="1" s="1"/>
  <c r="Z23" i="1"/>
  <c r="BN23" i="1"/>
  <c r="X566" i="1"/>
  <c r="Z31" i="1"/>
  <c r="BN31" i="1"/>
  <c r="Z39" i="1"/>
  <c r="BN39" i="1"/>
  <c r="Z47" i="1"/>
  <c r="BN47" i="1"/>
  <c r="Z56" i="1"/>
  <c r="BN56" i="1"/>
  <c r="Z60" i="1"/>
  <c r="BN60" i="1"/>
  <c r="Z66" i="1"/>
  <c r="BN66" i="1"/>
  <c r="BP6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Z112" i="1"/>
  <c r="BN112" i="1"/>
  <c r="BP112" i="1"/>
  <c r="Z118" i="1"/>
  <c r="BN118" i="1"/>
  <c r="BP118" i="1"/>
  <c r="Z131" i="1"/>
  <c r="BN131" i="1"/>
  <c r="Y137" i="1"/>
  <c r="Z141" i="1"/>
  <c r="BN141" i="1"/>
  <c r="Z148" i="1"/>
  <c r="BN148" i="1"/>
  <c r="Z161" i="1"/>
  <c r="BN161" i="1"/>
  <c r="Z171" i="1"/>
  <c r="BN171" i="1"/>
  <c r="Z175" i="1"/>
  <c r="BN175" i="1"/>
  <c r="Z179" i="1"/>
  <c r="BN179" i="1"/>
  <c r="Z201" i="1"/>
  <c r="BN201" i="1"/>
  <c r="Z205" i="1"/>
  <c r="BN205" i="1"/>
  <c r="Y228" i="1"/>
  <c r="Z216" i="1"/>
  <c r="BN216" i="1"/>
  <c r="Z220" i="1"/>
  <c r="BN220" i="1"/>
  <c r="Z224" i="1"/>
  <c r="BN224" i="1"/>
  <c r="Z230" i="1"/>
  <c r="BN230" i="1"/>
  <c r="BP230" i="1"/>
  <c r="Z234" i="1"/>
  <c r="BN234" i="1"/>
  <c r="Y242" i="1"/>
  <c r="Z240" i="1"/>
  <c r="BN240" i="1"/>
  <c r="Y241" i="1"/>
  <c r="Z244" i="1"/>
  <c r="Z245" i="1" s="1"/>
  <c r="BN244" i="1"/>
  <c r="BP244" i="1"/>
  <c r="Y245" i="1"/>
  <c r="Z249" i="1"/>
  <c r="BN249" i="1"/>
  <c r="Z256" i="1"/>
  <c r="BN256" i="1"/>
  <c r="Z260" i="1"/>
  <c r="BN260" i="1"/>
  <c r="Z264" i="1"/>
  <c r="BN264" i="1"/>
  <c r="Z272" i="1"/>
  <c r="BN272" i="1"/>
  <c r="Z276" i="1"/>
  <c r="BN276" i="1"/>
  <c r="Z280" i="1"/>
  <c r="BN280" i="1"/>
  <c r="Z286" i="1"/>
  <c r="BN286" i="1"/>
  <c r="Z295" i="1"/>
  <c r="BN295" i="1"/>
  <c r="Z311" i="1"/>
  <c r="BN311" i="1"/>
  <c r="BP324" i="1"/>
  <c r="BN324" i="1"/>
  <c r="Z324" i="1"/>
  <c r="Y348" i="1"/>
  <c r="BP344" i="1"/>
  <c r="BN344" i="1"/>
  <c r="Z344" i="1"/>
  <c r="BP369" i="1"/>
  <c r="BN369" i="1"/>
  <c r="Z369" i="1"/>
  <c r="BP379" i="1"/>
  <c r="BN379" i="1"/>
  <c r="Z379" i="1"/>
  <c r="BP389" i="1"/>
  <c r="BN389" i="1"/>
  <c r="Z389" i="1"/>
  <c r="Y411" i="1"/>
  <c r="BP407" i="1"/>
  <c r="BN407" i="1"/>
  <c r="Z407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U572" i="1"/>
  <c r="Y391" i="1"/>
  <c r="Y478" i="1"/>
  <c r="Y477" i="1"/>
  <c r="Y555" i="1"/>
  <c r="AC572" i="1"/>
  <c r="H9" i="1"/>
  <c r="A10" i="1"/>
  <c r="Y28" i="1"/>
  <c r="Y32" i="1"/>
  <c r="Y42" i="1"/>
  <c r="Y52" i="1"/>
  <c r="Y63" i="1"/>
  <c r="Y71" i="1"/>
  <c r="Y75" i="1"/>
  <c r="Y81" i="1"/>
  <c r="Y92" i="1"/>
  <c r="Y98" i="1"/>
  <c r="Y109" i="1"/>
  <c r="Y115" i="1"/>
  <c r="Y123" i="1"/>
  <c r="Y127" i="1"/>
  <c r="Y132" i="1"/>
  <c r="Y138" i="1"/>
  <c r="Y142" i="1"/>
  <c r="BP147" i="1"/>
  <c r="BN147" i="1"/>
  <c r="BP149" i="1"/>
  <c r="BN149" i="1"/>
  <c r="Z149" i="1"/>
  <c r="Y151" i="1"/>
  <c r="Y154" i="1"/>
  <c r="BP153" i="1"/>
  <c r="BN153" i="1"/>
  <c r="Z153" i="1"/>
  <c r="Z154" i="1" s="1"/>
  <c r="Y155" i="1"/>
  <c r="J572" i="1"/>
  <c r="Y163" i="1"/>
  <c r="BP158" i="1"/>
  <c r="BN158" i="1"/>
  <c r="Z158" i="1"/>
  <c r="Y162" i="1"/>
  <c r="BP166" i="1"/>
  <c r="BN166" i="1"/>
  <c r="Z166" i="1"/>
  <c r="Z167" i="1" s="1"/>
  <c r="Y168" i="1"/>
  <c r="Y181" i="1"/>
  <c r="BP170" i="1"/>
  <c r="BN170" i="1"/>
  <c r="Z170" i="1"/>
  <c r="BP174" i="1"/>
  <c r="BN174" i="1"/>
  <c r="Z174" i="1"/>
  <c r="BP178" i="1"/>
  <c r="BN178" i="1"/>
  <c r="Z178" i="1"/>
  <c r="BP200" i="1"/>
  <c r="BN200" i="1"/>
  <c r="Z200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33" i="1"/>
  <c r="BN233" i="1"/>
  <c r="Z233" i="1"/>
  <c r="BP250" i="1"/>
  <c r="BN250" i="1"/>
  <c r="Z250" i="1"/>
  <c r="Z252" i="1" s="1"/>
  <c r="BP261" i="1"/>
  <c r="BN261" i="1"/>
  <c r="Z261" i="1"/>
  <c r="BP265" i="1"/>
  <c r="BN265" i="1"/>
  <c r="Z265" i="1"/>
  <c r="BP321" i="1"/>
  <c r="BN321" i="1"/>
  <c r="Z321" i="1"/>
  <c r="BP325" i="1"/>
  <c r="BN325" i="1"/>
  <c r="Z325" i="1"/>
  <c r="Y327" i="1"/>
  <c r="Y333" i="1"/>
  <c r="BP330" i="1"/>
  <c r="BN330" i="1"/>
  <c r="Z330" i="1"/>
  <c r="Y334" i="1"/>
  <c r="BP339" i="1"/>
  <c r="BN339" i="1"/>
  <c r="Z339" i="1"/>
  <c r="BP370" i="1"/>
  <c r="BN370" i="1"/>
  <c r="Z370" i="1"/>
  <c r="Y374" i="1"/>
  <c r="BP378" i="1"/>
  <c r="BN378" i="1"/>
  <c r="Z378" i="1"/>
  <c r="Y384" i="1"/>
  <c r="BP382" i="1"/>
  <c r="BN382" i="1"/>
  <c r="Z382" i="1"/>
  <c r="BP414" i="1"/>
  <c r="BN414" i="1"/>
  <c r="Z414" i="1"/>
  <c r="Z416" i="1" s="1"/>
  <c r="Y416" i="1"/>
  <c r="BP460" i="1"/>
  <c r="BN460" i="1"/>
  <c r="Z460" i="1"/>
  <c r="Z461" i="1" s="1"/>
  <c r="Y462" i="1"/>
  <c r="Y468" i="1"/>
  <c r="BP465" i="1"/>
  <c r="BN465" i="1"/>
  <c r="Z465" i="1"/>
  <c r="Z467" i="1" s="1"/>
  <c r="Y467" i="1"/>
  <c r="Y572" i="1"/>
  <c r="Q572" i="1"/>
  <c r="F9" i="1"/>
  <c r="J9" i="1"/>
  <c r="Z22" i="1"/>
  <c r="BN22" i="1"/>
  <c r="BP22" i="1"/>
  <c r="Z24" i="1"/>
  <c r="BN24" i="1"/>
  <c r="Z26" i="1"/>
  <c r="BN26" i="1"/>
  <c r="Y27" i="1"/>
  <c r="X562" i="1"/>
  <c r="Z30" i="1"/>
  <c r="Z32" i="1" s="1"/>
  <c r="BN30" i="1"/>
  <c r="BP30" i="1"/>
  <c r="C572" i="1"/>
  <c r="Z38" i="1"/>
  <c r="BN38" i="1"/>
  <c r="Z40" i="1"/>
  <c r="BN40" i="1"/>
  <c r="Y43" i="1"/>
  <c r="D572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Z81" i="1" s="1"/>
  <c r="BN79" i="1"/>
  <c r="F572" i="1"/>
  <c r="Z86" i="1"/>
  <c r="BN86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BN140" i="1"/>
  <c r="BP140" i="1"/>
  <c r="I572" i="1"/>
  <c r="Y150" i="1"/>
  <c r="Z147" i="1"/>
  <c r="Z150" i="1" s="1"/>
  <c r="BP160" i="1"/>
  <c r="BN160" i="1"/>
  <c r="Z160" i="1"/>
  <c r="Y167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BP202" i="1"/>
  <c r="BN202" i="1"/>
  <c r="Z202" i="1"/>
  <c r="Y206" i="1"/>
  <c r="BP215" i="1"/>
  <c r="BN215" i="1"/>
  <c r="Z215" i="1"/>
  <c r="BP219" i="1"/>
  <c r="BN219" i="1"/>
  <c r="Z219" i="1"/>
  <c r="Z227" i="1" s="1"/>
  <c r="BP223" i="1"/>
  <c r="BN223" i="1"/>
  <c r="Z223" i="1"/>
  <c r="Y227" i="1"/>
  <c r="BP231" i="1"/>
  <c r="BN231" i="1"/>
  <c r="Z231" i="1"/>
  <c r="Y235" i="1"/>
  <c r="BP239" i="1"/>
  <c r="BN239" i="1"/>
  <c r="Z239" i="1"/>
  <c r="Z241" i="1" s="1"/>
  <c r="BP251" i="1"/>
  <c r="BN251" i="1"/>
  <c r="Z251" i="1"/>
  <c r="Y253" i="1"/>
  <c r="Y258" i="1"/>
  <c r="BP255" i="1"/>
  <c r="BN255" i="1"/>
  <c r="Z255" i="1"/>
  <c r="Z257" i="1" s="1"/>
  <c r="BP263" i="1"/>
  <c r="BN263" i="1"/>
  <c r="Z263" i="1"/>
  <c r="BP267" i="1"/>
  <c r="BN267" i="1"/>
  <c r="Z267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Y289" i="1"/>
  <c r="O572" i="1"/>
  <c r="Y299" i="1"/>
  <c r="BP292" i="1"/>
  <c r="BN292" i="1"/>
  <c r="Z292" i="1"/>
  <c r="Y300" i="1"/>
  <c r="BP296" i="1"/>
  <c r="BN296" i="1"/>
  <c r="Z296" i="1"/>
  <c r="BP312" i="1"/>
  <c r="BN312" i="1"/>
  <c r="Z312" i="1"/>
  <c r="BP361" i="1"/>
  <c r="BN361" i="1"/>
  <c r="Z361" i="1"/>
  <c r="Z363" i="1" s="1"/>
  <c r="Y363" i="1"/>
  <c r="BP390" i="1"/>
  <c r="BN390" i="1"/>
  <c r="Z390" i="1"/>
  <c r="Y392" i="1"/>
  <c r="Y397" i="1"/>
  <c r="BP394" i="1"/>
  <c r="BN394" i="1"/>
  <c r="Z394" i="1"/>
  <c r="Y398" i="1"/>
  <c r="BP402" i="1"/>
  <c r="BN402" i="1"/>
  <c r="Z402" i="1"/>
  <c r="K572" i="1"/>
  <c r="Y207" i="1"/>
  <c r="L572" i="1"/>
  <c r="Y212" i="1"/>
  <c r="M572" i="1"/>
  <c r="Y252" i="1"/>
  <c r="Y268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Z314" i="1" s="1"/>
  <c r="Y314" i="1"/>
  <c r="BP319" i="1"/>
  <c r="BN319" i="1"/>
  <c r="Z319" i="1"/>
  <c r="Z326" i="1" s="1"/>
  <c r="BP323" i="1"/>
  <c r="BN323" i="1"/>
  <c r="Z323" i="1"/>
  <c r="BP332" i="1"/>
  <c r="BN332" i="1"/>
  <c r="Z332" i="1"/>
  <c r="R572" i="1"/>
  <c r="Y342" i="1"/>
  <c r="BP337" i="1"/>
  <c r="BN337" i="1"/>
  <c r="Z337" i="1"/>
  <c r="Y341" i="1"/>
  <c r="BP345" i="1"/>
  <c r="BN345" i="1"/>
  <c r="Z345" i="1"/>
  <c r="BP368" i="1"/>
  <c r="BN368" i="1"/>
  <c r="Z368" i="1"/>
  <c r="Z374" i="1" s="1"/>
  <c r="BP372" i="1"/>
  <c r="BN372" i="1"/>
  <c r="Z372" i="1"/>
  <c r="Y385" i="1"/>
  <c r="BP380" i="1"/>
  <c r="BN380" i="1"/>
  <c r="Z380" i="1"/>
  <c r="BP388" i="1"/>
  <c r="BN388" i="1"/>
  <c r="Z388" i="1"/>
  <c r="Z391" i="1" s="1"/>
  <c r="BP396" i="1"/>
  <c r="BN396" i="1"/>
  <c r="Z396" i="1"/>
  <c r="Y405" i="1"/>
  <c r="BP400" i="1"/>
  <c r="BN400" i="1"/>
  <c r="Z400" i="1"/>
  <c r="Y404" i="1"/>
  <c r="BP408" i="1"/>
  <c r="BN408" i="1"/>
  <c r="Z408" i="1"/>
  <c r="Z410" i="1" s="1"/>
  <c r="Y417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Z450" i="1" s="1"/>
  <c r="Y450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P572" i="1"/>
  <c r="Y326" i="1"/>
  <c r="Y353" i="1"/>
  <c r="T572" i="1"/>
  <c r="Y364" i="1"/>
  <c r="Y375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Y451" i="1"/>
  <c r="BP454" i="1"/>
  <c r="BN454" i="1"/>
  <c r="Z454" i="1"/>
  <c r="Z456" i="1" s="1"/>
  <c r="Y461" i="1"/>
  <c r="Z47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Z522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488" i="1" l="1"/>
  <c r="Z122" i="1"/>
  <c r="Z91" i="1"/>
  <c r="Z70" i="1"/>
  <c r="Z384" i="1"/>
  <c r="Z532" i="1"/>
  <c r="Z424" i="1"/>
  <c r="Z404" i="1"/>
  <c r="Z347" i="1"/>
  <c r="Z341" i="1"/>
  <c r="Z288" i="1"/>
  <c r="Z235" i="1"/>
  <c r="Z206" i="1"/>
  <c r="Z142" i="1"/>
  <c r="Z109" i="1"/>
  <c r="Z98" i="1"/>
  <c r="Z51" i="1"/>
  <c r="Z42" i="1"/>
  <c r="Z268" i="1"/>
  <c r="Z503" i="1"/>
  <c r="Z397" i="1"/>
  <c r="Z299" i="1"/>
  <c r="Z283" i="1"/>
  <c r="Y566" i="1"/>
  <c r="Y563" i="1"/>
  <c r="Z333" i="1"/>
  <c r="Z162" i="1"/>
  <c r="Y562" i="1"/>
  <c r="Z516" i="1"/>
  <c r="Z444" i="1"/>
  <c r="Z63" i="1"/>
  <c r="Y564" i="1"/>
  <c r="Z27" i="1"/>
  <c r="Z181" i="1"/>
  <c r="Z567" i="1" l="1"/>
  <c r="Y565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<sst xmlns="http://schemas.openxmlformats.org/spreadsheetml/2006/main" count="2531" uniqueCount="914">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</sst>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1427</v>
      </c>
      <c r="Y47" s="636">
        <f>IFERROR(IF(X47="",0,CEILING((X47/$H47),1)*$H47),"")</f>
        <v>1436.4</v>
      </c>
      <c r="Z47" s="36">
        <f>IFERROR(IF(Y47=0,"",ROUNDUP(Y47/H47,0)*0.01898),"")</f>
        <v>2.52434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1481.1731481481481</v>
      </c>
      <c r="BN47" s="64">
        <f>IFERROR(Y47*I47/H47,"0")</f>
        <v>1490.93</v>
      </c>
      <c r="BO47" s="64">
        <f>IFERROR(1/J47*(X47/H47),"0")</f>
        <v>2.0645254629629628</v>
      </c>
      <c r="BP47" s="64">
        <f>IFERROR(1/J47*(Y47/H47),"0")</f>
        <v>2.078125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132.12962962962962</v>
      </c>
      <c r="Y51" s="637">
        <f>IFERROR(Y47/H47,"0")+IFERROR(Y48/H48,"0")+IFERROR(Y49/H49,"0")+IFERROR(Y50/H50,"0")</f>
        <v>133</v>
      </c>
      <c r="Z51" s="637">
        <f>IFERROR(IF(Z47="",0,Z47),"0")+IFERROR(IF(Z48="",0,Z48),"0")+IFERROR(IF(Z49="",0,Z49),"0")+IFERROR(IF(Z50="",0,Z50),"0")</f>
        <v>2.52434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1427</v>
      </c>
      <c r="Y52" s="637">
        <f>IFERROR(SUM(Y47:Y50),"0")</f>
        <v>1436.4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0</v>
      </c>
      <c r="Y63" s="637">
        <f>IFERROR(Y55/H55,"0")+IFERROR(Y56/H56,"0")+IFERROR(Y57/H57,"0")+IFERROR(Y58/H58,"0")+IFERROR(Y59/H59,"0")+IFERROR(Y60/H60,"0")+IFERROR(Y61/H61,"0")+IFERROR(Y62/H62,"0")</f>
        <v>0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8"/>
      <c r="AB63" s="638"/>
      <c r="AC63" s="638"/>
    </row>
    <row r="64" spans="1:68" hidden="1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0</v>
      </c>
      <c r="Y64" s="637">
        <f>IFERROR(SUM(Y55:Y62),"0")</f>
        <v>0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288</v>
      </c>
      <c r="Y66" s="636">
        <f>IFERROR(IF(X66="",0,CEILING((X66/$H66),1)*$H66),"")</f>
        <v>291.60000000000002</v>
      </c>
      <c r="Z66" s="36">
        <f>IFERROR(IF(Y66=0,"",ROUNDUP(Y66/H66,0)*0.01898),"")</f>
        <v>0.51246000000000003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298.93333333333334</v>
      </c>
      <c r="BN66" s="64">
        <f>IFERROR(Y66*I66/H66,"0")</f>
        <v>302.67000000000007</v>
      </c>
      <c r="BO66" s="64">
        <f>IFERROR(1/J66*(X66/H66),"0")</f>
        <v>0.41666666666666663</v>
      </c>
      <c r="BP66" s="64">
        <f>IFERROR(1/J66*(Y66/H66),"0")</f>
        <v>0.421875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26.666666666666664</v>
      </c>
      <c r="Y70" s="637">
        <f>IFERROR(Y66/H66,"0")+IFERROR(Y67/H67,"0")+IFERROR(Y68/H68,"0")+IFERROR(Y69/H69,"0")</f>
        <v>27</v>
      </c>
      <c r="Z70" s="637">
        <f>IFERROR(IF(Z66="",0,Z66),"0")+IFERROR(IF(Z67="",0,Z67),"0")+IFERROR(IF(Z68="",0,Z68),"0")+IFERROR(IF(Z69="",0,Z69),"0")</f>
        <v>0.51246000000000003</v>
      </c>
      <c r="AA70" s="638"/>
      <c r="AB70" s="638"/>
      <c r="AC70" s="638"/>
    </row>
    <row r="71" spans="1:68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288</v>
      </c>
      <c r="Y71" s="637">
        <f>IFERROR(SUM(Y66:Y69),"0")</f>
        <v>291.60000000000002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309</v>
      </c>
      <c r="Y85" s="636">
        <f t="shared" ref="Y85:Y90" si="5">IFERROR(IF(X85="",0,CEILING((X85/$H85),1)*$H85),"")</f>
        <v>313.20000000000005</v>
      </c>
      <c r="Z85" s="36">
        <f>IFERROR(IF(Y85=0,"",ROUNDUP(Y85/H85,0)*0.01898),"")</f>
        <v>0.55042000000000002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320.73055555555555</v>
      </c>
      <c r="BN85" s="64">
        <f t="shared" ref="BN85:BN90" si="7">IFERROR(Y85*I85/H85,"0")</f>
        <v>325.09000000000003</v>
      </c>
      <c r="BO85" s="64">
        <f t="shared" ref="BO85:BO90" si="8">IFERROR(1/J85*(X85/H85),"0")</f>
        <v>0.4470486111111111</v>
      </c>
      <c r="BP85" s="64">
        <f t="shared" ref="BP85:BP90" si="9">IFERROR(1/J85*(Y85/H85),"0")</f>
        <v>0.45312500000000006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28.611111111111111</v>
      </c>
      <c r="Y91" s="637">
        <f>IFERROR(Y85/H85,"0")+IFERROR(Y86/H86,"0")+IFERROR(Y87/H87,"0")+IFERROR(Y88/H88,"0")+IFERROR(Y89/H89,"0")+IFERROR(Y90/H90,"0")</f>
        <v>29.000000000000004</v>
      </c>
      <c r="Z91" s="637">
        <f>IFERROR(IF(Z85="",0,Z85),"0")+IFERROR(IF(Z86="",0,Z86),"0")+IFERROR(IF(Z87="",0,Z87),"0")+IFERROR(IF(Z88="",0,Z88),"0")+IFERROR(IF(Z89="",0,Z89),"0")+IFERROR(IF(Z90="",0,Z90),"0")</f>
        <v>0.55042000000000002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309</v>
      </c>
      <c r="Y92" s="637">
        <f>IFERROR(SUM(Y85:Y90),"0")</f>
        <v>313.20000000000005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390</v>
      </c>
      <c r="Y94" s="636">
        <f>IFERROR(IF(X94="",0,CEILING((X94/$H94),1)*$H94),"")</f>
        <v>396.9</v>
      </c>
      <c r="Z94" s="36">
        <f>IFERROR(IF(Y94=0,"",ROUNDUP(Y94/H94,0)*0.01898),"")</f>
        <v>0.93002000000000007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413.78518518518518</v>
      </c>
      <c r="BN94" s="64">
        <f>IFERROR(Y94*I94/H94,"0")</f>
        <v>421.10599999999994</v>
      </c>
      <c r="BO94" s="64">
        <f>IFERROR(1/J94*(X94/H94),"0")</f>
        <v>0.75231481481481488</v>
      </c>
      <c r="BP94" s="64">
        <f>IFERROR(1/J94*(Y94/H94),"0")</f>
        <v>0.765625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0</v>
      </c>
      <c r="Y96" s="63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48.148148148148152</v>
      </c>
      <c r="Y98" s="637">
        <f>IFERROR(Y94/H94,"0")+IFERROR(Y95/H95,"0")+IFERROR(Y96/H96,"0")+IFERROR(Y97/H97,"0")</f>
        <v>49</v>
      </c>
      <c r="Z98" s="637">
        <f>IFERROR(IF(Z94="",0,Z94),"0")+IFERROR(IF(Z95="",0,Z95),"0")+IFERROR(IF(Z96="",0,Z96),"0")+IFERROR(IF(Z97="",0,Z97),"0")</f>
        <v>0.93002000000000007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390</v>
      </c>
      <c r="Y99" s="637">
        <f>IFERROR(SUM(Y94:Y97),"0")</f>
        <v>396.9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470</v>
      </c>
      <c r="Y102" s="636">
        <f t="shared" ref="Y102:Y108" si="10">IFERROR(IF(X102="",0,CEILING((X102/$H102),1)*$H102),"")</f>
        <v>475.20000000000005</v>
      </c>
      <c r="Z102" s="36">
        <f>IFERROR(IF(Y102=0,"",ROUNDUP(Y102/H102,0)*0.01898),"")</f>
        <v>0.83511999999999997</v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487.84259259259261</v>
      </c>
      <c r="BN102" s="64">
        <f t="shared" ref="BN102:BN108" si="12">IFERROR(Y102*I102/H102,"0")</f>
        <v>493.24000000000007</v>
      </c>
      <c r="BO102" s="64">
        <f t="shared" ref="BO102:BO108" si="13">IFERROR(1/J102*(X102/H102),"0")</f>
        <v>0.67997685185185186</v>
      </c>
      <c r="BP102" s="64">
        <f t="shared" ref="BP102:BP108" si="14">IFERROR(1/J102*(Y102/H102),"0")</f>
        <v>0.6875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43.518518518518519</v>
      </c>
      <c r="Y109" s="637">
        <f>IFERROR(Y102/H102,"0")+IFERROR(Y103/H103,"0")+IFERROR(Y104/H104,"0")+IFERROR(Y105/H105,"0")+IFERROR(Y106/H106,"0")+IFERROR(Y107/H107,"0")+IFERROR(Y108/H108,"0")</f>
        <v>44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0.83511999999999997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470</v>
      </c>
      <c r="Y110" s="637">
        <f>IFERROR(SUM(Y102:Y108),"0")</f>
        <v>475.20000000000005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554</v>
      </c>
      <c r="Y118" s="636">
        <f>IFERROR(IF(X118="",0,CEILING((X118/$H118),1)*$H118),"")</f>
        <v>558.9</v>
      </c>
      <c r="Z118" s="36">
        <f>IFERROR(IF(Y118=0,"",ROUNDUP(Y118/H118,0)*0.01898),"")</f>
        <v>1.30962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587.37679012345677</v>
      </c>
      <c r="BN118" s="64">
        <f>IFERROR(Y118*I118/H118,"0")</f>
        <v>592.57199999999989</v>
      </c>
      <c r="BO118" s="64">
        <f>IFERROR(1/J118*(X118/H118),"0")</f>
        <v>1.0686728395061729</v>
      </c>
      <c r="BP118" s="64">
        <f>IFERROR(1/J118*(Y118/H118),"0")</f>
        <v>1.078125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153</v>
      </c>
      <c r="Y120" s="636">
        <f>IFERROR(IF(X120="",0,CEILING((X120/$H120),1)*$H120),"")</f>
        <v>153.9</v>
      </c>
      <c r="Z120" s="36">
        <f>IFERROR(IF(Y120=0,"",ROUNDUP(Y120/H120,0)*0.00651),"")</f>
        <v>0.37107000000000001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167.28</v>
      </c>
      <c r="BN120" s="64">
        <f>IFERROR(Y120*I120/H120,"0")</f>
        <v>168.26400000000001</v>
      </c>
      <c r="BO120" s="64">
        <f>IFERROR(1/J120*(X120/H120),"0")</f>
        <v>0.31135531135531136</v>
      </c>
      <c r="BP120" s="64">
        <f>IFERROR(1/J120*(Y120/H120),"0")</f>
        <v>0.31318681318681318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125.06172839506172</v>
      </c>
      <c r="Y122" s="637">
        <f>IFERROR(Y118/H118,"0")+IFERROR(Y119/H119,"0")+IFERROR(Y120/H120,"0")+IFERROR(Y121/H121,"0")</f>
        <v>126</v>
      </c>
      <c r="Z122" s="637">
        <f>IFERROR(IF(Z118="",0,Z118),"0")+IFERROR(IF(Z119="",0,Z119),"0")+IFERROR(IF(Z120="",0,Z120),"0")+IFERROR(IF(Z121="",0,Z121),"0")</f>
        <v>1.68069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707</v>
      </c>
      <c r="Y123" s="637">
        <f>IFERROR(SUM(Y118:Y121),"0")</f>
        <v>712.8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248</v>
      </c>
      <c r="Y171" s="636">
        <f t="shared" si="15"/>
        <v>248.5</v>
      </c>
      <c r="Z171" s="36">
        <f>IFERROR(IF(Y171=0,"",ROUNDUP(Y171/H171,0)*0.00902),"")</f>
        <v>0.64041999999999999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261.46285714285716</v>
      </c>
      <c r="BN171" s="64">
        <f t="shared" si="17"/>
        <v>261.99</v>
      </c>
      <c r="BO171" s="64">
        <f t="shared" si="18"/>
        <v>0.53679653679653683</v>
      </c>
      <c r="BP171" s="64">
        <f t="shared" si="19"/>
        <v>0.53787878787878785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413</v>
      </c>
      <c r="Y174" s="636">
        <f t="shared" si="15"/>
        <v>413</v>
      </c>
      <c r="Z174" s="36">
        <f>IFERROR(IF(Y174=0,"",ROUNDUP(Y174/H174,0)*0.00902),"")</f>
        <v>1.06436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435.42</v>
      </c>
      <c r="BN174" s="64">
        <f t="shared" si="17"/>
        <v>435.42</v>
      </c>
      <c r="BO174" s="64">
        <f t="shared" si="18"/>
        <v>0.89393939393939392</v>
      </c>
      <c r="BP174" s="64">
        <f t="shared" si="19"/>
        <v>0.89393939393939392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188.85714285714286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189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1.70478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661</v>
      </c>
      <c r="Y182" s="637">
        <f>IFERROR(SUM(Y170:Y180),"0")</f>
        <v>661.5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321</v>
      </c>
      <c r="Y224" s="636">
        <f t="shared" si="26"/>
        <v>321.3</v>
      </c>
      <c r="Z224" s="36">
        <f>IFERROR(IF(Y224=0,"",ROUNDUP(Y224/H224,0)*0.00502),"")</f>
        <v>0.76806000000000008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336.28571428571428</v>
      </c>
      <c r="BN224" s="64">
        <f t="shared" si="28"/>
        <v>336.6</v>
      </c>
      <c r="BO224" s="64">
        <f t="shared" si="29"/>
        <v>0.65323565323565336</v>
      </c>
      <c r="BP224" s="64">
        <f t="shared" si="30"/>
        <v>0.65384615384615397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152.85714285714286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153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0.76806000000000008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321</v>
      </c>
      <c r="Y228" s="637">
        <f>IFERROR(SUM(Y214:Y226),"0")</f>
        <v>321.3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507</v>
      </c>
      <c r="Y262" s="636">
        <f t="shared" si="31"/>
        <v>507.6</v>
      </c>
      <c r="Z262" s="36">
        <f>IFERROR(IF(Y262=0,"",ROUNDUP(Y262/H262,0)*0.00902),"")</f>
        <v>0.84787999999999997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524.83888888888885</v>
      </c>
      <c r="BN262" s="64">
        <f t="shared" si="33"/>
        <v>525.45999999999992</v>
      </c>
      <c r="BO262" s="64">
        <f t="shared" si="34"/>
        <v>0.71127946127946129</v>
      </c>
      <c r="BP262" s="64">
        <f t="shared" si="35"/>
        <v>0.71212121212121215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93.888888888888886</v>
      </c>
      <c r="Y268" s="637">
        <f>IFERROR(Y260/H260,"0")+IFERROR(Y261/H261,"0")+IFERROR(Y262/H262,"0")+IFERROR(Y263/H263,"0")+IFERROR(Y264/H264,"0")+IFERROR(Y265/H265,"0")+IFERROR(Y266/H266,"0")+IFERROR(Y267/H267,"0")</f>
        <v>94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0.84787999999999997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507</v>
      </c>
      <c r="Y269" s="637">
        <f>IFERROR(SUM(Y260:Y267),"0")</f>
        <v>507.6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192</v>
      </c>
      <c r="Y275" s="636">
        <f t="shared" si="36"/>
        <v>192</v>
      </c>
      <c r="Z275" s="36">
        <f>IFERROR(IF(Y275=0,"",ROUNDUP(Y275/H275,0)*0.00651),"")</f>
        <v>0.52080000000000004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213.6</v>
      </c>
      <c r="BN275" s="64">
        <f t="shared" si="38"/>
        <v>213.6</v>
      </c>
      <c r="BO275" s="64">
        <f t="shared" si="39"/>
        <v>0.43956043956043961</v>
      </c>
      <c r="BP275" s="64">
        <f t="shared" si="40"/>
        <v>0.43956043956043961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1110</v>
      </c>
      <c r="Y277" s="636">
        <f t="shared" si="36"/>
        <v>1111.2</v>
      </c>
      <c r="Z277" s="36">
        <f>IFERROR(IF(Y277=0,"",ROUNDUP(Y277/H277,0)*0.00651),"")</f>
        <v>3.0141300000000002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1226.5500000000002</v>
      </c>
      <c r="BN277" s="64">
        <f t="shared" si="38"/>
        <v>1227.8760000000002</v>
      </c>
      <c r="BO277" s="64">
        <f t="shared" si="39"/>
        <v>2.5412087912087915</v>
      </c>
      <c r="BP277" s="64">
        <f t="shared" si="40"/>
        <v>2.5439560439560447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287</v>
      </c>
      <c r="Y279" s="636">
        <f t="shared" si="36"/>
        <v>288</v>
      </c>
      <c r="Z279" s="36">
        <f>IFERROR(IF(Y279=0,"",ROUNDUP(Y279/H279,0)*0.00651),"")</f>
        <v>0.78120000000000001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317.13500000000005</v>
      </c>
      <c r="BN279" s="64">
        <f t="shared" si="38"/>
        <v>318.24000000000007</v>
      </c>
      <c r="BO279" s="64">
        <f t="shared" si="39"/>
        <v>0.65705128205128216</v>
      </c>
      <c r="BP279" s="64">
        <f t="shared" si="40"/>
        <v>0.65934065934065944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113</v>
      </c>
      <c r="Y280" s="636">
        <f t="shared" si="36"/>
        <v>115.19999999999999</v>
      </c>
      <c r="Z280" s="36">
        <f>IFERROR(IF(Y280=0,"",ROUNDUP(Y280/H280,0)*0.00651),"")</f>
        <v>0.31247999999999998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124.86499999999999</v>
      </c>
      <c r="BN280" s="64">
        <f t="shared" si="38"/>
        <v>127.29600000000001</v>
      </c>
      <c r="BO280" s="64">
        <f t="shared" si="39"/>
        <v>0.25869963369963372</v>
      </c>
      <c r="BP280" s="64">
        <f t="shared" si="40"/>
        <v>0.26373626373626374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116</v>
      </c>
      <c r="Y281" s="636">
        <f t="shared" si="36"/>
        <v>117.6</v>
      </c>
      <c r="Z281" s="36">
        <f>IFERROR(IF(Y281=0,"",ROUNDUP(Y281/H281,0)*0.00651),"")</f>
        <v>0.31899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128.47</v>
      </c>
      <c r="BN281" s="64">
        <f t="shared" si="38"/>
        <v>130.24199999999999</v>
      </c>
      <c r="BO281" s="64">
        <f t="shared" si="39"/>
        <v>0.26556776556776562</v>
      </c>
      <c r="BP281" s="64">
        <f t="shared" si="40"/>
        <v>0.26923076923076927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757.50000000000011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760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4.9476000000000004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1818</v>
      </c>
      <c r="Y284" s="637">
        <f>IFERROR(SUM(Y271:Y282),"0")</f>
        <v>1824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0</v>
      </c>
      <c r="Y333" s="637">
        <f>IFERROR(Y330/H330,"0")+IFERROR(Y331/H331,"0")+IFERROR(Y332/H332,"0")</f>
        <v>0</v>
      </c>
      <c r="Z333" s="637">
        <f>IFERROR(IF(Z330="",0,Z330),"0")+IFERROR(IF(Z331="",0,Z331),"0")+IFERROR(IF(Z332="",0,Z332),"0")</f>
        <v>0</v>
      </c>
      <c r="AA333" s="638"/>
      <c r="AB333" s="638"/>
      <c r="AC333" s="638"/>
    </row>
    <row r="334" spans="1:68" hidden="1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0</v>
      </c>
      <c r="Y334" s="637">
        <f>IFERROR(SUM(Y330:Y332),"0")</f>
        <v>0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287</v>
      </c>
      <c r="Y361" s="636">
        <f>IFERROR(IF(X361="",0,CEILING((X361/$H361),1)*$H361),"")</f>
        <v>288.59999999999997</v>
      </c>
      <c r="Z361" s="36">
        <f>IFERROR(IF(Y361=0,"",ROUNDUP(Y361/H361,0)*0.01898),"")</f>
        <v>0.70226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302.08589743589749</v>
      </c>
      <c r="BN361" s="64">
        <f>IFERROR(Y361*I361/H361,"0")</f>
        <v>303.77</v>
      </c>
      <c r="BO361" s="64">
        <f>IFERROR(1/J361*(X361/H361),"0")</f>
        <v>0.57491987179487181</v>
      </c>
      <c r="BP361" s="64">
        <f>IFERROR(1/J361*(Y361/H361),"0")</f>
        <v>0.578125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36.794871794871796</v>
      </c>
      <c r="Y363" s="637">
        <f>IFERROR(Y360/H360,"0")+IFERROR(Y361/H361,"0")+IFERROR(Y362/H362,"0")</f>
        <v>37</v>
      </c>
      <c r="Z363" s="637">
        <f>IFERROR(IF(Z360="",0,Z360),"0")+IFERROR(IF(Z361="",0,Z361),"0")+IFERROR(IF(Z362="",0,Z362),"0")</f>
        <v>0.70226</v>
      </c>
      <c r="AA363" s="638"/>
      <c r="AB363" s="638"/>
      <c r="AC363" s="638"/>
    </row>
    <row r="364" spans="1:68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287</v>
      </c>
      <c r="Y364" s="637">
        <f>IFERROR(SUM(Y360:Y362),"0")</f>
        <v>288.59999999999997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749</v>
      </c>
      <c r="Y395" s="636">
        <f>IFERROR(IF(X395="",0,CEILING((X395/$H395),1)*$H395),"")</f>
        <v>756.6</v>
      </c>
      <c r="Z395" s="36">
        <f>IFERROR(IF(Y395=0,"",ROUNDUP(Y395/H395,0)*0.01898),"")</f>
        <v>1.8410600000000001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796.43666666666672</v>
      </c>
      <c r="BN395" s="64">
        <f>IFERROR(Y395*I395/H395,"0")</f>
        <v>804.51800000000014</v>
      </c>
      <c r="BO395" s="64">
        <f>IFERROR(1/J395*(X395/H395),"0")</f>
        <v>1.500400641025641</v>
      </c>
      <c r="BP395" s="64">
        <f>IFERROR(1/J395*(Y395/H395),"0")</f>
        <v>1.515625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96.025641025641022</v>
      </c>
      <c r="Y397" s="637">
        <f>IFERROR(Y394/H394,"0")+IFERROR(Y395/H395,"0")+IFERROR(Y396/H396,"0")</f>
        <v>97</v>
      </c>
      <c r="Z397" s="637">
        <f>IFERROR(IF(Z394="",0,Z394),"0")+IFERROR(IF(Z395="",0,Z395),"0")+IFERROR(IF(Z396="",0,Z396),"0")</f>
        <v>1.8410600000000001</v>
      </c>
      <c r="AA397" s="638"/>
      <c r="AB397" s="638"/>
      <c r="AC397" s="638"/>
    </row>
    <row r="398" spans="1:68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749</v>
      </c>
      <c r="Y398" s="637">
        <f>IFERROR(SUM(Y394:Y396),"0")</f>
        <v>756.6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1667</v>
      </c>
      <c r="Y437" s="636">
        <f t="shared" si="62"/>
        <v>1680</v>
      </c>
      <c r="Z437" s="36">
        <f>IFERROR(IF(Y437=0,"",ROUNDUP(Y437/H437,0)*0.02175),"")</f>
        <v>2.4359999999999999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1719.2326666666668</v>
      </c>
      <c r="BN437" s="64">
        <f t="shared" si="64"/>
        <v>1732.64</v>
      </c>
      <c r="BO437" s="64">
        <f t="shared" si="65"/>
        <v>2.3152777777777778</v>
      </c>
      <c r="BP437" s="64">
        <f t="shared" si="66"/>
        <v>2.333333333333333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1370</v>
      </c>
      <c r="Y438" s="636">
        <f t="shared" si="62"/>
        <v>1380</v>
      </c>
      <c r="Z438" s="36">
        <f>IFERROR(IF(Y438=0,"",ROUNDUP(Y438/H438,0)*0.02175),"")</f>
        <v>2.0009999999999999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1412.9266666666667</v>
      </c>
      <c r="BN438" s="64">
        <f t="shared" si="64"/>
        <v>1423.2400000000002</v>
      </c>
      <c r="BO438" s="64">
        <f t="shared" si="65"/>
        <v>1.9027777777777777</v>
      </c>
      <c r="BP438" s="64">
        <f t="shared" si="66"/>
        <v>1.9166666666666665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481</v>
      </c>
      <c r="Y439" s="636">
        <f t="shared" si="62"/>
        <v>495</v>
      </c>
      <c r="Z439" s="36">
        <f>IFERROR(IF(Y439=0,"",ROUNDUP(Y439/H439,0)*0.02175),"")</f>
        <v>0.71775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496.07133333333337</v>
      </c>
      <c r="BN439" s="64">
        <f t="shared" si="64"/>
        <v>510.51000000000005</v>
      </c>
      <c r="BO439" s="64">
        <f t="shared" si="65"/>
        <v>0.66805555555555562</v>
      </c>
      <c r="BP439" s="64">
        <f t="shared" si="66"/>
        <v>0.6875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1102</v>
      </c>
      <c r="Y440" s="636">
        <f t="shared" si="62"/>
        <v>1110</v>
      </c>
      <c r="Z440" s="36">
        <f>IFERROR(IF(Y440=0,"",ROUNDUP(Y440/H440,0)*0.02175),"")</f>
        <v>1.6094999999999999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1136.5293333333334</v>
      </c>
      <c r="BN440" s="64">
        <f t="shared" si="64"/>
        <v>1144.78</v>
      </c>
      <c r="BO440" s="64">
        <f t="shared" si="65"/>
        <v>1.5305555555555554</v>
      </c>
      <c r="BP440" s="64">
        <f t="shared" si="66"/>
        <v>1.5416666666666665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308</v>
      </c>
      <c r="Y444" s="637">
        <f>IFERROR(Y436/H436,"0")+IFERROR(Y437/H437,"0")+IFERROR(Y438/H438,"0")+IFERROR(Y439/H439,"0")+IFERROR(Y440/H440,"0")+IFERROR(Y441/H441,"0")+IFERROR(Y442/H442,"0")+IFERROR(Y443/H443,"0")</f>
        <v>311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6.7642499999999988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4620</v>
      </c>
      <c r="Y445" s="637">
        <f>IFERROR(SUM(Y436:Y443),"0")</f>
        <v>4665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1702</v>
      </c>
      <c r="Y447" s="636">
        <f>IFERROR(IF(X447="",0,CEILING((X447/$H447),1)*$H447),"")</f>
        <v>1710</v>
      </c>
      <c r="Z447" s="36">
        <f>IFERROR(IF(Y447=0,"",ROUNDUP(Y447/H447,0)*0.02175),"")</f>
        <v>2.4794999999999998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1755.3293333333336</v>
      </c>
      <c r="BN447" s="64">
        <f>IFERROR(Y447*I447/H447,"0")</f>
        <v>1763.5800000000002</v>
      </c>
      <c r="BO447" s="64">
        <f>IFERROR(1/J447*(X447/H447),"0")</f>
        <v>2.3638888888888889</v>
      </c>
      <c r="BP447" s="64">
        <f>IFERROR(1/J447*(Y447/H447),"0")</f>
        <v>2.375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113.46666666666667</v>
      </c>
      <c r="Y450" s="637">
        <f>IFERROR(Y447/H447,"0")+IFERROR(Y448/H448,"0")+IFERROR(Y449/H449,"0")</f>
        <v>114</v>
      </c>
      <c r="Z450" s="637">
        <f>IFERROR(IF(Z447="",0,Z447),"0")+IFERROR(IF(Z448="",0,Z448),"0")+IFERROR(IF(Z449="",0,Z449),"0")</f>
        <v>2.4794999999999998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1702</v>
      </c>
      <c r="Y451" s="637">
        <f>IFERROR(SUM(Y447:Y449),"0")</f>
        <v>1710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1045</v>
      </c>
      <c r="Y474" s="636">
        <f>IFERROR(IF(X474="",0,CEILING((X474/$H474),1)*$H474),"")</f>
        <v>1053</v>
      </c>
      <c r="Z474" s="36">
        <f>IFERROR(IF(Y474=0,"",ROUNDUP(Y474/H474,0)*0.01898),"")</f>
        <v>2.2206600000000001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1102.3588888888889</v>
      </c>
      <c r="BN474" s="64">
        <f>IFERROR(Y474*I474/H474,"0")</f>
        <v>1110.7979999999998</v>
      </c>
      <c r="BO474" s="64">
        <f>IFERROR(1/J474*(X474/H474),"0")</f>
        <v>1.8142361111111112</v>
      </c>
      <c r="BP474" s="64">
        <f>IFERROR(1/J474*(Y474/H474),"0")</f>
        <v>1.828125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116.11111111111111</v>
      </c>
      <c r="Y477" s="637">
        <f>IFERROR(Y474/H474,"0")+IFERROR(Y475/H475,"0")+IFERROR(Y476/H476,"0")</f>
        <v>117</v>
      </c>
      <c r="Z477" s="637">
        <f>IFERROR(IF(Z474="",0,Z474),"0")+IFERROR(IF(Z475="",0,Z475),"0")+IFERROR(IF(Z476="",0,Z476),"0")</f>
        <v>2.2206600000000001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1045</v>
      </c>
      <c r="Y478" s="637">
        <f>IFERROR(SUM(Y474:Y476),"0")</f>
        <v>1053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431</v>
      </c>
      <c r="Y511" s="636">
        <f t="shared" si="72"/>
        <v>432.96000000000004</v>
      </c>
      <c r="Z511" s="36">
        <f>IFERROR(IF(Y511=0,"",ROUNDUP(Y511/H511,0)*0.01196),"")</f>
        <v>0.98072000000000004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459.57007575757569</v>
      </c>
      <c r="BN511" s="64">
        <f t="shared" si="74"/>
        <v>461.66</v>
      </c>
      <c r="BO511" s="64">
        <f t="shared" si="75"/>
        <v>0.78489219114219111</v>
      </c>
      <c r="BP511" s="64">
        <f t="shared" si="76"/>
        <v>0.78846153846153855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913</v>
      </c>
      <c r="Y512" s="636">
        <f t="shared" si="72"/>
        <v>913.44</v>
      </c>
      <c r="Z512" s="36">
        <f>IFERROR(IF(Y512=0,"",ROUNDUP(Y512/H512,0)*0.01196),"")</f>
        <v>2.06908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973.52083333333326</v>
      </c>
      <c r="BN512" s="64">
        <f t="shared" si="74"/>
        <v>973.9899999999999</v>
      </c>
      <c r="BO512" s="64">
        <f t="shared" si="75"/>
        <v>1.6626602564102564</v>
      </c>
      <c r="BP512" s="64">
        <f t="shared" si="76"/>
        <v>1.6634615384615385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254.54545454545453</v>
      </c>
      <c r="Y516" s="637">
        <f>IFERROR(Y508/H508,"0")+IFERROR(Y509/H509,"0")+IFERROR(Y510/H510,"0")+IFERROR(Y511/H511,"0")+IFERROR(Y512/H512,"0")+IFERROR(Y513/H513,"0")+IFERROR(Y514/H514,"0")+IFERROR(Y515/H515,"0")</f>
        <v>255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3.0498000000000003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1344</v>
      </c>
      <c r="Y517" s="637">
        <f>IFERROR(SUM(Y508:Y515),"0")</f>
        <v>1346.4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644</v>
      </c>
      <c r="Y519" s="636">
        <f>IFERROR(IF(X519="",0,CEILING((X519/$H519),1)*$H519),"")</f>
        <v>644.16000000000008</v>
      </c>
      <c r="Z519" s="36">
        <f>IFERROR(IF(Y519=0,"",ROUNDUP(Y519/H519,0)*0.01196),"")</f>
        <v>1.45912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686.68939393939388</v>
      </c>
      <c r="BN519" s="64">
        <f>IFERROR(Y519*I519/H519,"0")</f>
        <v>686.86000000000013</v>
      </c>
      <c r="BO519" s="64">
        <f>IFERROR(1/J519*(X519/H519),"0")</f>
        <v>1.1727855477855478</v>
      </c>
      <c r="BP519" s="64">
        <f>IFERROR(1/J519*(Y519/H519),"0")</f>
        <v>1.1730769230769234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121.96969696969697</v>
      </c>
      <c r="Y522" s="637">
        <f>IFERROR(Y519/H519,"0")+IFERROR(Y520/H520,"0")+IFERROR(Y521/H521,"0")</f>
        <v>122.00000000000001</v>
      </c>
      <c r="Z522" s="637">
        <f>IFERROR(IF(Z519="",0,Z519),"0")+IFERROR(IF(Z520="",0,Z520),"0")+IFERROR(IF(Z521="",0,Z521),"0")</f>
        <v>1.45912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644</v>
      </c>
      <c r="Y523" s="637">
        <f>IFERROR(SUM(Y519:Y521),"0")</f>
        <v>644.16000000000008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312</v>
      </c>
      <c r="Y527" s="636">
        <f t="shared" si="77"/>
        <v>316.8</v>
      </c>
      <c r="Z527" s="36">
        <f>IFERROR(IF(Y527=0,"",ROUNDUP(Y527/H527,0)*0.01196),"")</f>
        <v>0.71760000000000002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332.68181818181813</v>
      </c>
      <c r="BN527" s="64">
        <f t="shared" si="79"/>
        <v>337.8</v>
      </c>
      <c r="BO527" s="64">
        <f t="shared" si="80"/>
        <v>0.56818181818181812</v>
      </c>
      <c r="BP527" s="64">
        <f t="shared" si="81"/>
        <v>0.57692307692307698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59.090909090909086</v>
      </c>
      <c r="Y532" s="637">
        <f>IFERROR(Y525/H525,"0")+IFERROR(Y526/H526,"0")+IFERROR(Y527/H527,"0")+IFERROR(Y528/H528,"0")+IFERROR(Y529/H529,"0")+IFERROR(Y530/H530,"0")+IFERROR(Y531/H531,"0")</f>
        <v>60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0.71760000000000002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312</v>
      </c>
      <c r="Y533" s="637">
        <f>IFERROR(SUM(Y525:Y531),"0")</f>
        <v>316.8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17601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17721.060000000001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18499.181972792638</v>
      </c>
      <c r="Y563" s="637">
        <f>IFERROR(SUM(BN22:BN559),"0")</f>
        <v>18624.742000000002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30</v>
      </c>
      <c r="Y564" s="38">
        <f>ROUNDUP(SUM(BP22:BP559),0)</f>
        <v>30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19249.181972792638</v>
      </c>
      <c r="Y565" s="637">
        <f>GrossWeightTotalR+PalletQtyTotalR*25</f>
        <v>19374.742000000002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2703.2433282766619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2717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34.535619999999994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1436.4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291.60000000000002</v>
      </c>
      <c r="F572" s="46">
        <f>IFERROR(Y85*1,"0")+IFERROR(Y86*1,"0")+IFERROR(Y87*1,"0")+IFERROR(Y88*1,"0")+IFERROR(Y89*1,"0")+IFERROR(Y90*1,"0")+IFERROR(Y94*1,"0")+IFERROR(Y95*1,"0")+IFERROR(Y96*1,"0")+IFERROR(Y97*1,"0")</f>
        <v>710.1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1188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661.5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321.3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2331.6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288.59999999999997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756.6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6375</v>
      </c>
      <c r="Y572" s="46">
        <f>IFERROR(Y465*1,"0")+IFERROR(Y466*1,"0")+IFERROR(Y470*1,"0")+IFERROR(Y474*1,"0")+IFERROR(Y475*1,"0")+IFERROR(Y476*1,"0")</f>
        <v>1053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2307.36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5,00"/>
        <filter val="1 102,00"/>
        <filter val="1 110,00"/>
        <filter val="1 344,00"/>
        <filter val="1 370,00"/>
        <filter val="1 427,00"/>
        <filter val="1 667,00"/>
        <filter val="1 702,00"/>
        <filter val="1 818,00"/>
        <filter val="113,00"/>
        <filter val="113,47"/>
        <filter val="116,00"/>
        <filter val="116,11"/>
        <filter val="121,97"/>
        <filter val="125,06"/>
        <filter val="132,13"/>
        <filter val="152,86"/>
        <filter val="153,00"/>
        <filter val="17 601,00"/>
        <filter val="18 499,18"/>
        <filter val="188,86"/>
        <filter val="19 249,18"/>
        <filter val="192,00"/>
        <filter val="2 703,24"/>
        <filter val="248,00"/>
        <filter val="254,55"/>
        <filter val="26,67"/>
        <filter val="28,61"/>
        <filter val="287,00"/>
        <filter val="288,00"/>
        <filter val="30"/>
        <filter val="308,00"/>
        <filter val="309,00"/>
        <filter val="312,00"/>
        <filter val="321,00"/>
        <filter val="36,79"/>
        <filter val="390,00"/>
        <filter val="4 620,00"/>
        <filter val="413,00"/>
        <filter val="43,52"/>
        <filter val="431,00"/>
        <filter val="470,00"/>
        <filter val="48,15"/>
        <filter val="481,00"/>
        <filter val="507,00"/>
        <filter val="554,00"/>
        <filter val="59,09"/>
        <filter val="644,00"/>
        <filter val="661,00"/>
        <filter val="707,00"/>
        <filter val="749,00"/>
        <filter val="757,50"/>
        <filter val="913,00"/>
        <filter val="93,89"/>
        <filter val="96,03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