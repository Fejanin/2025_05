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927DF7D-447D-4A07-AB70-9398943BBB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BP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Y474" i="1" s="1"/>
  <c r="P473" i="1"/>
  <c r="X471" i="1"/>
  <c r="X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X465" i="1"/>
  <c r="X464" i="1"/>
  <c r="BO463" i="1"/>
  <c r="BM463" i="1"/>
  <c r="Y463" i="1"/>
  <c r="P463" i="1"/>
  <c r="BO462" i="1"/>
  <c r="BM462" i="1"/>
  <c r="Y462" i="1"/>
  <c r="Y465" i="1" s="1"/>
  <c r="P462" i="1"/>
  <c r="X460" i="1"/>
  <c r="X459" i="1"/>
  <c r="BO458" i="1"/>
  <c r="BM458" i="1"/>
  <c r="Y458" i="1"/>
  <c r="BP458" i="1" s="1"/>
  <c r="P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Y453" i="1" s="1"/>
  <c r="P450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O439" i="1"/>
  <c r="BM439" i="1"/>
  <c r="Y439" i="1"/>
  <c r="P439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O431" i="1"/>
  <c r="BM431" i="1"/>
  <c r="Y431" i="1"/>
  <c r="P431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BP425" i="1" s="1"/>
  <c r="P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O417" i="1"/>
  <c r="BM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Y409" i="1" s="1"/>
  <c r="P404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P372" i="1"/>
  <c r="BP371" i="1"/>
  <c r="BO371" i="1"/>
  <c r="BN371" i="1"/>
  <c r="BM371" i="1"/>
  <c r="Z371" i="1"/>
  <c r="Y371" i="1"/>
  <c r="U575" i="1" s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Z364" i="1"/>
  <c r="Y364" i="1"/>
  <c r="BP364" i="1" s="1"/>
  <c r="P364" i="1"/>
  <c r="X361" i="1"/>
  <c r="X360" i="1"/>
  <c r="BO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Y357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Z336" i="1" s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P575" i="1" s="1"/>
  <c r="P323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3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M57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Y242" i="1" s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Y234" i="1" s="1"/>
  <c r="P220" i="1"/>
  <c r="X218" i="1"/>
  <c r="X217" i="1"/>
  <c r="BO216" i="1"/>
  <c r="BM216" i="1"/>
  <c r="Y216" i="1"/>
  <c r="L575" i="1" s="1"/>
  <c r="P216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K575" i="1" s="1"/>
  <c r="P205" i="1"/>
  <c r="X201" i="1"/>
  <c r="X200" i="1"/>
  <c r="BO199" i="1"/>
  <c r="BM199" i="1"/>
  <c r="Y199" i="1"/>
  <c r="Y201" i="1" s="1"/>
  <c r="P199" i="1"/>
  <c r="X197" i="1"/>
  <c r="X196" i="1"/>
  <c r="BO195" i="1"/>
  <c r="BM195" i="1"/>
  <c r="Y195" i="1"/>
  <c r="Y197" i="1" s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Y18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Y149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Z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X86" i="1"/>
  <c r="X85" i="1"/>
  <c r="BP84" i="1"/>
  <c r="BO84" i="1"/>
  <c r="BN84" i="1"/>
  <c r="BM84" i="1"/>
  <c r="Z84" i="1"/>
  <c r="Y84" i="1"/>
  <c r="P84" i="1"/>
  <c r="BO83" i="1"/>
  <c r="BM83" i="1"/>
  <c r="Y83" i="1"/>
  <c r="P83" i="1"/>
  <c r="BO82" i="1"/>
  <c r="BM82" i="1"/>
  <c r="Y82" i="1"/>
  <c r="Y86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5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Z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Z60" i="1"/>
  <c r="Y60" i="1"/>
  <c r="BP60" i="1" s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5" i="1" s="1"/>
  <c r="X23" i="1"/>
  <c r="X569" i="1" s="1"/>
  <c r="BO22" i="1"/>
  <c r="X567" i="1" s="1"/>
  <c r="BM22" i="1"/>
  <c r="X566" i="1" s="1"/>
  <c r="X568" i="1" s="1"/>
  <c r="Y22" i="1"/>
  <c r="B575" i="1" s="1"/>
  <c r="P22" i="1"/>
  <c r="H10" i="1"/>
  <c r="A9" i="1"/>
  <c r="A10" i="1" s="1"/>
  <c r="D7" i="1"/>
  <c r="Q6" i="1"/>
  <c r="P2" i="1"/>
  <c r="Z27" i="1" l="1"/>
  <c r="BN27" i="1"/>
  <c r="Z35" i="1"/>
  <c r="BN35" i="1"/>
  <c r="Z51" i="1"/>
  <c r="BN51" i="1"/>
  <c r="Y56" i="1"/>
  <c r="BN60" i="1"/>
  <c r="BN64" i="1"/>
  <c r="Y193" i="1"/>
  <c r="Z208" i="1"/>
  <c r="BN208" i="1"/>
  <c r="Z260" i="1"/>
  <c r="BN260" i="1"/>
  <c r="BP260" i="1"/>
  <c r="Y274" i="1"/>
  <c r="Z268" i="1"/>
  <c r="BN268" i="1"/>
  <c r="Z272" i="1"/>
  <c r="BN272" i="1"/>
  <c r="Y288" i="1"/>
  <c r="Z278" i="1"/>
  <c r="BN278" i="1"/>
  <c r="Z282" i="1"/>
  <c r="BN282" i="1"/>
  <c r="Z286" i="1"/>
  <c r="BN286" i="1"/>
  <c r="Z297" i="1"/>
  <c r="BN297" i="1"/>
  <c r="Y304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BP315" i="1"/>
  <c r="Y320" i="1"/>
  <c r="Z324" i="1"/>
  <c r="BN324" i="1"/>
  <c r="Z328" i="1"/>
  <c r="BN328" i="1"/>
  <c r="BN342" i="1"/>
  <c r="Z348" i="1"/>
  <c r="BN348" i="1"/>
  <c r="BP348" i="1"/>
  <c r="Z373" i="1"/>
  <c r="BN373" i="1"/>
  <c r="BP383" i="1"/>
  <c r="BN383" i="1"/>
  <c r="Z383" i="1"/>
  <c r="BP393" i="1"/>
  <c r="BN393" i="1"/>
  <c r="Z393" i="1"/>
  <c r="Y415" i="1"/>
  <c r="BP411" i="1"/>
  <c r="BN411" i="1"/>
  <c r="Z411" i="1"/>
  <c r="BP424" i="1"/>
  <c r="BN424" i="1"/>
  <c r="Z424" i="1"/>
  <c r="BP439" i="1"/>
  <c r="BN439" i="1"/>
  <c r="Z439" i="1"/>
  <c r="BP451" i="1"/>
  <c r="BN451" i="1"/>
  <c r="Z451" i="1"/>
  <c r="BP478" i="1"/>
  <c r="BN478" i="1"/>
  <c r="Z478" i="1"/>
  <c r="BP512" i="1"/>
  <c r="BN512" i="1"/>
  <c r="Z512" i="1"/>
  <c r="BP522" i="1"/>
  <c r="BN522" i="1"/>
  <c r="Z522" i="1"/>
  <c r="BP532" i="1"/>
  <c r="BN532" i="1"/>
  <c r="Z532" i="1"/>
  <c r="Z41" i="1"/>
  <c r="BN41" i="1"/>
  <c r="Y46" i="1"/>
  <c r="Z45" i="1"/>
  <c r="BN45" i="1"/>
  <c r="Z62" i="1"/>
  <c r="BN62" i="1"/>
  <c r="Z66" i="1"/>
  <c r="BN66" i="1"/>
  <c r="Y74" i="1"/>
  <c r="Z72" i="1"/>
  <c r="BN72" i="1"/>
  <c r="Z82" i="1"/>
  <c r="BN82" i="1"/>
  <c r="BP82" i="1"/>
  <c r="Y85" i="1"/>
  <c r="Z89" i="1"/>
  <c r="BN89" i="1"/>
  <c r="Z93" i="1"/>
  <c r="BN93" i="1"/>
  <c r="Y102" i="1"/>
  <c r="Z101" i="1"/>
  <c r="BN101" i="1"/>
  <c r="Z111" i="1"/>
  <c r="BN111" i="1"/>
  <c r="Z119" i="1"/>
  <c r="BN119" i="1"/>
  <c r="Z127" i="1"/>
  <c r="BN127" i="1"/>
  <c r="Z142" i="1"/>
  <c r="BN142" i="1"/>
  <c r="Y148" i="1"/>
  <c r="Z153" i="1"/>
  <c r="BN153" i="1"/>
  <c r="Z159" i="1"/>
  <c r="Z160" i="1" s="1"/>
  <c r="BN159" i="1"/>
  <c r="BP159" i="1"/>
  <c r="Y160" i="1"/>
  <c r="Z164" i="1"/>
  <c r="BN164" i="1"/>
  <c r="Y169" i="1"/>
  <c r="Z172" i="1"/>
  <c r="BN172" i="1"/>
  <c r="Y188" i="1"/>
  <c r="Z178" i="1"/>
  <c r="BN178" i="1"/>
  <c r="Z182" i="1"/>
  <c r="BN182" i="1"/>
  <c r="Z186" i="1"/>
  <c r="BN186" i="1"/>
  <c r="Z223" i="1"/>
  <c r="BN223" i="1"/>
  <c r="Z227" i="1"/>
  <c r="BN227" i="1"/>
  <c r="Z231" i="1"/>
  <c r="BN231" i="1"/>
  <c r="Z239" i="1"/>
  <c r="BN239" i="1"/>
  <c r="Y248" i="1"/>
  <c r="Z344" i="1"/>
  <c r="BN344" i="1"/>
  <c r="Y351" i="1"/>
  <c r="BN359" i="1"/>
  <c r="BP359" i="1"/>
  <c r="Y360" i="1"/>
  <c r="BN364" i="1"/>
  <c r="Y367" i="1"/>
  <c r="BP377" i="1"/>
  <c r="BN377" i="1"/>
  <c r="Z377" i="1"/>
  <c r="BP387" i="1"/>
  <c r="BN387" i="1"/>
  <c r="Z387" i="1"/>
  <c r="BP405" i="1"/>
  <c r="BN405" i="1"/>
  <c r="Z405" i="1"/>
  <c r="Y421" i="1"/>
  <c r="BP417" i="1"/>
  <c r="BN417" i="1"/>
  <c r="Z417" i="1"/>
  <c r="Y435" i="1"/>
  <c r="BP431" i="1"/>
  <c r="BN431" i="1"/>
  <c r="Z431" i="1"/>
  <c r="BP443" i="1"/>
  <c r="BN443" i="1"/>
  <c r="Z443" i="1"/>
  <c r="BP463" i="1"/>
  <c r="BN463" i="1"/>
  <c r="Z463" i="1"/>
  <c r="BP488" i="1"/>
  <c r="BN488" i="1"/>
  <c r="Z488" i="1"/>
  <c r="BP516" i="1"/>
  <c r="BN516" i="1"/>
  <c r="Z516" i="1"/>
  <c r="Y536" i="1"/>
  <c r="BP528" i="1"/>
  <c r="BN528" i="1"/>
  <c r="Z528" i="1"/>
  <c r="Y542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BP556" i="1"/>
  <c r="BN556" i="1"/>
  <c r="Z556" i="1"/>
  <c r="Y389" i="1"/>
  <c r="Y395" i="1"/>
  <c r="Y401" i="1"/>
  <c r="Y459" i="1"/>
  <c r="Y575" i="1"/>
  <c r="AA575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5" i="1"/>
  <c r="Z42" i="1"/>
  <c r="BN42" i="1"/>
  <c r="BP42" i="1"/>
  <c r="Z44" i="1"/>
  <c r="BN44" i="1"/>
  <c r="Y47" i="1"/>
  <c r="D575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Y103" i="1"/>
  <c r="G575" i="1"/>
  <c r="Y113" i="1"/>
  <c r="Z107" i="1"/>
  <c r="BN107" i="1"/>
  <c r="BP108" i="1"/>
  <c r="BN108" i="1"/>
  <c r="BP110" i="1"/>
  <c r="BN110" i="1"/>
  <c r="Z110" i="1"/>
  <c r="BP118" i="1"/>
  <c r="BN118" i="1"/>
  <c r="Z118" i="1"/>
  <c r="BP126" i="1"/>
  <c r="BN126" i="1"/>
  <c r="Z126" i="1"/>
  <c r="H9" i="1"/>
  <c r="Y24" i="1"/>
  <c r="Y67" i="1"/>
  <c r="Y96" i="1"/>
  <c r="BP112" i="1"/>
  <c r="BN112" i="1"/>
  <c r="Z112" i="1"/>
  <c r="Y114" i="1"/>
  <c r="Y121" i="1"/>
  <c r="BP116" i="1"/>
  <c r="BN116" i="1"/>
  <c r="Z116" i="1"/>
  <c r="BP120" i="1"/>
  <c r="BN120" i="1"/>
  <c r="Z120" i="1"/>
  <c r="Y122" i="1"/>
  <c r="Y129" i="1"/>
  <c r="BP124" i="1"/>
  <c r="BN124" i="1"/>
  <c r="Z124" i="1"/>
  <c r="Z128" i="1" s="1"/>
  <c r="Y128" i="1"/>
  <c r="H575" i="1"/>
  <c r="Z137" i="1"/>
  <c r="Z138" i="1" s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BN152" i="1"/>
  <c r="BP152" i="1"/>
  <c r="Z154" i="1"/>
  <c r="BN154" i="1"/>
  <c r="Y157" i="1"/>
  <c r="J575" i="1"/>
  <c r="Z165" i="1"/>
  <c r="BN165" i="1"/>
  <c r="BP165" i="1"/>
  <c r="Z167" i="1"/>
  <c r="BN167" i="1"/>
  <c r="Y168" i="1"/>
  <c r="Z171" i="1"/>
  <c r="Z173" i="1" s="1"/>
  <c r="BN171" i="1"/>
  <c r="BP171" i="1"/>
  <c r="Y174" i="1"/>
  <c r="Z177" i="1"/>
  <c r="BN177" i="1"/>
  <c r="BP177" i="1"/>
  <c r="Z179" i="1"/>
  <c r="BN179" i="1"/>
  <c r="Z181" i="1"/>
  <c r="BN181" i="1"/>
  <c r="Z183" i="1"/>
  <c r="BN183" i="1"/>
  <c r="Z185" i="1"/>
  <c r="BN185" i="1"/>
  <c r="Z191" i="1"/>
  <c r="Z192" i="1" s="1"/>
  <c r="BN191" i="1"/>
  <c r="BP191" i="1"/>
  <c r="Z195" i="1"/>
  <c r="Z196" i="1" s="1"/>
  <c r="BN195" i="1"/>
  <c r="BP195" i="1"/>
  <c r="Y196" i="1"/>
  <c r="Z199" i="1"/>
  <c r="Z200" i="1" s="1"/>
  <c r="BN199" i="1"/>
  <c r="BP199" i="1"/>
  <c r="Y200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BN236" i="1"/>
  <c r="BP236" i="1"/>
  <c r="Z238" i="1"/>
  <c r="BN238" i="1"/>
  <c r="Z240" i="1"/>
  <c r="BN240" i="1"/>
  <c r="Y241" i="1"/>
  <c r="Z244" i="1"/>
  <c r="BN244" i="1"/>
  <c r="BP244" i="1"/>
  <c r="Z246" i="1"/>
  <c r="BN246" i="1"/>
  <c r="Y247" i="1"/>
  <c r="Z250" i="1"/>
  <c r="Z251" i="1" s="1"/>
  <c r="BN250" i="1"/>
  <c r="BP250" i="1"/>
  <c r="Y251" i="1"/>
  <c r="Z255" i="1"/>
  <c r="Z257" i="1" s="1"/>
  <c r="BN255" i="1"/>
  <c r="BP255" i="1"/>
  <c r="Y258" i="1"/>
  <c r="Z261" i="1"/>
  <c r="Z262" i="1" s="1"/>
  <c r="BN261" i="1"/>
  <c r="Y262" i="1"/>
  <c r="Z265" i="1"/>
  <c r="BN265" i="1"/>
  <c r="BP265" i="1"/>
  <c r="BP269" i="1"/>
  <c r="BN269" i="1"/>
  <c r="Z269" i="1"/>
  <c r="Y273" i="1"/>
  <c r="Y289" i="1"/>
  <c r="BP277" i="1"/>
  <c r="BN277" i="1"/>
  <c r="Z277" i="1"/>
  <c r="BP281" i="1"/>
  <c r="BN281" i="1"/>
  <c r="Z281" i="1"/>
  <c r="BP285" i="1"/>
  <c r="BN285" i="1"/>
  <c r="Z285" i="1"/>
  <c r="Y156" i="1"/>
  <c r="Y213" i="1"/>
  <c r="Y218" i="1"/>
  <c r="Y257" i="1"/>
  <c r="BP267" i="1"/>
  <c r="BN267" i="1"/>
  <c r="Z267" i="1"/>
  <c r="BP271" i="1"/>
  <c r="BN271" i="1"/>
  <c r="Z271" i="1"/>
  <c r="BP279" i="1"/>
  <c r="BN279" i="1"/>
  <c r="Z279" i="1"/>
  <c r="BP283" i="1"/>
  <c r="BN283" i="1"/>
  <c r="Z283" i="1"/>
  <c r="Z287" i="1"/>
  <c r="BN287" i="1"/>
  <c r="Z291" i="1"/>
  <c r="Z293" i="1" s="1"/>
  <c r="BN291" i="1"/>
  <c r="BP291" i="1"/>
  <c r="Y294" i="1"/>
  <c r="O575" i="1"/>
  <c r="Z298" i="1"/>
  <c r="BN298" i="1"/>
  <c r="BP298" i="1"/>
  <c r="Z300" i="1"/>
  <c r="BN300" i="1"/>
  <c r="Z302" i="1"/>
  <c r="BN302" i="1"/>
  <c r="Y305" i="1"/>
  <c r="Z316" i="1"/>
  <c r="Z319" i="1" s="1"/>
  <c r="BN316" i="1"/>
  <c r="BP316" i="1"/>
  <c r="Z318" i="1"/>
  <c r="BN318" i="1"/>
  <c r="Z323" i="1"/>
  <c r="BN323" i="1"/>
  <c r="BP323" i="1"/>
  <c r="Z325" i="1"/>
  <c r="BN325" i="1"/>
  <c r="Z327" i="1"/>
  <c r="BN327" i="1"/>
  <c r="Z329" i="1"/>
  <c r="BN329" i="1"/>
  <c r="Y330" i="1"/>
  <c r="Z334" i="1"/>
  <c r="Z337" i="1" s="1"/>
  <c r="BN334" i="1"/>
  <c r="BP334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Y378" i="1"/>
  <c r="Y331" i="1"/>
  <c r="Q575" i="1"/>
  <c r="Y337" i="1"/>
  <c r="BP336" i="1"/>
  <c r="BN336" i="1"/>
  <c r="BP343" i="1"/>
  <c r="BN343" i="1"/>
  <c r="Z343" i="1"/>
  <c r="BP365" i="1"/>
  <c r="BN365" i="1"/>
  <c r="Z365" i="1"/>
  <c r="Z367" i="1" s="1"/>
  <c r="Y388" i="1"/>
  <c r="Y396" i="1"/>
  <c r="Y402" i="1"/>
  <c r="Y408" i="1"/>
  <c r="Y414" i="1"/>
  <c r="Y420" i="1"/>
  <c r="Y427" i="1"/>
  <c r="Y434" i="1"/>
  <c r="Y448" i="1"/>
  <c r="Y454" i="1"/>
  <c r="Y460" i="1"/>
  <c r="Y464" i="1"/>
  <c r="Y471" i="1"/>
  <c r="Y475" i="1"/>
  <c r="Y481" i="1"/>
  <c r="Z575" i="1"/>
  <c r="Y491" i="1"/>
  <c r="BP505" i="1"/>
  <c r="BN505" i="1"/>
  <c r="Z505" i="1"/>
  <c r="Y507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BP531" i="1"/>
  <c r="BN531" i="1"/>
  <c r="Z531" i="1"/>
  <c r="Y535" i="1"/>
  <c r="BP557" i="1"/>
  <c r="BN557" i="1"/>
  <c r="Z557" i="1"/>
  <c r="Y559" i="1"/>
  <c r="AD575" i="1"/>
  <c r="Y563" i="1"/>
  <c r="BP562" i="1"/>
  <c r="BN562" i="1"/>
  <c r="Z562" i="1"/>
  <c r="Z563" i="1" s="1"/>
  <c r="Y564" i="1"/>
  <c r="S575" i="1"/>
  <c r="W575" i="1"/>
  <c r="T575" i="1"/>
  <c r="Y368" i="1"/>
  <c r="Z374" i="1"/>
  <c r="BN374" i="1"/>
  <c r="Z376" i="1"/>
  <c r="BN376" i="1"/>
  <c r="Y379" i="1"/>
  <c r="Z382" i="1"/>
  <c r="Z388" i="1" s="1"/>
  <c r="BN382" i="1"/>
  <c r="Z384" i="1"/>
  <c r="BN384" i="1"/>
  <c r="Z386" i="1"/>
  <c r="BN386" i="1"/>
  <c r="Z392" i="1"/>
  <c r="BN392" i="1"/>
  <c r="Z394" i="1"/>
  <c r="BN394" i="1"/>
  <c r="Z398" i="1"/>
  <c r="Z401" i="1" s="1"/>
  <c r="BN398" i="1"/>
  <c r="BP398" i="1"/>
  <c r="Z400" i="1"/>
  <c r="BN400" i="1"/>
  <c r="Z404" i="1"/>
  <c r="BN404" i="1"/>
  <c r="BP404" i="1"/>
  <c r="Z406" i="1"/>
  <c r="BN406" i="1"/>
  <c r="Z412" i="1"/>
  <c r="Z414" i="1" s="1"/>
  <c r="BN412" i="1"/>
  <c r="Z418" i="1"/>
  <c r="Z420" i="1" s="1"/>
  <c r="BN418" i="1"/>
  <c r="V575" i="1"/>
  <c r="Z425" i="1"/>
  <c r="Z427" i="1" s="1"/>
  <c r="BN425" i="1"/>
  <c r="Y428" i="1"/>
  <c r="Z432" i="1"/>
  <c r="Z434" i="1" s="1"/>
  <c r="BN432" i="1"/>
  <c r="X575" i="1"/>
  <c r="Z440" i="1"/>
  <c r="BN440" i="1"/>
  <c r="Z442" i="1"/>
  <c r="BN442" i="1"/>
  <c r="Z444" i="1"/>
  <c r="BN444" i="1"/>
  <c r="Z446" i="1"/>
  <c r="BN446" i="1"/>
  <c r="Y447" i="1"/>
  <c r="Z450" i="1"/>
  <c r="Z453" i="1" s="1"/>
  <c r="BN450" i="1"/>
  <c r="BP450" i="1"/>
  <c r="Z452" i="1"/>
  <c r="BN452" i="1"/>
  <c r="Z456" i="1"/>
  <c r="BN456" i="1"/>
  <c r="BP456" i="1"/>
  <c r="Z458" i="1"/>
  <c r="BN458" i="1"/>
  <c r="Z462" i="1"/>
  <c r="Z464" i="1" s="1"/>
  <c r="BN462" i="1"/>
  <c r="BP462" i="1"/>
  <c r="Z469" i="1"/>
  <c r="Z470" i="1" s="1"/>
  <c r="BN469" i="1"/>
  <c r="Y470" i="1"/>
  <c r="Z473" i="1"/>
  <c r="Z474" i="1" s="1"/>
  <c r="BN473" i="1"/>
  <c r="BP473" i="1"/>
  <c r="Z477" i="1"/>
  <c r="BN477" i="1"/>
  <c r="BP477" i="1"/>
  <c r="Z479" i="1"/>
  <c r="BN479" i="1"/>
  <c r="Z485" i="1"/>
  <c r="Z491" i="1" s="1"/>
  <c r="BN485" i="1"/>
  <c r="BP485" i="1"/>
  <c r="Z487" i="1"/>
  <c r="BN487" i="1"/>
  <c r="Z489" i="1"/>
  <c r="BN489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Y501" i="1"/>
  <c r="Y506" i="1"/>
  <c r="BP503" i="1"/>
  <c r="BN503" i="1"/>
  <c r="Z503" i="1"/>
  <c r="Z506" i="1" s="1"/>
  <c r="BP513" i="1"/>
  <c r="BN513" i="1"/>
  <c r="Z513" i="1"/>
  <c r="BP517" i="1"/>
  <c r="BN517" i="1"/>
  <c r="Z517" i="1"/>
  <c r="Y526" i="1"/>
  <c r="Y525" i="1"/>
  <c r="BP529" i="1"/>
  <c r="BN529" i="1"/>
  <c r="Z529" i="1"/>
  <c r="BP533" i="1"/>
  <c r="BN533" i="1"/>
  <c r="Z533" i="1"/>
  <c r="Y558" i="1"/>
  <c r="AC575" i="1"/>
  <c r="Z395" i="1" l="1"/>
  <c r="Z288" i="1"/>
  <c r="Z113" i="1"/>
  <c r="Z535" i="1"/>
  <c r="Z447" i="1"/>
  <c r="Z558" i="1"/>
  <c r="Z378" i="1"/>
  <c r="Z330" i="1"/>
  <c r="Z304" i="1"/>
  <c r="Z187" i="1"/>
  <c r="Z168" i="1"/>
  <c r="Z95" i="1"/>
  <c r="Z85" i="1"/>
  <c r="Z46" i="1"/>
  <c r="Z519" i="1"/>
  <c r="Z273" i="1"/>
  <c r="Z156" i="1"/>
  <c r="Z102" i="1"/>
  <c r="Z67" i="1"/>
  <c r="Z31" i="1"/>
  <c r="Y567" i="1"/>
  <c r="Z480" i="1"/>
  <c r="Z459" i="1"/>
  <c r="Z408" i="1"/>
  <c r="Z345" i="1"/>
  <c r="Z247" i="1"/>
  <c r="Z241" i="1"/>
  <c r="Z233" i="1"/>
  <c r="Z212" i="1"/>
  <c r="Z121" i="1"/>
  <c r="Y565" i="1"/>
  <c r="Y569" i="1"/>
  <c r="Y566" i="1"/>
  <c r="Y568" i="1" s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<sst xmlns="http://schemas.openxmlformats.org/spreadsheetml/2006/main" count="2535" uniqueCount="913">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</sst>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4</v>
      </c>
      <c r="Y28" s="636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7.0666666666666664</v>
      </c>
      <c r="BN28" s="64">
        <f>IFERROR(Y28*I28/H28,"0")</f>
        <v>9.5400000000000009</v>
      </c>
      <c r="BO28" s="64">
        <f>IFERROR(1/J28*(X28/H28),"0")</f>
        <v>1.2210012210012212E-2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2.2222222222222223</v>
      </c>
      <c r="Y31" s="637">
        <f>IFERROR(Y26/H26,"0")+IFERROR(Y27/H27,"0")+IFERROR(Y28/H28,"0")+IFERROR(Y29/H29,"0")+IFERROR(Y30/H30,"0")</f>
        <v>3</v>
      </c>
      <c r="Z31" s="637">
        <f>IFERROR(IF(Z26="",0,Z26),"0")+IFERROR(IF(Z27="",0,Z27),"0")+IFERROR(IF(Z28="",0,Z28),"0")+IFERROR(IF(Z29="",0,Z29),"0")+IFERROR(IF(Z30="",0,Z30),"0")</f>
        <v>1.9529999999999999E-2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4</v>
      </c>
      <c r="Y32" s="637">
        <f>IFERROR(SUM(Y26:Y30),"0")</f>
        <v>5.4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22</v>
      </c>
      <c r="Y53" s="636">
        <f>IFERROR(IF(X53="",0,CEILING((X53/$H53),1)*$H53),"")</f>
        <v>24</v>
      </c>
      <c r="Z53" s="36">
        <f>IFERROR(IF(Y53=0,"",ROUNDUP(Y53/H53,0)*0.00902),"")</f>
        <v>5.4120000000000001E-2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23.045000000000002</v>
      </c>
      <c r="BN53" s="64">
        <f>IFERROR(Y53*I53/H53,"0")</f>
        <v>25.14</v>
      </c>
      <c r="BO53" s="64">
        <f>IFERROR(1/J53*(X53/H53),"0")</f>
        <v>4.1666666666666671E-2</v>
      </c>
      <c r="BP53" s="64">
        <f>IFERROR(1/J53*(Y53/H53),"0")</f>
        <v>4.5454545454545456E-2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54</v>
      </c>
      <c r="Y54" s="636">
        <f>IFERROR(IF(X54="",0,CEILING((X54/$H54),1)*$H54),"")</f>
        <v>55.5</v>
      </c>
      <c r="Z54" s="36">
        <f>IFERROR(IF(Y54=0,"",ROUNDUP(Y54/H54,0)*0.00902),"")</f>
        <v>0.1353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56.772972972972973</v>
      </c>
      <c r="BN54" s="64">
        <f>IFERROR(Y54*I54/H54,"0")</f>
        <v>58.35</v>
      </c>
      <c r="BO54" s="64">
        <f>IFERROR(1/J54*(X54/H54),"0")</f>
        <v>0.11056511056511056</v>
      </c>
      <c r="BP54" s="64">
        <f>IFERROR(1/J54*(Y54/H54),"0")</f>
        <v>0.11363636363636365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20.094594594594597</v>
      </c>
      <c r="Y55" s="637">
        <f>IFERROR(Y51/H51,"0")+IFERROR(Y52/H52,"0")+IFERROR(Y53/H53,"0")+IFERROR(Y54/H54,"0")</f>
        <v>21</v>
      </c>
      <c r="Z55" s="637">
        <f>IFERROR(IF(Z51="",0,Z51),"0")+IFERROR(IF(Z52="",0,Z52),"0")+IFERROR(IF(Z53="",0,Z53),"0")+IFERROR(IF(Z54="",0,Z54),"0")</f>
        <v>0.18942000000000001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76</v>
      </c>
      <c r="Y56" s="637">
        <f>IFERROR(SUM(Y51:Y54),"0")</f>
        <v>79.5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21</v>
      </c>
      <c r="Y63" s="636">
        <f t="shared" si="0"/>
        <v>24</v>
      </c>
      <c r="Z63" s="36">
        <f>IFERROR(IF(Y63=0,"",ROUNDUP(Y63/H63,0)*0.00902),"")</f>
        <v>5.4120000000000001E-2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21.997500000000002</v>
      </c>
      <c r="BN63" s="64">
        <f t="shared" si="2"/>
        <v>25.14</v>
      </c>
      <c r="BO63" s="64">
        <f t="shared" si="3"/>
        <v>3.9772727272727272E-2</v>
      </c>
      <c r="BP63" s="64">
        <f t="shared" si="4"/>
        <v>4.5454545454545456E-2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5.25</v>
      </c>
      <c r="Y67" s="637">
        <f>IFERROR(Y59/H59,"0")+IFERROR(Y60/H60,"0")+IFERROR(Y61/H61,"0")+IFERROR(Y62/H62,"0")+IFERROR(Y63/H63,"0")+IFERROR(Y64/H64,"0")+IFERROR(Y65/H65,"0")+IFERROR(Y66/H66,"0")</f>
        <v>6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21</v>
      </c>
      <c r="Y68" s="637">
        <f>IFERROR(SUM(Y59:Y66),"0")</f>
        <v>24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142</v>
      </c>
      <c r="Y82" s="636">
        <f>IFERROR(IF(X82="",0,CEILING((X82/$H82),1)*$H82),"")</f>
        <v>148.19999999999999</v>
      </c>
      <c r="Z82" s="36">
        <f>IFERROR(IF(Y82=0,"",ROUNDUP(Y82/H82,0)*0.01898),"")</f>
        <v>0.36062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149.46410256410257</v>
      </c>
      <c r="BN82" s="64">
        <f>IFERROR(Y82*I82/H82,"0")</f>
        <v>155.99</v>
      </c>
      <c r="BO82" s="64">
        <f>IFERROR(1/J82*(X82/H82),"0")</f>
        <v>0.28445512820512819</v>
      </c>
      <c r="BP82" s="64">
        <f>IFERROR(1/J82*(Y82/H82),"0")</f>
        <v>0.296875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18.205128205128204</v>
      </c>
      <c r="Y85" s="637">
        <f>IFERROR(Y82/H82,"0")+IFERROR(Y83/H83,"0")+IFERROR(Y84/H84,"0")</f>
        <v>19</v>
      </c>
      <c r="Z85" s="637">
        <f>IFERROR(IF(Z82="",0,Z82),"0")+IFERROR(IF(Z83="",0,Z83),"0")+IFERROR(IF(Z84="",0,Z84),"0")</f>
        <v>0.36062</v>
      </c>
      <c r="AA85" s="638"/>
      <c r="AB85" s="638"/>
      <c r="AC85" s="638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142</v>
      </c>
      <c r="Y86" s="637">
        <f>IFERROR(SUM(Y82:Y84),"0")</f>
        <v>148.19999999999999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6</v>
      </c>
      <c r="Y106" s="636">
        <f t="shared" ref="Y106:Y112" si="10"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6.2277777777777779</v>
      </c>
      <c r="BN106" s="64">
        <f t="shared" ref="BN106:BN112" si="12">IFERROR(Y106*I106/H106,"0")</f>
        <v>11.21</v>
      </c>
      <c r="BO106" s="64">
        <f t="shared" ref="BO106:BO112" si="13">IFERROR(1/J106*(X106/H106),"0")</f>
        <v>8.6805555555555542E-3</v>
      </c>
      <c r="BP106" s="64">
        <f t="shared" ref="BP106:BP112" si="14">IFERROR(1/J106*(Y106/H106),"0")</f>
        <v>1.5625E-2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14</v>
      </c>
      <c r="Y110" s="636">
        <f t="shared" si="10"/>
        <v>18</v>
      </c>
      <c r="Z110" s="36">
        <f>IFERROR(IF(Y110=0,"",ROUNDUP(Y110/H110,0)*0.00902),"")</f>
        <v>3.6080000000000001E-2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14.591111111111113</v>
      </c>
      <c r="BN110" s="64">
        <f t="shared" si="12"/>
        <v>18.760000000000002</v>
      </c>
      <c r="BO110" s="64">
        <f t="shared" si="13"/>
        <v>2.3569023569023569E-2</v>
      </c>
      <c r="BP110" s="64">
        <f t="shared" si="14"/>
        <v>3.0303030303030304E-2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3.6666666666666665</v>
      </c>
      <c r="Y113" s="637">
        <f>IFERROR(Y106/H106,"0")+IFERROR(Y107/H107,"0")+IFERROR(Y108/H108,"0")+IFERROR(Y109/H109,"0")+IFERROR(Y110/H110,"0")+IFERROR(Y111/H111,"0")+IFERROR(Y112/H112,"0")</f>
        <v>5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5.5059999999999998E-2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20</v>
      </c>
      <c r="Y114" s="637">
        <f>IFERROR(SUM(Y106:Y112),"0")</f>
        <v>28.8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56</v>
      </c>
      <c r="Y116" s="636">
        <f>IFERROR(IF(X116="",0,CEILING((X116/$H116),1)*$H116),"")</f>
        <v>64.800000000000011</v>
      </c>
      <c r="Z116" s="36">
        <f>IFERROR(IF(Y116=0,"",ROUNDUP(Y116/H116,0)*0.01898),"")</f>
        <v>0.11388000000000001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58.12592592592592</v>
      </c>
      <c r="BN116" s="64">
        <f>IFERROR(Y116*I116/H116,"0")</f>
        <v>67.260000000000005</v>
      </c>
      <c r="BO116" s="64">
        <f>IFERROR(1/J116*(X116/H116),"0")</f>
        <v>8.1018518518518517E-2</v>
      </c>
      <c r="BP116" s="64">
        <f>IFERROR(1/J116*(Y116/H116),"0")</f>
        <v>9.3750000000000014E-2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29</v>
      </c>
      <c r="Y120" s="636">
        <f>IFERROR(IF(X120="",0,CEILING((X120/$H120),1)*$H120),"")</f>
        <v>31.2</v>
      </c>
      <c r="Z120" s="36">
        <f>IFERROR(IF(Y120=0,"",ROUNDUP(Y120/H120,0)*0.00651),"")</f>
        <v>8.4629999999999997E-2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31.175000000000004</v>
      </c>
      <c r="BN120" s="64">
        <f>IFERROR(Y120*I120/H120,"0")</f>
        <v>33.54</v>
      </c>
      <c r="BO120" s="64">
        <f>IFERROR(1/J120*(X120/H120),"0")</f>
        <v>6.6391941391941406E-2</v>
      </c>
      <c r="BP120" s="64">
        <f>IFERROR(1/J120*(Y120/H120),"0")</f>
        <v>7.1428571428571438E-2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17.268518518518519</v>
      </c>
      <c r="Y121" s="637">
        <f>IFERROR(Y116/H116,"0")+IFERROR(Y117/H117,"0")+IFERROR(Y118/H118,"0")+IFERROR(Y119/H119,"0")+IFERROR(Y120/H120,"0")</f>
        <v>19</v>
      </c>
      <c r="Z121" s="637">
        <f>IFERROR(IF(Z116="",0,Z116),"0")+IFERROR(IF(Z117="",0,Z117),"0")+IFERROR(IF(Z118="",0,Z118),"0")+IFERROR(IF(Z119="",0,Z119),"0")+IFERROR(IF(Z120="",0,Z120),"0")</f>
        <v>0.19851000000000002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85</v>
      </c>
      <c r="Y122" s="637">
        <f>IFERROR(SUM(Y116:Y120),"0")</f>
        <v>96.000000000000014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190</v>
      </c>
      <c r="Y124" s="636">
        <f>IFERROR(IF(X124="",0,CEILING((X124/$H124),1)*$H124),"")</f>
        <v>194.39999999999998</v>
      </c>
      <c r="Z124" s="36">
        <f>IFERROR(IF(Y124=0,"",ROUNDUP(Y124/H124,0)*0.01898),"")</f>
        <v>0.45552000000000004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201.4469135802469</v>
      </c>
      <c r="BN124" s="64">
        <f>IFERROR(Y124*I124/H124,"0")</f>
        <v>206.11199999999997</v>
      </c>
      <c r="BO124" s="64">
        <f>IFERROR(1/J124*(X124/H124),"0")</f>
        <v>0.36651234567901236</v>
      </c>
      <c r="BP124" s="64">
        <f>IFERROR(1/J124*(Y124/H124),"0")</f>
        <v>0.375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42</v>
      </c>
      <c r="Y126" s="636">
        <f>IFERROR(IF(X126="",0,CEILING((X126/$H126),1)*$H126),"")</f>
        <v>43.2</v>
      </c>
      <c r="Z126" s="36">
        <f>IFERROR(IF(Y126=0,"",ROUNDUP(Y126/H126,0)*0.00651),"")</f>
        <v>0.10416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45.919999999999995</v>
      </c>
      <c r="BN126" s="64">
        <f>IFERROR(Y126*I126/H126,"0")</f>
        <v>47.231999999999999</v>
      </c>
      <c r="BO126" s="64">
        <f>IFERROR(1/J126*(X126/H126),"0")</f>
        <v>8.5470085470085472E-2</v>
      </c>
      <c r="BP126" s="64">
        <f>IFERROR(1/J126*(Y126/H126),"0")</f>
        <v>8.7912087912087919E-2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39.012345679012348</v>
      </c>
      <c r="Y128" s="637">
        <f>IFERROR(Y124/H124,"0")+IFERROR(Y125/H125,"0")+IFERROR(Y126/H126,"0")+IFERROR(Y127/H127,"0")</f>
        <v>40</v>
      </c>
      <c r="Z128" s="637">
        <f>IFERROR(IF(Z124="",0,Z124),"0")+IFERROR(IF(Z125="",0,Z125),"0")+IFERROR(IF(Z126="",0,Z126),"0")+IFERROR(IF(Z127="",0,Z127),"0")</f>
        <v>0.55968000000000007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232</v>
      </c>
      <c r="Y129" s="637">
        <f>IFERROR(SUM(Y124:Y127),"0")</f>
        <v>237.59999999999997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17</v>
      </c>
      <c r="Y131" s="636">
        <f>IFERROR(IF(X131="",0,CEILING((X131/$H131),1)*$H131),"")</f>
        <v>17.82</v>
      </c>
      <c r="Z131" s="36">
        <f>IFERROR(IF(Y131=0,"",ROUNDUP(Y131/H131,0)*0.00651),"")</f>
        <v>5.8590000000000003E-2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19.215151515151515</v>
      </c>
      <c r="BN131" s="64">
        <f>IFERROR(Y131*I131/H131,"0")</f>
        <v>20.141999999999999</v>
      </c>
      <c r="BO131" s="64">
        <f>IFERROR(1/J131*(X131/H131),"0")</f>
        <v>4.7175047175047183E-2</v>
      </c>
      <c r="BP131" s="64">
        <f>IFERROR(1/J131*(Y131/H131),"0")</f>
        <v>4.9450549450549455E-2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8.5858585858585865</v>
      </c>
      <c r="Y132" s="637">
        <f>IFERROR(Y131/H131,"0")</f>
        <v>9</v>
      </c>
      <c r="Z132" s="637">
        <f>IFERROR(IF(Z131="",0,Z131),"0")</f>
        <v>5.8590000000000003E-2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17</v>
      </c>
      <c r="Y133" s="637">
        <f>IFERROR(SUM(Y131:Y131),"0")</f>
        <v>17.82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32</v>
      </c>
      <c r="Y136" s="636">
        <f>IFERROR(IF(X136="",0,CEILING((X136/$H136),1)*$H136),"")</f>
        <v>32</v>
      </c>
      <c r="Z136" s="36">
        <f>IFERROR(IF(Y136=0,"",ROUNDUP(Y136/H136,0)*0.00651),"")</f>
        <v>6.5100000000000005E-2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33.799999999999997</v>
      </c>
      <c r="BN136" s="64">
        <f>IFERROR(Y136*I136/H136,"0")</f>
        <v>33.799999999999997</v>
      </c>
      <c r="BO136" s="64">
        <f>IFERROR(1/J136*(X136/H136),"0")</f>
        <v>5.4945054945054951E-2</v>
      </c>
      <c r="BP136" s="64">
        <f>IFERROR(1/J136*(Y136/H136),"0")</f>
        <v>5.4945054945054951E-2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10</v>
      </c>
      <c r="Y138" s="637">
        <f>IFERROR(Y136/H136,"0")+IFERROR(Y137/H137,"0")</f>
        <v>10</v>
      </c>
      <c r="Z138" s="637">
        <f>IFERROR(IF(Z136="",0,Z136),"0")+IFERROR(IF(Z137="",0,Z137),"0")</f>
        <v>6.5100000000000005E-2</v>
      </c>
      <c r="AA138" s="638"/>
      <c r="AB138" s="638"/>
      <c r="AC138" s="638"/>
    </row>
    <row r="139" spans="1:68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32</v>
      </c>
      <c r="Y139" s="637">
        <f>IFERROR(SUM(Y136:Y137),"0")</f>
        <v>32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19</v>
      </c>
      <c r="Y141" s="636">
        <f>IFERROR(IF(X141="",0,CEILING((X141/$H141),1)*$H141),"")</f>
        <v>19.599999999999998</v>
      </c>
      <c r="Z141" s="36">
        <f>IFERROR(IF(Y141=0,"",ROUNDUP(Y141/H141,0)*0.00651),"")</f>
        <v>4.5569999999999999E-2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20.818571428571431</v>
      </c>
      <c r="BN141" s="64">
        <f>IFERROR(Y141*I141/H141,"0")</f>
        <v>21.475999999999999</v>
      </c>
      <c r="BO141" s="64">
        <f>IFERROR(1/J141*(X141/H141),"0")</f>
        <v>3.7284144427001578E-2</v>
      </c>
      <c r="BP141" s="64">
        <f>IFERROR(1/J141*(Y141/H141),"0")</f>
        <v>3.8461538461538464E-2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6.7857142857142865</v>
      </c>
      <c r="Y143" s="637">
        <f>IFERROR(Y141/H141,"0")+IFERROR(Y142/H142,"0")</f>
        <v>7</v>
      </c>
      <c r="Z143" s="637">
        <f>IFERROR(IF(Z141="",0,Z141),"0")+IFERROR(IF(Z142="",0,Z142),"0")</f>
        <v>4.5569999999999999E-2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19</v>
      </c>
      <c r="Y144" s="637">
        <f>IFERROR(SUM(Y141:Y142),"0")</f>
        <v>19.599999999999998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61</v>
      </c>
      <c r="Y146" s="636">
        <f>IFERROR(IF(X146="",0,CEILING((X146/$H146),1)*$H146),"")</f>
        <v>63.36</v>
      </c>
      <c r="Z146" s="36">
        <f>IFERROR(IF(Y146=0,"",ROUNDUP(Y146/H146,0)*0.00651),"")</f>
        <v>0.15623999999999999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67.192424242424238</v>
      </c>
      <c r="BN146" s="64">
        <f>IFERROR(Y146*I146/H146,"0")</f>
        <v>69.792000000000002</v>
      </c>
      <c r="BO146" s="64">
        <f>IFERROR(1/J146*(X146/H146),"0")</f>
        <v>0.12695637695637696</v>
      </c>
      <c r="BP146" s="64">
        <f>IFERROR(1/J146*(Y146/H146),"0")</f>
        <v>0.13186813186813187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23.106060606060606</v>
      </c>
      <c r="Y148" s="637">
        <f>IFERROR(Y146/H146,"0")+IFERROR(Y147/H147,"0")</f>
        <v>24</v>
      </c>
      <c r="Z148" s="637">
        <f>IFERROR(IF(Z146="",0,Z146),"0")+IFERROR(IF(Z147="",0,Z147),"0")</f>
        <v>0.15623999999999999</v>
      </c>
      <c r="AA148" s="638"/>
      <c r="AB148" s="638"/>
      <c r="AC148" s="638"/>
    </row>
    <row r="149" spans="1:68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61</v>
      </c>
      <c r="Y149" s="637">
        <f>IFERROR(SUM(Y146:Y147),"0")</f>
        <v>63.36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270</v>
      </c>
      <c r="Y177" s="636">
        <f t="shared" si="15"/>
        <v>273</v>
      </c>
      <c r="Z177" s="36">
        <f>IFERROR(IF(Y177=0,"",ROUNDUP(Y177/H177,0)*0.00902),"")</f>
        <v>0.70355999999999996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284.65714285714284</v>
      </c>
      <c r="BN177" s="64">
        <f t="shared" si="17"/>
        <v>287.82</v>
      </c>
      <c r="BO177" s="64">
        <f t="shared" si="18"/>
        <v>0.58441558441558439</v>
      </c>
      <c r="BP177" s="64">
        <f t="shared" si="19"/>
        <v>0.59090909090909094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227</v>
      </c>
      <c r="Y179" s="636">
        <f t="shared" si="15"/>
        <v>227.5</v>
      </c>
      <c r="Z179" s="36">
        <f>IFERROR(IF(Y179=0,"",ROUNDUP(Y179/H179,0)*0.00902),"")</f>
        <v>0.58630000000000004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239.32285714285715</v>
      </c>
      <c r="BN179" s="64">
        <f t="shared" si="17"/>
        <v>239.85</v>
      </c>
      <c r="BO179" s="64">
        <f t="shared" si="18"/>
        <v>0.49134199134199141</v>
      </c>
      <c r="BP179" s="64">
        <f t="shared" si="19"/>
        <v>0.49242424242424243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8</v>
      </c>
      <c r="Y181" s="636">
        <f t="shared" si="15"/>
        <v>8.1</v>
      </c>
      <c r="Z181" s="36">
        <f>IFERROR(IF(Y181=0,"",ROUNDUP(Y181/H181,0)*0.00726),"")</f>
        <v>6.5339999999999995E-2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9.8666666666666671</v>
      </c>
      <c r="BN181" s="64">
        <f t="shared" si="17"/>
        <v>9.99</v>
      </c>
      <c r="BO181" s="64">
        <f t="shared" si="18"/>
        <v>4.6296296296296294E-2</v>
      </c>
      <c r="BP181" s="64">
        <f t="shared" si="19"/>
        <v>4.6875E-2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116</v>
      </c>
      <c r="Y184" s="636">
        <f t="shared" si="15"/>
        <v>117.6</v>
      </c>
      <c r="Z184" s="36">
        <f>IFERROR(IF(Y184=0,"",ROUNDUP(Y184/H184,0)*0.00502),"")</f>
        <v>0.35139999999999999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122.9047619047619</v>
      </c>
      <c r="BN184" s="64">
        <f t="shared" si="17"/>
        <v>124.60000000000001</v>
      </c>
      <c r="BO184" s="64">
        <f t="shared" si="18"/>
        <v>0.29507529507529512</v>
      </c>
      <c r="BP184" s="64">
        <f t="shared" si="19"/>
        <v>0.29914529914529919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11</v>
      </c>
      <c r="Y186" s="636">
        <f t="shared" si="15"/>
        <v>11.76</v>
      </c>
      <c r="Z186" s="36">
        <f>IFERROR(IF(Y186=0,"",ROUNDUP(Y186/H186,0)*0.00502),"")</f>
        <v>3.5140000000000005E-2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11.654761904761907</v>
      </c>
      <c r="BN186" s="64">
        <f t="shared" si="17"/>
        <v>12.46</v>
      </c>
      <c r="BO186" s="64">
        <f t="shared" si="18"/>
        <v>2.7981277981277985E-2</v>
      </c>
      <c r="BP186" s="64">
        <f t="shared" si="19"/>
        <v>2.9914529914529919E-2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226.48412698412699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229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1.7417399999999998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632</v>
      </c>
      <c r="Y188" s="637">
        <f>IFERROR(SUM(Y176:Y186),"0")</f>
        <v>637.96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84</v>
      </c>
      <c r="Y224" s="636">
        <f t="shared" si="26"/>
        <v>84</v>
      </c>
      <c r="Z224" s="36">
        <f>IFERROR(IF(Y224=0,"",ROUNDUP(Y224/H224,0)*0.00502),"")</f>
        <v>0.20080000000000001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89.199999999999989</v>
      </c>
      <c r="BN224" s="64">
        <f t="shared" si="28"/>
        <v>89.199999999999989</v>
      </c>
      <c r="BO224" s="64">
        <f t="shared" si="29"/>
        <v>0.17094017094017094</v>
      </c>
      <c r="BP224" s="64">
        <f t="shared" si="30"/>
        <v>0.17094017094017094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2</v>
      </c>
      <c r="Y229" s="636">
        <f t="shared" si="26"/>
        <v>2.4000000000000004</v>
      </c>
      <c r="Z229" s="36">
        <f>IFERROR(IF(Y229=0,"",ROUNDUP(Y229/H229,0)*0.00417),"")</f>
        <v>1.251E-2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2.5249999999999999</v>
      </c>
      <c r="BN229" s="64">
        <f t="shared" si="28"/>
        <v>3.0300000000000002</v>
      </c>
      <c r="BO229" s="64">
        <f t="shared" si="29"/>
        <v>8.0128205128205121E-3</v>
      </c>
      <c r="BP229" s="64">
        <f t="shared" si="30"/>
        <v>9.6153846153846159E-3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42.5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0.21331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86</v>
      </c>
      <c r="Y234" s="637">
        <f>IFERROR(SUM(Y220:Y232),"0")</f>
        <v>86.4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3</v>
      </c>
      <c r="Y246" s="636">
        <f>IFERROR(IF(X246="",0,CEILING((X246/$H246),1)*$H246),"")</f>
        <v>3.7800000000000002</v>
      </c>
      <c r="Z246" s="36">
        <f>IFERROR(IF(Y246=0,"",ROUNDUP(Y246/H246,0)*0.0059),"")</f>
        <v>1.77E-2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3.4523809523809521</v>
      </c>
      <c r="BN246" s="64">
        <f>IFERROR(Y246*I246/H246,"0")</f>
        <v>4.3499999999999996</v>
      </c>
      <c r="BO246" s="64">
        <f>IFERROR(1/J246*(X246/H246),"0")</f>
        <v>1.1022927689594356E-2</v>
      </c>
      <c r="BP246" s="64">
        <f>IFERROR(1/J246*(Y246/H246),"0")</f>
        <v>1.3888888888888888E-2</v>
      </c>
    </row>
    <row r="247" spans="1:68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2.3809523809523809</v>
      </c>
      <c r="Y247" s="637">
        <f>IFERROR(Y244/H244,"0")+IFERROR(Y245/H245,"0")+IFERROR(Y246/H246,"0")</f>
        <v>3</v>
      </c>
      <c r="Z247" s="637">
        <f>IFERROR(IF(Z244="",0,Z244),"0")+IFERROR(IF(Z245="",0,Z245),"0")+IFERROR(IF(Z246="",0,Z246),"0")</f>
        <v>1.77E-2</v>
      </c>
      <c r="AA247" s="638"/>
      <c r="AB247" s="638"/>
      <c r="AC247" s="638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3</v>
      </c>
      <c r="Y248" s="637">
        <f>IFERROR(SUM(Y244:Y246),"0")</f>
        <v>3.7800000000000002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6</v>
      </c>
      <c r="Y250" s="636">
        <f>IFERROR(IF(X250="",0,CEILING((X250/$H250),1)*$H250),"")</f>
        <v>6.3</v>
      </c>
      <c r="Z250" s="36">
        <f>IFERROR(IF(Y250=0,"",ROUNDUP(Y250/H250,0)*0.0059),"")</f>
        <v>2.9499999999999998E-2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6.9047619047619042</v>
      </c>
      <c r="BN250" s="64">
        <f>IFERROR(Y250*I250/H250,"0")</f>
        <v>7.25</v>
      </c>
      <c r="BO250" s="64">
        <f>IFERROR(1/J250*(X250/H250),"0")</f>
        <v>2.2045855379188711E-2</v>
      </c>
      <c r="BP250" s="64">
        <f>IFERROR(1/J250*(Y250/H250),"0")</f>
        <v>2.3148148148148147E-2</v>
      </c>
    </row>
    <row r="251" spans="1:68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4.7619047619047619</v>
      </c>
      <c r="Y251" s="637">
        <f>IFERROR(Y250/H250,"0")</f>
        <v>5</v>
      </c>
      <c r="Z251" s="637">
        <f>IFERROR(IF(Z250="",0,Z250),"0")</f>
        <v>2.9499999999999998E-2</v>
      </c>
      <c r="AA251" s="638"/>
      <c r="AB251" s="638"/>
      <c r="AC251" s="638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6</v>
      </c>
      <c r="Y252" s="637">
        <f>IFERROR(SUM(Y250:Y250),"0")</f>
        <v>6.3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275</v>
      </c>
      <c r="Y265" s="636">
        <f t="shared" ref="Y265:Y272" si="31">IFERROR(IF(X265="",0,CEILING((X265/$H265),1)*$H265),"")</f>
        <v>275.40000000000003</v>
      </c>
      <c r="Z265" s="36">
        <f>IFERROR(IF(Y265=0,"",ROUNDUP(Y265/H265,0)*0.00902),"")</f>
        <v>0.46001999999999998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284.67592592592592</v>
      </c>
      <c r="BN265" s="64">
        <f t="shared" ref="BN265:BN272" si="33">IFERROR(Y265*I265/H265,"0")</f>
        <v>285.08999999999997</v>
      </c>
      <c r="BO265" s="64">
        <f t="shared" ref="BO265:BO272" si="34">IFERROR(1/J265*(X265/H265),"0")</f>
        <v>0.38580246913580246</v>
      </c>
      <c r="BP265" s="64">
        <f t="shared" ref="BP265:BP272" si="35">IFERROR(1/J265*(Y265/H265),"0")</f>
        <v>0.38636363636363635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245</v>
      </c>
      <c r="Y266" s="636">
        <f t="shared" si="31"/>
        <v>248.4</v>
      </c>
      <c r="Z266" s="36">
        <f>IFERROR(IF(Y266=0,"",ROUNDUP(Y266/H266,0)*0.00902),"")</f>
        <v>0.41492000000000001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253.62037037037035</v>
      </c>
      <c r="BN266" s="64">
        <f t="shared" si="33"/>
        <v>257.14</v>
      </c>
      <c r="BO266" s="64">
        <f t="shared" si="34"/>
        <v>0.34371492704826034</v>
      </c>
      <c r="BP266" s="64">
        <f t="shared" si="35"/>
        <v>0.34848484848484851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96.296296296296291</v>
      </c>
      <c r="Y273" s="637">
        <f>IFERROR(Y265/H265,"0")+IFERROR(Y266/H266,"0")+IFERROR(Y267/H267,"0")+IFERROR(Y268/H268,"0")+IFERROR(Y269/H269,"0")+IFERROR(Y270/H270,"0")+IFERROR(Y271/H271,"0")+IFERROR(Y272/H272,"0")</f>
        <v>97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0.87494000000000005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520</v>
      </c>
      <c r="Y274" s="637">
        <f>IFERROR(SUM(Y265:Y272),"0")</f>
        <v>523.80000000000007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133</v>
      </c>
      <c r="Y277" s="636">
        <f t="shared" si="36"/>
        <v>137.69999999999999</v>
      </c>
      <c r="Z277" s="36">
        <f>IFERROR(IF(Y277=0,"",ROUNDUP(Y277/H277,0)*0.01898),"")</f>
        <v>0.32266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141.11135802469136</v>
      </c>
      <c r="BN277" s="64">
        <f t="shared" si="38"/>
        <v>146.09799999999998</v>
      </c>
      <c r="BO277" s="64">
        <f t="shared" si="39"/>
        <v>0.25655864197530864</v>
      </c>
      <c r="BP277" s="64">
        <f t="shared" si="40"/>
        <v>0.265625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139</v>
      </c>
      <c r="Y278" s="636">
        <f t="shared" si="36"/>
        <v>145.79999999999998</v>
      </c>
      <c r="Z278" s="36">
        <f>IFERROR(IF(Y278=0,"",ROUNDUP(Y278/H278,0)*0.01898),"")</f>
        <v>0.34164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147.1683950617284</v>
      </c>
      <c r="BN278" s="64">
        <f t="shared" si="38"/>
        <v>154.36799999999999</v>
      </c>
      <c r="BO278" s="64">
        <f t="shared" si="39"/>
        <v>0.26813271604938271</v>
      </c>
      <c r="BP278" s="64">
        <f t="shared" si="40"/>
        <v>0.28125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79</v>
      </c>
      <c r="Y280" s="636">
        <f t="shared" si="36"/>
        <v>79.2</v>
      </c>
      <c r="Z280" s="36">
        <f>IFERROR(IF(Y280=0,"",ROUNDUP(Y280/H280,0)*0.00651),"")</f>
        <v>0.21482999999999999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87.887500000000003</v>
      </c>
      <c r="BN280" s="64">
        <f t="shared" si="38"/>
        <v>88.11</v>
      </c>
      <c r="BO280" s="64">
        <f t="shared" si="39"/>
        <v>0.18086080586080591</v>
      </c>
      <c r="BP280" s="64">
        <f t="shared" si="40"/>
        <v>0.18131868131868134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18</v>
      </c>
      <c r="Y286" s="636">
        <f t="shared" si="36"/>
        <v>19.2</v>
      </c>
      <c r="Z286" s="36">
        <f>IFERROR(IF(Y286=0,"",ROUNDUP(Y286/H286,0)*0.00651),"")</f>
        <v>5.2080000000000001E-2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19.935000000000002</v>
      </c>
      <c r="BN286" s="64">
        <f t="shared" si="38"/>
        <v>21.263999999999999</v>
      </c>
      <c r="BO286" s="64">
        <f t="shared" si="39"/>
        <v>4.1208791208791215E-2</v>
      </c>
      <c r="BP286" s="64">
        <f t="shared" si="40"/>
        <v>4.3956043956043959E-2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73.996913580246911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76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0.93120999999999998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369</v>
      </c>
      <c r="Y289" s="637">
        <f>IFERROR(SUM(Y276:Y287),"0")</f>
        <v>381.9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10</v>
      </c>
      <c r="Y311" s="636">
        <f>IFERROR(IF(X311="",0,CEILING((X311/$H311),1)*$H311),"")</f>
        <v>10.8</v>
      </c>
      <c r="Z311" s="36">
        <f>IFERROR(IF(Y311=0,"",ROUNDUP(Y311/H311,0)*0.0059),"")</f>
        <v>3.5400000000000001E-2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10.972222222222221</v>
      </c>
      <c r="BN311" s="64">
        <f>IFERROR(Y311*I311/H311,"0")</f>
        <v>11.850000000000001</v>
      </c>
      <c r="BO311" s="64">
        <f>IFERROR(1/J311*(X311/H311),"0")</f>
        <v>2.5720164609053495E-2</v>
      </c>
      <c r="BP311" s="64">
        <f>IFERROR(1/J311*(Y311/H311),"0")</f>
        <v>2.7777777777777776E-2</v>
      </c>
    </row>
    <row r="312" spans="1:68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5.5555555555555554</v>
      </c>
      <c r="Y312" s="637">
        <f>IFERROR(Y311/H311,"0")</f>
        <v>6</v>
      </c>
      <c r="Z312" s="637">
        <f>IFERROR(IF(Z311="",0,Z311),"0")</f>
        <v>3.5400000000000001E-2</v>
      </c>
      <c r="AA312" s="638"/>
      <c r="AB312" s="638"/>
      <c r="AC312" s="638"/>
    </row>
    <row r="313" spans="1:68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10</v>
      </c>
      <c r="Y313" s="637">
        <f>IFERROR(SUM(Y311:Y311),"0")</f>
        <v>10.8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9</v>
      </c>
      <c r="Y335" s="636">
        <f>IFERROR(IF(X335="",0,CEILING((X335/$H335),1)*$H335),"")</f>
        <v>9.6</v>
      </c>
      <c r="Z335" s="36">
        <f>IFERROR(IF(Y335=0,"",ROUNDUP(Y335/H335,0)*0.00651),"")</f>
        <v>2.6040000000000001E-2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9.9450000000000021</v>
      </c>
      <c r="BN335" s="64">
        <f>IFERROR(Y335*I335/H335,"0")</f>
        <v>10.608000000000001</v>
      </c>
      <c r="BO335" s="64">
        <f>IFERROR(1/J335*(X335/H335),"0")</f>
        <v>2.0604395604395608E-2</v>
      </c>
      <c r="BP335" s="64">
        <f>IFERROR(1/J335*(Y335/H335),"0")</f>
        <v>2.197802197802198E-2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70</v>
      </c>
      <c r="Y336" s="636">
        <f>IFERROR(IF(X336="",0,CEILING((X336/$H336),1)*$H336),"")</f>
        <v>72</v>
      </c>
      <c r="Z336" s="36">
        <f>IFERROR(IF(Y336=0,"",ROUNDUP(Y336/H336,0)*0.00651),"")</f>
        <v>0.1953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75.25</v>
      </c>
      <c r="BN336" s="64">
        <f>IFERROR(Y336*I336/H336,"0")</f>
        <v>77.400000000000006</v>
      </c>
      <c r="BO336" s="64">
        <f>IFERROR(1/J336*(X336/H336),"0")</f>
        <v>0.16025641025641027</v>
      </c>
      <c r="BP336" s="64">
        <f>IFERROR(1/J336*(Y336/H336),"0")</f>
        <v>0.16483516483516486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32.916666666666671</v>
      </c>
      <c r="Y337" s="637">
        <f>IFERROR(Y334/H334,"0")+IFERROR(Y335/H335,"0")+IFERROR(Y336/H336,"0")</f>
        <v>34</v>
      </c>
      <c r="Z337" s="637">
        <f>IFERROR(IF(Z334="",0,Z334),"0")+IFERROR(IF(Z335="",0,Z335),"0")+IFERROR(IF(Z336="",0,Z336),"0")</f>
        <v>0.22134000000000001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79</v>
      </c>
      <c r="Y338" s="637">
        <f>IFERROR(SUM(Y334:Y336),"0")</f>
        <v>81.599999999999994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49</v>
      </c>
      <c r="Y366" s="636">
        <f>IFERROR(IF(X366="",0,CEILING((X366/$H366),1)*$H366),"")</f>
        <v>54.6</v>
      </c>
      <c r="Z366" s="36">
        <f>IFERROR(IF(Y366=0,"",ROUNDUP(Y366/H366,0)*0.01898),"")</f>
        <v>0.13286000000000001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51.575641025641026</v>
      </c>
      <c r="BN366" s="64">
        <f>IFERROR(Y366*I366/H366,"0")</f>
        <v>57.470000000000013</v>
      </c>
      <c r="BO366" s="64">
        <f>IFERROR(1/J366*(X366/H366),"0")</f>
        <v>9.815705128205128E-2</v>
      </c>
      <c r="BP366" s="64">
        <f>IFERROR(1/J366*(Y366/H366),"0")</f>
        <v>0.109375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6.2820512820512819</v>
      </c>
      <c r="Y367" s="637">
        <f>IFERROR(Y364/H364,"0")+IFERROR(Y365/H365,"0")+IFERROR(Y366/H366,"0")</f>
        <v>7</v>
      </c>
      <c r="Z367" s="637">
        <f>IFERROR(IF(Z364="",0,Z364),"0")+IFERROR(IF(Z365="",0,Z365),"0")+IFERROR(IF(Z366="",0,Z366),"0")</f>
        <v>0.13286000000000001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49</v>
      </c>
      <c r="Y368" s="637">
        <f>IFERROR(SUM(Y364:Y366),"0")</f>
        <v>54.6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15</v>
      </c>
      <c r="Y387" s="636">
        <f t="shared" si="56"/>
        <v>16.2</v>
      </c>
      <c r="Z387" s="36">
        <f>IFERROR(IF(Y387=0,"",ROUNDUP(Y387/H387,0)*0.00651),"")</f>
        <v>5.8590000000000003E-2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16.900000000000002</v>
      </c>
      <c r="BN387" s="64">
        <f t="shared" si="58"/>
        <v>18.251999999999999</v>
      </c>
      <c r="BO387" s="64">
        <f t="shared" si="59"/>
        <v>4.5787545787545791E-2</v>
      </c>
      <c r="BP387" s="64">
        <f t="shared" si="60"/>
        <v>4.9450549450549455E-2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8.3333333333333339</v>
      </c>
      <c r="Y388" s="637">
        <f>IFERROR(Y381/H381,"0")+IFERROR(Y382/H382,"0")+IFERROR(Y383/H383,"0")+IFERROR(Y384/H384,"0")+IFERROR(Y385/H385,"0")+IFERROR(Y386/H386,"0")+IFERROR(Y387/H387,"0")</f>
        <v>9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5.8590000000000003E-2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15</v>
      </c>
      <c r="Y389" s="637">
        <f>IFERROR(SUM(Y381:Y387),"0")</f>
        <v>16.2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206</v>
      </c>
      <c r="Y399" s="636">
        <f>IFERROR(IF(X399="",0,CEILING((X399/$H399),1)*$H399),"")</f>
        <v>210.6</v>
      </c>
      <c r="Z399" s="36">
        <f>IFERROR(IF(Y399=0,"",ROUNDUP(Y399/H399,0)*0.01898),"")</f>
        <v>0.51246000000000003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219.04666666666668</v>
      </c>
      <c r="BN399" s="64">
        <f>IFERROR(Y399*I399/H399,"0")</f>
        <v>223.93800000000002</v>
      </c>
      <c r="BO399" s="64">
        <f>IFERROR(1/J399*(X399/H399),"0")</f>
        <v>0.41266025641025644</v>
      </c>
      <c r="BP399" s="64">
        <f>IFERROR(1/J399*(Y399/H399),"0")</f>
        <v>0.421875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82</v>
      </c>
      <c r="Y400" s="636">
        <f>IFERROR(IF(X400="",0,CEILING((X400/$H400),1)*$H400),"")</f>
        <v>84</v>
      </c>
      <c r="Z400" s="36">
        <f>IFERROR(IF(Y400=0,"",ROUNDUP(Y400/H400,0)*0.01898),"")</f>
        <v>0.1898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86.822380952380954</v>
      </c>
      <c r="BN400" s="64">
        <f>IFERROR(Y400*I400/H400,"0")</f>
        <v>88.94</v>
      </c>
      <c r="BO400" s="64">
        <f>IFERROR(1/J400*(X400/H400),"0")</f>
        <v>0.15252976190476189</v>
      </c>
      <c r="BP400" s="64">
        <f>IFERROR(1/J400*(Y400/H400),"0")</f>
        <v>0.15625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36.172161172161175</v>
      </c>
      <c r="Y401" s="637">
        <f>IFERROR(Y398/H398,"0")+IFERROR(Y399/H399,"0")+IFERROR(Y400/H400,"0")</f>
        <v>37</v>
      </c>
      <c r="Z401" s="637">
        <f>IFERROR(IF(Z398="",0,Z398),"0")+IFERROR(IF(Z399="",0,Z399),"0")+IFERROR(IF(Z400="",0,Z400),"0")</f>
        <v>0.70226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288</v>
      </c>
      <c r="Y402" s="637">
        <f>IFERROR(SUM(Y398:Y400),"0")</f>
        <v>294.60000000000002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10</v>
      </c>
      <c r="Y407" s="636">
        <f>IFERROR(IF(X407="",0,CEILING((X407/$H407),1)*$H407),"")</f>
        <v>10.199999999999999</v>
      </c>
      <c r="Z407" s="36">
        <f>IFERROR(IF(Y407=0,"",ROUNDUP(Y407/H407,0)*0.00651),"")</f>
        <v>2.6040000000000001E-2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11.294117647058822</v>
      </c>
      <c r="BN407" s="64">
        <f>IFERROR(Y407*I407/H407,"0")</f>
        <v>11.52</v>
      </c>
      <c r="BO407" s="64">
        <f>IFERROR(1/J407*(X407/H407),"0")</f>
        <v>2.1547080370609786E-2</v>
      </c>
      <c r="BP407" s="64">
        <f>IFERROR(1/J407*(Y407/H407),"0")</f>
        <v>2.197802197802198E-2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3.9215686274509807</v>
      </c>
      <c r="Y408" s="637">
        <f>IFERROR(Y404/H404,"0")+IFERROR(Y405/H405,"0")+IFERROR(Y406/H406,"0")+IFERROR(Y407/H407,"0")</f>
        <v>4</v>
      </c>
      <c r="Z408" s="637">
        <f>IFERROR(IF(Z404="",0,Z404),"0")+IFERROR(IF(Z405="",0,Z405),"0")+IFERROR(IF(Z406="",0,Z406),"0")+IFERROR(IF(Z407="",0,Z407),"0")</f>
        <v>2.6040000000000001E-2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10</v>
      </c>
      <c r="Y409" s="637">
        <f>IFERROR(SUM(Y404:Y407),"0")</f>
        <v>10.199999999999999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9</v>
      </c>
      <c r="Y432" s="636">
        <f>IFERROR(IF(X432="",0,CEILING((X432/$H432),1)*$H432),"")</f>
        <v>10.5</v>
      </c>
      <c r="Z432" s="36">
        <f>IFERROR(IF(Y432=0,"",ROUNDUP(Y432/H432,0)*0.00651),"")</f>
        <v>3.2550000000000003E-2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10.08</v>
      </c>
      <c r="BN432" s="64">
        <f>IFERROR(Y432*I432/H432,"0")</f>
        <v>11.759999999999998</v>
      </c>
      <c r="BO432" s="64">
        <f>IFERROR(1/J432*(X432/H432),"0")</f>
        <v>2.3547880690737835E-2</v>
      </c>
      <c r="BP432" s="64">
        <f>IFERROR(1/J432*(Y432/H432),"0")</f>
        <v>2.7472527472527476E-2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14</v>
      </c>
      <c r="Y433" s="636">
        <f>IFERROR(IF(X433="",0,CEILING((X433/$H433),1)*$H433),"")</f>
        <v>14.700000000000001</v>
      </c>
      <c r="Z433" s="36">
        <f>IFERROR(IF(Y433=0,"",ROUNDUP(Y433/H433,0)*0.00651),"")</f>
        <v>4.5569999999999999E-2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15.599999999999998</v>
      </c>
      <c r="BN433" s="64">
        <f>IFERROR(Y433*I433/H433,"0")</f>
        <v>16.380000000000003</v>
      </c>
      <c r="BO433" s="64">
        <f>IFERROR(1/J433*(X433/H433),"0")</f>
        <v>3.6630036630036632E-2</v>
      </c>
      <c r="BP433" s="64">
        <f>IFERROR(1/J433*(Y433/H433),"0")</f>
        <v>3.8461538461538464E-2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10.952380952380953</v>
      </c>
      <c r="Y434" s="637">
        <f>IFERROR(Y431/H431,"0")+IFERROR(Y432/H432,"0")+IFERROR(Y433/H433,"0")</f>
        <v>12</v>
      </c>
      <c r="Z434" s="637">
        <f>IFERROR(IF(Z431="",0,Z431),"0")+IFERROR(IF(Z432="",0,Z432),"0")+IFERROR(IF(Z433="",0,Z433),"0")</f>
        <v>7.8119999999999995E-2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23</v>
      </c>
      <c r="Y435" s="637">
        <f>IFERROR(SUM(Y431:Y433),"0")</f>
        <v>25.200000000000003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940</v>
      </c>
      <c r="Y442" s="636">
        <f t="shared" si="61"/>
        <v>945</v>
      </c>
      <c r="Z442" s="36">
        <f>IFERROR(IF(Y442=0,"",ROUNDUP(Y442/H442,0)*0.02175),"")</f>
        <v>1.37025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969.45333333333338</v>
      </c>
      <c r="BN442" s="64">
        <f t="shared" si="63"/>
        <v>974.61000000000013</v>
      </c>
      <c r="BO442" s="64">
        <f t="shared" si="64"/>
        <v>1.3055555555555554</v>
      </c>
      <c r="BP442" s="64">
        <f t="shared" si="65"/>
        <v>1.3125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13</v>
      </c>
      <c r="Y443" s="636">
        <f t="shared" si="61"/>
        <v>15</v>
      </c>
      <c r="Z443" s="36">
        <f>IFERROR(IF(Y443=0,"",ROUNDUP(Y443/H443,0)*0.02175),"")</f>
        <v>2.1749999999999999E-2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13.407333333333334</v>
      </c>
      <c r="BN443" s="64">
        <f t="shared" si="63"/>
        <v>15.47</v>
      </c>
      <c r="BO443" s="64">
        <f t="shared" si="64"/>
        <v>1.8055555555555554E-2</v>
      </c>
      <c r="BP443" s="64">
        <f t="shared" si="65"/>
        <v>2.0833333333333332E-2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63.533333333333331</v>
      </c>
      <c r="Y447" s="637">
        <f>IFERROR(Y439/H439,"0")+IFERROR(Y440/H440,"0")+IFERROR(Y441/H441,"0")+IFERROR(Y442/H442,"0")+IFERROR(Y443/H443,"0")+IFERROR(Y444/H444,"0")+IFERROR(Y445/H445,"0")+IFERROR(Y446/H446,"0")</f>
        <v>64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1.3919999999999999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953</v>
      </c>
      <c r="Y448" s="637">
        <f>IFERROR(SUM(Y439:Y446),"0")</f>
        <v>960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945</v>
      </c>
      <c r="Y450" s="636">
        <f>IFERROR(IF(X450="",0,CEILING((X450/$H450),1)*$H450),"")</f>
        <v>945</v>
      </c>
      <c r="Z450" s="36">
        <f>IFERROR(IF(Y450=0,"",ROUNDUP(Y450/H450,0)*0.02175),"")</f>
        <v>1.37025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974.61000000000013</v>
      </c>
      <c r="BN450" s="64">
        <f>IFERROR(Y450*I450/H450,"0")</f>
        <v>974.61000000000013</v>
      </c>
      <c r="BO450" s="64">
        <f>IFERROR(1/J450*(X450/H450),"0")</f>
        <v>1.3125</v>
      </c>
      <c r="BP450" s="64">
        <f>IFERROR(1/J450*(Y450/H450),"0")</f>
        <v>1.3125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63</v>
      </c>
      <c r="Y453" s="637">
        <f>IFERROR(Y450/H450,"0")+IFERROR(Y451/H451,"0")+IFERROR(Y452/H452,"0")</f>
        <v>63</v>
      </c>
      <c r="Z453" s="637">
        <f>IFERROR(IF(Z450="",0,Z450),"0")+IFERROR(IF(Z451="",0,Z451),"0")+IFERROR(IF(Z452="",0,Z452),"0")</f>
        <v>1.37025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945</v>
      </c>
      <c r="Y454" s="637">
        <f>IFERROR(SUM(Y450:Y452),"0")</f>
        <v>945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81</v>
      </c>
      <c r="Y477" s="636">
        <f>IFERROR(IF(X477="",0,CEILING((X477/$H477),1)*$H477),"")</f>
        <v>81</v>
      </c>
      <c r="Z477" s="36">
        <f>IFERROR(IF(Y477=0,"",ROUNDUP(Y477/H477,0)*0.01898),"")</f>
        <v>0.17082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85.445999999999998</v>
      </c>
      <c r="BN477" s="64">
        <f>IFERROR(Y477*I477/H477,"0")</f>
        <v>85.445999999999998</v>
      </c>
      <c r="BO477" s="64">
        <f>IFERROR(1/J477*(X477/H477),"0")</f>
        <v>0.140625</v>
      </c>
      <c r="BP477" s="64">
        <f>IFERROR(1/J477*(Y477/H477),"0")</f>
        <v>0.140625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22</v>
      </c>
      <c r="Y478" s="636">
        <f>IFERROR(IF(X478="",0,CEILING((X478/$H478),1)*$H478),"")</f>
        <v>24</v>
      </c>
      <c r="Z478" s="36">
        <f>IFERROR(IF(Y478=0,"",ROUNDUP(Y478/H478,0)*0.00651),"")</f>
        <v>6.5100000000000005E-2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24.42</v>
      </c>
      <c r="BN478" s="64">
        <f>IFERROR(Y478*I478/H478,"0")</f>
        <v>26.640000000000004</v>
      </c>
      <c r="BO478" s="64">
        <f>IFERROR(1/J478*(X478/H478),"0")</f>
        <v>5.0366300366300375E-2</v>
      </c>
      <c r="BP478" s="64">
        <f>IFERROR(1/J478*(Y478/H478),"0")</f>
        <v>5.4945054945054951E-2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18.166666666666668</v>
      </c>
      <c r="Y480" s="637">
        <f>IFERROR(Y477/H477,"0")+IFERROR(Y478/H478,"0")+IFERROR(Y479/H479,"0")</f>
        <v>19</v>
      </c>
      <c r="Z480" s="637">
        <f>IFERROR(IF(Z477="",0,Z477),"0")+IFERROR(IF(Z478="",0,Z478),"0")+IFERROR(IF(Z479="",0,Z479),"0")</f>
        <v>0.23592000000000002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103</v>
      </c>
      <c r="Y481" s="637">
        <f>IFERROR(SUM(Y477:Y479),"0")</f>
        <v>105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31</v>
      </c>
      <c r="Y503" s="636">
        <f>IFERROR(IF(X503="",0,CEILING((X503/$H503),1)*$H503),"")</f>
        <v>32.400000000000006</v>
      </c>
      <c r="Z503" s="36">
        <f>IFERROR(IF(Y503=0,"",ROUNDUP(Y503/H503,0)*0.00902),"")</f>
        <v>5.4120000000000001E-2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32.090740740740735</v>
      </c>
      <c r="BN503" s="64">
        <f>IFERROR(Y503*I503/H503,"0")</f>
        <v>33.54</v>
      </c>
      <c r="BO503" s="64">
        <f>IFERROR(1/J503*(X503/H503),"0")</f>
        <v>4.349046015712682E-2</v>
      </c>
      <c r="BP503" s="64">
        <f>IFERROR(1/J503*(Y503/H503),"0")</f>
        <v>4.5454545454545463E-2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5.7407407407407405</v>
      </c>
      <c r="Y506" s="637">
        <f>IFERROR(Y503/H503,"0")+IFERROR(Y504/H504,"0")+IFERROR(Y505/H505,"0")</f>
        <v>6.0000000000000009</v>
      </c>
      <c r="Z506" s="637">
        <f>IFERROR(IF(Z503="",0,Z503),"0")+IFERROR(IF(Z504="",0,Z504),"0")+IFERROR(IF(Z505="",0,Z505),"0")</f>
        <v>5.4120000000000001E-2</v>
      </c>
      <c r="AA506" s="638"/>
      <c r="AB506" s="638"/>
      <c r="AC506" s="638"/>
    </row>
    <row r="507" spans="1:68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31</v>
      </c>
      <c r="Y507" s="637">
        <f>IFERROR(SUM(Y503:Y505),"0")</f>
        <v>32.400000000000006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188</v>
      </c>
      <c r="Y515" s="636">
        <f t="shared" si="71"/>
        <v>190.08</v>
      </c>
      <c r="Z515" s="36">
        <f>IFERROR(IF(Y515=0,"",ROUNDUP(Y515/H515,0)*0.01196),"")</f>
        <v>0.43056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200.46212121212122</v>
      </c>
      <c r="BN515" s="64">
        <f t="shared" si="73"/>
        <v>202.67999999999998</v>
      </c>
      <c r="BO515" s="64">
        <f t="shared" si="74"/>
        <v>0.34236596736596736</v>
      </c>
      <c r="BP515" s="64">
        <f t="shared" si="75"/>
        <v>0.34615384615384615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33</v>
      </c>
      <c r="Y518" s="636">
        <f t="shared" si="71"/>
        <v>33.6</v>
      </c>
      <c r="Z518" s="36">
        <f>IFERROR(IF(Y518=0,"",ROUNDUP(Y518/H518,0)*0.00902),"")</f>
        <v>6.3140000000000002E-2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47.506250000000001</v>
      </c>
      <c r="BN518" s="64">
        <f t="shared" si="73"/>
        <v>48.370000000000005</v>
      </c>
      <c r="BO518" s="64">
        <f t="shared" si="74"/>
        <v>5.2083333333333336E-2</v>
      </c>
      <c r="BP518" s="64">
        <f t="shared" si="75"/>
        <v>5.3030303030303039E-2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42.481060606060602</v>
      </c>
      <c r="Y519" s="637">
        <f>IFERROR(Y511/H511,"0")+IFERROR(Y512/H512,"0")+IFERROR(Y513/H513,"0")+IFERROR(Y514/H514,"0")+IFERROR(Y515/H515,"0")+IFERROR(Y516/H516,"0")+IFERROR(Y517/H517,"0")+IFERROR(Y518/H518,"0")</f>
        <v>43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0.49370000000000003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221</v>
      </c>
      <c r="Y520" s="637">
        <f>IFERROR(SUM(Y511:Y518),"0")</f>
        <v>223.68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387</v>
      </c>
      <c r="Y522" s="636">
        <f>IFERROR(IF(X522="",0,CEILING((X522/$H522),1)*$H522),"")</f>
        <v>390.72</v>
      </c>
      <c r="Z522" s="36">
        <f>IFERROR(IF(Y522=0,"",ROUNDUP(Y522/H522,0)*0.01196),"")</f>
        <v>0.88504000000000005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412.65340909090907</v>
      </c>
      <c r="BN522" s="64">
        <f>IFERROR(Y522*I522/H522,"0")</f>
        <v>416.62</v>
      </c>
      <c r="BO522" s="64">
        <f>IFERROR(1/J522*(X522/H522),"0")</f>
        <v>0.70476398601398604</v>
      </c>
      <c r="BP522" s="64">
        <f>IFERROR(1/J522*(Y522/H522),"0")</f>
        <v>0.71153846153846156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3</v>
      </c>
      <c r="Y524" s="636">
        <f>IFERROR(IF(X524="",0,CEILING((X524/$H524),1)*$H524),"")</f>
        <v>4.8</v>
      </c>
      <c r="Z524" s="36">
        <f>IFERROR(IF(Y524=0,"",ROUNDUP(Y524/H524,0)*0.00902),"")</f>
        <v>9.0200000000000002E-3</v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4.3187500000000005</v>
      </c>
      <c r="BN524" s="64">
        <f>IFERROR(Y524*I524/H524,"0")</f>
        <v>6.91</v>
      </c>
      <c r="BO524" s="64">
        <f>IFERROR(1/J524*(X524/H524),"0")</f>
        <v>4.734848484848485E-3</v>
      </c>
      <c r="BP524" s="64">
        <f>IFERROR(1/J524*(Y524/H524),"0")</f>
        <v>7.575757575757576E-3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73.920454545454547</v>
      </c>
      <c r="Y525" s="637">
        <f>IFERROR(Y522/H522,"0")+IFERROR(Y523/H523,"0")+IFERROR(Y524/H524,"0")</f>
        <v>75</v>
      </c>
      <c r="Z525" s="637">
        <f>IFERROR(IF(Z522="",0,Z522),"0")+IFERROR(IF(Z523="",0,Z523),"0")+IFERROR(IF(Z524="",0,Z524),"0")</f>
        <v>0.89406000000000008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390</v>
      </c>
      <c r="Y526" s="637">
        <f>IFERROR(SUM(Y522:Y524),"0")</f>
        <v>395.52000000000004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325</v>
      </c>
      <c r="Y529" s="636">
        <f t="shared" si="76"/>
        <v>327.36</v>
      </c>
      <c r="Z529" s="36">
        <f>IFERROR(IF(Y529=0,"",ROUNDUP(Y529/H529,0)*0.01196),"")</f>
        <v>0.74151999999999996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346.54356060606057</v>
      </c>
      <c r="BN529" s="64">
        <f t="shared" si="78"/>
        <v>349.06</v>
      </c>
      <c r="BO529" s="64">
        <f t="shared" si="79"/>
        <v>0.59185606060606055</v>
      </c>
      <c r="BP529" s="64">
        <f t="shared" si="80"/>
        <v>0.59615384615384615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61.553030303030297</v>
      </c>
      <c r="Y535" s="637">
        <f>IFERROR(Y528/H528,"0")+IFERROR(Y529/H529,"0")+IFERROR(Y530/H530,"0")+IFERROR(Y531/H531,"0")+IFERROR(Y532/H532,"0")+IFERROR(Y533/H533,"0")+IFERROR(Y534/H534,"0")</f>
        <v>62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0.74151999999999996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325</v>
      </c>
      <c r="Y536" s="637">
        <f>IFERROR(SUM(Y528:Y534),"0")</f>
        <v>327.36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45</v>
      </c>
      <c r="Y552" s="636">
        <f>IFERROR(IF(X552="",0,CEILING((X552/$H552),1)*$H552),"")</f>
        <v>45</v>
      </c>
      <c r="Z552" s="36">
        <f>IFERROR(IF(Y552=0,"",ROUNDUP(Y552/H552,0)*0.01898),"")</f>
        <v>9.4899999999999998E-2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47.47</v>
      </c>
      <c r="BN552" s="64">
        <f>IFERROR(Y552*I552/H552,"0")</f>
        <v>47.47</v>
      </c>
      <c r="BO552" s="64">
        <f>IFERROR(1/J552*(X552/H552),"0")</f>
        <v>7.8125E-2</v>
      </c>
      <c r="BP552" s="64">
        <f>IFERROR(1/J552*(Y552/H552),"0")</f>
        <v>7.8125E-2</v>
      </c>
    </row>
    <row r="553" spans="1:68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5</v>
      </c>
      <c r="Y553" s="637">
        <f>IFERROR(Y552/H552,"0")</f>
        <v>5</v>
      </c>
      <c r="Z553" s="637">
        <f>IFERROR(IF(Z552="",0,Z552),"0")</f>
        <v>9.4899999999999998E-2</v>
      </c>
      <c r="AA553" s="638"/>
      <c r="AB553" s="638"/>
      <c r="AC553" s="638"/>
    </row>
    <row r="554" spans="1:68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45</v>
      </c>
      <c r="Y554" s="637">
        <f>IFERROR(SUM(Y552:Y552),"0")</f>
        <v>45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5812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5919.58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6127.6135273314694</v>
      </c>
      <c r="Y566" s="637">
        <f>IFERROR(SUM(BN22:BN562),"0")</f>
        <v>6243.648000000001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11</v>
      </c>
      <c r="Y567" s="38">
        <f>ROUNDUP(SUM(BP22:BP562),0)</f>
        <v>11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6402.6135273314694</v>
      </c>
      <c r="Y568" s="637">
        <f>GrossWeightTotalR+PalletQtyTotalR*25</f>
        <v>6518.648000000001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1038.1463071521894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1062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12.10192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5.4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79.5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172.2</v>
      </c>
      <c r="F575" s="46">
        <f>IFERROR(Y89*1,"0")+IFERROR(Y90*1,"0")+IFERROR(Y91*1,"0")+IFERROR(Y92*1,"0")+IFERROR(Y93*1,"0")+IFERROR(Y94*1,"0")+IFERROR(Y98*1,"0")+IFERROR(Y99*1,"0")+IFERROR(Y100*1,"0")+IFERROR(Y101*1,"0")</f>
        <v>0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380.21999999999997</v>
      </c>
      <c r="H575" s="46">
        <f>IFERROR(Y136*1,"0")+IFERROR(Y137*1,"0")+IFERROR(Y141*1,"0")+IFERROR(Y142*1,"0")+IFERROR(Y146*1,"0")+IFERROR(Y147*1,"0")</f>
        <v>114.96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637.96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96.48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905.7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81.599999999999994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54.6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320.99999999999994</v>
      </c>
      <c r="V575" s="46">
        <f>IFERROR(Y424*1,"0")+IFERROR(Y425*1,"0")+IFERROR(Y426*1,"0")</f>
        <v>0</v>
      </c>
      <c r="W575" s="46">
        <f>IFERROR(Y431*1,"0")+IFERROR(Y432*1,"0")+IFERROR(Y433*1,"0")</f>
        <v>25.200000000000003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1905</v>
      </c>
      <c r="Y575" s="46">
        <f>IFERROR(Y468*1,"0")+IFERROR(Y469*1,"0")+IFERROR(Y473*1,"0")+IFERROR(Y477*1,"0")+IFERROR(Y478*1,"0")+IFERROR(Y479*1,"0")</f>
        <v>105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32.400000000000006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946.56000000000006</v>
      </c>
      <c r="AC575" s="46">
        <f>IFERROR(Y540*1,"0")+IFERROR(Y544*1,"0")+IFERROR(Y548*1,"0")+IFERROR(Y552*1,"0")+IFERROR(Y556*1,"0")+IFERROR(Y557*1,"0")</f>
        <v>45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8,15"/>
        <filter val="10,00"/>
        <filter val="10,95"/>
        <filter val="103,00"/>
        <filter val="11"/>
        <filter val="11,00"/>
        <filter val="116,00"/>
        <filter val="13,00"/>
        <filter val="133,00"/>
        <filter val="139,00"/>
        <filter val="14,00"/>
        <filter val="142,00"/>
        <filter val="15,00"/>
        <filter val="17,00"/>
        <filter val="17,27"/>
        <filter val="18,00"/>
        <filter val="18,17"/>
        <filter val="18,21"/>
        <filter val="188,00"/>
        <filter val="19,00"/>
        <filter val="190,00"/>
        <filter val="2,00"/>
        <filter val="2,22"/>
        <filter val="2,38"/>
        <filter val="20,00"/>
        <filter val="20,09"/>
        <filter val="206,00"/>
        <filter val="21,00"/>
        <filter val="22,00"/>
        <filter val="221,00"/>
        <filter val="226,48"/>
        <filter val="227,00"/>
        <filter val="23,00"/>
        <filter val="23,11"/>
        <filter val="232,00"/>
        <filter val="245,00"/>
        <filter val="270,00"/>
        <filter val="275,00"/>
        <filter val="288,00"/>
        <filter val="29,00"/>
        <filter val="3,00"/>
        <filter val="3,67"/>
        <filter val="3,92"/>
        <filter val="31,00"/>
        <filter val="32,00"/>
        <filter val="32,92"/>
        <filter val="325,00"/>
        <filter val="33,00"/>
        <filter val="36,17"/>
        <filter val="369,00"/>
        <filter val="387,00"/>
        <filter val="39,01"/>
        <filter val="390,00"/>
        <filter val="4,00"/>
        <filter val="4,76"/>
        <filter val="42,00"/>
        <filter val="42,48"/>
        <filter val="42,50"/>
        <filter val="45,00"/>
        <filter val="49,00"/>
        <filter val="5 812,00"/>
        <filter val="5,00"/>
        <filter val="5,25"/>
        <filter val="5,56"/>
        <filter val="5,74"/>
        <filter val="520,00"/>
        <filter val="54,00"/>
        <filter val="56,00"/>
        <filter val="6 127,61"/>
        <filter val="6 402,61"/>
        <filter val="6,00"/>
        <filter val="6,28"/>
        <filter val="6,79"/>
        <filter val="61,00"/>
        <filter val="61,55"/>
        <filter val="63,00"/>
        <filter val="63,53"/>
        <filter val="632,00"/>
        <filter val="70,00"/>
        <filter val="73,92"/>
        <filter val="74,00"/>
        <filter val="76,00"/>
        <filter val="79,00"/>
        <filter val="8,00"/>
        <filter val="8,33"/>
        <filter val="8,59"/>
        <filter val="81,00"/>
        <filter val="82,00"/>
        <filter val="84,00"/>
        <filter val="85,00"/>
        <filter val="86,00"/>
        <filter val="9,00"/>
        <filter val="940,00"/>
        <filter val="945,00"/>
        <filter val="953,00"/>
        <filter val="96,3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