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00565C1-A188-4B86-9EFE-2CCA7CA1D1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P556" i="1"/>
  <c r="BO556" i="1"/>
  <c r="BN556" i="1"/>
  <c r="BM556" i="1"/>
  <c r="Z556" i="1"/>
  <c r="Y556" i="1"/>
  <c r="P556" i="1"/>
  <c r="X554" i="1"/>
  <c r="Y553" i="1"/>
  <c r="X553" i="1"/>
  <c r="BP552" i="1"/>
  <c r="BO552" i="1"/>
  <c r="BN552" i="1"/>
  <c r="BM552" i="1"/>
  <c r="Z552" i="1"/>
  <c r="Z553" i="1" s="1"/>
  <c r="Y552" i="1"/>
  <c r="Y554" i="1" s="1"/>
  <c r="P552" i="1"/>
  <c r="X550" i="1"/>
  <c r="Y549" i="1"/>
  <c r="X549" i="1"/>
  <c r="BP548" i="1"/>
  <c r="BO548" i="1"/>
  <c r="BN548" i="1"/>
  <c r="BM548" i="1"/>
  <c r="Z548" i="1"/>
  <c r="Z549" i="1" s="1"/>
  <c r="Y548" i="1"/>
  <c r="Y550" i="1" s="1"/>
  <c r="P548" i="1"/>
  <c r="X546" i="1"/>
  <c r="Y545" i="1"/>
  <c r="X545" i="1"/>
  <c r="BP544" i="1"/>
  <c r="BO544" i="1"/>
  <c r="BN544" i="1"/>
  <c r="BM544" i="1"/>
  <c r="Z544" i="1"/>
  <c r="Z545" i="1" s="1"/>
  <c r="Y544" i="1"/>
  <c r="Y546" i="1" s="1"/>
  <c r="P544" i="1"/>
  <c r="X542" i="1"/>
  <c r="Y541" i="1"/>
  <c r="X541" i="1"/>
  <c r="BP540" i="1"/>
  <c r="BO540" i="1"/>
  <c r="BN540" i="1"/>
  <c r="BM540" i="1"/>
  <c r="Z540" i="1"/>
  <c r="Z541" i="1" s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P528" i="1"/>
  <c r="BO528" i="1"/>
  <c r="BN528" i="1"/>
  <c r="BM528" i="1"/>
  <c r="Z528" i="1"/>
  <c r="Y528" i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Y575" i="1" s="1"/>
  <c r="P468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Y459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BO456" i="1"/>
  <c r="BM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Y402" i="1" s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S575" i="1" s="1"/>
  <c r="P355" i="1"/>
  <c r="X352" i="1"/>
  <c r="X351" i="1"/>
  <c r="BO350" i="1"/>
  <c r="BM350" i="1"/>
  <c r="Y350" i="1"/>
  <c r="BP350" i="1" s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Y320" i="1" s="1"/>
  <c r="P316" i="1"/>
  <c r="BP315" i="1"/>
  <c r="BO315" i="1"/>
  <c r="BN315" i="1"/>
  <c r="BM315" i="1"/>
  <c r="Z315" i="1"/>
  <c r="Y315" i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O292" i="1"/>
  <c r="BM292" i="1"/>
  <c r="Y292" i="1"/>
  <c r="BP292" i="1" s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Y288" i="1" s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Z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Y248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P205" i="1"/>
  <c r="X201" i="1"/>
  <c r="X200" i="1"/>
  <c r="BO199" i="1"/>
  <c r="BM199" i="1"/>
  <c r="Y199" i="1"/>
  <c r="P199" i="1"/>
  <c r="X197" i="1"/>
  <c r="X196" i="1"/>
  <c r="BP195" i="1"/>
  <c r="BO195" i="1"/>
  <c r="BN195" i="1"/>
  <c r="BM195" i="1"/>
  <c r="Z195" i="1"/>
  <c r="Z196" i="1" s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Y188" i="1" s="1"/>
  <c r="P176" i="1"/>
  <c r="X174" i="1"/>
  <c r="X173" i="1"/>
  <c r="BO172" i="1"/>
  <c r="BM172" i="1"/>
  <c r="Y172" i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BP154" i="1" s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X133" i="1"/>
  <c r="X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P125" i="1"/>
  <c r="BO124" i="1"/>
  <c r="BM124" i="1"/>
  <c r="Y124" i="1"/>
  <c r="Y128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3" i="1" s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P90" i="1"/>
  <c r="BO89" i="1"/>
  <c r="BM89" i="1"/>
  <c r="Y89" i="1"/>
  <c r="BP89" i="1" s="1"/>
  <c r="P89" i="1"/>
  <c r="X86" i="1"/>
  <c r="X85" i="1"/>
  <c r="BP84" i="1"/>
  <c r="BO84" i="1"/>
  <c r="BN84" i="1"/>
  <c r="BM84" i="1"/>
  <c r="Z84" i="1"/>
  <c r="Y84" i="1"/>
  <c r="P84" i="1"/>
  <c r="BO83" i="1"/>
  <c r="BM83" i="1"/>
  <c r="Y83" i="1"/>
  <c r="P83" i="1"/>
  <c r="BO82" i="1"/>
  <c r="BM82" i="1"/>
  <c r="Y82" i="1"/>
  <c r="Y86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5" i="1" s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Y41" i="1"/>
  <c r="BP41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569" i="1" s="1"/>
  <c r="BO22" i="1"/>
  <c r="X567" i="1" s="1"/>
  <c r="BM22" i="1"/>
  <c r="X566" i="1" s="1"/>
  <c r="X568" i="1" s="1"/>
  <c r="Y22" i="1"/>
  <c r="B575" i="1" s="1"/>
  <c r="P22" i="1"/>
  <c r="H10" i="1"/>
  <c r="A9" i="1"/>
  <c r="A10" i="1" s="1"/>
  <c r="D7" i="1"/>
  <c r="Q6" i="1"/>
  <c r="P2" i="1"/>
  <c r="Y32" i="1" l="1"/>
  <c r="Z29" i="1"/>
  <c r="BN29" i="1"/>
  <c r="Z41" i="1"/>
  <c r="BN41" i="1"/>
  <c r="Y46" i="1"/>
  <c r="Z45" i="1"/>
  <c r="BN45" i="1"/>
  <c r="Z53" i="1"/>
  <c r="BN53" i="1"/>
  <c r="E575" i="1"/>
  <c r="Z62" i="1"/>
  <c r="BN62" i="1"/>
  <c r="Z66" i="1"/>
  <c r="BN66" i="1"/>
  <c r="Y74" i="1"/>
  <c r="Z72" i="1"/>
  <c r="BN72" i="1"/>
  <c r="Z82" i="1"/>
  <c r="BN82" i="1"/>
  <c r="BP82" i="1"/>
  <c r="Y85" i="1"/>
  <c r="Z89" i="1"/>
  <c r="BN89" i="1"/>
  <c r="Y96" i="1"/>
  <c r="Z93" i="1"/>
  <c r="BN93" i="1"/>
  <c r="Y102" i="1"/>
  <c r="Z101" i="1"/>
  <c r="BN101" i="1"/>
  <c r="Z108" i="1"/>
  <c r="BN108" i="1"/>
  <c r="Z112" i="1"/>
  <c r="BN112" i="1"/>
  <c r="Y122" i="1"/>
  <c r="Z118" i="1"/>
  <c r="BN118" i="1"/>
  <c r="Z124" i="1"/>
  <c r="BN124" i="1"/>
  <c r="BP124" i="1"/>
  <c r="Y129" i="1"/>
  <c r="Z137" i="1"/>
  <c r="BN137" i="1"/>
  <c r="Z147" i="1"/>
  <c r="BN147" i="1"/>
  <c r="Z154" i="1"/>
  <c r="BN154" i="1"/>
  <c r="Z167" i="1"/>
  <c r="BN167" i="1"/>
  <c r="Z177" i="1"/>
  <c r="BN177" i="1"/>
  <c r="Z181" i="1"/>
  <c r="BN181" i="1"/>
  <c r="Z185" i="1"/>
  <c r="BN185" i="1"/>
  <c r="Y197" i="1"/>
  <c r="Y196" i="1"/>
  <c r="BP209" i="1"/>
  <c r="BN209" i="1"/>
  <c r="Z209" i="1"/>
  <c r="BP224" i="1"/>
  <c r="BN224" i="1"/>
  <c r="Z224" i="1"/>
  <c r="Y201" i="1"/>
  <c r="Y200" i="1"/>
  <c r="BP199" i="1"/>
  <c r="BN199" i="1"/>
  <c r="Z199" i="1"/>
  <c r="Z200" i="1" s="1"/>
  <c r="BP205" i="1"/>
  <c r="BN205" i="1"/>
  <c r="Z205" i="1"/>
  <c r="Y217" i="1"/>
  <c r="BP216" i="1"/>
  <c r="BN216" i="1"/>
  <c r="Z216" i="1"/>
  <c r="Z217" i="1" s="1"/>
  <c r="Y234" i="1"/>
  <c r="BP220" i="1"/>
  <c r="BN220" i="1"/>
  <c r="Z220" i="1"/>
  <c r="Y212" i="1"/>
  <c r="Z228" i="1"/>
  <c r="BN228" i="1"/>
  <c r="Z232" i="1"/>
  <c r="BN232" i="1"/>
  <c r="Y242" i="1"/>
  <c r="Z238" i="1"/>
  <c r="BN238" i="1"/>
  <c r="Z244" i="1"/>
  <c r="BN244" i="1"/>
  <c r="BP244" i="1"/>
  <c r="Z261" i="1"/>
  <c r="BN261" i="1"/>
  <c r="Z270" i="1"/>
  <c r="BN270" i="1"/>
  <c r="Z276" i="1"/>
  <c r="BN276" i="1"/>
  <c r="BP276" i="1"/>
  <c r="Z280" i="1"/>
  <c r="BN280" i="1"/>
  <c r="Z284" i="1"/>
  <c r="BN284" i="1"/>
  <c r="Z292" i="1"/>
  <c r="BN292" i="1"/>
  <c r="Z299" i="1"/>
  <c r="BN299" i="1"/>
  <c r="Z303" i="1"/>
  <c r="BN303" i="1"/>
  <c r="Z317" i="1"/>
  <c r="BN317" i="1"/>
  <c r="Z326" i="1"/>
  <c r="BN326" i="1"/>
  <c r="Z335" i="1"/>
  <c r="BN335" i="1"/>
  <c r="Z344" i="1"/>
  <c r="BN344" i="1"/>
  <c r="Y352" i="1"/>
  <c r="Z350" i="1"/>
  <c r="BN350" i="1"/>
  <c r="Y351" i="1"/>
  <c r="Z355" i="1"/>
  <c r="Z356" i="1" s="1"/>
  <c r="BN355" i="1"/>
  <c r="BP355" i="1"/>
  <c r="Y356" i="1"/>
  <c r="U575" i="1"/>
  <c r="BP371" i="1"/>
  <c r="BN371" i="1"/>
  <c r="Z371" i="1"/>
  <c r="BP381" i="1"/>
  <c r="BN381" i="1"/>
  <c r="Z381" i="1"/>
  <c r="Y395" i="1"/>
  <c r="BP391" i="1"/>
  <c r="BN391" i="1"/>
  <c r="Z391" i="1"/>
  <c r="BP407" i="1"/>
  <c r="BN407" i="1"/>
  <c r="Z407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Y247" i="1"/>
  <c r="Y361" i="1"/>
  <c r="Y360" i="1"/>
  <c r="BP359" i="1"/>
  <c r="BN359" i="1"/>
  <c r="Z359" i="1"/>
  <c r="Z360" i="1" s="1"/>
  <c r="BP364" i="1"/>
  <c r="BN364" i="1"/>
  <c r="Z364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17" i="1"/>
  <c r="BN417" i="1"/>
  <c r="Z41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367" i="1"/>
  <c r="Y388" i="1"/>
  <c r="Y415" i="1"/>
  <c r="Y414" i="1"/>
  <c r="Y421" i="1"/>
  <c r="Y481" i="1"/>
  <c r="Y480" i="1"/>
  <c r="Y558" i="1"/>
  <c r="AC575" i="1"/>
  <c r="F9" i="1"/>
  <c r="J9" i="1"/>
  <c r="F10" i="1"/>
  <c r="Z22" i="1"/>
  <c r="Z23" i="1" s="1"/>
  <c r="BN22" i="1"/>
  <c r="BP22" i="1"/>
  <c r="Y23" i="1"/>
  <c r="X565" i="1"/>
  <c r="Z26" i="1"/>
  <c r="BN26" i="1"/>
  <c r="BP26" i="1"/>
  <c r="Z28" i="1"/>
  <c r="BN28" i="1"/>
  <c r="Z30" i="1"/>
  <c r="BN30" i="1"/>
  <c r="Y31" i="1"/>
  <c r="Z34" i="1"/>
  <c r="Z36" i="1" s="1"/>
  <c r="BN34" i="1"/>
  <c r="BP34" i="1"/>
  <c r="Y37" i="1"/>
  <c r="C575" i="1"/>
  <c r="Z42" i="1"/>
  <c r="Z46" i="1" s="1"/>
  <c r="BN42" i="1"/>
  <c r="BP42" i="1"/>
  <c r="Z44" i="1"/>
  <c r="BN44" i="1"/>
  <c r="Y47" i="1"/>
  <c r="D575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Z74" i="1" s="1"/>
  <c r="BN73" i="1"/>
  <c r="Z77" i="1"/>
  <c r="Z79" i="1" s="1"/>
  <c r="BN77" i="1"/>
  <c r="BP77" i="1"/>
  <c r="Y80" i="1"/>
  <c r="Z83" i="1"/>
  <c r="Z85" i="1" s="1"/>
  <c r="BN83" i="1"/>
  <c r="BP83" i="1"/>
  <c r="F575" i="1"/>
  <c r="Z90" i="1"/>
  <c r="Z95" i="1" s="1"/>
  <c r="BN90" i="1"/>
  <c r="BP90" i="1"/>
  <c r="Z92" i="1"/>
  <c r="BN92" i="1"/>
  <c r="Z94" i="1"/>
  <c r="BN94" i="1"/>
  <c r="Y95" i="1"/>
  <c r="Z98" i="1"/>
  <c r="Z102" i="1" s="1"/>
  <c r="BN98" i="1"/>
  <c r="BP98" i="1"/>
  <c r="Z100" i="1"/>
  <c r="BN100" i="1"/>
  <c r="Y103" i="1"/>
  <c r="G575" i="1"/>
  <c r="Z107" i="1"/>
  <c r="BN107" i="1"/>
  <c r="BP107" i="1"/>
  <c r="Z109" i="1"/>
  <c r="BN109" i="1"/>
  <c r="Z111" i="1"/>
  <c r="BN111" i="1"/>
  <c r="Y114" i="1"/>
  <c r="Z117" i="1"/>
  <c r="BN117" i="1"/>
  <c r="BP117" i="1"/>
  <c r="Z119" i="1"/>
  <c r="Z121" i="1" s="1"/>
  <c r="BN119" i="1"/>
  <c r="Z125" i="1"/>
  <c r="Z128" i="1" s="1"/>
  <c r="BN125" i="1"/>
  <c r="BP125" i="1"/>
  <c r="Z127" i="1"/>
  <c r="BN127" i="1"/>
  <c r="Z131" i="1"/>
  <c r="Z132" i="1" s="1"/>
  <c r="BN131" i="1"/>
  <c r="BP131" i="1"/>
  <c r="Y132" i="1"/>
  <c r="Z136" i="1"/>
  <c r="Z138" i="1" s="1"/>
  <c r="BN136" i="1"/>
  <c r="Y143" i="1"/>
  <c r="BP153" i="1"/>
  <c r="BN153" i="1"/>
  <c r="Z153" i="1"/>
  <c r="BP166" i="1"/>
  <c r="BN166" i="1"/>
  <c r="Z166" i="1"/>
  <c r="Y173" i="1"/>
  <c r="BP178" i="1"/>
  <c r="BN178" i="1"/>
  <c r="Z178" i="1"/>
  <c r="BP182" i="1"/>
  <c r="BN182" i="1"/>
  <c r="Z182" i="1"/>
  <c r="BP186" i="1"/>
  <c r="BN186" i="1"/>
  <c r="Z186" i="1"/>
  <c r="Y193" i="1"/>
  <c r="BP190" i="1"/>
  <c r="BN190" i="1"/>
  <c r="Z190" i="1"/>
  <c r="Z192" i="1" s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BP266" i="1"/>
  <c r="BN266" i="1"/>
  <c r="Z266" i="1"/>
  <c r="H9" i="1"/>
  <c r="Y24" i="1"/>
  <c r="Y67" i="1"/>
  <c r="H575" i="1"/>
  <c r="Y139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Z168" i="1" s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BP206" i="1"/>
  <c r="BN206" i="1"/>
  <c r="Z206" i="1"/>
  <c r="BP210" i="1"/>
  <c r="BN210" i="1"/>
  <c r="Z210" i="1"/>
  <c r="Z212" i="1" s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Z241" i="1" s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BP400" i="1"/>
  <c r="BN400" i="1"/>
  <c r="Z400" i="1"/>
  <c r="Y409" i="1"/>
  <c r="BP404" i="1"/>
  <c r="BN404" i="1"/>
  <c r="Z404" i="1"/>
  <c r="Y408" i="1"/>
  <c r="Z414" i="1"/>
  <c r="BP412" i="1"/>
  <c r="BN412" i="1"/>
  <c r="Z412" i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Z319" i="1" s="1"/>
  <c r="BP325" i="1"/>
  <c r="BN325" i="1"/>
  <c r="Z325" i="1"/>
  <c r="BP329" i="1"/>
  <c r="BN329" i="1"/>
  <c r="Z329" i="1"/>
  <c r="Y331" i="1"/>
  <c r="Y337" i="1"/>
  <c r="BP334" i="1"/>
  <c r="BN334" i="1"/>
  <c r="Z334" i="1"/>
  <c r="Z337" i="1" s="1"/>
  <c r="BP343" i="1"/>
  <c r="BN343" i="1"/>
  <c r="Z343" i="1"/>
  <c r="BP365" i="1"/>
  <c r="BN365" i="1"/>
  <c r="Z365" i="1"/>
  <c r="Z367" i="1" s="1"/>
  <c r="BP374" i="1"/>
  <c r="BN374" i="1"/>
  <c r="Z374" i="1"/>
  <c r="Z378" i="1" s="1"/>
  <c r="Y378" i="1"/>
  <c r="BP382" i="1"/>
  <c r="BN382" i="1"/>
  <c r="Z382" i="1"/>
  <c r="BP386" i="1"/>
  <c r="BN386" i="1"/>
  <c r="Z386" i="1"/>
  <c r="Z388" i="1" s="1"/>
  <c r="BP394" i="1"/>
  <c r="BN394" i="1"/>
  <c r="Z394" i="1"/>
  <c r="Y396" i="1"/>
  <c r="Y401" i="1"/>
  <c r="BP398" i="1"/>
  <c r="BN398" i="1"/>
  <c r="Z398" i="1"/>
  <c r="Z401" i="1" s="1"/>
  <c r="BP406" i="1"/>
  <c r="BN406" i="1"/>
  <c r="Z406" i="1"/>
  <c r="BP418" i="1"/>
  <c r="BN418" i="1"/>
  <c r="Z418" i="1"/>
  <c r="Z420" i="1" s="1"/>
  <c r="BP463" i="1"/>
  <c r="BN463" i="1"/>
  <c r="Z463" i="1"/>
  <c r="Z464" i="1" s="1"/>
  <c r="Y465" i="1"/>
  <c r="Y471" i="1"/>
  <c r="BP468" i="1"/>
  <c r="BN468" i="1"/>
  <c r="Z468" i="1"/>
  <c r="Z470" i="1" s="1"/>
  <c r="Y470" i="1"/>
  <c r="Q575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491" i="1" l="1"/>
  <c r="Z345" i="1"/>
  <c r="Z304" i="1"/>
  <c r="Z233" i="1"/>
  <c r="Z113" i="1"/>
  <c r="Z55" i="1"/>
  <c r="Z535" i="1"/>
  <c r="Z408" i="1"/>
  <c r="Z273" i="1"/>
  <c r="Z156" i="1"/>
  <c r="Z447" i="1"/>
  <c r="Z427" i="1"/>
  <c r="Y565" i="1"/>
  <c r="Y567" i="1"/>
  <c r="Z519" i="1"/>
  <c r="Z434" i="1"/>
  <c r="Z506" i="1"/>
  <c r="Z395" i="1"/>
  <c r="Z330" i="1"/>
  <c r="Z288" i="1"/>
  <c r="Z187" i="1"/>
  <c r="Z67" i="1"/>
  <c r="Z570" i="1" s="1"/>
  <c r="Z31" i="1"/>
  <c r="Y569" i="1"/>
  <c r="Y566" i="1"/>
  <c r="Y568" i="1" s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<sst xmlns="http://schemas.openxmlformats.org/spreadsheetml/2006/main" count="2535" uniqueCount="913">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</sst>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5</v>
      </c>
      <c r="Y28" s="636">
        <f>IFERROR(IF(X28="",0,CEILING((X28/$H28),1)*$H28),"")</f>
        <v>5.4</v>
      </c>
      <c r="Z28" s="36">
        <f>IFERROR(IF(Y28=0,"",ROUNDUP(Y28/H28,0)*0.00651),"")</f>
        <v>1.9529999999999999E-2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8.8333333333333339</v>
      </c>
      <c r="BN28" s="64">
        <f>IFERROR(Y28*I28/H28,"0")</f>
        <v>9.5400000000000009</v>
      </c>
      <c r="BO28" s="64">
        <f>IFERROR(1/J28*(X28/H28),"0")</f>
        <v>1.5262515262515264E-2</v>
      </c>
      <c r="BP28" s="64">
        <f>IFERROR(1/J28*(Y28/H28),"0")</f>
        <v>1.6483516483516484E-2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2.7777777777777777</v>
      </c>
      <c r="Y31" s="637">
        <f>IFERROR(Y26/H26,"0")+IFERROR(Y27/H27,"0")+IFERROR(Y28/H28,"0")+IFERROR(Y29/H29,"0")+IFERROR(Y30/H30,"0")</f>
        <v>3</v>
      </c>
      <c r="Z31" s="637">
        <f>IFERROR(IF(Z26="",0,Z26),"0")+IFERROR(IF(Z27="",0,Z27),"0")+IFERROR(IF(Z28="",0,Z28),"0")+IFERROR(IF(Z29="",0,Z29),"0")+IFERROR(IF(Z30="",0,Z30),"0")</f>
        <v>1.9529999999999999E-2</v>
      </c>
      <c r="AA31" s="638"/>
      <c r="AB31" s="638"/>
      <c r="AC31" s="638"/>
    </row>
    <row r="32" spans="1:68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5</v>
      </c>
      <c r="Y32" s="637">
        <f>IFERROR(SUM(Y26:Y30),"0")</f>
        <v>5.4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106</v>
      </c>
      <c r="Y51" s="636">
        <f>IFERROR(IF(X51="",0,CEILING((X51/$H51),1)*$H51),"")</f>
        <v>108</v>
      </c>
      <c r="Z51" s="36">
        <f>IFERROR(IF(Y51=0,"",ROUNDUP(Y51/H51,0)*0.01898),"")</f>
        <v>0.1898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110.02407407407406</v>
      </c>
      <c r="BN51" s="64">
        <f>IFERROR(Y51*I51/H51,"0")</f>
        <v>112.1</v>
      </c>
      <c r="BO51" s="64">
        <f>IFERROR(1/J51*(X51/H51),"0")</f>
        <v>0.15335648148148148</v>
      </c>
      <c r="BP51" s="64">
        <f>IFERROR(1/J51*(Y51/H51),"0")</f>
        <v>0.15625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9.8148148148148149</v>
      </c>
      <c r="Y55" s="637">
        <f>IFERROR(Y51/H51,"0")+IFERROR(Y52/H52,"0")+IFERROR(Y53/H53,"0")+IFERROR(Y54/H54,"0")</f>
        <v>10</v>
      </c>
      <c r="Z55" s="637">
        <f>IFERROR(IF(Z51="",0,Z51),"0")+IFERROR(IF(Z52="",0,Z52),"0")+IFERROR(IF(Z53="",0,Z53),"0")+IFERROR(IF(Z54="",0,Z54),"0")</f>
        <v>0.1898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106</v>
      </c>
      <c r="Y56" s="637">
        <f>IFERROR(SUM(Y51:Y54),"0")</f>
        <v>108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37</v>
      </c>
      <c r="Y60" s="636">
        <f t="shared" si="0"/>
        <v>43.2</v>
      </c>
      <c r="Z60" s="36">
        <f>IFERROR(IF(Y60=0,"",ROUNDUP(Y60/H60,0)*0.01898),"")</f>
        <v>7.5920000000000001E-2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38.404629629629632</v>
      </c>
      <c r="BN60" s="64">
        <f t="shared" si="2"/>
        <v>44.84</v>
      </c>
      <c r="BO60" s="64">
        <f t="shared" si="3"/>
        <v>5.3530092592592587E-2</v>
      </c>
      <c r="BP60" s="64">
        <f t="shared" si="4"/>
        <v>6.25E-2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2</v>
      </c>
      <c r="Y63" s="636">
        <f t="shared" si="0"/>
        <v>4</v>
      </c>
      <c r="Z63" s="36">
        <f>IFERROR(IF(Y63=0,"",ROUNDUP(Y63/H63,0)*0.00902),"")</f>
        <v>9.0200000000000002E-3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2.0950000000000002</v>
      </c>
      <c r="BN63" s="64">
        <f t="shared" si="2"/>
        <v>4.1900000000000004</v>
      </c>
      <c r="BO63" s="64">
        <f t="shared" si="3"/>
        <v>3.787878787878788E-3</v>
      </c>
      <c r="BP63" s="64">
        <f t="shared" si="4"/>
        <v>7.575757575757576E-3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3.9259259259259256</v>
      </c>
      <c r="Y67" s="637">
        <f>IFERROR(Y59/H59,"0")+IFERROR(Y60/H60,"0")+IFERROR(Y61/H61,"0")+IFERROR(Y62/H62,"0")+IFERROR(Y63/H63,"0")+IFERROR(Y64/H64,"0")+IFERROR(Y65/H65,"0")+IFERROR(Y66/H66,"0")</f>
        <v>5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8.4940000000000002E-2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39</v>
      </c>
      <c r="Y68" s="637">
        <f>IFERROR(SUM(Y59:Y66),"0")</f>
        <v>47.2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27</v>
      </c>
      <c r="Y70" s="636">
        <f>IFERROR(IF(X70="",0,CEILING((X70/$H70),1)*$H70),"")</f>
        <v>32.400000000000006</v>
      </c>
      <c r="Z70" s="36">
        <f>IFERROR(IF(Y70=0,"",ROUNDUP(Y70/H70,0)*0.01898),"")</f>
        <v>5.6940000000000004E-2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28.024999999999999</v>
      </c>
      <c r="BN70" s="64">
        <f>IFERROR(Y70*I70/H70,"0")</f>
        <v>33.630000000000003</v>
      </c>
      <c r="BO70" s="64">
        <f>IFERROR(1/J70*(X70/H70),"0")</f>
        <v>3.90625E-2</v>
      </c>
      <c r="BP70" s="64">
        <f>IFERROR(1/J70*(Y70/H70),"0")</f>
        <v>4.6875000000000007E-2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2.5</v>
      </c>
      <c r="Y74" s="637">
        <f>IFERROR(Y70/H70,"0")+IFERROR(Y71/H71,"0")+IFERROR(Y72/H72,"0")+IFERROR(Y73/H73,"0")</f>
        <v>3.0000000000000004</v>
      </c>
      <c r="Z74" s="637">
        <f>IFERROR(IF(Z70="",0,Z70),"0")+IFERROR(IF(Z71="",0,Z71),"0")+IFERROR(IF(Z72="",0,Z72),"0")+IFERROR(IF(Z73="",0,Z73),"0")</f>
        <v>5.6940000000000004E-2</v>
      </c>
      <c r="AA74" s="638"/>
      <c r="AB74" s="638"/>
      <c r="AC74" s="638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27</v>
      </c>
      <c r="Y75" s="637">
        <f>IFERROR(SUM(Y70:Y73),"0")</f>
        <v>32.400000000000006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55</v>
      </c>
      <c r="Y89" s="636">
        <f t="shared" ref="Y89:Y94" si="5">IFERROR(IF(X89="",0,CEILING((X89/$H89),1)*$H89),"")</f>
        <v>64.800000000000011</v>
      </c>
      <c r="Z89" s="36">
        <f>IFERROR(IF(Y89=0,"",ROUNDUP(Y89/H89,0)*0.01898),"")</f>
        <v>0.11388000000000001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57.087962962962969</v>
      </c>
      <c r="BN89" s="64">
        <f t="shared" ref="BN89:BN94" si="7">IFERROR(Y89*I89/H89,"0")</f>
        <v>67.260000000000005</v>
      </c>
      <c r="BO89" s="64">
        <f t="shared" ref="BO89:BO94" si="8">IFERROR(1/J89*(X89/H89),"0")</f>
        <v>7.9571759259259259E-2</v>
      </c>
      <c r="BP89" s="64">
        <f t="shared" ref="BP89:BP94" si="9">IFERROR(1/J89*(Y89/H89),"0")</f>
        <v>9.3750000000000014E-2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3</v>
      </c>
      <c r="Y94" s="636">
        <f t="shared" si="5"/>
        <v>4.5</v>
      </c>
      <c r="Z94" s="36">
        <f>IFERROR(IF(Y94=0,"",ROUNDUP(Y94/H94,0)*0.00902),"")</f>
        <v>9.0200000000000002E-3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3.1266666666666669</v>
      </c>
      <c r="BN94" s="64">
        <f t="shared" si="7"/>
        <v>4.6900000000000004</v>
      </c>
      <c r="BO94" s="64">
        <f t="shared" si="8"/>
        <v>5.0505050505050501E-3</v>
      </c>
      <c r="BP94" s="64">
        <f t="shared" si="9"/>
        <v>7.575757575757576E-3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5.7592592592592595</v>
      </c>
      <c r="Y95" s="637">
        <f>IFERROR(Y89/H89,"0")+IFERROR(Y90/H90,"0")+IFERROR(Y91/H91,"0")+IFERROR(Y92/H92,"0")+IFERROR(Y93/H93,"0")+IFERROR(Y94/H94,"0")</f>
        <v>7.0000000000000009</v>
      </c>
      <c r="Z95" s="637">
        <f>IFERROR(IF(Z89="",0,Z89),"0")+IFERROR(IF(Z90="",0,Z90),"0")+IFERROR(IF(Z91="",0,Z91),"0")+IFERROR(IF(Z92="",0,Z92),"0")+IFERROR(IF(Z93="",0,Z93),"0")+IFERROR(IF(Z94="",0,Z94),"0")</f>
        <v>0.12290000000000001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58</v>
      </c>
      <c r="Y96" s="637">
        <f>IFERROR(SUM(Y89:Y94),"0")</f>
        <v>69.300000000000011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4</v>
      </c>
      <c r="Y116" s="63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14</v>
      </c>
      <c r="Y120" s="636">
        <f>IFERROR(IF(X120="",0,CEILING((X120/$H120),1)*$H120),"")</f>
        <v>14.399999999999999</v>
      </c>
      <c r="Z120" s="36">
        <f>IFERROR(IF(Y120=0,"",ROUNDUP(Y120/H120,0)*0.00651),"")</f>
        <v>3.9059999999999997E-2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15.050000000000002</v>
      </c>
      <c r="BN120" s="64">
        <f>IFERROR(Y120*I120/H120,"0")</f>
        <v>15.479999999999999</v>
      </c>
      <c r="BO120" s="64">
        <f>IFERROR(1/J120*(X120/H120),"0")</f>
        <v>3.2051282051282055E-2</v>
      </c>
      <c r="BP120" s="64">
        <f>IFERROR(1/J120*(Y120/H120),"0")</f>
        <v>3.2967032967032968E-2</v>
      </c>
    </row>
    <row r="121" spans="1:68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6.2037037037037042</v>
      </c>
      <c r="Y121" s="637">
        <f>IFERROR(Y116/H116,"0")+IFERROR(Y117/H117,"0")+IFERROR(Y118/H118,"0")+IFERROR(Y119/H119,"0")+IFERROR(Y120/H120,"0")</f>
        <v>7</v>
      </c>
      <c r="Z121" s="637">
        <f>IFERROR(IF(Z116="",0,Z116),"0")+IFERROR(IF(Z117="",0,Z117),"0")+IFERROR(IF(Z118="",0,Z118),"0")+IFERROR(IF(Z119="",0,Z119),"0")+IFERROR(IF(Z120="",0,Z120),"0")</f>
        <v>5.8039999999999994E-2</v>
      </c>
      <c r="AA121" s="638"/>
      <c r="AB121" s="638"/>
      <c r="AC121" s="638"/>
    </row>
    <row r="122" spans="1:68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18</v>
      </c>
      <c r="Y122" s="637">
        <f>IFERROR(SUM(Y116:Y120),"0")</f>
        <v>25.2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38</v>
      </c>
      <c r="Y124" s="636">
        <f>IFERROR(IF(X124="",0,CEILING((X124/$H124),1)*$H124),"")</f>
        <v>40.5</v>
      </c>
      <c r="Z124" s="36">
        <f>IFERROR(IF(Y124=0,"",ROUNDUP(Y124/H124,0)*0.01898),"")</f>
        <v>9.4899999999999998E-2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40.289382716049381</v>
      </c>
      <c r="BN124" s="64">
        <f>IFERROR(Y124*I124/H124,"0")</f>
        <v>42.94</v>
      </c>
      <c r="BO124" s="64">
        <f>IFERROR(1/J124*(X124/H124),"0")</f>
        <v>7.3302469135802475E-2</v>
      </c>
      <c r="BP124" s="64">
        <f>IFERROR(1/J124*(Y124/H124),"0")</f>
        <v>7.8125E-2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9</v>
      </c>
      <c r="Y126" s="636">
        <f>IFERROR(IF(X126="",0,CEILING((X126/$H126),1)*$H126),"")</f>
        <v>10.8</v>
      </c>
      <c r="Z126" s="36">
        <f>IFERROR(IF(Y126=0,"",ROUNDUP(Y126/H126,0)*0.00651),"")</f>
        <v>2.6040000000000001E-2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9.8399999999999981</v>
      </c>
      <c r="BN126" s="64">
        <f>IFERROR(Y126*I126/H126,"0")</f>
        <v>11.808</v>
      </c>
      <c r="BO126" s="64">
        <f>IFERROR(1/J126*(X126/H126),"0")</f>
        <v>1.8315018315018316E-2</v>
      </c>
      <c r="BP126" s="64">
        <f>IFERROR(1/J126*(Y126/H126),"0")</f>
        <v>2.197802197802198E-2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8.0246913580246915</v>
      </c>
      <c r="Y128" s="637">
        <f>IFERROR(Y124/H124,"0")+IFERROR(Y125/H125,"0")+IFERROR(Y126/H126,"0")+IFERROR(Y127/H127,"0")</f>
        <v>9</v>
      </c>
      <c r="Z128" s="637">
        <f>IFERROR(IF(Z124="",0,Z124),"0")+IFERROR(IF(Z125="",0,Z125),"0")+IFERROR(IF(Z126="",0,Z126),"0")+IFERROR(IF(Z127="",0,Z127),"0")</f>
        <v>0.12093999999999999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47</v>
      </c>
      <c r="Y129" s="637">
        <f>IFERROR(SUM(Y124:Y127),"0")</f>
        <v>51.3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77</v>
      </c>
      <c r="Y146" s="636">
        <f>IFERROR(IF(X146="",0,CEILING((X146/$H146),1)*$H146),"")</f>
        <v>79.2</v>
      </c>
      <c r="Z146" s="36">
        <f>IFERROR(IF(Y146=0,"",ROUNDUP(Y146/H146,0)*0.00651),"")</f>
        <v>0.1953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84.816666666666663</v>
      </c>
      <c r="BN146" s="64">
        <f>IFERROR(Y146*I146/H146,"0")</f>
        <v>87.24</v>
      </c>
      <c r="BO146" s="64">
        <f>IFERROR(1/J146*(X146/H146),"0")</f>
        <v>0.16025641025641024</v>
      </c>
      <c r="BP146" s="64">
        <f>IFERROR(1/J146*(Y146/H146),"0")</f>
        <v>0.16483516483516486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29.166666666666664</v>
      </c>
      <c r="Y148" s="637">
        <f>IFERROR(Y146/H146,"0")+IFERROR(Y147/H147,"0")</f>
        <v>30</v>
      </c>
      <c r="Z148" s="637">
        <f>IFERROR(IF(Z146="",0,Z146),"0")+IFERROR(IF(Z147="",0,Z147),"0")</f>
        <v>0.1953</v>
      </c>
      <c r="AA148" s="638"/>
      <c r="AB148" s="638"/>
      <c r="AC148" s="638"/>
    </row>
    <row r="149" spans="1:68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77</v>
      </c>
      <c r="Y149" s="637">
        <f>IFERROR(SUM(Y146:Y147),"0")</f>
        <v>79.2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39</v>
      </c>
      <c r="Y177" s="636">
        <f t="shared" si="15"/>
        <v>42</v>
      </c>
      <c r="Z177" s="36">
        <f>IFERROR(IF(Y177=0,"",ROUNDUP(Y177/H177,0)*0.00902),"")</f>
        <v>0.10824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41.117142857142859</v>
      </c>
      <c r="BN177" s="64">
        <f t="shared" si="17"/>
        <v>44.279999999999994</v>
      </c>
      <c r="BO177" s="64">
        <f t="shared" si="18"/>
        <v>8.4415584415584416E-2</v>
      </c>
      <c r="BP177" s="64">
        <f t="shared" si="19"/>
        <v>9.0909090909090912E-2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81</v>
      </c>
      <c r="Y182" s="636">
        <f t="shared" si="15"/>
        <v>82.32</v>
      </c>
      <c r="Z182" s="36">
        <f>IFERROR(IF(Y182=0,"",ROUNDUP(Y182/H182,0)*0.00502),"")</f>
        <v>0.24598</v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85.821428571428584</v>
      </c>
      <c r="BN182" s="64">
        <f t="shared" si="17"/>
        <v>87.22</v>
      </c>
      <c r="BO182" s="64">
        <f t="shared" si="18"/>
        <v>0.20604395604395606</v>
      </c>
      <c r="BP182" s="64">
        <f t="shared" si="19"/>
        <v>0.20940170940170943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6</v>
      </c>
      <c r="Y183" s="636">
        <f t="shared" si="15"/>
        <v>6.3</v>
      </c>
      <c r="Z183" s="36">
        <f>IFERROR(IF(Y183=0,"",ROUNDUP(Y183/H183,0)*0.00417),"")</f>
        <v>2.9190000000000001E-2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7.4</v>
      </c>
      <c r="BN183" s="64">
        <f t="shared" si="17"/>
        <v>7.7700000000000005</v>
      </c>
      <c r="BO183" s="64">
        <f t="shared" si="18"/>
        <v>2.1367521367521364E-2</v>
      </c>
      <c r="BP183" s="64">
        <f t="shared" si="19"/>
        <v>2.2435897435897436E-2</v>
      </c>
    </row>
    <row r="184" spans="1:68" ht="27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62</v>
      </c>
      <c r="Y184" s="636">
        <f t="shared" si="15"/>
        <v>62.16</v>
      </c>
      <c r="Z184" s="36">
        <f>IFERROR(IF(Y184=0,"",ROUNDUP(Y184/H184,0)*0.00502),"")</f>
        <v>0.18574000000000002</v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65.69047619047619</v>
      </c>
      <c r="BN184" s="64">
        <f t="shared" si="17"/>
        <v>65.86</v>
      </c>
      <c r="BO184" s="64">
        <f t="shared" si="18"/>
        <v>0.15771265771265772</v>
      </c>
      <c r="BP184" s="64">
        <f t="shared" si="19"/>
        <v>0.15811965811965814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4</v>
      </c>
      <c r="Y185" s="636">
        <f t="shared" si="15"/>
        <v>4.5</v>
      </c>
      <c r="Z185" s="36">
        <f>IFERROR(IF(Y185=0,"",ROUNDUP(Y185/H185,0)*0.00417),"")</f>
        <v>2.085E-2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4.4444444444444446</v>
      </c>
      <c r="BN185" s="64">
        <f t="shared" si="17"/>
        <v>5</v>
      </c>
      <c r="BO185" s="64">
        <f t="shared" si="18"/>
        <v>1.4245014245014245E-2</v>
      </c>
      <c r="BP185" s="64">
        <f t="shared" si="19"/>
        <v>1.6025641025641024E-2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104</v>
      </c>
      <c r="Y186" s="636">
        <f t="shared" si="15"/>
        <v>104.16</v>
      </c>
      <c r="Z186" s="36">
        <f>IFERROR(IF(Y186=0,"",ROUNDUP(Y186/H186,0)*0.00502),"")</f>
        <v>0.31124000000000002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110.1904761904762</v>
      </c>
      <c r="BN186" s="64">
        <f t="shared" si="17"/>
        <v>110.36</v>
      </c>
      <c r="BO186" s="64">
        <f t="shared" si="18"/>
        <v>0.26455026455026459</v>
      </c>
      <c r="BP186" s="64">
        <f t="shared" si="19"/>
        <v>0.26495726495726496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169.2777777777778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172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0.90124000000000004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296</v>
      </c>
      <c r="Y188" s="637">
        <f>IFERROR(SUM(Y176:Y186),"0")</f>
        <v>301.44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140</v>
      </c>
      <c r="Y220" s="636">
        <f t="shared" ref="Y220:Y232" si="26">IFERROR(IF(X220="",0,CEILING((X220/$H220),1)*$H220),"")</f>
        <v>142.80000000000001</v>
      </c>
      <c r="Z220" s="36">
        <f>IFERROR(IF(Y220=0,"",ROUNDUP(Y220/H220,0)*0.00902),"")</f>
        <v>0.30668000000000001</v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148.33333333333331</v>
      </c>
      <c r="BN220" s="64">
        <f t="shared" ref="BN220:BN232" si="28">IFERROR(Y220*I220/H220,"0")</f>
        <v>151.30000000000001</v>
      </c>
      <c r="BO220" s="64">
        <f t="shared" ref="BO220:BO232" si="29">IFERROR(1/J220*(X220/H220),"0")</f>
        <v>0.25252525252525249</v>
      </c>
      <c r="BP220" s="64">
        <f t="shared" ref="BP220:BP232" si="30">IFERROR(1/J220*(Y220/H220),"0")</f>
        <v>0.25757575757575757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58</v>
      </c>
      <c r="Y222" s="636">
        <f t="shared" si="26"/>
        <v>58.800000000000004</v>
      </c>
      <c r="Z222" s="36">
        <f>IFERROR(IF(Y222=0,"",ROUNDUP(Y222/H222,0)*0.00902),"")</f>
        <v>0.12628</v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60.623809523809513</v>
      </c>
      <c r="BN222" s="64">
        <f t="shared" si="28"/>
        <v>61.46</v>
      </c>
      <c r="BO222" s="64">
        <f t="shared" si="29"/>
        <v>0.10461760461760461</v>
      </c>
      <c r="BP222" s="64">
        <f t="shared" si="30"/>
        <v>0.10606060606060606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54</v>
      </c>
      <c r="Y224" s="636">
        <f t="shared" si="26"/>
        <v>54.6</v>
      </c>
      <c r="Z224" s="36">
        <f>IFERROR(IF(Y224=0,"",ROUNDUP(Y224/H224,0)*0.00502),"")</f>
        <v>0.13052</v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57.342857142857142</v>
      </c>
      <c r="BN224" s="64">
        <f t="shared" si="28"/>
        <v>57.98</v>
      </c>
      <c r="BO224" s="64">
        <f t="shared" si="29"/>
        <v>0.10989010989010989</v>
      </c>
      <c r="BP224" s="64">
        <f t="shared" si="30"/>
        <v>0.11111111111111112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40</v>
      </c>
      <c r="Y228" s="636">
        <f t="shared" si="26"/>
        <v>41.4</v>
      </c>
      <c r="Z228" s="36">
        <f>IFERROR(IF(Y228=0,"",ROUNDUP(Y228/H228,0)*0.00502),"")</f>
        <v>0.11546000000000001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42.888888888888893</v>
      </c>
      <c r="BN228" s="64">
        <f t="shared" si="28"/>
        <v>44.39</v>
      </c>
      <c r="BO228" s="64">
        <f t="shared" si="29"/>
        <v>9.4966761633428307E-2</v>
      </c>
      <c r="BP228" s="64">
        <f t="shared" si="30"/>
        <v>9.8290598290598302E-2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95.079365079365061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97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0.67893999999999999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292</v>
      </c>
      <c r="Y234" s="637">
        <f>IFERROR(SUM(Y220:Y232),"0")</f>
        <v>297.60000000000002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254</v>
      </c>
      <c r="Y265" s="636">
        <f t="shared" ref="Y265:Y272" si="31">IFERROR(IF(X265="",0,CEILING((X265/$H265),1)*$H265),"")</f>
        <v>259.20000000000005</v>
      </c>
      <c r="Z265" s="36">
        <f>IFERROR(IF(Y265=0,"",ROUNDUP(Y265/H265,0)*0.00902),"")</f>
        <v>0.43296000000000001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262.93703703703699</v>
      </c>
      <c r="BN265" s="64">
        <f t="shared" ref="BN265:BN272" si="33">IFERROR(Y265*I265/H265,"0")</f>
        <v>268.32</v>
      </c>
      <c r="BO265" s="64">
        <f t="shared" ref="BO265:BO272" si="34">IFERROR(1/J265*(X265/H265),"0")</f>
        <v>0.356341189674523</v>
      </c>
      <c r="BP265" s="64">
        <f t="shared" ref="BP265:BP272" si="35">IFERROR(1/J265*(Y265/H265),"0")</f>
        <v>0.3636363636363637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39</v>
      </c>
      <c r="Y268" s="636">
        <f t="shared" si="31"/>
        <v>43.2</v>
      </c>
      <c r="Z268" s="36">
        <f>IFERROR(IF(Y268=0,"",ROUNDUP(Y268/H268,0)*0.00902),"")</f>
        <v>7.2160000000000002E-2</v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40.37222222222222</v>
      </c>
      <c r="BN268" s="64">
        <f t="shared" si="33"/>
        <v>44.72</v>
      </c>
      <c r="BO268" s="64">
        <f t="shared" si="34"/>
        <v>5.4713804713804708E-2</v>
      </c>
      <c r="BP268" s="64">
        <f t="shared" si="35"/>
        <v>6.0606060606060608E-2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14</v>
      </c>
      <c r="Y269" s="636">
        <f t="shared" si="31"/>
        <v>14.4</v>
      </c>
      <c r="Z269" s="36">
        <f>IFERROR(IF(Y269=0,"",ROUNDUP(Y269/H269,0)*0.00502),"")</f>
        <v>4.0160000000000001E-2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15.011111111111111</v>
      </c>
      <c r="BN269" s="64">
        <f t="shared" si="33"/>
        <v>15.439999999999998</v>
      </c>
      <c r="BO269" s="64">
        <f t="shared" si="34"/>
        <v>3.3238366571699908E-2</v>
      </c>
      <c r="BP269" s="64">
        <f t="shared" si="35"/>
        <v>3.4188034188034191E-2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24</v>
      </c>
      <c r="Y272" s="636">
        <f t="shared" si="31"/>
        <v>25.2</v>
      </c>
      <c r="Z272" s="36">
        <f>IFERROR(IF(Y272=0,"",ROUNDUP(Y272/H272,0)*0.00502),"")</f>
        <v>7.0280000000000009E-2</v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25.333333333333329</v>
      </c>
      <c r="BN272" s="64">
        <f t="shared" si="33"/>
        <v>26.599999999999998</v>
      </c>
      <c r="BO272" s="64">
        <f t="shared" si="34"/>
        <v>5.6980056980056981E-2</v>
      </c>
      <c r="BP272" s="64">
        <f t="shared" si="35"/>
        <v>5.9829059829059839E-2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75.370370370370367</v>
      </c>
      <c r="Y273" s="637">
        <f>IFERROR(Y265/H265,"0")+IFERROR(Y266/H266,"0")+IFERROR(Y267/H267,"0")+IFERROR(Y268/H268,"0")+IFERROR(Y269/H269,"0")+IFERROR(Y270/H270,"0")+IFERROR(Y271/H271,"0")+IFERROR(Y272/H272,"0")</f>
        <v>78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0.61556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331</v>
      </c>
      <c r="Y274" s="637">
        <f>IFERROR(SUM(Y265:Y272),"0")</f>
        <v>342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76</v>
      </c>
      <c r="Y279" s="636">
        <f t="shared" si="36"/>
        <v>78.3</v>
      </c>
      <c r="Z279" s="36">
        <f>IFERROR(IF(Y279=0,"",ROUNDUP(Y279/H279,0)*0.01898),"")</f>
        <v>0.17082</v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80.315402298850586</v>
      </c>
      <c r="BN279" s="64">
        <f t="shared" si="38"/>
        <v>82.746000000000009</v>
      </c>
      <c r="BO279" s="64">
        <f t="shared" si="39"/>
        <v>0.13649425287356323</v>
      </c>
      <c r="BP279" s="64">
        <f t="shared" si="40"/>
        <v>0.140625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114</v>
      </c>
      <c r="Y280" s="636">
        <f t="shared" si="36"/>
        <v>115.19999999999999</v>
      </c>
      <c r="Z280" s="36">
        <f>IFERROR(IF(Y280=0,"",ROUNDUP(Y280/H280,0)*0.00651),"")</f>
        <v>0.31247999999999998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126.825</v>
      </c>
      <c r="BN280" s="64">
        <f t="shared" si="38"/>
        <v>128.15999999999997</v>
      </c>
      <c r="BO280" s="64">
        <f t="shared" si="39"/>
        <v>0.26098901098901101</v>
      </c>
      <c r="BP280" s="64">
        <f t="shared" si="40"/>
        <v>0.26373626373626374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449</v>
      </c>
      <c r="Y282" s="636">
        <f t="shared" si="36"/>
        <v>451.2</v>
      </c>
      <c r="Z282" s="36">
        <f>IFERROR(IF(Y282=0,"",ROUNDUP(Y282/H282,0)*0.00651),"")</f>
        <v>1.2238800000000001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496.14500000000004</v>
      </c>
      <c r="BN282" s="64">
        <f t="shared" si="38"/>
        <v>498.57600000000002</v>
      </c>
      <c r="BO282" s="64">
        <f t="shared" si="39"/>
        <v>1.0279304029304031</v>
      </c>
      <c r="BP282" s="64">
        <f t="shared" si="40"/>
        <v>1.0329670329670331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173</v>
      </c>
      <c r="Y284" s="636">
        <f t="shared" si="36"/>
        <v>175.2</v>
      </c>
      <c r="Z284" s="36">
        <f>IFERROR(IF(Y284=0,"",ROUNDUP(Y284/H284,0)*0.00651),"")</f>
        <v>0.47522999999999999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191.16500000000002</v>
      </c>
      <c r="BN284" s="64">
        <f t="shared" si="38"/>
        <v>193.596</v>
      </c>
      <c r="BO284" s="64">
        <f t="shared" si="39"/>
        <v>0.39606227106227115</v>
      </c>
      <c r="BP284" s="64">
        <f t="shared" si="40"/>
        <v>0.40109890109890112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114</v>
      </c>
      <c r="Y286" s="636">
        <f t="shared" si="36"/>
        <v>115.19999999999999</v>
      </c>
      <c r="Z286" s="36">
        <f>IFERROR(IF(Y286=0,"",ROUNDUP(Y286/H286,0)*0.00651),"")</f>
        <v>0.31247999999999998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126.25500000000001</v>
      </c>
      <c r="BN286" s="64">
        <f t="shared" si="38"/>
        <v>127.584</v>
      </c>
      <c r="BO286" s="64">
        <f t="shared" si="39"/>
        <v>0.26098901098901101</v>
      </c>
      <c r="BP286" s="64">
        <f t="shared" si="40"/>
        <v>0.26373626373626374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362.90229885057477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366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2.4948899999999998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926</v>
      </c>
      <c r="Y289" s="637">
        <f>IFERROR(SUM(Y276:Y287),"0")</f>
        <v>935.10000000000014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43</v>
      </c>
      <c r="Y335" s="636">
        <f>IFERROR(IF(X335="",0,CEILING((X335/$H335),1)*$H335),"")</f>
        <v>43.199999999999996</v>
      </c>
      <c r="Z335" s="36">
        <f>IFERROR(IF(Y335=0,"",ROUNDUP(Y335/H335,0)*0.00651),"")</f>
        <v>0.11718000000000001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47.515000000000001</v>
      </c>
      <c r="BN335" s="64">
        <f>IFERROR(Y335*I335/H335,"0")</f>
        <v>47.736000000000004</v>
      </c>
      <c r="BO335" s="64">
        <f>IFERROR(1/J335*(X335/H335),"0")</f>
        <v>9.8443223443223454E-2</v>
      </c>
      <c r="BP335" s="64">
        <f>IFERROR(1/J335*(Y335/H335),"0")</f>
        <v>9.8901098901098911E-2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86</v>
      </c>
      <c r="Y336" s="636">
        <f>IFERROR(IF(X336="",0,CEILING((X336/$H336),1)*$H336),"")</f>
        <v>86.399999999999991</v>
      </c>
      <c r="Z336" s="36">
        <f>IFERROR(IF(Y336=0,"",ROUNDUP(Y336/H336,0)*0.00651),"")</f>
        <v>0.23436000000000001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92.45</v>
      </c>
      <c r="BN336" s="64">
        <f>IFERROR(Y336*I336/H336,"0")</f>
        <v>92.88</v>
      </c>
      <c r="BO336" s="64">
        <f>IFERROR(1/J336*(X336/H336),"0")</f>
        <v>0.19688644688644691</v>
      </c>
      <c r="BP336" s="64">
        <f>IFERROR(1/J336*(Y336/H336),"0")</f>
        <v>0.19780219780219782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53.75</v>
      </c>
      <c r="Y337" s="637">
        <f>IFERROR(Y334/H334,"0")+IFERROR(Y335/H335,"0")+IFERROR(Y336/H336,"0")</f>
        <v>54</v>
      </c>
      <c r="Z337" s="637">
        <f>IFERROR(IF(Z334="",0,Z334),"0")+IFERROR(IF(Z335="",0,Z335),"0")+IFERROR(IF(Z336="",0,Z336),"0")</f>
        <v>0.35154000000000002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129</v>
      </c>
      <c r="Y338" s="637">
        <f>IFERROR(SUM(Y334:Y336),"0")</f>
        <v>129.6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124</v>
      </c>
      <c r="Y365" s="636">
        <f>IFERROR(IF(X365="",0,CEILING((X365/$H365),1)*$H365),"")</f>
        <v>124.8</v>
      </c>
      <c r="Z365" s="36">
        <f>IFERROR(IF(Y365=0,"",ROUNDUP(Y365/H365,0)*0.01898),"")</f>
        <v>0.30368000000000001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130.51794871794874</v>
      </c>
      <c r="BN365" s="64">
        <f>IFERROR(Y365*I365/H365,"0")</f>
        <v>131.36000000000001</v>
      </c>
      <c r="BO365" s="64">
        <f>IFERROR(1/J365*(X365/H365),"0")</f>
        <v>0.2483974358974359</v>
      </c>
      <c r="BP365" s="64">
        <f>IFERROR(1/J365*(Y365/H365),"0")</f>
        <v>0.25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15.897435897435898</v>
      </c>
      <c r="Y367" s="637">
        <f>IFERROR(Y364/H364,"0")+IFERROR(Y365/H365,"0")+IFERROR(Y366/H366,"0")</f>
        <v>16</v>
      </c>
      <c r="Z367" s="637">
        <f>IFERROR(IF(Z364="",0,Z364),"0")+IFERROR(IF(Z365="",0,Z365),"0")+IFERROR(IF(Z366="",0,Z366),"0")</f>
        <v>0.30368000000000001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124</v>
      </c>
      <c r="Y368" s="637">
        <f>IFERROR(SUM(Y364:Y366),"0")</f>
        <v>124.8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206</v>
      </c>
      <c r="Y399" s="636">
        <f>IFERROR(IF(X399="",0,CEILING((X399/$H399),1)*$H399),"")</f>
        <v>210.6</v>
      </c>
      <c r="Z399" s="36">
        <f>IFERROR(IF(Y399=0,"",ROUNDUP(Y399/H399,0)*0.01898),"")</f>
        <v>0.51246000000000003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219.04666666666668</v>
      </c>
      <c r="BN399" s="64">
        <f>IFERROR(Y399*I399/H399,"0")</f>
        <v>223.93800000000002</v>
      </c>
      <c r="BO399" s="64">
        <f>IFERROR(1/J399*(X399/H399),"0")</f>
        <v>0.41266025641025644</v>
      </c>
      <c r="BP399" s="64">
        <f>IFERROR(1/J399*(Y399/H399),"0")</f>
        <v>0.421875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26.410256410256412</v>
      </c>
      <c r="Y401" s="637">
        <f>IFERROR(Y398/H398,"0")+IFERROR(Y399/H399,"0")+IFERROR(Y400/H400,"0")</f>
        <v>27</v>
      </c>
      <c r="Z401" s="637">
        <f>IFERROR(IF(Z398="",0,Z398),"0")+IFERROR(IF(Z399="",0,Z399),"0")+IFERROR(IF(Z400="",0,Z400),"0")</f>
        <v>0.51246000000000003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206</v>
      </c>
      <c r="Y402" s="637">
        <f>IFERROR(SUM(Y398:Y400),"0")</f>
        <v>210.6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11</v>
      </c>
      <c r="Y441" s="636">
        <f t="shared" si="61"/>
        <v>15</v>
      </c>
      <c r="Z441" s="36">
        <f>IFERROR(IF(Y441=0,"",ROUNDUP(Y441/H441,0)*0.02175),"")</f>
        <v>2.1749999999999999E-2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11.344666666666667</v>
      </c>
      <c r="BN441" s="64">
        <f t="shared" si="63"/>
        <v>15.47</v>
      </c>
      <c r="BO441" s="64">
        <f t="shared" si="64"/>
        <v>1.5277777777777776E-2</v>
      </c>
      <c r="BP441" s="64">
        <f t="shared" si="65"/>
        <v>2.0833333333333332E-2</v>
      </c>
    </row>
    <row r="442" spans="1:68" ht="27" hidden="1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0</v>
      </c>
      <c r="Y442" s="636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0.73333333333333328</v>
      </c>
      <c r="Y447" s="637">
        <f>IFERROR(Y439/H439,"0")+IFERROR(Y440/H440,"0")+IFERROR(Y441/H441,"0")+IFERROR(Y442/H442,"0")+IFERROR(Y443/H443,"0")+IFERROR(Y444/H444,"0")+IFERROR(Y445/H445,"0")+IFERROR(Y446/H446,"0")</f>
        <v>1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2.1749999999999999E-2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11</v>
      </c>
      <c r="Y448" s="637">
        <f>IFERROR(SUM(Y439:Y446),"0")</f>
        <v>15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hidden="1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0</v>
      </c>
      <c r="Y450" s="636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0</v>
      </c>
      <c r="Y453" s="637">
        <f>IFERROR(Y450/H450,"0")+IFERROR(Y451/H451,"0")+IFERROR(Y452/H452,"0")</f>
        <v>0</v>
      </c>
      <c r="Z453" s="637">
        <f>IFERROR(IF(Z450="",0,Z450),"0")+IFERROR(IF(Z451="",0,Z451),"0")+IFERROR(IF(Z452="",0,Z452),"0")</f>
        <v>0</v>
      </c>
      <c r="AA453" s="638"/>
      <c r="AB453" s="638"/>
      <c r="AC453" s="638"/>
    </row>
    <row r="454" spans="1:68" hidden="1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0</v>
      </c>
      <c r="Y454" s="637">
        <f>IFERROR(SUM(Y450:Y452),"0")</f>
        <v>0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hidden="1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0</v>
      </c>
      <c r="Y477" s="636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0</v>
      </c>
      <c r="Y480" s="637">
        <f>IFERROR(Y477/H477,"0")+IFERROR(Y478/H478,"0")+IFERROR(Y479/H479,"0")</f>
        <v>0</v>
      </c>
      <c r="Z480" s="637">
        <f>IFERROR(IF(Z477="",0,Z477),"0")+IFERROR(IF(Z478="",0,Z478),"0")+IFERROR(IF(Z479="",0,Z479),"0")</f>
        <v>0</v>
      </c>
      <c r="AA480" s="638"/>
      <c r="AB480" s="638"/>
      <c r="AC480" s="638"/>
    </row>
    <row r="481" spans="1:68" hidden="1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0</v>
      </c>
      <c r="Y481" s="637">
        <f>IFERROR(SUM(Y477:Y479),"0")</f>
        <v>0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32</v>
      </c>
      <c r="Y503" s="636">
        <f>IFERROR(IF(X503="",0,CEILING((X503/$H503),1)*$H503),"")</f>
        <v>32.400000000000006</v>
      </c>
      <c r="Z503" s="36">
        <f>IFERROR(IF(Y503=0,"",ROUNDUP(Y503/H503,0)*0.00902),"")</f>
        <v>5.4120000000000001E-2</v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33.12592592592592</v>
      </c>
      <c r="BN503" s="64">
        <f>IFERROR(Y503*I503/H503,"0")</f>
        <v>33.54</v>
      </c>
      <c r="BO503" s="64">
        <f>IFERROR(1/J503*(X503/H503),"0")</f>
        <v>4.4893378226711557E-2</v>
      </c>
      <c r="BP503" s="64">
        <f>IFERROR(1/J503*(Y503/H503),"0")</f>
        <v>4.5454545454545463E-2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5.9259259259259256</v>
      </c>
      <c r="Y506" s="637">
        <f>IFERROR(Y503/H503,"0")+IFERROR(Y504/H504,"0")+IFERROR(Y505/H505,"0")</f>
        <v>6.0000000000000009</v>
      </c>
      <c r="Z506" s="637">
        <f>IFERROR(IF(Z503="",0,Z503),"0")+IFERROR(IF(Z504="",0,Z504),"0")+IFERROR(IF(Z505="",0,Z505),"0")</f>
        <v>5.4120000000000001E-2</v>
      </c>
      <c r="AA506" s="638"/>
      <c r="AB506" s="638"/>
      <c r="AC506" s="638"/>
    </row>
    <row r="507" spans="1:68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32</v>
      </c>
      <c r="Y507" s="637">
        <f>IFERROR(SUM(Y503:Y505),"0")</f>
        <v>32.400000000000006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12</v>
      </c>
      <c r="Y511" s="636">
        <f t="shared" ref="Y511:Y518" si="71">IFERROR(IF(X511="",0,CEILING((X511/$H511),1)*$H511),"")</f>
        <v>15.84</v>
      </c>
      <c r="Z511" s="36">
        <f>IFERROR(IF(Y511=0,"",ROUNDUP(Y511/H511,0)*0.01196),"")</f>
        <v>3.5880000000000002E-2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12.795454545454545</v>
      </c>
      <c r="BN511" s="64">
        <f t="shared" ref="BN511:BN518" si="73">IFERROR(Y511*I511/H511,"0")</f>
        <v>16.889999999999997</v>
      </c>
      <c r="BO511" s="64">
        <f t="shared" ref="BO511:BO518" si="74">IFERROR(1/J511*(X511/H511),"0")</f>
        <v>2.1853146853146852E-2</v>
      </c>
      <c r="BP511" s="64">
        <f t="shared" ref="BP511:BP518" si="75">IFERROR(1/J511*(Y511/H511),"0")</f>
        <v>2.8846153846153848E-2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13</v>
      </c>
      <c r="Y514" s="636">
        <f t="shared" si="71"/>
        <v>15.84</v>
      </c>
      <c r="Z514" s="36">
        <f>IFERROR(IF(Y514=0,"",ROUNDUP(Y514/H514,0)*0.01196),"")</f>
        <v>3.5880000000000002E-2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13.861742424242424</v>
      </c>
      <c r="BN514" s="64">
        <f t="shared" si="73"/>
        <v>16.889999999999997</v>
      </c>
      <c r="BO514" s="64">
        <f t="shared" si="74"/>
        <v>2.3674242424242424E-2</v>
      </c>
      <c r="BP514" s="64">
        <f t="shared" si="75"/>
        <v>2.8846153846153848E-2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4.7348484848484844</v>
      </c>
      <c r="Y519" s="637">
        <f>IFERROR(Y511/H511,"0")+IFERROR(Y512/H512,"0")+IFERROR(Y513/H513,"0")+IFERROR(Y514/H514,"0")+IFERROR(Y515/H515,"0")+IFERROR(Y516/H516,"0")+IFERROR(Y517/H517,"0")+IFERROR(Y518/H518,"0")</f>
        <v>6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7.1760000000000004E-2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25</v>
      </c>
      <c r="Y520" s="637">
        <f>IFERROR(SUM(Y511:Y518),"0")</f>
        <v>31.68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hidden="1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0</v>
      </c>
      <c r="Y522" s="636">
        <f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0</v>
      </c>
      <c r="Y525" s="637">
        <f>IFERROR(Y522/H522,"0")+IFERROR(Y523/H523,"0")+IFERROR(Y524/H524,"0")</f>
        <v>0</v>
      </c>
      <c r="Z525" s="637">
        <f>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0</v>
      </c>
      <c r="Y526" s="637">
        <f>IFERROR(SUM(Y522:Y524),"0")</f>
        <v>0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119</v>
      </c>
      <c r="Y552" s="636">
        <f>IFERROR(IF(X552="",0,CEILING((X552/$H552),1)*$H552),"")</f>
        <v>126</v>
      </c>
      <c r="Z552" s="36">
        <f>IFERROR(IF(Y552=0,"",ROUNDUP(Y552/H552,0)*0.01898),"")</f>
        <v>0.26572000000000001</v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125.53177777777779</v>
      </c>
      <c r="BN552" s="64">
        <f>IFERROR(Y552*I552/H552,"0")</f>
        <v>132.916</v>
      </c>
      <c r="BO552" s="64">
        <f>IFERROR(1/J552*(X552/H552),"0")</f>
        <v>0.20659722222222221</v>
      </c>
      <c r="BP552" s="64">
        <f>IFERROR(1/J552*(Y552/H552),"0")</f>
        <v>0.21875</v>
      </c>
    </row>
    <row r="553" spans="1:68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13.222222222222221</v>
      </c>
      <c r="Y553" s="637">
        <f>IFERROR(Y552/H552,"0")</f>
        <v>14</v>
      </c>
      <c r="Z553" s="637">
        <f>IFERROR(IF(Z552="",0,Z552),"0")</f>
        <v>0.26572000000000001</v>
      </c>
      <c r="AA553" s="638"/>
      <c r="AB553" s="638"/>
      <c r="AC553" s="638"/>
    </row>
    <row r="554" spans="1:68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119</v>
      </c>
      <c r="Y554" s="637">
        <f>IFERROR(SUM(Y552:Y552),"0")</f>
        <v>126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2868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2964.2200000000003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3076.1457137713287</v>
      </c>
      <c r="Y566" s="637">
        <f>IFERROR(SUM(BN22:BN562),"0")</f>
        <v>3177.91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6</v>
      </c>
      <c r="Y567" s="38">
        <f>ROUNDUP(SUM(BP22:BP562),0)</f>
        <v>6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3226.1457137713287</v>
      </c>
      <c r="Y568" s="637">
        <f>GrossWeightTotalR+PalletQtyTotalR*25</f>
        <v>3327.91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891.47667385828322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911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7.12005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5.4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108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79.600000000000009</v>
      </c>
      <c r="F575" s="46">
        <f>IFERROR(Y89*1,"0")+IFERROR(Y90*1,"0")+IFERROR(Y91*1,"0")+IFERROR(Y92*1,"0")+IFERROR(Y93*1,"0")+IFERROR(Y94*1,"0")+IFERROR(Y98*1,"0")+IFERROR(Y99*1,"0")+IFERROR(Y100*1,"0")+IFERROR(Y101*1,"0")</f>
        <v>69.300000000000011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76.5</v>
      </c>
      <c r="H575" s="46">
        <f>IFERROR(Y136*1,"0")+IFERROR(Y137*1,"0")+IFERROR(Y141*1,"0")+IFERROR(Y142*1,"0")+IFERROR(Y146*1,"0")+IFERROR(Y147*1,"0")</f>
        <v>79.2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301.44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297.60000000000002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1277.1000000000001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129.6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124.8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210.6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15</v>
      </c>
      <c r="Y575" s="46">
        <f>IFERROR(Y468*1,"0")+IFERROR(Y469*1,"0")+IFERROR(Y473*1,"0")+IFERROR(Y477*1,"0")+IFERROR(Y478*1,"0")+IFERROR(Y479*1,"0")</f>
        <v>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32.400000000000006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31.68</v>
      </c>
      <c r="AC575" s="46">
        <f>IFERROR(Y540*1,"0")+IFERROR(Y544*1,"0")+IFERROR(Y548*1,"0")+IFERROR(Y552*1,"0")+IFERROR(Y556*1,"0")+IFERROR(Y557*1,"0")</f>
        <v>126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3"/>
        <filter val="104,00"/>
        <filter val="106,00"/>
        <filter val="11,00"/>
        <filter val="114,00"/>
        <filter val="119,00"/>
        <filter val="12,00"/>
        <filter val="124,00"/>
        <filter val="129,00"/>
        <filter val="13,00"/>
        <filter val="13,22"/>
        <filter val="14,00"/>
        <filter val="140,00"/>
        <filter val="15,90"/>
        <filter val="169,28"/>
        <filter val="173,00"/>
        <filter val="18,00"/>
        <filter val="2 868,00"/>
        <filter val="2,00"/>
        <filter val="2,50"/>
        <filter val="2,78"/>
        <filter val="206,00"/>
        <filter val="24,00"/>
        <filter val="25,00"/>
        <filter val="254,00"/>
        <filter val="26,41"/>
        <filter val="27,00"/>
        <filter val="29,17"/>
        <filter val="292,00"/>
        <filter val="296,00"/>
        <filter val="3 076,15"/>
        <filter val="3 226,15"/>
        <filter val="3,00"/>
        <filter val="3,93"/>
        <filter val="32,00"/>
        <filter val="331,00"/>
        <filter val="362,90"/>
        <filter val="37,00"/>
        <filter val="38,00"/>
        <filter val="39,00"/>
        <filter val="4,00"/>
        <filter val="4,73"/>
        <filter val="40,00"/>
        <filter val="43,00"/>
        <filter val="449,00"/>
        <filter val="47,00"/>
        <filter val="5,00"/>
        <filter val="5,76"/>
        <filter val="5,93"/>
        <filter val="53,75"/>
        <filter val="54,00"/>
        <filter val="55,00"/>
        <filter val="58,00"/>
        <filter val="6"/>
        <filter val="6,00"/>
        <filter val="6,20"/>
        <filter val="62,00"/>
        <filter val="75,37"/>
        <filter val="76,00"/>
        <filter val="77,00"/>
        <filter val="8,02"/>
        <filter val="81,00"/>
        <filter val="86,00"/>
        <filter val="891,48"/>
        <filter val="9,00"/>
        <filter val="9,81"/>
        <filter val="926,00"/>
        <filter val="95,08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