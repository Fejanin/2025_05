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19A9FAC-D228-4813-8EBF-14CE397B714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7" i="1" l="1"/>
  <c r="AM9" i="1"/>
  <c r="AM10" i="1"/>
  <c r="AM12" i="1"/>
  <c r="AM13" i="1"/>
  <c r="AM14" i="1"/>
  <c r="AM15" i="1"/>
  <c r="AM16" i="1"/>
  <c r="AM17" i="1"/>
  <c r="AM18" i="1"/>
  <c r="AM19" i="1"/>
  <c r="AM22" i="1"/>
  <c r="AM23" i="1"/>
  <c r="AM25" i="1"/>
  <c r="AM26" i="1"/>
  <c r="AM27" i="1"/>
  <c r="AM30" i="1"/>
  <c r="AM31" i="1"/>
  <c r="AM32" i="1"/>
  <c r="AM33" i="1"/>
  <c r="AM37" i="1"/>
  <c r="AM38" i="1"/>
  <c r="AM40" i="1"/>
  <c r="AM41" i="1"/>
  <c r="AM44" i="1"/>
  <c r="AM47" i="1"/>
  <c r="AM48" i="1"/>
  <c r="AM49" i="1"/>
  <c r="AM52" i="1"/>
  <c r="AM53" i="1"/>
  <c r="AM57" i="1"/>
  <c r="AM59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8" i="1"/>
  <c r="AM79" i="1"/>
  <c r="AM81" i="1"/>
  <c r="AM82" i="1"/>
  <c r="AM83" i="1"/>
  <c r="AM85" i="1"/>
  <c r="AM89" i="1"/>
  <c r="AM90" i="1"/>
  <c r="AM91" i="1"/>
  <c r="AM94" i="1"/>
  <c r="AM95" i="1"/>
  <c r="AM96" i="1"/>
  <c r="AM97" i="1"/>
  <c r="AM98" i="1"/>
  <c r="AM100" i="1"/>
  <c r="AM101" i="1"/>
  <c r="AM104" i="1"/>
  <c r="AM105" i="1"/>
  <c r="AM106" i="1"/>
  <c r="AM108" i="1"/>
  <c r="AM110" i="1"/>
  <c r="AM111" i="1"/>
  <c r="AM112" i="1"/>
  <c r="AM113" i="1"/>
  <c r="AM114" i="1"/>
  <c r="AM115" i="1"/>
  <c r="AM116" i="1"/>
  <c r="AM118" i="1"/>
  <c r="AM120" i="1"/>
  <c r="AM121" i="1"/>
  <c r="AM122" i="1"/>
  <c r="AM123" i="1"/>
  <c r="AM124" i="1"/>
  <c r="AM125" i="1"/>
  <c r="AM126" i="1"/>
  <c r="AM127" i="1"/>
  <c r="AM128" i="1"/>
  <c r="AM129" i="1"/>
  <c r="AM130" i="1"/>
  <c r="AM6" i="1"/>
  <c r="V45" i="1" l="1"/>
  <c r="V35" i="1"/>
  <c r="V7" i="1"/>
  <c r="W7" i="1" s="1"/>
  <c r="AL7" i="1" s="1"/>
  <c r="V9" i="1"/>
  <c r="W9" i="1" s="1"/>
  <c r="AL9" i="1" s="1"/>
  <c r="V10" i="1"/>
  <c r="W10" i="1" s="1"/>
  <c r="AL10" i="1" s="1"/>
  <c r="V12" i="1"/>
  <c r="W12" i="1" s="1"/>
  <c r="AL12" i="1" s="1"/>
  <c r="V13" i="1"/>
  <c r="W13" i="1" s="1"/>
  <c r="AL13" i="1" s="1"/>
  <c r="V14" i="1"/>
  <c r="W14" i="1" s="1"/>
  <c r="AL14" i="1" s="1"/>
  <c r="V15" i="1"/>
  <c r="W15" i="1" s="1"/>
  <c r="AL15" i="1" s="1"/>
  <c r="V16" i="1"/>
  <c r="W16" i="1" s="1"/>
  <c r="AL16" i="1" s="1"/>
  <c r="V17" i="1"/>
  <c r="W17" i="1" s="1"/>
  <c r="AL17" i="1" s="1"/>
  <c r="V18" i="1"/>
  <c r="W18" i="1" s="1"/>
  <c r="AL18" i="1" s="1"/>
  <c r="V19" i="1"/>
  <c r="W19" i="1" s="1"/>
  <c r="AL19" i="1" s="1"/>
  <c r="V22" i="1"/>
  <c r="W22" i="1" s="1"/>
  <c r="AL22" i="1" s="1"/>
  <c r="V23" i="1"/>
  <c r="W23" i="1" s="1"/>
  <c r="AL23" i="1" s="1"/>
  <c r="V25" i="1"/>
  <c r="W25" i="1" s="1"/>
  <c r="AL25" i="1" s="1"/>
  <c r="V26" i="1"/>
  <c r="W26" i="1" s="1"/>
  <c r="AL26" i="1" s="1"/>
  <c r="V27" i="1"/>
  <c r="W27" i="1" s="1"/>
  <c r="AL27" i="1" s="1"/>
  <c r="V30" i="1"/>
  <c r="W30" i="1" s="1"/>
  <c r="AL30" i="1" s="1"/>
  <c r="V31" i="1"/>
  <c r="W31" i="1" s="1"/>
  <c r="AL31" i="1" s="1"/>
  <c r="V32" i="1"/>
  <c r="W32" i="1" s="1"/>
  <c r="AL32" i="1" s="1"/>
  <c r="V33" i="1"/>
  <c r="W33" i="1" s="1"/>
  <c r="AL33" i="1" s="1"/>
  <c r="V37" i="1"/>
  <c r="W37" i="1" s="1"/>
  <c r="AL37" i="1" s="1"/>
  <c r="V38" i="1"/>
  <c r="W38" i="1" s="1"/>
  <c r="AL38" i="1" s="1"/>
  <c r="V44" i="1"/>
  <c r="W44" i="1" s="1"/>
  <c r="AL44" i="1" s="1"/>
  <c r="V47" i="1"/>
  <c r="W47" i="1" s="1"/>
  <c r="AL47" i="1" s="1"/>
  <c r="V48" i="1"/>
  <c r="W48" i="1" s="1"/>
  <c r="AL48" i="1" s="1"/>
  <c r="V49" i="1"/>
  <c r="W49" i="1" s="1"/>
  <c r="AL49" i="1" s="1"/>
  <c r="V52" i="1"/>
  <c r="W52" i="1" s="1"/>
  <c r="AL52" i="1" s="1"/>
  <c r="V57" i="1"/>
  <c r="W57" i="1" s="1"/>
  <c r="AL57" i="1" s="1"/>
  <c r="V59" i="1"/>
  <c r="W59" i="1" s="1"/>
  <c r="AL59" i="1" s="1"/>
  <c r="V64" i="1"/>
  <c r="W64" i="1" s="1"/>
  <c r="AL64" i="1" s="1"/>
  <c r="V65" i="1"/>
  <c r="W65" i="1" s="1"/>
  <c r="AL65" i="1" s="1"/>
  <c r="V66" i="1"/>
  <c r="W66" i="1" s="1"/>
  <c r="AL66" i="1" s="1"/>
  <c r="V67" i="1"/>
  <c r="W67" i="1" s="1"/>
  <c r="AL67" i="1" s="1"/>
  <c r="V68" i="1"/>
  <c r="W68" i="1" s="1"/>
  <c r="AL68" i="1" s="1"/>
  <c r="V70" i="1"/>
  <c r="W70" i="1" s="1"/>
  <c r="AL70" i="1" s="1"/>
  <c r="V73" i="1"/>
  <c r="W73" i="1" s="1"/>
  <c r="AL73" i="1" s="1"/>
  <c r="V76" i="1"/>
  <c r="W76" i="1" s="1"/>
  <c r="AL76" i="1" s="1"/>
  <c r="V79" i="1"/>
  <c r="W79" i="1" s="1"/>
  <c r="AL79" i="1" s="1"/>
  <c r="V81" i="1"/>
  <c r="W81" i="1" s="1"/>
  <c r="AL81" i="1" s="1"/>
  <c r="V82" i="1"/>
  <c r="W82" i="1" s="1"/>
  <c r="AL82" i="1" s="1"/>
  <c r="V83" i="1"/>
  <c r="W83" i="1" s="1"/>
  <c r="AL83" i="1" s="1"/>
  <c r="V90" i="1"/>
  <c r="W90" i="1" s="1"/>
  <c r="AL90" i="1" s="1"/>
  <c r="V91" i="1"/>
  <c r="W91" i="1" s="1"/>
  <c r="AL91" i="1" s="1"/>
  <c r="V94" i="1"/>
  <c r="W94" i="1" s="1"/>
  <c r="AL94" i="1" s="1"/>
  <c r="V95" i="1"/>
  <c r="W95" i="1" s="1"/>
  <c r="AL95" i="1" s="1"/>
  <c r="V96" i="1"/>
  <c r="W96" i="1" s="1"/>
  <c r="AL96" i="1" s="1"/>
  <c r="V97" i="1"/>
  <c r="W97" i="1" s="1"/>
  <c r="AL97" i="1" s="1"/>
  <c r="V98" i="1"/>
  <c r="W98" i="1" s="1"/>
  <c r="AL98" i="1" s="1"/>
  <c r="V100" i="1"/>
  <c r="W100" i="1" s="1"/>
  <c r="AL100" i="1" s="1"/>
  <c r="V101" i="1"/>
  <c r="W101" i="1" s="1"/>
  <c r="AL101" i="1" s="1"/>
  <c r="V104" i="1"/>
  <c r="W104" i="1" s="1"/>
  <c r="AL104" i="1" s="1"/>
  <c r="V105" i="1"/>
  <c r="W105" i="1" s="1"/>
  <c r="AL105" i="1" s="1"/>
  <c r="V108" i="1"/>
  <c r="W108" i="1" s="1"/>
  <c r="AL108" i="1" s="1"/>
  <c r="V111" i="1"/>
  <c r="W111" i="1" s="1"/>
  <c r="AL111" i="1" s="1"/>
  <c r="V114" i="1"/>
  <c r="W114" i="1" s="1"/>
  <c r="AL114" i="1" s="1"/>
  <c r="V115" i="1"/>
  <c r="W115" i="1" s="1"/>
  <c r="AL115" i="1" s="1"/>
  <c r="V116" i="1"/>
  <c r="W116" i="1" s="1"/>
  <c r="AL116" i="1" s="1"/>
  <c r="V120" i="1"/>
  <c r="W120" i="1" s="1"/>
  <c r="AL120" i="1" s="1"/>
  <c r="V121" i="1"/>
  <c r="W121" i="1" s="1"/>
  <c r="AL121" i="1" s="1"/>
  <c r="V122" i="1"/>
  <c r="W122" i="1" s="1"/>
  <c r="AL122" i="1" s="1"/>
  <c r="V123" i="1"/>
  <c r="W123" i="1" s="1"/>
  <c r="AL123" i="1" s="1"/>
  <c r="V124" i="1"/>
  <c r="W124" i="1" s="1"/>
  <c r="AL124" i="1" s="1"/>
  <c r="V125" i="1"/>
  <c r="W125" i="1" s="1"/>
  <c r="AL125" i="1" s="1"/>
  <c r="V127" i="1"/>
  <c r="W127" i="1" s="1"/>
  <c r="AL127" i="1" s="1"/>
  <c r="V129" i="1"/>
  <c r="W129" i="1" s="1"/>
  <c r="AL129" i="1" s="1"/>
  <c r="V130" i="1"/>
  <c r="W130" i="1" s="1"/>
  <c r="AL130" i="1" s="1"/>
  <c r="V6" i="1"/>
  <c r="W6" i="1" s="1"/>
  <c r="AL6" i="1" s="1"/>
  <c r="Z35" i="1"/>
  <c r="Z45" i="1"/>
  <c r="X35" i="1" l="1"/>
  <c r="W35" i="1" s="1"/>
  <c r="AL35" i="1" s="1"/>
  <c r="X45" i="1"/>
  <c r="AM45" i="1" s="1"/>
  <c r="M130" i="1"/>
  <c r="T130" i="1" s="1"/>
  <c r="AA130" i="1" s="1"/>
  <c r="L130" i="1"/>
  <c r="M129" i="1"/>
  <c r="T129" i="1" s="1"/>
  <c r="AA129" i="1" s="1"/>
  <c r="L129" i="1"/>
  <c r="M128" i="1"/>
  <c r="T128" i="1" s="1"/>
  <c r="AB128" i="1" s="1"/>
  <c r="L128" i="1"/>
  <c r="M127" i="1"/>
  <c r="T127" i="1" s="1"/>
  <c r="AA127" i="1" s="1"/>
  <c r="L127" i="1"/>
  <c r="M126" i="1"/>
  <c r="T126" i="1" s="1"/>
  <c r="U126" i="1" s="1"/>
  <c r="V126" i="1" s="1"/>
  <c r="W126" i="1" s="1"/>
  <c r="AL126" i="1" s="1"/>
  <c r="L126" i="1"/>
  <c r="M125" i="1"/>
  <c r="T125" i="1" s="1"/>
  <c r="AA125" i="1" s="1"/>
  <c r="L125" i="1"/>
  <c r="M124" i="1"/>
  <c r="T124" i="1" s="1"/>
  <c r="AA124" i="1" s="1"/>
  <c r="L124" i="1"/>
  <c r="M123" i="1"/>
  <c r="T123" i="1" s="1"/>
  <c r="AA123" i="1" s="1"/>
  <c r="L123" i="1"/>
  <c r="M122" i="1"/>
  <c r="T122" i="1" s="1"/>
  <c r="AA122" i="1" s="1"/>
  <c r="L122" i="1"/>
  <c r="M121" i="1"/>
  <c r="T121" i="1" s="1"/>
  <c r="L121" i="1"/>
  <c r="F121" i="1"/>
  <c r="AA121" i="1" s="1"/>
  <c r="M120" i="1"/>
  <c r="T120" i="1" s="1"/>
  <c r="AA120" i="1" s="1"/>
  <c r="L120" i="1"/>
  <c r="M119" i="1"/>
  <c r="T119" i="1" s="1"/>
  <c r="U119" i="1" s="1"/>
  <c r="L119" i="1"/>
  <c r="M118" i="1"/>
  <c r="T118" i="1" s="1"/>
  <c r="AB118" i="1" s="1"/>
  <c r="L118" i="1"/>
  <c r="M117" i="1"/>
  <c r="T117" i="1" s="1"/>
  <c r="L117" i="1"/>
  <c r="M116" i="1"/>
  <c r="T116" i="1" s="1"/>
  <c r="AA116" i="1" s="1"/>
  <c r="L116" i="1"/>
  <c r="M115" i="1"/>
  <c r="T115" i="1" s="1"/>
  <c r="L115" i="1"/>
  <c r="M114" i="1"/>
  <c r="T114" i="1" s="1"/>
  <c r="AA114" i="1" s="1"/>
  <c r="L114" i="1"/>
  <c r="M113" i="1"/>
  <c r="T113" i="1" s="1"/>
  <c r="L113" i="1"/>
  <c r="M112" i="1"/>
  <c r="T112" i="1" s="1"/>
  <c r="U112" i="1" s="1"/>
  <c r="V112" i="1" s="1"/>
  <c r="W112" i="1" s="1"/>
  <c r="AL112" i="1" s="1"/>
  <c r="L112" i="1"/>
  <c r="M111" i="1"/>
  <c r="T111" i="1" s="1"/>
  <c r="AA111" i="1" s="1"/>
  <c r="L111" i="1"/>
  <c r="M110" i="1"/>
  <c r="T110" i="1" s="1"/>
  <c r="U110" i="1" s="1"/>
  <c r="V110" i="1" s="1"/>
  <c r="W110" i="1" s="1"/>
  <c r="AL110" i="1" s="1"/>
  <c r="L110" i="1"/>
  <c r="M109" i="1"/>
  <c r="T109" i="1" s="1"/>
  <c r="L109" i="1"/>
  <c r="M108" i="1"/>
  <c r="T108" i="1" s="1"/>
  <c r="AA108" i="1" s="1"/>
  <c r="L108" i="1"/>
  <c r="M107" i="1"/>
  <c r="T107" i="1" s="1"/>
  <c r="U107" i="1" s="1"/>
  <c r="L107" i="1"/>
  <c r="M106" i="1"/>
  <c r="T106" i="1" s="1"/>
  <c r="U106" i="1" s="1"/>
  <c r="V106" i="1" s="1"/>
  <c r="W106" i="1" s="1"/>
  <c r="AL106" i="1" s="1"/>
  <c r="L106" i="1"/>
  <c r="M105" i="1"/>
  <c r="T105" i="1" s="1"/>
  <c r="AA105" i="1" s="1"/>
  <c r="L105" i="1"/>
  <c r="M104" i="1"/>
  <c r="T104" i="1" s="1"/>
  <c r="L104" i="1"/>
  <c r="M103" i="1"/>
  <c r="T103" i="1" s="1"/>
  <c r="U103" i="1" s="1"/>
  <c r="V103" i="1" s="1"/>
  <c r="L103" i="1"/>
  <c r="M102" i="1"/>
  <c r="T102" i="1" s="1"/>
  <c r="L102" i="1"/>
  <c r="M101" i="1"/>
  <c r="T101" i="1" s="1"/>
  <c r="AA101" i="1" s="1"/>
  <c r="L101" i="1"/>
  <c r="M100" i="1"/>
  <c r="T100" i="1" s="1"/>
  <c r="AA100" i="1" s="1"/>
  <c r="L100" i="1"/>
  <c r="M99" i="1"/>
  <c r="T99" i="1" s="1"/>
  <c r="U99" i="1" s="1"/>
  <c r="V99" i="1" s="1"/>
  <c r="L99" i="1"/>
  <c r="M98" i="1"/>
  <c r="T98" i="1" s="1"/>
  <c r="L98" i="1"/>
  <c r="M97" i="1"/>
  <c r="T97" i="1" s="1"/>
  <c r="AA97" i="1" s="1"/>
  <c r="L97" i="1"/>
  <c r="F96" i="1"/>
  <c r="E96" i="1"/>
  <c r="M96" i="1" s="1"/>
  <c r="T96" i="1" s="1"/>
  <c r="M95" i="1"/>
  <c r="T95" i="1" s="1"/>
  <c r="L95" i="1"/>
  <c r="M94" i="1"/>
  <c r="T94" i="1" s="1"/>
  <c r="AA94" i="1" s="1"/>
  <c r="L94" i="1"/>
  <c r="M93" i="1"/>
  <c r="T93" i="1" s="1"/>
  <c r="U93" i="1" s="1"/>
  <c r="V93" i="1" s="1"/>
  <c r="L93" i="1"/>
  <c r="M92" i="1"/>
  <c r="T92" i="1" s="1"/>
  <c r="U92" i="1" s="1"/>
  <c r="V92" i="1" s="1"/>
  <c r="L92" i="1"/>
  <c r="M91" i="1"/>
  <c r="T91" i="1" s="1"/>
  <c r="AA91" i="1" s="1"/>
  <c r="L91" i="1"/>
  <c r="M90" i="1"/>
  <c r="T90" i="1" s="1"/>
  <c r="AA90" i="1" s="1"/>
  <c r="L90" i="1"/>
  <c r="M89" i="1"/>
  <c r="T89" i="1" s="1"/>
  <c r="U89" i="1" s="1"/>
  <c r="V89" i="1" s="1"/>
  <c r="W89" i="1" s="1"/>
  <c r="AL89" i="1" s="1"/>
  <c r="L89" i="1"/>
  <c r="M88" i="1"/>
  <c r="T88" i="1" s="1"/>
  <c r="AB88" i="1" s="1"/>
  <c r="L88" i="1"/>
  <c r="M87" i="1"/>
  <c r="T87" i="1" s="1"/>
  <c r="L87" i="1"/>
  <c r="M86" i="1"/>
  <c r="T86" i="1" s="1"/>
  <c r="U86" i="1" s="1"/>
  <c r="L86" i="1"/>
  <c r="M85" i="1"/>
  <c r="T85" i="1" s="1"/>
  <c r="U85" i="1" s="1"/>
  <c r="V85" i="1" s="1"/>
  <c r="W85" i="1" s="1"/>
  <c r="AL85" i="1" s="1"/>
  <c r="L85" i="1"/>
  <c r="M84" i="1"/>
  <c r="T84" i="1" s="1"/>
  <c r="U84" i="1" s="1"/>
  <c r="L84" i="1"/>
  <c r="M83" i="1"/>
  <c r="T83" i="1" s="1"/>
  <c r="AA83" i="1" s="1"/>
  <c r="L83" i="1"/>
  <c r="M82" i="1"/>
  <c r="T82" i="1" s="1"/>
  <c r="AA82" i="1" s="1"/>
  <c r="L82" i="1"/>
  <c r="M81" i="1"/>
  <c r="T81" i="1" s="1"/>
  <c r="AA81" i="1" s="1"/>
  <c r="L81" i="1"/>
  <c r="M80" i="1"/>
  <c r="T80" i="1" s="1"/>
  <c r="U80" i="1" s="1"/>
  <c r="V80" i="1" s="1"/>
  <c r="L80" i="1"/>
  <c r="M79" i="1"/>
  <c r="T79" i="1" s="1"/>
  <c r="AA79" i="1" s="1"/>
  <c r="L79" i="1"/>
  <c r="M78" i="1"/>
  <c r="T78" i="1" s="1"/>
  <c r="L78" i="1"/>
  <c r="M77" i="1"/>
  <c r="T77" i="1" s="1"/>
  <c r="U77" i="1" s="1"/>
  <c r="L77" i="1"/>
  <c r="M76" i="1"/>
  <c r="T76" i="1" s="1"/>
  <c r="AA76" i="1" s="1"/>
  <c r="L76" i="1"/>
  <c r="M75" i="1"/>
  <c r="T75" i="1" s="1"/>
  <c r="U75" i="1" s="1"/>
  <c r="V75" i="1" s="1"/>
  <c r="W75" i="1" s="1"/>
  <c r="AL75" i="1" s="1"/>
  <c r="L75" i="1"/>
  <c r="M74" i="1"/>
  <c r="T74" i="1" s="1"/>
  <c r="AB74" i="1" s="1"/>
  <c r="L74" i="1"/>
  <c r="M73" i="1"/>
  <c r="T73" i="1" s="1"/>
  <c r="AA73" i="1" s="1"/>
  <c r="L73" i="1"/>
  <c r="M72" i="1"/>
  <c r="T72" i="1" s="1"/>
  <c r="AB72" i="1" s="1"/>
  <c r="L72" i="1"/>
  <c r="M71" i="1"/>
  <c r="T71" i="1" s="1"/>
  <c r="V71" i="1" s="1"/>
  <c r="W71" i="1" s="1"/>
  <c r="AL71" i="1" s="1"/>
  <c r="L71" i="1"/>
  <c r="M70" i="1"/>
  <c r="T70" i="1" s="1"/>
  <c r="AA70" i="1" s="1"/>
  <c r="L70" i="1"/>
  <c r="M69" i="1"/>
  <c r="T69" i="1" s="1"/>
  <c r="U69" i="1" s="1"/>
  <c r="V69" i="1" s="1"/>
  <c r="W69" i="1" s="1"/>
  <c r="AL69" i="1" s="1"/>
  <c r="L69" i="1"/>
  <c r="M68" i="1"/>
  <c r="T68" i="1" s="1"/>
  <c r="L68" i="1"/>
  <c r="M67" i="1"/>
  <c r="T67" i="1" s="1"/>
  <c r="AA67" i="1" s="1"/>
  <c r="L67" i="1"/>
  <c r="M66" i="1"/>
  <c r="T66" i="1" s="1"/>
  <c r="AA66" i="1" s="1"/>
  <c r="L66" i="1"/>
  <c r="M65" i="1"/>
  <c r="T65" i="1" s="1"/>
  <c r="AA65" i="1" s="1"/>
  <c r="L65" i="1"/>
  <c r="M64" i="1"/>
  <c r="T64" i="1" s="1"/>
  <c r="AA64" i="1" s="1"/>
  <c r="L64" i="1"/>
  <c r="M63" i="1"/>
  <c r="T63" i="1" s="1"/>
  <c r="U63" i="1" s="1"/>
  <c r="L63" i="1"/>
  <c r="M62" i="1"/>
  <c r="T62" i="1" s="1"/>
  <c r="L62" i="1"/>
  <c r="M61" i="1"/>
  <c r="T61" i="1" s="1"/>
  <c r="AB61" i="1" s="1"/>
  <c r="L61" i="1"/>
  <c r="M60" i="1"/>
  <c r="T60" i="1" s="1"/>
  <c r="AB60" i="1" s="1"/>
  <c r="L60" i="1"/>
  <c r="M59" i="1"/>
  <c r="T59" i="1" s="1"/>
  <c r="AA59" i="1" s="1"/>
  <c r="L59" i="1"/>
  <c r="M58" i="1"/>
  <c r="T58" i="1" s="1"/>
  <c r="AB58" i="1" s="1"/>
  <c r="L58" i="1"/>
  <c r="M57" i="1"/>
  <c r="T57" i="1" s="1"/>
  <c r="AA57" i="1" s="1"/>
  <c r="L57" i="1"/>
  <c r="M56" i="1"/>
  <c r="T56" i="1" s="1"/>
  <c r="U56" i="1" s="1"/>
  <c r="L56" i="1"/>
  <c r="F55" i="1"/>
  <c r="E55" i="1"/>
  <c r="M55" i="1" s="1"/>
  <c r="T55" i="1" s="1"/>
  <c r="M54" i="1"/>
  <c r="T54" i="1" s="1"/>
  <c r="U54" i="1" s="1"/>
  <c r="L54" i="1"/>
  <c r="M53" i="1"/>
  <c r="T53" i="1" s="1"/>
  <c r="U53" i="1" s="1"/>
  <c r="V53" i="1" s="1"/>
  <c r="W53" i="1" s="1"/>
  <c r="AL53" i="1" s="1"/>
  <c r="L53" i="1"/>
  <c r="M52" i="1"/>
  <c r="T52" i="1" s="1"/>
  <c r="AA52" i="1" s="1"/>
  <c r="L52" i="1"/>
  <c r="M51" i="1"/>
  <c r="T51" i="1" s="1"/>
  <c r="U51" i="1" s="1"/>
  <c r="L51" i="1"/>
  <c r="M50" i="1"/>
  <c r="T50" i="1" s="1"/>
  <c r="U50" i="1" s="1"/>
  <c r="L50" i="1"/>
  <c r="M49" i="1"/>
  <c r="T49" i="1" s="1"/>
  <c r="AA49" i="1" s="1"/>
  <c r="L49" i="1"/>
  <c r="M48" i="1"/>
  <c r="T48" i="1" s="1"/>
  <c r="L48" i="1"/>
  <c r="M47" i="1"/>
  <c r="T47" i="1" s="1"/>
  <c r="AA47" i="1" s="1"/>
  <c r="L47" i="1"/>
  <c r="M46" i="1"/>
  <c r="T46" i="1" s="1"/>
  <c r="U46" i="1" s="1"/>
  <c r="L46" i="1"/>
  <c r="M45" i="1"/>
  <c r="T45" i="1" s="1"/>
  <c r="U45" i="1" s="1"/>
  <c r="L45" i="1"/>
  <c r="M44" i="1"/>
  <c r="T44" i="1" s="1"/>
  <c r="AA44" i="1" s="1"/>
  <c r="L44" i="1"/>
  <c r="M43" i="1"/>
  <c r="T43" i="1" s="1"/>
  <c r="U43" i="1" s="1"/>
  <c r="L43" i="1"/>
  <c r="M42" i="1"/>
  <c r="T42" i="1" s="1"/>
  <c r="AB42" i="1" s="1"/>
  <c r="L42" i="1"/>
  <c r="M41" i="1"/>
  <c r="T41" i="1" s="1"/>
  <c r="AB41" i="1" s="1"/>
  <c r="L41" i="1"/>
  <c r="M40" i="1"/>
  <c r="T40" i="1" s="1"/>
  <c r="AB40" i="1" s="1"/>
  <c r="L40" i="1"/>
  <c r="M39" i="1"/>
  <c r="T39" i="1" s="1"/>
  <c r="U39" i="1" s="1"/>
  <c r="L39" i="1"/>
  <c r="M38" i="1"/>
  <c r="T38" i="1" s="1"/>
  <c r="AA38" i="1" s="1"/>
  <c r="L38" i="1"/>
  <c r="M37" i="1"/>
  <c r="T37" i="1" s="1"/>
  <c r="AA37" i="1" s="1"/>
  <c r="L37" i="1"/>
  <c r="M36" i="1"/>
  <c r="T36" i="1" s="1"/>
  <c r="U36" i="1" s="1"/>
  <c r="L36" i="1"/>
  <c r="M35" i="1"/>
  <c r="T35" i="1" s="1"/>
  <c r="U35" i="1" s="1"/>
  <c r="L35" i="1"/>
  <c r="M34" i="1"/>
  <c r="T34" i="1" s="1"/>
  <c r="U34" i="1" s="1"/>
  <c r="L34" i="1"/>
  <c r="M33" i="1"/>
  <c r="T33" i="1" s="1"/>
  <c r="AA33" i="1" s="1"/>
  <c r="L33" i="1"/>
  <c r="M32" i="1"/>
  <c r="T32" i="1" s="1"/>
  <c r="AA32" i="1" s="1"/>
  <c r="L32" i="1"/>
  <c r="M31" i="1"/>
  <c r="T31" i="1" s="1"/>
  <c r="AA31" i="1" s="1"/>
  <c r="L31" i="1"/>
  <c r="M30" i="1"/>
  <c r="T30" i="1" s="1"/>
  <c r="AA30" i="1" s="1"/>
  <c r="L30" i="1"/>
  <c r="M29" i="1"/>
  <c r="T29" i="1" s="1"/>
  <c r="U29" i="1" s="1"/>
  <c r="L29" i="1"/>
  <c r="M28" i="1"/>
  <c r="T28" i="1" s="1"/>
  <c r="L28" i="1"/>
  <c r="M27" i="1"/>
  <c r="T27" i="1" s="1"/>
  <c r="AA27" i="1" s="1"/>
  <c r="L27" i="1"/>
  <c r="M26" i="1"/>
  <c r="T26" i="1" s="1"/>
  <c r="AA26" i="1" s="1"/>
  <c r="L26" i="1"/>
  <c r="M25" i="1"/>
  <c r="T25" i="1" s="1"/>
  <c r="AA25" i="1" s="1"/>
  <c r="L25" i="1"/>
  <c r="M24" i="1"/>
  <c r="T24" i="1" s="1"/>
  <c r="L24" i="1"/>
  <c r="M23" i="1"/>
  <c r="T23" i="1" s="1"/>
  <c r="AA23" i="1" s="1"/>
  <c r="L23" i="1"/>
  <c r="M22" i="1"/>
  <c r="T22" i="1" s="1"/>
  <c r="AA22" i="1" s="1"/>
  <c r="L22" i="1"/>
  <c r="M21" i="1"/>
  <c r="T21" i="1" s="1"/>
  <c r="U21" i="1" s="1"/>
  <c r="L21" i="1"/>
  <c r="M20" i="1"/>
  <c r="T20" i="1" s="1"/>
  <c r="U20" i="1" s="1"/>
  <c r="L20" i="1"/>
  <c r="M19" i="1"/>
  <c r="T19" i="1" s="1"/>
  <c r="AA19" i="1" s="1"/>
  <c r="L19" i="1"/>
  <c r="M18" i="1"/>
  <c r="T18" i="1" s="1"/>
  <c r="AA18" i="1" s="1"/>
  <c r="L18" i="1"/>
  <c r="M17" i="1"/>
  <c r="T17" i="1" s="1"/>
  <c r="AA17" i="1" s="1"/>
  <c r="L17" i="1"/>
  <c r="M16" i="1"/>
  <c r="T16" i="1" s="1"/>
  <c r="AA16" i="1" s="1"/>
  <c r="L16" i="1"/>
  <c r="M15" i="1"/>
  <c r="T15" i="1" s="1"/>
  <c r="AA15" i="1" s="1"/>
  <c r="L15" i="1"/>
  <c r="M14" i="1"/>
  <c r="T14" i="1" s="1"/>
  <c r="AA14" i="1" s="1"/>
  <c r="L14" i="1"/>
  <c r="M13" i="1"/>
  <c r="T13" i="1" s="1"/>
  <c r="AA13" i="1" s="1"/>
  <c r="L13" i="1"/>
  <c r="M12" i="1"/>
  <c r="T12" i="1" s="1"/>
  <c r="AA12" i="1" s="1"/>
  <c r="L12" i="1"/>
  <c r="M11" i="1"/>
  <c r="T11" i="1" s="1"/>
  <c r="U11" i="1" s="1"/>
  <c r="L11" i="1"/>
  <c r="M10" i="1"/>
  <c r="T10" i="1" s="1"/>
  <c r="L10" i="1"/>
  <c r="M9" i="1"/>
  <c r="T9" i="1" s="1"/>
  <c r="AA9" i="1" s="1"/>
  <c r="L9" i="1"/>
  <c r="M8" i="1"/>
  <c r="T8" i="1" s="1"/>
  <c r="U8" i="1" s="1"/>
  <c r="L8" i="1"/>
  <c r="M7" i="1"/>
  <c r="T7" i="1" s="1"/>
  <c r="AA7" i="1" s="1"/>
  <c r="L7" i="1"/>
  <c r="M6" i="1"/>
  <c r="L6" i="1"/>
  <c r="AJ5" i="1"/>
  <c r="AI5" i="1"/>
  <c r="AH5" i="1"/>
  <c r="AG5" i="1"/>
  <c r="AF5" i="1"/>
  <c r="AE5" i="1"/>
  <c r="AD5" i="1"/>
  <c r="AC5" i="1"/>
  <c r="S5" i="1"/>
  <c r="R5" i="1"/>
  <c r="Q5" i="1"/>
  <c r="P5" i="1"/>
  <c r="O5" i="1"/>
  <c r="N5" i="1"/>
  <c r="K5" i="1"/>
  <c r="W45" i="1" l="1"/>
  <c r="AL45" i="1" s="1"/>
  <c r="W80" i="1"/>
  <c r="AL80" i="1" s="1"/>
  <c r="X80" i="1"/>
  <c r="AM80" i="1" s="1"/>
  <c r="W92" i="1"/>
  <c r="AL92" i="1" s="1"/>
  <c r="X92" i="1"/>
  <c r="AM92" i="1" s="1"/>
  <c r="W93" i="1"/>
  <c r="AL93" i="1" s="1"/>
  <c r="X93" i="1"/>
  <c r="AM93" i="1" s="1"/>
  <c r="W99" i="1"/>
  <c r="AL99" i="1" s="1"/>
  <c r="X99" i="1"/>
  <c r="AM99" i="1" s="1"/>
  <c r="W103" i="1"/>
  <c r="AL103" i="1" s="1"/>
  <c r="X103" i="1"/>
  <c r="AM103" i="1" s="1"/>
  <c r="AM35" i="1"/>
  <c r="V8" i="1"/>
  <c r="V11" i="1"/>
  <c r="V20" i="1"/>
  <c r="V21" i="1"/>
  <c r="V24" i="1"/>
  <c r="V29" i="1"/>
  <c r="V34" i="1"/>
  <c r="V36" i="1"/>
  <c r="V39" i="1"/>
  <c r="V43" i="1"/>
  <c r="V46" i="1"/>
  <c r="V50" i="1"/>
  <c r="V51" i="1"/>
  <c r="V54" i="1"/>
  <c r="V56" i="1"/>
  <c r="V63" i="1"/>
  <c r="V77" i="1"/>
  <c r="V84" i="1"/>
  <c r="V86" i="1"/>
  <c r="V107" i="1"/>
  <c r="V119" i="1"/>
  <c r="AA96" i="1"/>
  <c r="AB10" i="1"/>
  <c r="AA10" i="1"/>
  <c r="AA34" i="1"/>
  <c r="AA35" i="1"/>
  <c r="AA45" i="1"/>
  <c r="AB48" i="1"/>
  <c r="AA48" i="1"/>
  <c r="AA53" i="1"/>
  <c r="AB68" i="1"/>
  <c r="AA68" i="1"/>
  <c r="AA69" i="1"/>
  <c r="AB71" i="1"/>
  <c r="AA71" i="1"/>
  <c r="AA75" i="1"/>
  <c r="AA80" i="1"/>
  <c r="AA85" i="1"/>
  <c r="AA89" i="1"/>
  <c r="AA92" i="1"/>
  <c r="AA93" i="1"/>
  <c r="AB95" i="1"/>
  <c r="AA95" i="1"/>
  <c r="AB98" i="1"/>
  <c r="AA98" i="1"/>
  <c r="AA99" i="1"/>
  <c r="AA103" i="1"/>
  <c r="AB104" i="1"/>
  <c r="AA104" i="1"/>
  <c r="AA106" i="1"/>
  <c r="AA110" i="1"/>
  <c r="AA112" i="1"/>
  <c r="AB115" i="1"/>
  <c r="AA115" i="1"/>
  <c r="AA126" i="1"/>
  <c r="U113" i="1"/>
  <c r="V113" i="1" s="1"/>
  <c r="W113" i="1" s="1"/>
  <c r="AL113" i="1" s="1"/>
  <c r="U55" i="1"/>
  <c r="U102" i="1"/>
  <c r="V102" i="1" s="1"/>
  <c r="U109" i="1"/>
  <c r="V109" i="1" s="1"/>
  <c r="U58" i="1"/>
  <c r="V58" i="1" s="1"/>
  <c r="U118" i="1"/>
  <c r="V118" i="1" s="1"/>
  <c r="W118" i="1" s="1"/>
  <c r="AL118" i="1" s="1"/>
  <c r="U42" i="1"/>
  <c r="V42" i="1" s="1"/>
  <c r="U78" i="1"/>
  <c r="V78" i="1" s="1"/>
  <c r="W78" i="1" s="1"/>
  <c r="AL78" i="1" s="1"/>
  <c r="AB38" i="1"/>
  <c r="U87" i="1"/>
  <c r="AB28" i="1"/>
  <c r="U28" i="1"/>
  <c r="AB117" i="1"/>
  <c r="U117" i="1"/>
  <c r="AB13" i="1"/>
  <c r="AB62" i="1"/>
  <c r="U62" i="1"/>
  <c r="AB85" i="1"/>
  <c r="AB14" i="1"/>
  <c r="U88" i="1"/>
  <c r="U72" i="1"/>
  <c r="V72" i="1" s="1"/>
  <c r="W72" i="1" s="1"/>
  <c r="AL72" i="1" s="1"/>
  <c r="U74" i="1"/>
  <c r="V74" i="1" s="1"/>
  <c r="W74" i="1" s="1"/>
  <c r="AL74" i="1" s="1"/>
  <c r="U60" i="1"/>
  <c r="U61" i="1"/>
  <c r="U40" i="1"/>
  <c r="V40" i="1" s="1"/>
  <c r="W40" i="1" s="1"/>
  <c r="AL40" i="1" s="1"/>
  <c r="U41" i="1"/>
  <c r="V41" i="1" s="1"/>
  <c r="W41" i="1" s="1"/>
  <c r="AL41" i="1" s="1"/>
  <c r="U128" i="1"/>
  <c r="V128" i="1" s="1"/>
  <c r="W128" i="1" s="1"/>
  <c r="AL128" i="1" s="1"/>
  <c r="AB52" i="1"/>
  <c r="AB120" i="1"/>
  <c r="AB127" i="1"/>
  <c r="AB63" i="1"/>
  <c r="AB102" i="1"/>
  <c r="AB122" i="1"/>
  <c r="AB82" i="1"/>
  <c r="AB29" i="1"/>
  <c r="AB43" i="1"/>
  <c r="AB90" i="1"/>
  <c r="M5" i="1"/>
  <c r="AB73" i="1"/>
  <c r="AB15" i="1"/>
  <c r="AB37" i="1"/>
  <c r="AB55" i="1"/>
  <c r="AB66" i="1"/>
  <c r="AB83" i="1"/>
  <c r="AB101" i="1"/>
  <c r="AB119" i="1"/>
  <c r="AB11" i="1"/>
  <c r="AB16" i="1"/>
  <c r="AB23" i="1"/>
  <c r="AB114" i="1"/>
  <c r="AB24" i="1"/>
  <c r="AB67" i="1"/>
  <c r="AB17" i="1"/>
  <c r="AB31" i="1"/>
  <c r="AB50" i="1"/>
  <c r="AB56" i="1"/>
  <c r="AB79" i="1"/>
  <c r="AB96" i="1"/>
  <c r="AB108" i="1"/>
  <c r="AB126" i="1"/>
  <c r="AB78" i="1"/>
  <c r="AB25" i="1"/>
  <c r="AB84" i="1"/>
  <c r="AB33" i="1"/>
  <c r="AB45" i="1"/>
  <c r="AB86" i="1"/>
  <c r="AB91" i="1"/>
  <c r="AB103" i="1"/>
  <c r="AB116" i="1"/>
  <c r="AB121" i="1"/>
  <c r="AB49" i="1"/>
  <c r="AB39" i="1"/>
  <c r="AB97" i="1"/>
  <c r="AB19" i="1"/>
  <c r="AB34" i="1"/>
  <c r="AB7" i="1"/>
  <c r="AB80" i="1"/>
  <c r="AB109" i="1"/>
  <c r="AB26" i="1"/>
  <c r="AB69" i="1"/>
  <c r="AB8" i="1"/>
  <c r="AB27" i="1"/>
  <c r="AB81" i="1"/>
  <c r="AB110" i="1"/>
  <c r="AB30" i="1"/>
  <c r="AB18" i="1"/>
  <c r="AB20" i="1"/>
  <c r="AB46" i="1"/>
  <c r="AB92" i="1"/>
  <c r="AB44" i="1"/>
  <c r="AB107" i="1"/>
  <c r="AB32" i="1"/>
  <c r="AB57" i="1"/>
  <c r="AB35" i="1"/>
  <c r="AB59" i="1"/>
  <c r="AB64" i="1"/>
  <c r="AB99" i="1"/>
  <c r="AB111" i="1"/>
  <c r="AB125" i="1"/>
  <c r="AB51" i="1"/>
  <c r="AB75" i="1"/>
  <c r="AB9" i="1"/>
  <c r="AB21" i="1"/>
  <c r="AB47" i="1"/>
  <c r="AB53" i="1"/>
  <c r="AB93" i="1"/>
  <c r="AB36" i="1"/>
  <c r="AB76" i="1"/>
  <c r="AB105" i="1"/>
  <c r="AB112" i="1"/>
  <c r="AB65" i="1"/>
  <c r="AB100" i="1"/>
  <c r="AB123" i="1"/>
  <c r="AB129" i="1"/>
  <c r="AB22" i="1"/>
  <c r="AB94" i="1"/>
  <c r="AB54" i="1"/>
  <c r="AB77" i="1"/>
  <c r="AB106" i="1"/>
  <c r="AB113" i="1"/>
  <c r="AB124" i="1"/>
  <c r="AB130" i="1"/>
  <c r="F5" i="1"/>
  <c r="AB12" i="1"/>
  <c r="AB70" i="1"/>
  <c r="AB87" i="1"/>
  <c r="AB89" i="1"/>
  <c r="T6" i="1"/>
  <c r="AA6" i="1" s="1"/>
  <c r="L55" i="1"/>
  <c r="E5" i="1"/>
  <c r="L96" i="1"/>
  <c r="W109" i="1" l="1"/>
  <c r="AL109" i="1" s="1"/>
  <c r="X109" i="1"/>
  <c r="AM109" i="1" s="1"/>
  <c r="W119" i="1"/>
  <c r="AL119" i="1" s="1"/>
  <c r="X119" i="1"/>
  <c r="AM119" i="1" s="1"/>
  <c r="W86" i="1"/>
  <c r="AL86" i="1" s="1"/>
  <c r="X86" i="1"/>
  <c r="AM86" i="1" s="1"/>
  <c r="W77" i="1"/>
  <c r="AL77" i="1" s="1"/>
  <c r="X77" i="1"/>
  <c r="AM77" i="1" s="1"/>
  <c r="W56" i="1"/>
  <c r="AL56" i="1" s="1"/>
  <c r="X56" i="1"/>
  <c r="AM56" i="1" s="1"/>
  <c r="W51" i="1"/>
  <c r="AL51" i="1" s="1"/>
  <c r="X51" i="1"/>
  <c r="AM51" i="1" s="1"/>
  <c r="W46" i="1"/>
  <c r="AL46" i="1" s="1"/>
  <c r="X46" i="1"/>
  <c r="AM46" i="1" s="1"/>
  <c r="W39" i="1"/>
  <c r="AL39" i="1" s="1"/>
  <c r="X39" i="1"/>
  <c r="AM39" i="1" s="1"/>
  <c r="W34" i="1"/>
  <c r="AL34" i="1" s="1"/>
  <c r="X34" i="1"/>
  <c r="AM34" i="1" s="1"/>
  <c r="W24" i="1"/>
  <c r="AL24" i="1" s="1"/>
  <c r="X24" i="1"/>
  <c r="AM24" i="1" s="1"/>
  <c r="W20" i="1"/>
  <c r="AL20" i="1" s="1"/>
  <c r="X20" i="1"/>
  <c r="AM20" i="1" s="1"/>
  <c r="W8" i="1"/>
  <c r="AL8" i="1" s="1"/>
  <c r="X8" i="1"/>
  <c r="W42" i="1"/>
  <c r="AL42" i="1" s="1"/>
  <c r="X42" i="1"/>
  <c r="AM42" i="1" s="1"/>
  <c r="W58" i="1"/>
  <c r="AL58" i="1" s="1"/>
  <c r="X58" i="1"/>
  <c r="AM58" i="1" s="1"/>
  <c r="W102" i="1"/>
  <c r="AL102" i="1" s="1"/>
  <c r="X102" i="1"/>
  <c r="AM102" i="1" s="1"/>
  <c r="W107" i="1"/>
  <c r="AL107" i="1" s="1"/>
  <c r="X107" i="1"/>
  <c r="AM107" i="1" s="1"/>
  <c r="W84" i="1"/>
  <c r="AL84" i="1" s="1"/>
  <c r="X84" i="1"/>
  <c r="AM84" i="1" s="1"/>
  <c r="W63" i="1"/>
  <c r="AL63" i="1" s="1"/>
  <c r="X63" i="1"/>
  <c r="AM63" i="1" s="1"/>
  <c r="W54" i="1"/>
  <c r="AL54" i="1" s="1"/>
  <c r="X54" i="1"/>
  <c r="AM54" i="1" s="1"/>
  <c r="W50" i="1"/>
  <c r="AL50" i="1" s="1"/>
  <c r="X50" i="1"/>
  <c r="AM50" i="1" s="1"/>
  <c r="W43" i="1"/>
  <c r="AL43" i="1" s="1"/>
  <c r="X43" i="1"/>
  <c r="AM43" i="1" s="1"/>
  <c r="W36" i="1"/>
  <c r="AL36" i="1" s="1"/>
  <c r="X36" i="1"/>
  <c r="AM36" i="1" s="1"/>
  <c r="W29" i="1"/>
  <c r="AL29" i="1" s="1"/>
  <c r="X29" i="1"/>
  <c r="AM29" i="1" s="1"/>
  <c r="W21" i="1"/>
  <c r="AL21" i="1" s="1"/>
  <c r="X21" i="1"/>
  <c r="AM21" i="1" s="1"/>
  <c r="W11" i="1"/>
  <c r="AL11" i="1" s="1"/>
  <c r="X11" i="1"/>
  <c r="AM11" i="1" s="1"/>
  <c r="AA43" i="1"/>
  <c r="AA63" i="1"/>
  <c r="AA21" i="1"/>
  <c r="AA107" i="1"/>
  <c r="AA54" i="1"/>
  <c r="AA36" i="1"/>
  <c r="AA11" i="1"/>
  <c r="AA51" i="1"/>
  <c r="AA46" i="1"/>
  <c r="V61" i="1"/>
  <c r="V88" i="1"/>
  <c r="V117" i="1"/>
  <c r="V28" i="1"/>
  <c r="V87" i="1"/>
  <c r="V55" i="1"/>
  <c r="V60" i="1"/>
  <c r="V62" i="1"/>
  <c r="AA119" i="1"/>
  <c r="AA86" i="1"/>
  <c r="AA84" i="1"/>
  <c r="AA77" i="1"/>
  <c r="AA56" i="1"/>
  <c r="AA50" i="1"/>
  <c r="AA39" i="1"/>
  <c r="AA29" i="1"/>
  <c r="AA20" i="1"/>
  <c r="AA8" i="1"/>
  <c r="AA24" i="1"/>
  <c r="AA41" i="1"/>
  <c r="AA61" i="1"/>
  <c r="AA74" i="1"/>
  <c r="AA78" i="1"/>
  <c r="AA118" i="1"/>
  <c r="AA109" i="1"/>
  <c r="AA128" i="1"/>
  <c r="AA40" i="1"/>
  <c r="AA72" i="1"/>
  <c r="AA42" i="1"/>
  <c r="AA58" i="1"/>
  <c r="AA102" i="1"/>
  <c r="AA113" i="1"/>
  <c r="L5" i="1"/>
  <c r="U5" i="1"/>
  <c r="T5" i="1"/>
  <c r="AB6" i="1"/>
  <c r="X62" i="1" l="1"/>
  <c r="AM62" i="1" s="1"/>
  <c r="X55" i="1"/>
  <c r="AM55" i="1" s="1"/>
  <c r="X28" i="1"/>
  <c r="AM28" i="1" s="1"/>
  <c r="X88" i="1"/>
  <c r="AM88" i="1" s="1"/>
  <c r="X60" i="1"/>
  <c r="AM60" i="1" s="1"/>
  <c r="X87" i="1"/>
  <c r="AM87" i="1" s="1"/>
  <c r="X117" i="1"/>
  <c r="AM117" i="1" s="1"/>
  <c r="X61" i="1"/>
  <c r="AM61" i="1" s="1"/>
  <c r="AM8" i="1"/>
  <c r="X5" i="1"/>
  <c r="AA28" i="1"/>
  <c r="AA88" i="1"/>
  <c r="V5" i="1"/>
  <c r="AA62" i="1"/>
  <c r="AA60" i="1"/>
  <c r="AA55" i="1"/>
  <c r="AA87" i="1"/>
  <c r="AA117" i="1"/>
  <c r="AM5" i="1" l="1"/>
  <c r="AM1" i="1" s="1"/>
  <c r="W61" i="1"/>
  <c r="AL61" i="1" s="1"/>
  <c r="W117" i="1"/>
  <c r="AL117" i="1" s="1"/>
  <c r="W87" i="1"/>
  <c r="AL87" i="1" s="1"/>
  <c r="W60" i="1"/>
  <c r="AL60" i="1" s="1"/>
  <c r="W88" i="1"/>
  <c r="AL88" i="1" s="1"/>
  <c r="W28" i="1"/>
  <c r="W55" i="1"/>
  <c r="AL55" i="1" s="1"/>
  <c r="W62" i="1"/>
  <c r="AL62" i="1" s="1"/>
  <c r="W5" i="1" l="1"/>
  <c r="AL28" i="1"/>
  <c r="AL5" i="1" s="1"/>
  <c r="AL1" i="1" s="1"/>
</calcChain>
</file>

<file path=xl/sharedStrings.xml><?xml version="1.0" encoding="utf-8"?>
<sst xmlns="http://schemas.openxmlformats.org/spreadsheetml/2006/main" count="492" uniqueCount="199">
  <si>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</si>
  <si>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</si>
  <si>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</si>
  <si>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</si>
  <si>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</si>
  <si>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</si>
  <si>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</si>
  <si>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</si>
  <si>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</si>
  <si>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</si>
  <si>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</si>
  <si>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</si>
  <si>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</si>
  <si>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</si>
  <si>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</si>
  <si>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</si>
  <si>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</si>
  <si>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</si>
  <si>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</si>
  <si>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</si>
  <si>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</si>
  <si>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</si>
  <si>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</si>
  <si>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04,10,</t>
  </si>
  <si>
    <t>05,10,</t>
  </si>
  <si>
    <t>10,10,</t>
  </si>
  <si>
    <t>11,10,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</si>
  <si>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</si>
  <si>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</si>
  <si>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</si>
  <si>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</si>
  <si>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</si>
  <si>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</si>
  <si>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</si>
  <si>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</si>
  <si>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</si>
  <si>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</si>
  <si>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</si>
  <si>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</si>
  <si>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</si>
  <si>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</si>
  <si>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</si>
  <si>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</si>
  <si>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</si>
  <si>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</si>
  <si>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</si>
  <si>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</si>
  <si>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</si>
  <si>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</si>
  <si>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</si>
  <si>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</si>
  <si>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</si>
  <si>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</si>
  <si>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</si>
  <si>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</si>
  <si>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</si>
  <si>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</si>
  <si>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</si>
  <si>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</si>
  <si>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</si>
  <si>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</si>
  <si>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</si>
  <si>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</si>
  <si>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</si>
  <si>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</si>
  <si>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</si>
  <si>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</si>
  <si>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</si>
  <si>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</si>
  <si>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</si>
  <si>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</si>
  <si>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</si>
  <si>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</si>
  <si>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</si>
  <si>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</si>
  <si>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</si>
  <si>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ВНИМАНИЕ / матрица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</si>
  <si>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</si>
  <si>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</si>
  <si>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</si>
  <si>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</si>
  <si>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</si>
  <si>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</si>
  <si>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</si>
  <si>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</si>
  <si>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</si>
  <si>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</si>
  <si>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</si>
  <si>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</si>
  <si>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</si>
  <si>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</si>
  <si>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</si>
  <si>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</si>
  <si>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</si>
  <si>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</si>
  <si>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</si>
  <si>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</si>
  <si>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</si>
  <si>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нужно увеличить продажи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</si>
  <si>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</si>
  <si>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</si>
  <si>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</si>
  <si>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</si>
  <si>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</si>
  <si>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</si>
  <si>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</si>
  <si>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</si>
  <si>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</si>
  <si>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</si>
  <si>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</si>
  <si>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</si>
  <si>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</si>
  <si>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</si>
  <si>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</si>
  <si>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</si>
  <si>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</si>
  <si>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</si>
  <si>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</si>
  <si>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</si>
  <si>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</si>
  <si>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</si>
  <si>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</si>
  <si>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</si>
  <si>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</si>
  <si>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</si>
  <si>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</si>
  <si>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</si>
  <si>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</si>
  <si>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</si>
  <si>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</si>
  <si>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</si>
  <si>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</si>
  <si>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</si>
  <si>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</si>
  <si>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</si>
  <si>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</si>
  <si>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</si>
  <si>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</si>
  <si>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</si>
  <si>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</si>
  <si>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</si>
  <si>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</si>
  <si>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</si>
  <si>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</si>
  <si>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</si>
  <si>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</si>
  <si>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</si>
  <si>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</si>
  <si>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</si>
  <si>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</si>
  <si>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</si>
  <si>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</si>
  <si>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</si>
  <si>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</si>
  <si>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</si>
  <si>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</si>
  <si>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</si>
  <si>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</si>
  <si>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</si>
  <si>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</si>
  <si>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</si>
  <si>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</si>
  <si>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</si>
  <si>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</si>
  <si>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</si>
  <si>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</si>
  <si>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</si>
  <si>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</si>
  <si>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</si>
  <si>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</si>
  <si>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</si>
  <si>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</si>
  <si>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</si>
  <si>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</si>
  <si>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</si>
  <si>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</si>
  <si>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</si>
  <si>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</si>
  <si>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</si>
  <si>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</si>
  <si>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</si>
  <si>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48шт в уценке (07,10,26) / 298шт списано (29,09,26)</t>
  </si>
  <si>
    <t>356шт в уценку (07,10,26) / 85шт в уценку (01,10,26)</t>
  </si>
  <si>
    <t>38шт в уценке (07,10,26)</t>
  </si>
  <si>
    <r>
      <t xml:space="preserve">нужно увеличить продажи!!! </t>
    </r>
    <r>
      <rPr>
        <sz val="10"/>
        <rFont val="Arial"/>
        <family val="2"/>
        <charset val="204"/>
      </rPr>
      <t>/ 28кг в уценке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</si>
  <si>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</si>
  <si>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вывод</t>
  </si>
  <si>
    <t>итого</t>
  </si>
  <si>
    <t>ТК</t>
  </si>
  <si>
    <t>Воронков</t>
  </si>
  <si>
    <t>ТК ком</t>
  </si>
  <si>
    <t>1200шт заказано под ЮТЛ (09,10,26)</t>
  </si>
  <si>
    <t>1500шт заказано под ЮТЛ (09,10,26) / 1000шт под сети (Хмель 01,09,26)</t>
  </si>
  <si>
    <t>!!! / НЕДОГРУЗ / матрица</t>
  </si>
  <si>
    <t>заказ</t>
  </si>
  <si>
    <t>12,10,</t>
  </si>
  <si>
    <t>13,10,</t>
  </si>
  <si>
    <t>дн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</si>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</sst>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8" borderId="1" xfId="1" applyNumberFormat="1" applyFont="1" applyFill="1"/>
    <xf numFmtId="164" fontId="1" fillId="4" borderId="2" xfId="1" applyNumberFormat="1" applyFill="1" applyBorder="1"/>
    <xf numFmtId="164" fontId="1" fillId="8" borderId="2" xfId="1" applyNumberFormat="1" applyFill="1" applyBorder="1"/>
    <xf numFmtId="164" fontId="1" fillId="8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164" fontId="1" fillId="8" borderId="1" xfId="1" applyNumberFormat="1" applyFill="1" applyBorder="1"/>
    <xf numFmtId="164" fontId="1" fillId="4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081026%20&#1076;&#1085;&#1088;&#1089;&#1095;%20&#1087;&#1086;&#1082;%20&#1082;&#1080;%20%20&#1087;&#1088;&#1072;&#1074;&#1083;%20(&#1061;&#1084;&#1077;&#1083;&#11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  <cell r="V3" t="str">
            <v>кон ост</v>
          </cell>
        </row>
        <row r="4">
          <cell r="O4" t="str">
            <v>03,10,</v>
          </cell>
          <cell r="P4" t="str">
            <v>04,10,</v>
          </cell>
          <cell r="Q4" t="str">
            <v>05,10,</v>
          </cell>
          <cell r="R4" t="str">
            <v>10,10,</v>
          </cell>
          <cell r="S4" t="str">
            <v>11,10,</v>
          </cell>
          <cell r="T4" t="str">
            <v>08,10,</v>
          </cell>
        </row>
        <row r="5">
          <cell r="E5">
            <v>63791.279000000031</v>
          </cell>
          <cell r="F5">
            <v>36996.123000000007</v>
          </cell>
          <cell r="K5">
            <v>69359.288999999975</v>
          </cell>
          <cell r="L5">
            <v>-5568.0100000000011</v>
          </cell>
          <cell r="M5">
            <v>59481.800000000032</v>
          </cell>
          <cell r="N5">
            <v>4309.4790000000003</v>
          </cell>
          <cell r="O5">
            <v>16553.145117016</v>
          </cell>
          <cell r="P5">
            <v>17042.583520984008</v>
          </cell>
          <cell r="Q5">
            <v>14912.667266</v>
          </cell>
          <cell r="R5">
            <v>16227.971372570002</v>
          </cell>
          <cell r="S5">
            <v>16445.154153429998</v>
          </cell>
          <cell r="T5">
            <v>11896.36</v>
          </cell>
          <cell r="U5">
            <v>34626.250489999984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1395.1389999999999</v>
          </cell>
          <cell r="D6">
            <v>1051.8499999999999</v>
          </cell>
          <cell r="E6">
            <v>1934.5360000000001</v>
          </cell>
          <cell r="F6">
            <v>-16.420999999999999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2090.078</v>
          </cell>
          <cell r="L6">
            <v>-155.54199999999992</v>
          </cell>
          <cell r="M6">
            <v>1934.5360000000001</v>
          </cell>
          <cell r="O6">
            <v>674.8</v>
          </cell>
          <cell r="P6">
            <v>725.2</v>
          </cell>
          <cell r="R6">
            <v>1697.5</v>
          </cell>
          <cell r="S6">
            <v>1802.5</v>
          </cell>
          <cell r="T6">
            <v>386.90719999999999</v>
          </cell>
          <cell r="V6">
            <v>12.622093876774585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2490.7060000000001</v>
          </cell>
          <cell r="D7">
            <v>141.35499999999999</v>
          </cell>
          <cell r="E7">
            <v>920.52300000000002</v>
          </cell>
          <cell r="F7">
            <v>1395.5809999999999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948.93600000000004</v>
          </cell>
          <cell r="L7">
            <v>-28.413000000000011</v>
          </cell>
          <cell r="M7">
            <v>794.79700000000003</v>
          </cell>
          <cell r="N7">
            <v>125.726</v>
          </cell>
          <cell r="O7">
            <v>0</v>
          </cell>
          <cell r="Q7">
            <v>0</v>
          </cell>
          <cell r="R7">
            <v>339.5</v>
          </cell>
          <cell r="S7">
            <v>360.5</v>
          </cell>
          <cell r="T7">
            <v>158.95940000000002</v>
          </cell>
          <cell r="V7">
            <v>13.183120973028332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4651.2690000000002</v>
          </cell>
          <cell r="D8">
            <v>1904.973</v>
          </cell>
          <cell r="E8">
            <v>2991.297</v>
          </cell>
          <cell r="F8">
            <v>2503.3679999999999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3110.694</v>
          </cell>
          <cell r="L8">
            <v>-119.39699999999993</v>
          </cell>
          <cell r="M8">
            <v>2411.6089999999999</v>
          </cell>
          <cell r="N8">
            <v>579.68799999999999</v>
          </cell>
          <cell r="O8">
            <v>771.19999999999993</v>
          </cell>
          <cell r="P8">
            <v>828.80000000000007</v>
          </cell>
          <cell r="Q8">
            <v>300</v>
          </cell>
          <cell r="R8">
            <v>509.05608729999989</v>
          </cell>
          <cell r="S8">
            <v>540.54409269999996</v>
          </cell>
          <cell r="T8">
            <v>482.3218</v>
          </cell>
          <cell r="U8">
            <v>334.89342000000079</v>
          </cell>
          <cell r="V8">
            <v>12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1</v>
          </cell>
          <cell r="D9">
            <v>40</v>
          </cell>
          <cell r="E9">
            <v>6</v>
          </cell>
          <cell r="F9">
            <v>35</v>
          </cell>
          <cell r="G9">
            <v>0.4</v>
          </cell>
          <cell r="H9">
            <v>50</v>
          </cell>
          <cell r="I9" t="str">
            <v>матрица</v>
          </cell>
          <cell r="K9">
            <v>6</v>
          </cell>
          <cell r="L9">
            <v>0</v>
          </cell>
          <cell r="M9">
            <v>6</v>
          </cell>
          <cell r="O9">
            <v>0</v>
          </cell>
          <cell r="Q9">
            <v>0</v>
          </cell>
          <cell r="R9">
            <v>0</v>
          </cell>
          <cell r="T9">
            <v>1.2</v>
          </cell>
          <cell r="V9">
            <v>29.166666666666668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4380</v>
          </cell>
          <cell r="D10">
            <v>6274</v>
          </cell>
          <cell r="E10">
            <v>1547</v>
          </cell>
          <cell r="F10">
            <v>5031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1700</v>
          </cell>
          <cell r="L10">
            <v>-153</v>
          </cell>
          <cell r="M10">
            <v>1547</v>
          </cell>
          <cell r="O10">
            <v>0</v>
          </cell>
          <cell r="Q10">
            <v>0</v>
          </cell>
          <cell r="R10">
            <v>0</v>
          </cell>
          <cell r="T10">
            <v>309.39999999999998</v>
          </cell>
          <cell r="V10">
            <v>16.260504201680675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4989</v>
          </cell>
          <cell r="D11">
            <v>2402</v>
          </cell>
          <cell r="E11">
            <v>2361</v>
          </cell>
          <cell r="F11">
            <v>2717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2532</v>
          </cell>
          <cell r="L11">
            <v>-171</v>
          </cell>
          <cell r="M11">
            <v>2361</v>
          </cell>
          <cell r="O11">
            <v>0</v>
          </cell>
          <cell r="Q11">
            <v>100</v>
          </cell>
          <cell r="R11">
            <v>0</v>
          </cell>
          <cell r="T11">
            <v>472.2</v>
          </cell>
          <cell r="U11">
            <v>2849.3999999999996</v>
          </cell>
          <cell r="V11">
            <v>12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76</v>
          </cell>
          <cell r="D12">
            <v>168</v>
          </cell>
          <cell r="E12">
            <v>89</v>
          </cell>
          <cell r="F12">
            <v>145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96</v>
          </cell>
          <cell r="L12">
            <v>-7</v>
          </cell>
          <cell r="M12">
            <v>89</v>
          </cell>
          <cell r="O12">
            <v>0</v>
          </cell>
          <cell r="Q12">
            <v>0</v>
          </cell>
          <cell r="R12">
            <v>71.186000000000035</v>
          </cell>
          <cell r="T12">
            <v>17.8</v>
          </cell>
          <cell r="V12">
            <v>12.145280898876406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24</v>
          </cell>
          <cell r="D13">
            <v>103</v>
          </cell>
          <cell r="E13">
            <v>24</v>
          </cell>
          <cell r="F13">
            <v>90</v>
          </cell>
          <cell r="G13">
            <v>0.3</v>
          </cell>
          <cell r="H13">
            <v>40</v>
          </cell>
          <cell r="I13" t="str">
            <v>матрица</v>
          </cell>
          <cell r="K13">
            <v>37</v>
          </cell>
          <cell r="L13">
            <v>-13</v>
          </cell>
          <cell r="M13">
            <v>24</v>
          </cell>
          <cell r="O13">
            <v>20</v>
          </cell>
          <cell r="Q13">
            <v>0</v>
          </cell>
          <cell r="R13">
            <v>0</v>
          </cell>
          <cell r="T13">
            <v>4.8</v>
          </cell>
          <cell r="V13">
            <v>22.916666666666668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114</v>
          </cell>
          <cell r="D14">
            <v>155</v>
          </cell>
          <cell r="E14">
            <v>195</v>
          </cell>
          <cell r="F14">
            <v>43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203</v>
          </cell>
          <cell r="L14">
            <v>-8</v>
          </cell>
          <cell r="M14">
            <v>195</v>
          </cell>
          <cell r="O14">
            <v>89.202000000000339</v>
          </cell>
          <cell r="Q14">
            <v>312.60000000000002</v>
          </cell>
          <cell r="R14">
            <v>39.672999999999988</v>
          </cell>
          <cell r="S14">
            <v>42.127000000000002</v>
          </cell>
          <cell r="T14">
            <v>39</v>
          </cell>
          <cell r="V14">
            <v>13.502615384615392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5075.2790000000005</v>
          </cell>
          <cell r="D15">
            <v>1650.856</v>
          </cell>
          <cell r="E15">
            <v>4259.6989999999996</v>
          </cell>
          <cell r="F15">
            <v>944.47500000000002</v>
          </cell>
          <cell r="G15">
            <v>1</v>
          </cell>
          <cell r="H15">
            <v>70</v>
          </cell>
          <cell r="I15" t="str">
            <v>матрица</v>
          </cell>
          <cell r="K15">
            <v>4227.1530000000002</v>
          </cell>
          <cell r="L15">
            <v>32.545999999999367</v>
          </cell>
          <cell r="M15">
            <v>3191.0719999999997</v>
          </cell>
          <cell r="N15">
            <v>1068.627</v>
          </cell>
          <cell r="O15">
            <v>1630.57708</v>
          </cell>
          <cell r="P15">
            <v>1752.36292</v>
          </cell>
          <cell r="Q15">
            <v>1731.2014000000011</v>
          </cell>
          <cell r="R15">
            <v>970</v>
          </cell>
          <cell r="S15">
            <v>1030</v>
          </cell>
          <cell r="T15">
            <v>638.21439999999996</v>
          </cell>
          <cell r="V15">
            <v>12.626816944274529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4981.5519999999997</v>
          </cell>
          <cell r="D16">
            <v>3296.893</v>
          </cell>
          <cell r="E16">
            <v>3989.2620000000002</v>
          </cell>
          <cell r="F16">
            <v>2551.7669999999998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4134.6670000000004</v>
          </cell>
          <cell r="L16">
            <v>-145.4050000000002</v>
          </cell>
          <cell r="M16">
            <v>2667.4949999999999</v>
          </cell>
          <cell r="N16">
            <v>1321.7670000000001</v>
          </cell>
          <cell r="O16">
            <v>223.361861664</v>
          </cell>
          <cell r="P16">
            <v>240.044490336</v>
          </cell>
          <cell r="Q16">
            <v>1923.549</v>
          </cell>
          <cell r="R16">
            <v>1212.5</v>
          </cell>
          <cell r="S16">
            <v>1287.5</v>
          </cell>
          <cell r="T16">
            <v>533.49900000000002</v>
          </cell>
          <cell r="V16">
            <v>13.94327328073717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95.332999999999998</v>
          </cell>
          <cell r="D17">
            <v>293.92599999999999</v>
          </cell>
          <cell r="E17">
            <v>133.02500000000001</v>
          </cell>
          <cell r="F17">
            <v>198.90199999999999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284.14999999999998</v>
          </cell>
          <cell r="L17">
            <v>-151.12499999999997</v>
          </cell>
          <cell r="M17">
            <v>133.02500000000001</v>
          </cell>
          <cell r="O17">
            <v>248.33245777600001</v>
          </cell>
          <cell r="P17">
            <v>266.88011022400002</v>
          </cell>
          <cell r="Q17">
            <v>0</v>
          </cell>
          <cell r="R17">
            <v>0</v>
          </cell>
          <cell r="T17">
            <v>26.605</v>
          </cell>
          <cell r="V17">
            <v>26.841366961097535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G18">
            <v>0</v>
          </cell>
          <cell r="I18" t="str">
            <v>матрица</v>
          </cell>
          <cell r="K18">
            <v>0.8</v>
          </cell>
          <cell r="L18">
            <v>-0.8</v>
          </cell>
          <cell r="M18">
            <v>0</v>
          </cell>
          <cell r="O18">
            <v>0</v>
          </cell>
          <cell r="Q18">
            <v>0</v>
          </cell>
          <cell r="R18">
            <v>0</v>
          </cell>
          <cell r="T18">
            <v>0</v>
          </cell>
          <cell r="V18" t="e">
            <v>#DIV/0!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11.272</v>
          </cell>
          <cell r="D19">
            <v>2.1720000000000002</v>
          </cell>
          <cell r="E19">
            <v>1.81</v>
          </cell>
          <cell r="F19">
            <v>9.4619999999999997</v>
          </cell>
          <cell r="G19">
            <v>1</v>
          </cell>
          <cell r="H19">
            <v>180</v>
          </cell>
          <cell r="I19" t="str">
            <v>матрица</v>
          </cell>
          <cell r="K19">
            <v>3.75</v>
          </cell>
          <cell r="L19">
            <v>-1.94</v>
          </cell>
          <cell r="M19">
            <v>1.81</v>
          </cell>
          <cell r="O19">
            <v>0</v>
          </cell>
          <cell r="Q19">
            <v>0</v>
          </cell>
          <cell r="R19">
            <v>0</v>
          </cell>
          <cell r="T19">
            <v>0.36199999999999999</v>
          </cell>
          <cell r="V19">
            <v>26.138121546961326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2985.625</v>
          </cell>
          <cell r="D20">
            <v>2840.788</v>
          </cell>
          <cell r="E20">
            <v>4569.9880000000003</v>
          </cell>
          <cell r="F20">
            <v>16.489999999999998</v>
          </cell>
          <cell r="G20">
            <v>1</v>
          </cell>
          <cell r="H20">
            <v>60</v>
          </cell>
          <cell r="I20" t="str">
            <v>матрица</v>
          </cell>
          <cell r="K20">
            <v>4685.46</v>
          </cell>
          <cell r="L20">
            <v>-115.47199999999975</v>
          </cell>
          <cell r="M20">
            <v>4569.9880000000003</v>
          </cell>
          <cell r="O20">
            <v>1687</v>
          </cell>
          <cell r="P20">
            <v>1813</v>
          </cell>
          <cell r="R20">
            <v>1970.41031286</v>
          </cell>
          <cell r="S20">
            <v>2092.2913631400002</v>
          </cell>
          <cell r="T20">
            <v>913.99760000000003</v>
          </cell>
          <cell r="U20">
            <v>3388.7795239999996</v>
          </cell>
          <cell r="V20">
            <v>12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201.005</v>
          </cell>
          <cell r="D21">
            <v>622.226</v>
          </cell>
          <cell r="E21">
            <v>334.70800000000003</v>
          </cell>
          <cell r="F21">
            <v>408.46800000000002</v>
          </cell>
          <cell r="G21">
            <v>1</v>
          </cell>
          <cell r="H21">
            <v>70</v>
          </cell>
          <cell r="I21" t="str">
            <v>матрица</v>
          </cell>
          <cell r="K21">
            <v>359.17399999999998</v>
          </cell>
          <cell r="L21">
            <v>-24.465999999999951</v>
          </cell>
          <cell r="M21">
            <v>334.70800000000003</v>
          </cell>
          <cell r="O21">
            <v>72.3</v>
          </cell>
          <cell r="P21">
            <v>77.7</v>
          </cell>
          <cell r="Q21">
            <v>0</v>
          </cell>
          <cell r="R21">
            <v>0</v>
          </cell>
          <cell r="T21">
            <v>66.941600000000008</v>
          </cell>
          <cell r="U21">
            <v>244.83120000000014</v>
          </cell>
          <cell r="V21">
            <v>12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732.36800000000005</v>
          </cell>
          <cell r="D22">
            <v>921.99300000000005</v>
          </cell>
          <cell r="E22">
            <v>1112.6590000000001</v>
          </cell>
          <cell r="F22">
            <v>297.17899999999997</v>
          </cell>
          <cell r="G22">
            <v>1</v>
          </cell>
          <cell r="H22">
            <v>70</v>
          </cell>
          <cell r="I22" t="str">
            <v>матрица</v>
          </cell>
          <cell r="K22">
            <v>1229.808</v>
          </cell>
          <cell r="L22">
            <v>-117.14899999999989</v>
          </cell>
          <cell r="M22">
            <v>1033.6010000000001</v>
          </cell>
          <cell r="N22">
            <v>79.058000000000007</v>
          </cell>
          <cell r="O22">
            <v>723</v>
          </cell>
          <cell r="P22">
            <v>777</v>
          </cell>
          <cell r="Q22">
            <v>1500</v>
          </cell>
          <cell r="R22">
            <v>363.75</v>
          </cell>
          <cell r="S22">
            <v>386.25</v>
          </cell>
          <cell r="T22">
            <v>206.72020000000003</v>
          </cell>
          <cell r="V22">
            <v>19.578052846311099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M23">
            <v>0</v>
          </cell>
          <cell r="O23">
            <v>0</v>
          </cell>
          <cell r="Q23">
            <v>0</v>
          </cell>
          <cell r="R23">
            <v>0</v>
          </cell>
          <cell r="T23">
            <v>0</v>
          </cell>
          <cell r="V23" t="e">
            <v>#DIV/0!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3033.3960000000002</v>
          </cell>
          <cell r="D24">
            <v>279.52499999999998</v>
          </cell>
          <cell r="E24">
            <v>2123.3000000000002</v>
          </cell>
          <cell r="F24">
            <v>656.66499999999996</v>
          </cell>
          <cell r="G24">
            <v>1</v>
          </cell>
          <cell r="H24">
            <v>70</v>
          </cell>
          <cell r="I24" t="str">
            <v>матрица</v>
          </cell>
          <cell r="K24">
            <v>2137.7220000000002</v>
          </cell>
          <cell r="L24">
            <v>-14.422000000000025</v>
          </cell>
          <cell r="M24">
            <v>1886.5780000000002</v>
          </cell>
          <cell r="N24">
            <v>236.72200000000001</v>
          </cell>
          <cell r="O24">
            <v>819.4</v>
          </cell>
          <cell r="P24">
            <v>880.6</v>
          </cell>
          <cell r="Q24">
            <v>1800</v>
          </cell>
          <cell r="R24">
            <v>242.5</v>
          </cell>
          <cell r="S24">
            <v>257.5</v>
          </cell>
          <cell r="T24">
            <v>377.31560000000002</v>
          </cell>
          <cell r="V24">
            <v>12.341564992277021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-1.0999999999999999E-2</v>
          </cell>
          <cell r="D25">
            <v>30.404</v>
          </cell>
          <cell r="E25">
            <v>12.276999999999999</v>
          </cell>
          <cell r="F25">
            <v>17.388999999999999</v>
          </cell>
          <cell r="G25">
            <v>1</v>
          </cell>
          <cell r="H25">
            <v>40</v>
          </cell>
          <cell r="I25" t="str">
            <v>матрица</v>
          </cell>
          <cell r="K25">
            <v>12.2</v>
          </cell>
          <cell r="L25">
            <v>7.6999999999999957E-2</v>
          </cell>
          <cell r="M25">
            <v>12.276999999999999</v>
          </cell>
          <cell r="O25">
            <v>80</v>
          </cell>
          <cell r="Q25">
            <v>20</v>
          </cell>
          <cell r="R25">
            <v>0</v>
          </cell>
          <cell r="T25">
            <v>2.4554</v>
          </cell>
          <cell r="V25">
            <v>47.808503706117129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O26">
            <v>0</v>
          </cell>
          <cell r="Q26">
            <v>0</v>
          </cell>
          <cell r="R26">
            <v>0</v>
          </cell>
          <cell r="T26">
            <v>0</v>
          </cell>
          <cell r="V26" t="e">
            <v>#DIV/0!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G27">
            <v>0</v>
          </cell>
          <cell r="I27" t="str">
            <v>НЕДОГРУЗ / матрица</v>
          </cell>
          <cell r="L27">
            <v>0</v>
          </cell>
          <cell r="M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V27" t="e">
            <v>#DIV/0!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1439.5730000000001</v>
          </cell>
          <cell r="D28">
            <v>256.803</v>
          </cell>
          <cell r="E28">
            <v>901.90800000000002</v>
          </cell>
          <cell r="F28">
            <v>286.30700000000002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1051.4000000000001</v>
          </cell>
          <cell r="L28">
            <v>-149.49200000000008</v>
          </cell>
          <cell r="M28">
            <v>901.90800000000002</v>
          </cell>
          <cell r="O28">
            <v>313.3</v>
          </cell>
          <cell r="P28">
            <v>336.7</v>
          </cell>
          <cell r="Q28">
            <v>200</v>
          </cell>
          <cell r="R28">
            <v>242.5</v>
          </cell>
          <cell r="S28">
            <v>257.5</v>
          </cell>
          <cell r="T28">
            <v>180.38159999999999</v>
          </cell>
          <cell r="U28">
            <v>528.27220000000011</v>
          </cell>
          <cell r="V28">
            <v>12.000000000000002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3687.6529999999998</v>
          </cell>
          <cell r="D29">
            <v>4573.692</v>
          </cell>
          <cell r="E29">
            <v>2913.6819999999998</v>
          </cell>
          <cell r="F29">
            <v>3844.7939999999999</v>
          </cell>
          <cell r="G29">
            <v>1</v>
          </cell>
          <cell r="H29">
            <v>40</v>
          </cell>
          <cell r="I29" t="str">
            <v>матрица</v>
          </cell>
          <cell r="K29">
            <v>2807.6819999999998</v>
          </cell>
          <cell r="L29">
            <v>106</v>
          </cell>
          <cell r="M29">
            <v>2832.1439999999998</v>
          </cell>
          <cell r="N29">
            <v>81.537999999999997</v>
          </cell>
          <cell r="O29">
            <v>723</v>
          </cell>
          <cell r="P29">
            <v>777</v>
          </cell>
          <cell r="Q29">
            <v>0</v>
          </cell>
          <cell r="R29">
            <v>0</v>
          </cell>
          <cell r="T29">
            <v>566.42879999999991</v>
          </cell>
          <cell r="U29">
            <v>1452.3515999999991</v>
          </cell>
          <cell r="V29">
            <v>12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K30">
            <v>1.3</v>
          </cell>
          <cell r="L30">
            <v>-1.3</v>
          </cell>
          <cell r="M30">
            <v>0</v>
          </cell>
          <cell r="O30">
            <v>0</v>
          </cell>
          <cell r="Q30">
            <v>0</v>
          </cell>
          <cell r="R30">
            <v>0</v>
          </cell>
          <cell r="T30">
            <v>0</v>
          </cell>
          <cell r="V30" t="e">
            <v>#DIV/0!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G31">
            <v>0</v>
          </cell>
          <cell r="I31" t="str">
            <v>НЕДОГРУЗ / матрица</v>
          </cell>
          <cell r="L31">
            <v>0</v>
          </cell>
          <cell r="M31">
            <v>0</v>
          </cell>
          <cell r="O31">
            <v>0</v>
          </cell>
          <cell r="Q31">
            <v>0</v>
          </cell>
          <cell r="R31">
            <v>0</v>
          </cell>
          <cell r="T31">
            <v>0</v>
          </cell>
          <cell r="V31" t="e">
            <v>#DIV/0!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M32">
            <v>0</v>
          </cell>
          <cell r="O32">
            <v>0</v>
          </cell>
          <cell r="Q32">
            <v>0</v>
          </cell>
          <cell r="R32">
            <v>0</v>
          </cell>
          <cell r="T32">
            <v>0</v>
          </cell>
          <cell r="V32" t="e">
            <v>#DIV/0!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M33">
            <v>0</v>
          </cell>
          <cell r="O33">
            <v>0</v>
          </cell>
          <cell r="Q33">
            <v>0</v>
          </cell>
          <cell r="R33">
            <v>0</v>
          </cell>
          <cell r="T33">
            <v>0</v>
          </cell>
          <cell r="V33" t="e">
            <v>#DIV/0!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2158</v>
          </cell>
          <cell r="D34">
            <v>4422</v>
          </cell>
          <cell r="E34">
            <v>3681</v>
          </cell>
          <cell r="F34">
            <v>2204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3891</v>
          </cell>
          <cell r="L34">
            <v>-210</v>
          </cell>
          <cell r="M34">
            <v>3579</v>
          </cell>
          <cell r="N34">
            <v>102</v>
          </cell>
          <cell r="O34">
            <v>241</v>
          </cell>
          <cell r="P34">
            <v>259</v>
          </cell>
          <cell r="Q34">
            <v>600</v>
          </cell>
          <cell r="R34">
            <v>1141.461468</v>
          </cell>
          <cell r="S34">
            <v>1212.0673320000001</v>
          </cell>
          <cell r="T34">
            <v>715.8</v>
          </cell>
          <cell r="U34">
            <v>2932.0711999999985</v>
          </cell>
          <cell r="V34">
            <v>11.999999999999998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634</v>
          </cell>
          <cell r="D35">
            <v>463</v>
          </cell>
          <cell r="E35">
            <v>695</v>
          </cell>
          <cell r="F35">
            <v>322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733</v>
          </cell>
          <cell r="L35">
            <v>-38</v>
          </cell>
          <cell r="M35">
            <v>695</v>
          </cell>
          <cell r="O35">
            <v>0</v>
          </cell>
          <cell r="Q35">
            <v>300</v>
          </cell>
          <cell r="R35">
            <v>331.4839199999999</v>
          </cell>
          <cell r="S35">
            <v>351.98807999999991</v>
          </cell>
          <cell r="T35">
            <v>139</v>
          </cell>
          <cell r="U35">
            <v>362.52800000000025</v>
          </cell>
          <cell r="V35">
            <v>12</v>
          </cell>
          <cell r="W35" t="str">
            <v xml:space="preserve">1200 шт требуется  сеть ЮТЛ 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1435</v>
          </cell>
          <cell r="D36">
            <v>20</v>
          </cell>
          <cell r="E36">
            <v>983</v>
          </cell>
          <cell r="F36">
            <v>335</v>
          </cell>
          <cell r="G36">
            <v>0.4</v>
          </cell>
          <cell r="H36">
            <v>45</v>
          </cell>
          <cell r="I36" t="str">
            <v>матрица</v>
          </cell>
          <cell r="K36">
            <v>1061</v>
          </cell>
          <cell r="L36">
            <v>-78</v>
          </cell>
          <cell r="M36">
            <v>983</v>
          </cell>
          <cell r="O36">
            <v>120.5</v>
          </cell>
          <cell r="P36">
            <v>129.5</v>
          </cell>
          <cell r="Q36">
            <v>350</v>
          </cell>
          <cell r="R36">
            <v>439.16264999999993</v>
          </cell>
          <cell r="S36">
            <v>466.32735000000002</v>
          </cell>
          <cell r="T36">
            <v>196.6</v>
          </cell>
          <cell r="U36">
            <v>518.70999999999981</v>
          </cell>
          <cell r="V36">
            <v>12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-5</v>
          </cell>
          <cell r="D37">
            <v>102</v>
          </cell>
          <cell r="E37">
            <v>109</v>
          </cell>
          <cell r="F37">
            <v>-12</v>
          </cell>
          <cell r="G37">
            <v>0.4</v>
          </cell>
          <cell r="H37">
            <v>40</v>
          </cell>
          <cell r="I37" t="str">
            <v>ВНИМАНИЕ / матрица</v>
          </cell>
          <cell r="K37">
            <v>625</v>
          </cell>
          <cell r="L37">
            <v>-516</v>
          </cell>
          <cell r="M37">
            <v>109</v>
          </cell>
          <cell r="O37">
            <v>120.5</v>
          </cell>
          <cell r="P37">
            <v>129.5</v>
          </cell>
          <cell r="Q37">
            <v>400</v>
          </cell>
          <cell r="R37">
            <v>0</v>
          </cell>
          <cell r="T37">
            <v>21.8</v>
          </cell>
          <cell r="V37">
            <v>29.266055045871557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150.102</v>
          </cell>
          <cell r="D38">
            <v>1.4119999999999999</v>
          </cell>
          <cell r="E38">
            <v>9.98</v>
          </cell>
          <cell r="F38">
            <v>104.765</v>
          </cell>
          <cell r="G38">
            <v>1</v>
          </cell>
          <cell r="I38" t="str">
            <v>НЕДОГРУЗ / матрица</v>
          </cell>
          <cell r="K38">
            <v>15.35</v>
          </cell>
          <cell r="L38">
            <v>-5.3699999999999992</v>
          </cell>
          <cell r="M38">
            <v>9.98</v>
          </cell>
          <cell r="O38">
            <v>0</v>
          </cell>
          <cell r="Q38">
            <v>0</v>
          </cell>
          <cell r="R38">
            <v>0</v>
          </cell>
          <cell r="T38">
            <v>1.996</v>
          </cell>
          <cell r="V38">
            <v>52.487474949899799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438</v>
          </cell>
          <cell r="D39">
            <v>206</v>
          </cell>
          <cell r="E39">
            <v>327</v>
          </cell>
          <cell r="F39">
            <v>232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371</v>
          </cell>
          <cell r="L39">
            <v>-44</v>
          </cell>
          <cell r="M39">
            <v>327</v>
          </cell>
          <cell r="O39">
            <v>0</v>
          </cell>
          <cell r="Q39">
            <v>0</v>
          </cell>
          <cell r="R39">
            <v>97</v>
          </cell>
          <cell r="S39">
            <v>103</v>
          </cell>
          <cell r="T39">
            <v>65.400000000000006</v>
          </cell>
          <cell r="U39">
            <v>352.80000000000007</v>
          </cell>
          <cell r="V39">
            <v>12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1.831</v>
          </cell>
          <cell r="D40">
            <v>54</v>
          </cell>
          <cell r="E40">
            <v>47.167999999999999</v>
          </cell>
          <cell r="F40">
            <v>5.6630000000000003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68</v>
          </cell>
          <cell r="L40">
            <v>-20.832000000000001</v>
          </cell>
          <cell r="M40">
            <v>47.167999999999999</v>
          </cell>
          <cell r="O40">
            <v>0</v>
          </cell>
          <cell r="Q40">
            <v>60</v>
          </cell>
          <cell r="R40">
            <v>40</v>
          </cell>
          <cell r="T40">
            <v>9.4336000000000002</v>
          </cell>
          <cell r="U40">
            <v>7.5402000000000093</v>
          </cell>
          <cell r="V40">
            <v>12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20.864000000000001</v>
          </cell>
          <cell r="D41">
            <v>58.006999999999998</v>
          </cell>
          <cell r="E41">
            <v>34.594999999999999</v>
          </cell>
          <cell r="F41">
            <v>40.658999999999999</v>
          </cell>
          <cell r="G41">
            <v>1</v>
          </cell>
          <cell r="H41">
            <v>40</v>
          </cell>
          <cell r="I41" t="str">
            <v>матрица</v>
          </cell>
          <cell r="K41">
            <v>38.5</v>
          </cell>
          <cell r="L41">
            <v>-3.9050000000000011</v>
          </cell>
          <cell r="M41">
            <v>34.594999999999999</v>
          </cell>
          <cell r="O41">
            <v>0</v>
          </cell>
          <cell r="Q41">
            <v>10</v>
          </cell>
          <cell r="R41">
            <v>0</v>
          </cell>
          <cell r="T41">
            <v>6.9189999999999996</v>
          </cell>
          <cell r="U41">
            <v>32.368999999999993</v>
          </cell>
          <cell r="V41">
            <v>12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23</v>
          </cell>
          <cell r="D42">
            <v>398</v>
          </cell>
          <cell r="E42">
            <v>303</v>
          </cell>
          <cell r="F42">
            <v>4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439</v>
          </cell>
          <cell r="L42">
            <v>-136</v>
          </cell>
          <cell r="M42">
            <v>303</v>
          </cell>
          <cell r="O42">
            <v>86.759999999999991</v>
          </cell>
          <cell r="P42">
            <v>93.240000000000009</v>
          </cell>
          <cell r="Q42">
            <v>0</v>
          </cell>
          <cell r="R42">
            <v>50</v>
          </cell>
          <cell r="T42">
            <v>60.6</v>
          </cell>
          <cell r="U42">
            <v>432.6</v>
          </cell>
          <cell r="V42">
            <v>11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270</v>
          </cell>
          <cell r="D43">
            <v>540</v>
          </cell>
          <cell r="E43">
            <v>584</v>
          </cell>
          <cell r="F43">
            <v>61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626</v>
          </cell>
          <cell r="L43">
            <v>-42</v>
          </cell>
          <cell r="M43">
            <v>584</v>
          </cell>
          <cell r="O43">
            <v>192.8</v>
          </cell>
          <cell r="P43">
            <v>207.2</v>
          </cell>
          <cell r="Q43">
            <v>100</v>
          </cell>
          <cell r="R43">
            <v>0</v>
          </cell>
          <cell r="T43">
            <v>116.8</v>
          </cell>
          <cell r="U43">
            <v>840.59999999999991</v>
          </cell>
          <cell r="V43">
            <v>12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-0.72699999999999998</v>
          </cell>
          <cell r="D44">
            <v>186.81700000000001</v>
          </cell>
          <cell r="E44">
            <v>42.055</v>
          </cell>
          <cell r="F44">
            <v>115.02500000000001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63.7</v>
          </cell>
          <cell r="L44">
            <v>-21.645000000000003</v>
          </cell>
          <cell r="M44">
            <v>42.055</v>
          </cell>
          <cell r="O44">
            <v>96.399999999999991</v>
          </cell>
          <cell r="P44">
            <v>103.6</v>
          </cell>
          <cell r="Q44">
            <v>100</v>
          </cell>
          <cell r="R44">
            <v>0</v>
          </cell>
          <cell r="T44">
            <v>8.4109999999999996</v>
          </cell>
          <cell r="V44">
            <v>49.343122102009275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-4</v>
          </cell>
          <cell r="D45">
            <v>157</v>
          </cell>
          <cell r="E45">
            <v>143</v>
          </cell>
          <cell r="F45">
            <v>5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221</v>
          </cell>
          <cell r="L45">
            <v>-78</v>
          </cell>
          <cell r="M45">
            <v>143</v>
          </cell>
          <cell r="O45">
            <v>57.84</v>
          </cell>
          <cell r="P45">
            <v>62.16</v>
          </cell>
          <cell r="Q45">
            <v>50</v>
          </cell>
          <cell r="R45">
            <v>0</v>
          </cell>
          <cell r="T45">
            <v>28.6</v>
          </cell>
          <cell r="U45">
            <v>168.20000000000005</v>
          </cell>
          <cell r="V45">
            <v>12.000000000000002</v>
          </cell>
          <cell r="W45" t="str">
            <v xml:space="preserve">1500 шт требуется сеть ЮТЛ 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128</v>
          </cell>
          <cell r="D46">
            <v>739</v>
          </cell>
          <cell r="E46">
            <v>330</v>
          </cell>
          <cell r="F46">
            <v>446</v>
          </cell>
          <cell r="G46">
            <v>0.4</v>
          </cell>
          <cell r="H46">
            <v>40</v>
          </cell>
          <cell r="I46" t="str">
            <v>матрица</v>
          </cell>
          <cell r="K46">
            <v>415</v>
          </cell>
          <cell r="L46">
            <v>-85</v>
          </cell>
          <cell r="M46">
            <v>330</v>
          </cell>
          <cell r="O46">
            <v>0</v>
          </cell>
          <cell r="Q46">
            <v>50</v>
          </cell>
          <cell r="R46">
            <v>0</v>
          </cell>
          <cell r="T46">
            <v>66</v>
          </cell>
          <cell r="U46">
            <v>296</v>
          </cell>
          <cell r="V46">
            <v>12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120.718</v>
          </cell>
          <cell r="D47">
            <v>2.6040000000000001</v>
          </cell>
          <cell r="E47">
            <v>131.089</v>
          </cell>
          <cell r="F47">
            <v>-17.137</v>
          </cell>
          <cell r="G47">
            <v>1</v>
          </cell>
          <cell r="H47">
            <v>50</v>
          </cell>
          <cell r="I47" t="str">
            <v>матрица</v>
          </cell>
          <cell r="K47">
            <v>135.6</v>
          </cell>
          <cell r="L47">
            <v>-4.5109999999999957</v>
          </cell>
          <cell r="M47">
            <v>131.089</v>
          </cell>
          <cell r="O47">
            <v>106.04</v>
          </cell>
          <cell r="P47">
            <v>113.96</v>
          </cell>
          <cell r="Q47">
            <v>200</v>
          </cell>
          <cell r="R47">
            <v>0</v>
          </cell>
          <cell r="T47">
            <v>26.2178</v>
          </cell>
          <cell r="V47">
            <v>15.366010878105714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2.8220000000000001</v>
          </cell>
          <cell r="D48">
            <v>1790.68</v>
          </cell>
          <cell r="E48">
            <v>445.88200000000001</v>
          </cell>
          <cell r="F48">
            <v>836.46699999999998</v>
          </cell>
          <cell r="G48">
            <v>1</v>
          </cell>
          <cell r="H48">
            <v>50</v>
          </cell>
          <cell r="I48" t="str">
            <v>матрица</v>
          </cell>
          <cell r="K48">
            <v>532.62800000000004</v>
          </cell>
          <cell r="L48">
            <v>-86.746000000000038</v>
          </cell>
          <cell r="M48">
            <v>241.054</v>
          </cell>
          <cell r="N48">
            <v>204.828</v>
          </cell>
          <cell r="O48">
            <v>337.4</v>
          </cell>
          <cell r="P48">
            <v>362.6</v>
          </cell>
          <cell r="Q48">
            <v>100</v>
          </cell>
          <cell r="R48">
            <v>0</v>
          </cell>
          <cell r="T48">
            <v>48.210799999999999</v>
          </cell>
          <cell r="V48">
            <v>33.943991802666623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G49">
            <v>0</v>
          </cell>
          <cell r="I49" t="str">
            <v>НЕДОГРУЗ / матрица</v>
          </cell>
          <cell r="L49">
            <v>0</v>
          </cell>
          <cell r="M49">
            <v>0</v>
          </cell>
          <cell r="O49">
            <v>0</v>
          </cell>
          <cell r="Q49">
            <v>0</v>
          </cell>
          <cell r="R49">
            <v>0</v>
          </cell>
          <cell r="T49">
            <v>0</v>
          </cell>
          <cell r="V49" t="e">
            <v>#DIV/0!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254.982</v>
          </cell>
          <cell r="D50">
            <v>467.01799999999997</v>
          </cell>
          <cell r="E50">
            <v>340</v>
          </cell>
          <cell r="F50">
            <v>170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381</v>
          </cell>
          <cell r="L50">
            <v>-41</v>
          </cell>
          <cell r="M50">
            <v>340</v>
          </cell>
          <cell r="O50">
            <v>67.085467575999999</v>
          </cell>
          <cell r="P50">
            <v>72.096000423999996</v>
          </cell>
          <cell r="Q50">
            <v>3.560400000000044</v>
          </cell>
          <cell r="R50">
            <v>96.11827000000001</v>
          </cell>
          <cell r="S50">
            <v>102.06373000000001</v>
          </cell>
          <cell r="T50">
            <v>68</v>
          </cell>
          <cell r="U50">
            <v>305.07613199999997</v>
          </cell>
          <cell r="V50">
            <v>12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790</v>
          </cell>
          <cell r="D51">
            <v>433</v>
          </cell>
          <cell r="E51">
            <v>396</v>
          </cell>
          <cell r="F51">
            <v>762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423</v>
          </cell>
          <cell r="L51">
            <v>-27</v>
          </cell>
          <cell r="M51">
            <v>396</v>
          </cell>
          <cell r="O51">
            <v>0</v>
          </cell>
          <cell r="Q51">
            <v>0</v>
          </cell>
          <cell r="R51">
            <v>0</v>
          </cell>
          <cell r="T51">
            <v>79.2</v>
          </cell>
          <cell r="U51">
            <v>188.40000000000009</v>
          </cell>
          <cell r="V51">
            <v>12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G52">
            <v>0</v>
          </cell>
          <cell r="I52" t="str">
            <v>матрица</v>
          </cell>
          <cell r="L52">
            <v>0</v>
          </cell>
          <cell r="M52">
            <v>0</v>
          </cell>
          <cell r="O52">
            <v>0</v>
          </cell>
          <cell r="Q52">
            <v>0</v>
          </cell>
          <cell r="R52">
            <v>0</v>
          </cell>
          <cell r="T52">
            <v>0</v>
          </cell>
          <cell r="V52" t="e">
            <v>#DIV/0!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66</v>
          </cell>
          <cell r="D53">
            <v>26</v>
          </cell>
          <cell r="E53">
            <v>34</v>
          </cell>
          <cell r="F53">
            <v>-2</v>
          </cell>
          <cell r="G53">
            <v>0.4</v>
          </cell>
          <cell r="H53">
            <v>40</v>
          </cell>
          <cell r="I53" t="str">
            <v>матрица</v>
          </cell>
          <cell r="K53">
            <v>67</v>
          </cell>
          <cell r="L53">
            <v>-33</v>
          </cell>
          <cell r="M53">
            <v>34</v>
          </cell>
          <cell r="O53">
            <v>0</v>
          </cell>
          <cell r="Q53">
            <v>0</v>
          </cell>
          <cell r="R53">
            <v>28.1</v>
          </cell>
          <cell r="T53">
            <v>6.8</v>
          </cell>
          <cell r="U53">
            <v>48.699999999999996</v>
          </cell>
          <cell r="V53">
            <v>11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994.31200000000001</v>
          </cell>
          <cell r="D54">
            <v>1605.5889999999999</v>
          </cell>
          <cell r="E54">
            <v>1341.6279999999999</v>
          </cell>
          <cell r="F54">
            <v>720.85299999999995</v>
          </cell>
          <cell r="G54">
            <v>1</v>
          </cell>
          <cell r="H54">
            <v>50</v>
          </cell>
          <cell r="I54" t="str">
            <v>матрица</v>
          </cell>
          <cell r="K54">
            <v>1312.961</v>
          </cell>
          <cell r="L54">
            <v>28.666999999999916</v>
          </cell>
          <cell r="M54">
            <v>895.76699999999994</v>
          </cell>
          <cell r="N54">
            <v>445.86099999999999</v>
          </cell>
          <cell r="O54">
            <v>337.4</v>
          </cell>
          <cell r="P54">
            <v>362.6</v>
          </cell>
          <cell r="Q54">
            <v>200</v>
          </cell>
          <cell r="R54">
            <v>121.25</v>
          </cell>
          <cell r="S54">
            <v>128.75</v>
          </cell>
          <cell r="T54">
            <v>179.15339999999998</v>
          </cell>
          <cell r="U54">
            <v>278.98780000000011</v>
          </cell>
          <cell r="V54">
            <v>12.000000000000002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496</v>
          </cell>
          <cell r="D55">
            <v>15</v>
          </cell>
          <cell r="E55">
            <v>307</v>
          </cell>
          <cell r="F55">
            <v>279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246</v>
          </cell>
          <cell r="L55">
            <v>61</v>
          </cell>
          <cell r="M55">
            <v>307</v>
          </cell>
          <cell r="O55">
            <v>0</v>
          </cell>
          <cell r="Q55">
            <v>0</v>
          </cell>
          <cell r="R55">
            <v>0</v>
          </cell>
          <cell r="T55">
            <v>61.4</v>
          </cell>
          <cell r="U55">
            <v>457.79999999999995</v>
          </cell>
          <cell r="V55">
            <v>12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467.596</v>
          </cell>
          <cell r="D56">
            <v>83.728999999999999</v>
          </cell>
          <cell r="E56">
            <v>530.14800000000002</v>
          </cell>
          <cell r="F56">
            <v>2.4860000000000002</v>
          </cell>
          <cell r="G56">
            <v>1</v>
          </cell>
          <cell r="H56">
            <v>50</v>
          </cell>
          <cell r="I56" t="str">
            <v>матрица</v>
          </cell>
          <cell r="K56">
            <v>560.77599999999995</v>
          </cell>
          <cell r="L56">
            <v>-30.627999999999929</v>
          </cell>
          <cell r="M56">
            <v>530.14800000000002</v>
          </cell>
          <cell r="O56">
            <v>120.5</v>
          </cell>
          <cell r="P56">
            <v>129.5</v>
          </cell>
          <cell r="Q56">
            <v>500</v>
          </cell>
          <cell r="R56">
            <v>194</v>
          </cell>
          <cell r="S56">
            <v>206</v>
          </cell>
          <cell r="T56">
            <v>106.0296</v>
          </cell>
          <cell r="U56">
            <v>119.86919999999996</v>
          </cell>
          <cell r="V56">
            <v>11.999999999999996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247.18700000000001</v>
          </cell>
          <cell r="D57">
            <v>1.37</v>
          </cell>
          <cell r="E57">
            <v>41.777999999999999</v>
          </cell>
          <cell r="F57">
            <v>202.346</v>
          </cell>
          <cell r="G57">
            <v>1</v>
          </cell>
          <cell r="H57">
            <v>55</v>
          </cell>
          <cell r="I57" t="str">
            <v>матрица</v>
          </cell>
          <cell r="K57">
            <v>43</v>
          </cell>
          <cell r="L57">
            <v>-1.2220000000000013</v>
          </cell>
          <cell r="M57">
            <v>41.777999999999999</v>
          </cell>
          <cell r="O57">
            <v>0</v>
          </cell>
          <cell r="Q57">
            <v>0</v>
          </cell>
          <cell r="R57">
            <v>0</v>
          </cell>
          <cell r="T57">
            <v>8.355599999999999</v>
          </cell>
          <cell r="V57">
            <v>24.21681267652832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527</v>
          </cell>
          <cell r="D58">
            <v>15</v>
          </cell>
          <cell r="E58">
            <v>196</v>
          </cell>
          <cell r="F58">
            <v>295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228</v>
          </cell>
          <cell r="L58">
            <v>-32</v>
          </cell>
          <cell r="M58">
            <v>196</v>
          </cell>
          <cell r="O58">
            <v>0</v>
          </cell>
          <cell r="Q58">
            <v>0</v>
          </cell>
          <cell r="R58">
            <v>0</v>
          </cell>
          <cell r="T58">
            <v>39.200000000000003</v>
          </cell>
          <cell r="U58">
            <v>175.40000000000003</v>
          </cell>
          <cell r="V58">
            <v>12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D59">
            <v>10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</v>
          </cell>
          <cell r="L59">
            <v>-2</v>
          </cell>
          <cell r="M59">
            <v>0</v>
          </cell>
          <cell r="O59">
            <v>10</v>
          </cell>
          <cell r="Q59">
            <v>0</v>
          </cell>
          <cell r="R59">
            <v>10</v>
          </cell>
          <cell r="T59">
            <v>0</v>
          </cell>
          <cell r="U59">
            <v>10</v>
          </cell>
          <cell r="V59" t="e">
            <v>#DIV/0!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46.057000000000002</v>
          </cell>
          <cell r="D60">
            <v>724.48299999999995</v>
          </cell>
          <cell r="E60">
            <v>335.161</v>
          </cell>
          <cell r="F60">
            <v>345.06400000000002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340.2</v>
          </cell>
          <cell r="L60">
            <v>-5.0389999999999873</v>
          </cell>
          <cell r="M60">
            <v>335.161</v>
          </cell>
          <cell r="O60">
            <v>144.6</v>
          </cell>
          <cell r="P60">
            <v>155.4</v>
          </cell>
          <cell r="Q60">
            <v>100</v>
          </cell>
          <cell r="R60">
            <v>0</v>
          </cell>
          <cell r="T60">
            <v>67.032200000000003</v>
          </cell>
          <cell r="U60">
            <v>59.322400000000073</v>
          </cell>
          <cell r="V60">
            <v>12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49.453000000000003</v>
          </cell>
          <cell r="D61">
            <v>305.20299999999997</v>
          </cell>
          <cell r="E61">
            <v>297.09300000000002</v>
          </cell>
          <cell r="F61">
            <v>7.7859999999999996</v>
          </cell>
          <cell r="G61">
            <v>1</v>
          </cell>
          <cell r="H61">
            <v>40</v>
          </cell>
          <cell r="I61" t="str">
            <v>матрица</v>
          </cell>
          <cell r="K61">
            <v>471.077</v>
          </cell>
          <cell r="L61">
            <v>-173.98399999999998</v>
          </cell>
          <cell r="M61">
            <v>266.04000000000002</v>
          </cell>
          <cell r="N61">
            <v>31.053000000000001</v>
          </cell>
          <cell r="O61">
            <v>72.3</v>
          </cell>
          <cell r="P61">
            <v>77.7</v>
          </cell>
          <cell r="Q61">
            <v>50</v>
          </cell>
          <cell r="R61">
            <v>97</v>
          </cell>
          <cell r="S61">
            <v>103</v>
          </cell>
          <cell r="T61">
            <v>53.208000000000006</v>
          </cell>
          <cell r="U61">
            <v>230.71000000000009</v>
          </cell>
          <cell r="V61">
            <v>12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569</v>
          </cell>
          <cell r="D62">
            <v>117</v>
          </cell>
          <cell r="E62">
            <v>673</v>
          </cell>
          <cell r="F62">
            <v>-6</v>
          </cell>
          <cell r="G62">
            <v>0.4</v>
          </cell>
          <cell r="H62">
            <v>40</v>
          </cell>
          <cell r="I62" t="str">
            <v>матрица</v>
          </cell>
          <cell r="K62">
            <v>822</v>
          </cell>
          <cell r="L62">
            <v>-149</v>
          </cell>
          <cell r="M62">
            <v>673</v>
          </cell>
          <cell r="O62">
            <v>313.3</v>
          </cell>
          <cell r="P62">
            <v>336.7</v>
          </cell>
          <cell r="Q62">
            <v>300</v>
          </cell>
          <cell r="R62">
            <v>195.90119999999999</v>
          </cell>
          <cell r="S62">
            <v>208.01880000000011</v>
          </cell>
          <cell r="T62">
            <v>134.6</v>
          </cell>
          <cell r="U62">
            <v>267.27999999999969</v>
          </cell>
          <cell r="V62">
            <v>12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256</v>
          </cell>
          <cell r="D63">
            <v>517</v>
          </cell>
          <cell r="E63">
            <v>493</v>
          </cell>
          <cell r="F63">
            <v>210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536</v>
          </cell>
          <cell r="L63">
            <v>-43</v>
          </cell>
          <cell r="M63">
            <v>493</v>
          </cell>
          <cell r="O63">
            <v>11.92999999999995</v>
          </cell>
          <cell r="Q63">
            <v>100</v>
          </cell>
          <cell r="R63">
            <v>217.4740000000001</v>
          </cell>
          <cell r="S63">
            <v>230.9260000000001</v>
          </cell>
          <cell r="T63">
            <v>98.6</v>
          </cell>
          <cell r="U63">
            <v>412.86999999999955</v>
          </cell>
          <cell r="V63">
            <v>11.999999999999998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55.918999999999997</v>
          </cell>
          <cell r="D64">
            <v>2.77</v>
          </cell>
          <cell r="E64">
            <v>56.548000000000002</v>
          </cell>
          <cell r="F64">
            <v>1.2450000000000001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72.599999999999994</v>
          </cell>
          <cell r="L64">
            <v>-16.051999999999992</v>
          </cell>
          <cell r="M64">
            <v>56.548000000000002</v>
          </cell>
          <cell r="O64">
            <v>44.669000000000011</v>
          </cell>
          <cell r="Q64">
            <v>300</v>
          </cell>
          <cell r="R64">
            <v>30</v>
          </cell>
          <cell r="T64">
            <v>11.3096</v>
          </cell>
          <cell r="V64">
            <v>33.238487656504212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-3.0379999999999998</v>
          </cell>
          <cell r="D65">
            <v>109.755</v>
          </cell>
          <cell r="E65">
            <v>54.72</v>
          </cell>
          <cell r="F65">
            <v>1.9970000000000001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63.9</v>
          </cell>
          <cell r="L65">
            <v>-9.18</v>
          </cell>
          <cell r="M65">
            <v>54.72</v>
          </cell>
          <cell r="O65">
            <v>86.759999999999991</v>
          </cell>
          <cell r="P65">
            <v>93.240000000000009</v>
          </cell>
          <cell r="Q65">
            <v>30</v>
          </cell>
          <cell r="R65">
            <v>0</v>
          </cell>
          <cell r="T65">
            <v>10.943999999999999</v>
          </cell>
          <cell r="V65">
            <v>19.371070906432752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202.471</v>
          </cell>
          <cell r="D66">
            <v>60.658000000000001</v>
          </cell>
          <cell r="E66">
            <v>229.03800000000001</v>
          </cell>
          <cell r="F66">
            <v>-0.155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419.11099999999999</v>
          </cell>
          <cell r="L66">
            <v>-190.07299999999998</v>
          </cell>
          <cell r="M66">
            <v>196.42700000000002</v>
          </cell>
          <cell r="N66">
            <v>32.610999999999997</v>
          </cell>
          <cell r="O66">
            <v>120.5</v>
          </cell>
          <cell r="P66">
            <v>129.5</v>
          </cell>
          <cell r="Q66">
            <v>100</v>
          </cell>
          <cell r="R66">
            <v>121.25</v>
          </cell>
          <cell r="S66">
            <v>128.75</v>
          </cell>
          <cell r="T66">
            <v>39.285400000000003</v>
          </cell>
          <cell r="V66">
            <v>15.268903969413573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-0.51400000000000001</v>
          </cell>
          <cell r="D67">
            <v>63.661000000000001</v>
          </cell>
          <cell r="E67">
            <v>42.350999999999999</v>
          </cell>
          <cell r="F67">
            <v>0.77100000000000002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50.825000000000003</v>
          </cell>
          <cell r="L67">
            <v>-8.4740000000000038</v>
          </cell>
          <cell r="M67">
            <v>42.350999999999999</v>
          </cell>
          <cell r="O67">
            <v>100</v>
          </cell>
          <cell r="Q67">
            <v>50</v>
          </cell>
          <cell r="R67">
            <v>0</v>
          </cell>
          <cell r="T67">
            <v>8.4702000000000002</v>
          </cell>
          <cell r="V67">
            <v>17.800170007792026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G68">
            <v>0.6</v>
          </cell>
          <cell r="I68" t="str">
            <v>матрица</v>
          </cell>
          <cell r="L68">
            <v>0</v>
          </cell>
          <cell r="M68">
            <v>0</v>
          </cell>
          <cell r="O68">
            <v>0</v>
          </cell>
          <cell r="Q68">
            <v>150</v>
          </cell>
          <cell r="R68">
            <v>0</v>
          </cell>
          <cell r="T68">
            <v>0</v>
          </cell>
          <cell r="V68" t="e">
            <v>#DIV/0!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174.75200000000001</v>
          </cell>
          <cell r="D69">
            <v>72.212000000000003</v>
          </cell>
          <cell r="E69">
            <v>133.898</v>
          </cell>
          <cell r="F69">
            <v>63.281999999999996</v>
          </cell>
          <cell r="G69">
            <v>1</v>
          </cell>
          <cell r="H69">
            <v>30</v>
          </cell>
          <cell r="I69" t="str">
            <v>матрица</v>
          </cell>
          <cell r="K69">
            <v>184.7</v>
          </cell>
          <cell r="L69">
            <v>-50.801999999999992</v>
          </cell>
          <cell r="M69">
            <v>133.898</v>
          </cell>
          <cell r="O69">
            <v>60</v>
          </cell>
          <cell r="Q69">
            <v>100</v>
          </cell>
          <cell r="R69">
            <v>53.341000000000037</v>
          </cell>
          <cell r="T69">
            <v>26.779599999999999</v>
          </cell>
          <cell r="U69">
            <v>44.732199999999963</v>
          </cell>
          <cell r="V69">
            <v>12.000000000000002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946</v>
          </cell>
          <cell r="D70">
            <v>200</v>
          </cell>
          <cell r="E70">
            <v>563</v>
          </cell>
          <cell r="F70">
            <v>412</v>
          </cell>
          <cell r="G70">
            <v>0.6</v>
          </cell>
          <cell r="H70">
            <v>60</v>
          </cell>
          <cell r="I70" t="str">
            <v>матрица</v>
          </cell>
          <cell r="K70">
            <v>567</v>
          </cell>
          <cell r="L70">
            <v>-4</v>
          </cell>
          <cell r="M70">
            <v>563</v>
          </cell>
          <cell r="O70">
            <v>578.4</v>
          </cell>
          <cell r="P70">
            <v>621.6</v>
          </cell>
          <cell r="Q70">
            <v>0</v>
          </cell>
          <cell r="R70">
            <v>0</v>
          </cell>
          <cell r="T70">
            <v>112.6</v>
          </cell>
          <cell r="V70">
            <v>14.316163410301954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599</v>
          </cell>
          <cell r="D71">
            <v>558</v>
          </cell>
          <cell r="E71">
            <v>461</v>
          </cell>
          <cell r="F71">
            <v>531</v>
          </cell>
          <cell r="G71">
            <v>0.6</v>
          </cell>
          <cell r="H71">
            <v>60</v>
          </cell>
          <cell r="I71" t="str">
            <v>матрица</v>
          </cell>
          <cell r="K71">
            <v>479</v>
          </cell>
          <cell r="L71">
            <v>-18</v>
          </cell>
          <cell r="M71">
            <v>461</v>
          </cell>
          <cell r="O71">
            <v>0</v>
          </cell>
          <cell r="Q71">
            <v>600</v>
          </cell>
          <cell r="R71">
            <v>0</v>
          </cell>
          <cell r="T71">
            <v>92.2</v>
          </cell>
          <cell r="V71">
            <v>12.266811279826463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120</v>
          </cell>
          <cell r="D72">
            <v>37</v>
          </cell>
          <cell r="E72">
            <v>59</v>
          </cell>
          <cell r="F72">
            <v>89</v>
          </cell>
          <cell r="G72">
            <v>0.4</v>
          </cell>
          <cell r="I72" t="str">
            <v>матрица</v>
          </cell>
          <cell r="K72">
            <v>68</v>
          </cell>
          <cell r="L72">
            <v>-9</v>
          </cell>
          <cell r="M72">
            <v>59</v>
          </cell>
          <cell r="O72">
            <v>0</v>
          </cell>
          <cell r="Q72">
            <v>0</v>
          </cell>
          <cell r="R72">
            <v>22.400000000000009</v>
          </cell>
          <cell r="T72">
            <v>11.8</v>
          </cell>
          <cell r="U72">
            <v>30.200000000000017</v>
          </cell>
          <cell r="V72">
            <v>12.000000000000002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G73">
            <v>0</v>
          </cell>
          <cell r="I73" t="str">
            <v>НЕДОГРУЗ / матрица</v>
          </cell>
          <cell r="K73">
            <v>15</v>
          </cell>
          <cell r="L73">
            <v>-15</v>
          </cell>
          <cell r="M73">
            <v>0</v>
          </cell>
          <cell r="O73">
            <v>0</v>
          </cell>
          <cell r="Q73">
            <v>0</v>
          </cell>
          <cell r="R73">
            <v>0</v>
          </cell>
          <cell r="T73">
            <v>0</v>
          </cell>
          <cell r="V73" t="e">
            <v>#DIV/0!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D74">
            <v>45</v>
          </cell>
          <cell r="E74">
            <v>37</v>
          </cell>
          <cell r="F74">
            <v>3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55</v>
          </cell>
          <cell r="L74">
            <v>-18</v>
          </cell>
          <cell r="M74">
            <v>37</v>
          </cell>
          <cell r="O74">
            <v>30</v>
          </cell>
          <cell r="Q74">
            <v>8</v>
          </cell>
          <cell r="R74">
            <v>0</v>
          </cell>
          <cell r="T74">
            <v>7.4</v>
          </cell>
          <cell r="U74">
            <v>47.800000000000011</v>
          </cell>
          <cell r="V74">
            <v>12.000000000000002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76</v>
          </cell>
          <cell r="D75">
            <v>181</v>
          </cell>
          <cell r="E75">
            <v>110</v>
          </cell>
          <cell r="F75">
            <v>133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128</v>
          </cell>
          <cell r="L75">
            <v>-18</v>
          </cell>
          <cell r="M75">
            <v>110</v>
          </cell>
          <cell r="O75">
            <v>0</v>
          </cell>
          <cell r="Q75">
            <v>51.62399999999991</v>
          </cell>
          <cell r="R75">
            <v>0</v>
          </cell>
          <cell r="T75">
            <v>22</v>
          </cell>
          <cell r="U75">
            <v>79.37600000000009</v>
          </cell>
          <cell r="V75">
            <v>12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-4</v>
          </cell>
          <cell r="D76">
            <v>464</v>
          </cell>
          <cell r="E76">
            <v>472</v>
          </cell>
          <cell r="F76">
            <v>-20</v>
          </cell>
          <cell r="G76">
            <v>0.6</v>
          </cell>
          <cell r="H76">
            <v>70</v>
          </cell>
          <cell r="I76" t="str">
            <v>ВНИМАНИЕ / матрица</v>
          </cell>
          <cell r="K76">
            <v>515</v>
          </cell>
          <cell r="L76">
            <v>-43</v>
          </cell>
          <cell r="M76">
            <v>472</v>
          </cell>
          <cell r="O76">
            <v>578.4</v>
          </cell>
          <cell r="P76">
            <v>621.6</v>
          </cell>
          <cell r="Q76">
            <v>0</v>
          </cell>
          <cell r="R76">
            <v>194</v>
          </cell>
          <cell r="S76">
            <v>206</v>
          </cell>
          <cell r="T76">
            <v>94.4</v>
          </cell>
          <cell r="V76">
            <v>16.737288135593218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479</v>
          </cell>
          <cell r="D77">
            <v>396</v>
          </cell>
          <cell r="E77">
            <v>493</v>
          </cell>
          <cell r="F77">
            <v>288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514</v>
          </cell>
          <cell r="L77">
            <v>-21</v>
          </cell>
          <cell r="M77">
            <v>493</v>
          </cell>
          <cell r="O77">
            <v>0</v>
          </cell>
          <cell r="Q77">
            <v>154.42999999999989</v>
          </cell>
          <cell r="R77">
            <v>143.35630000000009</v>
          </cell>
          <cell r="S77">
            <v>152.22370000000009</v>
          </cell>
          <cell r="T77">
            <v>98.6</v>
          </cell>
          <cell r="U77">
            <v>445.18999999999983</v>
          </cell>
          <cell r="V77">
            <v>11.999999999999998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135</v>
          </cell>
          <cell r="D78">
            <v>31</v>
          </cell>
          <cell r="E78">
            <v>56</v>
          </cell>
          <cell r="F78">
            <v>108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70</v>
          </cell>
          <cell r="L78">
            <v>-14</v>
          </cell>
          <cell r="M78">
            <v>56</v>
          </cell>
          <cell r="O78">
            <v>0</v>
          </cell>
          <cell r="Q78">
            <v>0</v>
          </cell>
          <cell r="R78">
            <v>0</v>
          </cell>
          <cell r="T78">
            <v>11.2</v>
          </cell>
          <cell r="U78">
            <v>15.199999999999989</v>
          </cell>
          <cell r="V78">
            <v>11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32</v>
          </cell>
          <cell r="E79">
            <v>30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79</v>
          </cell>
          <cell r="L79">
            <v>-49</v>
          </cell>
          <cell r="M79">
            <v>30</v>
          </cell>
          <cell r="O79">
            <v>100</v>
          </cell>
          <cell r="Q79">
            <v>50</v>
          </cell>
          <cell r="R79">
            <v>20</v>
          </cell>
          <cell r="T79">
            <v>6</v>
          </cell>
          <cell r="V79">
            <v>28.333333333333332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237</v>
          </cell>
          <cell r="D80">
            <v>25</v>
          </cell>
          <cell r="E80">
            <v>227</v>
          </cell>
          <cell r="F80">
            <v>6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312</v>
          </cell>
          <cell r="L80">
            <v>-85</v>
          </cell>
          <cell r="M80">
            <v>227</v>
          </cell>
          <cell r="O80">
            <v>0</v>
          </cell>
          <cell r="Q80">
            <v>0</v>
          </cell>
          <cell r="R80">
            <v>194</v>
          </cell>
          <cell r="S80">
            <v>206</v>
          </cell>
          <cell r="T80">
            <v>45.4</v>
          </cell>
          <cell r="U80">
            <v>138.79999999999995</v>
          </cell>
          <cell r="V80">
            <v>12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28</v>
          </cell>
          <cell r="E81">
            <v>3</v>
          </cell>
          <cell r="F81">
            <v>18</v>
          </cell>
          <cell r="G81">
            <v>0.4</v>
          </cell>
          <cell r="H81">
            <v>55</v>
          </cell>
          <cell r="I81" t="str">
            <v>матрица</v>
          </cell>
          <cell r="K81">
            <v>3</v>
          </cell>
          <cell r="L81">
            <v>0</v>
          </cell>
          <cell r="M81">
            <v>3</v>
          </cell>
          <cell r="O81">
            <v>33</v>
          </cell>
          <cell r="Q81">
            <v>22.800000000000011</v>
          </cell>
          <cell r="R81">
            <v>0</v>
          </cell>
          <cell r="T81">
            <v>0.6</v>
          </cell>
          <cell r="V81">
            <v>123.00000000000003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-22.032</v>
          </cell>
          <cell r="D82">
            <v>23.04</v>
          </cell>
          <cell r="F82">
            <v>1.008</v>
          </cell>
          <cell r="G82">
            <v>1</v>
          </cell>
          <cell r="H82">
            <v>55</v>
          </cell>
          <cell r="I82" t="str">
            <v>матрица</v>
          </cell>
          <cell r="L82">
            <v>0</v>
          </cell>
          <cell r="M82">
            <v>0</v>
          </cell>
          <cell r="O82">
            <v>4</v>
          </cell>
          <cell r="Q82">
            <v>0</v>
          </cell>
          <cell r="R82">
            <v>0</v>
          </cell>
          <cell r="T82">
            <v>0</v>
          </cell>
          <cell r="V82" t="e">
            <v>#DIV/0!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M83">
            <v>0</v>
          </cell>
          <cell r="O83">
            <v>0</v>
          </cell>
          <cell r="Q83">
            <v>0</v>
          </cell>
          <cell r="R83">
            <v>0</v>
          </cell>
          <cell r="T83">
            <v>0</v>
          </cell>
          <cell r="V83" t="e">
            <v>#DIV/0!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2873.5419999999999</v>
          </cell>
          <cell r="D84">
            <v>2353.7489999999998</v>
          </cell>
          <cell r="E84">
            <v>3240.6930000000002</v>
          </cell>
          <cell r="F84">
            <v>764.38199999999995</v>
          </cell>
          <cell r="G84">
            <v>1</v>
          </cell>
          <cell r="H84">
            <v>60</v>
          </cell>
          <cell r="I84" t="str">
            <v>матрица</v>
          </cell>
          <cell r="K84">
            <v>3352.7579999999998</v>
          </cell>
          <cell r="L84">
            <v>-112.0649999999996</v>
          </cell>
          <cell r="M84">
            <v>3240.6930000000002</v>
          </cell>
          <cell r="O84">
            <v>819.4</v>
          </cell>
          <cell r="P84">
            <v>880.6</v>
          </cell>
          <cell r="Q84">
            <v>600</v>
          </cell>
          <cell r="R84">
            <v>970</v>
          </cell>
          <cell r="S84">
            <v>1030</v>
          </cell>
          <cell r="T84">
            <v>648.1386</v>
          </cell>
          <cell r="U84">
            <v>2713.2811999999994</v>
          </cell>
          <cell r="V84">
            <v>11.999999999999998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C85">
            <v>547</v>
          </cell>
          <cell r="D85">
            <v>7</v>
          </cell>
          <cell r="E85">
            <v>73</v>
          </cell>
          <cell r="F85">
            <v>23</v>
          </cell>
          <cell r="G85">
            <v>0.3</v>
          </cell>
          <cell r="H85">
            <v>40</v>
          </cell>
          <cell r="I85" t="str">
            <v>матрица</v>
          </cell>
          <cell r="K85">
            <v>454</v>
          </cell>
          <cell r="L85">
            <v>-381</v>
          </cell>
          <cell r="M85">
            <v>73</v>
          </cell>
          <cell r="O85">
            <v>0</v>
          </cell>
          <cell r="Q85">
            <v>0</v>
          </cell>
          <cell r="R85">
            <v>0</v>
          </cell>
          <cell r="T85">
            <v>14.6</v>
          </cell>
          <cell r="U85">
            <v>93.8</v>
          </cell>
          <cell r="V85">
            <v>8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1721.9259999999999</v>
          </cell>
          <cell r="D86">
            <v>728.447</v>
          </cell>
          <cell r="E86">
            <v>1690.819</v>
          </cell>
          <cell r="F86">
            <v>339.40899999999999</v>
          </cell>
          <cell r="G86">
            <v>1</v>
          </cell>
          <cell r="H86">
            <v>60</v>
          </cell>
          <cell r="I86" t="str">
            <v>матрица</v>
          </cell>
          <cell r="K86">
            <v>1813.355</v>
          </cell>
          <cell r="L86">
            <v>-122.53600000000006</v>
          </cell>
          <cell r="M86">
            <v>1690.819</v>
          </cell>
          <cell r="O86">
            <v>361.5</v>
          </cell>
          <cell r="P86">
            <v>388.5</v>
          </cell>
          <cell r="R86">
            <v>649.98272644999986</v>
          </cell>
          <cell r="S86">
            <v>690.18784354999991</v>
          </cell>
          <cell r="T86">
            <v>338.16379999999998</v>
          </cell>
          <cell r="U86">
            <v>1628.3860299999997</v>
          </cell>
          <cell r="V86">
            <v>12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2147.4409999999998</v>
          </cell>
          <cell r="D87">
            <v>2045.712</v>
          </cell>
          <cell r="E87">
            <v>2463.444</v>
          </cell>
          <cell r="F87">
            <v>805.53399999999999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2601.2890000000002</v>
          </cell>
          <cell r="L87">
            <v>-137.84500000000025</v>
          </cell>
          <cell r="M87">
            <v>2463.444</v>
          </cell>
          <cell r="O87">
            <v>939.9</v>
          </cell>
          <cell r="P87">
            <v>1010.1</v>
          </cell>
          <cell r="Q87">
            <v>400</v>
          </cell>
          <cell r="R87">
            <v>582</v>
          </cell>
          <cell r="S87">
            <v>618</v>
          </cell>
          <cell r="T87">
            <v>492.68880000000001</v>
          </cell>
          <cell r="U87">
            <v>1556.7316000000005</v>
          </cell>
          <cell r="V87">
            <v>12.000000000000002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3066.1390000000001</v>
          </cell>
          <cell r="D88">
            <v>2783.0479999999998</v>
          </cell>
          <cell r="E88">
            <v>3842.114</v>
          </cell>
          <cell r="F88">
            <v>648.68799999999999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4021.8980000000001</v>
          </cell>
          <cell r="L88">
            <v>-179.78400000000011</v>
          </cell>
          <cell r="M88">
            <v>3842.114</v>
          </cell>
          <cell r="O88">
            <v>939.9</v>
          </cell>
          <cell r="P88">
            <v>1010.1</v>
          </cell>
          <cell r="Q88">
            <v>0</v>
          </cell>
          <cell r="R88">
            <v>970</v>
          </cell>
          <cell r="S88">
            <v>1030</v>
          </cell>
          <cell r="T88">
            <v>768.42280000000005</v>
          </cell>
          <cell r="U88">
            <v>4622.3855999999996</v>
          </cell>
          <cell r="V88">
            <v>11.999999999999998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35.103999999999999</v>
          </cell>
          <cell r="E89">
            <v>24.292000000000002</v>
          </cell>
          <cell r="F89">
            <v>9.4719999999999995</v>
          </cell>
          <cell r="G89">
            <v>1</v>
          </cell>
          <cell r="H89">
            <v>55</v>
          </cell>
          <cell r="I89" t="str">
            <v>НЕДОГРУЗ / матрица</v>
          </cell>
          <cell r="K89">
            <v>25.6</v>
          </cell>
          <cell r="L89">
            <v>-1.3079999999999998</v>
          </cell>
          <cell r="M89">
            <v>24.292000000000002</v>
          </cell>
          <cell r="O89">
            <v>0</v>
          </cell>
          <cell r="Q89">
            <v>4.0701999999999998</v>
          </cell>
          <cell r="R89">
            <v>31.198200000000011</v>
          </cell>
          <cell r="T89">
            <v>4.8584000000000005</v>
          </cell>
          <cell r="U89">
            <v>13.5604</v>
          </cell>
          <cell r="V89">
            <v>12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71</v>
          </cell>
          <cell r="L90">
            <v>-71</v>
          </cell>
          <cell r="M90">
            <v>0</v>
          </cell>
          <cell r="O90">
            <v>30</v>
          </cell>
          <cell r="Q90">
            <v>0</v>
          </cell>
          <cell r="R90">
            <v>50</v>
          </cell>
          <cell r="T90">
            <v>0</v>
          </cell>
          <cell r="U90">
            <v>50</v>
          </cell>
          <cell r="V90" t="e">
            <v>#DIV/0!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22</v>
          </cell>
          <cell r="E91">
            <v>-7</v>
          </cell>
          <cell r="F91">
            <v>22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2</v>
          </cell>
          <cell r="L91">
            <v>-9</v>
          </cell>
          <cell r="M91">
            <v>-7</v>
          </cell>
          <cell r="O91">
            <v>0</v>
          </cell>
          <cell r="Q91">
            <v>0</v>
          </cell>
          <cell r="R91">
            <v>0</v>
          </cell>
          <cell r="T91">
            <v>-1.4</v>
          </cell>
          <cell r="V91">
            <v>-15.714285714285715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20</v>
          </cell>
          <cell r="D92">
            <v>144</v>
          </cell>
          <cell r="E92">
            <v>81</v>
          </cell>
          <cell r="F92">
            <v>78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115</v>
          </cell>
          <cell r="L92">
            <v>-34</v>
          </cell>
          <cell r="M92">
            <v>81</v>
          </cell>
          <cell r="O92">
            <v>0</v>
          </cell>
          <cell r="Q92">
            <v>0</v>
          </cell>
          <cell r="R92">
            <v>0</v>
          </cell>
          <cell r="T92">
            <v>16.2</v>
          </cell>
          <cell r="U92">
            <v>116.39999999999998</v>
          </cell>
          <cell r="V92">
            <v>12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126</v>
          </cell>
          <cell r="E93">
            <v>120</v>
          </cell>
          <cell r="F93">
            <v>6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121</v>
          </cell>
          <cell r="L93">
            <v>-1</v>
          </cell>
          <cell r="M93">
            <v>120</v>
          </cell>
          <cell r="O93">
            <v>0</v>
          </cell>
          <cell r="Q93">
            <v>80</v>
          </cell>
          <cell r="R93">
            <v>50</v>
          </cell>
          <cell r="T93">
            <v>24</v>
          </cell>
          <cell r="U93">
            <v>152</v>
          </cell>
          <cell r="V93">
            <v>12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431</v>
          </cell>
          <cell r="D94">
            <v>78</v>
          </cell>
          <cell r="E94">
            <v>104</v>
          </cell>
          <cell r="F94">
            <v>397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116</v>
          </cell>
          <cell r="L94">
            <v>-12</v>
          </cell>
          <cell r="M94">
            <v>104</v>
          </cell>
          <cell r="O94">
            <v>0</v>
          </cell>
          <cell r="Q94">
            <v>0</v>
          </cell>
          <cell r="R94">
            <v>0</v>
          </cell>
          <cell r="T94">
            <v>20.8</v>
          </cell>
          <cell r="V94">
            <v>19.08653846153846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4</v>
          </cell>
          <cell r="D95">
            <v>72</v>
          </cell>
          <cell r="E95">
            <v>14</v>
          </cell>
          <cell r="F95">
            <v>59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15</v>
          </cell>
          <cell r="L95">
            <v>-1</v>
          </cell>
          <cell r="M95">
            <v>14</v>
          </cell>
          <cell r="O95">
            <v>0</v>
          </cell>
          <cell r="Q95">
            <v>0</v>
          </cell>
          <cell r="R95">
            <v>0</v>
          </cell>
          <cell r="T95">
            <v>2.8</v>
          </cell>
          <cell r="V95">
            <v>21.071428571428573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11.015000000000001</v>
          </cell>
          <cell r="E96">
            <v>21.661000000000001</v>
          </cell>
          <cell r="F96">
            <v>8.5389999999999997</v>
          </cell>
          <cell r="G96">
            <v>1</v>
          </cell>
          <cell r="H96">
            <v>55</v>
          </cell>
          <cell r="I96" t="str">
            <v>матрица</v>
          </cell>
          <cell r="K96">
            <v>17.2</v>
          </cell>
          <cell r="L96">
            <v>4.4610000000000021</v>
          </cell>
          <cell r="M96">
            <v>21.661000000000001</v>
          </cell>
          <cell r="O96">
            <v>9.308980000000016</v>
          </cell>
          <cell r="Q96">
            <v>0</v>
          </cell>
          <cell r="R96">
            <v>0</v>
          </cell>
          <cell r="T96">
            <v>4.3322000000000003</v>
          </cell>
          <cell r="U96">
            <v>29.806219999999982</v>
          </cell>
          <cell r="V96">
            <v>10.999999999999998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C97">
            <v>-1</v>
          </cell>
          <cell r="E97">
            <v>-7</v>
          </cell>
          <cell r="F97">
            <v>-1</v>
          </cell>
          <cell r="G97">
            <v>0.11</v>
          </cell>
          <cell r="H97">
            <v>30</v>
          </cell>
          <cell r="I97" t="str">
            <v>матрица</v>
          </cell>
          <cell r="K97">
            <v>5</v>
          </cell>
          <cell r="L97">
            <v>-12</v>
          </cell>
          <cell r="M97">
            <v>-7</v>
          </cell>
          <cell r="O97">
            <v>50</v>
          </cell>
          <cell r="Q97">
            <v>44.599999999999987</v>
          </cell>
          <cell r="R97">
            <v>0</v>
          </cell>
          <cell r="T97">
            <v>-1.4</v>
          </cell>
          <cell r="V97">
            <v>-66.857142857142861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M98">
            <v>0</v>
          </cell>
          <cell r="O98">
            <v>0</v>
          </cell>
          <cell r="Q98">
            <v>0</v>
          </cell>
          <cell r="R98">
            <v>0</v>
          </cell>
          <cell r="T98">
            <v>0</v>
          </cell>
          <cell r="V98" t="e">
            <v>#DIV/0!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453</v>
          </cell>
          <cell r="D99">
            <v>6</v>
          </cell>
          <cell r="E99">
            <v>242</v>
          </cell>
          <cell r="F99">
            <v>184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272</v>
          </cell>
          <cell r="L99">
            <v>-30</v>
          </cell>
          <cell r="M99">
            <v>242</v>
          </cell>
          <cell r="O99">
            <v>0</v>
          </cell>
          <cell r="Q99">
            <v>0</v>
          </cell>
          <cell r="R99">
            <v>49</v>
          </cell>
          <cell r="T99">
            <v>48.4</v>
          </cell>
          <cell r="U99">
            <v>347.79999999999995</v>
          </cell>
          <cell r="V99">
            <v>12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564</v>
          </cell>
          <cell r="E100">
            <v>88</v>
          </cell>
          <cell r="F100">
            <v>469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179</v>
          </cell>
          <cell r="L100">
            <v>-91</v>
          </cell>
          <cell r="M100">
            <v>88</v>
          </cell>
          <cell r="O100">
            <v>0</v>
          </cell>
          <cell r="Q100">
            <v>0</v>
          </cell>
          <cell r="R100">
            <v>0</v>
          </cell>
          <cell r="T100">
            <v>17.600000000000001</v>
          </cell>
          <cell r="V100">
            <v>26.64772727272727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83</v>
          </cell>
          <cell r="E101">
            <v>19</v>
          </cell>
          <cell r="F101">
            <v>11</v>
          </cell>
          <cell r="G101">
            <v>0.17</v>
          </cell>
          <cell r="H101">
            <v>30</v>
          </cell>
          <cell r="I101" t="str">
            <v>НЕДОГРУЗ / матрица</v>
          </cell>
          <cell r="K101">
            <v>24</v>
          </cell>
          <cell r="L101">
            <v>-5</v>
          </cell>
          <cell r="M101">
            <v>19</v>
          </cell>
          <cell r="O101">
            <v>0</v>
          </cell>
          <cell r="Q101">
            <v>0</v>
          </cell>
          <cell r="R101">
            <v>0</v>
          </cell>
          <cell r="T101">
            <v>3.8</v>
          </cell>
          <cell r="U101">
            <v>20</v>
          </cell>
          <cell r="V101">
            <v>8.1578947368421062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165.61799999999999</v>
          </cell>
          <cell r="D102">
            <v>633.85199999999998</v>
          </cell>
          <cell r="E102">
            <v>611.69600000000003</v>
          </cell>
          <cell r="F102">
            <v>112.47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663.7</v>
          </cell>
          <cell r="L102">
            <v>-52.004000000000019</v>
          </cell>
          <cell r="M102">
            <v>611.69600000000003</v>
          </cell>
          <cell r="O102">
            <v>120.5</v>
          </cell>
          <cell r="P102">
            <v>129.5</v>
          </cell>
          <cell r="Q102">
            <v>50</v>
          </cell>
          <cell r="R102">
            <v>0</v>
          </cell>
          <cell r="T102">
            <v>122.33920000000001</v>
          </cell>
          <cell r="U102">
            <v>810.92200000000003</v>
          </cell>
          <cell r="V102">
            <v>10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-0.26700000000000002</v>
          </cell>
          <cell r="D103">
            <v>462.642</v>
          </cell>
          <cell r="E103">
            <v>230.65600000000001</v>
          </cell>
          <cell r="F103">
            <v>176.81700000000001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268.51900000000001</v>
          </cell>
          <cell r="L103">
            <v>-37.863</v>
          </cell>
          <cell r="M103">
            <v>230.65600000000001</v>
          </cell>
          <cell r="O103">
            <v>96.399999999999991</v>
          </cell>
          <cell r="P103">
            <v>103.6</v>
          </cell>
          <cell r="Q103">
            <v>50</v>
          </cell>
          <cell r="R103">
            <v>0</v>
          </cell>
          <cell r="T103">
            <v>46.1312</v>
          </cell>
          <cell r="U103">
            <v>126.75739999999996</v>
          </cell>
          <cell r="V103">
            <v>12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-0.71699999999999997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16.2</v>
          </cell>
          <cell r="L104">
            <v>-16.916999999999998</v>
          </cell>
          <cell r="M104">
            <v>-0.71699999999999997</v>
          </cell>
          <cell r="O104">
            <v>0</v>
          </cell>
          <cell r="Q104">
            <v>20</v>
          </cell>
          <cell r="R104">
            <v>20</v>
          </cell>
          <cell r="T104">
            <v>-0.1434</v>
          </cell>
          <cell r="U104">
            <v>10</v>
          </cell>
          <cell r="V104">
            <v>-348.67503486750348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C105">
            <v>18</v>
          </cell>
          <cell r="D105">
            <v>72</v>
          </cell>
          <cell r="E105">
            <v>37</v>
          </cell>
          <cell r="F105">
            <v>40</v>
          </cell>
          <cell r="G105">
            <v>0.3</v>
          </cell>
          <cell r="H105">
            <v>45</v>
          </cell>
          <cell r="I105" t="str">
            <v>матрица</v>
          </cell>
          <cell r="K105">
            <v>37</v>
          </cell>
          <cell r="L105">
            <v>0</v>
          </cell>
          <cell r="M105">
            <v>37</v>
          </cell>
          <cell r="O105">
            <v>0</v>
          </cell>
          <cell r="Q105">
            <v>14.8</v>
          </cell>
          <cell r="R105">
            <v>0</v>
          </cell>
          <cell r="T105">
            <v>7.4</v>
          </cell>
          <cell r="U105">
            <v>0</v>
          </cell>
          <cell r="V105">
            <v>7.4054054054054044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8.1539999999999999</v>
          </cell>
          <cell r="E106">
            <v>5.5129999999999999</v>
          </cell>
          <cell r="F106">
            <v>1.2509999999999999</v>
          </cell>
          <cell r="G106">
            <v>1</v>
          </cell>
          <cell r="H106">
            <v>55</v>
          </cell>
          <cell r="I106" t="str">
            <v>НЕДОГРУЗ / матрица</v>
          </cell>
          <cell r="K106">
            <v>6.5</v>
          </cell>
          <cell r="L106">
            <v>-0.9870000000000001</v>
          </cell>
          <cell r="M106">
            <v>5.5129999999999999</v>
          </cell>
          <cell r="O106">
            <v>0</v>
          </cell>
          <cell r="Q106">
            <v>0</v>
          </cell>
          <cell r="R106">
            <v>4</v>
          </cell>
          <cell r="T106">
            <v>1.1026</v>
          </cell>
          <cell r="U106">
            <v>7.9802000000000017</v>
          </cell>
          <cell r="V106">
            <v>12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-88</v>
          </cell>
          <cell r="D107">
            <v>704</v>
          </cell>
          <cell r="E107">
            <v>303</v>
          </cell>
          <cell r="F107">
            <v>113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412</v>
          </cell>
          <cell r="L107">
            <v>-109</v>
          </cell>
          <cell r="M107">
            <v>303</v>
          </cell>
          <cell r="O107">
            <v>192.8</v>
          </cell>
          <cell r="P107">
            <v>207.2</v>
          </cell>
          <cell r="Q107">
            <v>0</v>
          </cell>
          <cell r="R107">
            <v>48.5</v>
          </cell>
          <cell r="S107">
            <v>51.5</v>
          </cell>
          <cell r="T107">
            <v>60.6</v>
          </cell>
          <cell r="U107">
            <v>114.20000000000005</v>
          </cell>
          <cell r="V107">
            <v>12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C108">
            <v>-133.91200000000001</v>
          </cell>
          <cell r="D108">
            <v>628.91200000000003</v>
          </cell>
          <cell r="E108">
            <v>255</v>
          </cell>
          <cell r="F108">
            <v>94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384</v>
          </cell>
          <cell r="L108">
            <v>-129</v>
          </cell>
          <cell r="M108">
            <v>255</v>
          </cell>
          <cell r="O108">
            <v>144.6</v>
          </cell>
          <cell r="P108">
            <v>155.4</v>
          </cell>
          <cell r="Q108">
            <v>350</v>
          </cell>
          <cell r="R108">
            <v>0</v>
          </cell>
          <cell r="T108">
            <v>51</v>
          </cell>
          <cell r="U108">
            <v>50</v>
          </cell>
          <cell r="V108">
            <v>15.568627450980392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-259</v>
          </cell>
          <cell r="D109">
            <v>676</v>
          </cell>
          <cell r="E109">
            <v>411</v>
          </cell>
          <cell r="F109">
            <v>-1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496</v>
          </cell>
          <cell r="L109">
            <v>-85</v>
          </cell>
          <cell r="M109">
            <v>411</v>
          </cell>
          <cell r="O109">
            <v>144.6</v>
          </cell>
          <cell r="P109">
            <v>155.4</v>
          </cell>
          <cell r="Q109">
            <v>20</v>
          </cell>
          <cell r="R109">
            <v>50</v>
          </cell>
          <cell r="T109">
            <v>82.2</v>
          </cell>
          <cell r="U109">
            <v>535.20000000000005</v>
          </cell>
          <cell r="V109">
            <v>11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565</v>
          </cell>
          <cell r="D110">
            <v>11</v>
          </cell>
          <cell r="E110">
            <v>169</v>
          </cell>
          <cell r="F110">
            <v>365</v>
          </cell>
          <cell r="G110">
            <v>0.09</v>
          </cell>
          <cell r="H110">
            <v>45</v>
          </cell>
          <cell r="I110" t="str">
            <v>матрица</v>
          </cell>
          <cell r="K110">
            <v>205</v>
          </cell>
          <cell r="L110">
            <v>-36</v>
          </cell>
          <cell r="M110">
            <v>169</v>
          </cell>
          <cell r="O110">
            <v>0</v>
          </cell>
          <cell r="Q110">
            <v>0</v>
          </cell>
          <cell r="R110">
            <v>0</v>
          </cell>
          <cell r="T110">
            <v>33.799999999999997</v>
          </cell>
          <cell r="U110">
            <v>40.599999999999966</v>
          </cell>
          <cell r="V110">
            <v>12</v>
          </cell>
        </row>
        <row r="111">
          <cell r="A111" t="str">
            <v xml:space="preserve"> 577  Колбаса Молочная Стародворская ТМ Стародворье в оболочке полиамид НД ВЕС.  ПОКОМ</v>
          </cell>
          <cell r="B111" t="str">
            <v>кг</v>
          </cell>
          <cell r="C111">
            <v>5.5179999999999998</v>
          </cell>
          <cell r="F111">
            <v>5.5179999999999998</v>
          </cell>
          <cell r="G111">
            <v>0</v>
          </cell>
          <cell r="H111">
            <v>55</v>
          </cell>
          <cell r="I111" t="str">
            <v>не в матрице</v>
          </cell>
          <cell r="K111">
            <v>4.0999999999999996</v>
          </cell>
          <cell r="L111">
            <v>-4.0999999999999996</v>
          </cell>
          <cell r="M111">
            <v>0</v>
          </cell>
          <cell r="O111">
            <v>0</v>
          </cell>
          <cell r="Q111">
            <v>0</v>
          </cell>
          <cell r="R111">
            <v>0</v>
          </cell>
          <cell r="T111">
            <v>0</v>
          </cell>
          <cell r="V111" t="e">
            <v>#DIV/0!</v>
          </cell>
        </row>
        <row r="112">
          <cell r="A112" t="str">
            <v xml:space="preserve"> 579  Колбаса Ветчинно-рубленая ТМ Особый рецепт в оболочке полиамид.ВЕС  ПОКОМ</v>
          </cell>
          <cell r="B112" t="str">
            <v>кг</v>
          </cell>
          <cell r="C112">
            <v>30.895</v>
          </cell>
          <cell r="D112">
            <v>32.572000000000003</v>
          </cell>
          <cell r="E112">
            <v>30.152999999999999</v>
          </cell>
          <cell r="F112">
            <v>30.798999999999999</v>
          </cell>
          <cell r="G112">
            <v>1</v>
          </cell>
          <cell r="H112">
            <v>60</v>
          </cell>
          <cell r="I112" t="str">
            <v>матрица</v>
          </cell>
          <cell r="K112">
            <v>32.5</v>
          </cell>
          <cell r="L112">
            <v>-2.3470000000000013</v>
          </cell>
          <cell r="M112">
            <v>30.152999999999999</v>
          </cell>
          <cell r="O112">
            <v>9.6487499999999784</v>
          </cell>
          <cell r="Q112">
            <v>0</v>
          </cell>
          <cell r="R112">
            <v>9.5492000000000168</v>
          </cell>
          <cell r="T112">
            <v>6.0305999999999997</v>
          </cell>
          <cell r="U112">
            <v>22.370250000000006</v>
          </cell>
          <cell r="V112">
            <v>12</v>
          </cell>
        </row>
        <row r="113">
          <cell r="A113" t="str">
            <v xml:space="preserve"> 580  Ветчина Нежная с индейкой ТМ Особый рецепт в оболочке полиамид.ВЕС  ПОКОМ</v>
          </cell>
          <cell r="B113" t="str">
            <v>кг</v>
          </cell>
          <cell r="C113">
            <v>82.475999999999999</v>
          </cell>
          <cell r="D113">
            <v>2.5049999999999999</v>
          </cell>
          <cell r="E113">
            <v>72.623999999999995</v>
          </cell>
          <cell r="F113">
            <v>7.3620000000000001</v>
          </cell>
          <cell r="G113">
            <v>1</v>
          </cell>
          <cell r="H113">
            <v>50</v>
          </cell>
          <cell r="I113" t="str">
            <v>матрица</v>
          </cell>
          <cell r="K113">
            <v>80</v>
          </cell>
          <cell r="L113">
            <v>-7.3760000000000048</v>
          </cell>
          <cell r="M113">
            <v>72.623999999999995</v>
          </cell>
          <cell r="O113">
            <v>0</v>
          </cell>
          <cell r="Q113">
            <v>0</v>
          </cell>
          <cell r="R113">
            <v>56.084000000000003</v>
          </cell>
          <cell r="T113">
            <v>14.524799999999999</v>
          </cell>
          <cell r="U113">
            <v>96.326799999999992</v>
          </cell>
          <cell r="V113">
            <v>11</v>
          </cell>
        </row>
        <row r="114">
          <cell r="A114" t="str">
            <v xml:space="preserve"> 583  Колбаса Балыковая ТМ Вязанка в упаковке скин 0,09 кг нарезка  ПОКОМ</v>
          </cell>
          <cell r="B114" t="str">
            <v>шт</v>
          </cell>
          <cell r="C114">
            <v>407</v>
          </cell>
          <cell r="D114">
            <v>13</v>
          </cell>
          <cell r="E114">
            <v>88</v>
          </cell>
          <cell r="F114">
            <v>302</v>
          </cell>
          <cell r="G114">
            <v>0.09</v>
          </cell>
          <cell r="H114">
            <v>45</v>
          </cell>
          <cell r="I114" t="str">
            <v>НЕДОГРУЗ / матрица</v>
          </cell>
          <cell r="K114">
            <v>111</v>
          </cell>
          <cell r="L114">
            <v>-23</v>
          </cell>
          <cell r="M114">
            <v>88</v>
          </cell>
          <cell r="O114">
            <v>0</v>
          </cell>
          <cell r="Q114">
            <v>0</v>
          </cell>
          <cell r="R114">
            <v>0</v>
          </cell>
          <cell r="T114">
            <v>17.600000000000001</v>
          </cell>
          <cell r="V114">
            <v>17.159090909090907</v>
          </cell>
        </row>
        <row r="115">
          <cell r="A115" t="str">
            <v xml:space="preserve"> 584  Колбаса Сервелат Ореховый ТМ Вязанка в упаковке скин 0,09 кг нарезка  ПОКОМ</v>
          </cell>
          <cell r="B115" t="str">
            <v>шт</v>
          </cell>
          <cell r="C115">
            <v>373</v>
          </cell>
          <cell r="D115">
            <v>10</v>
          </cell>
          <cell r="E115">
            <v>85</v>
          </cell>
          <cell r="F115">
            <v>268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108</v>
          </cell>
          <cell r="L115">
            <v>-23</v>
          </cell>
          <cell r="M115">
            <v>85</v>
          </cell>
          <cell r="O115">
            <v>0</v>
          </cell>
          <cell r="Q115">
            <v>0</v>
          </cell>
          <cell r="R115">
            <v>0</v>
          </cell>
          <cell r="T115">
            <v>17</v>
          </cell>
          <cell r="V115">
            <v>15.764705882352942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C116">
            <v>45.012999999999998</v>
          </cell>
          <cell r="D116">
            <v>150.40199999999999</v>
          </cell>
          <cell r="E116">
            <v>101.544</v>
          </cell>
          <cell r="F116">
            <v>70.471000000000004</v>
          </cell>
          <cell r="G116">
            <v>1</v>
          </cell>
          <cell r="H116">
            <v>60</v>
          </cell>
          <cell r="I116" t="str">
            <v>НЕДОГРУЗ / матрица</v>
          </cell>
          <cell r="K116">
            <v>102.9</v>
          </cell>
          <cell r="L116">
            <v>-1.3560000000000088</v>
          </cell>
          <cell r="M116">
            <v>101.544</v>
          </cell>
          <cell r="O116">
            <v>96.399999999999991</v>
          </cell>
          <cell r="P116">
            <v>103.6</v>
          </cell>
          <cell r="Q116">
            <v>50</v>
          </cell>
          <cell r="R116">
            <v>0</v>
          </cell>
          <cell r="T116">
            <v>20.308799999999998</v>
          </cell>
          <cell r="V116">
            <v>15.779908217127552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C117">
            <v>756.274</v>
          </cell>
          <cell r="D117">
            <v>598.08500000000004</v>
          </cell>
          <cell r="E117">
            <v>770.37</v>
          </cell>
          <cell r="F117">
            <v>431.42099999999999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783.2</v>
          </cell>
          <cell r="L117">
            <v>-12.830000000000041</v>
          </cell>
          <cell r="M117">
            <v>770.37</v>
          </cell>
          <cell r="O117">
            <v>144.6</v>
          </cell>
          <cell r="P117">
            <v>155.4</v>
          </cell>
          <cell r="Q117">
            <v>141.43226599999969</v>
          </cell>
          <cell r="R117">
            <v>156.03693345999989</v>
          </cell>
          <cell r="S117">
            <v>165.68870254000001</v>
          </cell>
          <cell r="T117">
            <v>154.07400000000001</v>
          </cell>
          <cell r="U117">
            <v>654.3090980000004</v>
          </cell>
          <cell r="V117">
            <v>12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C118">
            <v>86.096000000000004</v>
          </cell>
          <cell r="D118">
            <v>18.103000000000002</v>
          </cell>
          <cell r="E118">
            <v>52.753999999999998</v>
          </cell>
          <cell r="F118">
            <v>35.604999999999997</v>
          </cell>
          <cell r="G118">
            <v>1</v>
          </cell>
          <cell r="H118">
            <v>60</v>
          </cell>
          <cell r="I118" t="str">
            <v>НЕДОГРУЗ / матрица</v>
          </cell>
          <cell r="K118">
            <v>58.067999999999998</v>
          </cell>
          <cell r="L118">
            <v>-5.3140000000000001</v>
          </cell>
          <cell r="M118">
            <v>52.753999999999998</v>
          </cell>
          <cell r="O118">
            <v>13.22951999999999</v>
          </cell>
          <cell r="Q118">
            <v>0</v>
          </cell>
          <cell r="R118">
            <v>0</v>
          </cell>
          <cell r="T118">
            <v>10.550799999999999</v>
          </cell>
          <cell r="U118">
            <v>77.775080000000003</v>
          </cell>
          <cell r="V118">
            <v>12</v>
          </cell>
        </row>
        <row r="119">
          <cell r="A119" t="str">
            <v xml:space="preserve"> 597  Колбаса Классическая ТМ Особый рецепт в оболочке полиамид ВЕС. ПОКОМ</v>
          </cell>
          <cell r="B119" t="str">
            <v>кг</v>
          </cell>
          <cell r="C119">
            <v>1776.5340000000001</v>
          </cell>
          <cell r="D119">
            <v>292.66699999999997</v>
          </cell>
          <cell r="E119">
            <v>2006.7070000000001</v>
          </cell>
          <cell r="F119">
            <v>4.5060000000000002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2111.6999999999998</v>
          </cell>
          <cell r="L119">
            <v>-104.99299999999971</v>
          </cell>
          <cell r="M119">
            <v>2006.7070000000001</v>
          </cell>
          <cell r="O119">
            <v>192.8</v>
          </cell>
          <cell r="P119">
            <v>207.2</v>
          </cell>
          <cell r="Q119">
            <v>0</v>
          </cell>
          <cell r="R119">
            <v>939.81714049999982</v>
          </cell>
          <cell r="S119">
            <v>997.95015949999993</v>
          </cell>
          <cell r="T119">
            <v>401.34140000000002</v>
          </cell>
          <cell r="U119">
            <v>2473.8235000000004</v>
          </cell>
          <cell r="V119">
            <v>12</v>
          </cell>
        </row>
        <row r="120">
          <cell r="A120" t="str">
            <v xml:space="preserve"> 614  Буженина в пряном маринаде 0,25 кг консервы из мяса индейки ТМ Стародворье  ПОКОМ</v>
          </cell>
          <cell r="B120" t="str">
            <v>шт</v>
          </cell>
          <cell r="C120">
            <v>184</v>
          </cell>
          <cell r="E120">
            <v>9</v>
          </cell>
          <cell r="F120">
            <v>173</v>
          </cell>
          <cell r="G120">
            <v>0.25</v>
          </cell>
          <cell r="H120">
            <v>1096</v>
          </cell>
          <cell r="I120" t="str">
            <v>матрица</v>
          </cell>
          <cell r="K120">
            <v>10</v>
          </cell>
          <cell r="L120">
            <v>-1</v>
          </cell>
          <cell r="M120">
            <v>9</v>
          </cell>
          <cell r="O120">
            <v>0</v>
          </cell>
          <cell r="Q120">
            <v>0</v>
          </cell>
          <cell r="R120">
            <v>0</v>
          </cell>
          <cell r="T120">
            <v>1.8</v>
          </cell>
          <cell r="V120">
            <v>96.111111111111114</v>
          </cell>
        </row>
        <row r="121">
          <cell r="A121" t="str">
            <v xml:space="preserve"> 615  Гречка по-купечески с говядиной и овощами 0,325кг ТМ Стародворье  ПОКОМ</v>
          </cell>
          <cell r="B121" t="str">
            <v>шт</v>
          </cell>
          <cell r="C121">
            <v>98</v>
          </cell>
          <cell r="E121">
            <v>15</v>
          </cell>
          <cell r="F121">
            <v>111</v>
          </cell>
          <cell r="G121">
            <v>0.32500000000000001</v>
          </cell>
          <cell r="H121">
            <v>1096</v>
          </cell>
          <cell r="I121" t="str">
            <v>матрица</v>
          </cell>
          <cell r="K121">
            <v>17</v>
          </cell>
          <cell r="L121">
            <v>-2</v>
          </cell>
          <cell r="M121">
            <v>15</v>
          </cell>
          <cell r="O121">
            <v>0</v>
          </cell>
          <cell r="Q121">
            <v>0</v>
          </cell>
          <cell r="R121">
            <v>0</v>
          </cell>
          <cell r="T121">
            <v>3</v>
          </cell>
          <cell r="V121">
            <v>37</v>
          </cell>
        </row>
        <row r="122">
          <cell r="A122" t="str">
            <v xml:space="preserve"> 616  Индейка томлёная в собственном соку 0,25кг ТМ Стародлворье Консервый из мяс.птицы  ПОКОМ</v>
          </cell>
          <cell r="B122" t="str">
            <v>шт</v>
          </cell>
          <cell r="C122">
            <v>155</v>
          </cell>
          <cell r="E122">
            <v>13</v>
          </cell>
          <cell r="F122">
            <v>140</v>
          </cell>
          <cell r="G122">
            <v>0.25</v>
          </cell>
          <cell r="H122">
            <v>1096</v>
          </cell>
          <cell r="I122" t="str">
            <v>НЕДОГРУЗ / матрица</v>
          </cell>
          <cell r="K122">
            <v>13</v>
          </cell>
          <cell r="L122">
            <v>0</v>
          </cell>
          <cell r="M122">
            <v>13</v>
          </cell>
          <cell r="O122">
            <v>0</v>
          </cell>
          <cell r="Q122">
            <v>0</v>
          </cell>
          <cell r="R122">
            <v>0</v>
          </cell>
          <cell r="T122">
            <v>2.6</v>
          </cell>
          <cell r="V122">
            <v>53.846153846153847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C123">
            <v>5.99</v>
          </cell>
          <cell r="D123">
            <v>18.254000000000001</v>
          </cell>
          <cell r="E123">
            <v>7.4450000000000003</v>
          </cell>
          <cell r="F123">
            <v>11.74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K123">
            <v>7.8</v>
          </cell>
          <cell r="L123">
            <v>-0.35499999999999954</v>
          </cell>
          <cell r="M123">
            <v>7.4450000000000003</v>
          </cell>
          <cell r="O123">
            <v>0</v>
          </cell>
          <cell r="Q123">
            <v>0</v>
          </cell>
          <cell r="R123">
            <v>0</v>
          </cell>
          <cell r="T123">
            <v>1.4890000000000001</v>
          </cell>
          <cell r="V123">
            <v>7.8844862323707181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E124">
            <v>-1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25</v>
          </cell>
          <cell r="L124">
            <v>-26</v>
          </cell>
          <cell r="M124">
            <v>-1</v>
          </cell>
          <cell r="O124">
            <v>0</v>
          </cell>
          <cell r="Q124">
            <v>0</v>
          </cell>
          <cell r="R124">
            <v>30</v>
          </cell>
          <cell r="T124">
            <v>-0.2</v>
          </cell>
          <cell r="U124">
            <v>30</v>
          </cell>
          <cell r="V124">
            <v>-300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D125">
            <v>42</v>
          </cell>
          <cell r="E125">
            <v>6</v>
          </cell>
          <cell r="F125">
            <v>18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23</v>
          </cell>
          <cell r="L125">
            <v>-17</v>
          </cell>
          <cell r="M125">
            <v>6</v>
          </cell>
          <cell r="O125">
            <v>0</v>
          </cell>
          <cell r="Q125">
            <v>0</v>
          </cell>
          <cell r="R125">
            <v>10</v>
          </cell>
          <cell r="T125">
            <v>1.2</v>
          </cell>
          <cell r="U125">
            <v>20</v>
          </cell>
          <cell r="V125">
            <v>40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55.438000000000002</v>
          </cell>
          <cell r="D126">
            <v>116.592</v>
          </cell>
          <cell r="E126">
            <v>86.704999999999998</v>
          </cell>
          <cell r="F126">
            <v>76.587999999999994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96.1</v>
          </cell>
          <cell r="L126">
            <v>-9.394999999999996</v>
          </cell>
          <cell r="M126">
            <v>86.704999999999998</v>
          </cell>
          <cell r="O126">
            <v>0</v>
          </cell>
          <cell r="Q126">
            <v>0</v>
          </cell>
          <cell r="R126">
            <v>35.928964000000043</v>
          </cell>
          <cell r="T126">
            <v>17.341000000000001</v>
          </cell>
          <cell r="U126">
            <v>95.575035999999983</v>
          </cell>
          <cell r="V126">
            <v>12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L127">
            <v>0</v>
          </cell>
          <cell r="M127">
            <v>0</v>
          </cell>
          <cell r="O127">
            <v>0</v>
          </cell>
          <cell r="Q127">
            <v>0</v>
          </cell>
          <cell r="R127">
            <v>10</v>
          </cell>
          <cell r="T127">
            <v>0</v>
          </cell>
          <cell r="U127">
            <v>10</v>
          </cell>
          <cell r="V127" t="e">
            <v>#DIV/0!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1</v>
          </cell>
          <cell r="D128">
            <v>95</v>
          </cell>
          <cell r="E128">
            <v>29</v>
          </cell>
          <cell r="F128">
            <v>41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56</v>
          </cell>
          <cell r="L128">
            <v>-27</v>
          </cell>
          <cell r="M128">
            <v>29</v>
          </cell>
          <cell r="O128">
            <v>0</v>
          </cell>
          <cell r="Q128">
            <v>10</v>
          </cell>
          <cell r="R128">
            <v>10</v>
          </cell>
          <cell r="T128">
            <v>5.8</v>
          </cell>
          <cell r="U128">
            <v>8.5999999999999943</v>
          </cell>
          <cell r="V128">
            <v>12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C129">
            <v>138</v>
          </cell>
          <cell r="D129">
            <v>4</v>
          </cell>
          <cell r="E129">
            <v>88</v>
          </cell>
          <cell r="F129">
            <v>34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95</v>
          </cell>
          <cell r="L129">
            <v>-7</v>
          </cell>
          <cell r="M129">
            <v>88</v>
          </cell>
          <cell r="O129">
            <v>0</v>
          </cell>
          <cell r="Q129">
            <v>0</v>
          </cell>
          <cell r="R129">
            <v>0</v>
          </cell>
          <cell r="T129">
            <v>17.600000000000001</v>
          </cell>
          <cell r="V129">
            <v>1.9318181818181817</v>
          </cell>
        </row>
        <row r="130">
          <cell r="A130" t="str">
            <v>БОНУС_615  Гречка по-купечески с говядиной и овощами 0,325кг ТМ Стародворье  ПОКОМ</v>
          </cell>
          <cell r="B130" t="str">
            <v>шт</v>
          </cell>
          <cell r="C130">
            <v>29</v>
          </cell>
          <cell r="F130">
            <v>29</v>
          </cell>
          <cell r="G130">
            <v>0</v>
          </cell>
          <cell r="I130" t="str">
            <v>бонус</v>
          </cell>
          <cell r="J130" t="str">
            <v xml:space="preserve"> 615  Гречка по-купечески с говядиной и овощами 0,325кг ТМ Стародворье  ПОКОМ</v>
          </cell>
          <cell r="K130">
            <v>6</v>
          </cell>
          <cell r="L130">
            <v>-6</v>
          </cell>
          <cell r="M130">
            <v>0</v>
          </cell>
          <cell r="O130">
            <v>0</v>
          </cell>
          <cell r="Q130">
            <v>0</v>
          </cell>
          <cell r="R130">
            <v>0</v>
          </cell>
          <cell r="T130">
            <v>0</v>
          </cell>
          <cell r="V130" t="e">
            <v>#DIV/0!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" sqref="AH1"/>
    </sheetView>
  </sheetViews>
  <sheetFormatPr defaultRowHeight="15" x14ac:dyDescent="0.25"/>
  <cols>
    <col min="1" max="1" width="55.855468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24" width="7" customWidth="1"/>
    <col min="25" max="25" width="7" style="26" customWidth="1"/>
    <col min="26" max="26" width="9" style="26" customWidth="1"/>
    <col min="27" max="28" width="5" customWidth="1"/>
    <col min="29" max="36" width="6.5703125" customWidth="1"/>
    <col min="37" max="37" width="13.85546875" customWidth="1"/>
    <col min="38" max="39" width="7" customWidth="1"/>
    <col min="40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7">
        <v>1.04</v>
      </c>
      <c r="W1" s="27"/>
      <c r="X1" s="27">
        <v>0.52449999999999997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AL2-AL5</f>
        <v>24</v>
      </c>
      <c r="AM1" s="1">
        <f>AM2-AM5</f>
        <v>13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197</v>
      </c>
      <c r="W2" s="1"/>
      <c r="X2" s="1" t="s">
        <v>198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16600</v>
      </c>
      <c r="AM2" s="1">
        <v>17600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187</v>
      </c>
      <c r="W3" s="3" t="s">
        <v>194</v>
      </c>
      <c r="X3" s="3" t="s">
        <v>194</v>
      </c>
      <c r="Y3" s="3" t="s">
        <v>188</v>
      </c>
      <c r="Z3" s="3" t="s">
        <v>190</v>
      </c>
      <c r="AA3" s="2" t="s">
        <v>17</v>
      </c>
      <c r="AB3" s="2" t="s">
        <v>18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 t="s">
        <v>195</v>
      </c>
      <c r="X4" s="1" t="s">
        <v>196</v>
      </c>
      <c r="Y4" s="1" t="s">
        <v>189</v>
      </c>
      <c r="Z4" s="1"/>
      <c r="AA4" s="1"/>
      <c r="AB4" s="1"/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/>
      <c r="AL4" s="1" t="s">
        <v>195</v>
      </c>
      <c r="AM4" s="1" t="s">
        <v>196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63791.279000000031</v>
      </c>
      <c r="F5" s="4">
        <f>SUM(F6:F500)</f>
        <v>36996.123000000007</v>
      </c>
      <c r="G5" s="7"/>
      <c r="H5" s="1"/>
      <c r="I5" s="1"/>
      <c r="J5" s="1"/>
      <c r="K5" s="4">
        <f t="shared" ref="K5:W5" si="0">SUM(K6:K500)</f>
        <v>69359.288999999975</v>
      </c>
      <c r="L5" s="4">
        <f t="shared" si="0"/>
        <v>-5568.0100000000011</v>
      </c>
      <c r="M5" s="4">
        <f t="shared" si="0"/>
        <v>59481.800000000032</v>
      </c>
      <c r="N5" s="4">
        <f t="shared" si="0"/>
        <v>4309.4790000000003</v>
      </c>
      <c r="O5" s="4">
        <f t="shared" si="0"/>
        <v>16553.145117016</v>
      </c>
      <c r="P5" s="4">
        <f t="shared" si="0"/>
        <v>17042.583520984008</v>
      </c>
      <c r="Q5" s="4">
        <f t="shared" si="0"/>
        <v>14912.667266</v>
      </c>
      <c r="R5" s="4">
        <f t="shared" si="0"/>
        <v>16227.971372570002</v>
      </c>
      <c r="S5" s="4">
        <f t="shared" si="0"/>
        <v>16445.154153429998</v>
      </c>
      <c r="T5" s="4">
        <f t="shared" si="0"/>
        <v>11896.36</v>
      </c>
      <c r="U5" s="4">
        <f t="shared" si="0"/>
        <v>34596.444269999985</v>
      </c>
      <c r="V5" s="4">
        <f t="shared" si="0"/>
        <v>45212.221453999999</v>
      </c>
      <c r="W5" s="4">
        <f t="shared" si="0"/>
        <v>22053.538516944005</v>
      </c>
      <c r="X5" s="4">
        <f t="shared" ref="X5" si="1">SUM(X6:X500)</f>
        <v>23158.682937055997</v>
      </c>
      <c r="Y5" s="4"/>
      <c r="Z5" s="4"/>
      <c r="AA5" s="1"/>
      <c r="AB5" s="1"/>
      <c r="AC5" s="4">
        <f t="shared" ref="AC5:AJ5" si="2">SUM(AC6:AC500)</f>
        <v>10362.461600000004</v>
      </c>
      <c r="AD5" s="4">
        <f t="shared" si="2"/>
        <v>10484.75300000001</v>
      </c>
      <c r="AE5" s="4">
        <f t="shared" si="2"/>
        <v>12416.699399999992</v>
      </c>
      <c r="AF5" s="4">
        <f t="shared" si="2"/>
        <v>11708.138999999994</v>
      </c>
      <c r="AG5" s="4">
        <f t="shared" si="2"/>
        <v>12733.619199999997</v>
      </c>
      <c r="AH5" s="4">
        <f t="shared" si="2"/>
        <v>12494.7556</v>
      </c>
      <c r="AI5" s="4">
        <f t="shared" si="2"/>
        <v>12634.5478</v>
      </c>
      <c r="AJ5" s="4">
        <f t="shared" si="2"/>
        <v>13008.017799999998</v>
      </c>
      <c r="AK5" s="1"/>
      <c r="AL5" s="4">
        <f>SUM(AL6:AL500)</f>
        <v>16576</v>
      </c>
      <c r="AM5" s="4">
        <f>SUM(AM6:AM500)</f>
        <v>17587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1395.1389999999999</v>
      </c>
      <c r="D6" s="1">
        <v>1051.8499999999999</v>
      </c>
      <c r="E6" s="1">
        <v>1934.5360000000001</v>
      </c>
      <c r="F6" s="1">
        <v>-16.420999999999999</v>
      </c>
      <c r="G6" s="7">
        <v>1</v>
      </c>
      <c r="H6" s="1">
        <v>50</v>
      </c>
      <c r="I6" s="1" t="s">
        <v>38</v>
      </c>
      <c r="J6" s="1"/>
      <c r="K6" s="1">
        <v>2090.078</v>
      </c>
      <c r="L6" s="1">
        <f t="shared" ref="L6:L37" si="3">E6-K6</f>
        <v>-155.54199999999992</v>
      </c>
      <c r="M6" s="1">
        <f t="shared" ref="M6:M37" si="4">E6-N6</f>
        <v>1934.5360000000001</v>
      </c>
      <c r="N6" s="1"/>
      <c r="O6" s="1">
        <v>674.8</v>
      </c>
      <c r="P6" s="1">
        <v>725.2</v>
      </c>
      <c r="Q6" s="1"/>
      <c r="R6" s="1">
        <v>1697.5</v>
      </c>
      <c r="S6" s="1">
        <v>1802.5</v>
      </c>
      <c r="T6" s="1">
        <f t="shared" ref="T6:T37" si="5">M6/5</f>
        <v>386.90719999999999</v>
      </c>
      <c r="U6" s="5"/>
      <c r="V6" s="5">
        <f>U6</f>
        <v>0</v>
      </c>
      <c r="W6" s="5">
        <f>V6-X6</f>
        <v>0</v>
      </c>
      <c r="X6" s="5"/>
      <c r="Y6" s="22"/>
      <c r="Z6" s="22"/>
      <c r="AA6" s="1">
        <f>(F6+O6+P6+Q6+R6+S6+V6)/T6</f>
        <v>12.622093876774585</v>
      </c>
      <c r="AB6" s="1">
        <f t="shared" ref="AB6:AB37" si="6">(F6+O6+P6+Q6+R6+S6)/T6</f>
        <v>12.622093876774585</v>
      </c>
      <c r="AC6" s="1">
        <v>372.88260000000002</v>
      </c>
      <c r="AD6" s="1">
        <v>253.00800000000001</v>
      </c>
      <c r="AE6" s="1">
        <v>347.27100000000002</v>
      </c>
      <c r="AF6" s="1">
        <v>256.87139999999999</v>
      </c>
      <c r="AG6" s="1">
        <v>307.10719999999998</v>
      </c>
      <c r="AH6" s="1">
        <v>314.50659999999999</v>
      </c>
      <c r="AI6" s="1">
        <v>330.37540000000001</v>
      </c>
      <c r="AJ6" s="1">
        <v>323.59899999999999</v>
      </c>
      <c r="AK6" s="1"/>
      <c r="AL6" s="1">
        <f>ROUND(G6*W6,0)</f>
        <v>0</v>
      </c>
      <c r="AM6" s="1">
        <f>ROUND(G6*X6,0)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2490.7060000000001</v>
      </c>
      <c r="D7" s="1">
        <v>141.35499999999999</v>
      </c>
      <c r="E7" s="1">
        <v>920.52300000000002</v>
      </c>
      <c r="F7" s="1">
        <v>1395.5809999999999</v>
      </c>
      <c r="G7" s="7">
        <v>1</v>
      </c>
      <c r="H7" s="1">
        <v>45</v>
      </c>
      <c r="I7" s="1" t="s">
        <v>38</v>
      </c>
      <c r="J7" s="1"/>
      <c r="K7" s="1">
        <v>948.93600000000004</v>
      </c>
      <c r="L7" s="1">
        <f t="shared" si="3"/>
        <v>-28.413000000000011</v>
      </c>
      <c r="M7" s="1">
        <f t="shared" si="4"/>
        <v>794.79700000000003</v>
      </c>
      <c r="N7" s="1">
        <v>125.726</v>
      </c>
      <c r="O7" s="1">
        <v>0</v>
      </c>
      <c r="P7" s="1"/>
      <c r="Q7" s="1">
        <v>0</v>
      </c>
      <c r="R7" s="1">
        <v>339.5</v>
      </c>
      <c r="S7" s="1">
        <v>360.5</v>
      </c>
      <c r="T7" s="1">
        <f t="shared" si="5"/>
        <v>158.95940000000002</v>
      </c>
      <c r="U7" s="5"/>
      <c r="V7" s="5">
        <f t="shared" ref="V7:V70" si="7">U7</f>
        <v>0</v>
      </c>
      <c r="W7" s="5">
        <f t="shared" ref="W7:W70" si="8">V7-X7</f>
        <v>0</v>
      </c>
      <c r="X7" s="5"/>
      <c r="Y7" s="22"/>
      <c r="Z7" s="22"/>
      <c r="AA7" s="1">
        <f t="shared" ref="AA7:AA70" si="9">(F7+O7+P7+Q7+R7+S7+V7)/T7</f>
        <v>13.183120973028332</v>
      </c>
      <c r="AB7" s="1">
        <f t="shared" si="6"/>
        <v>13.183120973028332</v>
      </c>
      <c r="AC7" s="1">
        <v>146.95519999999999</v>
      </c>
      <c r="AD7" s="1">
        <v>170.70339999999999</v>
      </c>
      <c r="AE7" s="1">
        <v>199.7456</v>
      </c>
      <c r="AF7" s="1">
        <v>203.16059999999999</v>
      </c>
      <c r="AG7" s="1">
        <v>215.5368</v>
      </c>
      <c r="AH7" s="1">
        <v>330.04300000000001</v>
      </c>
      <c r="AI7" s="1">
        <v>367.75</v>
      </c>
      <c r="AJ7" s="1">
        <v>250.43219999999999</v>
      </c>
      <c r="AK7" s="1" t="s">
        <v>40</v>
      </c>
      <c r="AL7" s="1">
        <f t="shared" ref="AL7:AL70" si="10">ROUND(G7*W7,0)</f>
        <v>0</v>
      </c>
      <c r="AM7" s="1">
        <f t="shared" ref="AM7:AM70" si="11">ROUND(G7*X7,0)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4651.2690000000002</v>
      </c>
      <c r="D8" s="1">
        <v>1904.973</v>
      </c>
      <c r="E8" s="1">
        <v>2991.297</v>
      </c>
      <c r="F8" s="1">
        <v>2503.3679999999999</v>
      </c>
      <c r="G8" s="7">
        <v>1</v>
      </c>
      <c r="H8" s="1">
        <v>45</v>
      </c>
      <c r="I8" s="10" t="s">
        <v>42</v>
      </c>
      <c r="J8" s="1"/>
      <c r="K8" s="1">
        <v>3110.694</v>
      </c>
      <c r="L8" s="1">
        <f t="shared" si="3"/>
        <v>-119.39699999999993</v>
      </c>
      <c r="M8" s="1">
        <f t="shared" si="4"/>
        <v>2411.6089999999999</v>
      </c>
      <c r="N8" s="1">
        <v>579.68799999999999</v>
      </c>
      <c r="O8" s="1">
        <v>771.19999999999993</v>
      </c>
      <c r="P8" s="1">
        <v>828.80000000000007</v>
      </c>
      <c r="Q8" s="1">
        <v>300</v>
      </c>
      <c r="R8" s="1">
        <v>509.05608729999989</v>
      </c>
      <c r="S8" s="1">
        <v>540.54409269999996</v>
      </c>
      <c r="T8" s="1">
        <f t="shared" si="5"/>
        <v>482.3218</v>
      </c>
      <c r="U8" s="5">
        <f t="shared" ref="U8:U11" si="12">12*T8-S8-R8-Q8-P8-O8-F8</f>
        <v>334.89342000000079</v>
      </c>
      <c r="V8" s="5">
        <f>U8+T8*$V$1</f>
        <v>836.50809200000083</v>
      </c>
      <c r="W8" s="5">
        <f t="shared" si="8"/>
        <v>397.7595977460004</v>
      </c>
      <c r="X8" s="5">
        <f>V8*$X$1</f>
        <v>438.74849425400043</v>
      </c>
      <c r="Y8" s="22"/>
      <c r="Z8" s="22"/>
      <c r="AA8" s="1">
        <f t="shared" si="9"/>
        <v>13.04</v>
      </c>
      <c r="AB8" s="1">
        <f t="shared" si="6"/>
        <v>11.305663936400965</v>
      </c>
      <c r="AC8" s="1">
        <v>477.91320000000002</v>
      </c>
      <c r="AD8" s="1">
        <v>591.2826</v>
      </c>
      <c r="AE8" s="1">
        <v>723.93399999999997</v>
      </c>
      <c r="AF8" s="1">
        <v>580.02659999999992</v>
      </c>
      <c r="AG8" s="1">
        <v>625.75400000000002</v>
      </c>
      <c r="AH8" s="1">
        <v>800.88400000000001</v>
      </c>
      <c r="AI8" s="1">
        <v>833.0154</v>
      </c>
      <c r="AJ8" s="1">
        <v>751.53280000000007</v>
      </c>
      <c r="AK8" s="1" t="s">
        <v>40</v>
      </c>
      <c r="AL8" s="1">
        <f t="shared" si="10"/>
        <v>398</v>
      </c>
      <c r="AM8" s="1">
        <f t="shared" si="11"/>
        <v>439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44</v>
      </c>
      <c r="C9" s="1">
        <v>1</v>
      </c>
      <c r="D9" s="1">
        <v>40</v>
      </c>
      <c r="E9" s="1">
        <v>6</v>
      </c>
      <c r="F9" s="1">
        <v>35</v>
      </c>
      <c r="G9" s="7">
        <v>0.4</v>
      </c>
      <c r="H9" s="1">
        <v>50</v>
      </c>
      <c r="I9" s="1" t="s">
        <v>38</v>
      </c>
      <c r="J9" s="1"/>
      <c r="K9" s="1">
        <v>6</v>
      </c>
      <c r="L9" s="1">
        <f t="shared" si="3"/>
        <v>0</v>
      </c>
      <c r="M9" s="1">
        <f t="shared" si="4"/>
        <v>6</v>
      </c>
      <c r="N9" s="1"/>
      <c r="O9" s="1">
        <v>0</v>
      </c>
      <c r="P9" s="1"/>
      <c r="Q9" s="1">
        <v>0</v>
      </c>
      <c r="R9" s="1">
        <v>0</v>
      </c>
      <c r="S9" s="1"/>
      <c r="T9" s="1">
        <f t="shared" si="5"/>
        <v>1.2</v>
      </c>
      <c r="U9" s="5"/>
      <c r="V9" s="5">
        <f t="shared" si="7"/>
        <v>0</v>
      </c>
      <c r="W9" s="5">
        <f t="shared" si="8"/>
        <v>0</v>
      </c>
      <c r="X9" s="5"/>
      <c r="Y9" s="22"/>
      <c r="Z9" s="22"/>
      <c r="AA9" s="1">
        <f t="shared" si="9"/>
        <v>29.166666666666668</v>
      </c>
      <c r="AB9" s="1">
        <f t="shared" si="6"/>
        <v>29.166666666666668</v>
      </c>
      <c r="AC9" s="1">
        <v>0.6</v>
      </c>
      <c r="AD9" s="1">
        <v>-0.2</v>
      </c>
      <c r="AE9" s="1">
        <v>0.2</v>
      </c>
      <c r="AF9" s="1">
        <v>2.2000000000000002</v>
      </c>
      <c r="AG9" s="1">
        <v>2</v>
      </c>
      <c r="AH9" s="1">
        <v>0</v>
      </c>
      <c r="AI9" s="1">
        <v>0.2</v>
      </c>
      <c r="AJ9" s="1">
        <v>2.4</v>
      </c>
      <c r="AK9" s="1" t="s">
        <v>45</v>
      </c>
      <c r="AL9" s="1">
        <f t="shared" si="10"/>
        <v>0</v>
      </c>
      <c r="AM9" s="1">
        <f t="shared" si="11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44</v>
      </c>
      <c r="C10" s="1">
        <v>4380</v>
      </c>
      <c r="D10" s="1">
        <v>6274</v>
      </c>
      <c r="E10" s="1">
        <v>1547</v>
      </c>
      <c r="F10" s="1">
        <v>5031</v>
      </c>
      <c r="G10" s="7">
        <v>0.45</v>
      </c>
      <c r="H10" s="1">
        <v>45</v>
      </c>
      <c r="I10" s="1" t="s">
        <v>38</v>
      </c>
      <c r="J10" s="1"/>
      <c r="K10" s="1">
        <v>1700</v>
      </c>
      <c r="L10" s="1">
        <f t="shared" si="3"/>
        <v>-153</v>
      </c>
      <c r="M10" s="1">
        <f t="shared" si="4"/>
        <v>1547</v>
      </c>
      <c r="N10" s="1"/>
      <c r="O10" s="1">
        <v>0</v>
      </c>
      <c r="P10" s="1"/>
      <c r="Q10" s="1">
        <v>0</v>
      </c>
      <c r="R10" s="1">
        <v>0</v>
      </c>
      <c r="S10" s="1"/>
      <c r="T10" s="1">
        <f t="shared" si="5"/>
        <v>309.39999999999998</v>
      </c>
      <c r="U10" s="5"/>
      <c r="V10" s="5">
        <f t="shared" si="7"/>
        <v>0</v>
      </c>
      <c r="W10" s="5">
        <f t="shared" si="8"/>
        <v>0</v>
      </c>
      <c r="X10" s="5"/>
      <c r="Y10" s="22"/>
      <c r="Z10" s="22"/>
      <c r="AA10" s="1">
        <f t="shared" si="9"/>
        <v>16.260504201680675</v>
      </c>
      <c r="AB10" s="1">
        <f t="shared" si="6"/>
        <v>16.260504201680675</v>
      </c>
      <c r="AC10" s="1">
        <v>244.8</v>
      </c>
      <c r="AD10" s="1">
        <v>244.4</v>
      </c>
      <c r="AE10" s="1">
        <v>326</v>
      </c>
      <c r="AF10" s="1">
        <v>640.6</v>
      </c>
      <c r="AG10" s="1">
        <v>845.8</v>
      </c>
      <c r="AH10" s="1">
        <v>569</v>
      </c>
      <c r="AI10" s="1">
        <v>530.86719999999991</v>
      </c>
      <c r="AJ10" s="1">
        <v>514.46719999999993</v>
      </c>
      <c r="AK10" s="15" t="s">
        <v>47</v>
      </c>
      <c r="AL10" s="1">
        <f t="shared" si="10"/>
        <v>0</v>
      </c>
      <c r="AM10" s="1">
        <f t="shared" si="11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44</v>
      </c>
      <c r="C11" s="1">
        <v>4989</v>
      </c>
      <c r="D11" s="1">
        <v>2402</v>
      </c>
      <c r="E11" s="1">
        <v>2361</v>
      </c>
      <c r="F11" s="1">
        <v>2717</v>
      </c>
      <c r="G11" s="7">
        <v>0.45</v>
      </c>
      <c r="H11" s="1">
        <v>45</v>
      </c>
      <c r="I11" s="1" t="s">
        <v>38</v>
      </c>
      <c r="J11" s="1"/>
      <c r="K11" s="1">
        <v>2532</v>
      </c>
      <c r="L11" s="1">
        <f t="shared" si="3"/>
        <v>-171</v>
      </c>
      <c r="M11" s="1">
        <f t="shared" si="4"/>
        <v>2361</v>
      </c>
      <c r="N11" s="1"/>
      <c r="O11" s="1">
        <v>0</v>
      </c>
      <c r="P11" s="1"/>
      <c r="Q11" s="1">
        <v>100</v>
      </c>
      <c r="R11" s="1">
        <v>0</v>
      </c>
      <c r="S11" s="1"/>
      <c r="T11" s="1">
        <f t="shared" si="5"/>
        <v>472.2</v>
      </c>
      <c r="U11" s="5">
        <f t="shared" si="12"/>
        <v>2849.3999999999996</v>
      </c>
      <c r="V11" s="5">
        <f>U11+T11*$V$1</f>
        <v>3340.4879999999998</v>
      </c>
      <c r="W11" s="5">
        <f t="shared" si="8"/>
        <v>1588.4020439999999</v>
      </c>
      <c r="X11" s="5">
        <f>V11*$X$1</f>
        <v>1752.0859559999999</v>
      </c>
      <c r="Y11" s="22"/>
      <c r="Z11" s="22"/>
      <c r="AA11" s="1">
        <f t="shared" si="9"/>
        <v>13.04</v>
      </c>
      <c r="AB11" s="1">
        <f t="shared" si="6"/>
        <v>5.9656925031766201</v>
      </c>
      <c r="AC11" s="1">
        <v>409.6</v>
      </c>
      <c r="AD11" s="1">
        <v>413.8</v>
      </c>
      <c r="AE11" s="1">
        <v>502.6</v>
      </c>
      <c r="AF11" s="1">
        <v>524</v>
      </c>
      <c r="AG11" s="1">
        <v>664.8</v>
      </c>
      <c r="AH11" s="1">
        <v>660.6</v>
      </c>
      <c r="AI11" s="1">
        <v>572.67619999999999</v>
      </c>
      <c r="AJ11" s="1">
        <v>553.87619999999993</v>
      </c>
      <c r="AK11" s="1"/>
      <c r="AL11" s="1">
        <f t="shared" si="10"/>
        <v>715</v>
      </c>
      <c r="AM11" s="1">
        <f t="shared" si="11"/>
        <v>788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44</v>
      </c>
      <c r="C12" s="1">
        <v>76</v>
      </c>
      <c r="D12" s="1">
        <v>168</v>
      </c>
      <c r="E12" s="1">
        <v>89</v>
      </c>
      <c r="F12" s="1">
        <v>145</v>
      </c>
      <c r="G12" s="7">
        <v>0.17</v>
      </c>
      <c r="H12" s="1">
        <v>180</v>
      </c>
      <c r="I12" s="1" t="s">
        <v>38</v>
      </c>
      <c r="J12" s="1"/>
      <c r="K12" s="1">
        <v>96</v>
      </c>
      <c r="L12" s="1">
        <f t="shared" si="3"/>
        <v>-7</v>
      </c>
      <c r="M12" s="1">
        <f t="shared" si="4"/>
        <v>89</v>
      </c>
      <c r="N12" s="1"/>
      <c r="O12" s="1">
        <v>0</v>
      </c>
      <c r="P12" s="1"/>
      <c r="Q12" s="1">
        <v>0</v>
      </c>
      <c r="R12" s="1">
        <v>71.186000000000035</v>
      </c>
      <c r="S12" s="1"/>
      <c r="T12" s="1">
        <f t="shared" si="5"/>
        <v>17.8</v>
      </c>
      <c r="U12" s="5"/>
      <c r="V12" s="5">
        <f t="shared" si="7"/>
        <v>0</v>
      </c>
      <c r="W12" s="5">
        <f t="shared" si="8"/>
        <v>0</v>
      </c>
      <c r="X12" s="5"/>
      <c r="Y12" s="22"/>
      <c r="Z12" s="22"/>
      <c r="AA12" s="1">
        <f t="shared" si="9"/>
        <v>12.145280898876406</v>
      </c>
      <c r="AB12" s="1">
        <f t="shared" si="6"/>
        <v>12.145280898876406</v>
      </c>
      <c r="AC12" s="1">
        <v>23</v>
      </c>
      <c r="AD12" s="1">
        <v>14.8</v>
      </c>
      <c r="AE12" s="1">
        <v>14.8</v>
      </c>
      <c r="AF12" s="1">
        <v>22.2</v>
      </c>
      <c r="AG12" s="1">
        <v>26</v>
      </c>
      <c r="AH12" s="1">
        <v>20.399999999999999</v>
      </c>
      <c r="AI12" s="1">
        <v>9.4</v>
      </c>
      <c r="AJ12" s="1">
        <v>17.2</v>
      </c>
      <c r="AK12" s="1"/>
      <c r="AL12" s="1">
        <f t="shared" si="10"/>
        <v>0</v>
      </c>
      <c r="AM12" s="1">
        <f t="shared" si="11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44</v>
      </c>
      <c r="C13" s="1">
        <v>24</v>
      </c>
      <c r="D13" s="1">
        <v>103</v>
      </c>
      <c r="E13" s="1">
        <v>24</v>
      </c>
      <c r="F13" s="1">
        <v>90</v>
      </c>
      <c r="G13" s="7">
        <v>0.3</v>
      </c>
      <c r="H13" s="1">
        <v>40</v>
      </c>
      <c r="I13" s="1" t="s">
        <v>38</v>
      </c>
      <c r="J13" s="1"/>
      <c r="K13" s="1">
        <v>37</v>
      </c>
      <c r="L13" s="1">
        <f t="shared" si="3"/>
        <v>-13</v>
      </c>
      <c r="M13" s="1">
        <f t="shared" si="4"/>
        <v>24</v>
      </c>
      <c r="N13" s="1"/>
      <c r="O13" s="1">
        <v>20</v>
      </c>
      <c r="P13" s="1"/>
      <c r="Q13" s="1">
        <v>0</v>
      </c>
      <c r="R13" s="1">
        <v>0</v>
      </c>
      <c r="S13" s="1"/>
      <c r="T13" s="1">
        <f t="shared" si="5"/>
        <v>4.8</v>
      </c>
      <c r="U13" s="5"/>
      <c r="V13" s="5">
        <f t="shared" si="7"/>
        <v>0</v>
      </c>
      <c r="W13" s="5">
        <f t="shared" si="8"/>
        <v>0</v>
      </c>
      <c r="X13" s="5"/>
      <c r="Y13" s="22"/>
      <c r="Z13" s="22"/>
      <c r="AA13" s="1">
        <f t="shared" si="9"/>
        <v>22.916666666666668</v>
      </c>
      <c r="AB13" s="1">
        <f t="shared" si="6"/>
        <v>22.916666666666668</v>
      </c>
      <c r="AC13" s="1">
        <v>7.2</v>
      </c>
      <c r="AD13" s="1">
        <v>7</v>
      </c>
      <c r="AE13" s="1">
        <v>7.6</v>
      </c>
      <c r="AF13" s="1">
        <v>9.4</v>
      </c>
      <c r="AG13" s="1">
        <v>6.8</v>
      </c>
      <c r="AH13" s="1">
        <v>5.8</v>
      </c>
      <c r="AI13" s="1">
        <v>9.1999999999999993</v>
      </c>
      <c r="AJ13" s="1">
        <v>8.6</v>
      </c>
      <c r="AK13" s="1"/>
      <c r="AL13" s="1">
        <f t="shared" si="10"/>
        <v>0</v>
      </c>
      <c r="AM13" s="1">
        <f t="shared" si="11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44</v>
      </c>
      <c r="C14" s="1">
        <v>114</v>
      </c>
      <c r="D14" s="1">
        <v>155</v>
      </c>
      <c r="E14" s="1">
        <v>195</v>
      </c>
      <c r="F14" s="1">
        <v>43</v>
      </c>
      <c r="G14" s="7">
        <v>0.17</v>
      </c>
      <c r="H14" s="1">
        <v>180</v>
      </c>
      <c r="I14" s="1" t="s">
        <v>38</v>
      </c>
      <c r="J14" s="1"/>
      <c r="K14" s="1">
        <v>203</v>
      </c>
      <c r="L14" s="1">
        <f t="shared" si="3"/>
        <v>-8</v>
      </c>
      <c r="M14" s="1">
        <f t="shared" si="4"/>
        <v>195</v>
      </c>
      <c r="N14" s="1"/>
      <c r="O14" s="1">
        <v>89.202000000000339</v>
      </c>
      <c r="P14" s="1"/>
      <c r="Q14" s="1">
        <v>312.60000000000002</v>
      </c>
      <c r="R14" s="1">
        <v>39.672999999999988</v>
      </c>
      <c r="S14" s="1">
        <v>42.127000000000002</v>
      </c>
      <c r="T14" s="1">
        <f t="shared" si="5"/>
        <v>39</v>
      </c>
      <c r="U14" s="5"/>
      <c r="V14" s="5">
        <f t="shared" si="7"/>
        <v>0</v>
      </c>
      <c r="W14" s="5">
        <f t="shared" si="8"/>
        <v>0</v>
      </c>
      <c r="X14" s="5"/>
      <c r="Y14" s="22"/>
      <c r="Z14" s="22"/>
      <c r="AA14" s="1">
        <f t="shared" si="9"/>
        <v>13.502615384615392</v>
      </c>
      <c r="AB14" s="1">
        <f t="shared" si="6"/>
        <v>13.502615384615392</v>
      </c>
      <c r="AC14" s="1">
        <v>53.6</v>
      </c>
      <c r="AD14" s="1">
        <v>48.6</v>
      </c>
      <c r="AE14" s="1">
        <v>35.6</v>
      </c>
      <c r="AF14" s="1">
        <v>33.4</v>
      </c>
      <c r="AG14" s="1">
        <v>40.6</v>
      </c>
      <c r="AH14" s="1">
        <v>38.6</v>
      </c>
      <c r="AI14" s="1">
        <v>32.799999999999997</v>
      </c>
      <c r="AJ14" s="1">
        <v>33.200000000000003</v>
      </c>
      <c r="AK14" s="1"/>
      <c r="AL14" s="1">
        <f t="shared" si="10"/>
        <v>0</v>
      </c>
      <c r="AM14" s="1">
        <f t="shared" si="11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37</v>
      </c>
      <c r="C15" s="1">
        <v>5075.2790000000005</v>
      </c>
      <c r="D15" s="1">
        <v>1650.856</v>
      </c>
      <c r="E15" s="1">
        <v>4259.6989999999996</v>
      </c>
      <c r="F15" s="1">
        <v>944.47500000000002</v>
      </c>
      <c r="G15" s="7">
        <v>1</v>
      </c>
      <c r="H15" s="1">
        <v>70</v>
      </c>
      <c r="I15" s="1" t="s">
        <v>38</v>
      </c>
      <c r="J15" s="1"/>
      <c r="K15" s="1">
        <v>4227.1530000000002</v>
      </c>
      <c r="L15" s="1">
        <f t="shared" si="3"/>
        <v>32.545999999999367</v>
      </c>
      <c r="M15" s="1">
        <f t="shared" si="4"/>
        <v>3191.0719999999997</v>
      </c>
      <c r="N15" s="1">
        <v>1068.627</v>
      </c>
      <c r="O15" s="1">
        <v>1630.57708</v>
      </c>
      <c r="P15" s="1">
        <v>1752.36292</v>
      </c>
      <c r="Q15" s="1">
        <v>1731.2014000000011</v>
      </c>
      <c r="R15" s="1">
        <v>970</v>
      </c>
      <c r="S15" s="1">
        <v>1030</v>
      </c>
      <c r="T15" s="1">
        <f t="shared" si="5"/>
        <v>638.21439999999996</v>
      </c>
      <c r="U15" s="5"/>
      <c r="V15" s="5">
        <f t="shared" si="7"/>
        <v>0</v>
      </c>
      <c r="W15" s="5">
        <f t="shared" si="8"/>
        <v>0</v>
      </c>
      <c r="X15" s="5"/>
      <c r="Y15" s="22"/>
      <c r="Z15" s="22"/>
      <c r="AA15" s="1">
        <f t="shared" si="9"/>
        <v>12.626816944274529</v>
      </c>
      <c r="AB15" s="1">
        <f t="shared" si="6"/>
        <v>12.626816944274529</v>
      </c>
      <c r="AC15" s="1">
        <v>684.60360000000003</v>
      </c>
      <c r="AD15" s="1">
        <v>863.32839999999999</v>
      </c>
      <c r="AE15" s="1">
        <v>914.48199999999997</v>
      </c>
      <c r="AF15" s="1">
        <v>675.87339999999995</v>
      </c>
      <c r="AG15" s="1">
        <v>648.81240000000003</v>
      </c>
      <c r="AH15" s="1">
        <v>873.28039999999999</v>
      </c>
      <c r="AI15" s="1">
        <v>934.93299999999999</v>
      </c>
      <c r="AJ15" s="1">
        <v>830.74639999999999</v>
      </c>
      <c r="AK15" s="1" t="s">
        <v>40</v>
      </c>
      <c r="AL15" s="1">
        <f t="shared" si="10"/>
        <v>0</v>
      </c>
      <c r="AM15" s="1">
        <f t="shared" si="11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37</v>
      </c>
      <c r="C16" s="1">
        <v>4981.5519999999997</v>
      </c>
      <c r="D16" s="1">
        <v>3296.893</v>
      </c>
      <c r="E16" s="1">
        <v>3989.2620000000002</v>
      </c>
      <c r="F16" s="1">
        <v>2551.7669999999998</v>
      </c>
      <c r="G16" s="7">
        <v>1</v>
      </c>
      <c r="H16" s="1">
        <v>50</v>
      </c>
      <c r="I16" s="1" t="s">
        <v>38</v>
      </c>
      <c r="J16" s="1"/>
      <c r="K16" s="1">
        <v>4134.6670000000004</v>
      </c>
      <c r="L16" s="1">
        <f t="shared" si="3"/>
        <v>-145.4050000000002</v>
      </c>
      <c r="M16" s="1">
        <f t="shared" si="4"/>
        <v>2667.4949999999999</v>
      </c>
      <c r="N16" s="1">
        <v>1321.7670000000001</v>
      </c>
      <c r="O16" s="1">
        <v>223.361861664</v>
      </c>
      <c r="P16" s="1">
        <v>240.044490336</v>
      </c>
      <c r="Q16" s="1">
        <v>1923.549</v>
      </c>
      <c r="R16" s="1">
        <v>1212.5</v>
      </c>
      <c r="S16" s="1">
        <v>1287.5</v>
      </c>
      <c r="T16" s="1">
        <f t="shared" si="5"/>
        <v>533.49900000000002</v>
      </c>
      <c r="U16" s="5"/>
      <c r="V16" s="5">
        <f t="shared" si="7"/>
        <v>0</v>
      </c>
      <c r="W16" s="5">
        <f t="shared" si="8"/>
        <v>0</v>
      </c>
      <c r="X16" s="5"/>
      <c r="Y16" s="22"/>
      <c r="Z16" s="22"/>
      <c r="AA16" s="1">
        <f t="shared" si="9"/>
        <v>13.94327328073717</v>
      </c>
      <c r="AB16" s="1">
        <f t="shared" si="6"/>
        <v>13.94327328073717</v>
      </c>
      <c r="AC16" s="1">
        <v>724.56679999999994</v>
      </c>
      <c r="AD16" s="1">
        <v>751.04700000000003</v>
      </c>
      <c r="AE16" s="1">
        <v>753.80539999999996</v>
      </c>
      <c r="AF16" s="1">
        <v>623.83040000000005</v>
      </c>
      <c r="AG16" s="1">
        <v>608.67060000000004</v>
      </c>
      <c r="AH16" s="1">
        <v>760.83500000000004</v>
      </c>
      <c r="AI16" s="1">
        <v>778.13599999999997</v>
      </c>
      <c r="AJ16" s="1">
        <v>651.7174</v>
      </c>
      <c r="AK16" s="1" t="s">
        <v>40</v>
      </c>
      <c r="AL16" s="1">
        <f t="shared" si="10"/>
        <v>0</v>
      </c>
      <c r="AM16" s="1">
        <f t="shared" si="11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37</v>
      </c>
      <c r="C17" s="1">
        <v>95.332999999999998</v>
      </c>
      <c r="D17" s="1">
        <v>293.92599999999999</v>
      </c>
      <c r="E17" s="1">
        <v>133.02500000000001</v>
      </c>
      <c r="F17" s="1">
        <v>198.90199999999999</v>
      </c>
      <c r="G17" s="7">
        <v>1</v>
      </c>
      <c r="H17" s="1">
        <v>60</v>
      </c>
      <c r="I17" s="1" t="s">
        <v>38</v>
      </c>
      <c r="J17" s="1"/>
      <c r="K17" s="1">
        <v>284.14999999999998</v>
      </c>
      <c r="L17" s="1">
        <f t="shared" si="3"/>
        <v>-151.12499999999997</v>
      </c>
      <c r="M17" s="1">
        <f t="shared" si="4"/>
        <v>133.02500000000001</v>
      </c>
      <c r="N17" s="1"/>
      <c r="O17" s="1">
        <v>248.33245777600001</v>
      </c>
      <c r="P17" s="1">
        <v>266.88011022400002</v>
      </c>
      <c r="Q17" s="1">
        <v>0</v>
      </c>
      <c r="R17" s="1">
        <v>0</v>
      </c>
      <c r="S17" s="1"/>
      <c r="T17" s="1">
        <f t="shared" si="5"/>
        <v>26.605</v>
      </c>
      <c r="U17" s="5"/>
      <c r="V17" s="5">
        <f t="shared" si="7"/>
        <v>0</v>
      </c>
      <c r="W17" s="5">
        <f t="shared" si="8"/>
        <v>0</v>
      </c>
      <c r="X17" s="5"/>
      <c r="Y17" s="22"/>
      <c r="Z17" s="22"/>
      <c r="AA17" s="1">
        <f t="shared" si="9"/>
        <v>26.841366961097535</v>
      </c>
      <c r="AB17" s="1">
        <f t="shared" si="6"/>
        <v>26.841366961097535</v>
      </c>
      <c r="AC17" s="1">
        <v>20.235399999999998</v>
      </c>
      <c r="AD17" s="1">
        <v>64.747600000000006</v>
      </c>
      <c r="AE17" s="1">
        <v>80.977200000000011</v>
      </c>
      <c r="AF17" s="1">
        <v>49.133600000000001</v>
      </c>
      <c r="AG17" s="1">
        <v>48.952800000000003</v>
      </c>
      <c r="AH17" s="1">
        <v>44.703800000000001</v>
      </c>
      <c r="AI17" s="1">
        <v>25.674399999999999</v>
      </c>
      <c r="AJ17" s="1">
        <v>21.1402</v>
      </c>
      <c r="AK17" s="1"/>
      <c r="AL17" s="1">
        <f t="shared" si="10"/>
        <v>0</v>
      </c>
      <c r="AM17" s="1">
        <f t="shared" si="11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1" t="s">
        <v>55</v>
      </c>
      <c r="B18" s="11" t="s">
        <v>37</v>
      </c>
      <c r="C18" s="11"/>
      <c r="D18" s="11"/>
      <c r="E18" s="11"/>
      <c r="F18" s="11"/>
      <c r="G18" s="12">
        <v>0</v>
      </c>
      <c r="H18" s="11"/>
      <c r="I18" s="11" t="s">
        <v>38</v>
      </c>
      <c r="J18" s="11"/>
      <c r="K18" s="11">
        <v>0.8</v>
      </c>
      <c r="L18" s="11">
        <f t="shared" si="3"/>
        <v>-0.8</v>
      </c>
      <c r="M18" s="11">
        <f t="shared" si="4"/>
        <v>0</v>
      </c>
      <c r="N18" s="11"/>
      <c r="O18" s="11">
        <v>0</v>
      </c>
      <c r="P18" s="11"/>
      <c r="Q18" s="11">
        <v>0</v>
      </c>
      <c r="R18" s="11">
        <v>0</v>
      </c>
      <c r="S18" s="11"/>
      <c r="T18" s="11">
        <f t="shared" si="5"/>
        <v>0</v>
      </c>
      <c r="U18" s="13"/>
      <c r="V18" s="5">
        <f t="shared" si="7"/>
        <v>0</v>
      </c>
      <c r="W18" s="5">
        <f t="shared" si="8"/>
        <v>0</v>
      </c>
      <c r="X18" s="5"/>
      <c r="Y18" s="23"/>
      <c r="Z18" s="22"/>
      <c r="AA18" s="1" t="e">
        <f t="shared" si="9"/>
        <v>#DIV/0!</v>
      </c>
      <c r="AB18" s="11" t="e">
        <f t="shared" si="6"/>
        <v>#DIV/0!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 t="s">
        <v>56</v>
      </c>
      <c r="AL18" s="1">
        <f t="shared" si="10"/>
        <v>0</v>
      </c>
      <c r="AM18" s="1">
        <f t="shared" si="11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37</v>
      </c>
      <c r="C19" s="1">
        <v>11.272</v>
      </c>
      <c r="D19" s="1">
        <v>2.1720000000000002</v>
      </c>
      <c r="E19" s="1">
        <v>1.81</v>
      </c>
      <c r="F19" s="1">
        <v>9.4619999999999997</v>
      </c>
      <c r="G19" s="7">
        <v>1</v>
      </c>
      <c r="H19" s="1">
        <v>180</v>
      </c>
      <c r="I19" s="1" t="s">
        <v>38</v>
      </c>
      <c r="J19" s="1"/>
      <c r="K19" s="1">
        <v>3.75</v>
      </c>
      <c r="L19" s="1">
        <f t="shared" si="3"/>
        <v>-1.94</v>
      </c>
      <c r="M19" s="1">
        <f t="shared" si="4"/>
        <v>1.81</v>
      </c>
      <c r="N19" s="1"/>
      <c r="O19" s="1">
        <v>0</v>
      </c>
      <c r="P19" s="1"/>
      <c r="Q19" s="1">
        <v>0</v>
      </c>
      <c r="R19" s="1">
        <v>0</v>
      </c>
      <c r="S19" s="1"/>
      <c r="T19" s="1">
        <f t="shared" si="5"/>
        <v>0.36199999999999999</v>
      </c>
      <c r="U19" s="5"/>
      <c r="V19" s="5">
        <f t="shared" si="7"/>
        <v>0</v>
      </c>
      <c r="W19" s="5">
        <f t="shared" si="8"/>
        <v>0</v>
      </c>
      <c r="X19" s="5"/>
      <c r="Y19" s="22"/>
      <c r="Z19" s="22"/>
      <c r="AA19" s="1">
        <f t="shared" si="9"/>
        <v>26.138121546961326</v>
      </c>
      <c r="AB19" s="1">
        <f t="shared" si="6"/>
        <v>26.138121546961326</v>
      </c>
      <c r="AC19" s="1">
        <v>0.58179999999999998</v>
      </c>
      <c r="AD19" s="1">
        <v>0.41959999999999997</v>
      </c>
      <c r="AE19" s="1">
        <v>0.68019999999999992</v>
      </c>
      <c r="AF19" s="1">
        <v>0.82240000000000002</v>
      </c>
      <c r="AG19" s="1">
        <v>0.69000000000000006</v>
      </c>
      <c r="AH19" s="1">
        <v>0.41899999999999998</v>
      </c>
      <c r="AI19" s="1">
        <v>0.92219999999999991</v>
      </c>
      <c r="AJ19" s="1">
        <v>1.4359999999999999</v>
      </c>
      <c r="AK19" s="18" t="s">
        <v>98</v>
      </c>
      <c r="AL19" s="1">
        <f t="shared" si="10"/>
        <v>0</v>
      </c>
      <c r="AM19" s="1">
        <f t="shared" si="11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37</v>
      </c>
      <c r="C20" s="1">
        <v>2985.625</v>
      </c>
      <c r="D20" s="1">
        <v>2840.788</v>
      </c>
      <c r="E20" s="1">
        <v>4569.9880000000003</v>
      </c>
      <c r="F20" s="1">
        <v>16.489999999999998</v>
      </c>
      <c r="G20" s="7">
        <v>1</v>
      </c>
      <c r="H20" s="1">
        <v>60</v>
      </c>
      <c r="I20" s="1" t="s">
        <v>38</v>
      </c>
      <c r="J20" s="1"/>
      <c r="K20" s="1">
        <v>4685.46</v>
      </c>
      <c r="L20" s="1">
        <f t="shared" si="3"/>
        <v>-115.47199999999975</v>
      </c>
      <c r="M20" s="1">
        <f t="shared" si="4"/>
        <v>4569.9880000000003</v>
      </c>
      <c r="N20" s="1"/>
      <c r="O20" s="1">
        <v>1687</v>
      </c>
      <c r="P20" s="1">
        <v>1813</v>
      </c>
      <c r="Q20" s="1"/>
      <c r="R20" s="1">
        <v>1970.41031286</v>
      </c>
      <c r="S20" s="1">
        <v>2092.2913631400002</v>
      </c>
      <c r="T20" s="1">
        <f t="shared" si="5"/>
        <v>913.99760000000003</v>
      </c>
      <c r="U20" s="5">
        <f t="shared" ref="U20:U21" si="13">12*T20-S20-R20-Q20-P20-O20-F20</f>
        <v>3388.7795239999996</v>
      </c>
      <c r="V20" s="5">
        <f t="shared" ref="V20:V21" si="14">U20+T20*$V$1</f>
        <v>4339.3370279999999</v>
      </c>
      <c r="W20" s="5">
        <f t="shared" si="8"/>
        <v>2063.3547568140002</v>
      </c>
      <c r="X20" s="5">
        <f t="shared" ref="X20:X21" si="15">V20*$X$1</f>
        <v>2275.9822711859997</v>
      </c>
      <c r="Y20" s="22"/>
      <c r="Z20" s="22"/>
      <c r="AA20" s="1">
        <f t="shared" si="9"/>
        <v>13.04</v>
      </c>
      <c r="AB20" s="1">
        <f t="shared" si="6"/>
        <v>8.2923540236867144</v>
      </c>
      <c r="AC20" s="1">
        <v>789.43779999999992</v>
      </c>
      <c r="AD20" s="1">
        <v>661.26800000000003</v>
      </c>
      <c r="AE20" s="1">
        <v>917.37380000000007</v>
      </c>
      <c r="AF20" s="1">
        <v>723.88019999999995</v>
      </c>
      <c r="AG20" s="1">
        <v>773.48840000000007</v>
      </c>
      <c r="AH20" s="1">
        <v>732.97140000000002</v>
      </c>
      <c r="AI20" s="1">
        <v>804.43240000000003</v>
      </c>
      <c r="AJ20" s="1">
        <v>875.02719999999988</v>
      </c>
      <c r="AK20" s="1"/>
      <c r="AL20" s="1">
        <f t="shared" si="10"/>
        <v>2063</v>
      </c>
      <c r="AM20" s="1">
        <f t="shared" si="11"/>
        <v>2276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37</v>
      </c>
      <c r="C21" s="1">
        <v>201.005</v>
      </c>
      <c r="D21" s="1">
        <v>622.226</v>
      </c>
      <c r="E21" s="1">
        <v>334.70800000000003</v>
      </c>
      <c r="F21" s="1">
        <v>408.46800000000002</v>
      </c>
      <c r="G21" s="7">
        <v>1</v>
      </c>
      <c r="H21" s="1">
        <v>70</v>
      </c>
      <c r="I21" s="1" t="s">
        <v>38</v>
      </c>
      <c r="J21" s="1"/>
      <c r="K21" s="1">
        <v>359.17399999999998</v>
      </c>
      <c r="L21" s="1">
        <f t="shared" si="3"/>
        <v>-24.465999999999951</v>
      </c>
      <c r="M21" s="1">
        <f t="shared" si="4"/>
        <v>334.70800000000003</v>
      </c>
      <c r="N21" s="1"/>
      <c r="O21" s="1">
        <v>72.3</v>
      </c>
      <c r="P21" s="1">
        <v>77.7</v>
      </c>
      <c r="Q21" s="1">
        <v>0</v>
      </c>
      <c r="R21" s="1">
        <v>0</v>
      </c>
      <c r="S21" s="1"/>
      <c r="T21" s="1">
        <f t="shared" si="5"/>
        <v>66.941600000000008</v>
      </c>
      <c r="U21" s="5">
        <f t="shared" si="13"/>
        <v>244.83120000000014</v>
      </c>
      <c r="V21" s="5">
        <f t="shared" si="14"/>
        <v>314.45046400000012</v>
      </c>
      <c r="W21" s="5">
        <f t="shared" si="8"/>
        <v>149.52119563200006</v>
      </c>
      <c r="X21" s="5">
        <f t="shared" si="15"/>
        <v>164.92926836800007</v>
      </c>
      <c r="Y21" s="22"/>
      <c r="Z21" s="22"/>
      <c r="AA21" s="1">
        <f t="shared" si="9"/>
        <v>13.040000000000001</v>
      </c>
      <c r="AB21" s="1">
        <f t="shared" si="6"/>
        <v>8.3426150555110716</v>
      </c>
      <c r="AC21" s="1">
        <v>35.273200000000003</v>
      </c>
      <c r="AD21" s="1">
        <v>47.993600000000001</v>
      </c>
      <c r="AE21" s="1">
        <v>75.930999999999997</v>
      </c>
      <c r="AF21" s="1">
        <v>74.3142</v>
      </c>
      <c r="AG21" s="1">
        <v>56.826199999999993</v>
      </c>
      <c r="AH21" s="1">
        <v>33.156399999999998</v>
      </c>
      <c r="AI21" s="1">
        <v>51.611800000000002</v>
      </c>
      <c r="AJ21" s="1">
        <v>86.94680000000001</v>
      </c>
      <c r="AK21" s="1"/>
      <c r="AL21" s="1">
        <f t="shared" si="10"/>
        <v>150</v>
      </c>
      <c r="AM21" s="1">
        <f t="shared" si="11"/>
        <v>165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37</v>
      </c>
      <c r="C22" s="1">
        <v>732.36800000000005</v>
      </c>
      <c r="D22" s="1">
        <v>921.99300000000005</v>
      </c>
      <c r="E22" s="1">
        <v>1112.6590000000001</v>
      </c>
      <c r="F22" s="1">
        <v>297.17899999999997</v>
      </c>
      <c r="G22" s="7">
        <v>1</v>
      </c>
      <c r="H22" s="1">
        <v>70</v>
      </c>
      <c r="I22" s="1" t="s">
        <v>38</v>
      </c>
      <c r="J22" s="1"/>
      <c r="K22" s="1">
        <v>1229.808</v>
      </c>
      <c r="L22" s="1">
        <f t="shared" si="3"/>
        <v>-117.14899999999989</v>
      </c>
      <c r="M22" s="1">
        <f t="shared" si="4"/>
        <v>1033.6010000000001</v>
      </c>
      <c r="N22" s="1">
        <v>79.058000000000007</v>
      </c>
      <c r="O22" s="1">
        <v>723</v>
      </c>
      <c r="P22" s="1">
        <v>777</v>
      </c>
      <c r="Q22" s="1">
        <v>1500</v>
      </c>
      <c r="R22" s="1">
        <v>363.75</v>
      </c>
      <c r="S22" s="1">
        <v>386.25</v>
      </c>
      <c r="T22" s="1">
        <f t="shared" si="5"/>
        <v>206.72020000000003</v>
      </c>
      <c r="U22" s="5"/>
      <c r="V22" s="5">
        <f t="shared" si="7"/>
        <v>0</v>
      </c>
      <c r="W22" s="5">
        <f t="shared" si="8"/>
        <v>0</v>
      </c>
      <c r="X22" s="5"/>
      <c r="Y22" s="22"/>
      <c r="Z22" s="22"/>
      <c r="AA22" s="1">
        <f t="shared" si="9"/>
        <v>19.578052846311099</v>
      </c>
      <c r="AB22" s="1">
        <f t="shared" si="6"/>
        <v>19.578052846311099</v>
      </c>
      <c r="AC22" s="1">
        <v>293.69060000000002</v>
      </c>
      <c r="AD22" s="1">
        <v>383.78739999999999</v>
      </c>
      <c r="AE22" s="1">
        <v>327.67899999999997</v>
      </c>
      <c r="AF22" s="1">
        <v>251.3426</v>
      </c>
      <c r="AG22" s="1">
        <v>229.2002</v>
      </c>
      <c r="AH22" s="1">
        <v>266.73680000000002</v>
      </c>
      <c r="AI22" s="1">
        <v>285.91019999999997</v>
      </c>
      <c r="AJ22" s="1">
        <v>266.63159999999999</v>
      </c>
      <c r="AK22" s="1" t="s">
        <v>40</v>
      </c>
      <c r="AL22" s="1">
        <f t="shared" si="10"/>
        <v>0</v>
      </c>
      <c r="AM22" s="1">
        <f t="shared" si="11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1" t="s">
        <v>61</v>
      </c>
      <c r="B23" s="11" t="s">
        <v>37</v>
      </c>
      <c r="C23" s="11"/>
      <c r="D23" s="11"/>
      <c r="E23" s="11"/>
      <c r="F23" s="11"/>
      <c r="G23" s="12">
        <v>0</v>
      </c>
      <c r="H23" s="11"/>
      <c r="I23" s="11" t="s">
        <v>38</v>
      </c>
      <c r="J23" s="11"/>
      <c r="K23" s="11"/>
      <c r="L23" s="11">
        <f t="shared" si="3"/>
        <v>0</v>
      </c>
      <c r="M23" s="11">
        <f t="shared" si="4"/>
        <v>0</v>
      </c>
      <c r="N23" s="11"/>
      <c r="O23" s="11">
        <v>0</v>
      </c>
      <c r="P23" s="11"/>
      <c r="Q23" s="11">
        <v>0</v>
      </c>
      <c r="R23" s="11">
        <v>0</v>
      </c>
      <c r="S23" s="11"/>
      <c r="T23" s="11">
        <f t="shared" si="5"/>
        <v>0</v>
      </c>
      <c r="U23" s="13"/>
      <c r="V23" s="5">
        <f t="shared" si="7"/>
        <v>0</v>
      </c>
      <c r="W23" s="5">
        <f t="shared" si="8"/>
        <v>0</v>
      </c>
      <c r="X23" s="5"/>
      <c r="Y23" s="23"/>
      <c r="Z23" s="22"/>
      <c r="AA23" s="1" t="e">
        <f t="shared" si="9"/>
        <v>#DIV/0!</v>
      </c>
      <c r="AB23" s="11" t="e">
        <f t="shared" si="6"/>
        <v>#DIV/0!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 t="s">
        <v>56</v>
      </c>
      <c r="AL23" s="1">
        <f t="shared" si="10"/>
        <v>0</v>
      </c>
      <c r="AM23" s="1">
        <f t="shared" si="11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37</v>
      </c>
      <c r="C24" s="1">
        <v>3033.3960000000002</v>
      </c>
      <c r="D24" s="1">
        <v>279.52499999999998</v>
      </c>
      <c r="E24" s="1">
        <v>2123.3000000000002</v>
      </c>
      <c r="F24" s="1">
        <v>656.66499999999996</v>
      </c>
      <c r="G24" s="7">
        <v>1</v>
      </c>
      <c r="H24" s="1">
        <v>70</v>
      </c>
      <c r="I24" s="1" t="s">
        <v>38</v>
      </c>
      <c r="J24" s="1"/>
      <c r="K24" s="1">
        <v>2137.7220000000002</v>
      </c>
      <c r="L24" s="1">
        <f t="shared" si="3"/>
        <v>-14.422000000000025</v>
      </c>
      <c r="M24" s="1">
        <f t="shared" si="4"/>
        <v>1886.5780000000002</v>
      </c>
      <c r="N24" s="1">
        <v>236.72200000000001</v>
      </c>
      <c r="O24" s="1">
        <v>819.4</v>
      </c>
      <c r="P24" s="1">
        <v>880.6</v>
      </c>
      <c r="Q24" s="1">
        <v>1800</v>
      </c>
      <c r="R24" s="1">
        <v>242.5</v>
      </c>
      <c r="S24" s="1">
        <v>257.5</v>
      </c>
      <c r="T24" s="1">
        <f t="shared" si="5"/>
        <v>377.31560000000002</v>
      </c>
      <c r="U24" s="5"/>
      <c r="V24" s="5">
        <f>U24+T24*$V$1</f>
        <v>392.40822400000002</v>
      </c>
      <c r="W24" s="5">
        <f t="shared" si="8"/>
        <v>186.59011051200002</v>
      </c>
      <c r="X24" s="5">
        <f>V24*$X$1</f>
        <v>205.81811348799999</v>
      </c>
      <c r="Y24" s="22"/>
      <c r="Z24" s="22"/>
      <c r="AA24" s="1">
        <f t="shared" si="9"/>
        <v>13.381564992277021</v>
      </c>
      <c r="AB24" s="1">
        <f t="shared" si="6"/>
        <v>12.341564992277021</v>
      </c>
      <c r="AC24" s="1">
        <v>418.45379999999989</v>
      </c>
      <c r="AD24" s="1">
        <v>527.61379999999997</v>
      </c>
      <c r="AE24" s="1">
        <v>509.92160000000001</v>
      </c>
      <c r="AF24" s="1">
        <v>404.24360000000001</v>
      </c>
      <c r="AG24" s="1">
        <v>396.53120000000001</v>
      </c>
      <c r="AH24" s="1">
        <v>524.30680000000007</v>
      </c>
      <c r="AI24" s="1">
        <v>537.15940000000001</v>
      </c>
      <c r="AJ24" s="1">
        <v>473.22160000000002</v>
      </c>
      <c r="AK24" s="1" t="s">
        <v>40</v>
      </c>
      <c r="AL24" s="1">
        <f t="shared" si="10"/>
        <v>187</v>
      </c>
      <c r="AM24" s="1">
        <f t="shared" si="11"/>
        <v>206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37</v>
      </c>
      <c r="C25" s="1">
        <v>-1.0999999999999999E-2</v>
      </c>
      <c r="D25" s="1">
        <v>30.404</v>
      </c>
      <c r="E25" s="1">
        <v>12.276999999999999</v>
      </c>
      <c r="F25" s="1">
        <v>17.388999999999999</v>
      </c>
      <c r="G25" s="7">
        <v>1</v>
      </c>
      <c r="H25" s="1">
        <v>40</v>
      </c>
      <c r="I25" s="1" t="s">
        <v>38</v>
      </c>
      <c r="J25" s="1"/>
      <c r="K25" s="1">
        <v>12.2</v>
      </c>
      <c r="L25" s="1">
        <f t="shared" si="3"/>
        <v>7.6999999999999957E-2</v>
      </c>
      <c r="M25" s="1">
        <f t="shared" si="4"/>
        <v>12.276999999999999</v>
      </c>
      <c r="N25" s="1"/>
      <c r="O25" s="1">
        <v>80</v>
      </c>
      <c r="P25" s="1"/>
      <c r="Q25" s="1">
        <v>20</v>
      </c>
      <c r="R25" s="1">
        <v>0</v>
      </c>
      <c r="S25" s="1"/>
      <c r="T25" s="1">
        <f t="shared" si="5"/>
        <v>2.4554</v>
      </c>
      <c r="U25" s="5"/>
      <c r="V25" s="5">
        <f t="shared" si="7"/>
        <v>0</v>
      </c>
      <c r="W25" s="5">
        <f t="shared" si="8"/>
        <v>0</v>
      </c>
      <c r="X25" s="5"/>
      <c r="Y25" s="22"/>
      <c r="Z25" s="22"/>
      <c r="AA25" s="1">
        <f t="shared" si="9"/>
        <v>47.808503706117129</v>
      </c>
      <c r="AB25" s="1">
        <f t="shared" si="6"/>
        <v>47.808503706117129</v>
      </c>
      <c r="AC25" s="1">
        <v>0</v>
      </c>
      <c r="AD25" s="1">
        <v>-0.14879999999999999</v>
      </c>
      <c r="AE25" s="1">
        <v>0.28860000000000002</v>
      </c>
      <c r="AF25" s="1">
        <v>4.2222</v>
      </c>
      <c r="AG25" s="1">
        <v>3.7848000000000002</v>
      </c>
      <c r="AH25" s="1">
        <v>-0.29299999999999998</v>
      </c>
      <c r="AI25" s="1">
        <v>1.601</v>
      </c>
      <c r="AJ25" s="1">
        <v>4.3630000000000004</v>
      </c>
      <c r="AK25" s="1"/>
      <c r="AL25" s="1">
        <f t="shared" si="10"/>
        <v>0</v>
      </c>
      <c r="AM25" s="1">
        <f t="shared" si="11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1" t="s">
        <v>64</v>
      </c>
      <c r="B26" s="11" t="s">
        <v>37</v>
      </c>
      <c r="C26" s="11"/>
      <c r="D26" s="11"/>
      <c r="E26" s="11"/>
      <c r="F26" s="11"/>
      <c r="G26" s="12">
        <v>0</v>
      </c>
      <c r="H26" s="11"/>
      <c r="I26" s="11" t="s">
        <v>38</v>
      </c>
      <c r="J26" s="11"/>
      <c r="K26" s="11"/>
      <c r="L26" s="11">
        <f t="shared" si="3"/>
        <v>0</v>
      </c>
      <c r="M26" s="11">
        <f t="shared" si="4"/>
        <v>0</v>
      </c>
      <c r="N26" s="11"/>
      <c r="O26" s="11">
        <v>0</v>
      </c>
      <c r="P26" s="11"/>
      <c r="Q26" s="11">
        <v>0</v>
      </c>
      <c r="R26" s="11">
        <v>0</v>
      </c>
      <c r="S26" s="11"/>
      <c r="T26" s="11">
        <f t="shared" si="5"/>
        <v>0</v>
      </c>
      <c r="U26" s="13"/>
      <c r="V26" s="5">
        <f t="shared" si="7"/>
        <v>0</v>
      </c>
      <c r="W26" s="5">
        <f t="shared" si="8"/>
        <v>0</v>
      </c>
      <c r="X26" s="5"/>
      <c r="Y26" s="23"/>
      <c r="Z26" s="22"/>
      <c r="AA26" s="1" t="e">
        <f t="shared" si="9"/>
        <v>#DIV/0!</v>
      </c>
      <c r="AB26" s="11" t="e">
        <f t="shared" si="6"/>
        <v>#DIV/0!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 t="s">
        <v>56</v>
      </c>
      <c r="AL26" s="1">
        <f t="shared" si="10"/>
        <v>0</v>
      </c>
      <c r="AM26" s="1">
        <f t="shared" si="11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1" t="s">
        <v>65</v>
      </c>
      <c r="B27" s="11" t="s">
        <v>37</v>
      </c>
      <c r="C27" s="11"/>
      <c r="D27" s="11"/>
      <c r="E27" s="11"/>
      <c r="F27" s="11"/>
      <c r="G27" s="12">
        <v>0</v>
      </c>
      <c r="H27" s="11"/>
      <c r="I27" s="11" t="s">
        <v>42</v>
      </c>
      <c r="J27" s="11"/>
      <c r="K27" s="11"/>
      <c r="L27" s="11">
        <f t="shared" si="3"/>
        <v>0</v>
      </c>
      <c r="M27" s="11">
        <f t="shared" si="4"/>
        <v>0</v>
      </c>
      <c r="N27" s="11"/>
      <c r="O27" s="11">
        <v>0</v>
      </c>
      <c r="P27" s="11"/>
      <c r="Q27" s="11">
        <v>0</v>
      </c>
      <c r="R27" s="11">
        <v>0</v>
      </c>
      <c r="S27" s="11"/>
      <c r="T27" s="11">
        <f t="shared" si="5"/>
        <v>0</v>
      </c>
      <c r="U27" s="13"/>
      <c r="V27" s="5">
        <f t="shared" si="7"/>
        <v>0</v>
      </c>
      <c r="W27" s="5">
        <f t="shared" si="8"/>
        <v>0</v>
      </c>
      <c r="X27" s="5"/>
      <c r="Y27" s="23"/>
      <c r="Z27" s="22"/>
      <c r="AA27" s="1" t="e">
        <f t="shared" si="9"/>
        <v>#DIV/0!</v>
      </c>
      <c r="AB27" s="11" t="e">
        <f t="shared" si="6"/>
        <v>#DIV/0!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 t="s">
        <v>56</v>
      </c>
      <c r="AL27" s="1">
        <f t="shared" si="10"/>
        <v>0</v>
      </c>
      <c r="AM27" s="1">
        <f t="shared" si="11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37</v>
      </c>
      <c r="C28" s="1">
        <v>1439.5730000000001</v>
      </c>
      <c r="D28" s="1">
        <v>256.803</v>
      </c>
      <c r="E28" s="1">
        <v>901.90800000000002</v>
      </c>
      <c r="F28" s="1">
        <v>286.30700000000002</v>
      </c>
      <c r="G28" s="7">
        <v>1</v>
      </c>
      <c r="H28" s="1">
        <v>30</v>
      </c>
      <c r="I28" s="10" t="s">
        <v>42</v>
      </c>
      <c r="J28" s="1"/>
      <c r="K28" s="1">
        <v>1051.4000000000001</v>
      </c>
      <c r="L28" s="1">
        <f t="shared" si="3"/>
        <v>-149.49200000000008</v>
      </c>
      <c r="M28" s="1">
        <f t="shared" si="4"/>
        <v>901.90800000000002</v>
      </c>
      <c r="N28" s="1"/>
      <c r="O28" s="1">
        <v>313.3</v>
      </c>
      <c r="P28" s="1">
        <v>336.7</v>
      </c>
      <c r="Q28" s="1">
        <v>200</v>
      </c>
      <c r="R28" s="1">
        <v>242.5</v>
      </c>
      <c r="S28" s="1">
        <v>257.5</v>
      </c>
      <c r="T28" s="1">
        <f t="shared" si="5"/>
        <v>180.38159999999999</v>
      </c>
      <c r="U28" s="5">
        <f t="shared" ref="U28:U29" si="16">12*T28-S28-R28-Q28-P28-O28-F28</f>
        <v>528.27220000000011</v>
      </c>
      <c r="V28" s="5">
        <f t="shared" ref="V28:V29" si="17">U28+T28*$V$1</f>
        <v>715.86906400000009</v>
      </c>
      <c r="W28" s="5">
        <f t="shared" si="8"/>
        <v>340.39573993200008</v>
      </c>
      <c r="X28" s="5">
        <f t="shared" ref="X28:X29" si="18">V28*$X$1</f>
        <v>375.47332406800001</v>
      </c>
      <c r="Y28" s="22"/>
      <c r="Z28" s="22"/>
      <c r="AA28" s="1">
        <f t="shared" si="9"/>
        <v>13.040000000000003</v>
      </c>
      <c r="AB28" s="1">
        <f t="shared" si="6"/>
        <v>9.071363154556785</v>
      </c>
      <c r="AC28" s="1">
        <v>170.09280000000001</v>
      </c>
      <c r="AD28" s="1">
        <v>186.76320000000001</v>
      </c>
      <c r="AE28" s="1">
        <v>219.6258</v>
      </c>
      <c r="AF28" s="1">
        <v>196.6198</v>
      </c>
      <c r="AG28" s="1">
        <v>221.1712</v>
      </c>
      <c r="AH28" s="1">
        <v>225.0454</v>
      </c>
      <c r="AI28" s="1">
        <v>231.65860000000001</v>
      </c>
      <c r="AJ28" s="1">
        <v>235.7996</v>
      </c>
      <c r="AK28" s="1"/>
      <c r="AL28" s="1">
        <f t="shared" si="10"/>
        <v>340</v>
      </c>
      <c r="AM28" s="1">
        <f t="shared" si="11"/>
        <v>375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37</v>
      </c>
      <c r="C29" s="1">
        <v>3687.6529999999998</v>
      </c>
      <c r="D29" s="1">
        <v>4573.692</v>
      </c>
      <c r="E29" s="1">
        <v>2913.6819999999998</v>
      </c>
      <c r="F29" s="1">
        <v>3844.7939999999999</v>
      </c>
      <c r="G29" s="7">
        <v>1</v>
      </c>
      <c r="H29" s="1">
        <v>40</v>
      </c>
      <c r="I29" s="1" t="s">
        <v>38</v>
      </c>
      <c r="J29" s="1"/>
      <c r="K29" s="1">
        <v>2807.6819999999998</v>
      </c>
      <c r="L29" s="1">
        <f t="shared" si="3"/>
        <v>106</v>
      </c>
      <c r="M29" s="1">
        <f t="shared" si="4"/>
        <v>2832.1439999999998</v>
      </c>
      <c r="N29" s="1">
        <v>81.537999999999997</v>
      </c>
      <c r="O29" s="1">
        <v>723</v>
      </c>
      <c r="P29" s="1">
        <v>777</v>
      </c>
      <c r="Q29" s="1">
        <v>0</v>
      </c>
      <c r="R29" s="1">
        <v>0</v>
      </c>
      <c r="S29" s="1"/>
      <c r="T29" s="1">
        <f t="shared" si="5"/>
        <v>566.42879999999991</v>
      </c>
      <c r="U29" s="5">
        <f t="shared" si="16"/>
        <v>1452.3515999999991</v>
      </c>
      <c r="V29" s="5">
        <f t="shared" si="17"/>
        <v>2041.437551999999</v>
      </c>
      <c r="W29" s="5">
        <f t="shared" si="8"/>
        <v>970.70355597599951</v>
      </c>
      <c r="X29" s="5">
        <f t="shared" si="18"/>
        <v>1070.7339960239995</v>
      </c>
      <c r="Y29" s="22"/>
      <c r="Z29" s="22"/>
      <c r="AA29" s="1">
        <f t="shared" si="9"/>
        <v>13.040000000000001</v>
      </c>
      <c r="AB29" s="1">
        <f t="shared" si="6"/>
        <v>9.4359502906631878</v>
      </c>
      <c r="AC29" s="1">
        <v>504.87639999999999</v>
      </c>
      <c r="AD29" s="1">
        <v>528.65340000000003</v>
      </c>
      <c r="AE29" s="1">
        <v>571.5462</v>
      </c>
      <c r="AF29" s="1">
        <v>586.11699999999996</v>
      </c>
      <c r="AG29" s="1">
        <v>710.12940000000003</v>
      </c>
      <c r="AH29" s="1">
        <v>412.98540000000003</v>
      </c>
      <c r="AI29" s="1">
        <v>192.2834</v>
      </c>
      <c r="AJ29" s="1">
        <v>374.25259999999997</v>
      </c>
      <c r="AK29" s="1"/>
      <c r="AL29" s="1">
        <f t="shared" si="10"/>
        <v>971</v>
      </c>
      <c r="AM29" s="1">
        <f t="shared" si="11"/>
        <v>1071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1" t="s">
        <v>68</v>
      </c>
      <c r="B30" s="11" t="s">
        <v>37</v>
      </c>
      <c r="C30" s="11"/>
      <c r="D30" s="11"/>
      <c r="E30" s="11"/>
      <c r="F30" s="11"/>
      <c r="G30" s="12">
        <v>0</v>
      </c>
      <c r="H30" s="11"/>
      <c r="I30" s="11" t="s">
        <v>38</v>
      </c>
      <c r="J30" s="11"/>
      <c r="K30" s="11">
        <v>1.3</v>
      </c>
      <c r="L30" s="11">
        <f t="shared" si="3"/>
        <v>-1.3</v>
      </c>
      <c r="M30" s="11">
        <f t="shared" si="4"/>
        <v>0</v>
      </c>
      <c r="N30" s="11"/>
      <c r="O30" s="11">
        <v>0</v>
      </c>
      <c r="P30" s="11"/>
      <c r="Q30" s="11">
        <v>0</v>
      </c>
      <c r="R30" s="11">
        <v>0</v>
      </c>
      <c r="S30" s="11"/>
      <c r="T30" s="11">
        <f t="shared" si="5"/>
        <v>0</v>
      </c>
      <c r="U30" s="13"/>
      <c r="V30" s="5">
        <f t="shared" si="7"/>
        <v>0</v>
      </c>
      <c r="W30" s="5">
        <f t="shared" si="8"/>
        <v>0</v>
      </c>
      <c r="X30" s="5"/>
      <c r="Y30" s="23"/>
      <c r="Z30" s="22"/>
      <c r="AA30" s="1" t="e">
        <f t="shared" si="9"/>
        <v>#DIV/0!</v>
      </c>
      <c r="AB30" s="11" t="e">
        <f t="shared" si="6"/>
        <v>#DIV/0!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 t="s">
        <v>56</v>
      </c>
      <c r="AL30" s="1">
        <f t="shared" si="10"/>
        <v>0</v>
      </c>
      <c r="AM30" s="1">
        <f t="shared" si="11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1" t="s">
        <v>69</v>
      </c>
      <c r="B31" s="11" t="s">
        <v>37</v>
      </c>
      <c r="C31" s="11"/>
      <c r="D31" s="11"/>
      <c r="E31" s="11"/>
      <c r="F31" s="11"/>
      <c r="G31" s="12">
        <v>0</v>
      </c>
      <c r="H31" s="11"/>
      <c r="I31" s="11" t="s">
        <v>42</v>
      </c>
      <c r="J31" s="11"/>
      <c r="K31" s="11"/>
      <c r="L31" s="11">
        <f t="shared" si="3"/>
        <v>0</v>
      </c>
      <c r="M31" s="11">
        <f t="shared" si="4"/>
        <v>0</v>
      </c>
      <c r="N31" s="11"/>
      <c r="O31" s="11">
        <v>0</v>
      </c>
      <c r="P31" s="11"/>
      <c r="Q31" s="11">
        <v>0</v>
      </c>
      <c r="R31" s="11">
        <v>0</v>
      </c>
      <c r="S31" s="11"/>
      <c r="T31" s="11">
        <f t="shared" si="5"/>
        <v>0</v>
      </c>
      <c r="U31" s="13"/>
      <c r="V31" s="5">
        <f t="shared" si="7"/>
        <v>0</v>
      </c>
      <c r="W31" s="5">
        <f t="shared" si="8"/>
        <v>0</v>
      </c>
      <c r="X31" s="5"/>
      <c r="Y31" s="23"/>
      <c r="Z31" s="22"/>
      <c r="AA31" s="1" t="e">
        <f t="shared" si="9"/>
        <v>#DIV/0!</v>
      </c>
      <c r="AB31" s="11" t="e">
        <f t="shared" si="6"/>
        <v>#DIV/0!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 t="s">
        <v>56</v>
      </c>
      <c r="AL31" s="1">
        <f t="shared" si="10"/>
        <v>0</v>
      </c>
      <c r="AM31" s="1">
        <f t="shared" si="11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1" t="s">
        <v>70</v>
      </c>
      <c r="B32" s="11" t="s">
        <v>37</v>
      </c>
      <c r="C32" s="11"/>
      <c r="D32" s="11"/>
      <c r="E32" s="11"/>
      <c r="F32" s="11"/>
      <c r="G32" s="12">
        <v>0</v>
      </c>
      <c r="H32" s="11"/>
      <c r="I32" s="11" t="s">
        <v>38</v>
      </c>
      <c r="J32" s="11"/>
      <c r="K32" s="11"/>
      <c r="L32" s="11">
        <f t="shared" si="3"/>
        <v>0</v>
      </c>
      <c r="M32" s="11">
        <f t="shared" si="4"/>
        <v>0</v>
      </c>
      <c r="N32" s="11"/>
      <c r="O32" s="11">
        <v>0</v>
      </c>
      <c r="P32" s="11"/>
      <c r="Q32" s="11">
        <v>0</v>
      </c>
      <c r="R32" s="11">
        <v>0</v>
      </c>
      <c r="S32" s="11"/>
      <c r="T32" s="11">
        <f t="shared" si="5"/>
        <v>0</v>
      </c>
      <c r="U32" s="13"/>
      <c r="V32" s="5">
        <f t="shared" si="7"/>
        <v>0</v>
      </c>
      <c r="W32" s="5">
        <f t="shared" si="8"/>
        <v>0</v>
      </c>
      <c r="X32" s="5"/>
      <c r="Y32" s="23"/>
      <c r="Z32" s="22"/>
      <c r="AA32" s="1" t="e">
        <f t="shared" si="9"/>
        <v>#DIV/0!</v>
      </c>
      <c r="AB32" s="11" t="e">
        <f t="shared" si="6"/>
        <v>#DIV/0!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 t="s">
        <v>56</v>
      </c>
      <c r="AL32" s="1">
        <f t="shared" si="10"/>
        <v>0</v>
      </c>
      <c r="AM32" s="1">
        <f t="shared" si="11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1" t="s">
        <v>71</v>
      </c>
      <c r="B33" s="11" t="s">
        <v>37</v>
      </c>
      <c r="C33" s="11"/>
      <c r="D33" s="11"/>
      <c r="E33" s="11"/>
      <c r="F33" s="11"/>
      <c r="G33" s="12">
        <v>0</v>
      </c>
      <c r="H33" s="11"/>
      <c r="I33" s="11" t="s">
        <v>38</v>
      </c>
      <c r="J33" s="11"/>
      <c r="K33" s="11"/>
      <c r="L33" s="11">
        <f t="shared" si="3"/>
        <v>0</v>
      </c>
      <c r="M33" s="11">
        <f t="shared" si="4"/>
        <v>0</v>
      </c>
      <c r="N33" s="11"/>
      <c r="O33" s="11">
        <v>0</v>
      </c>
      <c r="P33" s="11"/>
      <c r="Q33" s="11">
        <v>0</v>
      </c>
      <c r="R33" s="11">
        <v>0</v>
      </c>
      <c r="S33" s="11"/>
      <c r="T33" s="11">
        <f t="shared" si="5"/>
        <v>0</v>
      </c>
      <c r="U33" s="13"/>
      <c r="V33" s="5">
        <f t="shared" si="7"/>
        <v>0</v>
      </c>
      <c r="W33" s="5">
        <f t="shared" si="8"/>
        <v>0</v>
      </c>
      <c r="X33" s="5"/>
      <c r="Y33" s="23"/>
      <c r="Z33" s="22"/>
      <c r="AA33" s="1" t="e">
        <f t="shared" si="9"/>
        <v>#DIV/0!</v>
      </c>
      <c r="AB33" s="11" t="e">
        <f t="shared" si="6"/>
        <v>#DIV/0!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 t="s">
        <v>56</v>
      </c>
      <c r="AL33" s="1">
        <f t="shared" si="10"/>
        <v>0</v>
      </c>
      <c r="AM33" s="1">
        <f t="shared" si="11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44</v>
      </c>
      <c r="C34" s="1">
        <v>2158</v>
      </c>
      <c r="D34" s="1">
        <v>4422</v>
      </c>
      <c r="E34" s="1">
        <v>3681</v>
      </c>
      <c r="F34" s="1">
        <v>2204</v>
      </c>
      <c r="G34" s="7">
        <v>0.4</v>
      </c>
      <c r="H34" s="1">
        <v>45</v>
      </c>
      <c r="I34" s="10" t="s">
        <v>42</v>
      </c>
      <c r="J34" s="1"/>
      <c r="K34" s="1">
        <v>3891</v>
      </c>
      <c r="L34" s="1">
        <f t="shared" si="3"/>
        <v>-210</v>
      </c>
      <c r="M34" s="1">
        <f t="shared" si="4"/>
        <v>3579</v>
      </c>
      <c r="N34" s="1">
        <v>102</v>
      </c>
      <c r="O34" s="1">
        <v>241</v>
      </c>
      <c r="P34" s="1">
        <v>259</v>
      </c>
      <c r="Q34" s="1">
        <v>600</v>
      </c>
      <c r="R34" s="1">
        <v>1141.461468</v>
      </c>
      <c r="S34" s="1">
        <v>1212.0673320000001</v>
      </c>
      <c r="T34" s="1">
        <f t="shared" si="5"/>
        <v>715.8</v>
      </c>
      <c r="U34" s="5">
        <f t="shared" ref="U34:U46" si="19">12*T34-S34-R34-Q34-P34-O34-F34</f>
        <v>2932.0711999999985</v>
      </c>
      <c r="V34" s="5">
        <f>U34+T34*$V$1</f>
        <v>3676.5031999999983</v>
      </c>
      <c r="W34" s="5">
        <f t="shared" si="8"/>
        <v>1748.1772715999994</v>
      </c>
      <c r="X34" s="5">
        <f>V34*$X$1</f>
        <v>1928.3259283999989</v>
      </c>
      <c r="Y34" s="22"/>
      <c r="Z34" s="22"/>
      <c r="AA34" s="1">
        <f t="shared" si="9"/>
        <v>13.04</v>
      </c>
      <c r="AB34" s="1">
        <f t="shared" si="6"/>
        <v>7.9037842972897465</v>
      </c>
      <c r="AC34" s="1">
        <v>617.20000000000005</v>
      </c>
      <c r="AD34" s="1">
        <v>583.4</v>
      </c>
      <c r="AE34" s="1">
        <v>686</v>
      </c>
      <c r="AF34" s="1">
        <v>679.4</v>
      </c>
      <c r="AG34" s="1">
        <v>754.6</v>
      </c>
      <c r="AH34" s="1">
        <v>654.79999999999995</v>
      </c>
      <c r="AI34" s="1">
        <v>869.4</v>
      </c>
      <c r="AJ34" s="1">
        <v>631</v>
      </c>
      <c r="AK34" s="1" t="s">
        <v>40</v>
      </c>
      <c r="AL34" s="1">
        <f t="shared" si="10"/>
        <v>699</v>
      </c>
      <c r="AM34" s="1">
        <f t="shared" si="11"/>
        <v>771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44</v>
      </c>
      <c r="C35" s="1">
        <v>634</v>
      </c>
      <c r="D35" s="1">
        <v>463</v>
      </c>
      <c r="E35" s="1">
        <v>695</v>
      </c>
      <c r="F35" s="1">
        <v>322</v>
      </c>
      <c r="G35" s="7">
        <v>0.45</v>
      </c>
      <c r="H35" s="1">
        <v>50</v>
      </c>
      <c r="I35" s="1" t="s">
        <v>76</v>
      </c>
      <c r="J35" s="1"/>
      <c r="K35" s="1">
        <v>733</v>
      </c>
      <c r="L35" s="1">
        <f t="shared" si="3"/>
        <v>-38</v>
      </c>
      <c r="M35" s="1">
        <f t="shared" si="4"/>
        <v>695</v>
      </c>
      <c r="N35" s="1"/>
      <c r="O35" s="1">
        <v>0</v>
      </c>
      <c r="P35" s="1"/>
      <c r="Q35" s="1">
        <v>300</v>
      </c>
      <c r="R35" s="1">
        <v>331.4839199999999</v>
      </c>
      <c r="S35" s="1">
        <v>351.98807999999991</v>
      </c>
      <c r="T35" s="1">
        <f t="shared" si="5"/>
        <v>139</v>
      </c>
      <c r="U35" s="5">
        <f t="shared" si="19"/>
        <v>362.52800000000025</v>
      </c>
      <c r="V35" s="5">
        <f>Y35</f>
        <v>1200</v>
      </c>
      <c r="W35" s="5">
        <f t="shared" si="8"/>
        <v>570.6</v>
      </c>
      <c r="X35" s="5">
        <f t="shared" ref="X35:X36" si="20">V35*$X$1</f>
        <v>629.4</v>
      </c>
      <c r="Y35" s="22">
        <v>1200</v>
      </c>
      <c r="Z35" s="22" t="str">
        <f>VLOOKUP(A35,[1]Sheet!$A:$W,23,0)</f>
        <v xml:space="preserve">1200 шт требуется  сеть ЮТЛ </v>
      </c>
      <c r="AA35" s="1">
        <f t="shared" si="9"/>
        <v>18.024978417266187</v>
      </c>
      <c r="AB35" s="1">
        <f t="shared" si="6"/>
        <v>9.3918848920863294</v>
      </c>
      <c r="AC35" s="1">
        <v>143.19999999999999</v>
      </c>
      <c r="AD35" s="1">
        <v>108.2</v>
      </c>
      <c r="AE35" s="1">
        <v>107.4</v>
      </c>
      <c r="AF35" s="1">
        <v>120.4</v>
      </c>
      <c r="AG35" s="1">
        <v>124.2</v>
      </c>
      <c r="AH35" s="1">
        <v>129</v>
      </c>
      <c r="AI35" s="1">
        <v>84</v>
      </c>
      <c r="AJ35" s="1">
        <v>83.2</v>
      </c>
      <c r="AK35" s="1" t="s">
        <v>191</v>
      </c>
      <c r="AL35" s="1">
        <f t="shared" si="10"/>
        <v>257</v>
      </c>
      <c r="AM35" s="1">
        <f t="shared" si="11"/>
        <v>283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44</v>
      </c>
      <c r="C36" s="1">
        <v>1435</v>
      </c>
      <c r="D36" s="1">
        <v>20</v>
      </c>
      <c r="E36" s="1">
        <v>983</v>
      </c>
      <c r="F36" s="1">
        <v>335</v>
      </c>
      <c r="G36" s="7">
        <v>0.4</v>
      </c>
      <c r="H36" s="1">
        <v>45</v>
      </c>
      <c r="I36" s="1" t="s">
        <v>38</v>
      </c>
      <c r="J36" s="1"/>
      <c r="K36" s="1">
        <v>1061</v>
      </c>
      <c r="L36" s="1">
        <f t="shared" si="3"/>
        <v>-78</v>
      </c>
      <c r="M36" s="1">
        <f t="shared" si="4"/>
        <v>983</v>
      </c>
      <c r="N36" s="1"/>
      <c r="O36" s="1">
        <v>120.5</v>
      </c>
      <c r="P36" s="1">
        <v>129.5</v>
      </c>
      <c r="Q36" s="1">
        <v>350</v>
      </c>
      <c r="R36" s="1">
        <v>439.16264999999993</v>
      </c>
      <c r="S36" s="1">
        <v>466.32735000000002</v>
      </c>
      <c r="T36" s="1">
        <f t="shared" si="5"/>
        <v>196.6</v>
      </c>
      <c r="U36" s="5">
        <f t="shared" si="19"/>
        <v>518.70999999999981</v>
      </c>
      <c r="V36" s="5">
        <f>U36+T36*$V$1</f>
        <v>723.17399999999975</v>
      </c>
      <c r="W36" s="5">
        <f t="shared" si="8"/>
        <v>343.86923699999988</v>
      </c>
      <c r="X36" s="5">
        <f t="shared" si="20"/>
        <v>379.30476299999987</v>
      </c>
      <c r="Y36" s="22"/>
      <c r="Z36" s="22"/>
      <c r="AA36" s="1">
        <f t="shared" si="9"/>
        <v>13.04</v>
      </c>
      <c r="AB36" s="1">
        <f t="shared" si="6"/>
        <v>9.3615971515768059</v>
      </c>
      <c r="AC36" s="1">
        <v>188.6</v>
      </c>
      <c r="AD36" s="1">
        <v>152.80000000000001</v>
      </c>
      <c r="AE36" s="1">
        <v>173.4</v>
      </c>
      <c r="AF36" s="1">
        <v>179.2</v>
      </c>
      <c r="AG36" s="1">
        <v>210.4</v>
      </c>
      <c r="AH36" s="1">
        <v>192</v>
      </c>
      <c r="AI36" s="1">
        <v>152.4</v>
      </c>
      <c r="AJ36" s="1">
        <v>151.6</v>
      </c>
      <c r="AK36" s="1"/>
      <c r="AL36" s="1">
        <f t="shared" si="10"/>
        <v>138</v>
      </c>
      <c r="AM36" s="1">
        <f t="shared" si="11"/>
        <v>152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75</v>
      </c>
      <c r="B37" s="1" t="s">
        <v>44</v>
      </c>
      <c r="C37" s="1">
        <v>-5</v>
      </c>
      <c r="D37" s="1">
        <v>102</v>
      </c>
      <c r="E37" s="1">
        <v>109</v>
      </c>
      <c r="F37" s="1">
        <v>-12</v>
      </c>
      <c r="G37" s="7">
        <v>0.4</v>
      </c>
      <c r="H37" s="1">
        <v>40</v>
      </c>
      <c r="I37" s="9" t="s">
        <v>76</v>
      </c>
      <c r="J37" s="1"/>
      <c r="K37" s="1">
        <v>625</v>
      </c>
      <c r="L37" s="1">
        <f t="shared" si="3"/>
        <v>-516</v>
      </c>
      <c r="M37" s="1">
        <f t="shared" si="4"/>
        <v>109</v>
      </c>
      <c r="N37" s="1"/>
      <c r="O37" s="1">
        <v>120.5</v>
      </c>
      <c r="P37" s="1">
        <v>129.5</v>
      </c>
      <c r="Q37" s="1">
        <v>400</v>
      </c>
      <c r="R37" s="1">
        <v>0</v>
      </c>
      <c r="S37" s="1"/>
      <c r="T37" s="1">
        <f t="shared" si="5"/>
        <v>21.8</v>
      </c>
      <c r="U37" s="5"/>
      <c r="V37" s="5">
        <f t="shared" si="7"/>
        <v>0</v>
      </c>
      <c r="W37" s="5">
        <f t="shared" si="8"/>
        <v>0</v>
      </c>
      <c r="X37" s="5"/>
      <c r="Y37" s="22"/>
      <c r="Z37" s="22"/>
      <c r="AA37" s="1">
        <f t="shared" si="9"/>
        <v>29.266055045871557</v>
      </c>
      <c r="AB37" s="1">
        <f t="shared" si="6"/>
        <v>29.266055045871557</v>
      </c>
      <c r="AC37" s="1">
        <v>26</v>
      </c>
      <c r="AD37" s="1">
        <v>29.6</v>
      </c>
      <c r="AE37" s="1">
        <v>30.4</v>
      </c>
      <c r="AF37" s="1">
        <v>20.399999999999999</v>
      </c>
      <c r="AG37" s="1">
        <v>0</v>
      </c>
      <c r="AH37" s="1">
        <v>1.8</v>
      </c>
      <c r="AI37" s="1">
        <v>13.6</v>
      </c>
      <c r="AJ37" s="1">
        <v>18.8</v>
      </c>
      <c r="AK37" s="1"/>
      <c r="AL37" s="1">
        <f t="shared" si="10"/>
        <v>0</v>
      </c>
      <c r="AM37" s="1">
        <f t="shared" si="11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37</v>
      </c>
      <c r="C38" s="1">
        <v>150.102</v>
      </c>
      <c r="D38" s="1">
        <v>1.4119999999999999</v>
      </c>
      <c r="E38" s="1">
        <v>9.98</v>
      </c>
      <c r="F38" s="1">
        <v>104.765</v>
      </c>
      <c r="G38" s="7">
        <v>1</v>
      </c>
      <c r="H38" s="1"/>
      <c r="I38" s="10" t="s">
        <v>42</v>
      </c>
      <c r="J38" s="1"/>
      <c r="K38" s="1">
        <v>15.35</v>
      </c>
      <c r="L38" s="1">
        <f t="shared" ref="L38:L69" si="21">E38-K38</f>
        <v>-5.3699999999999992</v>
      </c>
      <c r="M38" s="1">
        <f t="shared" ref="M38:M69" si="22">E38-N38</f>
        <v>9.98</v>
      </c>
      <c r="N38" s="1"/>
      <c r="O38" s="1">
        <v>0</v>
      </c>
      <c r="P38" s="1"/>
      <c r="Q38" s="1">
        <v>0</v>
      </c>
      <c r="R38" s="1">
        <v>0</v>
      </c>
      <c r="S38" s="1"/>
      <c r="T38" s="1">
        <f t="shared" ref="T38:T69" si="23">M38/5</f>
        <v>1.996</v>
      </c>
      <c r="U38" s="5"/>
      <c r="V38" s="5">
        <f t="shared" si="7"/>
        <v>0</v>
      </c>
      <c r="W38" s="5">
        <f t="shared" si="8"/>
        <v>0</v>
      </c>
      <c r="X38" s="5"/>
      <c r="Y38" s="22"/>
      <c r="Z38" s="22"/>
      <c r="AA38" s="1">
        <f t="shared" si="9"/>
        <v>52.487474949899799</v>
      </c>
      <c r="AB38" s="1">
        <f t="shared" ref="AB38:AB69" si="24">(F38+O38+P38+Q38+R38+S38)/T38</f>
        <v>52.487474949899799</v>
      </c>
      <c r="AC38" s="1">
        <v>2.2833999999999999</v>
      </c>
      <c r="AD38" s="1">
        <v>2.2871999999999999</v>
      </c>
      <c r="AE38" s="1">
        <v>2.8632</v>
      </c>
      <c r="AF38" s="1">
        <v>2.0015999999999998</v>
      </c>
      <c r="AG38" s="1">
        <v>2.2812000000000001</v>
      </c>
      <c r="AH38" s="1">
        <v>4.6482000000000001</v>
      </c>
      <c r="AI38" s="1">
        <v>6.3221999999999996</v>
      </c>
      <c r="AJ38" s="1">
        <v>11.244199999999999</v>
      </c>
      <c r="AK38" s="15" t="s">
        <v>184</v>
      </c>
      <c r="AL38" s="1">
        <f t="shared" si="10"/>
        <v>0</v>
      </c>
      <c r="AM38" s="1">
        <f t="shared" si="11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44</v>
      </c>
      <c r="C39" s="1">
        <v>438</v>
      </c>
      <c r="D39" s="1">
        <v>206</v>
      </c>
      <c r="E39" s="1">
        <v>327</v>
      </c>
      <c r="F39" s="1">
        <v>232</v>
      </c>
      <c r="G39" s="7">
        <v>0.1</v>
      </c>
      <c r="H39" s="1">
        <v>731</v>
      </c>
      <c r="I39" s="1" t="s">
        <v>38</v>
      </c>
      <c r="J39" s="1"/>
      <c r="K39" s="1">
        <v>371</v>
      </c>
      <c r="L39" s="1">
        <f t="shared" si="21"/>
        <v>-44</v>
      </c>
      <c r="M39" s="1">
        <f t="shared" si="22"/>
        <v>327</v>
      </c>
      <c r="N39" s="1"/>
      <c r="O39" s="1">
        <v>0</v>
      </c>
      <c r="P39" s="1"/>
      <c r="Q39" s="1">
        <v>0</v>
      </c>
      <c r="R39" s="1">
        <v>97</v>
      </c>
      <c r="S39" s="1">
        <v>103</v>
      </c>
      <c r="T39" s="1">
        <f t="shared" si="23"/>
        <v>65.400000000000006</v>
      </c>
      <c r="U39" s="5">
        <f t="shared" si="19"/>
        <v>352.80000000000007</v>
      </c>
      <c r="V39" s="5">
        <f>U39+T39*$V$1</f>
        <v>420.81600000000009</v>
      </c>
      <c r="W39" s="5">
        <f t="shared" si="8"/>
        <v>200.09800800000005</v>
      </c>
      <c r="X39" s="5">
        <f>V39*$X$1</f>
        <v>220.71799200000004</v>
      </c>
      <c r="Y39" s="22"/>
      <c r="Z39" s="22"/>
      <c r="AA39" s="1">
        <f t="shared" si="9"/>
        <v>13.04</v>
      </c>
      <c r="AB39" s="1">
        <f t="shared" si="24"/>
        <v>6.6055045871559628</v>
      </c>
      <c r="AC39" s="1">
        <v>45.2</v>
      </c>
      <c r="AD39" s="1">
        <v>39.6</v>
      </c>
      <c r="AE39" s="1">
        <v>47</v>
      </c>
      <c r="AF39" s="1">
        <v>55.8</v>
      </c>
      <c r="AG39" s="1">
        <v>66.2</v>
      </c>
      <c r="AH39" s="1">
        <v>60.8</v>
      </c>
      <c r="AI39" s="1">
        <v>56</v>
      </c>
      <c r="AJ39" s="1">
        <v>60</v>
      </c>
      <c r="AK39" s="1"/>
      <c r="AL39" s="1">
        <f t="shared" si="10"/>
        <v>20</v>
      </c>
      <c r="AM39" s="1">
        <f t="shared" si="11"/>
        <v>22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44</v>
      </c>
      <c r="C40" s="1">
        <v>1.831</v>
      </c>
      <c r="D40" s="1">
        <v>54</v>
      </c>
      <c r="E40" s="1">
        <v>47.167999999999999</v>
      </c>
      <c r="F40" s="1">
        <v>5.6630000000000003</v>
      </c>
      <c r="G40" s="7">
        <v>0.35</v>
      </c>
      <c r="H40" s="1">
        <v>40</v>
      </c>
      <c r="I40" s="10" t="s">
        <v>42</v>
      </c>
      <c r="J40" s="1"/>
      <c r="K40" s="1">
        <v>68</v>
      </c>
      <c r="L40" s="1">
        <f t="shared" si="21"/>
        <v>-20.832000000000001</v>
      </c>
      <c r="M40" s="1">
        <f t="shared" si="22"/>
        <v>47.167999999999999</v>
      </c>
      <c r="N40" s="1"/>
      <c r="O40" s="1">
        <v>0</v>
      </c>
      <c r="P40" s="1"/>
      <c r="Q40" s="1">
        <v>60</v>
      </c>
      <c r="R40" s="1">
        <v>40</v>
      </c>
      <c r="S40" s="1"/>
      <c r="T40" s="1">
        <f t="shared" si="23"/>
        <v>9.4336000000000002</v>
      </c>
      <c r="U40" s="5">
        <f t="shared" si="19"/>
        <v>7.5402000000000093</v>
      </c>
      <c r="V40" s="5">
        <f t="shared" si="7"/>
        <v>7.5402000000000093</v>
      </c>
      <c r="W40" s="5">
        <f t="shared" si="8"/>
        <v>7.5402000000000093</v>
      </c>
      <c r="X40" s="5"/>
      <c r="Y40" s="22"/>
      <c r="Z40" s="22"/>
      <c r="AA40" s="1">
        <f t="shared" si="9"/>
        <v>12</v>
      </c>
      <c r="AB40" s="1">
        <f t="shared" si="24"/>
        <v>11.200708107191316</v>
      </c>
      <c r="AC40" s="1">
        <v>5.4336000000000002</v>
      </c>
      <c r="AD40" s="1">
        <v>0.23380000000000001</v>
      </c>
      <c r="AE40" s="1">
        <v>0.23380000000000001</v>
      </c>
      <c r="AF40" s="1">
        <v>-0.2</v>
      </c>
      <c r="AG40" s="1">
        <v>-0.4</v>
      </c>
      <c r="AH40" s="1">
        <v>17.399999999999999</v>
      </c>
      <c r="AI40" s="1">
        <v>18.2</v>
      </c>
      <c r="AJ40" s="1">
        <v>0.4</v>
      </c>
      <c r="AK40" s="1"/>
      <c r="AL40" s="1">
        <f t="shared" si="10"/>
        <v>3</v>
      </c>
      <c r="AM40" s="1">
        <f t="shared" si="11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37</v>
      </c>
      <c r="C41" s="1">
        <v>20.864000000000001</v>
      </c>
      <c r="D41" s="1">
        <v>58.006999999999998</v>
      </c>
      <c r="E41" s="1">
        <v>34.594999999999999</v>
      </c>
      <c r="F41" s="1">
        <v>40.658999999999999</v>
      </c>
      <c r="G41" s="7">
        <v>1</v>
      </c>
      <c r="H41" s="1">
        <v>40</v>
      </c>
      <c r="I41" s="1" t="s">
        <v>38</v>
      </c>
      <c r="J41" s="1"/>
      <c r="K41" s="1">
        <v>38.5</v>
      </c>
      <c r="L41" s="1">
        <f t="shared" si="21"/>
        <v>-3.9050000000000011</v>
      </c>
      <c r="M41" s="1">
        <f t="shared" si="22"/>
        <v>34.594999999999999</v>
      </c>
      <c r="N41" s="1"/>
      <c r="O41" s="1">
        <v>0</v>
      </c>
      <c r="P41" s="1"/>
      <c r="Q41" s="1">
        <v>10</v>
      </c>
      <c r="R41" s="1">
        <v>0</v>
      </c>
      <c r="S41" s="1"/>
      <c r="T41" s="1">
        <f t="shared" si="23"/>
        <v>6.9189999999999996</v>
      </c>
      <c r="U41" s="5">
        <f t="shared" si="19"/>
        <v>32.368999999999993</v>
      </c>
      <c r="V41" s="5">
        <f t="shared" si="7"/>
        <v>32.368999999999993</v>
      </c>
      <c r="W41" s="5">
        <f t="shared" si="8"/>
        <v>32.368999999999993</v>
      </c>
      <c r="X41" s="5"/>
      <c r="Y41" s="22"/>
      <c r="Z41" s="22"/>
      <c r="AA41" s="1">
        <f t="shared" si="9"/>
        <v>12</v>
      </c>
      <c r="AB41" s="1">
        <f t="shared" si="24"/>
        <v>7.3217227923110277</v>
      </c>
      <c r="AC41" s="1">
        <v>6.3548</v>
      </c>
      <c r="AD41" s="1">
        <v>6.2396000000000003</v>
      </c>
      <c r="AE41" s="1">
        <v>4.0526</v>
      </c>
      <c r="AF41" s="1">
        <v>0.86860000000000004</v>
      </c>
      <c r="AG41" s="1">
        <v>1.5376000000000001</v>
      </c>
      <c r="AH41" s="1">
        <v>4.7845999999999993</v>
      </c>
      <c r="AI41" s="1">
        <v>3.8283999999999998</v>
      </c>
      <c r="AJ41" s="1">
        <v>1.671</v>
      </c>
      <c r="AK41" s="1"/>
      <c r="AL41" s="1">
        <f t="shared" si="10"/>
        <v>32</v>
      </c>
      <c r="AM41" s="1">
        <f t="shared" si="11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44</v>
      </c>
      <c r="C42" s="1">
        <v>23</v>
      </c>
      <c r="D42" s="1">
        <v>398</v>
      </c>
      <c r="E42" s="1">
        <v>303</v>
      </c>
      <c r="F42" s="1">
        <v>4</v>
      </c>
      <c r="G42" s="7">
        <v>0.4</v>
      </c>
      <c r="H42" s="1">
        <v>40</v>
      </c>
      <c r="I42" s="10" t="s">
        <v>42</v>
      </c>
      <c r="J42" s="1"/>
      <c r="K42" s="1">
        <v>439</v>
      </c>
      <c r="L42" s="1">
        <f t="shared" si="21"/>
        <v>-136</v>
      </c>
      <c r="M42" s="1">
        <f t="shared" si="22"/>
        <v>303</v>
      </c>
      <c r="N42" s="1"/>
      <c r="O42" s="1">
        <v>86.759999999999991</v>
      </c>
      <c r="P42" s="1">
        <v>93.240000000000009</v>
      </c>
      <c r="Q42" s="1">
        <v>0</v>
      </c>
      <c r="R42" s="1">
        <v>50</v>
      </c>
      <c r="S42" s="1"/>
      <c r="T42" s="1">
        <f t="shared" si="23"/>
        <v>60.6</v>
      </c>
      <c r="U42" s="5">
        <f>11*T42-S42-R42-Q42-P42-O42-F42</f>
        <v>432.6</v>
      </c>
      <c r="V42" s="5">
        <f t="shared" si="7"/>
        <v>432.6</v>
      </c>
      <c r="W42" s="5">
        <f t="shared" si="8"/>
        <v>205.70130000000003</v>
      </c>
      <c r="X42" s="5">
        <f t="shared" ref="X42:X43" si="25">V42*$X$1</f>
        <v>226.89869999999999</v>
      </c>
      <c r="Y42" s="22"/>
      <c r="Z42" s="22"/>
      <c r="AA42" s="1">
        <f t="shared" si="9"/>
        <v>11</v>
      </c>
      <c r="AB42" s="1">
        <f t="shared" si="24"/>
        <v>3.8613861386138613</v>
      </c>
      <c r="AC42" s="1">
        <v>14.8</v>
      </c>
      <c r="AD42" s="1">
        <v>32.799999999999997</v>
      </c>
      <c r="AE42" s="1">
        <v>53.2</v>
      </c>
      <c r="AF42" s="1">
        <v>65</v>
      </c>
      <c r="AG42" s="1">
        <v>73.2</v>
      </c>
      <c r="AH42" s="1">
        <v>57</v>
      </c>
      <c r="AI42" s="1">
        <v>51.2</v>
      </c>
      <c r="AJ42" s="1">
        <v>38.4</v>
      </c>
      <c r="AK42" s="1"/>
      <c r="AL42" s="1">
        <f t="shared" si="10"/>
        <v>82</v>
      </c>
      <c r="AM42" s="1">
        <f t="shared" si="11"/>
        <v>91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44</v>
      </c>
      <c r="C43" s="1">
        <v>270</v>
      </c>
      <c r="D43" s="1">
        <v>540</v>
      </c>
      <c r="E43" s="1">
        <v>584</v>
      </c>
      <c r="F43" s="1">
        <v>61</v>
      </c>
      <c r="G43" s="7">
        <v>0.4</v>
      </c>
      <c r="H43" s="1">
        <v>45</v>
      </c>
      <c r="I43" s="10" t="s">
        <v>42</v>
      </c>
      <c r="J43" s="1"/>
      <c r="K43" s="1">
        <v>626</v>
      </c>
      <c r="L43" s="1">
        <f t="shared" si="21"/>
        <v>-42</v>
      </c>
      <c r="M43" s="1">
        <f t="shared" si="22"/>
        <v>584</v>
      </c>
      <c r="N43" s="1"/>
      <c r="O43" s="1">
        <v>192.8</v>
      </c>
      <c r="P43" s="1">
        <v>207.2</v>
      </c>
      <c r="Q43" s="1">
        <v>100</v>
      </c>
      <c r="R43" s="1">
        <v>0</v>
      </c>
      <c r="S43" s="1"/>
      <c r="T43" s="1">
        <f t="shared" si="23"/>
        <v>116.8</v>
      </c>
      <c r="U43" s="5">
        <f t="shared" si="19"/>
        <v>840.59999999999991</v>
      </c>
      <c r="V43" s="5">
        <f>U43+T43*$V$1</f>
        <v>962.07199999999989</v>
      </c>
      <c r="W43" s="5">
        <f t="shared" si="8"/>
        <v>457.465236</v>
      </c>
      <c r="X43" s="5">
        <f t="shared" si="25"/>
        <v>504.60676399999988</v>
      </c>
      <c r="Y43" s="22"/>
      <c r="Z43" s="22"/>
      <c r="AA43" s="1">
        <f t="shared" si="9"/>
        <v>13.04</v>
      </c>
      <c r="AB43" s="1">
        <f t="shared" si="24"/>
        <v>4.8030821917808222</v>
      </c>
      <c r="AC43" s="1">
        <v>81.8</v>
      </c>
      <c r="AD43" s="1">
        <v>82.4</v>
      </c>
      <c r="AE43" s="1">
        <v>90.2</v>
      </c>
      <c r="AF43" s="1">
        <v>88</v>
      </c>
      <c r="AG43" s="1">
        <v>84</v>
      </c>
      <c r="AH43" s="1">
        <v>41.2</v>
      </c>
      <c r="AI43" s="1">
        <v>60.8</v>
      </c>
      <c r="AJ43" s="1">
        <v>91.6</v>
      </c>
      <c r="AK43" s="1"/>
      <c r="AL43" s="1">
        <f t="shared" si="10"/>
        <v>183</v>
      </c>
      <c r="AM43" s="1">
        <f t="shared" si="11"/>
        <v>202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37</v>
      </c>
      <c r="C44" s="1">
        <v>-0.72699999999999998</v>
      </c>
      <c r="D44" s="1">
        <v>186.81700000000001</v>
      </c>
      <c r="E44" s="1">
        <v>42.055</v>
      </c>
      <c r="F44" s="1">
        <v>115.02500000000001</v>
      </c>
      <c r="G44" s="7">
        <v>1</v>
      </c>
      <c r="H44" s="1">
        <v>40</v>
      </c>
      <c r="I44" s="10" t="s">
        <v>42</v>
      </c>
      <c r="J44" s="1"/>
      <c r="K44" s="1">
        <v>63.7</v>
      </c>
      <c r="L44" s="1">
        <f t="shared" si="21"/>
        <v>-21.645000000000003</v>
      </c>
      <c r="M44" s="1">
        <f t="shared" si="22"/>
        <v>42.055</v>
      </c>
      <c r="N44" s="1"/>
      <c r="O44" s="1">
        <v>96.399999999999991</v>
      </c>
      <c r="P44" s="1">
        <v>103.6</v>
      </c>
      <c r="Q44" s="1">
        <v>100</v>
      </c>
      <c r="R44" s="1">
        <v>0</v>
      </c>
      <c r="S44" s="1"/>
      <c r="T44" s="1">
        <f t="shared" si="23"/>
        <v>8.4109999999999996</v>
      </c>
      <c r="U44" s="5"/>
      <c r="V44" s="5">
        <f t="shared" si="7"/>
        <v>0</v>
      </c>
      <c r="W44" s="5">
        <f t="shared" si="8"/>
        <v>0</v>
      </c>
      <c r="X44" s="5"/>
      <c r="Y44" s="22"/>
      <c r="Z44" s="22"/>
      <c r="AA44" s="1">
        <f t="shared" si="9"/>
        <v>49.343122102009275</v>
      </c>
      <c r="AB44" s="1">
        <f t="shared" si="24"/>
        <v>49.343122102009275</v>
      </c>
      <c r="AC44" s="1">
        <v>0.14360000000000001</v>
      </c>
      <c r="AD44" s="1">
        <v>0</v>
      </c>
      <c r="AE44" s="1">
        <v>0</v>
      </c>
      <c r="AF44" s="1">
        <v>9.7788000000000004</v>
      </c>
      <c r="AG44" s="1">
        <v>18.235800000000001</v>
      </c>
      <c r="AH44" s="1">
        <v>15.523999999999999</v>
      </c>
      <c r="AI44" s="1">
        <v>12.8612</v>
      </c>
      <c r="AJ44" s="1">
        <v>9.6170000000000009</v>
      </c>
      <c r="AK44" s="1" t="s">
        <v>40</v>
      </c>
      <c r="AL44" s="1">
        <f t="shared" si="10"/>
        <v>0</v>
      </c>
      <c r="AM44" s="1">
        <f t="shared" si="11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44</v>
      </c>
      <c r="C45" s="1">
        <v>-4</v>
      </c>
      <c r="D45" s="1">
        <v>157</v>
      </c>
      <c r="E45" s="1">
        <v>143</v>
      </c>
      <c r="F45" s="1">
        <v>5</v>
      </c>
      <c r="G45" s="7">
        <v>0.35</v>
      </c>
      <c r="H45" s="1">
        <v>40</v>
      </c>
      <c r="I45" s="10" t="s">
        <v>193</v>
      </c>
      <c r="J45" s="1"/>
      <c r="K45" s="1">
        <v>221</v>
      </c>
      <c r="L45" s="1">
        <f t="shared" si="21"/>
        <v>-78</v>
      </c>
      <c r="M45" s="1">
        <f t="shared" si="22"/>
        <v>143</v>
      </c>
      <c r="N45" s="1"/>
      <c r="O45" s="1">
        <v>57.84</v>
      </c>
      <c r="P45" s="1">
        <v>62.16</v>
      </c>
      <c r="Q45" s="1">
        <v>50</v>
      </c>
      <c r="R45" s="1">
        <v>0</v>
      </c>
      <c r="S45" s="1"/>
      <c r="T45" s="1">
        <f t="shared" si="23"/>
        <v>28.6</v>
      </c>
      <c r="U45" s="5">
        <f t="shared" si="19"/>
        <v>168.20000000000005</v>
      </c>
      <c r="V45" s="5">
        <f>Y45</f>
        <v>1500</v>
      </c>
      <c r="W45" s="5">
        <f t="shared" si="8"/>
        <v>713.25</v>
      </c>
      <c r="X45" s="5">
        <f t="shared" ref="X45:X46" si="26">V45*$X$1</f>
        <v>786.75</v>
      </c>
      <c r="Y45" s="22">
        <v>1500</v>
      </c>
      <c r="Z45" s="22" t="str">
        <f>VLOOKUP(A45,[1]Sheet!$A:$W,23,0)</f>
        <v xml:space="preserve">1500 шт требуется сеть ЮТЛ </v>
      </c>
      <c r="AA45" s="1">
        <f t="shared" si="9"/>
        <v>58.566433566433567</v>
      </c>
      <c r="AB45" s="1">
        <f t="shared" si="24"/>
        <v>6.1188811188811183</v>
      </c>
      <c r="AC45" s="1">
        <v>-0.4</v>
      </c>
      <c r="AD45" s="1">
        <v>0</v>
      </c>
      <c r="AE45" s="1">
        <v>-0.4</v>
      </c>
      <c r="AF45" s="1">
        <v>31.2</v>
      </c>
      <c r="AG45" s="1">
        <v>60.8</v>
      </c>
      <c r="AH45" s="1">
        <v>78.400000000000006</v>
      </c>
      <c r="AI45" s="1">
        <v>297.39999999999998</v>
      </c>
      <c r="AJ45" s="1">
        <v>286.60000000000002</v>
      </c>
      <c r="AK45" s="1" t="s">
        <v>192</v>
      </c>
      <c r="AL45" s="1">
        <f t="shared" si="10"/>
        <v>250</v>
      </c>
      <c r="AM45" s="1">
        <f t="shared" si="11"/>
        <v>275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44</v>
      </c>
      <c r="C46" s="1">
        <v>128</v>
      </c>
      <c r="D46" s="1">
        <v>739</v>
      </c>
      <c r="E46" s="1">
        <v>330</v>
      </c>
      <c r="F46" s="1">
        <v>446</v>
      </c>
      <c r="G46" s="7">
        <v>0.4</v>
      </c>
      <c r="H46" s="1">
        <v>40</v>
      </c>
      <c r="I46" s="1" t="s">
        <v>38</v>
      </c>
      <c r="J46" s="1"/>
      <c r="K46" s="1">
        <v>415</v>
      </c>
      <c r="L46" s="1">
        <f t="shared" si="21"/>
        <v>-85</v>
      </c>
      <c r="M46" s="1">
        <f t="shared" si="22"/>
        <v>330</v>
      </c>
      <c r="N46" s="1"/>
      <c r="O46" s="1">
        <v>0</v>
      </c>
      <c r="P46" s="1"/>
      <c r="Q46" s="1">
        <v>50</v>
      </c>
      <c r="R46" s="1">
        <v>0</v>
      </c>
      <c r="S46" s="1"/>
      <c r="T46" s="1">
        <f t="shared" si="23"/>
        <v>66</v>
      </c>
      <c r="U46" s="5">
        <f t="shared" si="19"/>
        <v>296</v>
      </c>
      <c r="V46" s="5">
        <f>U46+T46*$V$1</f>
        <v>364.64</v>
      </c>
      <c r="W46" s="5">
        <f t="shared" si="8"/>
        <v>173.38632000000001</v>
      </c>
      <c r="X46" s="5">
        <f t="shared" si="26"/>
        <v>191.25367999999997</v>
      </c>
      <c r="Y46" s="22"/>
      <c r="Z46" s="22"/>
      <c r="AA46" s="1">
        <f t="shared" si="9"/>
        <v>13.04</v>
      </c>
      <c r="AB46" s="1">
        <f t="shared" si="24"/>
        <v>7.5151515151515156</v>
      </c>
      <c r="AC46" s="1">
        <v>54.6</v>
      </c>
      <c r="AD46" s="1">
        <v>52</v>
      </c>
      <c r="AE46" s="1">
        <v>69</v>
      </c>
      <c r="AF46" s="1">
        <v>79.400000000000006</v>
      </c>
      <c r="AG46" s="1">
        <v>67.400000000000006</v>
      </c>
      <c r="AH46" s="1">
        <v>75.400000000000006</v>
      </c>
      <c r="AI46" s="1">
        <v>92</v>
      </c>
      <c r="AJ46" s="1">
        <v>107</v>
      </c>
      <c r="AK46" s="1"/>
      <c r="AL46" s="1">
        <f t="shared" si="10"/>
        <v>69</v>
      </c>
      <c r="AM46" s="1">
        <f t="shared" si="11"/>
        <v>77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37</v>
      </c>
      <c r="C47" s="1">
        <v>120.718</v>
      </c>
      <c r="D47" s="1">
        <v>2.6040000000000001</v>
      </c>
      <c r="E47" s="1">
        <v>131.089</v>
      </c>
      <c r="F47" s="1">
        <v>-17.137</v>
      </c>
      <c r="G47" s="7">
        <v>1</v>
      </c>
      <c r="H47" s="1">
        <v>50</v>
      </c>
      <c r="I47" s="1" t="s">
        <v>38</v>
      </c>
      <c r="J47" s="1"/>
      <c r="K47" s="1">
        <v>135.6</v>
      </c>
      <c r="L47" s="1">
        <f t="shared" si="21"/>
        <v>-4.5109999999999957</v>
      </c>
      <c r="M47" s="1">
        <f t="shared" si="22"/>
        <v>131.089</v>
      </c>
      <c r="N47" s="1"/>
      <c r="O47" s="1">
        <v>106.04</v>
      </c>
      <c r="P47" s="1">
        <v>113.96</v>
      </c>
      <c r="Q47" s="1">
        <v>200</v>
      </c>
      <c r="R47" s="1">
        <v>0</v>
      </c>
      <c r="S47" s="1"/>
      <c r="T47" s="1">
        <f t="shared" si="23"/>
        <v>26.2178</v>
      </c>
      <c r="U47" s="5"/>
      <c r="V47" s="5">
        <f t="shared" si="7"/>
        <v>0</v>
      </c>
      <c r="W47" s="5">
        <f t="shared" si="8"/>
        <v>0</v>
      </c>
      <c r="X47" s="5"/>
      <c r="Y47" s="22"/>
      <c r="Z47" s="22"/>
      <c r="AA47" s="1">
        <f t="shared" si="9"/>
        <v>15.366010878105714</v>
      </c>
      <c r="AB47" s="1">
        <f t="shared" si="24"/>
        <v>15.366010878105714</v>
      </c>
      <c r="AC47" s="1">
        <v>24.6632</v>
      </c>
      <c r="AD47" s="1">
        <v>41.405000000000001</v>
      </c>
      <c r="AE47" s="1">
        <v>41.046999999999997</v>
      </c>
      <c r="AF47" s="1">
        <v>19.833600000000001</v>
      </c>
      <c r="AG47" s="1">
        <v>20.871600000000001</v>
      </c>
      <c r="AH47" s="1">
        <v>29.981400000000001</v>
      </c>
      <c r="AI47" s="1">
        <v>29.677399999999999</v>
      </c>
      <c r="AJ47" s="1">
        <v>19.035</v>
      </c>
      <c r="AK47" s="1"/>
      <c r="AL47" s="1">
        <f t="shared" si="10"/>
        <v>0</v>
      </c>
      <c r="AM47" s="1">
        <f t="shared" si="11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37</v>
      </c>
      <c r="C48" s="1">
        <v>2.8220000000000001</v>
      </c>
      <c r="D48" s="1">
        <v>1790.68</v>
      </c>
      <c r="E48" s="1">
        <v>445.88200000000001</v>
      </c>
      <c r="F48" s="1">
        <v>836.46699999999998</v>
      </c>
      <c r="G48" s="7">
        <v>1</v>
      </c>
      <c r="H48" s="1">
        <v>50</v>
      </c>
      <c r="I48" s="1" t="s">
        <v>38</v>
      </c>
      <c r="J48" s="1"/>
      <c r="K48" s="1">
        <v>532.62800000000004</v>
      </c>
      <c r="L48" s="1">
        <f t="shared" si="21"/>
        <v>-86.746000000000038</v>
      </c>
      <c r="M48" s="1">
        <f t="shared" si="22"/>
        <v>241.054</v>
      </c>
      <c r="N48" s="1">
        <v>204.828</v>
      </c>
      <c r="O48" s="1">
        <v>337.4</v>
      </c>
      <c r="P48" s="1">
        <v>362.6</v>
      </c>
      <c r="Q48" s="1">
        <v>100</v>
      </c>
      <c r="R48" s="1">
        <v>0</v>
      </c>
      <c r="S48" s="1"/>
      <c r="T48" s="1">
        <f t="shared" si="23"/>
        <v>48.210799999999999</v>
      </c>
      <c r="U48" s="5"/>
      <c r="V48" s="5">
        <f t="shared" si="7"/>
        <v>0</v>
      </c>
      <c r="W48" s="5">
        <f t="shared" si="8"/>
        <v>0</v>
      </c>
      <c r="X48" s="5"/>
      <c r="Y48" s="22"/>
      <c r="Z48" s="22"/>
      <c r="AA48" s="1">
        <f t="shared" si="9"/>
        <v>33.943991802666623</v>
      </c>
      <c r="AB48" s="1">
        <f t="shared" si="24"/>
        <v>33.943991802666623</v>
      </c>
      <c r="AC48" s="1">
        <v>0.9294</v>
      </c>
      <c r="AD48" s="1">
        <v>46.881199999999993</v>
      </c>
      <c r="AE48" s="1">
        <v>105.58880000000001</v>
      </c>
      <c r="AF48" s="1">
        <v>141.5504</v>
      </c>
      <c r="AG48" s="1">
        <v>82.66</v>
      </c>
      <c r="AH48" s="1">
        <v>80.614800000000002</v>
      </c>
      <c r="AI48" s="1">
        <v>94.964200000000005</v>
      </c>
      <c r="AJ48" s="1">
        <v>153.36920000000001</v>
      </c>
      <c r="AK48" s="1" t="s">
        <v>40</v>
      </c>
      <c r="AL48" s="1">
        <f t="shared" si="10"/>
        <v>0</v>
      </c>
      <c r="AM48" s="1">
        <f t="shared" si="11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1" t="s">
        <v>88</v>
      </c>
      <c r="B49" s="11" t="s">
        <v>37</v>
      </c>
      <c r="C49" s="11"/>
      <c r="D49" s="11"/>
      <c r="E49" s="11"/>
      <c r="F49" s="11"/>
      <c r="G49" s="12">
        <v>0</v>
      </c>
      <c r="H49" s="11"/>
      <c r="I49" s="11" t="s">
        <v>42</v>
      </c>
      <c r="J49" s="11"/>
      <c r="K49" s="11"/>
      <c r="L49" s="11">
        <f t="shared" si="21"/>
        <v>0</v>
      </c>
      <c r="M49" s="11">
        <f t="shared" si="22"/>
        <v>0</v>
      </c>
      <c r="N49" s="11"/>
      <c r="O49" s="11">
        <v>0</v>
      </c>
      <c r="P49" s="11"/>
      <c r="Q49" s="11">
        <v>0</v>
      </c>
      <c r="R49" s="11">
        <v>0</v>
      </c>
      <c r="S49" s="11"/>
      <c r="T49" s="11">
        <f t="shared" si="23"/>
        <v>0</v>
      </c>
      <c r="U49" s="13"/>
      <c r="V49" s="5">
        <f t="shared" si="7"/>
        <v>0</v>
      </c>
      <c r="W49" s="5">
        <f t="shared" si="8"/>
        <v>0</v>
      </c>
      <c r="X49" s="5"/>
      <c r="Y49" s="23"/>
      <c r="Z49" s="22"/>
      <c r="AA49" s="1" t="e">
        <f t="shared" si="9"/>
        <v>#DIV/0!</v>
      </c>
      <c r="AB49" s="11" t="e">
        <f t="shared" si="24"/>
        <v>#DIV/0!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 t="s">
        <v>56</v>
      </c>
      <c r="AL49" s="1">
        <f t="shared" si="10"/>
        <v>0</v>
      </c>
      <c r="AM49" s="1">
        <f t="shared" si="11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44</v>
      </c>
      <c r="C50" s="1">
        <v>254.982</v>
      </c>
      <c r="D50" s="1">
        <v>467.01799999999997</v>
      </c>
      <c r="E50" s="1">
        <v>340</v>
      </c>
      <c r="F50" s="1">
        <v>170</v>
      </c>
      <c r="G50" s="7">
        <v>0.45</v>
      </c>
      <c r="H50" s="1">
        <v>50</v>
      </c>
      <c r="I50" s="1" t="s">
        <v>38</v>
      </c>
      <c r="J50" s="1"/>
      <c r="K50" s="1">
        <v>381</v>
      </c>
      <c r="L50" s="1">
        <f t="shared" si="21"/>
        <v>-41</v>
      </c>
      <c r="M50" s="1">
        <f t="shared" si="22"/>
        <v>340</v>
      </c>
      <c r="N50" s="1"/>
      <c r="O50" s="1">
        <v>67.085467575999999</v>
      </c>
      <c r="P50" s="1">
        <v>72.096000423999996</v>
      </c>
      <c r="Q50" s="1">
        <v>3.560400000000044</v>
      </c>
      <c r="R50" s="1">
        <v>96.11827000000001</v>
      </c>
      <c r="S50" s="1">
        <v>102.06373000000001</v>
      </c>
      <c r="T50" s="1">
        <f t="shared" si="23"/>
        <v>68</v>
      </c>
      <c r="U50" s="5">
        <f t="shared" ref="U50:U51" si="27">12*T50-S50-R50-Q50-P50-O50-F50</f>
        <v>305.07613199999997</v>
      </c>
      <c r="V50" s="5">
        <f t="shared" ref="V50:V51" si="28">U50+T50*$V$1</f>
        <v>375.79613199999994</v>
      </c>
      <c r="W50" s="5">
        <f t="shared" si="8"/>
        <v>178.69106076599999</v>
      </c>
      <c r="X50" s="5">
        <f t="shared" ref="X50:X51" si="29">V50*$X$1</f>
        <v>197.10507123399995</v>
      </c>
      <c r="Y50" s="22"/>
      <c r="Z50" s="22"/>
      <c r="AA50" s="1">
        <f t="shared" si="9"/>
        <v>13.040000000000001</v>
      </c>
      <c r="AB50" s="1">
        <f t="shared" si="24"/>
        <v>7.5135862941176486</v>
      </c>
      <c r="AC50" s="1">
        <v>58.8</v>
      </c>
      <c r="AD50" s="1">
        <v>49.8</v>
      </c>
      <c r="AE50" s="1">
        <v>64.003599999999992</v>
      </c>
      <c r="AF50" s="1">
        <v>53.003599999999992</v>
      </c>
      <c r="AG50" s="1">
        <v>62.2</v>
      </c>
      <c r="AH50" s="1">
        <v>72.400000000000006</v>
      </c>
      <c r="AI50" s="1">
        <v>68</v>
      </c>
      <c r="AJ50" s="1">
        <v>63</v>
      </c>
      <c r="AK50" s="1"/>
      <c r="AL50" s="1">
        <f t="shared" si="10"/>
        <v>80</v>
      </c>
      <c r="AM50" s="1">
        <f t="shared" si="11"/>
        <v>89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44</v>
      </c>
      <c r="C51" s="1">
        <v>790</v>
      </c>
      <c r="D51" s="1">
        <v>433</v>
      </c>
      <c r="E51" s="1">
        <v>396</v>
      </c>
      <c r="F51" s="1">
        <v>762</v>
      </c>
      <c r="G51" s="7">
        <v>0.45</v>
      </c>
      <c r="H51" s="1">
        <v>50</v>
      </c>
      <c r="I51" s="1" t="s">
        <v>38</v>
      </c>
      <c r="J51" s="1"/>
      <c r="K51" s="1">
        <v>423</v>
      </c>
      <c r="L51" s="1">
        <f t="shared" si="21"/>
        <v>-27</v>
      </c>
      <c r="M51" s="1">
        <f t="shared" si="22"/>
        <v>396</v>
      </c>
      <c r="N51" s="1"/>
      <c r="O51" s="1">
        <v>0</v>
      </c>
      <c r="P51" s="1"/>
      <c r="Q51" s="1">
        <v>0</v>
      </c>
      <c r="R51" s="1">
        <v>0</v>
      </c>
      <c r="S51" s="1"/>
      <c r="T51" s="1">
        <f t="shared" si="23"/>
        <v>79.2</v>
      </c>
      <c r="U51" s="5">
        <f t="shared" si="27"/>
        <v>188.40000000000009</v>
      </c>
      <c r="V51" s="5">
        <f t="shared" si="28"/>
        <v>270.76800000000009</v>
      </c>
      <c r="W51" s="5">
        <f t="shared" si="8"/>
        <v>128.75018400000005</v>
      </c>
      <c r="X51" s="5">
        <f t="shared" si="29"/>
        <v>142.01781600000004</v>
      </c>
      <c r="Y51" s="22"/>
      <c r="Z51" s="22"/>
      <c r="AA51" s="1">
        <f t="shared" si="9"/>
        <v>13.04</v>
      </c>
      <c r="AB51" s="1">
        <f t="shared" si="24"/>
        <v>9.6212121212121211</v>
      </c>
      <c r="AC51" s="1">
        <v>78.400000000000006</v>
      </c>
      <c r="AD51" s="1">
        <v>62.8</v>
      </c>
      <c r="AE51" s="1">
        <v>88.6</v>
      </c>
      <c r="AF51" s="1">
        <v>112.4</v>
      </c>
      <c r="AG51" s="1">
        <v>111.6</v>
      </c>
      <c r="AH51" s="1">
        <v>97.4</v>
      </c>
      <c r="AI51" s="1">
        <v>85.4</v>
      </c>
      <c r="AJ51" s="1">
        <v>118.6</v>
      </c>
      <c r="AK51" s="1"/>
      <c r="AL51" s="1">
        <f t="shared" si="10"/>
        <v>58</v>
      </c>
      <c r="AM51" s="1">
        <f t="shared" si="11"/>
        <v>64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1" t="s">
        <v>91</v>
      </c>
      <c r="B52" s="11" t="s">
        <v>44</v>
      </c>
      <c r="C52" s="11"/>
      <c r="D52" s="11"/>
      <c r="E52" s="11"/>
      <c r="F52" s="11"/>
      <c r="G52" s="12">
        <v>0</v>
      </c>
      <c r="H52" s="11"/>
      <c r="I52" s="11" t="s">
        <v>38</v>
      </c>
      <c r="J52" s="11"/>
      <c r="K52" s="11"/>
      <c r="L52" s="11">
        <f t="shared" si="21"/>
        <v>0</v>
      </c>
      <c r="M52" s="11">
        <f t="shared" si="22"/>
        <v>0</v>
      </c>
      <c r="N52" s="11"/>
      <c r="O52" s="11">
        <v>0</v>
      </c>
      <c r="P52" s="11"/>
      <c r="Q52" s="11">
        <v>0</v>
      </c>
      <c r="R52" s="11">
        <v>0</v>
      </c>
      <c r="S52" s="11"/>
      <c r="T52" s="11">
        <f t="shared" si="23"/>
        <v>0</v>
      </c>
      <c r="U52" s="13"/>
      <c r="V52" s="5">
        <f t="shared" si="7"/>
        <v>0</v>
      </c>
      <c r="W52" s="5">
        <f t="shared" si="8"/>
        <v>0</v>
      </c>
      <c r="X52" s="5"/>
      <c r="Y52" s="23"/>
      <c r="Z52" s="22"/>
      <c r="AA52" s="1" t="e">
        <f t="shared" si="9"/>
        <v>#DIV/0!</v>
      </c>
      <c r="AB52" s="11" t="e">
        <f t="shared" si="24"/>
        <v>#DIV/0!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 t="s">
        <v>56</v>
      </c>
      <c r="AL52" s="1">
        <f t="shared" si="10"/>
        <v>0</v>
      </c>
      <c r="AM52" s="1">
        <f t="shared" si="11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44</v>
      </c>
      <c r="C53" s="1">
        <v>66</v>
      </c>
      <c r="D53" s="1">
        <v>26</v>
      </c>
      <c r="E53" s="1">
        <v>34</v>
      </c>
      <c r="F53" s="1">
        <v>-2</v>
      </c>
      <c r="G53" s="7">
        <v>0.4</v>
      </c>
      <c r="H53" s="1">
        <v>40</v>
      </c>
      <c r="I53" s="1" t="s">
        <v>38</v>
      </c>
      <c r="J53" s="1"/>
      <c r="K53" s="1">
        <v>67</v>
      </c>
      <c r="L53" s="1">
        <f t="shared" si="21"/>
        <v>-33</v>
      </c>
      <c r="M53" s="1">
        <f t="shared" si="22"/>
        <v>34</v>
      </c>
      <c r="N53" s="1"/>
      <c r="O53" s="1">
        <v>0</v>
      </c>
      <c r="P53" s="1"/>
      <c r="Q53" s="1">
        <v>0</v>
      </c>
      <c r="R53" s="1">
        <v>28.1</v>
      </c>
      <c r="S53" s="1"/>
      <c r="T53" s="1">
        <f t="shared" si="23"/>
        <v>6.8</v>
      </c>
      <c r="U53" s="5">
        <f>11*T53-S53-R53-Q53-P53-O53-F53</f>
        <v>48.699999999999996</v>
      </c>
      <c r="V53" s="5">
        <f t="shared" si="7"/>
        <v>48.699999999999996</v>
      </c>
      <c r="W53" s="5">
        <f t="shared" si="8"/>
        <v>48.699999999999996</v>
      </c>
      <c r="X53" s="5"/>
      <c r="Y53" s="22"/>
      <c r="Z53" s="22"/>
      <c r="AA53" s="1">
        <f t="shared" si="9"/>
        <v>11</v>
      </c>
      <c r="AB53" s="1">
        <f t="shared" si="24"/>
        <v>3.8382352941176472</v>
      </c>
      <c r="AC53" s="1">
        <v>7</v>
      </c>
      <c r="AD53" s="1">
        <v>3.8</v>
      </c>
      <c r="AE53" s="1">
        <v>3.8</v>
      </c>
      <c r="AF53" s="1">
        <v>8</v>
      </c>
      <c r="AG53" s="1">
        <v>7.4</v>
      </c>
      <c r="AH53" s="1">
        <v>5.4</v>
      </c>
      <c r="AI53" s="1">
        <v>6</v>
      </c>
      <c r="AJ53" s="1">
        <v>5.2</v>
      </c>
      <c r="AK53" s="17" t="s">
        <v>183</v>
      </c>
      <c r="AL53" s="1">
        <f t="shared" si="10"/>
        <v>19</v>
      </c>
      <c r="AM53" s="1">
        <f t="shared" si="11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37</v>
      </c>
      <c r="C54" s="1">
        <v>994.31200000000001</v>
      </c>
      <c r="D54" s="1">
        <v>1605.5889999999999</v>
      </c>
      <c r="E54" s="1">
        <v>1341.6279999999999</v>
      </c>
      <c r="F54" s="1">
        <v>720.85299999999995</v>
      </c>
      <c r="G54" s="7">
        <v>1</v>
      </c>
      <c r="H54" s="1">
        <v>50</v>
      </c>
      <c r="I54" s="1" t="s">
        <v>38</v>
      </c>
      <c r="J54" s="1"/>
      <c r="K54" s="1">
        <v>1312.961</v>
      </c>
      <c r="L54" s="1">
        <f t="shared" si="21"/>
        <v>28.666999999999916</v>
      </c>
      <c r="M54" s="1">
        <f t="shared" si="22"/>
        <v>895.76699999999994</v>
      </c>
      <c r="N54" s="1">
        <v>445.86099999999999</v>
      </c>
      <c r="O54" s="1">
        <v>337.4</v>
      </c>
      <c r="P54" s="1">
        <v>362.6</v>
      </c>
      <c r="Q54" s="1">
        <v>200</v>
      </c>
      <c r="R54" s="1">
        <v>121.25</v>
      </c>
      <c r="S54" s="1">
        <v>128.75</v>
      </c>
      <c r="T54" s="1">
        <f t="shared" si="23"/>
        <v>179.15339999999998</v>
      </c>
      <c r="U54" s="5">
        <f t="shared" ref="U54:U72" si="30">12*T54-S54-R54-Q54-P54-O54-F54</f>
        <v>278.98780000000011</v>
      </c>
      <c r="V54" s="5">
        <f t="shared" ref="V54:V56" si="31">U54+T54*$V$1</f>
        <v>465.30733600000008</v>
      </c>
      <c r="W54" s="5">
        <f t="shared" si="8"/>
        <v>221.25363826800006</v>
      </c>
      <c r="X54" s="5">
        <f t="shared" ref="X54:X56" si="32">V54*$X$1</f>
        <v>244.05369773200002</v>
      </c>
      <c r="Y54" s="22"/>
      <c r="Z54" s="22"/>
      <c r="AA54" s="1">
        <f t="shared" si="9"/>
        <v>13.040000000000001</v>
      </c>
      <c r="AB54" s="1">
        <f t="shared" si="24"/>
        <v>10.442743481284756</v>
      </c>
      <c r="AC54" s="1">
        <v>142.68860000000001</v>
      </c>
      <c r="AD54" s="1">
        <v>164.26859999999999</v>
      </c>
      <c r="AE54" s="1">
        <v>206.44300000000001</v>
      </c>
      <c r="AF54" s="1">
        <v>204.51920000000001</v>
      </c>
      <c r="AG54" s="1">
        <v>173.88640000000001</v>
      </c>
      <c r="AH54" s="1">
        <v>123.2016</v>
      </c>
      <c r="AI54" s="1">
        <v>136.36320000000001</v>
      </c>
      <c r="AJ54" s="1">
        <v>140.7388</v>
      </c>
      <c r="AK54" s="1"/>
      <c r="AL54" s="1">
        <f t="shared" si="10"/>
        <v>221</v>
      </c>
      <c r="AM54" s="1">
        <f t="shared" si="11"/>
        <v>244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44</v>
      </c>
      <c r="C55" s="1">
        <v>496</v>
      </c>
      <c r="D55" s="1">
        <v>15</v>
      </c>
      <c r="E55" s="14">
        <f>219+E129</f>
        <v>307</v>
      </c>
      <c r="F55" s="14">
        <f>245+F129</f>
        <v>279</v>
      </c>
      <c r="G55" s="7">
        <v>0.1</v>
      </c>
      <c r="H55" s="1">
        <v>731</v>
      </c>
      <c r="I55" s="1" t="s">
        <v>38</v>
      </c>
      <c r="J55" s="1"/>
      <c r="K55" s="1">
        <v>246</v>
      </c>
      <c r="L55" s="1">
        <f t="shared" si="21"/>
        <v>61</v>
      </c>
      <c r="M55" s="1">
        <f t="shared" si="22"/>
        <v>307</v>
      </c>
      <c r="N55" s="1"/>
      <c r="O55" s="1">
        <v>0</v>
      </c>
      <c r="P55" s="1"/>
      <c r="Q55" s="1">
        <v>0</v>
      </c>
      <c r="R55" s="1">
        <v>0</v>
      </c>
      <c r="S55" s="1"/>
      <c r="T55" s="1">
        <f t="shared" si="23"/>
        <v>61.4</v>
      </c>
      <c r="U55" s="5">
        <f t="shared" si="30"/>
        <v>457.79999999999995</v>
      </c>
      <c r="V55" s="5">
        <f t="shared" si="31"/>
        <v>521.65599999999995</v>
      </c>
      <c r="W55" s="5">
        <f t="shared" si="8"/>
        <v>248.04742799999997</v>
      </c>
      <c r="X55" s="5">
        <f t="shared" si="32"/>
        <v>273.60857199999998</v>
      </c>
      <c r="Y55" s="22"/>
      <c r="Z55" s="22"/>
      <c r="AA55" s="1">
        <f t="shared" si="9"/>
        <v>13.04</v>
      </c>
      <c r="AB55" s="1">
        <f t="shared" si="24"/>
        <v>4.543973941368078</v>
      </c>
      <c r="AC55" s="1">
        <v>38.4</v>
      </c>
      <c r="AD55" s="1">
        <v>32.799999999999997</v>
      </c>
      <c r="AE55" s="1">
        <v>39.4</v>
      </c>
      <c r="AF55" s="1">
        <v>46.6</v>
      </c>
      <c r="AG55" s="1">
        <v>63</v>
      </c>
      <c r="AH55" s="1">
        <v>65.400000000000006</v>
      </c>
      <c r="AI55" s="1">
        <v>33.4</v>
      </c>
      <c r="AJ55" s="1">
        <v>37</v>
      </c>
      <c r="AK55" s="1"/>
      <c r="AL55" s="1">
        <f t="shared" si="10"/>
        <v>25</v>
      </c>
      <c r="AM55" s="1">
        <f t="shared" si="11"/>
        <v>27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37</v>
      </c>
      <c r="C56" s="1">
        <v>467.596</v>
      </c>
      <c r="D56" s="1">
        <v>83.728999999999999</v>
      </c>
      <c r="E56" s="1">
        <v>530.14800000000002</v>
      </c>
      <c r="F56" s="1">
        <v>2.4860000000000002</v>
      </c>
      <c r="G56" s="7">
        <v>1</v>
      </c>
      <c r="H56" s="1">
        <v>50</v>
      </c>
      <c r="I56" s="1" t="s">
        <v>38</v>
      </c>
      <c r="J56" s="1"/>
      <c r="K56" s="1">
        <v>560.77599999999995</v>
      </c>
      <c r="L56" s="1">
        <f t="shared" si="21"/>
        <v>-30.627999999999929</v>
      </c>
      <c r="M56" s="1">
        <f t="shared" si="22"/>
        <v>530.14800000000002</v>
      </c>
      <c r="N56" s="1"/>
      <c r="O56" s="1">
        <v>120.5</v>
      </c>
      <c r="P56" s="1">
        <v>129.5</v>
      </c>
      <c r="Q56" s="1">
        <v>500</v>
      </c>
      <c r="R56" s="1">
        <v>194</v>
      </c>
      <c r="S56" s="1">
        <v>206</v>
      </c>
      <c r="T56" s="1">
        <f t="shared" si="23"/>
        <v>106.0296</v>
      </c>
      <c r="U56" s="5">
        <f t="shared" si="30"/>
        <v>119.86919999999996</v>
      </c>
      <c r="V56" s="5">
        <f t="shared" si="31"/>
        <v>230.13998399999997</v>
      </c>
      <c r="W56" s="5">
        <f t="shared" si="8"/>
        <v>109.43156239199999</v>
      </c>
      <c r="X56" s="5">
        <f t="shared" si="32"/>
        <v>120.70842160799998</v>
      </c>
      <c r="Y56" s="22"/>
      <c r="Z56" s="22"/>
      <c r="AA56" s="1">
        <f t="shared" si="9"/>
        <v>13.039999999999997</v>
      </c>
      <c r="AB56" s="1">
        <f t="shared" si="24"/>
        <v>10.869474184567327</v>
      </c>
      <c r="AC56" s="1">
        <v>99.083200000000005</v>
      </c>
      <c r="AD56" s="1">
        <v>84.417000000000002</v>
      </c>
      <c r="AE56" s="1">
        <v>102.416</v>
      </c>
      <c r="AF56" s="1">
        <v>87.879000000000005</v>
      </c>
      <c r="AG56" s="1">
        <v>99.554999999999993</v>
      </c>
      <c r="AH56" s="1">
        <v>115.2872</v>
      </c>
      <c r="AI56" s="1">
        <v>98.024599999999992</v>
      </c>
      <c r="AJ56" s="1">
        <v>102.12820000000001</v>
      </c>
      <c r="AK56" s="1"/>
      <c r="AL56" s="1">
        <f t="shared" si="10"/>
        <v>109</v>
      </c>
      <c r="AM56" s="1">
        <f t="shared" si="11"/>
        <v>121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37</v>
      </c>
      <c r="C57" s="1">
        <v>247.18700000000001</v>
      </c>
      <c r="D57" s="1">
        <v>1.37</v>
      </c>
      <c r="E57" s="1">
        <v>41.777999999999999</v>
      </c>
      <c r="F57" s="1">
        <v>202.346</v>
      </c>
      <c r="G57" s="7">
        <v>1</v>
      </c>
      <c r="H57" s="1">
        <v>55</v>
      </c>
      <c r="I57" s="1" t="s">
        <v>38</v>
      </c>
      <c r="J57" s="1"/>
      <c r="K57" s="1">
        <v>43</v>
      </c>
      <c r="L57" s="1">
        <f t="shared" si="21"/>
        <v>-1.2220000000000013</v>
      </c>
      <c r="M57" s="1">
        <f t="shared" si="22"/>
        <v>41.777999999999999</v>
      </c>
      <c r="N57" s="1"/>
      <c r="O57" s="1">
        <v>0</v>
      </c>
      <c r="P57" s="1"/>
      <c r="Q57" s="1">
        <v>0</v>
      </c>
      <c r="R57" s="1">
        <v>0</v>
      </c>
      <c r="S57" s="1"/>
      <c r="T57" s="1">
        <f t="shared" si="23"/>
        <v>8.355599999999999</v>
      </c>
      <c r="U57" s="5"/>
      <c r="V57" s="5">
        <f t="shared" si="7"/>
        <v>0</v>
      </c>
      <c r="W57" s="5">
        <f t="shared" si="8"/>
        <v>0</v>
      </c>
      <c r="X57" s="5"/>
      <c r="Y57" s="22"/>
      <c r="Z57" s="22"/>
      <c r="AA57" s="1">
        <f t="shared" si="9"/>
        <v>24.21681267652832</v>
      </c>
      <c r="AB57" s="1">
        <f t="shared" si="24"/>
        <v>24.21681267652832</v>
      </c>
      <c r="AC57" s="1">
        <v>5.3819999999999997</v>
      </c>
      <c r="AD57" s="1">
        <v>4.3932000000000002</v>
      </c>
      <c r="AE57" s="1">
        <v>3.2082000000000002</v>
      </c>
      <c r="AF57" s="1">
        <v>1.5431999999999999</v>
      </c>
      <c r="AG57" s="1">
        <v>4.0904000000000007</v>
      </c>
      <c r="AH57" s="1">
        <v>20.759</v>
      </c>
      <c r="AI57" s="1">
        <v>17.7484</v>
      </c>
      <c r="AJ57" s="1">
        <v>2.9815999999999998</v>
      </c>
      <c r="AK57" s="15" t="s">
        <v>47</v>
      </c>
      <c r="AL57" s="1">
        <f t="shared" si="10"/>
        <v>0</v>
      </c>
      <c r="AM57" s="1">
        <f t="shared" si="11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44</v>
      </c>
      <c r="C58" s="1">
        <v>527</v>
      </c>
      <c r="D58" s="1">
        <v>15</v>
      </c>
      <c r="E58" s="1">
        <v>196</v>
      </c>
      <c r="F58" s="1">
        <v>295</v>
      </c>
      <c r="G58" s="7">
        <v>0.1</v>
      </c>
      <c r="H58" s="1">
        <v>731</v>
      </c>
      <c r="I58" s="1" t="s">
        <v>38</v>
      </c>
      <c r="J58" s="1"/>
      <c r="K58" s="1">
        <v>228</v>
      </c>
      <c r="L58" s="1">
        <f t="shared" si="21"/>
        <v>-32</v>
      </c>
      <c r="M58" s="1">
        <f t="shared" si="22"/>
        <v>196</v>
      </c>
      <c r="N58" s="1"/>
      <c r="O58" s="1">
        <v>0</v>
      </c>
      <c r="P58" s="1"/>
      <c r="Q58" s="1">
        <v>0</v>
      </c>
      <c r="R58" s="1">
        <v>0</v>
      </c>
      <c r="S58" s="1"/>
      <c r="T58" s="1">
        <f t="shared" si="23"/>
        <v>39.200000000000003</v>
      </c>
      <c r="U58" s="5">
        <f t="shared" si="30"/>
        <v>175.40000000000003</v>
      </c>
      <c r="V58" s="5">
        <f t="shared" si="7"/>
        <v>175.40000000000003</v>
      </c>
      <c r="W58" s="5">
        <f t="shared" si="8"/>
        <v>83.402700000000024</v>
      </c>
      <c r="X58" s="5">
        <f>V58*$X$1</f>
        <v>91.99730000000001</v>
      </c>
      <c r="Y58" s="22"/>
      <c r="Z58" s="22"/>
      <c r="AA58" s="1">
        <f t="shared" si="9"/>
        <v>12</v>
      </c>
      <c r="AB58" s="1">
        <f t="shared" si="24"/>
        <v>7.5255102040816322</v>
      </c>
      <c r="AC58" s="1">
        <v>27.6</v>
      </c>
      <c r="AD58" s="1">
        <v>22</v>
      </c>
      <c r="AE58" s="1">
        <v>24.8</v>
      </c>
      <c r="AF58" s="1">
        <v>27.2</v>
      </c>
      <c r="AG58" s="1">
        <v>35</v>
      </c>
      <c r="AH58" s="1">
        <v>40.200000000000003</v>
      </c>
      <c r="AI58" s="1">
        <v>25.8</v>
      </c>
      <c r="AJ58" s="1">
        <v>29</v>
      </c>
      <c r="AK58" s="1"/>
      <c r="AL58" s="1">
        <f t="shared" si="10"/>
        <v>8</v>
      </c>
      <c r="AM58" s="1">
        <f t="shared" si="11"/>
        <v>9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99</v>
      </c>
      <c r="B59" s="1" t="s">
        <v>44</v>
      </c>
      <c r="C59" s="1"/>
      <c r="D59" s="1">
        <v>10</v>
      </c>
      <c r="E59" s="1"/>
      <c r="F59" s="1"/>
      <c r="G59" s="7">
        <v>0.4</v>
      </c>
      <c r="H59" s="1">
        <v>50</v>
      </c>
      <c r="I59" s="1" t="s">
        <v>38</v>
      </c>
      <c r="J59" s="1"/>
      <c r="K59" s="1">
        <v>2</v>
      </c>
      <c r="L59" s="1">
        <f t="shared" si="21"/>
        <v>-2</v>
      </c>
      <c r="M59" s="1">
        <f t="shared" si="22"/>
        <v>0</v>
      </c>
      <c r="N59" s="1"/>
      <c r="O59" s="1">
        <v>10</v>
      </c>
      <c r="P59" s="1"/>
      <c r="Q59" s="1">
        <v>0</v>
      </c>
      <c r="R59" s="1">
        <v>10</v>
      </c>
      <c r="S59" s="1"/>
      <c r="T59" s="1">
        <f t="shared" si="23"/>
        <v>0</v>
      </c>
      <c r="U59" s="5">
        <v>10</v>
      </c>
      <c r="V59" s="5">
        <f t="shared" si="7"/>
        <v>10</v>
      </c>
      <c r="W59" s="5">
        <f t="shared" si="8"/>
        <v>10</v>
      </c>
      <c r="X59" s="5"/>
      <c r="Y59" s="22"/>
      <c r="Z59" s="22"/>
      <c r="AA59" s="1" t="e">
        <f t="shared" si="9"/>
        <v>#DIV/0!</v>
      </c>
      <c r="AB59" s="1" t="e">
        <f t="shared" si="24"/>
        <v>#DIV/0!</v>
      </c>
      <c r="AC59" s="1">
        <v>0</v>
      </c>
      <c r="AD59" s="1">
        <v>0</v>
      </c>
      <c r="AE59" s="1">
        <v>0</v>
      </c>
      <c r="AF59" s="1">
        <v>0.8</v>
      </c>
      <c r="AG59" s="1">
        <v>1.4</v>
      </c>
      <c r="AH59" s="1">
        <v>1</v>
      </c>
      <c r="AI59" s="1">
        <v>0.6</v>
      </c>
      <c r="AJ59" s="1">
        <v>0.2</v>
      </c>
      <c r="AK59" s="1" t="s">
        <v>100</v>
      </c>
      <c r="AL59" s="1">
        <f t="shared" si="10"/>
        <v>4</v>
      </c>
      <c r="AM59" s="1">
        <f t="shared" si="11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37</v>
      </c>
      <c r="C60" s="1">
        <v>46.057000000000002</v>
      </c>
      <c r="D60" s="1">
        <v>724.48299999999995</v>
      </c>
      <c r="E60" s="1">
        <v>335.161</v>
      </c>
      <c r="F60" s="1">
        <v>345.06400000000002</v>
      </c>
      <c r="G60" s="7">
        <v>1</v>
      </c>
      <c r="H60" s="1">
        <v>40</v>
      </c>
      <c r="I60" s="10" t="s">
        <v>42</v>
      </c>
      <c r="J60" s="1"/>
      <c r="K60" s="1">
        <v>340.2</v>
      </c>
      <c r="L60" s="1">
        <f t="shared" si="21"/>
        <v>-5.0389999999999873</v>
      </c>
      <c r="M60" s="1">
        <f t="shared" si="22"/>
        <v>335.161</v>
      </c>
      <c r="N60" s="1"/>
      <c r="O60" s="1">
        <v>144.6</v>
      </c>
      <c r="P60" s="1">
        <v>155.4</v>
      </c>
      <c r="Q60" s="1">
        <v>100</v>
      </c>
      <c r="R60" s="1">
        <v>0</v>
      </c>
      <c r="S60" s="1"/>
      <c r="T60" s="1">
        <f t="shared" si="23"/>
        <v>67.032200000000003</v>
      </c>
      <c r="U60" s="5">
        <f t="shared" si="30"/>
        <v>59.322400000000073</v>
      </c>
      <c r="V60" s="5">
        <f t="shared" ref="V60:V63" si="33">U60+T60*$V$1</f>
        <v>129.03588800000009</v>
      </c>
      <c r="W60" s="5">
        <f t="shared" si="8"/>
        <v>61.356564744000039</v>
      </c>
      <c r="X60" s="5">
        <f t="shared" ref="X60:X63" si="34">V60*$X$1</f>
        <v>67.679323256000046</v>
      </c>
      <c r="Y60" s="22"/>
      <c r="Z60" s="22"/>
      <c r="AA60" s="1">
        <f t="shared" si="9"/>
        <v>13.040000000000001</v>
      </c>
      <c r="AB60" s="1">
        <f t="shared" si="24"/>
        <v>11.115016365269227</v>
      </c>
      <c r="AC60" s="1">
        <v>33.514600000000002</v>
      </c>
      <c r="AD60" s="1">
        <v>51.473600000000012</v>
      </c>
      <c r="AE60" s="1">
        <v>55.871799999999993</v>
      </c>
      <c r="AF60" s="1">
        <v>77.281200000000013</v>
      </c>
      <c r="AG60" s="1">
        <v>50.870399999999997</v>
      </c>
      <c r="AH60" s="1">
        <v>19.090599999999998</v>
      </c>
      <c r="AI60" s="1">
        <v>23.803599999999999</v>
      </c>
      <c r="AJ60" s="1">
        <v>71.302800000000005</v>
      </c>
      <c r="AK60" s="1" t="s">
        <v>40</v>
      </c>
      <c r="AL60" s="1">
        <f t="shared" si="10"/>
        <v>61</v>
      </c>
      <c r="AM60" s="1">
        <f t="shared" si="11"/>
        <v>68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37</v>
      </c>
      <c r="C61" s="1">
        <v>49.453000000000003</v>
      </c>
      <c r="D61" s="1">
        <v>305.20299999999997</v>
      </c>
      <c r="E61" s="1">
        <v>297.09300000000002</v>
      </c>
      <c r="F61" s="1">
        <v>7.7859999999999996</v>
      </c>
      <c r="G61" s="7">
        <v>1</v>
      </c>
      <c r="H61" s="1">
        <v>40</v>
      </c>
      <c r="I61" s="1" t="s">
        <v>38</v>
      </c>
      <c r="J61" s="1"/>
      <c r="K61" s="1">
        <v>471.077</v>
      </c>
      <c r="L61" s="1">
        <f t="shared" si="21"/>
        <v>-173.98399999999998</v>
      </c>
      <c r="M61" s="1">
        <f t="shared" si="22"/>
        <v>266.04000000000002</v>
      </c>
      <c r="N61" s="1">
        <v>31.053000000000001</v>
      </c>
      <c r="O61" s="1">
        <v>72.3</v>
      </c>
      <c r="P61" s="1">
        <v>77.7</v>
      </c>
      <c r="Q61" s="1">
        <v>50</v>
      </c>
      <c r="R61" s="1">
        <v>97</v>
      </c>
      <c r="S61" s="1">
        <v>103</v>
      </c>
      <c r="T61" s="1">
        <f t="shared" si="23"/>
        <v>53.208000000000006</v>
      </c>
      <c r="U61" s="5">
        <f t="shared" si="30"/>
        <v>230.71000000000009</v>
      </c>
      <c r="V61" s="5">
        <f t="shared" si="33"/>
        <v>286.04632000000009</v>
      </c>
      <c r="W61" s="5">
        <f t="shared" si="8"/>
        <v>136.01502516000005</v>
      </c>
      <c r="X61" s="5">
        <f t="shared" si="34"/>
        <v>150.03129484000004</v>
      </c>
      <c r="Y61" s="22"/>
      <c r="Z61" s="22"/>
      <c r="AA61" s="1">
        <f t="shared" si="9"/>
        <v>13.040000000000001</v>
      </c>
      <c r="AB61" s="1">
        <f t="shared" si="24"/>
        <v>7.6639978950533747</v>
      </c>
      <c r="AC61" s="1">
        <v>24.193999999999999</v>
      </c>
      <c r="AD61" s="1">
        <v>18.840399999999999</v>
      </c>
      <c r="AE61" s="1">
        <v>20.795200000000001</v>
      </c>
      <c r="AF61" s="1">
        <v>1.9228000000000001</v>
      </c>
      <c r="AG61" s="1">
        <v>32.845799999999997</v>
      </c>
      <c r="AH61" s="1">
        <v>64.912599999999998</v>
      </c>
      <c r="AI61" s="1">
        <v>19.1128</v>
      </c>
      <c r="AJ61" s="1">
        <v>32.8048</v>
      </c>
      <c r="AK61" s="1" t="s">
        <v>40</v>
      </c>
      <c r="AL61" s="1">
        <f t="shared" si="10"/>
        <v>136</v>
      </c>
      <c r="AM61" s="1">
        <f t="shared" si="11"/>
        <v>150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44</v>
      </c>
      <c r="C62" s="1">
        <v>569</v>
      </c>
      <c r="D62" s="1">
        <v>117</v>
      </c>
      <c r="E62" s="1">
        <v>673</v>
      </c>
      <c r="F62" s="1">
        <v>-6</v>
      </c>
      <c r="G62" s="7">
        <v>0.4</v>
      </c>
      <c r="H62" s="1">
        <v>40</v>
      </c>
      <c r="I62" s="1" t="s">
        <v>38</v>
      </c>
      <c r="J62" s="1"/>
      <c r="K62" s="1">
        <v>822</v>
      </c>
      <c r="L62" s="1">
        <f t="shared" si="21"/>
        <v>-149</v>
      </c>
      <c r="M62" s="1">
        <f t="shared" si="22"/>
        <v>673</v>
      </c>
      <c r="N62" s="1"/>
      <c r="O62" s="1">
        <v>313.3</v>
      </c>
      <c r="P62" s="1">
        <v>336.7</v>
      </c>
      <c r="Q62" s="1">
        <v>300</v>
      </c>
      <c r="R62" s="1">
        <v>195.90119999999999</v>
      </c>
      <c r="S62" s="1">
        <v>208.01880000000011</v>
      </c>
      <c r="T62" s="1">
        <f t="shared" si="23"/>
        <v>134.6</v>
      </c>
      <c r="U62" s="5">
        <f t="shared" si="30"/>
        <v>267.27999999999969</v>
      </c>
      <c r="V62" s="5">
        <f t="shared" si="33"/>
        <v>407.26399999999967</v>
      </c>
      <c r="W62" s="5">
        <f t="shared" si="8"/>
        <v>193.65403199999986</v>
      </c>
      <c r="X62" s="5">
        <f t="shared" si="34"/>
        <v>213.60996799999981</v>
      </c>
      <c r="Y62" s="22"/>
      <c r="Z62" s="22"/>
      <c r="AA62" s="1">
        <f t="shared" si="9"/>
        <v>13.04</v>
      </c>
      <c r="AB62" s="1">
        <f t="shared" si="24"/>
        <v>10.014264487369987</v>
      </c>
      <c r="AC62" s="1">
        <v>128.80000000000001</v>
      </c>
      <c r="AD62" s="1">
        <v>126.8</v>
      </c>
      <c r="AE62" s="1">
        <v>142.6</v>
      </c>
      <c r="AF62" s="1">
        <v>143.80000000000001</v>
      </c>
      <c r="AG62" s="1">
        <v>123.8</v>
      </c>
      <c r="AH62" s="1">
        <v>114.2</v>
      </c>
      <c r="AI62" s="1">
        <v>94.8</v>
      </c>
      <c r="AJ62" s="1">
        <v>209</v>
      </c>
      <c r="AK62" s="1"/>
      <c r="AL62" s="1">
        <f t="shared" si="10"/>
        <v>77</v>
      </c>
      <c r="AM62" s="1">
        <f t="shared" si="11"/>
        <v>85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44</v>
      </c>
      <c r="C63" s="1">
        <v>256</v>
      </c>
      <c r="D63" s="1">
        <v>517</v>
      </c>
      <c r="E63" s="1">
        <v>493</v>
      </c>
      <c r="F63" s="1">
        <v>210</v>
      </c>
      <c r="G63" s="7">
        <v>0.4</v>
      </c>
      <c r="H63" s="1">
        <v>40</v>
      </c>
      <c r="I63" s="10" t="s">
        <v>42</v>
      </c>
      <c r="J63" s="1"/>
      <c r="K63" s="1">
        <v>536</v>
      </c>
      <c r="L63" s="1">
        <f t="shared" si="21"/>
        <v>-43</v>
      </c>
      <c r="M63" s="1">
        <f t="shared" si="22"/>
        <v>493</v>
      </c>
      <c r="N63" s="1"/>
      <c r="O63" s="1">
        <v>11.92999999999995</v>
      </c>
      <c r="P63" s="1"/>
      <c r="Q63" s="1">
        <v>100</v>
      </c>
      <c r="R63" s="1">
        <v>217.4740000000001</v>
      </c>
      <c r="S63" s="1">
        <v>230.9260000000001</v>
      </c>
      <c r="T63" s="1">
        <f t="shared" si="23"/>
        <v>98.6</v>
      </c>
      <c r="U63" s="5">
        <f t="shared" si="30"/>
        <v>412.86999999999955</v>
      </c>
      <c r="V63" s="5">
        <f t="shared" si="33"/>
        <v>515.41399999999953</v>
      </c>
      <c r="W63" s="5">
        <f t="shared" si="8"/>
        <v>245.07935699999979</v>
      </c>
      <c r="X63" s="5">
        <f t="shared" si="34"/>
        <v>270.33464299999974</v>
      </c>
      <c r="Y63" s="22"/>
      <c r="Z63" s="22"/>
      <c r="AA63" s="1">
        <f t="shared" si="9"/>
        <v>13.039999999999997</v>
      </c>
      <c r="AB63" s="1">
        <f t="shared" si="24"/>
        <v>7.8126774847870202</v>
      </c>
      <c r="AC63" s="1">
        <v>82</v>
      </c>
      <c r="AD63" s="1">
        <v>60.6</v>
      </c>
      <c r="AE63" s="1">
        <v>77</v>
      </c>
      <c r="AF63" s="1">
        <v>82</v>
      </c>
      <c r="AG63" s="1">
        <v>72</v>
      </c>
      <c r="AH63" s="1">
        <v>53.8</v>
      </c>
      <c r="AI63" s="1">
        <v>26.4</v>
      </c>
      <c r="AJ63" s="1">
        <v>52.6</v>
      </c>
      <c r="AK63" s="1"/>
      <c r="AL63" s="1">
        <f t="shared" si="10"/>
        <v>98</v>
      </c>
      <c r="AM63" s="1">
        <f t="shared" si="11"/>
        <v>108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37</v>
      </c>
      <c r="C64" s="1">
        <v>55.918999999999997</v>
      </c>
      <c r="D64" s="1">
        <v>2.77</v>
      </c>
      <c r="E64" s="1">
        <v>56.548000000000002</v>
      </c>
      <c r="F64" s="1">
        <v>1.2450000000000001</v>
      </c>
      <c r="G64" s="7">
        <v>1</v>
      </c>
      <c r="H64" s="1">
        <v>40</v>
      </c>
      <c r="I64" s="10" t="s">
        <v>42</v>
      </c>
      <c r="J64" s="1"/>
      <c r="K64" s="1">
        <v>72.599999999999994</v>
      </c>
      <c r="L64" s="1">
        <f t="shared" si="21"/>
        <v>-16.051999999999992</v>
      </c>
      <c r="M64" s="1">
        <f t="shared" si="22"/>
        <v>56.548000000000002</v>
      </c>
      <c r="N64" s="1"/>
      <c r="O64" s="1">
        <v>44.669000000000011</v>
      </c>
      <c r="P64" s="1"/>
      <c r="Q64" s="1">
        <v>300</v>
      </c>
      <c r="R64" s="1">
        <v>30</v>
      </c>
      <c r="S64" s="1"/>
      <c r="T64" s="1">
        <f t="shared" si="23"/>
        <v>11.3096</v>
      </c>
      <c r="U64" s="5"/>
      <c r="V64" s="5">
        <f t="shared" si="7"/>
        <v>0</v>
      </c>
      <c r="W64" s="5">
        <f t="shared" si="8"/>
        <v>0</v>
      </c>
      <c r="X64" s="5"/>
      <c r="Y64" s="22"/>
      <c r="Z64" s="22"/>
      <c r="AA64" s="1">
        <f t="shared" si="9"/>
        <v>33.238487656504212</v>
      </c>
      <c r="AB64" s="1">
        <f t="shared" si="24"/>
        <v>33.238487656504212</v>
      </c>
      <c r="AC64" s="1">
        <v>30.225200000000001</v>
      </c>
      <c r="AD64" s="1">
        <v>55.783799999999999</v>
      </c>
      <c r="AE64" s="1">
        <v>23.893999999999998</v>
      </c>
      <c r="AF64" s="1">
        <v>12.907400000000001</v>
      </c>
      <c r="AG64" s="1">
        <v>12.6274</v>
      </c>
      <c r="AH64" s="1">
        <v>29.1814</v>
      </c>
      <c r="AI64" s="1">
        <v>13.0938</v>
      </c>
      <c r="AJ64" s="1">
        <v>1.0998000000000001</v>
      </c>
      <c r="AK64" s="1"/>
      <c r="AL64" s="1">
        <f t="shared" si="10"/>
        <v>0</v>
      </c>
      <c r="AM64" s="1">
        <f t="shared" si="11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37</v>
      </c>
      <c r="C65" s="1">
        <v>-3.0379999999999998</v>
      </c>
      <c r="D65" s="1">
        <v>109.755</v>
      </c>
      <c r="E65" s="1">
        <v>54.72</v>
      </c>
      <c r="F65" s="1">
        <v>1.9970000000000001</v>
      </c>
      <c r="G65" s="7">
        <v>1</v>
      </c>
      <c r="H65" s="1">
        <v>40</v>
      </c>
      <c r="I65" s="10" t="s">
        <v>42</v>
      </c>
      <c r="J65" s="1"/>
      <c r="K65" s="1">
        <v>63.9</v>
      </c>
      <c r="L65" s="1">
        <f t="shared" si="21"/>
        <v>-9.18</v>
      </c>
      <c r="M65" s="1">
        <f t="shared" si="22"/>
        <v>54.72</v>
      </c>
      <c r="N65" s="1"/>
      <c r="O65" s="1">
        <v>86.759999999999991</v>
      </c>
      <c r="P65" s="1">
        <v>93.240000000000009</v>
      </c>
      <c r="Q65" s="1">
        <v>30</v>
      </c>
      <c r="R65" s="1">
        <v>0</v>
      </c>
      <c r="S65" s="1"/>
      <c r="T65" s="1">
        <f t="shared" si="23"/>
        <v>10.943999999999999</v>
      </c>
      <c r="U65" s="5"/>
      <c r="V65" s="5">
        <f t="shared" si="7"/>
        <v>0</v>
      </c>
      <c r="W65" s="5">
        <f t="shared" si="8"/>
        <v>0</v>
      </c>
      <c r="X65" s="5"/>
      <c r="Y65" s="22"/>
      <c r="Z65" s="22"/>
      <c r="AA65" s="1">
        <f t="shared" si="9"/>
        <v>19.371070906432752</v>
      </c>
      <c r="AB65" s="1">
        <f t="shared" si="24"/>
        <v>19.371070906432752</v>
      </c>
      <c r="AC65" s="1">
        <v>0</v>
      </c>
      <c r="AD65" s="1">
        <v>7.2829999999999986</v>
      </c>
      <c r="AE65" s="1">
        <v>9.6465999999999994</v>
      </c>
      <c r="AF65" s="1">
        <v>9.2433999999999994</v>
      </c>
      <c r="AG65" s="1">
        <v>12.121600000000001</v>
      </c>
      <c r="AH65" s="1">
        <v>9.0609999999999982</v>
      </c>
      <c r="AI65" s="1">
        <v>10.6732</v>
      </c>
      <c r="AJ65" s="1">
        <v>19.827200000000001</v>
      </c>
      <c r="AK65" s="1"/>
      <c r="AL65" s="1">
        <f t="shared" si="10"/>
        <v>0</v>
      </c>
      <c r="AM65" s="1">
        <f t="shared" si="11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37</v>
      </c>
      <c r="C66" s="1">
        <v>202.471</v>
      </c>
      <c r="D66" s="1">
        <v>60.658000000000001</v>
      </c>
      <c r="E66" s="1">
        <v>229.03800000000001</v>
      </c>
      <c r="F66" s="1">
        <v>-0.155</v>
      </c>
      <c r="G66" s="7">
        <v>1</v>
      </c>
      <c r="H66" s="1">
        <v>40</v>
      </c>
      <c r="I66" s="10" t="s">
        <v>42</v>
      </c>
      <c r="J66" s="1"/>
      <c r="K66" s="1">
        <v>419.11099999999999</v>
      </c>
      <c r="L66" s="1">
        <f t="shared" si="21"/>
        <v>-190.07299999999998</v>
      </c>
      <c r="M66" s="1">
        <f t="shared" si="22"/>
        <v>196.42700000000002</v>
      </c>
      <c r="N66" s="1">
        <v>32.610999999999997</v>
      </c>
      <c r="O66" s="1">
        <v>120.5</v>
      </c>
      <c r="P66" s="1">
        <v>129.5</v>
      </c>
      <c r="Q66" s="1">
        <v>100</v>
      </c>
      <c r="R66" s="1">
        <v>121.25</v>
      </c>
      <c r="S66" s="1">
        <v>128.75</v>
      </c>
      <c r="T66" s="1">
        <f t="shared" si="23"/>
        <v>39.285400000000003</v>
      </c>
      <c r="U66" s="5"/>
      <c r="V66" s="5">
        <f t="shared" si="7"/>
        <v>0</v>
      </c>
      <c r="W66" s="5">
        <f t="shared" si="8"/>
        <v>0</v>
      </c>
      <c r="X66" s="5"/>
      <c r="Y66" s="22"/>
      <c r="Z66" s="22"/>
      <c r="AA66" s="1">
        <f t="shared" si="9"/>
        <v>15.268903969413573</v>
      </c>
      <c r="AB66" s="1">
        <f t="shared" si="24"/>
        <v>15.268903969413573</v>
      </c>
      <c r="AC66" s="1">
        <v>38.923000000000002</v>
      </c>
      <c r="AD66" s="1">
        <v>-0.54359999999999997</v>
      </c>
      <c r="AE66" s="1">
        <v>-0.54080000000000006</v>
      </c>
      <c r="AF66" s="1">
        <v>50.167000000000002</v>
      </c>
      <c r="AG66" s="1">
        <v>200.38480000000001</v>
      </c>
      <c r="AH66" s="1">
        <v>150.6652</v>
      </c>
      <c r="AI66" s="1">
        <v>10.826000000000001</v>
      </c>
      <c r="AJ66" s="1">
        <v>108.81619999999999</v>
      </c>
      <c r="AK66" s="1" t="s">
        <v>40</v>
      </c>
      <c r="AL66" s="1">
        <f t="shared" si="10"/>
        <v>0</v>
      </c>
      <c r="AM66" s="1">
        <f t="shared" si="11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37</v>
      </c>
      <c r="C67" s="1">
        <v>-0.51400000000000001</v>
      </c>
      <c r="D67" s="1">
        <v>63.661000000000001</v>
      </c>
      <c r="E67" s="1">
        <v>42.350999999999999</v>
      </c>
      <c r="F67" s="1">
        <v>0.77100000000000002</v>
      </c>
      <c r="G67" s="7">
        <v>1</v>
      </c>
      <c r="H67" s="1">
        <v>40</v>
      </c>
      <c r="I67" s="10" t="s">
        <v>42</v>
      </c>
      <c r="J67" s="1"/>
      <c r="K67" s="1">
        <v>50.825000000000003</v>
      </c>
      <c r="L67" s="1">
        <f t="shared" si="21"/>
        <v>-8.4740000000000038</v>
      </c>
      <c r="M67" s="1">
        <f t="shared" si="22"/>
        <v>42.350999999999999</v>
      </c>
      <c r="N67" s="1"/>
      <c r="O67" s="1">
        <v>100</v>
      </c>
      <c r="P67" s="1"/>
      <c r="Q67" s="1">
        <v>50</v>
      </c>
      <c r="R67" s="1">
        <v>0</v>
      </c>
      <c r="S67" s="1"/>
      <c r="T67" s="1">
        <f t="shared" si="23"/>
        <v>8.4702000000000002</v>
      </c>
      <c r="U67" s="5"/>
      <c r="V67" s="5">
        <f t="shared" si="7"/>
        <v>0</v>
      </c>
      <c r="W67" s="5">
        <f t="shared" si="8"/>
        <v>0</v>
      </c>
      <c r="X67" s="5"/>
      <c r="Y67" s="22"/>
      <c r="Z67" s="22"/>
      <c r="AA67" s="1">
        <f t="shared" si="9"/>
        <v>17.800170007792026</v>
      </c>
      <c r="AB67" s="1">
        <f t="shared" si="24"/>
        <v>17.800170007792026</v>
      </c>
      <c r="AC67" s="1">
        <v>1.4134</v>
      </c>
      <c r="AD67" s="1">
        <v>0.14399999999999999</v>
      </c>
      <c r="AE67" s="1">
        <v>0.14360000000000001</v>
      </c>
      <c r="AF67" s="1">
        <v>0.50719999999999998</v>
      </c>
      <c r="AG67" s="1">
        <v>0.36360000000000031</v>
      </c>
      <c r="AH67" s="1">
        <v>3.6232000000000002</v>
      </c>
      <c r="AI67" s="1">
        <v>4.3747999999999996</v>
      </c>
      <c r="AJ67" s="1">
        <v>13.090400000000001</v>
      </c>
      <c r="AK67" s="1"/>
      <c r="AL67" s="1">
        <f t="shared" si="10"/>
        <v>0</v>
      </c>
      <c r="AM67" s="1">
        <f t="shared" si="11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6" t="s">
        <v>109</v>
      </c>
      <c r="B68" s="1" t="s">
        <v>44</v>
      </c>
      <c r="C68" s="1"/>
      <c r="D68" s="1"/>
      <c r="E68" s="1"/>
      <c r="F68" s="1"/>
      <c r="G68" s="7">
        <v>0.6</v>
      </c>
      <c r="H68" s="1"/>
      <c r="I68" s="1" t="s">
        <v>38</v>
      </c>
      <c r="J68" s="1"/>
      <c r="K68" s="1"/>
      <c r="L68" s="1">
        <f t="shared" si="21"/>
        <v>0</v>
      </c>
      <c r="M68" s="1">
        <f t="shared" si="22"/>
        <v>0</v>
      </c>
      <c r="N68" s="1"/>
      <c r="O68" s="1">
        <v>0</v>
      </c>
      <c r="P68" s="1"/>
      <c r="Q68" s="1">
        <v>150</v>
      </c>
      <c r="R68" s="1">
        <v>0</v>
      </c>
      <c r="S68" s="1"/>
      <c r="T68" s="1">
        <f t="shared" si="23"/>
        <v>0</v>
      </c>
      <c r="U68" s="5"/>
      <c r="V68" s="5">
        <f t="shared" si="7"/>
        <v>0</v>
      </c>
      <c r="W68" s="5">
        <f t="shared" si="8"/>
        <v>0</v>
      </c>
      <c r="X68" s="5"/>
      <c r="Y68" s="22"/>
      <c r="Z68" s="22"/>
      <c r="AA68" s="1" t="e">
        <f t="shared" si="9"/>
        <v>#DIV/0!</v>
      </c>
      <c r="AB68" s="1" t="e">
        <f t="shared" si="24"/>
        <v>#DIV/0!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 t="s">
        <v>110</v>
      </c>
      <c r="AL68" s="1">
        <f t="shared" si="10"/>
        <v>0</v>
      </c>
      <c r="AM68" s="1">
        <f t="shared" si="11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111</v>
      </c>
      <c r="B69" s="1" t="s">
        <v>37</v>
      </c>
      <c r="C69" s="1">
        <v>174.75200000000001</v>
      </c>
      <c r="D69" s="1">
        <v>72.212000000000003</v>
      </c>
      <c r="E69" s="1">
        <v>133.898</v>
      </c>
      <c r="F69" s="1">
        <v>63.281999999999996</v>
      </c>
      <c r="G69" s="7">
        <v>1</v>
      </c>
      <c r="H69" s="1">
        <v>30</v>
      </c>
      <c r="I69" s="1" t="s">
        <v>38</v>
      </c>
      <c r="J69" s="1"/>
      <c r="K69" s="1">
        <v>184.7</v>
      </c>
      <c r="L69" s="1">
        <f t="shared" si="21"/>
        <v>-50.801999999999992</v>
      </c>
      <c r="M69" s="1">
        <f t="shared" si="22"/>
        <v>133.898</v>
      </c>
      <c r="N69" s="1"/>
      <c r="O69" s="1">
        <v>60</v>
      </c>
      <c r="P69" s="1"/>
      <c r="Q69" s="1">
        <v>100</v>
      </c>
      <c r="R69" s="1">
        <v>53.341000000000037</v>
      </c>
      <c r="S69" s="1"/>
      <c r="T69" s="1">
        <f t="shared" si="23"/>
        <v>26.779599999999999</v>
      </c>
      <c r="U69" s="5">
        <f t="shared" si="30"/>
        <v>44.732199999999963</v>
      </c>
      <c r="V69" s="5">
        <f t="shared" si="7"/>
        <v>44.732199999999963</v>
      </c>
      <c r="W69" s="5">
        <f t="shared" si="8"/>
        <v>44.732199999999963</v>
      </c>
      <c r="X69" s="5"/>
      <c r="Y69" s="22"/>
      <c r="Z69" s="22"/>
      <c r="AA69" s="1">
        <f t="shared" si="9"/>
        <v>12.000000000000002</v>
      </c>
      <c r="AB69" s="1">
        <f t="shared" si="24"/>
        <v>10.329616573809917</v>
      </c>
      <c r="AC69" s="1">
        <v>30.773</v>
      </c>
      <c r="AD69" s="1">
        <v>31.697199999999999</v>
      </c>
      <c r="AE69" s="1">
        <v>28.5306</v>
      </c>
      <c r="AF69" s="1">
        <v>24.4192</v>
      </c>
      <c r="AG69" s="1">
        <v>29.701599999999999</v>
      </c>
      <c r="AH69" s="1">
        <v>39.893999999999998</v>
      </c>
      <c r="AI69" s="1">
        <v>36.8568</v>
      </c>
      <c r="AJ69" s="1">
        <v>31.719799999999999</v>
      </c>
      <c r="AK69" s="1"/>
      <c r="AL69" s="1">
        <f t="shared" si="10"/>
        <v>45</v>
      </c>
      <c r="AM69" s="1">
        <f t="shared" si="11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112</v>
      </c>
      <c r="B70" s="1" t="s">
        <v>44</v>
      </c>
      <c r="C70" s="1">
        <v>946</v>
      </c>
      <c r="D70" s="1">
        <v>200</v>
      </c>
      <c r="E70" s="1">
        <v>563</v>
      </c>
      <c r="F70" s="1">
        <v>412</v>
      </c>
      <c r="G70" s="7">
        <v>0.6</v>
      </c>
      <c r="H70" s="1">
        <v>60</v>
      </c>
      <c r="I70" s="1" t="s">
        <v>38</v>
      </c>
      <c r="J70" s="1"/>
      <c r="K70" s="1">
        <v>567</v>
      </c>
      <c r="L70" s="1">
        <f t="shared" ref="L70:L101" si="35">E70-K70</f>
        <v>-4</v>
      </c>
      <c r="M70" s="1">
        <f t="shared" ref="M70:M101" si="36">E70-N70</f>
        <v>563</v>
      </c>
      <c r="N70" s="1"/>
      <c r="O70" s="1">
        <v>578.4</v>
      </c>
      <c r="P70" s="1">
        <v>621.6</v>
      </c>
      <c r="Q70" s="1">
        <v>0</v>
      </c>
      <c r="R70" s="1">
        <v>0</v>
      </c>
      <c r="S70" s="1"/>
      <c r="T70" s="1">
        <f t="shared" ref="T70:T101" si="37">M70/5</f>
        <v>112.6</v>
      </c>
      <c r="U70" s="5"/>
      <c r="V70" s="5">
        <f t="shared" si="7"/>
        <v>0</v>
      </c>
      <c r="W70" s="5">
        <f t="shared" si="8"/>
        <v>0</v>
      </c>
      <c r="X70" s="5"/>
      <c r="Y70" s="22"/>
      <c r="Z70" s="22"/>
      <c r="AA70" s="1">
        <f t="shared" si="9"/>
        <v>14.316163410301954</v>
      </c>
      <c r="AB70" s="1">
        <f t="shared" ref="AB70:AB101" si="38">(F70+O70+P70+Q70+R70+S70)/T70</f>
        <v>14.316163410301954</v>
      </c>
      <c r="AC70" s="1">
        <v>98.4</v>
      </c>
      <c r="AD70" s="1">
        <v>111.8</v>
      </c>
      <c r="AE70" s="1">
        <v>251.4</v>
      </c>
      <c r="AF70" s="1">
        <v>226</v>
      </c>
      <c r="AG70" s="1">
        <v>175.8</v>
      </c>
      <c r="AH70" s="1">
        <v>177.8</v>
      </c>
      <c r="AI70" s="1">
        <v>262.60000000000002</v>
      </c>
      <c r="AJ70" s="1">
        <v>297.60000000000002</v>
      </c>
      <c r="AK70" s="1"/>
      <c r="AL70" s="1">
        <f t="shared" si="10"/>
        <v>0</v>
      </c>
      <c r="AM70" s="1">
        <f t="shared" si="11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113</v>
      </c>
      <c r="B71" s="1" t="s">
        <v>44</v>
      </c>
      <c r="C71" s="1">
        <v>599</v>
      </c>
      <c r="D71" s="1">
        <v>558</v>
      </c>
      <c r="E71" s="1">
        <v>461</v>
      </c>
      <c r="F71" s="1">
        <v>531</v>
      </c>
      <c r="G71" s="7">
        <v>0.6</v>
      </c>
      <c r="H71" s="1">
        <v>60</v>
      </c>
      <c r="I71" s="1" t="s">
        <v>38</v>
      </c>
      <c r="J71" s="1"/>
      <c r="K71" s="1">
        <v>479</v>
      </c>
      <c r="L71" s="1">
        <f t="shared" si="35"/>
        <v>-18</v>
      </c>
      <c r="M71" s="1">
        <f t="shared" si="36"/>
        <v>461</v>
      </c>
      <c r="N71" s="1"/>
      <c r="O71" s="1">
        <v>0</v>
      </c>
      <c r="P71" s="1"/>
      <c r="Q71" s="1">
        <v>600</v>
      </c>
      <c r="R71" s="1">
        <v>0</v>
      </c>
      <c r="S71" s="1"/>
      <c r="T71" s="1">
        <f t="shared" si="37"/>
        <v>92.2</v>
      </c>
      <c r="U71" s="5"/>
      <c r="V71" s="5">
        <f>U71+T71*$V$1</f>
        <v>95.888000000000005</v>
      </c>
      <c r="W71" s="5">
        <f t="shared" ref="W71:W130" si="39">V71-X71</f>
        <v>95.888000000000005</v>
      </c>
      <c r="X71" s="5"/>
      <c r="Y71" s="22"/>
      <c r="Z71" s="22"/>
      <c r="AA71" s="1">
        <f t="shared" ref="AA71:AA130" si="40">(F71+O71+P71+Q71+R71+S71+V71)/T71</f>
        <v>13.306811279826462</v>
      </c>
      <c r="AB71" s="1">
        <f t="shared" si="38"/>
        <v>12.266811279826463</v>
      </c>
      <c r="AC71" s="1">
        <v>121</v>
      </c>
      <c r="AD71" s="1">
        <v>131.80000000000001</v>
      </c>
      <c r="AE71" s="1">
        <v>113.8</v>
      </c>
      <c r="AF71" s="1">
        <v>119.2</v>
      </c>
      <c r="AG71" s="1">
        <v>152.4</v>
      </c>
      <c r="AH71" s="1">
        <v>131.80000000000001</v>
      </c>
      <c r="AI71" s="1">
        <v>116.8</v>
      </c>
      <c r="AJ71" s="1">
        <v>156.80000000000001</v>
      </c>
      <c r="AK71" s="1"/>
      <c r="AL71" s="1">
        <f t="shared" ref="AL71:AL130" si="41">ROUND(G71*W71,0)</f>
        <v>58</v>
      </c>
      <c r="AM71" s="1">
        <f t="shared" ref="AM71:AM130" si="42">ROUND(G71*X71,0)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114</v>
      </c>
      <c r="B72" s="1" t="s">
        <v>44</v>
      </c>
      <c r="C72" s="1">
        <v>120</v>
      </c>
      <c r="D72" s="1">
        <v>37</v>
      </c>
      <c r="E72" s="1">
        <v>59</v>
      </c>
      <c r="F72" s="1">
        <v>89</v>
      </c>
      <c r="G72" s="7">
        <v>0.4</v>
      </c>
      <c r="H72" s="1"/>
      <c r="I72" s="1" t="s">
        <v>38</v>
      </c>
      <c r="J72" s="1"/>
      <c r="K72" s="1">
        <v>68</v>
      </c>
      <c r="L72" s="1">
        <f t="shared" si="35"/>
        <v>-9</v>
      </c>
      <c r="M72" s="1">
        <f t="shared" si="36"/>
        <v>59</v>
      </c>
      <c r="N72" s="1"/>
      <c r="O72" s="1">
        <v>0</v>
      </c>
      <c r="P72" s="1"/>
      <c r="Q72" s="1">
        <v>0</v>
      </c>
      <c r="R72" s="1">
        <v>22.400000000000009</v>
      </c>
      <c r="S72" s="1"/>
      <c r="T72" s="1">
        <f t="shared" si="37"/>
        <v>11.8</v>
      </c>
      <c r="U72" s="5">
        <f t="shared" si="30"/>
        <v>30.200000000000017</v>
      </c>
      <c r="V72" s="5">
        <f t="shared" ref="V72:V130" si="43">U72</f>
        <v>30.200000000000017</v>
      </c>
      <c r="W72" s="5">
        <f t="shared" si="39"/>
        <v>30.200000000000017</v>
      </c>
      <c r="X72" s="5"/>
      <c r="Y72" s="22"/>
      <c r="Z72" s="22"/>
      <c r="AA72" s="1">
        <f t="shared" si="40"/>
        <v>12.000000000000002</v>
      </c>
      <c r="AB72" s="1">
        <f t="shared" si="38"/>
        <v>9.4406779661016955</v>
      </c>
      <c r="AC72" s="1">
        <v>12.4</v>
      </c>
      <c r="AD72" s="1">
        <v>4.8</v>
      </c>
      <c r="AE72" s="1">
        <v>3.2</v>
      </c>
      <c r="AF72" s="1">
        <v>9.4</v>
      </c>
      <c r="AG72" s="1">
        <v>10</v>
      </c>
      <c r="AH72" s="1">
        <v>6.6</v>
      </c>
      <c r="AI72" s="1">
        <v>5</v>
      </c>
      <c r="AJ72" s="1">
        <v>4</v>
      </c>
      <c r="AK72" s="1"/>
      <c r="AL72" s="1">
        <f t="shared" si="41"/>
        <v>12</v>
      </c>
      <c r="AM72" s="1">
        <f t="shared" si="42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1" t="s">
        <v>115</v>
      </c>
      <c r="B73" s="11" t="s">
        <v>44</v>
      </c>
      <c r="C73" s="11"/>
      <c r="D73" s="11"/>
      <c r="E73" s="11"/>
      <c r="F73" s="11"/>
      <c r="G73" s="12">
        <v>0</v>
      </c>
      <c r="H73" s="11"/>
      <c r="I73" s="11" t="s">
        <v>42</v>
      </c>
      <c r="J73" s="11"/>
      <c r="K73" s="11">
        <v>15</v>
      </c>
      <c r="L73" s="11">
        <f t="shared" si="35"/>
        <v>-15</v>
      </c>
      <c r="M73" s="11">
        <f t="shared" si="36"/>
        <v>0</v>
      </c>
      <c r="N73" s="11"/>
      <c r="O73" s="11">
        <v>0</v>
      </c>
      <c r="P73" s="11"/>
      <c r="Q73" s="11">
        <v>0</v>
      </c>
      <c r="R73" s="11">
        <v>0</v>
      </c>
      <c r="S73" s="11"/>
      <c r="T73" s="11">
        <f t="shared" si="37"/>
        <v>0</v>
      </c>
      <c r="U73" s="13"/>
      <c r="V73" s="5">
        <f t="shared" si="43"/>
        <v>0</v>
      </c>
      <c r="W73" s="5">
        <f t="shared" si="39"/>
        <v>0</v>
      </c>
      <c r="X73" s="5"/>
      <c r="Y73" s="23"/>
      <c r="Z73" s="22"/>
      <c r="AA73" s="1" t="e">
        <f t="shared" si="40"/>
        <v>#DIV/0!</v>
      </c>
      <c r="AB73" s="11" t="e">
        <f t="shared" si="38"/>
        <v>#DIV/0!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 t="s">
        <v>56</v>
      </c>
      <c r="AL73" s="1">
        <f t="shared" si="41"/>
        <v>0</v>
      </c>
      <c r="AM73" s="1">
        <f t="shared" si="42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116</v>
      </c>
      <c r="B74" s="1" t="s">
        <v>44</v>
      </c>
      <c r="C74" s="1"/>
      <c r="D74" s="1">
        <v>45</v>
      </c>
      <c r="E74" s="1">
        <v>37</v>
      </c>
      <c r="F74" s="1">
        <v>3</v>
      </c>
      <c r="G74" s="7">
        <v>0.35</v>
      </c>
      <c r="H74" s="1">
        <v>90</v>
      </c>
      <c r="I74" s="1" t="s">
        <v>38</v>
      </c>
      <c r="J74" s="1"/>
      <c r="K74" s="1">
        <v>55</v>
      </c>
      <c r="L74" s="1">
        <f t="shared" si="35"/>
        <v>-18</v>
      </c>
      <c r="M74" s="1">
        <f t="shared" si="36"/>
        <v>37</v>
      </c>
      <c r="N74" s="1"/>
      <c r="O74" s="1">
        <v>30</v>
      </c>
      <c r="P74" s="1"/>
      <c r="Q74" s="1">
        <v>8</v>
      </c>
      <c r="R74" s="1">
        <v>0</v>
      </c>
      <c r="S74" s="1"/>
      <c r="T74" s="1">
        <f t="shared" si="37"/>
        <v>7.4</v>
      </c>
      <c r="U74" s="5">
        <f t="shared" ref="U74:U80" si="44">12*T74-S74-R74-Q74-P74-O74-F74</f>
        <v>47.800000000000011</v>
      </c>
      <c r="V74" s="5">
        <f t="shared" si="43"/>
        <v>47.800000000000011</v>
      </c>
      <c r="W74" s="5">
        <f t="shared" si="39"/>
        <v>47.800000000000011</v>
      </c>
      <c r="X74" s="5"/>
      <c r="Y74" s="22"/>
      <c r="Z74" s="22"/>
      <c r="AA74" s="1">
        <f t="shared" si="40"/>
        <v>12.000000000000002</v>
      </c>
      <c r="AB74" s="1">
        <f t="shared" si="38"/>
        <v>5.5405405405405403</v>
      </c>
      <c r="AC74" s="1">
        <v>2.4</v>
      </c>
      <c r="AD74" s="1">
        <v>6</v>
      </c>
      <c r="AE74" s="1">
        <v>5.8</v>
      </c>
      <c r="AF74" s="1">
        <v>2</v>
      </c>
      <c r="AG74" s="1">
        <v>0</v>
      </c>
      <c r="AH74" s="1">
        <v>4.5999999999999996</v>
      </c>
      <c r="AI74" s="1">
        <v>8.6</v>
      </c>
      <c r="AJ74" s="1">
        <v>6.4</v>
      </c>
      <c r="AK74" s="1"/>
      <c r="AL74" s="1">
        <f t="shared" si="41"/>
        <v>17</v>
      </c>
      <c r="AM74" s="1">
        <f t="shared" si="42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117</v>
      </c>
      <c r="B75" s="1" t="s">
        <v>44</v>
      </c>
      <c r="C75" s="1">
        <v>76</v>
      </c>
      <c r="D75" s="1">
        <v>181</v>
      </c>
      <c r="E75" s="1">
        <v>110</v>
      </c>
      <c r="F75" s="1">
        <v>133</v>
      </c>
      <c r="G75" s="7">
        <v>0.37</v>
      </c>
      <c r="H75" s="1">
        <v>50</v>
      </c>
      <c r="I75" s="1" t="s">
        <v>38</v>
      </c>
      <c r="J75" s="1"/>
      <c r="K75" s="1">
        <v>128</v>
      </c>
      <c r="L75" s="1">
        <f t="shared" si="35"/>
        <v>-18</v>
      </c>
      <c r="M75" s="1">
        <f t="shared" si="36"/>
        <v>110</v>
      </c>
      <c r="N75" s="1"/>
      <c r="O75" s="1">
        <v>0</v>
      </c>
      <c r="P75" s="1"/>
      <c r="Q75" s="1">
        <v>51.62399999999991</v>
      </c>
      <c r="R75" s="1">
        <v>0</v>
      </c>
      <c r="S75" s="1"/>
      <c r="T75" s="1">
        <f t="shared" si="37"/>
        <v>22</v>
      </c>
      <c r="U75" s="5">
        <f t="shared" si="44"/>
        <v>79.37600000000009</v>
      </c>
      <c r="V75" s="5">
        <f t="shared" si="43"/>
        <v>79.37600000000009</v>
      </c>
      <c r="W75" s="5">
        <f t="shared" si="39"/>
        <v>79.37600000000009</v>
      </c>
      <c r="X75" s="5"/>
      <c r="Y75" s="22"/>
      <c r="Z75" s="22"/>
      <c r="AA75" s="1">
        <f t="shared" si="40"/>
        <v>12</v>
      </c>
      <c r="AB75" s="1">
        <f t="shared" si="38"/>
        <v>8.3919999999999959</v>
      </c>
      <c r="AC75" s="1">
        <v>21</v>
      </c>
      <c r="AD75" s="1">
        <v>23.4</v>
      </c>
      <c r="AE75" s="1">
        <v>25.4</v>
      </c>
      <c r="AF75" s="1">
        <v>24.8</v>
      </c>
      <c r="AG75" s="1">
        <v>24.6</v>
      </c>
      <c r="AH75" s="1">
        <v>23.2</v>
      </c>
      <c r="AI75" s="1">
        <v>23.8</v>
      </c>
      <c r="AJ75" s="1">
        <v>28.6</v>
      </c>
      <c r="AK75" s="1"/>
      <c r="AL75" s="1">
        <f t="shared" si="41"/>
        <v>29</v>
      </c>
      <c r="AM75" s="1">
        <f t="shared" si="42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118</v>
      </c>
      <c r="B76" s="1" t="s">
        <v>44</v>
      </c>
      <c r="C76" s="1">
        <v>-4</v>
      </c>
      <c r="D76" s="1">
        <v>464</v>
      </c>
      <c r="E76" s="1">
        <v>472</v>
      </c>
      <c r="F76" s="1">
        <v>-20</v>
      </c>
      <c r="G76" s="7">
        <v>0.6</v>
      </c>
      <c r="H76" s="1">
        <v>70</v>
      </c>
      <c r="I76" s="9" t="s">
        <v>76</v>
      </c>
      <c r="J76" s="1"/>
      <c r="K76" s="1">
        <v>515</v>
      </c>
      <c r="L76" s="1">
        <f t="shared" si="35"/>
        <v>-43</v>
      </c>
      <c r="M76" s="1">
        <f t="shared" si="36"/>
        <v>472</v>
      </c>
      <c r="N76" s="1"/>
      <c r="O76" s="1">
        <v>578.4</v>
      </c>
      <c r="P76" s="1">
        <v>621.6</v>
      </c>
      <c r="Q76" s="1">
        <v>0</v>
      </c>
      <c r="R76" s="1">
        <v>194</v>
      </c>
      <c r="S76" s="1">
        <v>206</v>
      </c>
      <c r="T76" s="1">
        <f t="shared" si="37"/>
        <v>94.4</v>
      </c>
      <c r="U76" s="5"/>
      <c r="V76" s="5">
        <f t="shared" si="43"/>
        <v>0</v>
      </c>
      <c r="W76" s="5">
        <f t="shared" si="39"/>
        <v>0</v>
      </c>
      <c r="X76" s="5"/>
      <c r="Y76" s="22"/>
      <c r="Z76" s="22"/>
      <c r="AA76" s="1">
        <f t="shared" si="40"/>
        <v>16.737288135593218</v>
      </c>
      <c r="AB76" s="1">
        <f t="shared" si="38"/>
        <v>16.737288135593218</v>
      </c>
      <c r="AC76" s="1">
        <v>84.8</v>
      </c>
      <c r="AD76" s="1">
        <v>98.8</v>
      </c>
      <c r="AE76" s="1">
        <v>59.8</v>
      </c>
      <c r="AF76" s="1">
        <v>70.400000000000006</v>
      </c>
      <c r="AG76" s="1">
        <v>59.2</v>
      </c>
      <c r="AH76" s="1">
        <v>51.8</v>
      </c>
      <c r="AI76" s="1">
        <v>45.2</v>
      </c>
      <c r="AJ76" s="1">
        <v>52</v>
      </c>
      <c r="AK76" s="1" t="s">
        <v>119</v>
      </c>
      <c r="AL76" s="1">
        <f t="shared" si="41"/>
        <v>0</v>
      </c>
      <c r="AM76" s="1">
        <f t="shared" si="42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120</v>
      </c>
      <c r="B77" s="1" t="s">
        <v>44</v>
      </c>
      <c r="C77" s="1">
        <v>479</v>
      </c>
      <c r="D77" s="1">
        <v>396</v>
      </c>
      <c r="E77" s="1">
        <v>493</v>
      </c>
      <c r="F77" s="1">
        <v>288</v>
      </c>
      <c r="G77" s="7">
        <v>0.33</v>
      </c>
      <c r="H77" s="1">
        <v>40</v>
      </c>
      <c r="I77" s="1" t="s">
        <v>38</v>
      </c>
      <c r="J77" s="1"/>
      <c r="K77" s="1">
        <v>514</v>
      </c>
      <c r="L77" s="1">
        <f t="shared" si="35"/>
        <v>-21</v>
      </c>
      <c r="M77" s="1">
        <f t="shared" si="36"/>
        <v>493</v>
      </c>
      <c r="N77" s="1"/>
      <c r="O77" s="1">
        <v>0</v>
      </c>
      <c r="P77" s="1"/>
      <c r="Q77" s="1">
        <v>154.42999999999989</v>
      </c>
      <c r="R77" s="1">
        <v>143.35630000000009</v>
      </c>
      <c r="S77" s="1">
        <v>152.22370000000009</v>
      </c>
      <c r="T77" s="1">
        <f t="shared" si="37"/>
        <v>98.6</v>
      </c>
      <c r="U77" s="5">
        <f t="shared" si="44"/>
        <v>445.18999999999983</v>
      </c>
      <c r="V77" s="5">
        <f>U77+T77*$V$1</f>
        <v>547.73399999999981</v>
      </c>
      <c r="W77" s="5">
        <f t="shared" si="39"/>
        <v>260.44751699999995</v>
      </c>
      <c r="X77" s="5">
        <f>V77*$X$1</f>
        <v>287.28648299999986</v>
      </c>
      <c r="Y77" s="22"/>
      <c r="Z77" s="22"/>
      <c r="AA77" s="1">
        <f t="shared" si="40"/>
        <v>13.04</v>
      </c>
      <c r="AB77" s="1">
        <f t="shared" si="38"/>
        <v>7.4848884381338756</v>
      </c>
      <c r="AC77" s="1">
        <v>89.2</v>
      </c>
      <c r="AD77" s="1">
        <v>70.599999999999994</v>
      </c>
      <c r="AE77" s="1">
        <v>78.2</v>
      </c>
      <c r="AF77" s="1">
        <v>81</v>
      </c>
      <c r="AG77" s="1">
        <v>76.2</v>
      </c>
      <c r="AH77" s="1">
        <v>80.400000000000006</v>
      </c>
      <c r="AI77" s="1">
        <v>78.599999999999994</v>
      </c>
      <c r="AJ77" s="1">
        <v>60.2</v>
      </c>
      <c r="AK77" s="1"/>
      <c r="AL77" s="1">
        <f t="shared" si="41"/>
        <v>86</v>
      </c>
      <c r="AM77" s="1">
        <f t="shared" si="42"/>
        <v>95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121</v>
      </c>
      <c r="B78" s="1" t="s">
        <v>44</v>
      </c>
      <c r="C78" s="1">
        <v>135</v>
      </c>
      <c r="D78" s="1">
        <v>31</v>
      </c>
      <c r="E78" s="1">
        <v>56</v>
      </c>
      <c r="F78" s="1">
        <v>108</v>
      </c>
      <c r="G78" s="7">
        <v>0.4</v>
      </c>
      <c r="H78" s="1">
        <v>55</v>
      </c>
      <c r="I78" s="10" t="s">
        <v>42</v>
      </c>
      <c r="J78" s="1"/>
      <c r="K78" s="1">
        <v>70</v>
      </c>
      <c r="L78" s="1">
        <f t="shared" si="35"/>
        <v>-14</v>
      </c>
      <c r="M78" s="1">
        <f t="shared" si="36"/>
        <v>56</v>
      </c>
      <c r="N78" s="1"/>
      <c r="O78" s="1">
        <v>0</v>
      </c>
      <c r="P78" s="1"/>
      <c r="Q78" s="1">
        <v>0</v>
      </c>
      <c r="R78" s="1">
        <v>0</v>
      </c>
      <c r="S78" s="1"/>
      <c r="T78" s="1">
        <f t="shared" si="37"/>
        <v>11.2</v>
      </c>
      <c r="U78" s="5">
        <f>11*T78-S78-R78-Q78-P78-O78-F78</f>
        <v>15.199999999999989</v>
      </c>
      <c r="V78" s="5">
        <f t="shared" si="43"/>
        <v>15.199999999999989</v>
      </c>
      <c r="W78" s="5">
        <f t="shared" si="39"/>
        <v>15.199999999999989</v>
      </c>
      <c r="X78" s="5"/>
      <c r="Y78" s="22"/>
      <c r="Z78" s="22"/>
      <c r="AA78" s="1">
        <f t="shared" si="40"/>
        <v>11</v>
      </c>
      <c r="AB78" s="1">
        <f t="shared" si="38"/>
        <v>9.6428571428571441</v>
      </c>
      <c r="AC78" s="1">
        <v>6.8</v>
      </c>
      <c r="AD78" s="1">
        <v>0.6</v>
      </c>
      <c r="AE78" s="1">
        <v>5.2</v>
      </c>
      <c r="AF78" s="1">
        <v>10.199999999999999</v>
      </c>
      <c r="AG78" s="1">
        <v>10.4</v>
      </c>
      <c r="AH78" s="1">
        <v>7.6</v>
      </c>
      <c r="AI78" s="1">
        <v>7.6</v>
      </c>
      <c r="AJ78" s="1">
        <v>10.199999999999999</v>
      </c>
      <c r="AK78" s="1"/>
      <c r="AL78" s="1">
        <f t="shared" si="41"/>
        <v>6</v>
      </c>
      <c r="AM78" s="1">
        <f t="shared" si="42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122</v>
      </c>
      <c r="B79" s="1" t="s">
        <v>44</v>
      </c>
      <c r="C79" s="1">
        <v>32</v>
      </c>
      <c r="D79" s="1"/>
      <c r="E79" s="1">
        <v>30</v>
      </c>
      <c r="F79" s="1"/>
      <c r="G79" s="7">
        <v>0.35</v>
      </c>
      <c r="H79" s="1">
        <v>40</v>
      </c>
      <c r="I79" s="10" t="s">
        <v>42</v>
      </c>
      <c r="J79" s="1"/>
      <c r="K79" s="1">
        <v>79</v>
      </c>
      <c r="L79" s="1">
        <f t="shared" si="35"/>
        <v>-49</v>
      </c>
      <c r="M79" s="1">
        <f t="shared" si="36"/>
        <v>30</v>
      </c>
      <c r="N79" s="1"/>
      <c r="O79" s="1">
        <v>100</v>
      </c>
      <c r="P79" s="1"/>
      <c r="Q79" s="1">
        <v>50</v>
      </c>
      <c r="R79" s="1">
        <v>20</v>
      </c>
      <c r="S79" s="1"/>
      <c r="T79" s="1">
        <f t="shared" si="37"/>
        <v>6</v>
      </c>
      <c r="U79" s="5"/>
      <c r="V79" s="5">
        <f t="shared" si="43"/>
        <v>0</v>
      </c>
      <c r="W79" s="5">
        <f t="shared" si="39"/>
        <v>0</v>
      </c>
      <c r="X79" s="5"/>
      <c r="Y79" s="22"/>
      <c r="Z79" s="22"/>
      <c r="AA79" s="1">
        <f t="shared" si="40"/>
        <v>28.333333333333332</v>
      </c>
      <c r="AB79" s="1">
        <f t="shared" si="38"/>
        <v>28.333333333333332</v>
      </c>
      <c r="AC79" s="1">
        <v>12.4</v>
      </c>
      <c r="AD79" s="1">
        <v>14.6</v>
      </c>
      <c r="AE79" s="1">
        <v>8.6</v>
      </c>
      <c r="AF79" s="1">
        <v>7.2</v>
      </c>
      <c r="AG79" s="1">
        <v>15.8</v>
      </c>
      <c r="AH79" s="1">
        <v>8.4</v>
      </c>
      <c r="AI79" s="1">
        <v>-0.6</v>
      </c>
      <c r="AJ79" s="1">
        <v>-1.2</v>
      </c>
      <c r="AK79" s="1"/>
      <c r="AL79" s="1">
        <f t="shared" si="41"/>
        <v>0</v>
      </c>
      <c r="AM79" s="1">
        <f t="shared" si="42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123</v>
      </c>
      <c r="B80" s="1" t="s">
        <v>44</v>
      </c>
      <c r="C80" s="1">
        <v>237</v>
      </c>
      <c r="D80" s="1">
        <v>25</v>
      </c>
      <c r="E80" s="1">
        <v>227</v>
      </c>
      <c r="F80" s="1">
        <v>6</v>
      </c>
      <c r="G80" s="7">
        <v>0.35</v>
      </c>
      <c r="H80" s="1">
        <v>45</v>
      </c>
      <c r="I80" s="10" t="s">
        <v>42</v>
      </c>
      <c r="J80" s="1"/>
      <c r="K80" s="1">
        <v>312</v>
      </c>
      <c r="L80" s="1">
        <f t="shared" si="35"/>
        <v>-85</v>
      </c>
      <c r="M80" s="1">
        <f t="shared" si="36"/>
        <v>227</v>
      </c>
      <c r="N80" s="1"/>
      <c r="O80" s="1">
        <v>0</v>
      </c>
      <c r="P80" s="1"/>
      <c r="Q80" s="1">
        <v>0</v>
      </c>
      <c r="R80" s="1">
        <v>194</v>
      </c>
      <c r="S80" s="1">
        <v>206</v>
      </c>
      <c r="T80" s="1">
        <f t="shared" si="37"/>
        <v>45.4</v>
      </c>
      <c r="U80" s="5">
        <f t="shared" si="44"/>
        <v>138.79999999999995</v>
      </c>
      <c r="V80" s="5">
        <f t="shared" si="43"/>
        <v>138.79999999999995</v>
      </c>
      <c r="W80" s="5">
        <f t="shared" si="39"/>
        <v>65.99939999999998</v>
      </c>
      <c r="X80" s="5">
        <f>V80*$X$1</f>
        <v>72.800599999999974</v>
      </c>
      <c r="Y80" s="22"/>
      <c r="Z80" s="22"/>
      <c r="AA80" s="1">
        <f t="shared" si="40"/>
        <v>12</v>
      </c>
      <c r="AB80" s="1">
        <f t="shared" si="38"/>
        <v>8.9427312775330403</v>
      </c>
      <c r="AC80" s="1">
        <v>49.6</v>
      </c>
      <c r="AD80" s="1">
        <v>19.600000000000001</v>
      </c>
      <c r="AE80" s="1">
        <v>33.799999999999997</v>
      </c>
      <c r="AF80" s="1">
        <v>60</v>
      </c>
      <c r="AG80" s="1">
        <v>60.2</v>
      </c>
      <c r="AH80" s="1">
        <v>18.600000000000001</v>
      </c>
      <c r="AI80" s="1">
        <v>1.2</v>
      </c>
      <c r="AJ80" s="1">
        <v>24.8</v>
      </c>
      <c r="AK80" s="1"/>
      <c r="AL80" s="1">
        <f t="shared" si="41"/>
        <v>23</v>
      </c>
      <c r="AM80" s="1">
        <f t="shared" si="42"/>
        <v>25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124</v>
      </c>
      <c r="B81" s="1" t="s">
        <v>44</v>
      </c>
      <c r="C81" s="1">
        <v>28</v>
      </c>
      <c r="D81" s="1"/>
      <c r="E81" s="1">
        <v>3</v>
      </c>
      <c r="F81" s="1">
        <v>18</v>
      </c>
      <c r="G81" s="7">
        <v>0.4</v>
      </c>
      <c r="H81" s="1">
        <v>55</v>
      </c>
      <c r="I81" s="1" t="s">
        <v>38</v>
      </c>
      <c r="J81" s="1"/>
      <c r="K81" s="1">
        <v>3</v>
      </c>
      <c r="L81" s="1">
        <f t="shared" si="35"/>
        <v>0</v>
      </c>
      <c r="M81" s="1">
        <f t="shared" si="36"/>
        <v>3</v>
      </c>
      <c r="N81" s="1"/>
      <c r="O81" s="1">
        <v>33</v>
      </c>
      <c r="P81" s="1"/>
      <c r="Q81" s="1">
        <v>22.800000000000011</v>
      </c>
      <c r="R81" s="1">
        <v>0</v>
      </c>
      <c r="S81" s="1"/>
      <c r="T81" s="1">
        <f t="shared" si="37"/>
        <v>0.6</v>
      </c>
      <c r="U81" s="5"/>
      <c r="V81" s="5">
        <f t="shared" si="43"/>
        <v>0</v>
      </c>
      <c r="W81" s="5">
        <f t="shared" si="39"/>
        <v>0</v>
      </c>
      <c r="X81" s="5"/>
      <c r="Y81" s="22"/>
      <c r="Z81" s="22"/>
      <c r="AA81" s="1">
        <f t="shared" si="40"/>
        <v>123.00000000000003</v>
      </c>
      <c r="AB81" s="1">
        <f t="shared" si="38"/>
        <v>123.00000000000003</v>
      </c>
      <c r="AC81" s="1">
        <v>0.8</v>
      </c>
      <c r="AD81" s="1">
        <v>6.4</v>
      </c>
      <c r="AE81" s="1">
        <v>6.2</v>
      </c>
      <c r="AF81" s="1">
        <v>2</v>
      </c>
      <c r="AG81" s="1">
        <v>2</v>
      </c>
      <c r="AH81" s="1">
        <v>2</v>
      </c>
      <c r="AI81" s="1">
        <v>6.2</v>
      </c>
      <c r="AJ81" s="1">
        <v>4.4000000000000004</v>
      </c>
      <c r="AK81" s="15" t="s">
        <v>47</v>
      </c>
      <c r="AL81" s="1">
        <f t="shared" si="41"/>
        <v>0</v>
      </c>
      <c r="AM81" s="1">
        <f t="shared" si="42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125</v>
      </c>
      <c r="B82" s="1" t="s">
        <v>37</v>
      </c>
      <c r="C82" s="1">
        <v>-22.032</v>
      </c>
      <c r="D82" s="1">
        <v>23.04</v>
      </c>
      <c r="E82" s="1"/>
      <c r="F82" s="1">
        <v>1.008</v>
      </c>
      <c r="G82" s="7">
        <v>1</v>
      </c>
      <c r="H82" s="1">
        <v>55</v>
      </c>
      <c r="I82" s="1" t="s">
        <v>38</v>
      </c>
      <c r="J82" s="1"/>
      <c r="K82" s="1"/>
      <c r="L82" s="1">
        <f t="shared" si="35"/>
        <v>0</v>
      </c>
      <c r="M82" s="1">
        <f t="shared" si="36"/>
        <v>0</v>
      </c>
      <c r="N82" s="1"/>
      <c r="O82" s="1">
        <v>4</v>
      </c>
      <c r="P82" s="1"/>
      <c r="Q82" s="1">
        <v>0</v>
      </c>
      <c r="R82" s="1">
        <v>0</v>
      </c>
      <c r="S82" s="1"/>
      <c r="T82" s="1">
        <f t="shared" si="37"/>
        <v>0</v>
      </c>
      <c r="U82" s="5"/>
      <c r="V82" s="5">
        <f t="shared" si="43"/>
        <v>0</v>
      </c>
      <c r="W82" s="5">
        <f t="shared" si="39"/>
        <v>0</v>
      </c>
      <c r="X82" s="5"/>
      <c r="Y82" s="22"/>
      <c r="Z82" s="22"/>
      <c r="AA82" s="1" t="e">
        <f t="shared" si="40"/>
        <v>#DIV/0!</v>
      </c>
      <c r="AB82" s="1" t="e">
        <f t="shared" si="38"/>
        <v>#DIV/0!</v>
      </c>
      <c r="AC82" s="1">
        <v>0</v>
      </c>
      <c r="AD82" s="1">
        <v>0.26679999999999998</v>
      </c>
      <c r="AE82" s="1">
        <v>0.26679999999999998</v>
      </c>
      <c r="AF82" s="1">
        <v>0.74340000000000006</v>
      </c>
      <c r="AG82" s="1">
        <v>0.74340000000000006</v>
      </c>
      <c r="AH82" s="1">
        <v>0.26700000000000002</v>
      </c>
      <c r="AI82" s="1">
        <v>0.26700000000000002</v>
      </c>
      <c r="AJ82" s="1">
        <v>0.29099999999999998</v>
      </c>
      <c r="AK82" s="1" t="s">
        <v>126</v>
      </c>
      <c r="AL82" s="1">
        <f t="shared" si="41"/>
        <v>0</v>
      </c>
      <c r="AM82" s="1">
        <f t="shared" si="42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1" t="s">
        <v>127</v>
      </c>
      <c r="B83" s="11" t="s">
        <v>37</v>
      </c>
      <c r="C83" s="11"/>
      <c r="D83" s="11"/>
      <c r="E83" s="11"/>
      <c r="F83" s="11"/>
      <c r="G83" s="12">
        <v>0</v>
      </c>
      <c r="H83" s="11"/>
      <c r="I83" s="11" t="s">
        <v>38</v>
      </c>
      <c r="J83" s="11"/>
      <c r="K83" s="11"/>
      <c r="L83" s="11">
        <f t="shared" si="35"/>
        <v>0</v>
      </c>
      <c r="M83" s="11">
        <f t="shared" si="36"/>
        <v>0</v>
      </c>
      <c r="N83" s="11"/>
      <c r="O83" s="11">
        <v>0</v>
      </c>
      <c r="P83" s="11"/>
      <c r="Q83" s="11">
        <v>0</v>
      </c>
      <c r="R83" s="11">
        <v>0</v>
      </c>
      <c r="S83" s="11"/>
      <c r="T83" s="11">
        <f t="shared" si="37"/>
        <v>0</v>
      </c>
      <c r="U83" s="13"/>
      <c r="V83" s="5">
        <f t="shared" si="43"/>
        <v>0</v>
      </c>
      <c r="W83" s="5">
        <f t="shared" si="39"/>
        <v>0</v>
      </c>
      <c r="X83" s="5"/>
      <c r="Y83" s="23"/>
      <c r="Z83" s="22"/>
      <c r="AA83" s="1" t="e">
        <f t="shared" si="40"/>
        <v>#DIV/0!</v>
      </c>
      <c r="AB83" s="11" t="e">
        <f t="shared" si="38"/>
        <v>#DIV/0!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 t="s">
        <v>56</v>
      </c>
      <c r="AL83" s="1">
        <f t="shared" si="41"/>
        <v>0</v>
      </c>
      <c r="AM83" s="1">
        <f t="shared" si="42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128</v>
      </c>
      <c r="B84" s="1" t="s">
        <v>37</v>
      </c>
      <c r="C84" s="1">
        <v>2873.5419999999999</v>
      </c>
      <c r="D84" s="1">
        <v>2353.7489999999998</v>
      </c>
      <c r="E84" s="1">
        <v>3240.6930000000002</v>
      </c>
      <c r="F84" s="1">
        <v>764.38199999999995</v>
      </c>
      <c r="G84" s="7">
        <v>1</v>
      </c>
      <c r="H84" s="1">
        <v>60</v>
      </c>
      <c r="I84" s="1" t="s">
        <v>38</v>
      </c>
      <c r="J84" s="1"/>
      <c r="K84" s="1">
        <v>3352.7579999999998</v>
      </c>
      <c r="L84" s="1">
        <f t="shared" si="35"/>
        <v>-112.0649999999996</v>
      </c>
      <c r="M84" s="1">
        <f t="shared" si="36"/>
        <v>3240.6930000000002</v>
      </c>
      <c r="N84" s="1"/>
      <c r="O84" s="1">
        <v>819.4</v>
      </c>
      <c r="P84" s="1">
        <v>880.6</v>
      </c>
      <c r="Q84" s="1">
        <v>600</v>
      </c>
      <c r="R84" s="1">
        <v>970</v>
      </c>
      <c r="S84" s="1">
        <v>1030</v>
      </c>
      <c r="T84" s="1">
        <f t="shared" si="37"/>
        <v>648.1386</v>
      </c>
      <c r="U84" s="5">
        <f t="shared" ref="U84:U93" si="45">12*T84-S84-R84-Q84-P84-O84-F84</f>
        <v>2713.2811999999994</v>
      </c>
      <c r="V84" s="5">
        <f>U84+T84*$V$1</f>
        <v>3387.3453439999994</v>
      </c>
      <c r="W84" s="5">
        <f t="shared" si="39"/>
        <v>1610.6827110719998</v>
      </c>
      <c r="X84" s="5">
        <f>V84*$X$1</f>
        <v>1776.6626329279995</v>
      </c>
      <c r="Y84" s="22"/>
      <c r="Z84" s="22"/>
      <c r="AA84" s="1">
        <f t="shared" si="40"/>
        <v>13.04</v>
      </c>
      <c r="AB84" s="1">
        <f t="shared" si="38"/>
        <v>7.8137330503074489</v>
      </c>
      <c r="AC84" s="1">
        <v>480.19400000000007</v>
      </c>
      <c r="AD84" s="1">
        <v>440.85640000000001</v>
      </c>
      <c r="AE84" s="1">
        <v>511.75360000000001</v>
      </c>
      <c r="AF84" s="1">
        <v>483.48380000000009</v>
      </c>
      <c r="AG84" s="1">
        <v>522.95619999999997</v>
      </c>
      <c r="AH84" s="1">
        <v>517.02299999999991</v>
      </c>
      <c r="AI84" s="1">
        <v>538.73500000000001</v>
      </c>
      <c r="AJ84" s="1">
        <v>591.0634</v>
      </c>
      <c r="AK84" s="1" t="s">
        <v>40</v>
      </c>
      <c r="AL84" s="1">
        <f t="shared" si="41"/>
        <v>1611</v>
      </c>
      <c r="AM84" s="1">
        <f t="shared" si="42"/>
        <v>1777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129</v>
      </c>
      <c r="B85" s="1" t="s">
        <v>44</v>
      </c>
      <c r="C85" s="1">
        <v>547</v>
      </c>
      <c r="D85" s="1">
        <v>7</v>
      </c>
      <c r="E85" s="1">
        <v>73</v>
      </c>
      <c r="F85" s="1">
        <v>23</v>
      </c>
      <c r="G85" s="7">
        <v>0.3</v>
      </c>
      <c r="H85" s="1">
        <v>40</v>
      </c>
      <c r="I85" s="1" t="s">
        <v>38</v>
      </c>
      <c r="J85" s="1"/>
      <c r="K85" s="1">
        <v>454</v>
      </c>
      <c r="L85" s="1">
        <f t="shared" si="35"/>
        <v>-381</v>
      </c>
      <c r="M85" s="1">
        <f t="shared" si="36"/>
        <v>73</v>
      </c>
      <c r="N85" s="1"/>
      <c r="O85" s="1">
        <v>0</v>
      </c>
      <c r="P85" s="1"/>
      <c r="Q85" s="1">
        <v>0</v>
      </c>
      <c r="R85" s="1">
        <v>0</v>
      </c>
      <c r="S85" s="1"/>
      <c r="T85" s="1">
        <f t="shared" si="37"/>
        <v>14.6</v>
      </c>
      <c r="U85" s="5">
        <f>8*T85-S85-R85-Q85-P85-O85-F85</f>
        <v>93.8</v>
      </c>
      <c r="V85" s="5">
        <f t="shared" si="43"/>
        <v>93.8</v>
      </c>
      <c r="W85" s="5">
        <f t="shared" si="39"/>
        <v>93.8</v>
      </c>
      <c r="X85" s="5"/>
      <c r="Y85" s="22"/>
      <c r="Z85" s="22"/>
      <c r="AA85" s="1">
        <f t="shared" si="40"/>
        <v>8</v>
      </c>
      <c r="AB85" s="1">
        <f t="shared" si="38"/>
        <v>1.5753424657534247</v>
      </c>
      <c r="AC85" s="1">
        <v>16.600000000000001</v>
      </c>
      <c r="AD85" s="1">
        <v>7.2</v>
      </c>
      <c r="AE85" s="1">
        <v>16.399999999999999</v>
      </c>
      <c r="AF85" s="1">
        <v>26.8</v>
      </c>
      <c r="AG85" s="1">
        <v>38.799999999999997</v>
      </c>
      <c r="AH85" s="1">
        <v>47.6</v>
      </c>
      <c r="AI85" s="1">
        <v>64.8</v>
      </c>
      <c r="AJ85" s="1">
        <v>54.6</v>
      </c>
      <c r="AK85" s="17" t="s">
        <v>182</v>
      </c>
      <c r="AL85" s="1">
        <f t="shared" si="41"/>
        <v>28</v>
      </c>
      <c r="AM85" s="1">
        <f t="shared" si="42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130</v>
      </c>
      <c r="B86" s="1" t="s">
        <v>37</v>
      </c>
      <c r="C86" s="1">
        <v>1721.9259999999999</v>
      </c>
      <c r="D86" s="1">
        <v>728.447</v>
      </c>
      <c r="E86" s="1">
        <v>1690.819</v>
      </c>
      <c r="F86" s="1">
        <v>339.40899999999999</v>
      </c>
      <c r="G86" s="7">
        <v>1</v>
      </c>
      <c r="H86" s="1">
        <v>60</v>
      </c>
      <c r="I86" s="1" t="s">
        <v>38</v>
      </c>
      <c r="J86" s="1"/>
      <c r="K86" s="1">
        <v>1813.355</v>
      </c>
      <c r="L86" s="1">
        <f t="shared" si="35"/>
        <v>-122.53600000000006</v>
      </c>
      <c r="M86" s="1">
        <f t="shared" si="36"/>
        <v>1690.819</v>
      </c>
      <c r="N86" s="1"/>
      <c r="O86" s="1">
        <v>361.5</v>
      </c>
      <c r="P86" s="1">
        <v>388.5</v>
      </c>
      <c r="Q86" s="1"/>
      <c r="R86" s="1">
        <v>649.98272644999986</v>
      </c>
      <c r="S86" s="1">
        <v>690.18784354999991</v>
      </c>
      <c r="T86" s="1">
        <f t="shared" si="37"/>
        <v>338.16379999999998</v>
      </c>
      <c r="U86" s="5">
        <f t="shared" si="45"/>
        <v>1628.3860299999997</v>
      </c>
      <c r="V86" s="5">
        <f t="shared" ref="V86:V88" si="46">U86+T86*$V$1</f>
        <v>1980.0763819999997</v>
      </c>
      <c r="W86" s="5">
        <f t="shared" si="39"/>
        <v>941.52631964099987</v>
      </c>
      <c r="X86" s="5">
        <f t="shared" ref="X86:X88" si="47">V86*$X$1</f>
        <v>1038.5500623589999</v>
      </c>
      <c r="Y86" s="22"/>
      <c r="Z86" s="22"/>
      <c r="AA86" s="1">
        <f t="shared" si="40"/>
        <v>13.04</v>
      </c>
      <c r="AB86" s="1">
        <f t="shared" si="38"/>
        <v>7.1846234576261567</v>
      </c>
      <c r="AC86" s="1">
        <v>266.18579999999997</v>
      </c>
      <c r="AD86" s="1">
        <v>238.93180000000001</v>
      </c>
      <c r="AE86" s="1">
        <v>332.30399999999997</v>
      </c>
      <c r="AF86" s="1">
        <v>267.47199999999998</v>
      </c>
      <c r="AG86" s="1">
        <v>289.9846</v>
      </c>
      <c r="AH86" s="1">
        <v>263.73020000000002</v>
      </c>
      <c r="AI86" s="1">
        <v>277.47519999999997</v>
      </c>
      <c r="AJ86" s="1">
        <v>257.95119999999997</v>
      </c>
      <c r="AK86" s="1"/>
      <c r="AL86" s="1">
        <f t="shared" si="41"/>
        <v>942</v>
      </c>
      <c r="AM86" s="1">
        <f t="shared" si="42"/>
        <v>1039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131</v>
      </c>
      <c r="B87" s="1" t="s">
        <v>37</v>
      </c>
      <c r="C87" s="1">
        <v>2147.4409999999998</v>
      </c>
      <c r="D87" s="1">
        <v>2045.712</v>
      </c>
      <c r="E87" s="1">
        <v>2463.444</v>
      </c>
      <c r="F87" s="1">
        <v>805.53399999999999</v>
      </c>
      <c r="G87" s="7">
        <v>1</v>
      </c>
      <c r="H87" s="1">
        <v>60</v>
      </c>
      <c r="I87" s="1" t="s">
        <v>38</v>
      </c>
      <c r="J87" s="1"/>
      <c r="K87" s="1">
        <v>2601.2890000000002</v>
      </c>
      <c r="L87" s="1">
        <f t="shared" si="35"/>
        <v>-137.84500000000025</v>
      </c>
      <c r="M87" s="1">
        <f t="shared" si="36"/>
        <v>2463.444</v>
      </c>
      <c r="N87" s="1"/>
      <c r="O87" s="1">
        <v>939.9</v>
      </c>
      <c r="P87" s="1">
        <v>1010.1</v>
      </c>
      <c r="Q87" s="1">
        <v>400</v>
      </c>
      <c r="R87" s="1">
        <v>582</v>
      </c>
      <c r="S87" s="1">
        <v>618</v>
      </c>
      <c r="T87" s="1">
        <f t="shared" si="37"/>
        <v>492.68880000000001</v>
      </c>
      <c r="U87" s="5">
        <f t="shared" si="45"/>
        <v>1556.7316000000005</v>
      </c>
      <c r="V87" s="5">
        <f t="shared" si="46"/>
        <v>2069.1279520000007</v>
      </c>
      <c r="W87" s="5">
        <f t="shared" si="39"/>
        <v>983.87034117600047</v>
      </c>
      <c r="X87" s="5">
        <f t="shared" si="47"/>
        <v>1085.2576108240003</v>
      </c>
      <c r="Y87" s="22"/>
      <c r="Z87" s="22"/>
      <c r="AA87" s="1">
        <f t="shared" si="40"/>
        <v>13.040000000000001</v>
      </c>
      <c r="AB87" s="1">
        <f t="shared" si="38"/>
        <v>8.8403349132352904</v>
      </c>
      <c r="AC87" s="1">
        <v>405.63260000000002</v>
      </c>
      <c r="AD87" s="1">
        <v>436.04500000000007</v>
      </c>
      <c r="AE87" s="1">
        <v>563.02379999999994</v>
      </c>
      <c r="AF87" s="1">
        <v>485.17479999999989</v>
      </c>
      <c r="AG87" s="1">
        <v>500.68040000000002</v>
      </c>
      <c r="AH87" s="1">
        <v>462.61800000000011</v>
      </c>
      <c r="AI87" s="1">
        <v>495.69220000000001</v>
      </c>
      <c r="AJ87" s="1">
        <v>523.89400000000001</v>
      </c>
      <c r="AK87" s="1"/>
      <c r="AL87" s="1">
        <f t="shared" si="41"/>
        <v>984</v>
      </c>
      <c r="AM87" s="1">
        <f t="shared" si="42"/>
        <v>1085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132</v>
      </c>
      <c r="B88" s="1" t="s">
        <v>37</v>
      </c>
      <c r="C88" s="1">
        <v>3066.1390000000001</v>
      </c>
      <c r="D88" s="1">
        <v>2783.0479999999998</v>
      </c>
      <c r="E88" s="1">
        <v>3842.114</v>
      </c>
      <c r="F88" s="1">
        <v>648.68799999999999</v>
      </c>
      <c r="G88" s="7">
        <v>1</v>
      </c>
      <c r="H88" s="1">
        <v>60</v>
      </c>
      <c r="I88" s="1" t="s">
        <v>38</v>
      </c>
      <c r="J88" s="1"/>
      <c r="K88" s="1">
        <v>4021.8980000000001</v>
      </c>
      <c r="L88" s="1">
        <f t="shared" si="35"/>
        <v>-179.78400000000011</v>
      </c>
      <c r="M88" s="1">
        <f t="shared" si="36"/>
        <v>3842.114</v>
      </c>
      <c r="N88" s="1"/>
      <c r="O88" s="1">
        <v>939.9</v>
      </c>
      <c r="P88" s="1">
        <v>1010.1</v>
      </c>
      <c r="Q88" s="1">
        <v>0</v>
      </c>
      <c r="R88" s="1">
        <v>970</v>
      </c>
      <c r="S88" s="1">
        <v>1030</v>
      </c>
      <c r="T88" s="1">
        <f t="shared" si="37"/>
        <v>768.42280000000005</v>
      </c>
      <c r="U88" s="5">
        <f t="shared" si="45"/>
        <v>4622.3855999999996</v>
      </c>
      <c r="V88" s="5">
        <f t="shared" si="46"/>
        <v>5421.5453120000002</v>
      </c>
      <c r="W88" s="5">
        <f t="shared" si="39"/>
        <v>2577.9447958560004</v>
      </c>
      <c r="X88" s="5">
        <f t="shared" si="47"/>
        <v>2843.6005161439998</v>
      </c>
      <c r="Y88" s="22"/>
      <c r="Z88" s="22"/>
      <c r="AA88" s="1">
        <f t="shared" si="40"/>
        <v>13.04</v>
      </c>
      <c r="AB88" s="1">
        <f t="shared" si="38"/>
        <v>5.9845803638309532</v>
      </c>
      <c r="AC88" s="1">
        <v>532.95240000000001</v>
      </c>
      <c r="AD88" s="1">
        <v>457.38780000000003</v>
      </c>
      <c r="AE88" s="1">
        <v>640.37459999999987</v>
      </c>
      <c r="AF88" s="1">
        <v>544.50639999999999</v>
      </c>
      <c r="AG88" s="1">
        <v>570.49300000000005</v>
      </c>
      <c r="AH88" s="1">
        <v>578.13740000000007</v>
      </c>
      <c r="AI88" s="1">
        <v>589.31639999999993</v>
      </c>
      <c r="AJ88" s="1">
        <v>576.82039999999995</v>
      </c>
      <c r="AK88" s="1"/>
      <c r="AL88" s="1">
        <f t="shared" si="41"/>
        <v>2578</v>
      </c>
      <c r="AM88" s="1">
        <f t="shared" si="42"/>
        <v>2844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133</v>
      </c>
      <c r="B89" s="1" t="s">
        <v>37</v>
      </c>
      <c r="C89" s="1">
        <v>35.103999999999999</v>
      </c>
      <c r="D89" s="1"/>
      <c r="E89" s="1">
        <v>24.292000000000002</v>
      </c>
      <c r="F89" s="1">
        <v>9.4719999999999995</v>
      </c>
      <c r="G89" s="7">
        <v>1</v>
      </c>
      <c r="H89" s="1">
        <v>55</v>
      </c>
      <c r="I89" s="10" t="s">
        <v>42</v>
      </c>
      <c r="J89" s="1"/>
      <c r="K89" s="1">
        <v>25.6</v>
      </c>
      <c r="L89" s="1">
        <f t="shared" si="35"/>
        <v>-1.3079999999999998</v>
      </c>
      <c r="M89" s="1">
        <f t="shared" si="36"/>
        <v>24.292000000000002</v>
      </c>
      <c r="N89" s="1"/>
      <c r="O89" s="1">
        <v>0</v>
      </c>
      <c r="P89" s="1"/>
      <c r="Q89" s="1">
        <v>4.0701999999999998</v>
      </c>
      <c r="R89" s="1">
        <v>31.198200000000011</v>
      </c>
      <c r="S89" s="1"/>
      <c r="T89" s="1">
        <f t="shared" si="37"/>
        <v>4.8584000000000005</v>
      </c>
      <c r="U89" s="5">
        <f t="shared" si="45"/>
        <v>13.5604</v>
      </c>
      <c r="V89" s="5">
        <f t="shared" si="43"/>
        <v>13.5604</v>
      </c>
      <c r="W89" s="5">
        <f t="shared" si="39"/>
        <v>13.5604</v>
      </c>
      <c r="X89" s="5"/>
      <c r="Y89" s="22"/>
      <c r="Z89" s="22"/>
      <c r="AA89" s="1">
        <f t="shared" si="40"/>
        <v>12</v>
      </c>
      <c r="AB89" s="1">
        <f t="shared" si="38"/>
        <v>9.2088753499094356</v>
      </c>
      <c r="AC89" s="1">
        <v>4.8124000000000002</v>
      </c>
      <c r="AD89" s="1">
        <v>2.9316</v>
      </c>
      <c r="AE89" s="1">
        <v>2.9371999999999998</v>
      </c>
      <c r="AF89" s="1">
        <v>3.2063999999999999</v>
      </c>
      <c r="AG89" s="1">
        <v>3.226</v>
      </c>
      <c r="AH89" s="1">
        <v>3.7902</v>
      </c>
      <c r="AI89" s="1">
        <v>4.0486000000000004</v>
      </c>
      <c r="AJ89" s="1">
        <v>4.0282</v>
      </c>
      <c r="AK89" s="1"/>
      <c r="AL89" s="1">
        <f t="shared" si="41"/>
        <v>14</v>
      </c>
      <c r="AM89" s="1">
        <f t="shared" si="42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6" t="s">
        <v>134</v>
      </c>
      <c r="B90" s="1" t="s">
        <v>44</v>
      </c>
      <c r="C90" s="1"/>
      <c r="D90" s="1"/>
      <c r="E90" s="1"/>
      <c r="F90" s="1"/>
      <c r="G90" s="7">
        <v>0.3</v>
      </c>
      <c r="H90" s="1">
        <v>40</v>
      </c>
      <c r="I90" s="10" t="s">
        <v>42</v>
      </c>
      <c r="J90" s="1"/>
      <c r="K90" s="1">
        <v>71</v>
      </c>
      <c r="L90" s="1">
        <f t="shared" si="35"/>
        <v>-71</v>
      </c>
      <c r="M90" s="1">
        <f t="shared" si="36"/>
        <v>0</v>
      </c>
      <c r="N90" s="1"/>
      <c r="O90" s="1">
        <v>30</v>
      </c>
      <c r="P90" s="1"/>
      <c r="Q90" s="1">
        <v>0</v>
      </c>
      <c r="R90" s="1">
        <v>50</v>
      </c>
      <c r="S90" s="1"/>
      <c r="T90" s="1">
        <f t="shared" si="37"/>
        <v>0</v>
      </c>
      <c r="U90" s="5">
        <v>50</v>
      </c>
      <c r="V90" s="5">
        <f t="shared" si="43"/>
        <v>50</v>
      </c>
      <c r="W90" s="5">
        <f t="shared" si="39"/>
        <v>50</v>
      </c>
      <c r="X90" s="5"/>
      <c r="Y90" s="22"/>
      <c r="Z90" s="22"/>
      <c r="AA90" s="1" t="e">
        <f t="shared" si="40"/>
        <v>#DIV/0!</v>
      </c>
      <c r="AB90" s="1" t="e">
        <f t="shared" si="38"/>
        <v>#DIV/0!</v>
      </c>
      <c r="AC90" s="1">
        <v>0</v>
      </c>
      <c r="AD90" s="1">
        <v>-0.4</v>
      </c>
      <c r="AE90" s="1">
        <v>-0.4</v>
      </c>
      <c r="AF90" s="1">
        <v>0</v>
      </c>
      <c r="AG90" s="1">
        <v>0</v>
      </c>
      <c r="AH90" s="1">
        <v>0</v>
      </c>
      <c r="AI90" s="1">
        <v>-0.4</v>
      </c>
      <c r="AJ90" s="1">
        <v>-0.4</v>
      </c>
      <c r="AK90" s="1"/>
      <c r="AL90" s="1">
        <f t="shared" si="41"/>
        <v>15</v>
      </c>
      <c r="AM90" s="1">
        <f t="shared" si="42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135</v>
      </c>
      <c r="B91" s="1" t="s">
        <v>44</v>
      </c>
      <c r="C91" s="1">
        <v>22</v>
      </c>
      <c r="D91" s="1"/>
      <c r="E91" s="1">
        <v>-7</v>
      </c>
      <c r="F91" s="1">
        <v>22</v>
      </c>
      <c r="G91" s="7">
        <v>0.3</v>
      </c>
      <c r="H91" s="1">
        <v>40</v>
      </c>
      <c r="I91" s="10" t="s">
        <v>42</v>
      </c>
      <c r="J91" s="1"/>
      <c r="K91" s="1">
        <v>2</v>
      </c>
      <c r="L91" s="1">
        <f t="shared" si="35"/>
        <v>-9</v>
      </c>
      <c r="M91" s="1">
        <f t="shared" si="36"/>
        <v>-7</v>
      </c>
      <c r="N91" s="1"/>
      <c r="O91" s="1">
        <v>0</v>
      </c>
      <c r="P91" s="1"/>
      <c r="Q91" s="1">
        <v>0</v>
      </c>
      <c r="R91" s="1">
        <v>0</v>
      </c>
      <c r="S91" s="1"/>
      <c r="T91" s="1">
        <f t="shared" si="37"/>
        <v>-1.4</v>
      </c>
      <c r="U91" s="5"/>
      <c r="V91" s="5">
        <f t="shared" si="43"/>
        <v>0</v>
      </c>
      <c r="W91" s="5">
        <f t="shared" si="39"/>
        <v>0</v>
      </c>
      <c r="X91" s="5"/>
      <c r="Y91" s="22"/>
      <c r="Z91" s="22"/>
      <c r="AA91" s="1">
        <f t="shared" si="40"/>
        <v>-15.714285714285715</v>
      </c>
      <c r="AB91" s="1">
        <f t="shared" si="38"/>
        <v>-15.714285714285715</v>
      </c>
      <c r="AC91" s="1">
        <v>-1.8</v>
      </c>
      <c r="AD91" s="1">
        <v>-0.6</v>
      </c>
      <c r="AE91" s="1">
        <v>3</v>
      </c>
      <c r="AF91" s="1">
        <v>8</v>
      </c>
      <c r="AG91" s="1">
        <v>5.6</v>
      </c>
      <c r="AH91" s="1">
        <v>4.2</v>
      </c>
      <c r="AI91" s="1">
        <v>6.4</v>
      </c>
      <c r="AJ91" s="1">
        <v>8.8000000000000007</v>
      </c>
      <c r="AK91" s="15" t="s">
        <v>47</v>
      </c>
      <c r="AL91" s="1">
        <f t="shared" si="41"/>
        <v>0</v>
      </c>
      <c r="AM91" s="1">
        <f t="shared" si="42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136</v>
      </c>
      <c r="B92" s="1" t="s">
        <v>44</v>
      </c>
      <c r="C92" s="1">
        <v>20</v>
      </c>
      <c r="D92" s="1">
        <v>144</v>
      </c>
      <c r="E92" s="1">
        <v>81</v>
      </c>
      <c r="F92" s="1">
        <v>78</v>
      </c>
      <c r="G92" s="7">
        <v>7.0000000000000007E-2</v>
      </c>
      <c r="H92" s="1">
        <v>90</v>
      </c>
      <c r="I92" s="10" t="s">
        <v>42</v>
      </c>
      <c r="J92" s="1"/>
      <c r="K92" s="1">
        <v>115</v>
      </c>
      <c r="L92" s="1">
        <f t="shared" si="35"/>
        <v>-34</v>
      </c>
      <c r="M92" s="1">
        <f t="shared" si="36"/>
        <v>81</v>
      </c>
      <c r="N92" s="1"/>
      <c r="O92" s="1">
        <v>0</v>
      </c>
      <c r="P92" s="1"/>
      <c r="Q92" s="1">
        <v>0</v>
      </c>
      <c r="R92" s="1">
        <v>0</v>
      </c>
      <c r="S92" s="1"/>
      <c r="T92" s="1">
        <f t="shared" si="37"/>
        <v>16.2</v>
      </c>
      <c r="U92" s="5">
        <f t="shared" si="45"/>
        <v>116.39999999999998</v>
      </c>
      <c r="V92" s="5">
        <f t="shared" si="43"/>
        <v>116.39999999999998</v>
      </c>
      <c r="W92" s="5">
        <f t="shared" si="39"/>
        <v>55.348199999999991</v>
      </c>
      <c r="X92" s="5">
        <f t="shared" ref="X92:X93" si="48">V92*$X$1</f>
        <v>61.051799999999986</v>
      </c>
      <c r="Y92" s="22"/>
      <c r="Z92" s="22"/>
      <c r="AA92" s="1">
        <f t="shared" si="40"/>
        <v>12</v>
      </c>
      <c r="AB92" s="1">
        <f t="shared" si="38"/>
        <v>4.8148148148148149</v>
      </c>
      <c r="AC92" s="1">
        <v>4.8</v>
      </c>
      <c r="AD92" s="1">
        <v>0</v>
      </c>
      <c r="AE92" s="1">
        <v>0.8</v>
      </c>
      <c r="AF92" s="1">
        <v>8.4</v>
      </c>
      <c r="AG92" s="1">
        <v>20.399999999999999</v>
      </c>
      <c r="AH92" s="1">
        <v>12.6</v>
      </c>
      <c r="AI92" s="1">
        <v>0.4</v>
      </c>
      <c r="AJ92" s="1">
        <v>3</v>
      </c>
      <c r="AK92" s="1"/>
      <c r="AL92" s="1">
        <f t="shared" si="41"/>
        <v>4</v>
      </c>
      <c r="AM92" s="1">
        <f t="shared" si="42"/>
        <v>4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137</v>
      </c>
      <c r="B93" s="1" t="s">
        <v>44</v>
      </c>
      <c r="C93" s="1">
        <v>126</v>
      </c>
      <c r="D93" s="1"/>
      <c r="E93" s="1">
        <v>120</v>
      </c>
      <c r="F93" s="1">
        <v>6</v>
      </c>
      <c r="G93" s="7">
        <v>7.0000000000000007E-2</v>
      </c>
      <c r="H93" s="1">
        <v>90</v>
      </c>
      <c r="I93" s="10" t="s">
        <v>42</v>
      </c>
      <c r="J93" s="1"/>
      <c r="K93" s="1">
        <v>121</v>
      </c>
      <c r="L93" s="1">
        <f t="shared" si="35"/>
        <v>-1</v>
      </c>
      <c r="M93" s="1">
        <f t="shared" si="36"/>
        <v>120</v>
      </c>
      <c r="N93" s="1"/>
      <c r="O93" s="1">
        <v>0</v>
      </c>
      <c r="P93" s="1"/>
      <c r="Q93" s="1">
        <v>80</v>
      </c>
      <c r="R93" s="1">
        <v>50</v>
      </c>
      <c r="S93" s="1"/>
      <c r="T93" s="1">
        <f t="shared" si="37"/>
        <v>24</v>
      </c>
      <c r="U93" s="5">
        <f t="shared" si="45"/>
        <v>152</v>
      </c>
      <c r="V93" s="5">
        <f t="shared" si="43"/>
        <v>152</v>
      </c>
      <c r="W93" s="5">
        <f t="shared" si="39"/>
        <v>72.27600000000001</v>
      </c>
      <c r="X93" s="5">
        <f t="shared" si="48"/>
        <v>79.72399999999999</v>
      </c>
      <c r="Y93" s="22"/>
      <c r="Z93" s="22"/>
      <c r="AA93" s="1">
        <f t="shared" si="40"/>
        <v>12</v>
      </c>
      <c r="AB93" s="1">
        <f t="shared" si="38"/>
        <v>5.666666666666667</v>
      </c>
      <c r="AC93" s="1">
        <v>16.8</v>
      </c>
      <c r="AD93" s="1">
        <v>19.2</v>
      </c>
      <c r="AE93" s="1">
        <v>23</v>
      </c>
      <c r="AF93" s="1">
        <v>19</v>
      </c>
      <c r="AG93" s="1">
        <v>27.6</v>
      </c>
      <c r="AH93" s="1">
        <v>35.200000000000003</v>
      </c>
      <c r="AI93" s="1">
        <v>34.200000000000003</v>
      </c>
      <c r="AJ93" s="1">
        <v>44.6</v>
      </c>
      <c r="AK93" s="1"/>
      <c r="AL93" s="1">
        <f t="shared" si="41"/>
        <v>5</v>
      </c>
      <c r="AM93" s="1">
        <f t="shared" si="42"/>
        <v>6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44</v>
      </c>
      <c r="C94" s="1">
        <v>431</v>
      </c>
      <c r="D94" s="1">
        <v>78</v>
      </c>
      <c r="E94" s="1">
        <v>104</v>
      </c>
      <c r="F94" s="1">
        <v>397</v>
      </c>
      <c r="G94" s="7">
        <v>7.0000000000000007E-2</v>
      </c>
      <c r="H94" s="1">
        <v>90</v>
      </c>
      <c r="I94" s="1" t="s">
        <v>38</v>
      </c>
      <c r="J94" s="1"/>
      <c r="K94" s="1">
        <v>116</v>
      </c>
      <c r="L94" s="1">
        <f t="shared" si="35"/>
        <v>-12</v>
      </c>
      <c r="M94" s="1">
        <f t="shared" si="36"/>
        <v>104</v>
      </c>
      <c r="N94" s="1"/>
      <c r="O94" s="1">
        <v>0</v>
      </c>
      <c r="P94" s="1"/>
      <c r="Q94" s="1">
        <v>0</v>
      </c>
      <c r="R94" s="1">
        <v>0</v>
      </c>
      <c r="S94" s="1"/>
      <c r="T94" s="1">
        <f t="shared" si="37"/>
        <v>20.8</v>
      </c>
      <c r="U94" s="5"/>
      <c r="V94" s="5">
        <f t="shared" si="43"/>
        <v>0</v>
      </c>
      <c r="W94" s="5">
        <f t="shared" si="39"/>
        <v>0</v>
      </c>
      <c r="X94" s="5"/>
      <c r="Y94" s="22"/>
      <c r="Z94" s="22"/>
      <c r="AA94" s="1">
        <f t="shared" si="40"/>
        <v>19.08653846153846</v>
      </c>
      <c r="AB94" s="1">
        <f t="shared" si="38"/>
        <v>19.08653846153846</v>
      </c>
      <c r="AC94" s="1">
        <v>13</v>
      </c>
      <c r="AD94" s="1">
        <v>15.2</v>
      </c>
      <c r="AE94" s="1">
        <v>16.600000000000001</v>
      </c>
      <c r="AF94" s="1">
        <v>11</v>
      </c>
      <c r="AG94" s="1">
        <v>38</v>
      </c>
      <c r="AH94" s="1">
        <v>42.6</v>
      </c>
      <c r="AI94" s="1">
        <v>11.4</v>
      </c>
      <c r="AJ94" s="1">
        <v>17.8</v>
      </c>
      <c r="AK94" s="15" t="s">
        <v>47</v>
      </c>
      <c r="AL94" s="1">
        <f t="shared" si="41"/>
        <v>0</v>
      </c>
      <c r="AM94" s="1">
        <f t="shared" si="42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139</v>
      </c>
      <c r="B95" s="1" t="s">
        <v>44</v>
      </c>
      <c r="C95" s="1">
        <v>4</v>
      </c>
      <c r="D95" s="1">
        <v>72</v>
      </c>
      <c r="E95" s="1">
        <v>14</v>
      </c>
      <c r="F95" s="1">
        <v>59</v>
      </c>
      <c r="G95" s="7">
        <v>0.3</v>
      </c>
      <c r="H95" s="1">
        <v>40</v>
      </c>
      <c r="I95" s="1" t="s">
        <v>38</v>
      </c>
      <c r="J95" s="1"/>
      <c r="K95" s="1">
        <v>15</v>
      </c>
      <c r="L95" s="1">
        <f t="shared" si="35"/>
        <v>-1</v>
      </c>
      <c r="M95" s="1">
        <f t="shared" si="36"/>
        <v>14</v>
      </c>
      <c r="N95" s="1"/>
      <c r="O95" s="1">
        <v>0</v>
      </c>
      <c r="P95" s="1"/>
      <c r="Q95" s="1">
        <v>0</v>
      </c>
      <c r="R95" s="1">
        <v>0</v>
      </c>
      <c r="S95" s="1"/>
      <c r="T95" s="1">
        <f t="shared" si="37"/>
        <v>2.8</v>
      </c>
      <c r="U95" s="5"/>
      <c r="V95" s="5">
        <f t="shared" si="43"/>
        <v>0</v>
      </c>
      <c r="W95" s="5">
        <f t="shared" si="39"/>
        <v>0</v>
      </c>
      <c r="X95" s="5"/>
      <c r="Y95" s="22"/>
      <c r="Z95" s="22"/>
      <c r="AA95" s="1">
        <f t="shared" si="40"/>
        <v>21.071428571428573</v>
      </c>
      <c r="AB95" s="1">
        <f t="shared" si="38"/>
        <v>21.071428571428573</v>
      </c>
      <c r="AC95" s="1">
        <v>1</v>
      </c>
      <c r="AD95" s="1">
        <v>4</v>
      </c>
      <c r="AE95" s="1">
        <v>5</v>
      </c>
      <c r="AF95" s="1">
        <v>6.8</v>
      </c>
      <c r="AG95" s="1">
        <v>6.4</v>
      </c>
      <c r="AH95" s="1">
        <v>4.2</v>
      </c>
      <c r="AI95" s="1">
        <v>4</v>
      </c>
      <c r="AJ95" s="1">
        <v>2.4</v>
      </c>
      <c r="AK95" s="1"/>
      <c r="AL95" s="1">
        <f t="shared" si="41"/>
        <v>0</v>
      </c>
      <c r="AM95" s="1">
        <f t="shared" si="42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140</v>
      </c>
      <c r="B96" s="1" t="s">
        <v>37</v>
      </c>
      <c r="C96" s="1">
        <v>11.015000000000001</v>
      </c>
      <c r="D96" s="1"/>
      <c r="E96" s="14">
        <f>14.216+E123</f>
        <v>21.661000000000001</v>
      </c>
      <c r="F96" s="14">
        <f>-3.201+F123</f>
        <v>8.5389999999999997</v>
      </c>
      <c r="G96" s="7">
        <v>0</v>
      </c>
      <c r="H96" s="1">
        <v>55</v>
      </c>
      <c r="I96" s="21" t="s">
        <v>186</v>
      </c>
      <c r="J96" s="1"/>
      <c r="K96" s="1">
        <v>17.2</v>
      </c>
      <c r="L96" s="1">
        <f t="shared" si="35"/>
        <v>4.4610000000000021</v>
      </c>
      <c r="M96" s="1">
        <f t="shared" si="36"/>
        <v>21.661000000000001</v>
      </c>
      <c r="N96" s="1"/>
      <c r="O96" s="1">
        <v>9.308980000000016</v>
      </c>
      <c r="P96" s="1"/>
      <c r="Q96" s="1">
        <v>0</v>
      </c>
      <c r="R96" s="1">
        <v>0</v>
      </c>
      <c r="S96" s="1"/>
      <c r="T96" s="1">
        <f t="shared" si="37"/>
        <v>4.3322000000000003</v>
      </c>
      <c r="U96" s="20">
        <v>0</v>
      </c>
      <c r="V96" s="5">
        <f t="shared" si="43"/>
        <v>0</v>
      </c>
      <c r="W96" s="5">
        <f t="shared" si="39"/>
        <v>0</v>
      </c>
      <c r="X96" s="5"/>
      <c r="Y96" s="24"/>
      <c r="Z96" s="22"/>
      <c r="AA96" s="1">
        <f t="shared" si="40"/>
        <v>4.1198421125525169</v>
      </c>
      <c r="AB96" s="1">
        <f t="shared" si="38"/>
        <v>4.1198421125525169</v>
      </c>
      <c r="AC96" s="1">
        <v>2.0859999999999999</v>
      </c>
      <c r="AD96" s="1">
        <v>3.4163999999999999</v>
      </c>
      <c r="AE96" s="1">
        <v>4.1698000000000004</v>
      </c>
      <c r="AF96" s="1">
        <v>3.3782000000000001</v>
      </c>
      <c r="AG96" s="1">
        <v>2.556</v>
      </c>
      <c r="AH96" s="1">
        <v>2.0268000000000002</v>
      </c>
      <c r="AI96" s="1">
        <v>3.2402000000000002</v>
      </c>
      <c r="AJ96" s="1">
        <v>3.1644000000000001</v>
      </c>
      <c r="AK96" s="1"/>
      <c r="AL96" s="1">
        <f t="shared" si="41"/>
        <v>0</v>
      </c>
      <c r="AM96" s="1">
        <f t="shared" si="42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141</v>
      </c>
      <c r="B97" s="1" t="s">
        <v>44</v>
      </c>
      <c r="C97" s="1">
        <v>-1</v>
      </c>
      <c r="D97" s="1"/>
      <c r="E97" s="1">
        <v>-7</v>
      </c>
      <c r="F97" s="1">
        <v>-1</v>
      </c>
      <c r="G97" s="7">
        <v>0.11</v>
      </c>
      <c r="H97" s="1">
        <v>30</v>
      </c>
      <c r="I97" s="1" t="s">
        <v>38</v>
      </c>
      <c r="J97" s="1"/>
      <c r="K97" s="1">
        <v>5</v>
      </c>
      <c r="L97" s="1">
        <f t="shared" si="35"/>
        <v>-12</v>
      </c>
      <c r="M97" s="1">
        <f t="shared" si="36"/>
        <v>-7</v>
      </c>
      <c r="N97" s="1"/>
      <c r="O97" s="1">
        <v>50</v>
      </c>
      <c r="P97" s="1"/>
      <c r="Q97" s="1">
        <v>44.599999999999987</v>
      </c>
      <c r="R97" s="1">
        <v>0</v>
      </c>
      <c r="S97" s="1"/>
      <c r="T97" s="1">
        <f t="shared" si="37"/>
        <v>-1.4</v>
      </c>
      <c r="U97" s="5"/>
      <c r="V97" s="5">
        <f t="shared" si="43"/>
        <v>0</v>
      </c>
      <c r="W97" s="5">
        <f t="shared" si="39"/>
        <v>0</v>
      </c>
      <c r="X97" s="5"/>
      <c r="Y97" s="22"/>
      <c r="Z97" s="22"/>
      <c r="AA97" s="1">
        <f t="shared" si="40"/>
        <v>-66.857142857142861</v>
      </c>
      <c r="AB97" s="1">
        <f t="shared" si="38"/>
        <v>-66.857142857142861</v>
      </c>
      <c r="AC97" s="1">
        <v>2.6</v>
      </c>
      <c r="AD97" s="1">
        <v>7.8</v>
      </c>
      <c r="AE97" s="1">
        <v>6.8</v>
      </c>
      <c r="AF97" s="1">
        <v>7.2</v>
      </c>
      <c r="AG97" s="1">
        <v>32.6</v>
      </c>
      <c r="AH97" s="1">
        <v>33</v>
      </c>
      <c r="AI97" s="1">
        <v>11.2</v>
      </c>
      <c r="AJ97" s="1">
        <v>28.2</v>
      </c>
      <c r="AK97" s="1" t="s">
        <v>142</v>
      </c>
      <c r="AL97" s="1">
        <f t="shared" si="41"/>
        <v>0</v>
      </c>
      <c r="AM97" s="1">
        <f t="shared" si="42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1" t="s">
        <v>143</v>
      </c>
      <c r="B98" s="11" t="s">
        <v>44</v>
      </c>
      <c r="C98" s="11"/>
      <c r="D98" s="11"/>
      <c r="E98" s="11"/>
      <c r="F98" s="11"/>
      <c r="G98" s="12">
        <v>0</v>
      </c>
      <c r="H98" s="11"/>
      <c r="I98" s="11" t="s">
        <v>38</v>
      </c>
      <c r="J98" s="11"/>
      <c r="K98" s="11"/>
      <c r="L98" s="11">
        <f t="shared" si="35"/>
        <v>0</v>
      </c>
      <c r="M98" s="11">
        <f t="shared" si="36"/>
        <v>0</v>
      </c>
      <c r="N98" s="11"/>
      <c r="O98" s="11">
        <v>0</v>
      </c>
      <c r="P98" s="11"/>
      <c r="Q98" s="11">
        <v>0</v>
      </c>
      <c r="R98" s="11">
        <v>0</v>
      </c>
      <c r="S98" s="11"/>
      <c r="T98" s="11">
        <f t="shared" si="37"/>
        <v>0</v>
      </c>
      <c r="U98" s="13"/>
      <c r="V98" s="5">
        <f t="shared" si="43"/>
        <v>0</v>
      </c>
      <c r="W98" s="5">
        <f t="shared" si="39"/>
        <v>0</v>
      </c>
      <c r="X98" s="5"/>
      <c r="Y98" s="23"/>
      <c r="Z98" s="22"/>
      <c r="AA98" s="1" t="e">
        <f t="shared" si="40"/>
        <v>#DIV/0!</v>
      </c>
      <c r="AB98" s="11" t="e">
        <f t="shared" si="38"/>
        <v>#DIV/0!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 t="s">
        <v>144</v>
      </c>
      <c r="AL98" s="1">
        <f t="shared" si="41"/>
        <v>0</v>
      </c>
      <c r="AM98" s="1">
        <f t="shared" si="42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145</v>
      </c>
      <c r="B99" s="1" t="s">
        <v>44</v>
      </c>
      <c r="C99" s="1">
        <v>453</v>
      </c>
      <c r="D99" s="1">
        <v>6</v>
      </c>
      <c r="E99" s="1">
        <v>242</v>
      </c>
      <c r="F99" s="1">
        <v>184</v>
      </c>
      <c r="G99" s="7">
        <v>0.08</v>
      </c>
      <c r="H99" s="1">
        <v>45</v>
      </c>
      <c r="I99" s="1" t="s">
        <v>38</v>
      </c>
      <c r="J99" s="1"/>
      <c r="K99" s="1">
        <v>272</v>
      </c>
      <c r="L99" s="1">
        <f t="shared" si="35"/>
        <v>-30</v>
      </c>
      <c r="M99" s="1">
        <f t="shared" si="36"/>
        <v>242</v>
      </c>
      <c r="N99" s="1"/>
      <c r="O99" s="1">
        <v>0</v>
      </c>
      <c r="P99" s="1"/>
      <c r="Q99" s="1">
        <v>0</v>
      </c>
      <c r="R99" s="1">
        <v>49</v>
      </c>
      <c r="S99" s="1"/>
      <c r="T99" s="1">
        <f t="shared" si="37"/>
        <v>48.4</v>
      </c>
      <c r="U99" s="5">
        <f t="shared" ref="U99:U110" si="49">12*T99-S99-R99-Q99-P99-O99-F99</f>
        <v>347.79999999999995</v>
      </c>
      <c r="V99" s="5">
        <f t="shared" si="43"/>
        <v>347.79999999999995</v>
      </c>
      <c r="W99" s="5">
        <f t="shared" si="39"/>
        <v>165.37889999999999</v>
      </c>
      <c r="X99" s="5">
        <f>V99*$X$1</f>
        <v>182.42109999999997</v>
      </c>
      <c r="Y99" s="22"/>
      <c r="Z99" s="22"/>
      <c r="AA99" s="1">
        <f t="shared" si="40"/>
        <v>12</v>
      </c>
      <c r="AB99" s="1">
        <f t="shared" si="38"/>
        <v>4.8140495867768598</v>
      </c>
      <c r="AC99" s="1">
        <v>35</v>
      </c>
      <c r="AD99" s="1">
        <v>32</v>
      </c>
      <c r="AE99" s="1">
        <v>39.200000000000003</v>
      </c>
      <c r="AF99" s="1">
        <v>39</v>
      </c>
      <c r="AG99" s="1">
        <v>55</v>
      </c>
      <c r="AH99" s="1">
        <v>67.2</v>
      </c>
      <c r="AI99" s="1">
        <v>78.400000000000006</v>
      </c>
      <c r="AJ99" s="1">
        <v>93.4</v>
      </c>
      <c r="AK99" s="1"/>
      <c r="AL99" s="1">
        <f t="shared" si="41"/>
        <v>13</v>
      </c>
      <c r="AM99" s="1">
        <f t="shared" si="42"/>
        <v>15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146</v>
      </c>
      <c r="B100" s="1" t="s">
        <v>44</v>
      </c>
      <c r="C100" s="1">
        <v>564</v>
      </c>
      <c r="D100" s="1"/>
      <c r="E100" s="1">
        <v>88</v>
      </c>
      <c r="F100" s="1">
        <v>469</v>
      </c>
      <c r="G100" s="7">
        <v>0.08</v>
      </c>
      <c r="H100" s="1">
        <v>45</v>
      </c>
      <c r="I100" s="1" t="s">
        <v>38</v>
      </c>
      <c r="J100" s="1"/>
      <c r="K100" s="1">
        <v>179</v>
      </c>
      <c r="L100" s="1">
        <f t="shared" si="35"/>
        <v>-91</v>
      </c>
      <c r="M100" s="1">
        <f t="shared" si="36"/>
        <v>88</v>
      </c>
      <c r="N100" s="1"/>
      <c r="O100" s="1">
        <v>0</v>
      </c>
      <c r="P100" s="1"/>
      <c r="Q100" s="1">
        <v>0</v>
      </c>
      <c r="R100" s="1">
        <v>0</v>
      </c>
      <c r="S100" s="1"/>
      <c r="T100" s="1">
        <f t="shared" si="37"/>
        <v>17.600000000000001</v>
      </c>
      <c r="U100" s="5"/>
      <c r="V100" s="5">
        <f t="shared" si="43"/>
        <v>0</v>
      </c>
      <c r="W100" s="5">
        <f t="shared" si="39"/>
        <v>0</v>
      </c>
      <c r="X100" s="5"/>
      <c r="Y100" s="22"/>
      <c r="Z100" s="22"/>
      <c r="AA100" s="1">
        <f t="shared" si="40"/>
        <v>26.64772727272727</v>
      </c>
      <c r="AB100" s="1">
        <f t="shared" si="38"/>
        <v>26.64772727272727</v>
      </c>
      <c r="AC100" s="1">
        <v>14.8</v>
      </c>
      <c r="AD100" s="1">
        <v>16</v>
      </c>
      <c r="AE100" s="1">
        <v>28</v>
      </c>
      <c r="AF100" s="1">
        <v>20.6</v>
      </c>
      <c r="AG100" s="1">
        <v>41</v>
      </c>
      <c r="AH100" s="1">
        <v>50.6</v>
      </c>
      <c r="AI100" s="1">
        <v>60.4</v>
      </c>
      <c r="AJ100" s="1">
        <v>86.8</v>
      </c>
      <c r="AK100" s="15" t="s">
        <v>47</v>
      </c>
      <c r="AL100" s="1">
        <f t="shared" si="41"/>
        <v>0</v>
      </c>
      <c r="AM100" s="1">
        <f t="shared" si="42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147</v>
      </c>
      <c r="B101" s="1" t="s">
        <v>44</v>
      </c>
      <c r="C101" s="1">
        <v>83</v>
      </c>
      <c r="D101" s="1"/>
      <c r="E101" s="1">
        <v>19</v>
      </c>
      <c r="F101" s="1">
        <v>11</v>
      </c>
      <c r="G101" s="7">
        <v>0.17</v>
      </c>
      <c r="H101" s="1">
        <v>30</v>
      </c>
      <c r="I101" s="10" t="s">
        <v>42</v>
      </c>
      <c r="J101" s="1"/>
      <c r="K101" s="1">
        <v>24</v>
      </c>
      <c r="L101" s="1">
        <f t="shared" si="35"/>
        <v>-5</v>
      </c>
      <c r="M101" s="1">
        <f t="shared" si="36"/>
        <v>19</v>
      </c>
      <c r="N101" s="1"/>
      <c r="O101" s="1">
        <v>0</v>
      </c>
      <c r="P101" s="1"/>
      <c r="Q101" s="1">
        <v>0</v>
      </c>
      <c r="R101" s="1">
        <v>0</v>
      </c>
      <c r="S101" s="1"/>
      <c r="T101" s="1">
        <f t="shared" si="37"/>
        <v>3.8</v>
      </c>
      <c r="U101" s="5">
        <v>20</v>
      </c>
      <c r="V101" s="5">
        <f t="shared" si="43"/>
        <v>20</v>
      </c>
      <c r="W101" s="5">
        <f t="shared" si="39"/>
        <v>20</v>
      </c>
      <c r="X101" s="5"/>
      <c r="Y101" s="22"/>
      <c r="Z101" s="22"/>
      <c r="AA101" s="1">
        <f t="shared" si="40"/>
        <v>8.1578947368421062</v>
      </c>
      <c r="AB101" s="1">
        <f t="shared" si="38"/>
        <v>2.8947368421052633</v>
      </c>
      <c r="AC101" s="1">
        <v>3</v>
      </c>
      <c r="AD101" s="1">
        <v>3.8</v>
      </c>
      <c r="AE101" s="1">
        <v>6.8</v>
      </c>
      <c r="AF101" s="1">
        <v>8.1999999999999993</v>
      </c>
      <c r="AG101" s="1">
        <v>27.8</v>
      </c>
      <c r="AH101" s="1">
        <v>35</v>
      </c>
      <c r="AI101" s="1">
        <v>11.4</v>
      </c>
      <c r="AJ101" s="1">
        <v>28</v>
      </c>
      <c r="AK101" s="17" t="s">
        <v>181</v>
      </c>
      <c r="AL101" s="1">
        <f t="shared" si="41"/>
        <v>3</v>
      </c>
      <c r="AM101" s="1">
        <f t="shared" si="42"/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148</v>
      </c>
      <c r="B102" s="1" t="s">
        <v>37</v>
      </c>
      <c r="C102" s="1">
        <v>165.61799999999999</v>
      </c>
      <c r="D102" s="1">
        <v>633.85199999999998</v>
      </c>
      <c r="E102" s="1">
        <v>611.69600000000003</v>
      </c>
      <c r="F102" s="1">
        <v>112.47</v>
      </c>
      <c r="G102" s="7">
        <v>1</v>
      </c>
      <c r="H102" s="1">
        <v>40</v>
      </c>
      <c r="I102" s="10" t="s">
        <v>42</v>
      </c>
      <c r="J102" s="1"/>
      <c r="K102" s="1">
        <v>663.7</v>
      </c>
      <c r="L102" s="1">
        <f t="shared" ref="L102:L130" si="50">E102-K102</f>
        <v>-52.004000000000019</v>
      </c>
      <c r="M102" s="1">
        <f t="shared" ref="M102:M130" si="51">E102-N102</f>
        <v>611.69600000000003</v>
      </c>
      <c r="N102" s="1"/>
      <c r="O102" s="1">
        <v>120.5</v>
      </c>
      <c r="P102" s="1">
        <v>129.5</v>
      </c>
      <c r="Q102" s="1">
        <v>50</v>
      </c>
      <c r="R102" s="1">
        <v>0</v>
      </c>
      <c r="S102" s="1"/>
      <c r="T102" s="1">
        <f t="shared" ref="T102:T130" si="52">M102/5</f>
        <v>122.33920000000001</v>
      </c>
      <c r="U102" s="5">
        <f>10*T102-S102-R102-Q102-P102-O102-F102</f>
        <v>810.92200000000003</v>
      </c>
      <c r="V102" s="5">
        <f t="shared" si="43"/>
        <v>810.92200000000003</v>
      </c>
      <c r="W102" s="5">
        <f t="shared" si="39"/>
        <v>385.59341100000006</v>
      </c>
      <c r="X102" s="5">
        <f t="shared" ref="X102:X103" si="53">V102*$X$1</f>
        <v>425.32858899999997</v>
      </c>
      <c r="Y102" s="22"/>
      <c r="Z102" s="22"/>
      <c r="AA102" s="1">
        <f t="shared" si="40"/>
        <v>10</v>
      </c>
      <c r="AB102" s="1">
        <f t="shared" ref="AB102:AB130" si="54">(F102+O102+P102+Q102+R102+S102)/T102</f>
        <v>3.3715276869556119</v>
      </c>
      <c r="AC102" s="1">
        <v>36.664200000000001</v>
      </c>
      <c r="AD102" s="1">
        <v>-0.30680000000000002</v>
      </c>
      <c r="AE102" s="1">
        <v>14.638999999999999</v>
      </c>
      <c r="AF102" s="1">
        <v>60.017800000000001</v>
      </c>
      <c r="AG102" s="1">
        <v>53.826599999999999</v>
      </c>
      <c r="AH102" s="1">
        <v>11.5198</v>
      </c>
      <c r="AI102" s="1">
        <v>44.968600000000002</v>
      </c>
      <c r="AJ102" s="1">
        <v>78.888000000000005</v>
      </c>
      <c r="AK102" s="1"/>
      <c r="AL102" s="1">
        <f t="shared" si="41"/>
        <v>386</v>
      </c>
      <c r="AM102" s="1">
        <f t="shared" si="42"/>
        <v>425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149</v>
      </c>
      <c r="B103" s="1" t="s">
        <v>37</v>
      </c>
      <c r="C103" s="1">
        <v>-0.26700000000000002</v>
      </c>
      <c r="D103" s="1">
        <v>462.642</v>
      </c>
      <c r="E103" s="1">
        <v>230.65600000000001</v>
      </c>
      <c r="F103" s="1">
        <v>176.81700000000001</v>
      </c>
      <c r="G103" s="7">
        <v>1</v>
      </c>
      <c r="H103" s="1">
        <v>40</v>
      </c>
      <c r="I103" s="10" t="s">
        <v>42</v>
      </c>
      <c r="J103" s="1"/>
      <c r="K103" s="1">
        <v>268.51900000000001</v>
      </c>
      <c r="L103" s="1">
        <f t="shared" si="50"/>
        <v>-37.863</v>
      </c>
      <c r="M103" s="1">
        <f t="shared" si="51"/>
        <v>230.65600000000001</v>
      </c>
      <c r="N103" s="1"/>
      <c r="O103" s="1">
        <v>96.399999999999991</v>
      </c>
      <c r="P103" s="1">
        <v>103.6</v>
      </c>
      <c r="Q103" s="1">
        <v>50</v>
      </c>
      <c r="R103" s="1">
        <v>0</v>
      </c>
      <c r="S103" s="1"/>
      <c r="T103" s="1">
        <f t="shared" si="52"/>
        <v>46.1312</v>
      </c>
      <c r="U103" s="5">
        <f t="shared" si="49"/>
        <v>126.75739999999996</v>
      </c>
      <c r="V103" s="5">
        <f t="shared" si="43"/>
        <v>126.75739999999996</v>
      </c>
      <c r="W103" s="5">
        <f t="shared" si="39"/>
        <v>60.273143699999991</v>
      </c>
      <c r="X103" s="5">
        <f t="shared" si="53"/>
        <v>66.48425629999997</v>
      </c>
      <c r="Y103" s="22"/>
      <c r="Z103" s="22"/>
      <c r="AA103" s="1">
        <f t="shared" si="40"/>
        <v>12</v>
      </c>
      <c r="AB103" s="1">
        <f t="shared" si="54"/>
        <v>9.2522414331298553</v>
      </c>
      <c r="AC103" s="1">
        <v>3.4698000000000002</v>
      </c>
      <c r="AD103" s="1">
        <v>-0.16420000000000001</v>
      </c>
      <c r="AE103" s="1">
        <v>-0.16420000000000001</v>
      </c>
      <c r="AF103" s="1">
        <v>30.249199999999998</v>
      </c>
      <c r="AG103" s="1">
        <v>33.227200000000003</v>
      </c>
      <c r="AH103" s="1">
        <v>28.0884</v>
      </c>
      <c r="AI103" s="1">
        <v>45.462800000000001</v>
      </c>
      <c r="AJ103" s="1">
        <v>36.320399999999999</v>
      </c>
      <c r="AK103" s="1"/>
      <c r="AL103" s="1">
        <f t="shared" si="41"/>
        <v>60</v>
      </c>
      <c r="AM103" s="1">
        <f t="shared" si="42"/>
        <v>66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6" t="s">
        <v>150</v>
      </c>
      <c r="B104" s="1" t="s">
        <v>37</v>
      </c>
      <c r="C104" s="1"/>
      <c r="D104" s="1"/>
      <c r="E104" s="1">
        <v>-0.71699999999999997</v>
      </c>
      <c r="F104" s="1"/>
      <c r="G104" s="7">
        <v>1</v>
      </c>
      <c r="H104" s="1">
        <v>40</v>
      </c>
      <c r="I104" s="10" t="s">
        <v>42</v>
      </c>
      <c r="J104" s="1"/>
      <c r="K104" s="1">
        <v>16.2</v>
      </c>
      <c r="L104" s="1">
        <f t="shared" si="50"/>
        <v>-16.916999999999998</v>
      </c>
      <c r="M104" s="1">
        <f t="shared" si="51"/>
        <v>-0.71699999999999997</v>
      </c>
      <c r="N104" s="1"/>
      <c r="O104" s="1">
        <v>0</v>
      </c>
      <c r="P104" s="1"/>
      <c r="Q104" s="1">
        <v>20</v>
      </c>
      <c r="R104" s="1">
        <v>20</v>
      </c>
      <c r="S104" s="1"/>
      <c r="T104" s="1">
        <f t="shared" si="52"/>
        <v>-0.1434</v>
      </c>
      <c r="U104" s="5">
        <v>10</v>
      </c>
      <c r="V104" s="5">
        <f t="shared" si="43"/>
        <v>10</v>
      </c>
      <c r="W104" s="5">
        <f t="shared" si="39"/>
        <v>10</v>
      </c>
      <c r="X104" s="5"/>
      <c r="Y104" s="22"/>
      <c r="Z104" s="22"/>
      <c r="AA104" s="1">
        <f t="shared" si="40"/>
        <v>-348.67503486750348</v>
      </c>
      <c r="AB104" s="1">
        <f t="shared" si="54"/>
        <v>-278.94002789400281</v>
      </c>
      <c r="AC104" s="1">
        <v>0</v>
      </c>
      <c r="AD104" s="1">
        <v>0</v>
      </c>
      <c r="AE104" s="1">
        <v>-0.1414</v>
      </c>
      <c r="AF104" s="1">
        <v>-0.28460000000000002</v>
      </c>
      <c r="AG104" s="1">
        <v>-0.14319999999999999</v>
      </c>
      <c r="AH104" s="1">
        <v>-0.58819999999999995</v>
      </c>
      <c r="AI104" s="1">
        <v>-0.72819999999999996</v>
      </c>
      <c r="AJ104" s="1">
        <v>-0.84860000000000002</v>
      </c>
      <c r="AK104" s="1"/>
      <c r="AL104" s="1">
        <f t="shared" si="41"/>
        <v>10</v>
      </c>
      <c r="AM104" s="1">
        <f t="shared" si="42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151</v>
      </c>
      <c r="B105" s="1" t="s">
        <v>44</v>
      </c>
      <c r="C105" s="1">
        <v>18</v>
      </c>
      <c r="D105" s="1">
        <v>72</v>
      </c>
      <c r="E105" s="1">
        <v>37</v>
      </c>
      <c r="F105" s="1">
        <v>40</v>
      </c>
      <c r="G105" s="7">
        <v>0.3</v>
      </c>
      <c r="H105" s="1">
        <v>45</v>
      </c>
      <c r="I105" s="1" t="s">
        <v>38</v>
      </c>
      <c r="J105" s="1"/>
      <c r="K105" s="1">
        <v>37</v>
      </c>
      <c r="L105" s="1">
        <f t="shared" si="50"/>
        <v>0</v>
      </c>
      <c r="M105" s="1">
        <f t="shared" si="51"/>
        <v>37</v>
      </c>
      <c r="N105" s="1"/>
      <c r="O105" s="1">
        <v>0</v>
      </c>
      <c r="P105" s="1"/>
      <c r="Q105" s="1">
        <v>14.8</v>
      </c>
      <c r="R105" s="1">
        <v>0</v>
      </c>
      <c r="S105" s="1"/>
      <c r="T105" s="1">
        <f t="shared" si="52"/>
        <v>7.4</v>
      </c>
      <c r="U105" s="19">
        <v>0</v>
      </c>
      <c r="V105" s="5">
        <f t="shared" si="43"/>
        <v>0</v>
      </c>
      <c r="W105" s="5">
        <f t="shared" si="39"/>
        <v>0</v>
      </c>
      <c r="X105" s="5"/>
      <c r="Y105" s="25"/>
      <c r="Z105" s="22"/>
      <c r="AA105" s="1">
        <f t="shared" si="40"/>
        <v>7.4054054054054044</v>
      </c>
      <c r="AB105" s="1">
        <f t="shared" si="54"/>
        <v>7.4054054054054044</v>
      </c>
      <c r="AC105" s="1">
        <v>11</v>
      </c>
      <c r="AD105" s="1">
        <v>7.2</v>
      </c>
      <c r="AE105" s="1">
        <v>0</v>
      </c>
      <c r="AF105" s="1">
        <v>4.8</v>
      </c>
      <c r="AG105" s="1">
        <v>11.4</v>
      </c>
      <c r="AH105" s="1">
        <v>7.2</v>
      </c>
      <c r="AI105" s="1">
        <v>2.2000000000000002</v>
      </c>
      <c r="AJ105" s="1">
        <v>5</v>
      </c>
      <c r="AK105" s="9" t="s">
        <v>152</v>
      </c>
      <c r="AL105" s="1">
        <f t="shared" si="41"/>
        <v>0</v>
      </c>
      <c r="AM105" s="1">
        <f t="shared" si="42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153</v>
      </c>
      <c r="B106" s="1" t="s">
        <v>37</v>
      </c>
      <c r="C106" s="1">
        <v>8.1539999999999999</v>
      </c>
      <c r="D106" s="1"/>
      <c r="E106" s="1">
        <v>5.5129999999999999</v>
      </c>
      <c r="F106" s="1">
        <v>1.2509999999999999</v>
      </c>
      <c r="G106" s="7">
        <v>1</v>
      </c>
      <c r="H106" s="1">
        <v>55</v>
      </c>
      <c r="I106" s="10" t="s">
        <v>42</v>
      </c>
      <c r="J106" s="1"/>
      <c r="K106" s="1">
        <v>6.5</v>
      </c>
      <c r="L106" s="1">
        <f t="shared" si="50"/>
        <v>-0.9870000000000001</v>
      </c>
      <c r="M106" s="1">
        <f t="shared" si="51"/>
        <v>5.5129999999999999</v>
      </c>
      <c r="N106" s="1"/>
      <c r="O106" s="1">
        <v>0</v>
      </c>
      <c r="P106" s="1"/>
      <c r="Q106" s="1">
        <v>0</v>
      </c>
      <c r="R106" s="1">
        <v>4</v>
      </c>
      <c r="S106" s="1"/>
      <c r="T106" s="1">
        <f t="shared" si="52"/>
        <v>1.1026</v>
      </c>
      <c r="U106" s="5">
        <f t="shared" si="49"/>
        <v>7.9802000000000017</v>
      </c>
      <c r="V106" s="5">
        <f t="shared" si="43"/>
        <v>7.9802000000000017</v>
      </c>
      <c r="W106" s="5">
        <f t="shared" si="39"/>
        <v>7.9802000000000017</v>
      </c>
      <c r="X106" s="5"/>
      <c r="Y106" s="22"/>
      <c r="Z106" s="22"/>
      <c r="AA106" s="1">
        <f t="shared" si="40"/>
        <v>12</v>
      </c>
      <c r="AB106" s="1">
        <f t="shared" si="54"/>
        <v>4.7623798294939226</v>
      </c>
      <c r="AC106" s="1">
        <v>0.53499999999999992</v>
      </c>
      <c r="AD106" s="1">
        <v>0.53220000000000001</v>
      </c>
      <c r="AE106" s="1">
        <v>0.53420000000000001</v>
      </c>
      <c r="AF106" s="1">
        <v>0.81699999999999995</v>
      </c>
      <c r="AG106" s="1">
        <v>0.54800000000000004</v>
      </c>
      <c r="AH106" s="1">
        <v>0.53959999999999997</v>
      </c>
      <c r="AI106" s="1">
        <v>0.53959999999999997</v>
      </c>
      <c r="AJ106" s="1">
        <v>0.54379999999999995</v>
      </c>
      <c r="AK106" s="1"/>
      <c r="AL106" s="1">
        <f t="shared" si="41"/>
        <v>8</v>
      </c>
      <c r="AM106" s="1">
        <f t="shared" si="42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154</v>
      </c>
      <c r="B107" s="1" t="s">
        <v>44</v>
      </c>
      <c r="C107" s="1">
        <v>-88</v>
      </c>
      <c r="D107" s="1">
        <v>704</v>
      </c>
      <c r="E107" s="1">
        <v>303</v>
      </c>
      <c r="F107" s="1">
        <v>113</v>
      </c>
      <c r="G107" s="7">
        <v>0.28000000000000003</v>
      </c>
      <c r="H107" s="1">
        <v>40</v>
      </c>
      <c r="I107" s="10" t="s">
        <v>42</v>
      </c>
      <c r="J107" s="1"/>
      <c r="K107" s="1">
        <v>412</v>
      </c>
      <c r="L107" s="1">
        <f t="shared" si="50"/>
        <v>-109</v>
      </c>
      <c r="M107" s="1">
        <f t="shared" si="51"/>
        <v>303</v>
      </c>
      <c r="N107" s="1"/>
      <c r="O107" s="1">
        <v>192.8</v>
      </c>
      <c r="P107" s="1">
        <v>207.2</v>
      </c>
      <c r="Q107" s="1">
        <v>0</v>
      </c>
      <c r="R107" s="1">
        <v>48.5</v>
      </c>
      <c r="S107" s="1">
        <v>51.5</v>
      </c>
      <c r="T107" s="1">
        <f t="shared" si="52"/>
        <v>60.6</v>
      </c>
      <c r="U107" s="5">
        <f t="shared" si="49"/>
        <v>114.20000000000005</v>
      </c>
      <c r="V107" s="5">
        <f>U107+T107*$V$1</f>
        <v>177.22400000000005</v>
      </c>
      <c r="W107" s="5">
        <f t="shared" si="39"/>
        <v>84.270012000000023</v>
      </c>
      <c r="X107" s="5">
        <f>V107*$X$1</f>
        <v>92.953988000000024</v>
      </c>
      <c r="Y107" s="22"/>
      <c r="Z107" s="22"/>
      <c r="AA107" s="1">
        <f t="shared" si="40"/>
        <v>13.040000000000001</v>
      </c>
      <c r="AB107" s="1">
        <f t="shared" si="54"/>
        <v>10.115511551155116</v>
      </c>
      <c r="AC107" s="1">
        <v>12.2</v>
      </c>
      <c r="AD107" s="1">
        <v>82.2</v>
      </c>
      <c r="AE107" s="1">
        <v>143.4</v>
      </c>
      <c r="AF107" s="1">
        <v>118.6</v>
      </c>
      <c r="AG107" s="1">
        <v>92.6</v>
      </c>
      <c r="AH107" s="1">
        <v>36.799999999999997</v>
      </c>
      <c r="AI107" s="1">
        <v>29.6</v>
      </c>
      <c r="AJ107" s="1">
        <v>101</v>
      </c>
      <c r="AK107" s="1"/>
      <c r="AL107" s="1">
        <f t="shared" si="41"/>
        <v>24</v>
      </c>
      <c r="AM107" s="1">
        <f t="shared" si="42"/>
        <v>26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155</v>
      </c>
      <c r="B108" s="1" t="s">
        <v>44</v>
      </c>
      <c r="C108" s="1">
        <v>-133.91200000000001</v>
      </c>
      <c r="D108" s="1">
        <v>628.91200000000003</v>
      </c>
      <c r="E108" s="1">
        <v>255</v>
      </c>
      <c r="F108" s="1">
        <v>94</v>
      </c>
      <c r="G108" s="7">
        <v>0.28000000000000003</v>
      </c>
      <c r="H108" s="1">
        <v>40</v>
      </c>
      <c r="I108" s="10" t="s">
        <v>42</v>
      </c>
      <c r="J108" s="1"/>
      <c r="K108" s="1">
        <v>384</v>
      </c>
      <c r="L108" s="1">
        <f t="shared" si="50"/>
        <v>-129</v>
      </c>
      <c r="M108" s="1">
        <f t="shared" si="51"/>
        <v>255</v>
      </c>
      <c r="N108" s="1"/>
      <c r="O108" s="1">
        <v>144.6</v>
      </c>
      <c r="P108" s="1">
        <v>155.4</v>
      </c>
      <c r="Q108" s="1">
        <v>350</v>
      </c>
      <c r="R108" s="1">
        <v>0</v>
      </c>
      <c r="S108" s="1"/>
      <c r="T108" s="1">
        <f t="shared" si="52"/>
        <v>51</v>
      </c>
      <c r="U108" s="5">
        <v>50</v>
      </c>
      <c r="V108" s="5">
        <f t="shared" si="43"/>
        <v>50</v>
      </c>
      <c r="W108" s="5">
        <f t="shared" si="39"/>
        <v>50</v>
      </c>
      <c r="X108" s="5"/>
      <c r="Y108" s="22"/>
      <c r="Z108" s="22"/>
      <c r="AA108" s="1">
        <f t="shared" si="40"/>
        <v>15.568627450980392</v>
      </c>
      <c r="AB108" s="1">
        <f t="shared" si="54"/>
        <v>14.588235294117647</v>
      </c>
      <c r="AC108" s="1">
        <v>21.4</v>
      </c>
      <c r="AD108" s="1">
        <v>76.400000000000006</v>
      </c>
      <c r="AE108" s="1">
        <v>94.2</v>
      </c>
      <c r="AF108" s="1">
        <v>49</v>
      </c>
      <c r="AG108" s="1">
        <v>21.2</v>
      </c>
      <c r="AH108" s="1">
        <v>42.8</v>
      </c>
      <c r="AI108" s="1">
        <v>71.2</v>
      </c>
      <c r="AJ108" s="1">
        <v>36.799999999999997</v>
      </c>
      <c r="AK108" s="1"/>
      <c r="AL108" s="1">
        <f t="shared" si="41"/>
        <v>14</v>
      </c>
      <c r="AM108" s="1">
        <f t="shared" si="42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156</v>
      </c>
      <c r="B109" s="1" t="s">
        <v>44</v>
      </c>
      <c r="C109" s="1">
        <v>-259</v>
      </c>
      <c r="D109" s="1">
        <v>676</v>
      </c>
      <c r="E109" s="1">
        <v>411</v>
      </c>
      <c r="F109" s="1">
        <v>-1</v>
      </c>
      <c r="G109" s="7">
        <v>0.28000000000000003</v>
      </c>
      <c r="H109" s="1">
        <v>40</v>
      </c>
      <c r="I109" s="10" t="s">
        <v>42</v>
      </c>
      <c r="J109" s="1"/>
      <c r="K109" s="1">
        <v>496</v>
      </c>
      <c r="L109" s="1">
        <f t="shared" si="50"/>
        <v>-85</v>
      </c>
      <c r="M109" s="1">
        <f t="shared" si="51"/>
        <v>411</v>
      </c>
      <c r="N109" s="1"/>
      <c r="O109" s="1">
        <v>144.6</v>
      </c>
      <c r="P109" s="1">
        <v>155.4</v>
      </c>
      <c r="Q109" s="1">
        <v>20</v>
      </c>
      <c r="R109" s="1">
        <v>50</v>
      </c>
      <c r="S109" s="1"/>
      <c r="T109" s="1">
        <f t="shared" si="52"/>
        <v>82.2</v>
      </c>
      <c r="U109" s="5">
        <f>11*T109-S109-R109-Q109-P109-O109-F109</f>
        <v>535.20000000000005</v>
      </c>
      <c r="V109" s="5">
        <f t="shared" si="43"/>
        <v>535.20000000000005</v>
      </c>
      <c r="W109" s="5">
        <f t="shared" si="39"/>
        <v>254.48760000000004</v>
      </c>
      <c r="X109" s="5">
        <f>V109*$X$1</f>
        <v>280.7124</v>
      </c>
      <c r="Y109" s="22"/>
      <c r="Z109" s="22"/>
      <c r="AA109" s="1">
        <f t="shared" si="40"/>
        <v>11</v>
      </c>
      <c r="AB109" s="1">
        <f t="shared" si="54"/>
        <v>4.4890510948905105</v>
      </c>
      <c r="AC109" s="1">
        <v>13.6</v>
      </c>
      <c r="AD109" s="1">
        <v>8.8000000000000007</v>
      </c>
      <c r="AE109" s="1">
        <v>71</v>
      </c>
      <c r="AF109" s="1">
        <v>136.4</v>
      </c>
      <c r="AG109" s="1">
        <v>115</v>
      </c>
      <c r="AH109" s="1">
        <v>61.6</v>
      </c>
      <c r="AI109" s="1">
        <v>65.400000000000006</v>
      </c>
      <c r="AJ109" s="1">
        <v>102</v>
      </c>
      <c r="AK109" s="1"/>
      <c r="AL109" s="1">
        <f t="shared" si="41"/>
        <v>71</v>
      </c>
      <c r="AM109" s="1">
        <f t="shared" si="42"/>
        <v>79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157</v>
      </c>
      <c r="B110" s="1" t="s">
        <v>44</v>
      </c>
      <c r="C110" s="1">
        <v>565</v>
      </c>
      <c r="D110" s="1">
        <v>11</v>
      </c>
      <c r="E110" s="1">
        <v>169</v>
      </c>
      <c r="F110" s="1">
        <v>365</v>
      </c>
      <c r="G110" s="7">
        <v>0.09</v>
      </c>
      <c r="H110" s="1">
        <v>45</v>
      </c>
      <c r="I110" s="1" t="s">
        <v>38</v>
      </c>
      <c r="J110" s="1"/>
      <c r="K110" s="1">
        <v>205</v>
      </c>
      <c r="L110" s="1">
        <f t="shared" si="50"/>
        <v>-36</v>
      </c>
      <c r="M110" s="1">
        <f t="shared" si="51"/>
        <v>169</v>
      </c>
      <c r="N110" s="1"/>
      <c r="O110" s="1">
        <v>0</v>
      </c>
      <c r="P110" s="1"/>
      <c r="Q110" s="1">
        <v>0</v>
      </c>
      <c r="R110" s="1">
        <v>0</v>
      </c>
      <c r="S110" s="1"/>
      <c r="T110" s="1">
        <f t="shared" si="52"/>
        <v>33.799999999999997</v>
      </c>
      <c r="U110" s="5">
        <f t="shared" si="49"/>
        <v>40.599999999999966</v>
      </c>
      <c r="V110" s="5">
        <f t="shared" si="43"/>
        <v>40.599999999999966</v>
      </c>
      <c r="W110" s="5">
        <f t="shared" si="39"/>
        <v>40.599999999999966</v>
      </c>
      <c r="X110" s="5"/>
      <c r="Y110" s="22"/>
      <c r="Z110" s="22"/>
      <c r="AA110" s="1">
        <f t="shared" si="40"/>
        <v>12</v>
      </c>
      <c r="AB110" s="1">
        <f t="shared" si="54"/>
        <v>10.798816568047338</v>
      </c>
      <c r="AC110" s="1">
        <v>28.6</v>
      </c>
      <c r="AD110" s="1">
        <v>12.2</v>
      </c>
      <c r="AE110" s="1">
        <v>14</v>
      </c>
      <c r="AF110" s="1">
        <v>15</v>
      </c>
      <c r="AG110" s="1">
        <v>37.200000000000003</v>
      </c>
      <c r="AH110" s="1">
        <v>45.6</v>
      </c>
      <c r="AI110" s="1">
        <v>44.2</v>
      </c>
      <c r="AJ110" s="1">
        <v>73.2</v>
      </c>
      <c r="AK110" s="1"/>
      <c r="AL110" s="1">
        <f t="shared" si="41"/>
        <v>4</v>
      </c>
      <c r="AM110" s="1">
        <f t="shared" si="42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1" t="s">
        <v>158</v>
      </c>
      <c r="B111" s="11" t="s">
        <v>37</v>
      </c>
      <c r="C111" s="11">
        <v>5.5179999999999998</v>
      </c>
      <c r="D111" s="11"/>
      <c r="E111" s="11"/>
      <c r="F111" s="11">
        <v>5.5179999999999998</v>
      </c>
      <c r="G111" s="12">
        <v>0</v>
      </c>
      <c r="H111" s="11">
        <v>55</v>
      </c>
      <c r="I111" s="11" t="s">
        <v>159</v>
      </c>
      <c r="J111" s="11"/>
      <c r="K111" s="11">
        <v>4.0999999999999996</v>
      </c>
      <c r="L111" s="11">
        <f t="shared" si="50"/>
        <v>-4.0999999999999996</v>
      </c>
      <c r="M111" s="11">
        <f t="shared" si="51"/>
        <v>0</v>
      </c>
      <c r="N111" s="11"/>
      <c r="O111" s="11">
        <v>0</v>
      </c>
      <c r="P111" s="11"/>
      <c r="Q111" s="11">
        <v>0</v>
      </c>
      <c r="R111" s="11">
        <v>0</v>
      </c>
      <c r="S111" s="11"/>
      <c r="T111" s="11">
        <f t="shared" si="52"/>
        <v>0</v>
      </c>
      <c r="U111" s="13"/>
      <c r="V111" s="5">
        <f t="shared" si="43"/>
        <v>0</v>
      </c>
      <c r="W111" s="5">
        <f t="shared" si="39"/>
        <v>0</v>
      </c>
      <c r="X111" s="5"/>
      <c r="Y111" s="23"/>
      <c r="Z111" s="22"/>
      <c r="AA111" s="1" t="e">
        <f t="shared" si="40"/>
        <v>#DIV/0!</v>
      </c>
      <c r="AB111" s="11" t="e">
        <f t="shared" si="54"/>
        <v>#DIV/0!</v>
      </c>
      <c r="AC111" s="11">
        <v>0</v>
      </c>
      <c r="AD111" s="11">
        <v>0.55199999999999994</v>
      </c>
      <c r="AE111" s="11">
        <v>0.55199999999999994</v>
      </c>
      <c r="AF111" s="11">
        <v>0.26500000000000001</v>
      </c>
      <c r="AG111" s="11">
        <v>-4.0000000000000001E-3</v>
      </c>
      <c r="AH111" s="11">
        <v>-0.26900000000000002</v>
      </c>
      <c r="AI111" s="11">
        <v>0</v>
      </c>
      <c r="AJ111" s="11">
        <v>0</v>
      </c>
      <c r="AK111" s="11"/>
      <c r="AL111" s="1">
        <f t="shared" si="41"/>
        <v>0</v>
      </c>
      <c r="AM111" s="1">
        <f t="shared" si="42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160</v>
      </c>
      <c r="B112" s="1" t="s">
        <v>37</v>
      </c>
      <c r="C112" s="1">
        <v>30.895</v>
      </c>
      <c r="D112" s="1">
        <v>32.572000000000003</v>
      </c>
      <c r="E112" s="1">
        <v>30.152999999999999</v>
      </c>
      <c r="F112" s="1">
        <v>30.798999999999999</v>
      </c>
      <c r="G112" s="7">
        <v>1</v>
      </c>
      <c r="H112" s="1">
        <v>60</v>
      </c>
      <c r="I112" s="1" t="s">
        <v>38</v>
      </c>
      <c r="J112" s="1"/>
      <c r="K112" s="1">
        <v>32.5</v>
      </c>
      <c r="L112" s="1">
        <f t="shared" si="50"/>
        <v>-2.3470000000000013</v>
      </c>
      <c r="M112" s="1">
        <f t="shared" si="51"/>
        <v>30.152999999999999</v>
      </c>
      <c r="N112" s="1"/>
      <c r="O112" s="1">
        <v>9.6487499999999784</v>
      </c>
      <c r="P112" s="1"/>
      <c r="Q112" s="1">
        <v>0</v>
      </c>
      <c r="R112" s="1">
        <v>9.5492000000000168</v>
      </c>
      <c r="S112" s="1"/>
      <c r="T112" s="1">
        <f t="shared" si="52"/>
        <v>6.0305999999999997</v>
      </c>
      <c r="U112" s="5">
        <f t="shared" ref="U112:U119" si="55">12*T112-S112-R112-Q112-P112-O112-F112</f>
        <v>22.370250000000006</v>
      </c>
      <c r="V112" s="5">
        <f t="shared" si="43"/>
        <v>22.370250000000006</v>
      </c>
      <c r="W112" s="5">
        <f t="shared" si="39"/>
        <v>22.370250000000006</v>
      </c>
      <c r="X112" s="5"/>
      <c r="Y112" s="22"/>
      <c r="Z112" s="22"/>
      <c r="AA112" s="1">
        <f t="shared" si="40"/>
        <v>12</v>
      </c>
      <c r="AB112" s="1">
        <f t="shared" si="54"/>
        <v>8.2905432295293995</v>
      </c>
      <c r="AC112" s="1">
        <v>4.5142000000000007</v>
      </c>
      <c r="AD112" s="1">
        <v>4.4657999999999998</v>
      </c>
      <c r="AE112" s="1">
        <v>6.38</v>
      </c>
      <c r="AF112" s="1">
        <v>5.8250000000000002</v>
      </c>
      <c r="AG112" s="1">
        <v>4.3907999999999996</v>
      </c>
      <c r="AH112" s="1">
        <v>7.3688000000000002</v>
      </c>
      <c r="AI112" s="1">
        <v>7.8537999999999997</v>
      </c>
      <c r="AJ112" s="1">
        <v>6.3715999999999999</v>
      </c>
      <c r="AK112" s="1"/>
      <c r="AL112" s="1">
        <f t="shared" si="41"/>
        <v>22</v>
      </c>
      <c r="AM112" s="1">
        <f t="shared" si="42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161</v>
      </c>
      <c r="B113" s="1" t="s">
        <v>37</v>
      </c>
      <c r="C113" s="1">
        <v>82.475999999999999</v>
      </c>
      <c r="D113" s="1">
        <v>2.5049999999999999</v>
      </c>
      <c r="E113" s="1">
        <v>72.623999999999995</v>
      </c>
      <c r="F113" s="1">
        <v>7.3620000000000001</v>
      </c>
      <c r="G113" s="7">
        <v>1</v>
      </c>
      <c r="H113" s="1">
        <v>50</v>
      </c>
      <c r="I113" s="1" t="s">
        <v>38</v>
      </c>
      <c r="J113" s="1"/>
      <c r="K113" s="1">
        <v>80</v>
      </c>
      <c r="L113" s="1">
        <f t="shared" si="50"/>
        <v>-7.3760000000000048</v>
      </c>
      <c r="M113" s="1">
        <f t="shared" si="51"/>
        <v>72.623999999999995</v>
      </c>
      <c r="N113" s="1"/>
      <c r="O113" s="1">
        <v>0</v>
      </c>
      <c r="P113" s="1"/>
      <c r="Q113" s="1">
        <v>0</v>
      </c>
      <c r="R113" s="1">
        <v>56.084000000000003</v>
      </c>
      <c r="S113" s="1"/>
      <c r="T113" s="1">
        <f t="shared" si="52"/>
        <v>14.524799999999999</v>
      </c>
      <c r="U113" s="5">
        <f>11*T113-S113-R113-Q113-P113-O113-F113</f>
        <v>96.326799999999992</v>
      </c>
      <c r="V113" s="5">
        <f t="shared" si="43"/>
        <v>96.326799999999992</v>
      </c>
      <c r="W113" s="5">
        <f t="shared" si="39"/>
        <v>96.326799999999992</v>
      </c>
      <c r="X113" s="5"/>
      <c r="Y113" s="22"/>
      <c r="Z113" s="22"/>
      <c r="AA113" s="1">
        <f t="shared" si="40"/>
        <v>11</v>
      </c>
      <c r="AB113" s="1">
        <f t="shared" si="54"/>
        <v>4.3681152236175373</v>
      </c>
      <c r="AC113" s="1">
        <v>11.554</v>
      </c>
      <c r="AD113" s="1">
        <v>3.5186000000000002</v>
      </c>
      <c r="AE113" s="1">
        <v>2.0089999999999999</v>
      </c>
      <c r="AF113" s="1">
        <v>1.9832000000000001</v>
      </c>
      <c r="AG113" s="1">
        <v>2.9632000000000001</v>
      </c>
      <c r="AH113" s="1">
        <v>5.9215999999999998</v>
      </c>
      <c r="AI113" s="1">
        <v>5.3567999999999998</v>
      </c>
      <c r="AJ113" s="1">
        <v>2.4121999999999999</v>
      </c>
      <c r="AK113" s="1"/>
      <c r="AL113" s="1">
        <f t="shared" si="41"/>
        <v>96</v>
      </c>
      <c r="AM113" s="1">
        <f t="shared" si="42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162</v>
      </c>
      <c r="B114" s="1" t="s">
        <v>44</v>
      </c>
      <c r="C114" s="1">
        <v>407</v>
      </c>
      <c r="D114" s="1">
        <v>13</v>
      </c>
      <c r="E114" s="1">
        <v>88</v>
      </c>
      <c r="F114" s="1">
        <v>302</v>
      </c>
      <c r="G114" s="7">
        <v>0.09</v>
      </c>
      <c r="H114" s="1">
        <v>45</v>
      </c>
      <c r="I114" s="10" t="s">
        <v>42</v>
      </c>
      <c r="J114" s="1"/>
      <c r="K114" s="1">
        <v>111</v>
      </c>
      <c r="L114" s="1">
        <f t="shared" si="50"/>
        <v>-23</v>
      </c>
      <c r="M114" s="1">
        <f t="shared" si="51"/>
        <v>88</v>
      </c>
      <c r="N114" s="1"/>
      <c r="O114" s="1">
        <v>0</v>
      </c>
      <c r="P114" s="1"/>
      <c r="Q114" s="1">
        <v>0</v>
      </c>
      <c r="R114" s="1">
        <v>0</v>
      </c>
      <c r="S114" s="1"/>
      <c r="T114" s="1">
        <f t="shared" si="52"/>
        <v>17.600000000000001</v>
      </c>
      <c r="U114" s="5"/>
      <c r="V114" s="5">
        <f t="shared" si="43"/>
        <v>0</v>
      </c>
      <c r="W114" s="5">
        <f t="shared" si="39"/>
        <v>0</v>
      </c>
      <c r="X114" s="5"/>
      <c r="Y114" s="22"/>
      <c r="Z114" s="22"/>
      <c r="AA114" s="1">
        <f t="shared" si="40"/>
        <v>17.159090909090907</v>
      </c>
      <c r="AB114" s="1">
        <f t="shared" si="54"/>
        <v>17.159090909090907</v>
      </c>
      <c r="AC114" s="1">
        <v>14.2</v>
      </c>
      <c r="AD114" s="1">
        <v>12.6</v>
      </c>
      <c r="AE114" s="1">
        <v>15</v>
      </c>
      <c r="AF114" s="1">
        <v>7.8</v>
      </c>
      <c r="AG114" s="1">
        <v>30</v>
      </c>
      <c r="AH114" s="1">
        <v>40</v>
      </c>
      <c r="AI114" s="1">
        <v>17.2</v>
      </c>
      <c r="AJ114" s="1">
        <v>42.6</v>
      </c>
      <c r="AK114" s="15" t="s">
        <v>47</v>
      </c>
      <c r="AL114" s="1">
        <f t="shared" si="41"/>
        <v>0</v>
      </c>
      <c r="AM114" s="1">
        <f t="shared" si="42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163</v>
      </c>
      <c r="B115" s="1" t="s">
        <v>44</v>
      </c>
      <c r="C115" s="1">
        <v>373</v>
      </c>
      <c r="D115" s="1">
        <v>10</v>
      </c>
      <c r="E115" s="1">
        <v>85</v>
      </c>
      <c r="F115" s="1">
        <v>268</v>
      </c>
      <c r="G115" s="7">
        <v>0.09</v>
      </c>
      <c r="H115" s="1">
        <v>45</v>
      </c>
      <c r="I115" s="1" t="s">
        <v>38</v>
      </c>
      <c r="J115" s="1"/>
      <c r="K115" s="1">
        <v>108</v>
      </c>
      <c r="L115" s="1">
        <f t="shared" si="50"/>
        <v>-23</v>
      </c>
      <c r="M115" s="1">
        <f t="shared" si="51"/>
        <v>85</v>
      </c>
      <c r="N115" s="1"/>
      <c r="O115" s="1">
        <v>0</v>
      </c>
      <c r="P115" s="1"/>
      <c r="Q115" s="1">
        <v>0</v>
      </c>
      <c r="R115" s="1">
        <v>0</v>
      </c>
      <c r="S115" s="1"/>
      <c r="T115" s="1">
        <f t="shared" si="52"/>
        <v>17</v>
      </c>
      <c r="U115" s="5"/>
      <c r="V115" s="5">
        <f t="shared" si="43"/>
        <v>0</v>
      </c>
      <c r="W115" s="5">
        <f t="shared" si="39"/>
        <v>0</v>
      </c>
      <c r="X115" s="5"/>
      <c r="Y115" s="22"/>
      <c r="Z115" s="22"/>
      <c r="AA115" s="1">
        <f t="shared" si="40"/>
        <v>15.764705882352942</v>
      </c>
      <c r="AB115" s="1">
        <f t="shared" si="54"/>
        <v>15.764705882352942</v>
      </c>
      <c r="AC115" s="1">
        <v>16</v>
      </c>
      <c r="AD115" s="1">
        <v>13.6</v>
      </c>
      <c r="AE115" s="1">
        <v>16.2</v>
      </c>
      <c r="AF115" s="1">
        <v>9.4</v>
      </c>
      <c r="AG115" s="1">
        <v>30</v>
      </c>
      <c r="AH115" s="1">
        <v>39.4</v>
      </c>
      <c r="AI115" s="1">
        <v>27.8</v>
      </c>
      <c r="AJ115" s="1">
        <v>52.8</v>
      </c>
      <c r="AK115" s="15" t="s">
        <v>47</v>
      </c>
      <c r="AL115" s="1">
        <f t="shared" si="41"/>
        <v>0</v>
      </c>
      <c r="AM115" s="1">
        <f t="shared" si="42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164</v>
      </c>
      <c r="B116" s="1" t="s">
        <v>37</v>
      </c>
      <c r="C116" s="1">
        <v>45.012999999999998</v>
      </c>
      <c r="D116" s="1">
        <v>150.40199999999999</v>
      </c>
      <c r="E116" s="1">
        <v>101.544</v>
      </c>
      <c r="F116" s="1">
        <v>70.471000000000004</v>
      </c>
      <c r="G116" s="7">
        <v>1</v>
      </c>
      <c r="H116" s="1">
        <v>60</v>
      </c>
      <c r="I116" s="10" t="s">
        <v>42</v>
      </c>
      <c r="J116" s="1"/>
      <c r="K116" s="1">
        <v>102.9</v>
      </c>
      <c r="L116" s="1">
        <f t="shared" si="50"/>
        <v>-1.3560000000000088</v>
      </c>
      <c r="M116" s="1">
        <f t="shared" si="51"/>
        <v>101.544</v>
      </c>
      <c r="N116" s="1"/>
      <c r="O116" s="1">
        <v>96.399999999999991</v>
      </c>
      <c r="P116" s="1">
        <v>103.6</v>
      </c>
      <c r="Q116" s="1">
        <v>50</v>
      </c>
      <c r="R116" s="1">
        <v>0</v>
      </c>
      <c r="S116" s="1"/>
      <c r="T116" s="1">
        <f t="shared" si="52"/>
        <v>20.308799999999998</v>
      </c>
      <c r="U116" s="5"/>
      <c r="V116" s="5">
        <f t="shared" si="43"/>
        <v>0</v>
      </c>
      <c r="W116" s="5">
        <f t="shared" si="39"/>
        <v>0</v>
      </c>
      <c r="X116" s="5"/>
      <c r="Y116" s="22"/>
      <c r="Z116" s="22"/>
      <c r="AA116" s="1">
        <f t="shared" si="40"/>
        <v>15.779908217127552</v>
      </c>
      <c r="AB116" s="1">
        <f t="shared" si="54"/>
        <v>15.779908217127552</v>
      </c>
      <c r="AC116" s="1">
        <v>11.1462</v>
      </c>
      <c r="AD116" s="1">
        <v>20.655799999999999</v>
      </c>
      <c r="AE116" s="1">
        <v>26.749199999999998</v>
      </c>
      <c r="AF116" s="1">
        <v>20.511600000000001</v>
      </c>
      <c r="AG116" s="1">
        <v>20.523</v>
      </c>
      <c r="AH116" s="1">
        <v>19.683800000000002</v>
      </c>
      <c r="AI116" s="1">
        <v>23.858799999999999</v>
      </c>
      <c r="AJ116" s="1">
        <v>30.072199999999999</v>
      </c>
      <c r="AK116" s="1" t="s">
        <v>40</v>
      </c>
      <c r="AL116" s="1">
        <f t="shared" si="41"/>
        <v>0</v>
      </c>
      <c r="AM116" s="1">
        <f t="shared" si="42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165</v>
      </c>
      <c r="B117" s="1" t="s">
        <v>37</v>
      </c>
      <c r="C117" s="1">
        <v>756.274</v>
      </c>
      <c r="D117" s="1">
        <v>598.08500000000004</v>
      </c>
      <c r="E117" s="1">
        <v>770.37</v>
      </c>
      <c r="F117" s="1">
        <v>431.42099999999999</v>
      </c>
      <c r="G117" s="7">
        <v>1</v>
      </c>
      <c r="H117" s="1">
        <v>60</v>
      </c>
      <c r="I117" s="1" t="s">
        <v>38</v>
      </c>
      <c r="J117" s="1"/>
      <c r="K117" s="1">
        <v>783.2</v>
      </c>
      <c r="L117" s="1">
        <f t="shared" si="50"/>
        <v>-12.830000000000041</v>
      </c>
      <c r="M117" s="1">
        <f t="shared" si="51"/>
        <v>770.37</v>
      </c>
      <c r="N117" s="1"/>
      <c r="O117" s="1">
        <v>144.6</v>
      </c>
      <c r="P117" s="1">
        <v>155.4</v>
      </c>
      <c r="Q117" s="1">
        <v>141.43226599999969</v>
      </c>
      <c r="R117" s="1">
        <v>156.03693345999989</v>
      </c>
      <c r="S117" s="1">
        <v>165.68870254000001</v>
      </c>
      <c r="T117" s="1">
        <f t="shared" si="52"/>
        <v>154.07400000000001</v>
      </c>
      <c r="U117" s="5">
        <f t="shared" si="55"/>
        <v>654.3090980000004</v>
      </c>
      <c r="V117" s="5">
        <f>U117+T117*$V$1</f>
        <v>814.54605800000036</v>
      </c>
      <c r="W117" s="5">
        <f t="shared" si="39"/>
        <v>387.31665057900022</v>
      </c>
      <c r="X117" s="5">
        <f>V117*$X$1</f>
        <v>427.22940742100013</v>
      </c>
      <c r="Y117" s="22"/>
      <c r="Z117" s="22"/>
      <c r="AA117" s="1">
        <f t="shared" si="40"/>
        <v>13.04</v>
      </c>
      <c r="AB117" s="1">
        <f t="shared" si="54"/>
        <v>7.7532802549424282</v>
      </c>
      <c r="AC117" s="1">
        <v>132.27199999999999</v>
      </c>
      <c r="AD117" s="1">
        <v>134.0958</v>
      </c>
      <c r="AE117" s="1">
        <v>145.0898</v>
      </c>
      <c r="AF117" s="1">
        <v>141.90940000000001</v>
      </c>
      <c r="AG117" s="1">
        <v>146.82140000000001</v>
      </c>
      <c r="AH117" s="1">
        <v>140.74080000000001</v>
      </c>
      <c r="AI117" s="1">
        <v>154.98939999999999</v>
      </c>
      <c r="AJ117" s="1">
        <v>181.70920000000001</v>
      </c>
      <c r="AK117" s="1" t="s">
        <v>40</v>
      </c>
      <c r="AL117" s="1">
        <f t="shared" si="41"/>
        <v>387</v>
      </c>
      <c r="AM117" s="1">
        <f t="shared" si="42"/>
        <v>427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166</v>
      </c>
      <c r="B118" s="1" t="s">
        <v>37</v>
      </c>
      <c r="C118" s="1">
        <v>86.096000000000004</v>
      </c>
      <c r="D118" s="1">
        <v>18.103000000000002</v>
      </c>
      <c r="E118" s="1">
        <v>52.753999999999998</v>
      </c>
      <c r="F118" s="1">
        <v>35.604999999999997</v>
      </c>
      <c r="G118" s="7">
        <v>1</v>
      </c>
      <c r="H118" s="1">
        <v>60</v>
      </c>
      <c r="I118" s="10" t="s">
        <v>42</v>
      </c>
      <c r="J118" s="1"/>
      <c r="K118" s="1">
        <v>58.067999999999998</v>
      </c>
      <c r="L118" s="1">
        <f t="shared" si="50"/>
        <v>-5.3140000000000001</v>
      </c>
      <c r="M118" s="1">
        <f t="shared" si="51"/>
        <v>52.753999999999998</v>
      </c>
      <c r="N118" s="1"/>
      <c r="O118" s="1">
        <v>13.22951999999999</v>
      </c>
      <c r="P118" s="1"/>
      <c r="Q118" s="1">
        <v>0</v>
      </c>
      <c r="R118" s="1">
        <v>0</v>
      </c>
      <c r="S118" s="1"/>
      <c r="T118" s="1">
        <f t="shared" si="52"/>
        <v>10.550799999999999</v>
      </c>
      <c r="U118" s="5">
        <f t="shared" si="55"/>
        <v>77.775080000000003</v>
      </c>
      <c r="V118" s="5">
        <f t="shared" si="43"/>
        <v>77.775080000000003</v>
      </c>
      <c r="W118" s="5">
        <f t="shared" si="39"/>
        <v>77.775080000000003</v>
      </c>
      <c r="X118" s="5"/>
      <c r="Y118" s="22"/>
      <c r="Z118" s="22"/>
      <c r="AA118" s="1">
        <f t="shared" si="40"/>
        <v>12</v>
      </c>
      <c r="AB118" s="1">
        <f t="shared" si="54"/>
        <v>4.6285134776509826</v>
      </c>
      <c r="AC118" s="1">
        <v>6.405800000000001</v>
      </c>
      <c r="AD118" s="1">
        <v>6.831999999999999</v>
      </c>
      <c r="AE118" s="1">
        <v>10.4628</v>
      </c>
      <c r="AF118" s="1">
        <v>9.4239999999999995</v>
      </c>
      <c r="AG118" s="1">
        <v>11.5632</v>
      </c>
      <c r="AH118" s="1">
        <v>12.903</v>
      </c>
      <c r="AI118" s="1">
        <v>13.724600000000001</v>
      </c>
      <c r="AJ118" s="1">
        <v>13.781000000000001</v>
      </c>
      <c r="AK118" s="15" t="s">
        <v>47</v>
      </c>
      <c r="AL118" s="1">
        <f t="shared" si="41"/>
        <v>78</v>
      </c>
      <c r="AM118" s="1">
        <f t="shared" si="42"/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167</v>
      </c>
      <c r="B119" s="1" t="s">
        <v>37</v>
      </c>
      <c r="C119" s="1">
        <v>1776.5340000000001</v>
      </c>
      <c r="D119" s="1">
        <v>292.66699999999997</v>
      </c>
      <c r="E119" s="1">
        <v>2006.7070000000001</v>
      </c>
      <c r="F119" s="1">
        <v>4.5060000000000002</v>
      </c>
      <c r="G119" s="7">
        <v>1</v>
      </c>
      <c r="H119" s="1">
        <v>60</v>
      </c>
      <c r="I119" s="1" t="s">
        <v>38</v>
      </c>
      <c r="J119" s="1"/>
      <c r="K119" s="1">
        <v>2111.6999999999998</v>
      </c>
      <c r="L119" s="1">
        <f t="shared" si="50"/>
        <v>-104.99299999999971</v>
      </c>
      <c r="M119" s="1">
        <f t="shared" si="51"/>
        <v>2006.7070000000001</v>
      </c>
      <c r="N119" s="1"/>
      <c r="O119" s="1">
        <v>192.8</v>
      </c>
      <c r="P119" s="1">
        <v>207.2</v>
      </c>
      <c r="Q119" s="1">
        <v>0</v>
      </c>
      <c r="R119" s="1">
        <v>939.81714049999982</v>
      </c>
      <c r="S119" s="1">
        <v>997.95015949999993</v>
      </c>
      <c r="T119" s="1">
        <f t="shared" si="52"/>
        <v>401.34140000000002</v>
      </c>
      <c r="U119" s="5">
        <f t="shared" si="55"/>
        <v>2473.8235000000004</v>
      </c>
      <c r="V119" s="5">
        <f>U119+T119*$V$1</f>
        <v>2891.2185560000003</v>
      </c>
      <c r="W119" s="5">
        <f t="shared" si="39"/>
        <v>1374.7744233780002</v>
      </c>
      <c r="X119" s="5">
        <f>V119*$X$1</f>
        <v>1516.4441326220001</v>
      </c>
      <c r="Y119" s="22"/>
      <c r="Z119" s="22"/>
      <c r="AA119" s="1">
        <f t="shared" si="40"/>
        <v>13.040000000000001</v>
      </c>
      <c r="AB119" s="1">
        <f t="shared" si="54"/>
        <v>5.8361118489146637</v>
      </c>
      <c r="AC119" s="1">
        <v>281.52199999999999</v>
      </c>
      <c r="AD119" s="1">
        <v>178.23140000000001</v>
      </c>
      <c r="AE119" s="1">
        <v>201.7484</v>
      </c>
      <c r="AF119" s="1">
        <v>194.76939999999999</v>
      </c>
      <c r="AG119" s="1">
        <v>203.86619999999999</v>
      </c>
      <c r="AH119" s="1">
        <v>195.4562</v>
      </c>
      <c r="AI119" s="1">
        <v>194.12459999999999</v>
      </c>
      <c r="AJ119" s="1">
        <v>210.81899999999999</v>
      </c>
      <c r="AK119" s="1"/>
      <c r="AL119" s="1">
        <f t="shared" si="41"/>
        <v>1375</v>
      </c>
      <c r="AM119" s="1">
        <f t="shared" si="42"/>
        <v>1516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168</v>
      </c>
      <c r="B120" s="1" t="s">
        <v>44</v>
      </c>
      <c r="C120" s="1">
        <v>184</v>
      </c>
      <c r="D120" s="1"/>
      <c r="E120" s="1">
        <v>9</v>
      </c>
      <c r="F120" s="1">
        <v>173</v>
      </c>
      <c r="G120" s="7">
        <v>0.25</v>
      </c>
      <c r="H120" s="1">
        <v>1096</v>
      </c>
      <c r="I120" s="1" t="s">
        <v>38</v>
      </c>
      <c r="J120" s="1"/>
      <c r="K120" s="1">
        <v>10</v>
      </c>
      <c r="L120" s="1">
        <f t="shared" si="50"/>
        <v>-1</v>
      </c>
      <c r="M120" s="1">
        <f t="shared" si="51"/>
        <v>9</v>
      </c>
      <c r="N120" s="1"/>
      <c r="O120" s="1">
        <v>0</v>
      </c>
      <c r="P120" s="1"/>
      <c r="Q120" s="1">
        <v>0</v>
      </c>
      <c r="R120" s="1">
        <v>0</v>
      </c>
      <c r="S120" s="1"/>
      <c r="T120" s="1">
        <f t="shared" si="52"/>
        <v>1.8</v>
      </c>
      <c r="U120" s="5"/>
      <c r="V120" s="5">
        <f t="shared" si="43"/>
        <v>0</v>
      </c>
      <c r="W120" s="5">
        <f t="shared" si="39"/>
        <v>0</v>
      </c>
      <c r="X120" s="5"/>
      <c r="Y120" s="22"/>
      <c r="Z120" s="22"/>
      <c r="AA120" s="1">
        <f t="shared" si="40"/>
        <v>96.111111111111114</v>
      </c>
      <c r="AB120" s="1">
        <f t="shared" si="54"/>
        <v>96.111111111111114</v>
      </c>
      <c r="AC120" s="1">
        <v>4.5999999999999996</v>
      </c>
      <c r="AD120" s="1">
        <v>3.2</v>
      </c>
      <c r="AE120" s="1">
        <v>0.4</v>
      </c>
      <c r="AF120" s="1">
        <v>0</v>
      </c>
      <c r="AG120" s="1">
        <v>0.8</v>
      </c>
      <c r="AH120" s="1">
        <v>0.8</v>
      </c>
      <c r="AI120" s="1">
        <v>1</v>
      </c>
      <c r="AJ120" s="1">
        <v>5.6</v>
      </c>
      <c r="AK120" s="18" t="s">
        <v>185</v>
      </c>
      <c r="AL120" s="1">
        <f t="shared" si="41"/>
        <v>0</v>
      </c>
      <c r="AM120" s="1">
        <f t="shared" si="42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169</v>
      </c>
      <c r="B121" s="1" t="s">
        <v>44</v>
      </c>
      <c r="C121" s="1">
        <v>98</v>
      </c>
      <c r="D121" s="1"/>
      <c r="E121" s="1">
        <v>15</v>
      </c>
      <c r="F121" s="14">
        <f>82+F130</f>
        <v>111</v>
      </c>
      <c r="G121" s="7">
        <v>0.32500000000000001</v>
      </c>
      <c r="H121" s="1">
        <v>1096</v>
      </c>
      <c r="I121" s="1" t="s">
        <v>38</v>
      </c>
      <c r="J121" s="1"/>
      <c r="K121" s="1">
        <v>17</v>
      </c>
      <c r="L121" s="1">
        <f t="shared" si="50"/>
        <v>-2</v>
      </c>
      <c r="M121" s="1">
        <f t="shared" si="51"/>
        <v>15</v>
      </c>
      <c r="N121" s="1"/>
      <c r="O121" s="1">
        <v>0</v>
      </c>
      <c r="P121" s="1"/>
      <c r="Q121" s="1">
        <v>0</v>
      </c>
      <c r="R121" s="1">
        <v>0</v>
      </c>
      <c r="S121" s="1"/>
      <c r="T121" s="1">
        <f t="shared" si="52"/>
        <v>3</v>
      </c>
      <c r="U121" s="5"/>
      <c r="V121" s="5">
        <f t="shared" si="43"/>
        <v>0</v>
      </c>
      <c r="W121" s="5">
        <f t="shared" si="39"/>
        <v>0</v>
      </c>
      <c r="X121" s="5"/>
      <c r="Y121" s="22"/>
      <c r="Z121" s="22"/>
      <c r="AA121" s="1">
        <f t="shared" si="40"/>
        <v>37</v>
      </c>
      <c r="AB121" s="1">
        <f t="shared" si="54"/>
        <v>37</v>
      </c>
      <c r="AC121" s="1">
        <v>6</v>
      </c>
      <c r="AD121" s="1">
        <v>3.6</v>
      </c>
      <c r="AE121" s="1">
        <v>0.6</v>
      </c>
      <c r="AF121" s="1">
        <v>0</v>
      </c>
      <c r="AG121" s="1">
        <v>1</v>
      </c>
      <c r="AH121" s="1">
        <v>1</v>
      </c>
      <c r="AI121" s="1">
        <v>1</v>
      </c>
      <c r="AJ121" s="1">
        <v>5.2</v>
      </c>
      <c r="AK121" s="18" t="s">
        <v>185</v>
      </c>
      <c r="AL121" s="1">
        <f t="shared" si="41"/>
        <v>0</v>
      </c>
      <c r="AM121" s="1">
        <f t="shared" si="42"/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170</v>
      </c>
      <c r="B122" s="1" t="s">
        <v>44</v>
      </c>
      <c r="C122" s="1">
        <v>155</v>
      </c>
      <c r="D122" s="1"/>
      <c r="E122" s="1">
        <v>13</v>
      </c>
      <c r="F122" s="1">
        <v>140</v>
      </c>
      <c r="G122" s="7">
        <v>0.25</v>
      </c>
      <c r="H122" s="1">
        <v>1096</v>
      </c>
      <c r="I122" s="10" t="s">
        <v>42</v>
      </c>
      <c r="J122" s="1"/>
      <c r="K122" s="1">
        <v>13</v>
      </c>
      <c r="L122" s="1">
        <f t="shared" si="50"/>
        <v>0</v>
      </c>
      <c r="M122" s="1">
        <f t="shared" si="51"/>
        <v>13</v>
      </c>
      <c r="N122" s="1"/>
      <c r="O122" s="1">
        <v>0</v>
      </c>
      <c r="P122" s="1"/>
      <c r="Q122" s="1">
        <v>0</v>
      </c>
      <c r="R122" s="1">
        <v>0</v>
      </c>
      <c r="S122" s="1"/>
      <c r="T122" s="1">
        <f t="shared" si="52"/>
        <v>2.6</v>
      </c>
      <c r="U122" s="5"/>
      <c r="V122" s="5">
        <f t="shared" si="43"/>
        <v>0</v>
      </c>
      <c r="W122" s="5">
        <f t="shared" si="39"/>
        <v>0</v>
      </c>
      <c r="X122" s="5"/>
      <c r="Y122" s="22"/>
      <c r="Z122" s="22"/>
      <c r="AA122" s="1">
        <f t="shared" si="40"/>
        <v>53.846153846153847</v>
      </c>
      <c r="AB122" s="1">
        <f t="shared" si="54"/>
        <v>53.846153846153847</v>
      </c>
      <c r="AC122" s="1">
        <v>5.4</v>
      </c>
      <c r="AD122" s="1">
        <v>4.2</v>
      </c>
      <c r="AE122" s="1">
        <v>1.4</v>
      </c>
      <c r="AF122" s="1">
        <v>5</v>
      </c>
      <c r="AG122" s="1">
        <v>5.8</v>
      </c>
      <c r="AH122" s="1">
        <v>1.8</v>
      </c>
      <c r="AI122" s="1">
        <v>2</v>
      </c>
      <c r="AJ122" s="1">
        <v>6.4</v>
      </c>
      <c r="AK122" s="18" t="s">
        <v>185</v>
      </c>
      <c r="AL122" s="1">
        <f t="shared" si="41"/>
        <v>0</v>
      </c>
      <c r="AM122" s="1">
        <f t="shared" si="42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1" t="s">
        <v>171</v>
      </c>
      <c r="B123" s="11" t="s">
        <v>37</v>
      </c>
      <c r="C123" s="11">
        <v>5.99</v>
      </c>
      <c r="D123" s="11">
        <v>18.254000000000001</v>
      </c>
      <c r="E123" s="14">
        <v>7.4450000000000003</v>
      </c>
      <c r="F123" s="14">
        <v>11.74</v>
      </c>
      <c r="G123" s="12">
        <v>0</v>
      </c>
      <c r="H123" s="11"/>
      <c r="I123" s="11" t="s">
        <v>172</v>
      </c>
      <c r="J123" s="11" t="s">
        <v>140</v>
      </c>
      <c r="K123" s="11">
        <v>7.8</v>
      </c>
      <c r="L123" s="11">
        <f t="shared" si="50"/>
        <v>-0.35499999999999954</v>
      </c>
      <c r="M123" s="11">
        <f t="shared" si="51"/>
        <v>7.4450000000000003</v>
      </c>
      <c r="N123" s="11"/>
      <c r="O123" s="11">
        <v>0</v>
      </c>
      <c r="P123" s="11"/>
      <c r="Q123" s="11">
        <v>0</v>
      </c>
      <c r="R123" s="11">
        <v>0</v>
      </c>
      <c r="S123" s="11"/>
      <c r="T123" s="11">
        <f t="shared" si="52"/>
        <v>1.4890000000000001</v>
      </c>
      <c r="U123" s="13"/>
      <c r="V123" s="5">
        <f t="shared" si="43"/>
        <v>0</v>
      </c>
      <c r="W123" s="5">
        <f t="shared" si="39"/>
        <v>0</v>
      </c>
      <c r="X123" s="5"/>
      <c r="Y123" s="23"/>
      <c r="Z123" s="22"/>
      <c r="AA123" s="1">
        <f t="shared" si="40"/>
        <v>7.8844862323707181</v>
      </c>
      <c r="AB123" s="11">
        <f t="shared" si="54"/>
        <v>7.8844862323707181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/>
      <c r="AL123" s="1">
        <f t="shared" si="41"/>
        <v>0</v>
      </c>
      <c r="AM123" s="1">
        <f t="shared" si="42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6" t="s">
        <v>173</v>
      </c>
      <c r="B124" s="1" t="s">
        <v>44</v>
      </c>
      <c r="C124" s="1"/>
      <c r="D124" s="1"/>
      <c r="E124" s="1">
        <v>-1</v>
      </c>
      <c r="F124" s="1"/>
      <c r="G124" s="7">
        <v>0.3</v>
      </c>
      <c r="H124" s="1">
        <v>40</v>
      </c>
      <c r="I124" s="10" t="s">
        <v>42</v>
      </c>
      <c r="J124" s="1"/>
      <c r="K124" s="1">
        <v>25</v>
      </c>
      <c r="L124" s="1">
        <f t="shared" si="50"/>
        <v>-26</v>
      </c>
      <c r="M124" s="1">
        <f t="shared" si="51"/>
        <v>-1</v>
      </c>
      <c r="N124" s="1"/>
      <c r="O124" s="1">
        <v>0</v>
      </c>
      <c r="P124" s="1"/>
      <c r="Q124" s="1">
        <v>0</v>
      </c>
      <c r="R124" s="1">
        <v>30</v>
      </c>
      <c r="S124" s="1"/>
      <c r="T124" s="1">
        <f t="shared" si="52"/>
        <v>-0.2</v>
      </c>
      <c r="U124" s="5">
        <v>30</v>
      </c>
      <c r="V124" s="5">
        <f t="shared" si="43"/>
        <v>30</v>
      </c>
      <c r="W124" s="5">
        <f t="shared" si="39"/>
        <v>30</v>
      </c>
      <c r="X124" s="5"/>
      <c r="Y124" s="22"/>
      <c r="Z124" s="22"/>
      <c r="AA124" s="1">
        <f t="shared" si="40"/>
        <v>-300</v>
      </c>
      <c r="AB124" s="1">
        <f t="shared" si="54"/>
        <v>-150</v>
      </c>
      <c r="AC124" s="1">
        <v>0</v>
      </c>
      <c r="AD124" s="1">
        <v>0</v>
      </c>
      <c r="AE124" s="1">
        <v>0</v>
      </c>
      <c r="AF124" s="1">
        <v>3.6</v>
      </c>
      <c r="AG124" s="1">
        <v>3.4</v>
      </c>
      <c r="AH124" s="1">
        <v>-0.2</v>
      </c>
      <c r="AI124" s="1">
        <v>13.2</v>
      </c>
      <c r="AJ124" s="1">
        <v>28.8</v>
      </c>
      <c r="AK124" s="1"/>
      <c r="AL124" s="1">
        <f t="shared" si="41"/>
        <v>9</v>
      </c>
      <c r="AM124" s="1">
        <f t="shared" si="42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6" t="s">
        <v>174</v>
      </c>
      <c r="B125" s="1" t="s">
        <v>44</v>
      </c>
      <c r="C125" s="1"/>
      <c r="D125" s="1">
        <v>42</v>
      </c>
      <c r="E125" s="1">
        <v>6</v>
      </c>
      <c r="F125" s="1">
        <v>18</v>
      </c>
      <c r="G125" s="7">
        <v>0.3</v>
      </c>
      <c r="H125" s="1">
        <v>40</v>
      </c>
      <c r="I125" s="10" t="s">
        <v>42</v>
      </c>
      <c r="J125" s="1"/>
      <c r="K125" s="1">
        <v>23</v>
      </c>
      <c r="L125" s="1">
        <f t="shared" si="50"/>
        <v>-17</v>
      </c>
      <c r="M125" s="1">
        <f t="shared" si="51"/>
        <v>6</v>
      </c>
      <c r="N125" s="1"/>
      <c r="O125" s="1">
        <v>0</v>
      </c>
      <c r="P125" s="1"/>
      <c r="Q125" s="1">
        <v>0</v>
      </c>
      <c r="R125" s="1">
        <v>10</v>
      </c>
      <c r="S125" s="1"/>
      <c r="T125" s="1">
        <f t="shared" si="52"/>
        <v>1.2</v>
      </c>
      <c r="U125" s="5">
        <v>20</v>
      </c>
      <c r="V125" s="5">
        <f t="shared" si="43"/>
        <v>20</v>
      </c>
      <c r="W125" s="5">
        <f t="shared" si="39"/>
        <v>20</v>
      </c>
      <c r="X125" s="5"/>
      <c r="Y125" s="22"/>
      <c r="Z125" s="22"/>
      <c r="AA125" s="1">
        <f t="shared" si="40"/>
        <v>40</v>
      </c>
      <c r="AB125" s="1">
        <f t="shared" si="54"/>
        <v>23.333333333333336</v>
      </c>
      <c r="AC125" s="1">
        <v>0</v>
      </c>
      <c r="AD125" s="1">
        <v>0</v>
      </c>
      <c r="AE125" s="1">
        <v>0</v>
      </c>
      <c r="AF125" s="1">
        <v>-0.4</v>
      </c>
      <c r="AG125" s="1">
        <v>-1</v>
      </c>
      <c r="AH125" s="1">
        <v>0.6</v>
      </c>
      <c r="AI125" s="1">
        <v>9.1999999999999993</v>
      </c>
      <c r="AJ125" s="1">
        <v>8</v>
      </c>
      <c r="AK125" s="1"/>
      <c r="AL125" s="1">
        <f t="shared" si="41"/>
        <v>6</v>
      </c>
      <c r="AM125" s="1">
        <f t="shared" si="42"/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175</v>
      </c>
      <c r="B126" s="1" t="s">
        <v>37</v>
      </c>
      <c r="C126" s="1">
        <v>55.438000000000002</v>
      </c>
      <c r="D126" s="1">
        <v>116.592</v>
      </c>
      <c r="E126" s="1">
        <v>86.704999999999998</v>
      </c>
      <c r="F126" s="1">
        <v>76.587999999999994</v>
      </c>
      <c r="G126" s="7">
        <v>1</v>
      </c>
      <c r="H126" s="1">
        <v>50</v>
      </c>
      <c r="I126" s="1" t="s">
        <v>38</v>
      </c>
      <c r="J126" s="1"/>
      <c r="K126" s="1">
        <v>96.1</v>
      </c>
      <c r="L126" s="1">
        <f t="shared" si="50"/>
        <v>-9.394999999999996</v>
      </c>
      <c r="M126" s="1">
        <f t="shared" si="51"/>
        <v>86.704999999999998</v>
      </c>
      <c r="N126" s="1"/>
      <c r="O126" s="1">
        <v>0</v>
      </c>
      <c r="P126" s="1"/>
      <c r="Q126" s="1">
        <v>0</v>
      </c>
      <c r="R126" s="1">
        <v>35.928964000000043</v>
      </c>
      <c r="S126" s="1"/>
      <c r="T126" s="1">
        <f t="shared" si="52"/>
        <v>17.341000000000001</v>
      </c>
      <c r="U126" s="5">
        <f t="shared" ref="U126:U128" si="56">12*T126-S126-R126-Q126-P126-O126-F126</f>
        <v>95.575035999999983</v>
      </c>
      <c r="V126" s="5">
        <f t="shared" si="43"/>
        <v>95.575035999999983</v>
      </c>
      <c r="W126" s="5">
        <f t="shared" si="39"/>
        <v>95.575035999999983</v>
      </c>
      <c r="X126" s="5"/>
      <c r="Y126" s="22"/>
      <c r="Z126" s="22"/>
      <c r="AA126" s="1">
        <f t="shared" si="40"/>
        <v>12</v>
      </c>
      <c r="AB126" s="1">
        <f t="shared" si="54"/>
        <v>6.4884933971512613</v>
      </c>
      <c r="AC126" s="1">
        <v>13.747</v>
      </c>
      <c r="AD126" s="1">
        <v>10.6334</v>
      </c>
      <c r="AE126" s="1">
        <v>11.152200000000001</v>
      </c>
      <c r="AF126" s="1">
        <v>15.002800000000001</v>
      </c>
      <c r="AG126" s="1">
        <v>16.108799999999999</v>
      </c>
      <c r="AH126" s="1">
        <v>13.9884</v>
      </c>
      <c r="AI126" s="1">
        <v>11.2852</v>
      </c>
      <c r="AJ126" s="1">
        <v>10.900600000000001</v>
      </c>
      <c r="AK126" s="1"/>
      <c r="AL126" s="1">
        <f t="shared" si="41"/>
        <v>96</v>
      </c>
      <c r="AM126" s="1">
        <f t="shared" si="42"/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6" t="s">
        <v>176</v>
      </c>
      <c r="B127" s="1" t="s">
        <v>44</v>
      </c>
      <c r="C127" s="1"/>
      <c r="D127" s="1"/>
      <c r="E127" s="1"/>
      <c r="F127" s="1"/>
      <c r="G127" s="7">
        <v>0.3</v>
      </c>
      <c r="H127" s="1">
        <v>40</v>
      </c>
      <c r="I127" s="10" t="s">
        <v>42</v>
      </c>
      <c r="J127" s="1"/>
      <c r="K127" s="1"/>
      <c r="L127" s="1">
        <f t="shared" si="50"/>
        <v>0</v>
      </c>
      <c r="M127" s="1">
        <f t="shared" si="51"/>
        <v>0</v>
      </c>
      <c r="N127" s="1"/>
      <c r="O127" s="1">
        <v>0</v>
      </c>
      <c r="P127" s="1"/>
      <c r="Q127" s="1">
        <v>0</v>
      </c>
      <c r="R127" s="1">
        <v>10</v>
      </c>
      <c r="S127" s="1"/>
      <c r="T127" s="1">
        <f t="shared" si="52"/>
        <v>0</v>
      </c>
      <c r="U127" s="5">
        <v>10</v>
      </c>
      <c r="V127" s="5">
        <f t="shared" si="43"/>
        <v>10</v>
      </c>
      <c r="W127" s="5">
        <f t="shared" si="39"/>
        <v>10</v>
      </c>
      <c r="X127" s="5"/>
      <c r="Y127" s="22"/>
      <c r="Z127" s="22"/>
      <c r="AA127" s="1" t="e">
        <f t="shared" si="40"/>
        <v>#DIV/0!</v>
      </c>
      <c r="AB127" s="1" t="e">
        <f t="shared" si="54"/>
        <v>#DIV/0!</v>
      </c>
      <c r="AC127" s="1">
        <v>0</v>
      </c>
      <c r="AD127" s="1">
        <v>0</v>
      </c>
      <c r="AE127" s="1">
        <v>-0.2</v>
      </c>
      <c r="AF127" s="1">
        <v>-0.2</v>
      </c>
      <c r="AG127" s="1">
        <v>0.2</v>
      </c>
      <c r="AH127" s="1">
        <v>0.2</v>
      </c>
      <c r="AI127" s="1">
        <v>-0.2</v>
      </c>
      <c r="AJ127" s="1">
        <v>0.6</v>
      </c>
      <c r="AK127" s="1"/>
      <c r="AL127" s="1">
        <f t="shared" si="41"/>
        <v>3</v>
      </c>
      <c r="AM127" s="1">
        <f t="shared" si="42"/>
        <v>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6" t="s">
        <v>177</v>
      </c>
      <c r="B128" s="1" t="s">
        <v>44</v>
      </c>
      <c r="C128" s="1">
        <v>1</v>
      </c>
      <c r="D128" s="1">
        <v>95</v>
      </c>
      <c r="E128" s="1">
        <v>29</v>
      </c>
      <c r="F128" s="1">
        <v>41</v>
      </c>
      <c r="G128" s="7">
        <v>0.12</v>
      </c>
      <c r="H128" s="1">
        <v>45</v>
      </c>
      <c r="I128" s="10" t="s">
        <v>42</v>
      </c>
      <c r="J128" s="1"/>
      <c r="K128" s="1">
        <v>56</v>
      </c>
      <c r="L128" s="1">
        <f t="shared" si="50"/>
        <v>-27</v>
      </c>
      <c r="M128" s="1">
        <f t="shared" si="51"/>
        <v>29</v>
      </c>
      <c r="N128" s="1"/>
      <c r="O128" s="1">
        <v>0</v>
      </c>
      <c r="P128" s="1"/>
      <c r="Q128" s="1">
        <v>10</v>
      </c>
      <c r="R128" s="1">
        <v>10</v>
      </c>
      <c r="S128" s="1"/>
      <c r="T128" s="1">
        <f t="shared" si="52"/>
        <v>5.8</v>
      </c>
      <c r="U128" s="5">
        <f t="shared" si="56"/>
        <v>8.5999999999999943</v>
      </c>
      <c r="V128" s="5">
        <f t="shared" si="43"/>
        <v>8.5999999999999943</v>
      </c>
      <c r="W128" s="5">
        <f t="shared" si="39"/>
        <v>8.5999999999999943</v>
      </c>
      <c r="X128" s="5"/>
      <c r="Y128" s="22"/>
      <c r="Z128" s="22"/>
      <c r="AA128" s="1">
        <f t="shared" si="40"/>
        <v>12</v>
      </c>
      <c r="AB128" s="1">
        <f t="shared" si="54"/>
        <v>10.517241379310345</v>
      </c>
      <c r="AC128" s="1">
        <v>4.4000000000000004</v>
      </c>
      <c r="AD128" s="1">
        <v>5.8</v>
      </c>
      <c r="AE128" s="1">
        <v>7</v>
      </c>
      <c r="AF128" s="1">
        <v>9.6</v>
      </c>
      <c r="AG128" s="1">
        <v>8.8000000000000007</v>
      </c>
      <c r="AH128" s="1">
        <v>6.6</v>
      </c>
      <c r="AI128" s="1">
        <v>8.4</v>
      </c>
      <c r="AJ128" s="1">
        <v>10.4</v>
      </c>
      <c r="AK128" s="1"/>
      <c r="AL128" s="1">
        <f t="shared" si="41"/>
        <v>1</v>
      </c>
      <c r="AM128" s="1">
        <f t="shared" si="42"/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1" t="s">
        <v>178</v>
      </c>
      <c r="B129" s="11" t="s">
        <v>44</v>
      </c>
      <c r="C129" s="11">
        <v>138</v>
      </c>
      <c r="D129" s="11">
        <v>4</v>
      </c>
      <c r="E129" s="14">
        <v>88</v>
      </c>
      <c r="F129" s="14">
        <v>34</v>
      </c>
      <c r="G129" s="12">
        <v>0</v>
      </c>
      <c r="H129" s="11"/>
      <c r="I129" s="11" t="s">
        <v>179</v>
      </c>
      <c r="J129" s="11" t="s">
        <v>94</v>
      </c>
      <c r="K129" s="11">
        <v>95</v>
      </c>
      <c r="L129" s="11">
        <f t="shared" si="50"/>
        <v>-7</v>
      </c>
      <c r="M129" s="11">
        <f t="shared" si="51"/>
        <v>88</v>
      </c>
      <c r="N129" s="11"/>
      <c r="O129" s="11">
        <v>0</v>
      </c>
      <c r="P129" s="11"/>
      <c r="Q129" s="11">
        <v>0</v>
      </c>
      <c r="R129" s="11">
        <v>0</v>
      </c>
      <c r="S129" s="11"/>
      <c r="T129" s="11">
        <f t="shared" si="52"/>
        <v>17.600000000000001</v>
      </c>
      <c r="U129" s="13"/>
      <c r="V129" s="5">
        <f t="shared" si="43"/>
        <v>0</v>
      </c>
      <c r="W129" s="5">
        <f t="shared" si="39"/>
        <v>0</v>
      </c>
      <c r="X129" s="5"/>
      <c r="Y129" s="23"/>
      <c r="Z129" s="22"/>
      <c r="AA129" s="1">
        <f t="shared" si="40"/>
        <v>1.9318181818181817</v>
      </c>
      <c r="AB129" s="11">
        <f t="shared" si="54"/>
        <v>1.9318181818181817</v>
      </c>
      <c r="AC129" s="11">
        <v>10.4</v>
      </c>
      <c r="AD129" s="11">
        <v>10.199999999999999</v>
      </c>
      <c r="AE129" s="11">
        <v>12.4</v>
      </c>
      <c r="AF129" s="11">
        <v>14.8</v>
      </c>
      <c r="AG129" s="11">
        <v>21.6</v>
      </c>
      <c r="AH129" s="11">
        <v>19.8</v>
      </c>
      <c r="AI129" s="11">
        <v>10.4</v>
      </c>
      <c r="AJ129" s="11">
        <v>11.2</v>
      </c>
      <c r="AK129" s="11"/>
      <c r="AL129" s="1">
        <f t="shared" si="41"/>
        <v>0</v>
      </c>
      <c r="AM129" s="1">
        <f t="shared" si="42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1" t="s">
        <v>180</v>
      </c>
      <c r="B130" s="11" t="s">
        <v>44</v>
      </c>
      <c r="C130" s="11">
        <v>29</v>
      </c>
      <c r="D130" s="11"/>
      <c r="E130" s="11"/>
      <c r="F130" s="14">
        <v>29</v>
      </c>
      <c r="G130" s="12">
        <v>0</v>
      </c>
      <c r="H130" s="11"/>
      <c r="I130" s="11" t="s">
        <v>179</v>
      </c>
      <c r="J130" s="11" t="s">
        <v>169</v>
      </c>
      <c r="K130" s="11">
        <v>6</v>
      </c>
      <c r="L130" s="11">
        <f t="shared" si="50"/>
        <v>-6</v>
      </c>
      <c r="M130" s="11">
        <f t="shared" si="51"/>
        <v>0</v>
      </c>
      <c r="N130" s="11"/>
      <c r="O130" s="11">
        <v>0</v>
      </c>
      <c r="P130" s="11"/>
      <c r="Q130" s="11">
        <v>0</v>
      </c>
      <c r="R130" s="11">
        <v>0</v>
      </c>
      <c r="S130" s="11"/>
      <c r="T130" s="11">
        <f t="shared" si="52"/>
        <v>0</v>
      </c>
      <c r="U130" s="13"/>
      <c r="V130" s="5">
        <f t="shared" si="43"/>
        <v>0</v>
      </c>
      <c r="W130" s="5">
        <f t="shared" si="39"/>
        <v>0</v>
      </c>
      <c r="X130" s="5"/>
      <c r="Y130" s="23"/>
      <c r="Z130" s="22"/>
      <c r="AA130" s="1" t="e">
        <f t="shared" si="40"/>
        <v>#DIV/0!</v>
      </c>
      <c r="AB130" s="11" t="e">
        <f t="shared" si="54"/>
        <v>#DIV/0!</v>
      </c>
      <c r="AC130" s="11">
        <v>0</v>
      </c>
      <c r="AD130" s="11">
        <v>0.2</v>
      </c>
      <c r="AE130" s="11">
        <v>0.2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/>
      <c r="AL130" s="1">
        <f t="shared" si="41"/>
        <v>0</v>
      </c>
      <c r="AM130" s="1">
        <f t="shared" si="42"/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L130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2026-10-08T13:46:01Z</dcterms:created>
  <dcterms:modified xsi:type="dcterms:W3CDTF">2026-10-09T09:37:29Z</dcterms:modified>
</cp:coreProperties>
</file>