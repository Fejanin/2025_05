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0FBBE58E-C762-4D39-BD3C-986BF2CE962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Sheet!$A$3:$AG$133</definedName>
  </definedNames>
  <calcPr calcId="191029"/>
</workbook>
</file>

<file path=xl/calcChain.xml><?xml version="1.0" encoding="utf-8"?>
<calcChain xmlns="http://schemas.openxmlformats.org/spreadsheetml/2006/main">
  <c r="M133" i="1" l="1"/>
  <c r="R133" i="1" s="1"/>
  <c r="L133" i="1"/>
  <c r="M132" i="1"/>
  <c r="R132" i="1" s="1"/>
  <c r="L132" i="1"/>
  <c r="M131" i="1"/>
  <c r="R131" i="1" s="1"/>
  <c r="AG131" i="1" s="1"/>
  <c r="L131" i="1"/>
  <c r="M130" i="1"/>
  <c r="R130" i="1" s="1"/>
  <c r="L130" i="1"/>
  <c r="M129" i="1"/>
  <c r="R129" i="1" s="1"/>
  <c r="U129" i="1" s="1"/>
  <c r="L129" i="1"/>
  <c r="M128" i="1"/>
  <c r="R128" i="1" s="1"/>
  <c r="S128" i="1" s="1"/>
  <c r="AG128" i="1" s="1"/>
  <c r="L128" i="1"/>
  <c r="M127" i="1"/>
  <c r="R127" i="1" s="1"/>
  <c r="AG127" i="1" s="1"/>
  <c r="L127" i="1"/>
  <c r="M126" i="1"/>
  <c r="R126" i="1" s="1"/>
  <c r="U126" i="1" s="1"/>
  <c r="L126" i="1"/>
  <c r="M125" i="1"/>
  <c r="R125" i="1" s="1"/>
  <c r="S125" i="1" s="1"/>
  <c r="AG125" i="1" s="1"/>
  <c r="L125" i="1"/>
  <c r="M124" i="1"/>
  <c r="R124" i="1" s="1"/>
  <c r="AG124" i="1" s="1"/>
  <c r="L124" i="1"/>
  <c r="M123" i="1"/>
  <c r="R123" i="1" s="1"/>
  <c r="L123" i="1"/>
  <c r="M122" i="1"/>
  <c r="R122" i="1" s="1"/>
  <c r="L122" i="1"/>
  <c r="M121" i="1"/>
  <c r="R121" i="1" s="1"/>
  <c r="AG121" i="1" s="1"/>
  <c r="L121" i="1"/>
  <c r="F121" i="1"/>
  <c r="M120" i="1"/>
  <c r="R120" i="1" s="1"/>
  <c r="AG120" i="1" s="1"/>
  <c r="L120" i="1"/>
  <c r="M119" i="1"/>
  <c r="L119" i="1"/>
  <c r="M118" i="1"/>
  <c r="R118" i="1" s="1"/>
  <c r="AG118" i="1" s="1"/>
  <c r="L118" i="1"/>
  <c r="M117" i="1"/>
  <c r="R117" i="1" s="1"/>
  <c r="S117" i="1" s="1"/>
  <c r="AG117" i="1" s="1"/>
  <c r="L117" i="1"/>
  <c r="M116" i="1"/>
  <c r="R116" i="1" s="1"/>
  <c r="U116" i="1" s="1"/>
  <c r="L116" i="1"/>
  <c r="M115" i="1"/>
  <c r="R115" i="1" s="1"/>
  <c r="S115" i="1" s="1"/>
  <c r="AG115" i="1" s="1"/>
  <c r="L115" i="1"/>
  <c r="M114" i="1"/>
  <c r="R114" i="1" s="1"/>
  <c r="AG114" i="1" s="1"/>
  <c r="L114" i="1"/>
  <c r="M113" i="1"/>
  <c r="R113" i="1" s="1"/>
  <c r="L113" i="1"/>
  <c r="M112" i="1"/>
  <c r="R112" i="1" s="1"/>
  <c r="AG112" i="1" s="1"/>
  <c r="L112" i="1"/>
  <c r="M111" i="1"/>
  <c r="R111" i="1" s="1"/>
  <c r="L111" i="1"/>
  <c r="M110" i="1"/>
  <c r="R110" i="1" s="1"/>
  <c r="AG110" i="1" s="1"/>
  <c r="L110" i="1"/>
  <c r="M109" i="1"/>
  <c r="R109" i="1" s="1"/>
  <c r="AG109" i="1" s="1"/>
  <c r="L109" i="1"/>
  <c r="M108" i="1"/>
  <c r="R108" i="1" s="1"/>
  <c r="S108" i="1" s="1"/>
  <c r="AG108" i="1" s="1"/>
  <c r="L108" i="1"/>
  <c r="M107" i="1"/>
  <c r="R107" i="1" s="1"/>
  <c r="S107" i="1" s="1"/>
  <c r="AG107" i="1" s="1"/>
  <c r="L107" i="1"/>
  <c r="M106" i="1"/>
  <c r="R106" i="1" s="1"/>
  <c r="L106" i="1"/>
  <c r="M105" i="1"/>
  <c r="R105" i="1" s="1"/>
  <c r="L105" i="1"/>
  <c r="M104" i="1"/>
  <c r="R104" i="1" s="1"/>
  <c r="U104" i="1" s="1"/>
  <c r="L104" i="1"/>
  <c r="M103" i="1"/>
  <c r="R103" i="1" s="1"/>
  <c r="AG103" i="1" s="1"/>
  <c r="L103" i="1"/>
  <c r="M102" i="1"/>
  <c r="R102" i="1" s="1"/>
  <c r="L102" i="1"/>
  <c r="M101" i="1"/>
  <c r="R101" i="1" s="1"/>
  <c r="AG101" i="1" s="1"/>
  <c r="L101" i="1"/>
  <c r="M100" i="1"/>
  <c r="R100" i="1" s="1"/>
  <c r="AG100" i="1" s="1"/>
  <c r="L100" i="1"/>
  <c r="M99" i="1"/>
  <c r="R99" i="1" s="1"/>
  <c r="U99" i="1" s="1"/>
  <c r="L99" i="1"/>
  <c r="M98" i="1"/>
  <c r="R98" i="1" s="1"/>
  <c r="U98" i="1" s="1"/>
  <c r="L98" i="1"/>
  <c r="M97" i="1"/>
  <c r="R97" i="1" s="1"/>
  <c r="AG97" i="1" s="1"/>
  <c r="L97" i="1"/>
  <c r="F96" i="1"/>
  <c r="E96" i="1"/>
  <c r="L96" i="1" s="1"/>
  <c r="M95" i="1"/>
  <c r="R95" i="1" s="1"/>
  <c r="AG95" i="1" s="1"/>
  <c r="L95" i="1"/>
  <c r="M94" i="1"/>
  <c r="R94" i="1" s="1"/>
  <c r="U94" i="1" s="1"/>
  <c r="L94" i="1"/>
  <c r="M93" i="1"/>
  <c r="R93" i="1" s="1"/>
  <c r="AG93" i="1" s="1"/>
  <c r="L93" i="1"/>
  <c r="M92" i="1"/>
  <c r="R92" i="1" s="1"/>
  <c r="L92" i="1"/>
  <c r="M91" i="1"/>
  <c r="R91" i="1" s="1"/>
  <c r="AG91" i="1" s="1"/>
  <c r="L91" i="1"/>
  <c r="M90" i="1"/>
  <c r="R90" i="1" s="1"/>
  <c r="S90" i="1" s="1"/>
  <c r="AG90" i="1" s="1"/>
  <c r="L90" i="1"/>
  <c r="M89" i="1"/>
  <c r="R89" i="1" s="1"/>
  <c r="U89" i="1" s="1"/>
  <c r="L89" i="1"/>
  <c r="M88" i="1"/>
  <c r="R88" i="1" s="1"/>
  <c r="S88" i="1" s="1"/>
  <c r="AG88" i="1" s="1"/>
  <c r="L88" i="1"/>
  <c r="M87" i="1"/>
  <c r="R87" i="1" s="1"/>
  <c r="S87" i="1" s="1"/>
  <c r="AG87" i="1" s="1"/>
  <c r="L87" i="1"/>
  <c r="M86" i="1"/>
  <c r="R86" i="1" s="1"/>
  <c r="S86" i="1" s="1"/>
  <c r="AG86" i="1" s="1"/>
  <c r="L86" i="1"/>
  <c r="M85" i="1"/>
  <c r="R85" i="1" s="1"/>
  <c r="AG85" i="1" s="1"/>
  <c r="L85" i="1"/>
  <c r="M84" i="1"/>
  <c r="R84" i="1" s="1"/>
  <c r="U84" i="1" s="1"/>
  <c r="L84" i="1"/>
  <c r="M83" i="1"/>
  <c r="R83" i="1" s="1"/>
  <c r="L83" i="1"/>
  <c r="M82" i="1"/>
  <c r="R82" i="1" s="1"/>
  <c r="AG82" i="1" s="1"/>
  <c r="L82" i="1"/>
  <c r="M81" i="1"/>
  <c r="R81" i="1" s="1"/>
  <c r="AG81" i="1" s="1"/>
  <c r="L81" i="1"/>
  <c r="M80" i="1"/>
  <c r="R80" i="1" s="1"/>
  <c r="AG80" i="1" s="1"/>
  <c r="L80" i="1"/>
  <c r="M79" i="1"/>
  <c r="R79" i="1" s="1"/>
  <c r="S79" i="1" s="1"/>
  <c r="AG79" i="1" s="1"/>
  <c r="L79" i="1"/>
  <c r="M78" i="1"/>
  <c r="R78" i="1" s="1"/>
  <c r="U78" i="1" s="1"/>
  <c r="L78" i="1"/>
  <c r="M77" i="1"/>
  <c r="R77" i="1" s="1"/>
  <c r="L77" i="1"/>
  <c r="M76" i="1"/>
  <c r="R76" i="1" s="1"/>
  <c r="S76" i="1" s="1"/>
  <c r="AG76" i="1" s="1"/>
  <c r="L76" i="1"/>
  <c r="M75" i="1"/>
  <c r="R75" i="1" s="1"/>
  <c r="S75" i="1" s="1"/>
  <c r="AG75" i="1" s="1"/>
  <c r="L75" i="1"/>
  <c r="M74" i="1"/>
  <c r="R74" i="1" s="1"/>
  <c r="S74" i="1" s="1"/>
  <c r="AG74" i="1" s="1"/>
  <c r="L74" i="1"/>
  <c r="M73" i="1"/>
  <c r="R73" i="1" s="1"/>
  <c r="L73" i="1"/>
  <c r="M72" i="1"/>
  <c r="R72" i="1" s="1"/>
  <c r="U72" i="1" s="1"/>
  <c r="L72" i="1"/>
  <c r="M71" i="1"/>
  <c r="R71" i="1" s="1"/>
  <c r="U71" i="1" s="1"/>
  <c r="L71" i="1"/>
  <c r="M70" i="1"/>
  <c r="R70" i="1" s="1"/>
  <c r="S70" i="1" s="1"/>
  <c r="AG70" i="1" s="1"/>
  <c r="L70" i="1"/>
  <c r="M69" i="1"/>
  <c r="R69" i="1" s="1"/>
  <c r="S69" i="1" s="1"/>
  <c r="AG69" i="1" s="1"/>
  <c r="L69" i="1"/>
  <c r="M68" i="1"/>
  <c r="R68" i="1" s="1"/>
  <c r="U68" i="1" s="1"/>
  <c r="L68" i="1"/>
  <c r="M67" i="1"/>
  <c r="R67" i="1" s="1"/>
  <c r="S67" i="1" s="1"/>
  <c r="AG67" i="1" s="1"/>
  <c r="L67" i="1"/>
  <c r="M66" i="1"/>
  <c r="R66" i="1" s="1"/>
  <c r="S66" i="1" s="1"/>
  <c r="AG66" i="1" s="1"/>
  <c r="L66" i="1"/>
  <c r="M65" i="1"/>
  <c r="R65" i="1" s="1"/>
  <c r="S65" i="1" s="1"/>
  <c r="L65" i="1"/>
  <c r="M64" i="1"/>
  <c r="R64" i="1" s="1"/>
  <c r="S64" i="1" s="1"/>
  <c r="AG64" i="1" s="1"/>
  <c r="L64" i="1"/>
  <c r="M63" i="1"/>
  <c r="R63" i="1" s="1"/>
  <c r="S63" i="1" s="1"/>
  <c r="AG63" i="1" s="1"/>
  <c r="L63" i="1"/>
  <c r="M62" i="1"/>
  <c r="R62" i="1" s="1"/>
  <c r="U62" i="1" s="1"/>
  <c r="L62" i="1"/>
  <c r="M61" i="1"/>
  <c r="R61" i="1" s="1"/>
  <c r="S61" i="1" s="1"/>
  <c r="AG61" i="1" s="1"/>
  <c r="L61" i="1"/>
  <c r="M60" i="1"/>
  <c r="R60" i="1" s="1"/>
  <c r="L60" i="1"/>
  <c r="M59" i="1"/>
  <c r="R59" i="1" s="1"/>
  <c r="AG59" i="1" s="1"/>
  <c r="L59" i="1"/>
  <c r="M58" i="1"/>
  <c r="R58" i="1" s="1"/>
  <c r="U58" i="1" s="1"/>
  <c r="L58" i="1"/>
  <c r="M57" i="1"/>
  <c r="R57" i="1" s="1"/>
  <c r="AG57" i="1" s="1"/>
  <c r="L57" i="1"/>
  <c r="M56" i="1"/>
  <c r="R56" i="1" s="1"/>
  <c r="S56" i="1" s="1"/>
  <c r="AG56" i="1" s="1"/>
  <c r="L56" i="1"/>
  <c r="F55" i="1"/>
  <c r="E55" i="1"/>
  <c r="M55" i="1" s="1"/>
  <c r="R55" i="1" s="1"/>
  <c r="M54" i="1"/>
  <c r="R54" i="1" s="1"/>
  <c r="AG54" i="1" s="1"/>
  <c r="L54" i="1"/>
  <c r="M53" i="1"/>
  <c r="R53" i="1" s="1"/>
  <c r="AG53" i="1" s="1"/>
  <c r="L53" i="1"/>
  <c r="M52" i="1"/>
  <c r="R52" i="1" s="1"/>
  <c r="U52" i="1" s="1"/>
  <c r="L52" i="1"/>
  <c r="M51" i="1"/>
  <c r="R51" i="1" s="1"/>
  <c r="U51" i="1" s="1"/>
  <c r="L51" i="1"/>
  <c r="M50" i="1"/>
  <c r="R50" i="1" s="1"/>
  <c r="S50" i="1" s="1"/>
  <c r="AG50" i="1" s="1"/>
  <c r="L50" i="1"/>
  <c r="M49" i="1"/>
  <c r="R49" i="1" s="1"/>
  <c r="L49" i="1"/>
  <c r="M48" i="1"/>
  <c r="R48" i="1" s="1"/>
  <c r="U48" i="1" s="1"/>
  <c r="L48" i="1"/>
  <c r="M47" i="1"/>
  <c r="R47" i="1" s="1"/>
  <c r="AG47" i="1" s="1"/>
  <c r="L47" i="1"/>
  <c r="M46" i="1"/>
  <c r="R46" i="1" s="1"/>
  <c r="S46" i="1" s="1"/>
  <c r="AG46" i="1" s="1"/>
  <c r="L46" i="1"/>
  <c r="M45" i="1"/>
  <c r="R45" i="1" s="1"/>
  <c r="AG45" i="1" s="1"/>
  <c r="L45" i="1"/>
  <c r="M44" i="1"/>
  <c r="R44" i="1" s="1"/>
  <c r="AG44" i="1" s="1"/>
  <c r="L44" i="1"/>
  <c r="M43" i="1"/>
  <c r="R43" i="1" s="1"/>
  <c r="S43" i="1" s="1"/>
  <c r="AG43" i="1" s="1"/>
  <c r="L43" i="1"/>
  <c r="M42" i="1"/>
  <c r="R42" i="1" s="1"/>
  <c r="AG42" i="1" s="1"/>
  <c r="L42" i="1"/>
  <c r="M41" i="1"/>
  <c r="R41" i="1" s="1"/>
  <c r="AG41" i="1" s="1"/>
  <c r="L41" i="1"/>
  <c r="M40" i="1"/>
  <c r="R40" i="1" s="1"/>
  <c r="L40" i="1"/>
  <c r="M39" i="1"/>
  <c r="R39" i="1" s="1"/>
  <c r="S39" i="1" s="1"/>
  <c r="AG39" i="1" s="1"/>
  <c r="L39" i="1"/>
  <c r="M38" i="1"/>
  <c r="R38" i="1" s="1"/>
  <c r="L38" i="1"/>
  <c r="M37" i="1"/>
  <c r="R37" i="1" s="1"/>
  <c r="L37" i="1"/>
  <c r="M36" i="1"/>
  <c r="R36" i="1" s="1"/>
  <c r="S36" i="1" s="1"/>
  <c r="AG36" i="1" s="1"/>
  <c r="L36" i="1"/>
  <c r="M35" i="1"/>
  <c r="R35" i="1" s="1"/>
  <c r="AG35" i="1" s="1"/>
  <c r="L35" i="1"/>
  <c r="M34" i="1"/>
  <c r="R34" i="1" s="1"/>
  <c r="L34" i="1"/>
  <c r="M33" i="1"/>
  <c r="R33" i="1" s="1"/>
  <c r="L33" i="1"/>
  <c r="M32" i="1"/>
  <c r="R32" i="1" s="1"/>
  <c r="L32" i="1"/>
  <c r="M31" i="1"/>
  <c r="R31" i="1" s="1"/>
  <c r="L31" i="1"/>
  <c r="M30" i="1"/>
  <c r="R30" i="1" s="1"/>
  <c r="T30" i="1" s="1"/>
  <c r="L30" i="1"/>
  <c r="M29" i="1"/>
  <c r="R29" i="1" s="1"/>
  <c r="S29" i="1" s="1"/>
  <c r="AG29" i="1" s="1"/>
  <c r="L29" i="1"/>
  <c r="M28" i="1"/>
  <c r="R28" i="1" s="1"/>
  <c r="S28" i="1" s="1"/>
  <c r="AG28" i="1" s="1"/>
  <c r="L28" i="1"/>
  <c r="M27" i="1"/>
  <c r="R27" i="1" s="1"/>
  <c r="T27" i="1" s="1"/>
  <c r="L27" i="1"/>
  <c r="M26" i="1"/>
  <c r="R26" i="1" s="1"/>
  <c r="L26" i="1"/>
  <c r="M25" i="1"/>
  <c r="R25" i="1" s="1"/>
  <c r="AG25" i="1" s="1"/>
  <c r="L25" i="1"/>
  <c r="M24" i="1"/>
  <c r="R24" i="1" s="1"/>
  <c r="S24" i="1" s="1"/>
  <c r="AG24" i="1" s="1"/>
  <c r="L24" i="1"/>
  <c r="M23" i="1"/>
  <c r="R23" i="1" s="1"/>
  <c r="U23" i="1" s="1"/>
  <c r="L23" i="1"/>
  <c r="M22" i="1"/>
  <c r="R22" i="1" s="1"/>
  <c r="S22" i="1" s="1"/>
  <c r="AG22" i="1" s="1"/>
  <c r="L22" i="1"/>
  <c r="M21" i="1"/>
  <c r="R21" i="1" s="1"/>
  <c r="U21" i="1" s="1"/>
  <c r="L21" i="1"/>
  <c r="M20" i="1"/>
  <c r="R20" i="1" s="1"/>
  <c r="S20" i="1" s="1"/>
  <c r="AG20" i="1" s="1"/>
  <c r="L20" i="1"/>
  <c r="M19" i="1"/>
  <c r="R19" i="1" s="1"/>
  <c r="U19" i="1" s="1"/>
  <c r="L19" i="1"/>
  <c r="M18" i="1"/>
  <c r="R18" i="1" s="1"/>
  <c r="L18" i="1"/>
  <c r="M17" i="1"/>
  <c r="R17" i="1" s="1"/>
  <c r="S17" i="1" s="1"/>
  <c r="AG17" i="1" s="1"/>
  <c r="L17" i="1"/>
  <c r="M16" i="1"/>
  <c r="R16" i="1" s="1"/>
  <c r="S16" i="1" s="1"/>
  <c r="AG16" i="1" s="1"/>
  <c r="L16" i="1"/>
  <c r="M15" i="1"/>
  <c r="R15" i="1" s="1"/>
  <c r="S15" i="1" s="1"/>
  <c r="AG15" i="1" s="1"/>
  <c r="L15" i="1"/>
  <c r="M14" i="1"/>
  <c r="R14" i="1" s="1"/>
  <c r="U14" i="1" s="1"/>
  <c r="L14" i="1"/>
  <c r="M13" i="1"/>
  <c r="R13" i="1" s="1"/>
  <c r="L13" i="1"/>
  <c r="M12" i="1"/>
  <c r="R12" i="1" s="1"/>
  <c r="L12" i="1"/>
  <c r="M11" i="1"/>
  <c r="R11" i="1" s="1"/>
  <c r="S11" i="1" s="1"/>
  <c r="AG11" i="1" s="1"/>
  <c r="L11" i="1"/>
  <c r="M10" i="1"/>
  <c r="R10" i="1" s="1"/>
  <c r="U10" i="1" s="1"/>
  <c r="L10" i="1"/>
  <c r="M9" i="1"/>
  <c r="R9" i="1" s="1"/>
  <c r="AG9" i="1" s="1"/>
  <c r="L9" i="1"/>
  <c r="M8" i="1"/>
  <c r="R8" i="1" s="1"/>
  <c r="S8" i="1" s="1"/>
  <c r="AG8" i="1" s="1"/>
  <c r="L8" i="1"/>
  <c r="M7" i="1"/>
  <c r="R7" i="1" s="1"/>
  <c r="S7" i="1" s="1"/>
  <c r="AG7" i="1" s="1"/>
  <c r="L7" i="1"/>
  <c r="M6" i="1"/>
  <c r="R6" i="1" s="1"/>
  <c r="U6" i="1" s="1"/>
  <c r="L6" i="1"/>
  <c r="AE5" i="1"/>
  <c r="AD5" i="1"/>
  <c r="AC5" i="1"/>
  <c r="AB5" i="1"/>
  <c r="AA5" i="1"/>
  <c r="Z5" i="1"/>
  <c r="Y5" i="1"/>
  <c r="X5" i="1"/>
  <c r="W5" i="1"/>
  <c r="V5" i="1"/>
  <c r="Q5" i="1"/>
  <c r="P5" i="1"/>
  <c r="O5" i="1"/>
  <c r="N5" i="1"/>
  <c r="K5" i="1"/>
  <c r="S12" i="1" l="1"/>
  <c r="AG12" i="1" s="1"/>
  <c r="S13" i="1"/>
  <c r="AG13" i="1" s="1"/>
  <c r="S72" i="1"/>
  <c r="AG72" i="1" s="1"/>
  <c r="S37" i="1"/>
  <c r="AG37" i="1" s="1"/>
  <c r="R119" i="1"/>
  <c r="U119" i="1" s="1"/>
  <c r="M96" i="1"/>
  <c r="R96" i="1" s="1"/>
  <c r="U102" i="1"/>
  <c r="AG102" i="1"/>
  <c r="U30" i="1"/>
  <c r="AG89" i="1"/>
  <c r="U55" i="1"/>
  <c r="AG65" i="1"/>
  <c r="U113" i="1"/>
  <c r="AG113" i="1"/>
  <c r="S40" i="1"/>
  <c r="AG40" i="1" s="1"/>
  <c r="U40" i="1"/>
  <c r="U31" i="1"/>
  <c r="T31" i="1"/>
  <c r="S60" i="1"/>
  <c r="AG60" i="1" s="1"/>
  <c r="U92" i="1"/>
  <c r="AG92" i="1"/>
  <c r="U122" i="1"/>
  <c r="S14" i="1"/>
  <c r="AG14" i="1" s="1"/>
  <c r="U77" i="1"/>
  <c r="AG19" i="1"/>
  <c r="T112" i="1"/>
  <c r="S116" i="1"/>
  <c r="T85" i="1"/>
  <c r="U112" i="1"/>
  <c r="S21" i="1"/>
  <c r="AG21" i="1" s="1"/>
  <c r="S48" i="1"/>
  <c r="S71" i="1"/>
  <c r="AG71" i="1" s="1"/>
  <c r="AG94" i="1"/>
  <c r="T20" i="1"/>
  <c r="S51" i="1"/>
  <c r="U27" i="1"/>
  <c r="U34" i="1"/>
  <c r="S99" i="1"/>
  <c r="AG99" i="1" s="1"/>
  <c r="S55" i="1"/>
  <c r="AG55" i="1" s="1"/>
  <c r="S77" i="1"/>
  <c r="AG77" i="1" s="1"/>
  <c r="AG122" i="1"/>
  <c r="S62" i="1"/>
  <c r="AG62" i="1" s="1"/>
  <c r="S6" i="1"/>
  <c r="T6" i="1" s="1"/>
  <c r="S34" i="1"/>
  <c r="AG34" i="1" s="1"/>
  <c r="S78" i="1"/>
  <c r="AG78" i="1" s="1"/>
  <c r="T95" i="1"/>
  <c r="T68" i="1"/>
  <c r="T75" i="1"/>
  <c r="S58" i="1"/>
  <c r="S126" i="1"/>
  <c r="AG126" i="1" s="1"/>
  <c r="U75" i="1"/>
  <c r="S104" i="1"/>
  <c r="AG104" i="1" s="1"/>
  <c r="S10" i="1"/>
  <c r="AG10" i="1" s="1"/>
  <c r="AG38" i="1"/>
  <c r="AG105" i="1"/>
  <c r="T16" i="1"/>
  <c r="S84" i="1"/>
  <c r="AG84" i="1" s="1"/>
  <c r="T42" i="1"/>
  <c r="T44" i="1"/>
  <c r="T64" i="1"/>
  <c r="T28" i="1"/>
  <c r="U28" i="1"/>
  <c r="U79" i="1"/>
  <c r="T79" i="1"/>
  <c r="U11" i="1"/>
  <c r="T11" i="1"/>
  <c r="U12" i="1"/>
  <c r="T97" i="1"/>
  <c r="U97" i="1"/>
  <c r="U60" i="1"/>
  <c r="T104" i="1"/>
  <c r="T89" i="1"/>
  <c r="T94" i="1"/>
  <c r="U105" i="1"/>
  <c r="T92" i="1"/>
  <c r="T109" i="1"/>
  <c r="U109" i="1"/>
  <c r="T24" i="1"/>
  <c r="U24" i="1"/>
  <c r="T17" i="1"/>
  <c r="U17" i="1"/>
  <c r="T7" i="1"/>
  <c r="U7" i="1"/>
  <c r="U32" i="1"/>
  <c r="T32" i="1"/>
  <c r="U106" i="1"/>
  <c r="T106" i="1"/>
  <c r="U76" i="1"/>
  <c r="T76" i="1"/>
  <c r="U49" i="1"/>
  <c r="T49" i="1"/>
  <c r="T45" i="1"/>
  <c r="U45" i="1"/>
  <c r="U86" i="1"/>
  <c r="T86" i="1"/>
  <c r="U69" i="1"/>
  <c r="T69" i="1"/>
  <c r="T82" i="1"/>
  <c r="U82" i="1"/>
  <c r="T35" i="1"/>
  <c r="U35" i="1"/>
  <c r="U59" i="1"/>
  <c r="T59" i="1"/>
  <c r="U39" i="1"/>
  <c r="T39" i="1"/>
  <c r="U66" i="1"/>
  <c r="T66" i="1"/>
  <c r="U38" i="1"/>
  <c r="U91" i="1"/>
  <c r="T91" i="1"/>
  <c r="U101" i="1"/>
  <c r="T101" i="1"/>
  <c r="U96" i="1"/>
  <c r="T96" i="1"/>
  <c r="U111" i="1"/>
  <c r="T111" i="1"/>
  <c r="T127" i="1"/>
  <c r="U127" i="1"/>
  <c r="U53" i="1"/>
  <c r="T53" i="1"/>
  <c r="U81" i="1"/>
  <c r="T81" i="1"/>
  <c r="T117" i="1"/>
  <c r="U117" i="1"/>
  <c r="U42" i="1"/>
  <c r="U128" i="1"/>
  <c r="T128" i="1"/>
  <c r="U9" i="1"/>
  <c r="T9" i="1"/>
  <c r="U18" i="1"/>
  <c r="T18" i="1"/>
  <c r="T23" i="1"/>
  <c r="T52" i="1"/>
  <c r="U22" i="1"/>
  <c r="T22" i="1"/>
  <c r="U107" i="1"/>
  <c r="T107" i="1"/>
  <c r="U118" i="1"/>
  <c r="T118" i="1"/>
  <c r="U54" i="1"/>
  <c r="T54" i="1"/>
  <c r="U87" i="1"/>
  <c r="T87" i="1"/>
  <c r="T102" i="1"/>
  <c r="U121" i="1"/>
  <c r="T121" i="1"/>
  <c r="U43" i="1"/>
  <c r="T43" i="1"/>
  <c r="U29" i="1"/>
  <c r="T29" i="1"/>
  <c r="U44" i="1"/>
  <c r="U63" i="1"/>
  <c r="T63" i="1"/>
  <c r="U123" i="1"/>
  <c r="T123" i="1"/>
  <c r="U61" i="1"/>
  <c r="T61" i="1"/>
  <c r="L55" i="1"/>
  <c r="L5" i="1" s="1"/>
  <c r="E5" i="1"/>
  <c r="T73" i="1"/>
  <c r="U73" i="1"/>
  <c r="U108" i="1"/>
  <c r="T108" i="1"/>
  <c r="T113" i="1"/>
  <c r="T129" i="1"/>
  <c r="U88" i="1"/>
  <c r="T88" i="1"/>
  <c r="U93" i="1"/>
  <c r="T93" i="1"/>
  <c r="U124" i="1"/>
  <c r="T124" i="1"/>
  <c r="T100" i="1"/>
  <c r="U100" i="1"/>
  <c r="U47" i="1"/>
  <c r="T47" i="1"/>
  <c r="U83" i="1"/>
  <c r="T83" i="1"/>
  <c r="U103" i="1"/>
  <c r="T103" i="1"/>
  <c r="U130" i="1"/>
  <c r="T130" i="1"/>
  <c r="U57" i="1"/>
  <c r="T57" i="1"/>
  <c r="U33" i="1"/>
  <c r="T33" i="1"/>
  <c r="U13" i="1"/>
  <c r="T13" i="1"/>
  <c r="U67" i="1"/>
  <c r="T67" i="1"/>
  <c r="U20" i="1"/>
  <c r="U25" i="1"/>
  <c r="T25" i="1"/>
  <c r="U36" i="1"/>
  <c r="T36" i="1"/>
  <c r="U50" i="1"/>
  <c r="T50" i="1"/>
  <c r="U64" i="1"/>
  <c r="U74" i="1"/>
  <c r="T74" i="1"/>
  <c r="U114" i="1"/>
  <c r="T114" i="1"/>
  <c r="U8" i="1"/>
  <c r="T8" i="1"/>
  <c r="U15" i="1"/>
  <c r="T15" i="1"/>
  <c r="U125" i="1"/>
  <c r="T125" i="1"/>
  <c r="U131" i="1"/>
  <c r="T131" i="1"/>
  <c r="U80" i="1"/>
  <c r="T80" i="1"/>
  <c r="U120" i="1"/>
  <c r="T120" i="1"/>
  <c r="U41" i="1"/>
  <c r="T41" i="1"/>
  <c r="U115" i="1"/>
  <c r="T115" i="1"/>
  <c r="U46" i="1"/>
  <c r="T46" i="1"/>
  <c r="U56" i="1"/>
  <c r="T56" i="1"/>
  <c r="U132" i="1"/>
  <c r="T132" i="1"/>
  <c r="U16" i="1"/>
  <c r="U70" i="1"/>
  <c r="T70" i="1"/>
  <c r="U110" i="1"/>
  <c r="T110" i="1"/>
  <c r="U26" i="1"/>
  <c r="T26" i="1"/>
  <c r="U37" i="1"/>
  <c r="T37" i="1"/>
  <c r="T21" i="1"/>
  <c r="U65" i="1"/>
  <c r="U85" i="1"/>
  <c r="T90" i="1"/>
  <c r="U90" i="1"/>
  <c r="U95" i="1"/>
  <c r="U133" i="1"/>
  <c r="T133" i="1"/>
  <c r="F5" i="1"/>
  <c r="T98" i="1"/>
  <c r="T12" i="1" l="1"/>
  <c r="R5" i="1"/>
  <c r="T71" i="1"/>
  <c r="T126" i="1"/>
  <c r="T78" i="1"/>
  <c r="M5" i="1"/>
  <c r="T72" i="1"/>
  <c r="T34" i="1"/>
  <c r="T40" i="1"/>
  <c r="T84" i="1"/>
  <c r="T99" i="1"/>
  <c r="T55" i="1"/>
  <c r="T19" i="1"/>
  <c r="T62" i="1"/>
  <c r="T77" i="1"/>
  <c r="T38" i="1"/>
  <c r="AG119" i="1"/>
  <c r="T119" i="1"/>
  <c r="T122" i="1"/>
  <c r="AG51" i="1"/>
  <c r="T51" i="1"/>
  <c r="T60" i="1"/>
  <c r="AG58" i="1"/>
  <c r="T58" i="1"/>
  <c r="T105" i="1"/>
  <c r="T14" i="1"/>
  <c r="T10" i="1"/>
  <c r="AG48" i="1"/>
  <c r="T48" i="1"/>
  <c r="S5" i="1"/>
  <c r="AG6" i="1"/>
  <c r="AG116" i="1"/>
  <c r="T116" i="1"/>
  <c r="T65" i="1"/>
  <c r="AG5" i="1" l="1"/>
</calcChain>
</file>

<file path=xl/sharedStrings.xml><?xml version="1.0" encoding="utf-8"?>
<sst xmlns="http://schemas.openxmlformats.org/spreadsheetml/2006/main" count="474" uniqueCount="192">
  <si>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</si>
  <si>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</si>
  <si>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</si>
  <si>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</si>
  <si>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</si>
  <si>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</si>
  <si>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</si>
  <si>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</si>
  <si>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</si>
  <si>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</si>
  <si>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</si>
  <si>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</si>
  <si>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</si>
  <si>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</si>
  <si>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</si>
  <si>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</si>
  <si>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</si>
  <si>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</si>
  <si>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</si>
  <si>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</si>
  <si>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</si>
  <si>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</si>
  <si>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12,10,</t>
  </si>
  <si>
    <t>13,10,</t>
  </si>
  <si>
    <t>17,10,</t>
  </si>
  <si>
    <t>15,10,</t>
  </si>
  <si>
    <t>08,10,</t>
  </si>
  <si>
    <t>06,10,</t>
  </si>
  <si>
    <t>01,10,</t>
  </si>
  <si>
    <t>29,09,</t>
  </si>
  <si>
    <t>24,09,</t>
  </si>
  <si>
    <t>22,09,</t>
  </si>
  <si>
    <t>17,09,</t>
  </si>
  <si>
    <t>15,09,</t>
  </si>
  <si>
    <t>10,09,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</si>
  <si>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</si>
  <si>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</si>
  <si>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</si>
  <si>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</si>
  <si>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</si>
  <si>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</si>
  <si>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</si>
  <si>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</si>
  <si>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</si>
  <si>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>нужно увеличить продажи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</si>
  <si>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</si>
  <si>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</si>
  <si>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</si>
  <si>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</si>
  <si>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</si>
  <si>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</si>
  <si>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</si>
  <si>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</si>
  <si>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</si>
  <si>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</si>
  <si>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</si>
  <si>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</si>
  <si>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</si>
  <si>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</si>
  <si>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</si>
  <si>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</si>
  <si>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>нужно увеличить продажи!!!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</si>
  <si>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</si>
  <si>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</si>
  <si>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</si>
  <si>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</si>
  <si>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</si>
  <si>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</si>
  <si>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</si>
  <si>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</si>
  <si>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</si>
  <si>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</si>
  <si>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>ВНИМАНИЕ / матрица</t>
  </si>
  <si>
    <t>1200шт заказано под ЮТЛ (09,10,26)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</si>
  <si>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</si>
  <si>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</si>
  <si>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</si>
  <si>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</si>
  <si>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</si>
  <si>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</si>
  <si>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</si>
  <si>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</si>
  <si>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</si>
  <si>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</si>
  <si>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!!! / НЕДОГРУЗ / матрица</t>
  </si>
  <si>
    <t>1500шт заказано под ЮТЛ (09,10,26) / 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</si>
  <si>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</si>
  <si>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</si>
  <si>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</si>
  <si>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</si>
  <si>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</si>
  <si>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</si>
  <si>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</si>
  <si>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</si>
  <si>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>38шт в уценке (07,10,26)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</si>
  <si>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</si>
  <si>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</si>
  <si>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</si>
  <si>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</si>
  <si>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</si>
  <si>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</si>
  <si>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</si>
  <si>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</si>
  <si>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</si>
  <si>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</si>
  <si>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</si>
  <si>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</si>
  <si>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</si>
  <si>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</si>
  <si>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</si>
  <si>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вывод</t>
  </si>
  <si>
    <t>заказываем с 02,10,26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</si>
  <si>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</si>
  <si>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</si>
  <si>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</si>
  <si>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</si>
  <si>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</si>
  <si>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</si>
  <si>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</si>
  <si>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</si>
  <si>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1200шт заказано под ЮТ (30,09,26)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</si>
  <si>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</si>
  <si>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</si>
  <si>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</si>
  <si>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</si>
  <si>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</si>
  <si>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</si>
  <si>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 / 14 кг списано (19,09,26)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</si>
  <si>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</si>
  <si>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</si>
  <si>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</si>
  <si>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</si>
  <si>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</si>
  <si>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</si>
  <si>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</si>
  <si>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</si>
  <si>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</si>
  <si>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</si>
  <si>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</si>
  <si>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</si>
  <si>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</si>
  <si>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</si>
  <si>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</si>
  <si>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>403шт списано (29,09,26)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</si>
  <si>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</si>
  <si>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</si>
  <si>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</si>
  <si>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</si>
  <si>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48шт в уценке (07,10,26) / 298шт списано (29,09,26)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</si>
  <si>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</si>
  <si>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</si>
  <si>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</si>
  <si>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</si>
  <si>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в бланке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</si>
  <si>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</si>
  <si>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</si>
  <si>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</si>
  <si>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</si>
  <si>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</si>
  <si>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</si>
  <si>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>не в матрице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</si>
  <si>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</si>
  <si>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</si>
  <si>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</si>
  <si>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</si>
  <si>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</si>
  <si>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</si>
  <si>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</si>
  <si>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</si>
  <si>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</si>
  <si>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</si>
  <si>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</si>
  <si>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</si>
  <si>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</si>
  <si>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</si>
  <si>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</si>
  <si>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</si>
  <si>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</si>
  <si>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</si>
  <si>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</si>
  <si>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</si>
  <si>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</si>
  <si>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Колбаса варено-копченая Сервелат Европейский ТМ Вязанка вес</t>
  </si>
  <si>
    <t>SU004314 / новинка / на стопе (после 22,10)</t>
  </si>
  <si>
    <t>Сардельки «Шпикачки Зареченские» Весовой полиамид ТМ «Зареченские продукты»</t>
  </si>
  <si>
    <t>SU002971 / нет потребности</t>
  </si>
  <si>
    <t>Сосиски Ганноверские Бордо Весовые П/а мгс Баварушка</t>
  </si>
  <si>
    <t>SU001340 / нет потребности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</si>
  <si>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28кг в уценке (07,10,26)</t>
    </r>
  </si>
  <si>
    <t>нужно увеличить продажи / 18шт списано (19,09,26) / 19 шт списано (12,07,26)</t>
  </si>
  <si>
    <t>15шт списано (19,09,26)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</si>
  <si>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356шт в уценку (07,10,26) / 85шт в уценку (01,10,26)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</si>
</sst>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6" fillId="0" borderId="1" xfId="1" applyNumberFormat="1" applyFont="1"/>
    <xf numFmtId="164" fontId="5" fillId="7" borderId="1" xfId="1" applyNumberFormat="1" applyFont="1" applyFill="1"/>
    <xf numFmtId="164" fontId="1" fillId="8" borderId="1" xfId="1" applyNumberFormat="1" applyFill="1"/>
    <xf numFmtId="164" fontId="1" fillId="8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6" sqref="AF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0.28515625" customWidth="1"/>
    <col min="10" max="10" width="1" customWidth="1"/>
    <col min="11" max="19" width="7" customWidth="1"/>
    <col min="20" max="21" width="5" customWidth="1"/>
    <col min="22" max="31" width="6.5703125" customWidth="1"/>
    <col min="32" max="32" width="38.5703125" customWidth="1"/>
    <col min="33" max="33" width="7" customWidth="1"/>
    <col min="34" max="47" width="8" customWidth="1"/>
  </cols>
  <sheetData>
    <row r="1" spans="1:47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/>
      <c r="U4" s="1"/>
      <c r="V4" s="1" t="s">
        <v>23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x14ac:dyDescent="0.25">
      <c r="A5" s="1"/>
      <c r="B5" s="1"/>
      <c r="C5" s="1"/>
      <c r="D5" s="1"/>
      <c r="E5" s="4">
        <f>SUM(E6:E500)</f>
        <v>68737.771999999997</v>
      </c>
      <c r="F5" s="4">
        <f>SUM(F6:F500)</f>
        <v>51588.363000000027</v>
      </c>
      <c r="G5" s="7"/>
      <c r="H5" s="1"/>
      <c r="I5" s="1"/>
      <c r="J5" s="1"/>
      <c r="K5" s="4">
        <f t="shared" ref="K5:S5" si="0">SUM(K6:K500)</f>
        <v>75247.275999999983</v>
      </c>
      <c r="L5" s="4">
        <f t="shared" si="0"/>
        <v>-6509.503999999999</v>
      </c>
      <c r="M5" s="4">
        <f t="shared" si="0"/>
        <v>60013.032999999996</v>
      </c>
      <c r="N5" s="4">
        <f t="shared" si="0"/>
        <v>8724.7389999999996</v>
      </c>
      <c r="O5" s="4">
        <f t="shared" si="0"/>
        <v>22053.538516944005</v>
      </c>
      <c r="P5" s="4">
        <f t="shared" si="0"/>
        <v>23158.682937056001</v>
      </c>
      <c r="Q5" s="4">
        <f t="shared" si="0"/>
        <v>14163.382248000002</v>
      </c>
      <c r="R5" s="4">
        <f t="shared" si="0"/>
        <v>12002.606600000001</v>
      </c>
      <c r="S5" s="4">
        <f t="shared" si="0"/>
        <v>42217.214496000001</v>
      </c>
      <c r="T5" s="1"/>
      <c r="U5" s="1"/>
      <c r="V5" s="4">
        <f t="shared" ref="V5:AE5" si="1">SUM(V6:V500)</f>
        <v>12253.452400000006</v>
      </c>
      <c r="W5" s="4">
        <f t="shared" si="1"/>
        <v>11896.36</v>
      </c>
      <c r="X5" s="4">
        <f t="shared" si="1"/>
        <v>10362.461600000004</v>
      </c>
      <c r="Y5" s="4">
        <f t="shared" si="1"/>
        <v>10484.75300000001</v>
      </c>
      <c r="Z5" s="4">
        <f t="shared" si="1"/>
        <v>12416.699399999992</v>
      </c>
      <c r="AA5" s="4">
        <f t="shared" si="1"/>
        <v>11708.138999999994</v>
      </c>
      <c r="AB5" s="4">
        <f t="shared" si="1"/>
        <v>12733.619199999997</v>
      </c>
      <c r="AC5" s="4">
        <f t="shared" si="1"/>
        <v>12494.7556</v>
      </c>
      <c r="AD5" s="4">
        <f t="shared" si="1"/>
        <v>12634.5478</v>
      </c>
      <c r="AE5" s="4">
        <f t="shared" si="1"/>
        <v>13008.017799999998</v>
      </c>
      <c r="AF5" s="1"/>
      <c r="AG5" s="4">
        <f>SUM(AG6:AG500)</f>
        <v>33105.532378599994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 x14ac:dyDescent="0.25">
      <c r="A6" s="1" t="s">
        <v>35</v>
      </c>
      <c r="B6" s="1" t="s">
        <v>36</v>
      </c>
      <c r="C6" s="1">
        <v>-19.071000000000002</v>
      </c>
      <c r="D6" s="1">
        <v>5502.97</v>
      </c>
      <c r="E6" s="1">
        <v>1596.4190000000001</v>
      </c>
      <c r="F6" s="1">
        <v>3047.95</v>
      </c>
      <c r="G6" s="7">
        <v>1</v>
      </c>
      <c r="H6" s="1">
        <v>50</v>
      </c>
      <c r="I6" s="1" t="s">
        <v>37</v>
      </c>
      <c r="J6" s="1"/>
      <c r="K6" s="1">
        <v>1884.35</v>
      </c>
      <c r="L6" s="1">
        <f t="shared" ref="L6:L37" si="2">E6-K6</f>
        <v>-287.93099999999981</v>
      </c>
      <c r="M6" s="1">
        <f t="shared" ref="M6:M37" si="3">E6-N6</f>
        <v>1596.4190000000001</v>
      </c>
      <c r="N6" s="1"/>
      <c r="O6" s="1">
        <v>0</v>
      </c>
      <c r="P6" s="1"/>
      <c r="Q6" s="1">
        <v>650</v>
      </c>
      <c r="R6" s="1">
        <f t="shared" ref="R6:R37" si="4">M6/5</f>
        <v>319.28380000000004</v>
      </c>
      <c r="S6" s="5">
        <f>12*R6-Q6-P6-O6-F6</f>
        <v>133.45560000000069</v>
      </c>
      <c r="T6" s="1">
        <f t="shared" ref="T6:T37" si="5">(F6+O6+P6+Q6+S6)/R6</f>
        <v>12</v>
      </c>
      <c r="U6" s="1">
        <f t="shared" ref="U6:U37" si="6">(F6+O6+P6+Q6)/R6</f>
        <v>11.582015748998225</v>
      </c>
      <c r="V6" s="1">
        <v>352.44439999999997</v>
      </c>
      <c r="W6" s="1">
        <v>386.90719999999999</v>
      </c>
      <c r="X6" s="1">
        <v>372.88260000000002</v>
      </c>
      <c r="Y6" s="1">
        <v>253.00800000000001</v>
      </c>
      <c r="Z6" s="1">
        <v>347.27100000000002</v>
      </c>
      <c r="AA6" s="1">
        <v>256.87139999999999</v>
      </c>
      <c r="AB6" s="1">
        <v>307.10719999999998</v>
      </c>
      <c r="AC6" s="1">
        <v>314.50659999999999</v>
      </c>
      <c r="AD6" s="1">
        <v>330.37540000000001</v>
      </c>
      <c r="AE6" s="1">
        <v>323.59899999999999</v>
      </c>
      <c r="AF6" s="1"/>
      <c r="AG6" s="1">
        <f t="shared" ref="AG6:AG17" si="7">G6*S6</f>
        <v>133.45560000000069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 x14ac:dyDescent="0.25">
      <c r="A7" s="1" t="s">
        <v>38</v>
      </c>
      <c r="B7" s="1" t="s">
        <v>36</v>
      </c>
      <c r="C7" s="1">
        <v>1545.998</v>
      </c>
      <c r="D7" s="1">
        <v>812.62099999999998</v>
      </c>
      <c r="E7" s="1">
        <v>858.48800000000006</v>
      </c>
      <c r="F7" s="1">
        <v>1220.778</v>
      </c>
      <c r="G7" s="7">
        <v>1</v>
      </c>
      <c r="H7" s="1">
        <v>45</v>
      </c>
      <c r="I7" s="1" t="s">
        <v>37</v>
      </c>
      <c r="J7" s="1"/>
      <c r="K7" s="1">
        <v>855.99800000000005</v>
      </c>
      <c r="L7" s="1">
        <f t="shared" si="2"/>
        <v>2.4900000000000091</v>
      </c>
      <c r="M7" s="1">
        <f t="shared" si="3"/>
        <v>798.3900000000001</v>
      </c>
      <c r="N7" s="1">
        <v>60.097999999999999</v>
      </c>
      <c r="O7" s="1">
        <v>0</v>
      </c>
      <c r="P7" s="1"/>
      <c r="Q7" s="1">
        <v>350</v>
      </c>
      <c r="R7" s="1">
        <f t="shared" si="4"/>
        <v>159.67800000000003</v>
      </c>
      <c r="S7" s="5">
        <f t="shared" ref="S7:S17" si="8">12*R7-Q7-P7-O7-F7</f>
        <v>345.3580000000004</v>
      </c>
      <c r="T7" s="1">
        <f t="shared" si="5"/>
        <v>12</v>
      </c>
      <c r="U7" s="1">
        <f t="shared" si="6"/>
        <v>9.837159784065431</v>
      </c>
      <c r="V7" s="1">
        <v>169.86320000000001</v>
      </c>
      <c r="W7" s="1">
        <v>158.95939999999999</v>
      </c>
      <c r="X7" s="1">
        <v>146.95519999999999</v>
      </c>
      <c r="Y7" s="1">
        <v>170.70339999999999</v>
      </c>
      <c r="Z7" s="1">
        <v>199.7456</v>
      </c>
      <c r="AA7" s="1">
        <v>203.16059999999999</v>
      </c>
      <c r="AB7" s="1">
        <v>215.5368</v>
      </c>
      <c r="AC7" s="1">
        <v>330.04300000000001</v>
      </c>
      <c r="AD7" s="1">
        <v>367.75</v>
      </c>
      <c r="AE7" s="1">
        <v>250.43219999999999</v>
      </c>
      <c r="AF7" s="1"/>
      <c r="AG7" s="1">
        <f t="shared" si="7"/>
        <v>345.3580000000004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 x14ac:dyDescent="0.25">
      <c r="A8" s="1" t="s">
        <v>39</v>
      </c>
      <c r="B8" s="1" t="s">
        <v>36</v>
      </c>
      <c r="C8" s="1">
        <v>2846.962</v>
      </c>
      <c r="D8" s="1">
        <v>5077.2330000000002</v>
      </c>
      <c r="E8" s="1">
        <v>4155.6329999999998</v>
      </c>
      <c r="F8" s="1">
        <v>2167.857</v>
      </c>
      <c r="G8" s="7">
        <v>1</v>
      </c>
      <c r="H8" s="1">
        <v>45</v>
      </c>
      <c r="I8" s="9" t="s">
        <v>40</v>
      </c>
      <c r="J8" s="1"/>
      <c r="K8" s="1">
        <v>4222.174</v>
      </c>
      <c r="L8" s="1">
        <f t="shared" si="2"/>
        <v>-66.541000000000167</v>
      </c>
      <c r="M8" s="1">
        <f t="shared" si="3"/>
        <v>2519.7269999999999</v>
      </c>
      <c r="N8" s="1">
        <v>1635.9059999999999</v>
      </c>
      <c r="O8" s="1">
        <v>397.7595977460004</v>
      </c>
      <c r="P8" s="1">
        <v>438.74849425400038</v>
      </c>
      <c r="Q8" s="1">
        <v>23.98744799999929</v>
      </c>
      <c r="R8" s="1">
        <f t="shared" si="4"/>
        <v>503.94539999999995</v>
      </c>
      <c r="S8" s="5">
        <f t="shared" si="8"/>
        <v>3018.9922599999991</v>
      </c>
      <c r="T8" s="1">
        <f t="shared" si="5"/>
        <v>11.999999999999998</v>
      </c>
      <c r="U8" s="1">
        <f t="shared" si="6"/>
        <v>6.0092869981549599</v>
      </c>
      <c r="V8" s="1">
        <v>492.78300000000002</v>
      </c>
      <c r="W8" s="1">
        <v>482.3218</v>
      </c>
      <c r="X8" s="1">
        <v>477.91320000000002</v>
      </c>
      <c r="Y8" s="1">
        <v>591.2826</v>
      </c>
      <c r="Z8" s="1">
        <v>723.93399999999997</v>
      </c>
      <c r="AA8" s="1">
        <v>580.02659999999992</v>
      </c>
      <c r="AB8" s="1">
        <v>625.75400000000002</v>
      </c>
      <c r="AC8" s="1">
        <v>800.88400000000001</v>
      </c>
      <c r="AD8" s="1">
        <v>833.0154</v>
      </c>
      <c r="AE8" s="1">
        <v>751.53280000000007</v>
      </c>
      <c r="AF8" s="1"/>
      <c r="AG8" s="1">
        <f t="shared" si="7"/>
        <v>3018.9922599999991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 x14ac:dyDescent="0.25">
      <c r="A9" s="1" t="s">
        <v>41</v>
      </c>
      <c r="B9" s="1" t="s">
        <v>42</v>
      </c>
      <c r="C9" s="1">
        <v>35</v>
      </c>
      <c r="D9" s="1">
        <v>1</v>
      </c>
      <c r="E9" s="1">
        <v>5</v>
      </c>
      <c r="F9" s="1">
        <v>22</v>
      </c>
      <c r="G9" s="7">
        <v>0.4</v>
      </c>
      <c r="H9" s="1">
        <v>50</v>
      </c>
      <c r="I9" s="1" t="s">
        <v>37</v>
      </c>
      <c r="J9" s="1"/>
      <c r="K9" s="1">
        <v>6</v>
      </c>
      <c r="L9" s="1">
        <f t="shared" si="2"/>
        <v>-1</v>
      </c>
      <c r="M9" s="1">
        <f t="shared" si="3"/>
        <v>5</v>
      </c>
      <c r="N9" s="1"/>
      <c r="O9" s="1">
        <v>0</v>
      </c>
      <c r="P9" s="1"/>
      <c r="Q9" s="1">
        <v>0</v>
      </c>
      <c r="R9" s="1">
        <f t="shared" si="4"/>
        <v>1</v>
      </c>
      <c r="S9" s="5"/>
      <c r="T9" s="1">
        <f t="shared" si="5"/>
        <v>22</v>
      </c>
      <c r="U9" s="1">
        <f t="shared" si="6"/>
        <v>22</v>
      </c>
      <c r="V9" s="1">
        <v>0.6</v>
      </c>
      <c r="W9" s="1">
        <v>1.2</v>
      </c>
      <c r="X9" s="1">
        <v>0.6</v>
      </c>
      <c r="Y9" s="1">
        <v>-0.2</v>
      </c>
      <c r="Z9" s="1">
        <v>0.2</v>
      </c>
      <c r="AA9" s="1">
        <v>2.2000000000000002</v>
      </c>
      <c r="AB9" s="1">
        <v>2</v>
      </c>
      <c r="AC9" s="1">
        <v>0</v>
      </c>
      <c r="AD9" s="1">
        <v>0.2</v>
      </c>
      <c r="AE9" s="1">
        <v>2.4</v>
      </c>
      <c r="AF9" s="15" t="s">
        <v>189</v>
      </c>
      <c r="AG9" s="1">
        <f t="shared" si="7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 x14ac:dyDescent="0.25">
      <c r="A10" s="1" t="s">
        <v>43</v>
      </c>
      <c r="B10" s="1" t="s">
        <v>42</v>
      </c>
      <c r="C10" s="1">
        <v>5440</v>
      </c>
      <c r="D10" s="1">
        <v>99</v>
      </c>
      <c r="E10" s="1">
        <v>1778.5229999999999</v>
      </c>
      <c r="F10" s="1">
        <v>3170.4769999999999</v>
      </c>
      <c r="G10" s="7">
        <v>0.45</v>
      </c>
      <c r="H10" s="1">
        <v>45</v>
      </c>
      <c r="I10" s="1" t="s">
        <v>37</v>
      </c>
      <c r="J10" s="1"/>
      <c r="K10" s="1">
        <v>1932</v>
      </c>
      <c r="L10" s="1">
        <f t="shared" si="2"/>
        <v>-153.47700000000009</v>
      </c>
      <c r="M10" s="1">
        <f t="shared" si="3"/>
        <v>1778.5229999999999</v>
      </c>
      <c r="N10" s="1"/>
      <c r="O10" s="1">
        <v>0</v>
      </c>
      <c r="P10" s="1"/>
      <c r="Q10" s="1">
        <v>0</v>
      </c>
      <c r="R10" s="1">
        <f t="shared" si="4"/>
        <v>355.70459999999997</v>
      </c>
      <c r="S10" s="5">
        <f t="shared" si="8"/>
        <v>1097.9781999999996</v>
      </c>
      <c r="T10" s="1">
        <f t="shared" si="5"/>
        <v>12</v>
      </c>
      <c r="U10" s="1">
        <f t="shared" si="6"/>
        <v>8.9132302477955019</v>
      </c>
      <c r="V10" s="1">
        <v>371.6</v>
      </c>
      <c r="W10" s="1">
        <v>309.39999999999998</v>
      </c>
      <c r="X10" s="1">
        <v>244.8</v>
      </c>
      <c r="Y10" s="1">
        <v>244.4</v>
      </c>
      <c r="Z10" s="1">
        <v>326</v>
      </c>
      <c r="AA10" s="1">
        <v>640.6</v>
      </c>
      <c r="AB10" s="1">
        <v>845.8</v>
      </c>
      <c r="AC10" s="1">
        <v>569</v>
      </c>
      <c r="AD10" s="1">
        <v>530.86719999999991</v>
      </c>
      <c r="AE10" s="1">
        <v>514.46719999999993</v>
      </c>
      <c r="AF10" s="1"/>
      <c r="AG10" s="1">
        <f t="shared" si="7"/>
        <v>494.09018999999984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 x14ac:dyDescent="0.25">
      <c r="A11" s="1" t="s">
        <v>45</v>
      </c>
      <c r="B11" s="1" t="s">
        <v>42</v>
      </c>
      <c r="C11" s="1">
        <v>3282</v>
      </c>
      <c r="D11" s="1">
        <v>240</v>
      </c>
      <c r="E11" s="1">
        <v>2478.12</v>
      </c>
      <c r="F11" s="1">
        <v>291.88</v>
      </c>
      <c r="G11" s="7">
        <v>0.45</v>
      </c>
      <c r="H11" s="1">
        <v>45</v>
      </c>
      <c r="I11" s="1" t="s">
        <v>37</v>
      </c>
      <c r="J11" s="1"/>
      <c r="K11" s="1">
        <v>2863</v>
      </c>
      <c r="L11" s="1">
        <f t="shared" si="2"/>
        <v>-384.88000000000011</v>
      </c>
      <c r="M11" s="1">
        <f t="shared" si="3"/>
        <v>2478.12</v>
      </c>
      <c r="N11" s="1"/>
      <c r="O11" s="1">
        <v>1588.4020439999999</v>
      </c>
      <c r="P11" s="1">
        <v>1752.0859559999999</v>
      </c>
      <c r="Q11" s="1"/>
      <c r="R11" s="1">
        <f t="shared" si="4"/>
        <v>495.62399999999997</v>
      </c>
      <c r="S11" s="5">
        <f t="shared" si="8"/>
        <v>2315.1199999999994</v>
      </c>
      <c r="T11" s="1">
        <f t="shared" si="5"/>
        <v>12</v>
      </c>
      <c r="U11" s="1">
        <f t="shared" si="6"/>
        <v>7.3288783432602136</v>
      </c>
      <c r="V11" s="1">
        <v>526.79999999999995</v>
      </c>
      <c r="W11" s="1">
        <v>472.2</v>
      </c>
      <c r="X11" s="1">
        <v>409.6</v>
      </c>
      <c r="Y11" s="1">
        <v>413.8</v>
      </c>
      <c r="Z11" s="1">
        <v>502.6</v>
      </c>
      <c r="AA11" s="1">
        <v>524</v>
      </c>
      <c r="AB11" s="1">
        <v>664.8</v>
      </c>
      <c r="AC11" s="1">
        <v>660.6</v>
      </c>
      <c r="AD11" s="1">
        <v>572.67619999999999</v>
      </c>
      <c r="AE11" s="1">
        <v>553.87619999999993</v>
      </c>
      <c r="AF11" s="1"/>
      <c r="AG11" s="1">
        <f t="shared" si="7"/>
        <v>1041.8039999999999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 x14ac:dyDescent="0.25">
      <c r="A12" s="1" t="s">
        <v>46</v>
      </c>
      <c r="B12" s="1" t="s">
        <v>42</v>
      </c>
      <c r="C12" s="1">
        <v>151</v>
      </c>
      <c r="D12" s="1">
        <v>76</v>
      </c>
      <c r="E12" s="1">
        <v>124</v>
      </c>
      <c r="F12" s="1">
        <v>88</v>
      </c>
      <c r="G12" s="7">
        <v>0.17</v>
      </c>
      <c r="H12" s="1">
        <v>180</v>
      </c>
      <c r="I12" s="1" t="s">
        <v>37</v>
      </c>
      <c r="J12" s="1"/>
      <c r="K12" s="1">
        <v>127</v>
      </c>
      <c r="L12" s="1">
        <f t="shared" si="2"/>
        <v>-3</v>
      </c>
      <c r="M12" s="1">
        <f t="shared" si="3"/>
        <v>124</v>
      </c>
      <c r="N12" s="1"/>
      <c r="O12" s="1">
        <v>0</v>
      </c>
      <c r="P12" s="1"/>
      <c r="Q12" s="1">
        <v>0</v>
      </c>
      <c r="R12" s="1">
        <f t="shared" si="4"/>
        <v>24.8</v>
      </c>
      <c r="S12" s="5">
        <f>11*R12-Q12-P12-O12-F12</f>
        <v>184.8</v>
      </c>
      <c r="T12" s="1">
        <f t="shared" si="5"/>
        <v>11</v>
      </c>
      <c r="U12" s="1">
        <f t="shared" si="6"/>
        <v>3.5483870967741935</v>
      </c>
      <c r="V12" s="1">
        <v>14.2</v>
      </c>
      <c r="W12" s="1">
        <v>17.8</v>
      </c>
      <c r="X12" s="1">
        <v>23</v>
      </c>
      <c r="Y12" s="1">
        <v>14.8</v>
      </c>
      <c r="Z12" s="1">
        <v>14.8</v>
      </c>
      <c r="AA12" s="1">
        <v>22.2</v>
      </c>
      <c r="AB12" s="1">
        <v>26</v>
      </c>
      <c r="AC12" s="1">
        <v>20.399999999999999</v>
      </c>
      <c r="AD12" s="1">
        <v>9.4</v>
      </c>
      <c r="AE12" s="1">
        <v>17.2</v>
      </c>
      <c r="AF12" s="1"/>
      <c r="AG12" s="1">
        <f t="shared" si="7"/>
        <v>31.416000000000004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 x14ac:dyDescent="0.25">
      <c r="A13" s="1" t="s">
        <v>47</v>
      </c>
      <c r="B13" s="1" t="s">
        <v>42</v>
      </c>
      <c r="C13" s="1">
        <v>95</v>
      </c>
      <c r="D13" s="1">
        <v>26</v>
      </c>
      <c r="E13" s="1">
        <v>62</v>
      </c>
      <c r="F13" s="1">
        <v>40</v>
      </c>
      <c r="G13" s="7">
        <v>0.3</v>
      </c>
      <c r="H13" s="1">
        <v>40</v>
      </c>
      <c r="I13" s="1" t="s">
        <v>37</v>
      </c>
      <c r="J13" s="1"/>
      <c r="K13" s="1">
        <v>70</v>
      </c>
      <c r="L13" s="1">
        <f t="shared" si="2"/>
        <v>-8</v>
      </c>
      <c r="M13" s="1">
        <f t="shared" si="3"/>
        <v>62</v>
      </c>
      <c r="N13" s="1"/>
      <c r="O13" s="1">
        <v>0</v>
      </c>
      <c r="P13" s="1"/>
      <c r="Q13" s="1">
        <v>8.1999999999999886</v>
      </c>
      <c r="R13" s="1">
        <f t="shared" si="4"/>
        <v>12.4</v>
      </c>
      <c r="S13" s="5">
        <f>11*R13-Q13-P13-O13-F13</f>
        <v>88.200000000000017</v>
      </c>
      <c r="T13" s="1">
        <f t="shared" si="5"/>
        <v>11</v>
      </c>
      <c r="U13" s="1">
        <f t="shared" si="6"/>
        <v>3.8870967741935472</v>
      </c>
      <c r="V13" s="1">
        <v>8.1999999999999993</v>
      </c>
      <c r="W13" s="1">
        <v>4.8</v>
      </c>
      <c r="X13" s="1">
        <v>7.2</v>
      </c>
      <c r="Y13" s="1">
        <v>7</v>
      </c>
      <c r="Z13" s="1">
        <v>7.6</v>
      </c>
      <c r="AA13" s="1">
        <v>9.4</v>
      </c>
      <c r="AB13" s="1">
        <v>6.8</v>
      </c>
      <c r="AC13" s="1">
        <v>5.8</v>
      </c>
      <c r="AD13" s="1">
        <v>9.1999999999999993</v>
      </c>
      <c r="AE13" s="1">
        <v>8.6</v>
      </c>
      <c r="AF13" s="1"/>
      <c r="AG13" s="1">
        <f t="shared" si="7"/>
        <v>26.460000000000004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 x14ac:dyDescent="0.25">
      <c r="A14" s="1" t="s">
        <v>48</v>
      </c>
      <c r="B14" s="1" t="s">
        <v>42</v>
      </c>
      <c r="C14" s="1">
        <v>69</v>
      </c>
      <c r="D14" s="1">
        <v>508</v>
      </c>
      <c r="E14" s="1">
        <v>164</v>
      </c>
      <c r="F14" s="1">
        <v>356</v>
      </c>
      <c r="G14" s="7">
        <v>0.17</v>
      </c>
      <c r="H14" s="1">
        <v>180</v>
      </c>
      <c r="I14" s="1" t="s">
        <v>37</v>
      </c>
      <c r="J14" s="1"/>
      <c r="K14" s="1">
        <v>182</v>
      </c>
      <c r="L14" s="1">
        <f t="shared" si="2"/>
        <v>-18</v>
      </c>
      <c r="M14" s="1">
        <f t="shared" si="3"/>
        <v>164</v>
      </c>
      <c r="N14" s="1"/>
      <c r="O14" s="1">
        <v>0</v>
      </c>
      <c r="P14" s="1"/>
      <c r="Q14" s="1">
        <v>0</v>
      </c>
      <c r="R14" s="1">
        <f t="shared" si="4"/>
        <v>32.799999999999997</v>
      </c>
      <c r="S14" s="5">
        <f t="shared" si="8"/>
        <v>37.599999999999966</v>
      </c>
      <c r="T14" s="1">
        <f t="shared" si="5"/>
        <v>12</v>
      </c>
      <c r="U14" s="1">
        <f t="shared" si="6"/>
        <v>10.853658536585368</v>
      </c>
      <c r="V14" s="1">
        <v>27.8</v>
      </c>
      <c r="W14" s="1">
        <v>39</v>
      </c>
      <c r="X14" s="1">
        <v>53.6</v>
      </c>
      <c r="Y14" s="1">
        <v>48.6</v>
      </c>
      <c r="Z14" s="1">
        <v>35.6</v>
      </c>
      <c r="AA14" s="1">
        <v>33.4</v>
      </c>
      <c r="AB14" s="1">
        <v>40.6</v>
      </c>
      <c r="AC14" s="1">
        <v>38.6</v>
      </c>
      <c r="AD14" s="1">
        <v>32.799999999999997</v>
      </c>
      <c r="AE14" s="1">
        <v>33.200000000000003</v>
      </c>
      <c r="AF14" s="1"/>
      <c r="AG14" s="1">
        <f t="shared" si="7"/>
        <v>6.391999999999995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 x14ac:dyDescent="0.25">
      <c r="A15" s="1" t="s">
        <v>49</v>
      </c>
      <c r="B15" s="1" t="s">
        <v>36</v>
      </c>
      <c r="C15" s="1">
        <v>1320.9570000000001</v>
      </c>
      <c r="D15" s="1">
        <v>9171.2350000000006</v>
      </c>
      <c r="E15" s="1">
        <v>4509.0450000000001</v>
      </c>
      <c r="F15" s="1">
        <v>4522.0630000000001</v>
      </c>
      <c r="G15" s="7">
        <v>1</v>
      </c>
      <c r="H15" s="1">
        <v>70</v>
      </c>
      <c r="I15" s="1" t="s">
        <v>37</v>
      </c>
      <c r="J15" s="1"/>
      <c r="K15" s="1">
        <v>4519.28</v>
      </c>
      <c r="L15" s="1">
        <f t="shared" si="2"/>
        <v>-10.234999999999673</v>
      </c>
      <c r="M15" s="1">
        <f t="shared" si="3"/>
        <v>3016.5969999999998</v>
      </c>
      <c r="N15" s="1">
        <v>1492.4480000000001</v>
      </c>
      <c r="O15" s="1">
        <v>0</v>
      </c>
      <c r="P15" s="1"/>
      <c r="Q15" s="1">
        <v>1000</v>
      </c>
      <c r="R15" s="1">
        <f t="shared" si="4"/>
        <v>603.31939999999997</v>
      </c>
      <c r="S15" s="5">
        <f t="shared" si="8"/>
        <v>1717.7698</v>
      </c>
      <c r="T15" s="1">
        <f t="shared" si="5"/>
        <v>12</v>
      </c>
      <c r="U15" s="1">
        <f t="shared" si="6"/>
        <v>9.1528019818358235</v>
      </c>
      <c r="V15" s="1">
        <v>631.99979999999994</v>
      </c>
      <c r="W15" s="1">
        <v>638.21439999999996</v>
      </c>
      <c r="X15" s="1">
        <v>684.60360000000003</v>
      </c>
      <c r="Y15" s="1">
        <v>863.32839999999999</v>
      </c>
      <c r="Z15" s="1">
        <v>914.48199999999997</v>
      </c>
      <c r="AA15" s="1">
        <v>675.87339999999995</v>
      </c>
      <c r="AB15" s="1">
        <v>648.81240000000003</v>
      </c>
      <c r="AC15" s="1">
        <v>873.28039999999999</v>
      </c>
      <c r="AD15" s="1">
        <v>934.93299999999999</v>
      </c>
      <c r="AE15" s="1">
        <v>830.74639999999999</v>
      </c>
      <c r="AF15" s="1"/>
      <c r="AG15" s="1">
        <f t="shared" si="7"/>
        <v>1717.7698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 x14ac:dyDescent="0.25">
      <c r="A16" s="1" t="s">
        <v>50</v>
      </c>
      <c r="B16" s="1" t="s">
        <v>36</v>
      </c>
      <c r="C16" s="1">
        <v>2835.973</v>
      </c>
      <c r="D16" s="1">
        <v>6903.0439999999999</v>
      </c>
      <c r="E16" s="1">
        <v>4205.6369999999997</v>
      </c>
      <c r="F16" s="1">
        <v>4127.2629999999999</v>
      </c>
      <c r="G16" s="7">
        <v>1</v>
      </c>
      <c r="H16" s="1">
        <v>50</v>
      </c>
      <c r="I16" s="1" t="s">
        <v>37</v>
      </c>
      <c r="J16" s="1"/>
      <c r="K16" s="1">
        <v>4317.8440000000001</v>
      </c>
      <c r="L16" s="1">
        <f t="shared" si="2"/>
        <v>-112.20700000000033</v>
      </c>
      <c r="M16" s="1">
        <f t="shared" si="3"/>
        <v>2690.0929999999998</v>
      </c>
      <c r="N16" s="1">
        <v>1515.5440000000001</v>
      </c>
      <c r="O16" s="1">
        <v>0</v>
      </c>
      <c r="P16" s="1"/>
      <c r="Q16" s="1">
        <v>700</v>
      </c>
      <c r="R16" s="1">
        <f t="shared" si="4"/>
        <v>538.01859999999999</v>
      </c>
      <c r="S16" s="5">
        <f t="shared" si="8"/>
        <v>1628.9602000000004</v>
      </c>
      <c r="T16" s="1">
        <f t="shared" si="5"/>
        <v>12</v>
      </c>
      <c r="U16" s="1">
        <f t="shared" si="6"/>
        <v>8.9722976120156446</v>
      </c>
      <c r="V16" s="1">
        <v>532.27240000000006</v>
      </c>
      <c r="W16" s="1">
        <v>533.49900000000002</v>
      </c>
      <c r="X16" s="1">
        <v>724.56679999999994</v>
      </c>
      <c r="Y16" s="1">
        <v>751.04700000000003</v>
      </c>
      <c r="Z16" s="1">
        <v>753.80539999999996</v>
      </c>
      <c r="AA16" s="1">
        <v>623.83040000000005</v>
      </c>
      <c r="AB16" s="1">
        <v>608.67060000000004</v>
      </c>
      <c r="AC16" s="1">
        <v>760.83500000000004</v>
      </c>
      <c r="AD16" s="1">
        <v>778.13599999999997</v>
      </c>
      <c r="AE16" s="1">
        <v>651.7174</v>
      </c>
      <c r="AF16" s="1"/>
      <c r="AG16" s="1">
        <f t="shared" si="7"/>
        <v>1628.9602000000004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x14ac:dyDescent="0.25">
      <c r="A17" s="1" t="s">
        <v>51</v>
      </c>
      <c r="B17" s="1" t="s">
        <v>36</v>
      </c>
      <c r="C17" s="1">
        <v>229.97800000000001</v>
      </c>
      <c r="D17" s="1">
        <v>568.95799999999997</v>
      </c>
      <c r="E17" s="1">
        <v>200.053</v>
      </c>
      <c r="F17" s="1">
        <v>410.91800000000001</v>
      </c>
      <c r="G17" s="7">
        <v>1</v>
      </c>
      <c r="H17" s="1">
        <v>60</v>
      </c>
      <c r="I17" s="1" t="s">
        <v>37</v>
      </c>
      <c r="J17" s="1"/>
      <c r="K17" s="1">
        <v>210.59299999999999</v>
      </c>
      <c r="L17" s="1">
        <f t="shared" si="2"/>
        <v>-10.539999999999992</v>
      </c>
      <c r="M17" s="1">
        <f t="shared" si="3"/>
        <v>189.35999999999999</v>
      </c>
      <c r="N17" s="1">
        <v>10.693</v>
      </c>
      <c r="O17" s="1">
        <v>0</v>
      </c>
      <c r="P17" s="1"/>
      <c r="Q17" s="1">
        <v>0</v>
      </c>
      <c r="R17" s="1">
        <f t="shared" si="4"/>
        <v>37.872</v>
      </c>
      <c r="S17" s="5">
        <f t="shared" si="8"/>
        <v>43.545999999999992</v>
      </c>
      <c r="T17" s="1">
        <f t="shared" si="5"/>
        <v>12</v>
      </c>
      <c r="U17" s="1">
        <f t="shared" si="6"/>
        <v>10.850179552175749</v>
      </c>
      <c r="V17" s="1">
        <v>35.195999999999998</v>
      </c>
      <c r="W17" s="1">
        <v>26.605</v>
      </c>
      <c r="X17" s="1">
        <v>20.235399999999998</v>
      </c>
      <c r="Y17" s="1">
        <v>64.747600000000006</v>
      </c>
      <c r="Z17" s="1">
        <v>80.977200000000011</v>
      </c>
      <c r="AA17" s="1">
        <v>49.133600000000001</v>
      </c>
      <c r="AB17" s="1">
        <v>48.952800000000003</v>
      </c>
      <c r="AC17" s="1">
        <v>44.703800000000001</v>
      </c>
      <c r="AD17" s="1">
        <v>25.674399999999999</v>
      </c>
      <c r="AE17" s="1">
        <v>21.1402</v>
      </c>
      <c r="AF17" s="1"/>
      <c r="AG17" s="1">
        <f t="shared" si="7"/>
        <v>43.545999999999992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x14ac:dyDescent="0.25">
      <c r="A18" s="10" t="s">
        <v>52</v>
      </c>
      <c r="B18" s="10" t="s">
        <v>36</v>
      </c>
      <c r="C18" s="10"/>
      <c r="D18" s="10"/>
      <c r="E18" s="10"/>
      <c r="F18" s="10"/>
      <c r="G18" s="11">
        <v>0</v>
      </c>
      <c r="H18" s="10"/>
      <c r="I18" s="10" t="s">
        <v>37</v>
      </c>
      <c r="J18" s="10"/>
      <c r="K18" s="10"/>
      <c r="L18" s="10">
        <f t="shared" si="2"/>
        <v>0</v>
      </c>
      <c r="M18" s="10">
        <f t="shared" si="3"/>
        <v>0</v>
      </c>
      <c r="N18" s="10"/>
      <c r="O18" s="10">
        <v>0</v>
      </c>
      <c r="P18" s="10"/>
      <c r="Q18" s="10">
        <v>0</v>
      </c>
      <c r="R18" s="10">
        <f t="shared" si="4"/>
        <v>0</v>
      </c>
      <c r="S18" s="12"/>
      <c r="T18" s="10" t="e">
        <f t="shared" si="5"/>
        <v>#DIV/0!</v>
      </c>
      <c r="U18" s="10" t="e">
        <f t="shared" si="6"/>
        <v>#DIV/0!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 t="s">
        <v>53</v>
      </c>
      <c r="AG18" s="10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 x14ac:dyDescent="0.25">
      <c r="A19" s="1" t="s">
        <v>54</v>
      </c>
      <c r="B19" s="1" t="s">
        <v>36</v>
      </c>
      <c r="C19" s="1">
        <v>9.4619999999999997</v>
      </c>
      <c r="D19" s="1"/>
      <c r="E19" s="1">
        <v>3.9790000000000001</v>
      </c>
      <c r="F19" s="1">
        <v>4.343</v>
      </c>
      <c r="G19" s="7">
        <v>1</v>
      </c>
      <c r="H19" s="1">
        <v>180</v>
      </c>
      <c r="I19" s="1" t="s">
        <v>37</v>
      </c>
      <c r="J19" s="1"/>
      <c r="K19" s="1">
        <v>4.25</v>
      </c>
      <c r="L19" s="1">
        <f t="shared" si="2"/>
        <v>-0.27099999999999991</v>
      </c>
      <c r="M19" s="1">
        <f t="shared" si="3"/>
        <v>3.9790000000000001</v>
      </c>
      <c r="N19" s="1"/>
      <c r="O19" s="1">
        <v>0</v>
      </c>
      <c r="P19" s="1"/>
      <c r="Q19" s="1">
        <v>4</v>
      </c>
      <c r="R19" s="1">
        <f t="shared" si="4"/>
        <v>0.79580000000000006</v>
      </c>
      <c r="S19" s="5">
        <v>4</v>
      </c>
      <c r="T19" s="1">
        <f t="shared" si="5"/>
        <v>15.510178436793163</v>
      </c>
      <c r="U19" s="1">
        <f t="shared" si="6"/>
        <v>10.483789896959035</v>
      </c>
      <c r="V19" s="1">
        <v>0.79180000000000006</v>
      </c>
      <c r="W19" s="1">
        <v>0.36199999999999999</v>
      </c>
      <c r="X19" s="1">
        <v>0.58179999999999998</v>
      </c>
      <c r="Y19" s="1">
        <v>0.41959999999999997</v>
      </c>
      <c r="Z19" s="1">
        <v>0.68019999999999992</v>
      </c>
      <c r="AA19" s="1">
        <v>0.82240000000000002</v>
      </c>
      <c r="AB19" s="1">
        <v>0.69000000000000006</v>
      </c>
      <c r="AC19" s="1">
        <v>0.41899999999999998</v>
      </c>
      <c r="AD19" s="1">
        <v>0.92219999999999991</v>
      </c>
      <c r="AE19" s="1">
        <v>1.4359999999999999</v>
      </c>
      <c r="AF19" s="1"/>
      <c r="AG19" s="1">
        <f>G19*S19</f>
        <v>4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x14ac:dyDescent="0.25">
      <c r="A20" s="1" t="s">
        <v>55</v>
      </c>
      <c r="B20" s="1" t="s">
        <v>36</v>
      </c>
      <c r="C20" s="1">
        <v>536.93299999999999</v>
      </c>
      <c r="D20" s="1">
        <v>8574.6290000000008</v>
      </c>
      <c r="E20" s="1">
        <v>4612.7190000000001</v>
      </c>
      <c r="F20" s="1">
        <v>2962.24</v>
      </c>
      <c r="G20" s="7">
        <v>1</v>
      </c>
      <c r="H20" s="1">
        <v>60</v>
      </c>
      <c r="I20" s="1" t="s">
        <v>37</v>
      </c>
      <c r="J20" s="1"/>
      <c r="K20" s="1">
        <v>4801.0969999999998</v>
      </c>
      <c r="L20" s="1">
        <f t="shared" si="2"/>
        <v>-188.3779999999997</v>
      </c>
      <c r="M20" s="1">
        <f t="shared" si="3"/>
        <v>4612.7190000000001</v>
      </c>
      <c r="N20" s="1"/>
      <c r="O20" s="1">
        <v>2063.3547568140002</v>
      </c>
      <c r="P20" s="1">
        <v>2275.9822711860002</v>
      </c>
      <c r="Q20" s="1">
        <v>79.370096000000331</v>
      </c>
      <c r="R20" s="1">
        <f t="shared" si="4"/>
        <v>922.54380000000003</v>
      </c>
      <c r="S20" s="5">
        <f t="shared" ref="S19:S22" si="9">12*R20-Q20-P20-O20-F20</f>
        <v>3689.5784760000006</v>
      </c>
      <c r="T20" s="1">
        <f t="shared" si="5"/>
        <v>12</v>
      </c>
      <c r="U20" s="1">
        <f t="shared" si="6"/>
        <v>8.0006468245735327</v>
      </c>
      <c r="V20" s="1">
        <v>889.4248</v>
      </c>
      <c r="W20" s="1">
        <v>913.99760000000003</v>
      </c>
      <c r="X20" s="1">
        <v>789.43779999999992</v>
      </c>
      <c r="Y20" s="1">
        <v>661.26800000000003</v>
      </c>
      <c r="Z20" s="1">
        <v>917.37380000000007</v>
      </c>
      <c r="AA20" s="1">
        <v>723.88019999999995</v>
      </c>
      <c r="AB20" s="1">
        <v>773.48840000000007</v>
      </c>
      <c r="AC20" s="1">
        <v>732.97140000000002</v>
      </c>
      <c r="AD20" s="1">
        <v>804.43240000000003</v>
      </c>
      <c r="AE20" s="1">
        <v>875.02719999999988</v>
      </c>
      <c r="AF20" s="1"/>
      <c r="AG20" s="1">
        <f>G20*S20</f>
        <v>3689.5784760000006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x14ac:dyDescent="0.25">
      <c r="A21" s="1" t="s">
        <v>56</v>
      </c>
      <c r="B21" s="1" t="s">
        <v>36</v>
      </c>
      <c r="C21" s="1">
        <v>469.52100000000002</v>
      </c>
      <c r="D21" s="1">
        <v>318.08600000000001</v>
      </c>
      <c r="E21" s="1">
        <v>488.07900000000001</v>
      </c>
      <c r="F21" s="1">
        <v>14.048999999999999</v>
      </c>
      <c r="G21" s="7">
        <v>1</v>
      </c>
      <c r="H21" s="1">
        <v>70</v>
      </c>
      <c r="I21" s="1" t="s">
        <v>37</v>
      </c>
      <c r="J21" s="1"/>
      <c r="K21" s="1">
        <v>482.07299999999998</v>
      </c>
      <c r="L21" s="1">
        <f t="shared" si="2"/>
        <v>6.0060000000000286</v>
      </c>
      <c r="M21" s="1">
        <f t="shared" si="3"/>
        <v>488.07900000000001</v>
      </c>
      <c r="N21" s="1"/>
      <c r="O21" s="1">
        <v>149.52119563200009</v>
      </c>
      <c r="P21" s="1">
        <v>164.92926836800009</v>
      </c>
      <c r="Q21" s="1">
        <v>348.49603999999988</v>
      </c>
      <c r="R21" s="1">
        <f t="shared" si="4"/>
        <v>97.615800000000007</v>
      </c>
      <c r="S21" s="5">
        <f t="shared" si="9"/>
        <v>494.39409599999999</v>
      </c>
      <c r="T21" s="1">
        <f t="shared" si="5"/>
        <v>11.999999999999998</v>
      </c>
      <c r="U21" s="1">
        <f t="shared" si="6"/>
        <v>6.9353066204446412</v>
      </c>
      <c r="V21" s="1">
        <v>99.165599999999998</v>
      </c>
      <c r="W21" s="1">
        <v>66.941600000000008</v>
      </c>
      <c r="X21" s="1">
        <v>35.273200000000003</v>
      </c>
      <c r="Y21" s="1">
        <v>47.993600000000001</v>
      </c>
      <c r="Z21" s="1">
        <v>75.930999999999997</v>
      </c>
      <c r="AA21" s="1">
        <v>74.3142</v>
      </c>
      <c r="AB21" s="1">
        <v>56.826199999999993</v>
      </c>
      <c r="AC21" s="1">
        <v>33.156399999999998</v>
      </c>
      <c r="AD21" s="1">
        <v>51.611800000000002</v>
      </c>
      <c r="AE21" s="1">
        <v>86.94680000000001</v>
      </c>
      <c r="AF21" s="1"/>
      <c r="AG21" s="1">
        <f>G21*S21</f>
        <v>494.39409599999999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x14ac:dyDescent="0.25">
      <c r="A22" s="1" t="s">
        <v>57</v>
      </c>
      <c r="B22" s="1" t="s">
        <v>36</v>
      </c>
      <c r="C22" s="1">
        <v>425.60700000000003</v>
      </c>
      <c r="D22" s="1">
        <v>3987.0889999999999</v>
      </c>
      <c r="E22" s="1">
        <v>1363.3</v>
      </c>
      <c r="F22" s="1">
        <v>2672.8040000000001</v>
      </c>
      <c r="G22" s="7">
        <v>1</v>
      </c>
      <c r="H22" s="1">
        <v>70</v>
      </c>
      <c r="I22" s="1" t="s">
        <v>37</v>
      </c>
      <c r="J22" s="1"/>
      <c r="K22" s="1">
        <v>1365.1389999999999</v>
      </c>
      <c r="L22" s="1">
        <f t="shared" si="2"/>
        <v>-1.8389999999999418</v>
      </c>
      <c r="M22" s="1">
        <f t="shared" si="3"/>
        <v>1191.761</v>
      </c>
      <c r="N22" s="1">
        <v>171.53899999999999</v>
      </c>
      <c r="O22" s="1">
        <v>0</v>
      </c>
      <c r="P22" s="1"/>
      <c r="Q22" s="1">
        <v>0</v>
      </c>
      <c r="R22" s="1">
        <f t="shared" si="4"/>
        <v>238.35219999999998</v>
      </c>
      <c r="S22" s="5">
        <f t="shared" si="9"/>
        <v>187.42239999999947</v>
      </c>
      <c r="T22" s="1">
        <f t="shared" si="5"/>
        <v>11.999999999999998</v>
      </c>
      <c r="U22" s="1">
        <f t="shared" si="6"/>
        <v>11.213674553874478</v>
      </c>
      <c r="V22" s="1">
        <v>217.6114</v>
      </c>
      <c r="W22" s="1">
        <v>206.72020000000001</v>
      </c>
      <c r="X22" s="1">
        <v>293.69060000000002</v>
      </c>
      <c r="Y22" s="1">
        <v>383.78739999999999</v>
      </c>
      <c r="Z22" s="1">
        <v>327.67899999999997</v>
      </c>
      <c r="AA22" s="1">
        <v>251.3426</v>
      </c>
      <c r="AB22" s="1">
        <v>229.2002</v>
      </c>
      <c r="AC22" s="1">
        <v>266.73680000000002</v>
      </c>
      <c r="AD22" s="1">
        <v>285.91019999999997</v>
      </c>
      <c r="AE22" s="1">
        <v>266.63159999999999</v>
      </c>
      <c r="AF22" s="1"/>
      <c r="AG22" s="1">
        <f>G22*S22</f>
        <v>187.42239999999947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 x14ac:dyDescent="0.25">
      <c r="A23" s="10" t="s">
        <v>58</v>
      </c>
      <c r="B23" s="10" t="s">
        <v>36</v>
      </c>
      <c r="C23" s="10"/>
      <c r="D23" s="10"/>
      <c r="E23" s="10"/>
      <c r="F23" s="10"/>
      <c r="G23" s="11">
        <v>0</v>
      </c>
      <c r="H23" s="10"/>
      <c r="I23" s="10" t="s">
        <v>37</v>
      </c>
      <c r="J23" s="10"/>
      <c r="K23" s="10"/>
      <c r="L23" s="10">
        <f t="shared" si="2"/>
        <v>0</v>
      </c>
      <c r="M23" s="10">
        <f t="shared" si="3"/>
        <v>0</v>
      </c>
      <c r="N23" s="10"/>
      <c r="O23" s="10">
        <v>0</v>
      </c>
      <c r="P23" s="10"/>
      <c r="Q23" s="10">
        <v>0</v>
      </c>
      <c r="R23" s="10">
        <f t="shared" si="4"/>
        <v>0</v>
      </c>
      <c r="S23" s="12"/>
      <c r="T23" s="10" t="e">
        <f t="shared" si="5"/>
        <v>#DIV/0!</v>
      </c>
      <c r="U23" s="10" t="e">
        <f t="shared" si="6"/>
        <v>#DIV/0!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 t="s">
        <v>53</v>
      </c>
      <c r="AG23" s="10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 x14ac:dyDescent="0.25">
      <c r="A24" s="1" t="s">
        <v>59</v>
      </c>
      <c r="B24" s="1" t="s">
        <v>36</v>
      </c>
      <c r="C24" s="1">
        <v>906.96500000000003</v>
      </c>
      <c r="D24" s="1">
        <v>4192.576</v>
      </c>
      <c r="E24" s="1">
        <v>1995.8230000000001</v>
      </c>
      <c r="F24" s="1">
        <v>2631.7559999999999</v>
      </c>
      <c r="G24" s="7">
        <v>1</v>
      </c>
      <c r="H24" s="1">
        <v>70</v>
      </c>
      <c r="I24" s="1" t="s">
        <v>37</v>
      </c>
      <c r="J24" s="1"/>
      <c r="K24" s="1">
        <v>1989.77</v>
      </c>
      <c r="L24" s="1">
        <f t="shared" si="2"/>
        <v>6.053000000000111</v>
      </c>
      <c r="M24" s="1">
        <f t="shared" si="3"/>
        <v>1871.703</v>
      </c>
      <c r="N24" s="1">
        <v>124.12</v>
      </c>
      <c r="O24" s="1">
        <v>186.590110512</v>
      </c>
      <c r="P24" s="1">
        <v>205.81811348799999</v>
      </c>
      <c r="Q24" s="1">
        <v>0</v>
      </c>
      <c r="R24" s="1">
        <f t="shared" si="4"/>
        <v>374.34059999999999</v>
      </c>
      <c r="S24" s="5">
        <f t="shared" ref="S24:S25" si="10">12*R24-Q24-P24-O24-F24</f>
        <v>1467.9229760000003</v>
      </c>
      <c r="T24" s="1">
        <f t="shared" si="5"/>
        <v>12</v>
      </c>
      <c r="U24" s="1">
        <f t="shared" si="6"/>
        <v>8.0786434172515627</v>
      </c>
      <c r="V24" s="1">
        <v>372.63639999999998</v>
      </c>
      <c r="W24" s="1">
        <v>377.31560000000002</v>
      </c>
      <c r="X24" s="1">
        <v>418.45379999999989</v>
      </c>
      <c r="Y24" s="1">
        <v>527.61379999999997</v>
      </c>
      <c r="Z24" s="1">
        <v>509.92160000000001</v>
      </c>
      <c r="AA24" s="1">
        <v>404.24360000000001</v>
      </c>
      <c r="AB24" s="1">
        <v>396.53120000000001</v>
      </c>
      <c r="AC24" s="1">
        <v>524.30680000000007</v>
      </c>
      <c r="AD24" s="1">
        <v>537.15940000000001</v>
      </c>
      <c r="AE24" s="1">
        <v>473.22160000000002</v>
      </c>
      <c r="AF24" s="1"/>
      <c r="AG24" s="1">
        <f>G24*S24</f>
        <v>1467.9229760000003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 x14ac:dyDescent="0.25">
      <c r="A25" s="1" t="s">
        <v>60</v>
      </c>
      <c r="B25" s="1" t="s">
        <v>36</v>
      </c>
      <c r="C25" s="1">
        <v>18.116</v>
      </c>
      <c r="D25" s="1">
        <v>108.449</v>
      </c>
      <c r="E25" s="1">
        <v>8.7370000000000001</v>
      </c>
      <c r="F25" s="1">
        <v>115.66800000000001</v>
      </c>
      <c r="G25" s="7">
        <v>1</v>
      </c>
      <c r="H25" s="1">
        <v>40</v>
      </c>
      <c r="I25" s="1" t="s">
        <v>37</v>
      </c>
      <c r="J25" s="1"/>
      <c r="K25" s="1">
        <v>10.8</v>
      </c>
      <c r="L25" s="1">
        <f t="shared" si="2"/>
        <v>-2.0630000000000006</v>
      </c>
      <c r="M25" s="1">
        <f t="shared" si="3"/>
        <v>8.7370000000000001</v>
      </c>
      <c r="N25" s="1"/>
      <c r="O25" s="1">
        <v>0</v>
      </c>
      <c r="P25" s="1"/>
      <c r="Q25" s="1">
        <v>0</v>
      </c>
      <c r="R25" s="1">
        <f t="shared" si="4"/>
        <v>1.7474000000000001</v>
      </c>
      <c r="S25" s="5"/>
      <c r="T25" s="1">
        <f t="shared" si="5"/>
        <v>66.194345885315329</v>
      </c>
      <c r="U25" s="1">
        <f t="shared" si="6"/>
        <v>66.194345885315329</v>
      </c>
      <c r="V25" s="1">
        <v>3.0384000000000002</v>
      </c>
      <c r="W25" s="1">
        <v>2.4554</v>
      </c>
      <c r="X25" s="1">
        <v>0</v>
      </c>
      <c r="Y25" s="1">
        <v>-0.14879999999999999</v>
      </c>
      <c r="Z25" s="1">
        <v>0.28860000000000002</v>
      </c>
      <c r="AA25" s="1">
        <v>4.2222</v>
      </c>
      <c r="AB25" s="1">
        <v>3.7848000000000002</v>
      </c>
      <c r="AC25" s="1">
        <v>-0.29299999999999998</v>
      </c>
      <c r="AD25" s="1">
        <v>1.601</v>
      </c>
      <c r="AE25" s="1">
        <v>4.3630000000000004</v>
      </c>
      <c r="AF25" s="17" t="s">
        <v>61</v>
      </c>
      <c r="AG25" s="1">
        <f>G25*S25</f>
        <v>0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 x14ac:dyDescent="0.25">
      <c r="A26" s="10" t="s">
        <v>62</v>
      </c>
      <c r="B26" s="10" t="s">
        <v>36</v>
      </c>
      <c r="C26" s="10"/>
      <c r="D26" s="10"/>
      <c r="E26" s="10"/>
      <c r="F26" s="10"/>
      <c r="G26" s="11">
        <v>0</v>
      </c>
      <c r="H26" s="10"/>
      <c r="I26" s="10" t="s">
        <v>37</v>
      </c>
      <c r="J26" s="10"/>
      <c r="K26" s="10"/>
      <c r="L26" s="10">
        <f t="shared" si="2"/>
        <v>0</v>
      </c>
      <c r="M26" s="10">
        <f t="shared" si="3"/>
        <v>0</v>
      </c>
      <c r="N26" s="10"/>
      <c r="O26" s="10">
        <v>0</v>
      </c>
      <c r="P26" s="10"/>
      <c r="Q26" s="10">
        <v>0</v>
      </c>
      <c r="R26" s="10">
        <f t="shared" si="4"/>
        <v>0</v>
      </c>
      <c r="S26" s="12"/>
      <c r="T26" s="10" t="e">
        <f t="shared" si="5"/>
        <v>#DIV/0!</v>
      </c>
      <c r="U26" s="10" t="e">
        <f t="shared" si="6"/>
        <v>#DIV/0!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 t="s">
        <v>53</v>
      </c>
      <c r="AG26" s="10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 x14ac:dyDescent="0.25">
      <c r="A27" s="10" t="s">
        <v>63</v>
      </c>
      <c r="B27" s="10" t="s">
        <v>36</v>
      </c>
      <c r="C27" s="10"/>
      <c r="D27" s="10"/>
      <c r="E27" s="10"/>
      <c r="F27" s="10"/>
      <c r="G27" s="11">
        <v>0</v>
      </c>
      <c r="H27" s="10"/>
      <c r="I27" s="10" t="s">
        <v>40</v>
      </c>
      <c r="J27" s="10"/>
      <c r="K27" s="10"/>
      <c r="L27" s="10">
        <f t="shared" si="2"/>
        <v>0</v>
      </c>
      <c r="M27" s="10">
        <f t="shared" si="3"/>
        <v>0</v>
      </c>
      <c r="N27" s="10"/>
      <c r="O27" s="10">
        <v>0</v>
      </c>
      <c r="P27" s="10"/>
      <c r="Q27" s="10">
        <v>0</v>
      </c>
      <c r="R27" s="10">
        <f t="shared" si="4"/>
        <v>0</v>
      </c>
      <c r="S27" s="12"/>
      <c r="T27" s="10" t="e">
        <f t="shared" si="5"/>
        <v>#DIV/0!</v>
      </c>
      <c r="U27" s="10" t="e">
        <f t="shared" si="6"/>
        <v>#DIV/0!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 t="s">
        <v>53</v>
      </c>
      <c r="AG27" s="10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 x14ac:dyDescent="0.25">
      <c r="A28" s="1" t="s">
        <v>64</v>
      </c>
      <c r="B28" s="1" t="s">
        <v>36</v>
      </c>
      <c r="C28" s="1">
        <v>407.93700000000001</v>
      </c>
      <c r="D28" s="1">
        <v>1436.0920000000001</v>
      </c>
      <c r="E28" s="1">
        <v>927.69500000000005</v>
      </c>
      <c r="F28" s="1">
        <v>451.91500000000002</v>
      </c>
      <c r="G28" s="7">
        <v>1</v>
      </c>
      <c r="H28" s="1">
        <v>30</v>
      </c>
      <c r="I28" s="9" t="s">
        <v>40</v>
      </c>
      <c r="J28" s="1"/>
      <c r="K28" s="1">
        <v>1096.7650000000001</v>
      </c>
      <c r="L28" s="1">
        <f t="shared" si="2"/>
        <v>-169.07000000000005</v>
      </c>
      <c r="M28" s="1">
        <f t="shared" si="3"/>
        <v>911.59800000000007</v>
      </c>
      <c r="N28" s="1">
        <v>16.097000000000001</v>
      </c>
      <c r="O28" s="1">
        <v>340.39573993200008</v>
      </c>
      <c r="P28" s="1">
        <v>375.47332406800001</v>
      </c>
      <c r="Q28" s="1">
        <v>200</v>
      </c>
      <c r="R28" s="1">
        <f t="shared" si="4"/>
        <v>182.31960000000001</v>
      </c>
      <c r="S28" s="5">
        <f t="shared" ref="S28:S29" si="11">12*R28-Q28-P28-O28-F28</f>
        <v>820.05113600000004</v>
      </c>
      <c r="T28" s="1">
        <f t="shared" si="5"/>
        <v>12.000000000000002</v>
      </c>
      <c r="U28" s="1">
        <f t="shared" si="6"/>
        <v>7.5021229971983274</v>
      </c>
      <c r="V28" s="1">
        <v>171.17699999999999</v>
      </c>
      <c r="W28" s="1">
        <v>180.38159999999999</v>
      </c>
      <c r="X28" s="1">
        <v>170.09280000000001</v>
      </c>
      <c r="Y28" s="1">
        <v>186.76320000000001</v>
      </c>
      <c r="Z28" s="1">
        <v>219.6258</v>
      </c>
      <c r="AA28" s="1">
        <v>196.6198</v>
      </c>
      <c r="AB28" s="1">
        <v>221.1712</v>
      </c>
      <c r="AC28" s="1">
        <v>225.0454</v>
      </c>
      <c r="AD28" s="1">
        <v>231.65860000000001</v>
      </c>
      <c r="AE28" s="1">
        <v>235.7996</v>
      </c>
      <c r="AF28" s="1"/>
      <c r="AG28" s="1">
        <f>G28*S28</f>
        <v>820.05113600000004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 x14ac:dyDescent="0.25">
      <c r="A29" s="1" t="s">
        <v>65</v>
      </c>
      <c r="B29" s="1" t="s">
        <v>36</v>
      </c>
      <c r="C29" s="1">
        <v>4367.2569999999996</v>
      </c>
      <c r="D29" s="1">
        <v>1666.202</v>
      </c>
      <c r="E29" s="1">
        <v>2618.9209999999998</v>
      </c>
      <c r="F29" s="1">
        <v>2588.0250000000001</v>
      </c>
      <c r="G29" s="7">
        <v>1</v>
      </c>
      <c r="H29" s="1">
        <v>40</v>
      </c>
      <c r="I29" s="1" t="s">
        <v>37</v>
      </c>
      <c r="J29" s="1"/>
      <c r="K29" s="1">
        <v>2667.5920000000001</v>
      </c>
      <c r="L29" s="1">
        <f t="shared" si="2"/>
        <v>-48.671000000000276</v>
      </c>
      <c r="M29" s="1">
        <f t="shared" si="3"/>
        <v>2554.8649999999998</v>
      </c>
      <c r="N29" s="1">
        <v>64.055999999999997</v>
      </c>
      <c r="O29" s="1">
        <v>970.70355597599951</v>
      </c>
      <c r="P29" s="1">
        <v>1070.733996023999</v>
      </c>
      <c r="Q29" s="1">
        <v>0</v>
      </c>
      <c r="R29" s="1">
        <f t="shared" si="4"/>
        <v>510.97299999999996</v>
      </c>
      <c r="S29" s="5">
        <f t="shared" si="11"/>
        <v>1502.2134480000009</v>
      </c>
      <c r="T29" s="1">
        <f t="shared" si="5"/>
        <v>12</v>
      </c>
      <c r="U29" s="1">
        <f t="shared" si="6"/>
        <v>9.0600923179894011</v>
      </c>
      <c r="V29" s="1">
        <v>522.6425999999999</v>
      </c>
      <c r="W29" s="1">
        <v>566.42879999999991</v>
      </c>
      <c r="X29" s="1">
        <v>504.87639999999999</v>
      </c>
      <c r="Y29" s="1">
        <v>528.65340000000003</v>
      </c>
      <c r="Z29" s="1">
        <v>571.5462</v>
      </c>
      <c r="AA29" s="1">
        <v>586.11699999999996</v>
      </c>
      <c r="AB29" s="1">
        <v>710.12940000000003</v>
      </c>
      <c r="AC29" s="1">
        <v>412.98540000000003</v>
      </c>
      <c r="AD29" s="1">
        <v>192.2834</v>
      </c>
      <c r="AE29" s="1">
        <v>374.25259999999997</v>
      </c>
      <c r="AF29" s="1"/>
      <c r="AG29" s="1">
        <f>G29*S29</f>
        <v>1502.2134480000009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 x14ac:dyDescent="0.25">
      <c r="A30" s="10" t="s">
        <v>66</v>
      </c>
      <c r="B30" s="10" t="s">
        <v>36</v>
      </c>
      <c r="C30" s="10"/>
      <c r="D30" s="10"/>
      <c r="E30" s="10"/>
      <c r="F30" s="10"/>
      <c r="G30" s="11">
        <v>0</v>
      </c>
      <c r="H30" s="10"/>
      <c r="I30" s="10" t="s">
        <v>37</v>
      </c>
      <c r="J30" s="10"/>
      <c r="K30" s="10"/>
      <c r="L30" s="10">
        <f t="shared" si="2"/>
        <v>0</v>
      </c>
      <c r="M30" s="10">
        <f t="shared" si="3"/>
        <v>0</v>
      </c>
      <c r="N30" s="10"/>
      <c r="O30" s="10">
        <v>0</v>
      </c>
      <c r="P30" s="10"/>
      <c r="Q30" s="10">
        <v>0</v>
      </c>
      <c r="R30" s="10">
        <f t="shared" si="4"/>
        <v>0</v>
      </c>
      <c r="S30" s="12"/>
      <c r="T30" s="10" t="e">
        <f t="shared" si="5"/>
        <v>#DIV/0!</v>
      </c>
      <c r="U30" s="10" t="e">
        <f t="shared" si="6"/>
        <v>#DIV/0!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 t="s">
        <v>53</v>
      </c>
      <c r="AG30" s="10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x14ac:dyDescent="0.25">
      <c r="A31" s="10" t="s">
        <v>67</v>
      </c>
      <c r="B31" s="10" t="s">
        <v>36</v>
      </c>
      <c r="C31" s="10"/>
      <c r="D31" s="10"/>
      <c r="E31" s="10"/>
      <c r="F31" s="10"/>
      <c r="G31" s="11">
        <v>0</v>
      </c>
      <c r="H31" s="10"/>
      <c r="I31" s="10" t="s">
        <v>40</v>
      </c>
      <c r="J31" s="10"/>
      <c r="K31" s="10"/>
      <c r="L31" s="10">
        <f t="shared" si="2"/>
        <v>0</v>
      </c>
      <c r="M31" s="10">
        <f t="shared" si="3"/>
        <v>0</v>
      </c>
      <c r="N31" s="10"/>
      <c r="O31" s="10">
        <v>0</v>
      </c>
      <c r="P31" s="10"/>
      <c r="Q31" s="10">
        <v>0</v>
      </c>
      <c r="R31" s="10">
        <f t="shared" si="4"/>
        <v>0</v>
      </c>
      <c r="S31" s="12"/>
      <c r="T31" s="10" t="e">
        <f t="shared" si="5"/>
        <v>#DIV/0!</v>
      </c>
      <c r="U31" s="10" t="e">
        <f t="shared" si="6"/>
        <v>#DIV/0!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 t="s">
        <v>53</v>
      </c>
      <c r="AG31" s="10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x14ac:dyDescent="0.25">
      <c r="A32" s="10" t="s">
        <v>68</v>
      </c>
      <c r="B32" s="10" t="s">
        <v>36</v>
      </c>
      <c r="C32" s="10"/>
      <c r="D32" s="10"/>
      <c r="E32" s="10"/>
      <c r="F32" s="10"/>
      <c r="G32" s="11">
        <v>0</v>
      </c>
      <c r="H32" s="10"/>
      <c r="I32" s="10" t="s">
        <v>37</v>
      </c>
      <c r="J32" s="10"/>
      <c r="K32" s="10"/>
      <c r="L32" s="10">
        <f t="shared" si="2"/>
        <v>0</v>
      </c>
      <c r="M32" s="10">
        <f t="shared" si="3"/>
        <v>0</v>
      </c>
      <c r="N32" s="10"/>
      <c r="O32" s="10">
        <v>0</v>
      </c>
      <c r="P32" s="10"/>
      <c r="Q32" s="10">
        <v>0</v>
      </c>
      <c r="R32" s="10">
        <f t="shared" si="4"/>
        <v>0</v>
      </c>
      <c r="S32" s="12"/>
      <c r="T32" s="10" t="e">
        <f t="shared" si="5"/>
        <v>#DIV/0!</v>
      </c>
      <c r="U32" s="10" t="e">
        <f t="shared" si="6"/>
        <v>#DIV/0!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 t="s">
        <v>53</v>
      </c>
      <c r="AG32" s="10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x14ac:dyDescent="0.25">
      <c r="A33" s="10" t="s">
        <v>69</v>
      </c>
      <c r="B33" s="10" t="s">
        <v>36</v>
      </c>
      <c r="C33" s="10"/>
      <c r="D33" s="10"/>
      <c r="E33" s="10"/>
      <c r="F33" s="10"/>
      <c r="G33" s="11">
        <v>0</v>
      </c>
      <c r="H33" s="10"/>
      <c r="I33" s="10" t="s">
        <v>37</v>
      </c>
      <c r="J33" s="10"/>
      <c r="K33" s="10"/>
      <c r="L33" s="10">
        <f t="shared" si="2"/>
        <v>0</v>
      </c>
      <c r="M33" s="10">
        <f t="shared" si="3"/>
        <v>0</v>
      </c>
      <c r="N33" s="10"/>
      <c r="O33" s="10">
        <v>0</v>
      </c>
      <c r="P33" s="10"/>
      <c r="Q33" s="10">
        <v>0</v>
      </c>
      <c r="R33" s="10">
        <f t="shared" si="4"/>
        <v>0</v>
      </c>
      <c r="S33" s="12"/>
      <c r="T33" s="10" t="e">
        <f t="shared" si="5"/>
        <v>#DIV/0!</v>
      </c>
      <c r="U33" s="10" t="e">
        <f t="shared" si="6"/>
        <v>#DIV/0!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 t="s">
        <v>53</v>
      </c>
      <c r="AG33" s="10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x14ac:dyDescent="0.25">
      <c r="A34" s="1" t="s">
        <v>70</v>
      </c>
      <c r="B34" s="1" t="s">
        <v>42</v>
      </c>
      <c r="C34" s="1">
        <v>2704</v>
      </c>
      <c r="D34" s="1">
        <v>3781</v>
      </c>
      <c r="E34" s="1">
        <v>3720</v>
      </c>
      <c r="F34" s="1">
        <v>1493</v>
      </c>
      <c r="G34" s="7">
        <v>0.4</v>
      </c>
      <c r="H34" s="1">
        <v>45</v>
      </c>
      <c r="I34" s="9" t="s">
        <v>40</v>
      </c>
      <c r="J34" s="1"/>
      <c r="K34" s="1">
        <v>4015</v>
      </c>
      <c r="L34" s="1">
        <f t="shared" si="2"/>
        <v>-295</v>
      </c>
      <c r="M34" s="1">
        <f t="shared" si="3"/>
        <v>3522</v>
      </c>
      <c r="N34" s="1">
        <v>198</v>
      </c>
      <c r="O34" s="1">
        <v>1748.1772715999989</v>
      </c>
      <c r="P34" s="1">
        <v>1928.3259283999989</v>
      </c>
      <c r="Q34" s="1"/>
      <c r="R34" s="1">
        <f t="shared" si="4"/>
        <v>704.4</v>
      </c>
      <c r="S34" s="5">
        <f t="shared" ref="S34:S48" si="12">12*R34-Q34-P34-O34-F34</f>
        <v>3283.2968000000019</v>
      </c>
      <c r="T34" s="1">
        <f t="shared" si="5"/>
        <v>12</v>
      </c>
      <c r="U34" s="1">
        <f t="shared" si="6"/>
        <v>7.3388745031232219</v>
      </c>
      <c r="V34" s="1">
        <v>693.2</v>
      </c>
      <c r="W34" s="1">
        <v>715.8</v>
      </c>
      <c r="X34" s="1">
        <v>617.20000000000005</v>
      </c>
      <c r="Y34" s="1">
        <v>583.4</v>
      </c>
      <c r="Z34" s="1">
        <v>686</v>
      </c>
      <c r="AA34" s="1">
        <v>679.4</v>
      </c>
      <c r="AB34" s="1">
        <v>754.6</v>
      </c>
      <c r="AC34" s="1">
        <v>654.79999999999995</v>
      </c>
      <c r="AD34" s="1">
        <v>869.4</v>
      </c>
      <c r="AE34" s="1">
        <v>631</v>
      </c>
      <c r="AF34" s="1"/>
      <c r="AG34" s="1">
        <f t="shared" ref="AG34:AG48" si="13">G34*S34</f>
        <v>1313.3187200000009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x14ac:dyDescent="0.25">
      <c r="A35" s="1" t="s">
        <v>71</v>
      </c>
      <c r="B35" s="1" t="s">
        <v>42</v>
      </c>
      <c r="C35" s="1">
        <v>398</v>
      </c>
      <c r="D35" s="1">
        <v>1046</v>
      </c>
      <c r="E35" s="1">
        <v>751</v>
      </c>
      <c r="F35" s="1">
        <v>548</v>
      </c>
      <c r="G35" s="7">
        <v>0.45</v>
      </c>
      <c r="H35" s="1">
        <v>50</v>
      </c>
      <c r="I35" s="1" t="s">
        <v>72</v>
      </c>
      <c r="J35" s="1"/>
      <c r="K35" s="1">
        <v>813</v>
      </c>
      <c r="L35" s="1">
        <f t="shared" si="2"/>
        <v>-62</v>
      </c>
      <c r="M35" s="1">
        <f t="shared" si="3"/>
        <v>751</v>
      </c>
      <c r="N35" s="1"/>
      <c r="O35" s="1">
        <v>570.6</v>
      </c>
      <c r="P35" s="1">
        <v>629.4</v>
      </c>
      <c r="Q35" s="1">
        <v>282.72800000000012</v>
      </c>
      <c r="R35" s="1">
        <f t="shared" si="4"/>
        <v>150.19999999999999</v>
      </c>
      <c r="S35" s="5">
        <v>600</v>
      </c>
      <c r="T35" s="1">
        <f t="shared" si="5"/>
        <v>17.514833555259656</v>
      </c>
      <c r="U35" s="1">
        <f t="shared" si="6"/>
        <v>13.520159786950734</v>
      </c>
      <c r="V35" s="1">
        <v>144.19999999999999</v>
      </c>
      <c r="W35" s="1">
        <v>139</v>
      </c>
      <c r="X35" s="1">
        <v>143.19999999999999</v>
      </c>
      <c r="Y35" s="1">
        <v>108.2</v>
      </c>
      <c r="Z35" s="1">
        <v>107.4</v>
      </c>
      <c r="AA35" s="1">
        <v>120.4</v>
      </c>
      <c r="AB35" s="1">
        <v>124.2</v>
      </c>
      <c r="AC35" s="1">
        <v>129</v>
      </c>
      <c r="AD35" s="1">
        <v>84</v>
      </c>
      <c r="AE35" s="1">
        <v>83.2</v>
      </c>
      <c r="AF35" s="1" t="s">
        <v>73</v>
      </c>
      <c r="AG35" s="1">
        <f t="shared" si="13"/>
        <v>270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x14ac:dyDescent="0.25">
      <c r="A36" s="1" t="s">
        <v>74</v>
      </c>
      <c r="B36" s="1" t="s">
        <v>42</v>
      </c>
      <c r="C36" s="1">
        <v>439</v>
      </c>
      <c r="D36" s="1">
        <v>1569</v>
      </c>
      <c r="E36" s="1">
        <v>967</v>
      </c>
      <c r="F36" s="1">
        <v>793</v>
      </c>
      <c r="G36" s="7">
        <v>0.4</v>
      </c>
      <c r="H36" s="1">
        <v>45</v>
      </c>
      <c r="I36" s="1" t="s">
        <v>37</v>
      </c>
      <c r="J36" s="1"/>
      <c r="K36" s="1">
        <v>1066</v>
      </c>
      <c r="L36" s="1">
        <f t="shared" si="2"/>
        <v>-99</v>
      </c>
      <c r="M36" s="1">
        <f t="shared" si="3"/>
        <v>967</v>
      </c>
      <c r="N36" s="1"/>
      <c r="O36" s="1">
        <v>343.86923699999988</v>
      </c>
      <c r="P36" s="1">
        <v>379.30476299999992</v>
      </c>
      <c r="Q36" s="1">
        <v>0</v>
      </c>
      <c r="R36" s="1">
        <f t="shared" si="4"/>
        <v>193.4</v>
      </c>
      <c r="S36" s="5">
        <f t="shared" si="12"/>
        <v>804.62600000000043</v>
      </c>
      <c r="T36" s="1">
        <f t="shared" si="5"/>
        <v>12</v>
      </c>
      <c r="U36" s="1">
        <f t="shared" si="6"/>
        <v>7.8395760082730082</v>
      </c>
      <c r="V36" s="1">
        <v>176.6</v>
      </c>
      <c r="W36" s="1">
        <v>196.6</v>
      </c>
      <c r="X36" s="1">
        <v>188.6</v>
      </c>
      <c r="Y36" s="1">
        <v>152.80000000000001</v>
      </c>
      <c r="Z36" s="1">
        <v>173.4</v>
      </c>
      <c r="AA36" s="1">
        <v>179.2</v>
      </c>
      <c r="AB36" s="1">
        <v>210.4</v>
      </c>
      <c r="AC36" s="1">
        <v>192</v>
      </c>
      <c r="AD36" s="1">
        <v>152.4</v>
      </c>
      <c r="AE36" s="1">
        <v>151.6</v>
      </c>
      <c r="AF36" s="1"/>
      <c r="AG36" s="1">
        <f t="shared" si="13"/>
        <v>321.85040000000021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x14ac:dyDescent="0.25">
      <c r="A37" s="1" t="s">
        <v>75</v>
      </c>
      <c r="B37" s="1" t="s">
        <v>42</v>
      </c>
      <c r="C37" s="1">
        <v>-12</v>
      </c>
      <c r="D37" s="1">
        <v>700</v>
      </c>
      <c r="E37" s="1">
        <v>394</v>
      </c>
      <c r="F37" s="1">
        <v>27</v>
      </c>
      <c r="G37" s="7">
        <v>0.4</v>
      </c>
      <c r="H37" s="1">
        <v>40</v>
      </c>
      <c r="I37" s="18" t="s">
        <v>72</v>
      </c>
      <c r="J37" s="1"/>
      <c r="K37" s="1">
        <v>690</v>
      </c>
      <c r="L37" s="1">
        <f t="shared" si="2"/>
        <v>-296</v>
      </c>
      <c r="M37" s="1">
        <f t="shared" si="3"/>
        <v>394</v>
      </c>
      <c r="N37" s="1"/>
      <c r="O37" s="1">
        <v>0</v>
      </c>
      <c r="P37" s="1"/>
      <c r="Q37" s="1">
        <v>0</v>
      </c>
      <c r="R37" s="1">
        <f t="shared" si="4"/>
        <v>78.8</v>
      </c>
      <c r="S37" s="5">
        <f>7*R37-Q37-P37-O37-F37</f>
        <v>524.6</v>
      </c>
      <c r="T37" s="1">
        <f t="shared" si="5"/>
        <v>7.0000000000000009</v>
      </c>
      <c r="U37" s="1">
        <f t="shared" si="6"/>
        <v>0.34263959390862947</v>
      </c>
      <c r="V37" s="1">
        <v>30.4</v>
      </c>
      <c r="W37" s="1">
        <v>21.8</v>
      </c>
      <c r="X37" s="1">
        <v>26</v>
      </c>
      <c r="Y37" s="1">
        <v>29.6</v>
      </c>
      <c r="Z37" s="1">
        <v>30.4</v>
      </c>
      <c r="AA37" s="1">
        <v>20.399999999999999</v>
      </c>
      <c r="AB37" s="1">
        <v>0</v>
      </c>
      <c r="AC37" s="1">
        <v>1.8</v>
      </c>
      <c r="AD37" s="1">
        <v>13.6</v>
      </c>
      <c r="AE37" s="1">
        <v>18.8</v>
      </c>
      <c r="AF37" s="1"/>
      <c r="AG37" s="1">
        <f t="shared" si="13"/>
        <v>209.84000000000003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x14ac:dyDescent="0.25">
      <c r="A38" s="1" t="s">
        <v>76</v>
      </c>
      <c r="B38" s="1" t="s">
        <v>36</v>
      </c>
      <c r="C38" s="1">
        <v>109.047</v>
      </c>
      <c r="D38" s="1">
        <v>8.6059999999999999</v>
      </c>
      <c r="E38" s="1">
        <v>22.853999999999999</v>
      </c>
      <c r="F38" s="1">
        <v>78.998999999999995</v>
      </c>
      <c r="G38" s="7">
        <v>1</v>
      </c>
      <c r="H38" s="1"/>
      <c r="I38" s="9" t="s">
        <v>40</v>
      </c>
      <c r="J38" s="1"/>
      <c r="K38" s="1">
        <v>32.6</v>
      </c>
      <c r="L38" s="1">
        <f t="shared" ref="L38:L69" si="14">E38-K38</f>
        <v>-9.7460000000000022</v>
      </c>
      <c r="M38" s="1">
        <f t="shared" ref="M38:M69" si="15">E38-N38</f>
        <v>22.853999999999999</v>
      </c>
      <c r="N38" s="1"/>
      <c r="O38" s="1">
        <v>0</v>
      </c>
      <c r="P38" s="1"/>
      <c r="Q38" s="1">
        <v>0</v>
      </c>
      <c r="R38" s="1">
        <f t="shared" ref="R38:R69" si="16">M38/5</f>
        <v>4.5708000000000002</v>
      </c>
      <c r="S38" s="5"/>
      <c r="T38" s="1">
        <f t="shared" ref="T38:T69" si="17">(F38+O38+P38+Q38+S38)/R38</f>
        <v>17.2834077185613</v>
      </c>
      <c r="U38" s="1">
        <f t="shared" ref="U38:U69" si="18">(F38+O38+P38+Q38)/R38</f>
        <v>17.2834077185613</v>
      </c>
      <c r="V38" s="1">
        <v>3.7145999999999999</v>
      </c>
      <c r="W38" s="1">
        <v>1.996</v>
      </c>
      <c r="X38" s="1">
        <v>2.2833999999999999</v>
      </c>
      <c r="Y38" s="1">
        <v>2.2871999999999999</v>
      </c>
      <c r="Z38" s="1">
        <v>2.8632</v>
      </c>
      <c r="AA38" s="1">
        <v>2.0015999999999998</v>
      </c>
      <c r="AB38" s="1">
        <v>2.2812000000000001</v>
      </c>
      <c r="AC38" s="1">
        <v>4.6482000000000001</v>
      </c>
      <c r="AD38" s="1">
        <v>6.3221999999999996</v>
      </c>
      <c r="AE38" s="1">
        <v>11.244199999999999</v>
      </c>
      <c r="AF38" s="15" t="s">
        <v>188</v>
      </c>
      <c r="AG38" s="1">
        <f t="shared" si="13"/>
        <v>0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x14ac:dyDescent="0.25">
      <c r="A39" s="1" t="s">
        <v>77</v>
      </c>
      <c r="B39" s="1" t="s">
        <v>42</v>
      </c>
      <c r="C39" s="1">
        <v>291</v>
      </c>
      <c r="D39" s="1">
        <v>210</v>
      </c>
      <c r="E39" s="1">
        <v>298</v>
      </c>
      <c r="F39" s="1">
        <v>137</v>
      </c>
      <c r="G39" s="7">
        <v>0.1</v>
      </c>
      <c r="H39" s="1">
        <v>731</v>
      </c>
      <c r="I39" s="1" t="s">
        <v>37</v>
      </c>
      <c r="J39" s="1"/>
      <c r="K39" s="1">
        <v>328</v>
      </c>
      <c r="L39" s="1">
        <f t="shared" si="14"/>
        <v>-30</v>
      </c>
      <c r="M39" s="1">
        <f t="shared" si="15"/>
        <v>298</v>
      </c>
      <c r="N39" s="1"/>
      <c r="O39" s="1">
        <v>200.09800799999999</v>
      </c>
      <c r="P39" s="1">
        <v>220.71799200000001</v>
      </c>
      <c r="Q39" s="1">
        <v>100</v>
      </c>
      <c r="R39" s="1">
        <f t="shared" si="16"/>
        <v>59.6</v>
      </c>
      <c r="S39" s="5">
        <f t="shared" si="12"/>
        <v>57.384000000000071</v>
      </c>
      <c r="T39" s="1">
        <f t="shared" si="17"/>
        <v>12</v>
      </c>
      <c r="U39" s="1">
        <f t="shared" si="18"/>
        <v>11.037181208053692</v>
      </c>
      <c r="V39" s="1">
        <v>61.2</v>
      </c>
      <c r="W39" s="1">
        <v>65.400000000000006</v>
      </c>
      <c r="X39" s="1">
        <v>45.2</v>
      </c>
      <c r="Y39" s="1">
        <v>39.6</v>
      </c>
      <c r="Z39" s="1">
        <v>47</v>
      </c>
      <c r="AA39" s="1">
        <v>55.8</v>
      </c>
      <c r="AB39" s="1">
        <v>66.2</v>
      </c>
      <c r="AC39" s="1">
        <v>60.8</v>
      </c>
      <c r="AD39" s="1">
        <v>56</v>
      </c>
      <c r="AE39" s="1">
        <v>60</v>
      </c>
      <c r="AF39" s="1"/>
      <c r="AG39" s="1">
        <f t="shared" si="13"/>
        <v>5.7384000000000075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x14ac:dyDescent="0.25">
      <c r="A40" s="1" t="s">
        <v>78</v>
      </c>
      <c r="B40" s="1" t="s">
        <v>42</v>
      </c>
      <c r="C40" s="1">
        <v>8.6630000000000003</v>
      </c>
      <c r="D40" s="1">
        <v>102</v>
      </c>
      <c r="E40" s="1">
        <v>24</v>
      </c>
      <c r="F40" s="1">
        <v>4.6630000000000003</v>
      </c>
      <c r="G40" s="7">
        <v>0.35</v>
      </c>
      <c r="H40" s="1">
        <v>40</v>
      </c>
      <c r="I40" s="9" t="s">
        <v>40</v>
      </c>
      <c r="J40" s="1"/>
      <c r="K40" s="1">
        <v>26</v>
      </c>
      <c r="L40" s="1">
        <f t="shared" si="14"/>
        <v>-2</v>
      </c>
      <c r="M40" s="1">
        <f t="shared" si="15"/>
        <v>24</v>
      </c>
      <c r="N40" s="1"/>
      <c r="O40" s="1">
        <v>7.5402000000000093</v>
      </c>
      <c r="P40" s="1"/>
      <c r="Q40" s="1">
        <v>0</v>
      </c>
      <c r="R40" s="1">
        <f t="shared" si="16"/>
        <v>4.8</v>
      </c>
      <c r="S40" s="5">
        <f t="shared" si="12"/>
        <v>45.396799999999985</v>
      </c>
      <c r="T40" s="1">
        <f t="shared" si="17"/>
        <v>12</v>
      </c>
      <c r="U40" s="1">
        <f t="shared" si="18"/>
        <v>2.5423333333333353</v>
      </c>
      <c r="V40" s="1">
        <v>5.4</v>
      </c>
      <c r="W40" s="1">
        <v>9.4336000000000002</v>
      </c>
      <c r="X40" s="1">
        <v>5.4336000000000002</v>
      </c>
      <c r="Y40" s="1">
        <v>0.23380000000000001</v>
      </c>
      <c r="Z40" s="1">
        <v>0.23380000000000001</v>
      </c>
      <c r="AA40" s="1">
        <v>-0.2</v>
      </c>
      <c r="AB40" s="1">
        <v>-0.4</v>
      </c>
      <c r="AC40" s="1">
        <v>17.399999999999999</v>
      </c>
      <c r="AD40" s="1">
        <v>18.2</v>
      </c>
      <c r="AE40" s="1">
        <v>0.4</v>
      </c>
      <c r="AF40" s="1"/>
      <c r="AG40" s="1">
        <f t="shared" si="13"/>
        <v>15.888879999999993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x14ac:dyDescent="0.25">
      <c r="A41" s="1" t="s">
        <v>79</v>
      </c>
      <c r="B41" s="1" t="s">
        <v>36</v>
      </c>
      <c r="C41" s="1">
        <v>41.383000000000003</v>
      </c>
      <c r="D41" s="1">
        <v>14.489000000000001</v>
      </c>
      <c r="E41" s="1">
        <v>20.184999999999999</v>
      </c>
      <c r="F41" s="1">
        <v>32.404000000000003</v>
      </c>
      <c r="G41" s="7">
        <v>1</v>
      </c>
      <c r="H41" s="1">
        <v>40</v>
      </c>
      <c r="I41" s="1" t="s">
        <v>37</v>
      </c>
      <c r="J41" s="1"/>
      <c r="K41" s="1">
        <v>20.9</v>
      </c>
      <c r="L41" s="1">
        <f t="shared" si="14"/>
        <v>-0.71499999999999986</v>
      </c>
      <c r="M41" s="1">
        <f t="shared" si="15"/>
        <v>20.184999999999999</v>
      </c>
      <c r="N41" s="1"/>
      <c r="O41" s="1">
        <v>32.368999999999993</v>
      </c>
      <c r="P41" s="1"/>
      <c r="Q41" s="1">
        <v>4</v>
      </c>
      <c r="R41" s="1">
        <f t="shared" si="16"/>
        <v>4.0369999999999999</v>
      </c>
      <c r="S41" s="5"/>
      <c r="T41" s="1">
        <f t="shared" si="17"/>
        <v>17.035670052018826</v>
      </c>
      <c r="U41" s="1">
        <f t="shared" si="18"/>
        <v>17.035670052018826</v>
      </c>
      <c r="V41" s="1">
        <v>6.6698000000000004</v>
      </c>
      <c r="W41" s="1">
        <v>6.9189999999999996</v>
      </c>
      <c r="X41" s="1">
        <v>6.3548</v>
      </c>
      <c r="Y41" s="1">
        <v>6.2396000000000003</v>
      </c>
      <c r="Z41" s="1">
        <v>4.0526</v>
      </c>
      <c r="AA41" s="1">
        <v>0.86860000000000004</v>
      </c>
      <c r="AB41" s="1">
        <v>1.5376000000000001</v>
      </c>
      <c r="AC41" s="1">
        <v>4.7845999999999993</v>
      </c>
      <c r="AD41" s="1">
        <v>3.8283999999999998</v>
      </c>
      <c r="AE41" s="1">
        <v>1.671</v>
      </c>
      <c r="AF41" s="1"/>
      <c r="AG41" s="1">
        <f t="shared" si="13"/>
        <v>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x14ac:dyDescent="0.25">
      <c r="A42" s="1" t="s">
        <v>80</v>
      </c>
      <c r="B42" s="1" t="s">
        <v>42</v>
      </c>
      <c r="C42" s="1">
        <v>115</v>
      </c>
      <c r="D42" s="1">
        <v>181</v>
      </c>
      <c r="E42" s="1">
        <v>201</v>
      </c>
      <c r="F42" s="1">
        <v>13</v>
      </c>
      <c r="G42" s="7">
        <v>0.4</v>
      </c>
      <c r="H42" s="1">
        <v>40</v>
      </c>
      <c r="I42" s="9" t="s">
        <v>40</v>
      </c>
      <c r="J42" s="1"/>
      <c r="K42" s="1">
        <v>389</v>
      </c>
      <c r="L42" s="1">
        <f t="shared" si="14"/>
        <v>-188</v>
      </c>
      <c r="M42" s="1">
        <f t="shared" si="15"/>
        <v>201</v>
      </c>
      <c r="N42" s="1"/>
      <c r="O42" s="1">
        <v>205.7013</v>
      </c>
      <c r="P42" s="1">
        <v>226.89869999999999</v>
      </c>
      <c r="Q42" s="1">
        <v>380.48000000000008</v>
      </c>
      <c r="R42" s="1">
        <f t="shared" si="16"/>
        <v>40.200000000000003</v>
      </c>
      <c r="S42" s="5"/>
      <c r="T42" s="1">
        <f t="shared" si="17"/>
        <v>20.549253731343285</v>
      </c>
      <c r="U42" s="1">
        <f t="shared" si="18"/>
        <v>20.549253731343285</v>
      </c>
      <c r="V42" s="1">
        <v>87</v>
      </c>
      <c r="W42" s="1">
        <v>60.6</v>
      </c>
      <c r="X42" s="1">
        <v>14.8</v>
      </c>
      <c r="Y42" s="1">
        <v>32.799999999999997</v>
      </c>
      <c r="Z42" s="1">
        <v>53.2</v>
      </c>
      <c r="AA42" s="1">
        <v>65</v>
      </c>
      <c r="AB42" s="1">
        <v>73.2</v>
      </c>
      <c r="AC42" s="1">
        <v>57</v>
      </c>
      <c r="AD42" s="1">
        <v>51.2</v>
      </c>
      <c r="AE42" s="1">
        <v>38.4</v>
      </c>
      <c r="AF42" s="1"/>
      <c r="AG42" s="1">
        <f t="shared" si="13"/>
        <v>0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x14ac:dyDescent="0.25">
      <c r="A43" s="1" t="s">
        <v>81</v>
      </c>
      <c r="B43" s="1" t="s">
        <v>42</v>
      </c>
      <c r="C43" s="1">
        <v>207</v>
      </c>
      <c r="D43" s="1">
        <v>553</v>
      </c>
      <c r="E43" s="1">
        <v>681</v>
      </c>
      <c r="F43" s="1">
        <v>13</v>
      </c>
      <c r="G43" s="7">
        <v>0.4</v>
      </c>
      <c r="H43" s="1">
        <v>45</v>
      </c>
      <c r="I43" s="9" t="s">
        <v>40</v>
      </c>
      <c r="J43" s="1"/>
      <c r="K43" s="1">
        <v>821</v>
      </c>
      <c r="L43" s="1">
        <f t="shared" si="14"/>
        <v>-140</v>
      </c>
      <c r="M43" s="1">
        <f t="shared" si="15"/>
        <v>681</v>
      </c>
      <c r="N43" s="1"/>
      <c r="O43" s="1">
        <v>457.465236</v>
      </c>
      <c r="P43" s="1">
        <v>504.60676399999988</v>
      </c>
      <c r="Q43" s="1">
        <v>266.25599999999997</v>
      </c>
      <c r="R43" s="1">
        <f t="shared" si="16"/>
        <v>136.19999999999999</v>
      </c>
      <c r="S43" s="5">
        <f t="shared" si="12"/>
        <v>393.07199999999989</v>
      </c>
      <c r="T43" s="1">
        <f t="shared" si="17"/>
        <v>12</v>
      </c>
      <c r="U43" s="1">
        <f t="shared" si="18"/>
        <v>9.1140088105726882</v>
      </c>
      <c r="V43" s="1">
        <v>154.19999999999999</v>
      </c>
      <c r="W43" s="1">
        <v>116.8</v>
      </c>
      <c r="X43" s="1">
        <v>81.8</v>
      </c>
      <c r="Y43" s="1">
        <v>82.4</v>
      </c>
      <c r="Z43" s="1">
        <v>90.2</v>
      </c>
      <c r="AA43" s="1">
        <v>88</v>
      </c>
      <c r="AB43" s="1">
        <v>84</v>
      </c>
      <c r="AC43" s="1">
        <v>41.2</v>
      </c>
      <c r="AD43" s="1">
        <v>60.8</v>
      </c>
      <c r="AE43" s="1">
        <v>91.6</v>
      </c>
      <c r="AF43" s="1"/>
      <c r="AG43" s="1">
        <f t="shared" si="13"/>
        <v>157.22879999999998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x14ac:dyDescent="0.25">
      <c r="A44" s="1" t="s">
        <v>82</v>
      </c>
      <c r="B44" s="1" t="s">
        <v>36</v>
      </c>
      <c r="C44" s="1">
        <v>116.566</v>
      </c>
      <c r="D44" s="1">
        <v>329.12799999999999</v>
      </c>
      <c r="E44" s="1">
        <v>59.39</v>
      </c>
      <c r="F44" s="1">
        <v>355.80599999999998</v>
      </c>
      <c r="G44" s="7">
        <v>1</v>
      </c>
      <c r="H44" s="1">
        <v>40</v>
      </c>
      <c r="I44" s="9" t="s">
        <v>40</v>
      </c>
      <c r="J44" s="1"/>
      <c r="K44" s="1">
        <v>90.634</v>
      </c>
      <c r="L44" s="1">
        <f t="shared" si="14"/>
        <v>-31.244</v>
      </c>
      <c r="M44" s="1">
        <f t="shared" si="15"/>
        <v>59.39</v>
      </c>
      <c r="N44" s="1"/>
      <c r="O44" s="1">
        <v>0</v>
      </c>
      <c r="P44" s="1"/>
      <c r="Q44" s="1">
        <v>0</v>
      </c>
      <c r="R44" s="1">
        <f t="shared" si="16"/>
        <v>11.878</v>
      </c>
      <c r="S44" s="5"/>
      <c r="T44" s="1">
        <f t="shared" si="17"/>
        <v>29.955042936521298</v>
      </c>
      <c r="U44" s="1">
        <f t="shared" si="18"/>
        <v>29.955042936521298</v>
      </c>
      <c r="V44" s="1">
        <v>18.694400000000002</v>
      </c>
      <c r="W44" s="1">
        <v>8.4109999999999996</v>
      </c>
      <c r="X44" s="1">
        <v>0.14360000000000001</v>
      </c>
      <c r="Y44" s="1">
        <v>0</v>
      </c>
      <c r="Z44" s="1">
        <v>0</v>
      </c>
      <c r="AA44" s="1">
        <v>9.7788000000000004</v>
      </c>
      <c r="AB44" s="1">
        <v>18.235800000000001</v>
      </c>
      <c r="AC44" s="1">
        <v>15.523999999999999</v>
      </c>
      <c r="AD44" s="1">
        <v>12.8612</v>
      </c>
      <c r="AE44" s="1">
        <v>9.6170000000000009</v>
      </c>
      <c r="AF44" s="15" t="s">
        <v>44</v>
      </c>
      <c r="AG44" s="1">
        <f t="shared" si="13"/>
        <v>0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x14ac:dyDescent="0.25">
      <c r="A45" s="1" t="s">
        <v>83</v>
      </c>
      <c r="B45" s="1" t="s">
        <v>42</v>
      </c>
      <c r="C45" s="1">
        <v>-1.85</v>
      </c>
      <c r="D45" s="1">
        <v>182</v>
      </c>
      <c r="E45" s="1">
        <v>184</v>
      </c>
      <c r="F45" s="1">
        <v>-14.85</v>
      </c>
      <c r="G45" s="7">
        <v>0.35</v>
      </c>
      <c r="H45" s="1">
        <v>40</v>
      </c>
      <c r="I45" s="9" t="s">
        <v>84</v>
      </c>
      <c r="J45" s="1"/>
      <c r="K45" s="1">
        <v>336</v>
      </c>
      <c r="L45" s="1">
        <f t="shared" si="14"/>
        <v>-152</v>
      </c>
      <c r="M45" s="1">
        <f t="shared" si="15"/>
        <v>184</v>
      </c>
      <c r="N45" s="1"/>
      <c r="O45" s="1">
        <v>713.25</v>
      </c>
      <c r="P45" s="1">
        <v>786.75</v>
      </c>
      <c r="Q45" s="1">
        <v>290.83999999999997</v>
      </c>
      <c r="R45" s="1">
        <f t="shared" si="16"/>
        <v>36.799999999999997</v>
      </c>
      <c r="S45" s="5">
        <v>350</v>
      </c>
      <c r="T45" s="1">
        <f t="shared" si="17"/>
        <v>57.771467391304348</v>
      </c>
      <c r="U45" s="1">
        <f t="shared" si="18"/>
        <v>48.260597826086958</v>
      </c>
      <c r="V45" s="1">
        <v>51</v>
      </c>
      <c r="W45" s="1">
        <v>28.6</v>
      </c>
      <c r="X45" s="1">
        <v>-0.4</v>
      </c>
      <c r="Y45" s="1">
        <v>0</v>
      </c>
      <c r="Z45" s="1">
        <v>-0.4</v>
      </c>
      <c r="AA45" s="1">
        <v>31.2</v>
      </c>
      <c r="AB45" s="1">
        <v>60.8</v>
      </c>
      <c r="AC45" s="1">
        <v>78.400000000000006</v>
      </c>
      <c r="AD45" s="1">
        <v>297.39999999999998</v>
      </c>
      <c r="AE45" s="1">
        <v>286.60000000000002</v>
      </c>
      <c r="AF45" s="1" t="s">
        <v>85</v>
      </c>
      <c r="AG45" s="1">
        <f t="shared" si="13"/>
        <v>122.49999999999999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x14ac:dyDescent="0.25">
      <c r="A46" s="1" t="s">
        <v>86</v>
      </c>
      <c r="B46" s="1" t="s">
        <v>42</v>
      </c>
      <c r="C46" s="1">
        <v>526</v>
      </c>
      <c r="D46" s="1">
        <v>83</v>
      </c>
      <c r="E46" s="1">
        <v>486</v>
      </c>
      <c r="F46" s="1">
        <v>-2</v>
      </c>
      <c r="G46" s="7">
        <v>0.4</v>
      </c>
      <c r="H46" s="1">
        <v>40</v>
      </c>
      <c r="I46" s="1" t="s">
        <v>37</v>
      </c>
      <c r="J46" s="1"/>
      <c r="K46" s="1">
        <v>540</v>
      </c>
      <c r="L46" s="1">
        <f t="shared" si="14"/>
        <v>-54</v>
      </c>
      <c r="M46" s="1">
        <f t="shared" si="15"/>
        <v>486</v>
      </c>
      <c r="N46" s="1"/>
      <c r="O46" s="1">
        <v>173.38632000000001</v>
      </c>
      <c r="P46" s="1">
        <v>191.25368</v>
      </c>
      <c r="Q46" s="1">
        <v>244.95999999999989</v>
      </c>
      <c r="R46" s="1">
        <f t="shared" si="16"/>
        <v>97.2</v>
      </c>
      <c r="S46" s="5">
        <f t="shared" si="12"/>
        <v>558.80000000000018</v>
      </c>
      <c r="T46" s="1">
        <f t="shared" si="17"/>
        <v>12</v>
      </c>
      <c r="U46" s="1">
        <f t="shared" si="18"/>
        <v>6.2510288065843609</v>
      </c>
      <c r="V46" s="1">
        <v>90</v>
      </c>
      <c r="W46" s="1">
        <v>66</v>
      </c>
      <c r="X46" s="1">
        <v>54.6</v>
      </c>
      <c r="Y46" s="1">
        <v>52</v>
      </c>
      <c r="Z46" s="1">
        <v>69</v>
      </c>
      <c r="AA46" s="1">
        <v>79.400000000000006</v>
      </c>
      <c r="AB46" s="1">
        <v>67.400000000000006</v>
      </c>
      <c r="AC46" s="1">
        <v>75.400000000000006</v>
      </c>
      <c r="AD46" s="1">
        <v>92</v>
      </c>
      <c r="AE46" s="1">
        <v>107</v>
      </c>
      <c r="AF46" s="1"/>
      <c r="AG46" s="1">
        <f t="shared" si="13"/>
        <v>223.5200000000001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 x14ac:dyDescent="0.25">
      <c r="A47" s="1" t="s">
        <v>87</v>
      </c>
      <c r="B47" s="1" t="s">
        <v>36</v>
      </c>
      <c r="C47" s="1">
        <v>-10.371</v>
      </c>
      <c r="D47" s="1">
        <v>448.94299999999998</v>
      </c>
      <c r="E47" s="1">
        <v>101.206</v>
      </c>
      <c r="F47" s="1">
        <v>316.93599999999998</v>
      </c>
      <c r="G47" s="7">
        <v>1</v>
      </c>
      <c r="H47" s="1">
        <v>50</v>
      </c>
      <c r="I47" s="1" t="s">
        <v>37</v>
      </c>
      <c r="J47" s="1"/>
      <c r="K47" s="1">
        <v>107</v>
      </c>
      <c r="L47" s="1">
        <f t="shared" si="14"/>
        <v>-5.7939999999999969</v>
      </c>
      <c r="M47" s="1">
        <f t="shared" si="15"/>
        <v>101.206</v>
      </c>
      <c r="N47" s="1"/>
      <c r="O47" s="1">
        <v>0</v>
      </c>
      <c r="P47" s="1"/>
      <c r="Q47" s="1">
        <v>0</v>
      </c>
      <c r="R47" s="1">
        <f t="shared" si="16"/>
        <v>20.241199999999999</v>
      </c>
      <c r="S47" s="5"/>
      <c r="T47" s="1">
        <f t="shared" si="17"/>
        <v>15.657964942789953</v>
      </c>
      <c r="U47" s="1">
        <f t="shared" si="18"/>
        <v>15.657964942789953</v>
      </c>
      <c r="V47" s="1">
        <v>19.106200000000001</v>
      </c>
      <c r="W47" s="1">
        <v>26.2178</v>
      </c>
      <c r="X47" s="1">
        <v>24.6632</v>
      </c>
      <c r="Y47" s="1">
        <v>41.405000000000001</v>
      </c>
      <c r="Z47" s="1">
        <v>41.046999999999997</v>
      </c>
      <c r="AA47" s="1">
        <v>19.833600000000001</v>
      </c>
      <c r="AB47" s="1">
        <v>20.871600000000001</v>
      </c>
      <c r="AC47" s="1">
        <v>29.981400000000001</v>
      </c>
      <c r="AD47" s="1">
        <v>29.677399999999999</v>
      </c>
      <c r="AE47" s="1">
        <v>19.035</v>
      </c>
      <c r="AF47" s="1"/>
      <c r="AG47" s="1">
        <f t="shared" si="13"/>
        <v>0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x14ac:dyDescent="0.25">
      <c r="A48" s="1" t="s">
        <v>88</v>
      </c>
      <c r="B48" s="1" t="s">
        <v>36</v>
      </c>
      <c r="C48" s="1">
        <v>1131.386</v>
      </c>
      <c r="D48" s="1">
        <v>1944.604</v>
      </c>
      <c r="E48" s="1">
        <v>1641.5730000000001</v>
      </c>
      <c r="F48" s="1">
        <v>201.86799999999999</v>
      </c>
      <c r="G48" s="7">
        <v>1</v>
      </c>
      <c r="H48" s="1">
        <v>50</v>
      </c>
      <c r="I48" s="1" t="s">
        <v>37</v>
      </c>
      <c r="J48" s="1"/>
      <c r="K48" s="1">
        <v>1683.373</v>
      </c>
      <c r="L48" s="1">
        <f t="shared" si="14"/>
        <v>-41.799999999999955</v>
      </c>
      <c r="M48" s="1">
        <f t="shared" si="15"/>
        <v>701.90000000000009</v>
      </c>
      <c r="N48" s="1">
        <v>939.673</v>
      </c>
      <c r="O48" s="1">
        <v>0</v>
      </c>
      <c r="P48" s="1"/>
      <c r="Q48" s="1">
        <v>840.90155199999981</v>
      </c>
      <c r="R48" s="1">
        <f t="shared" si="16"/>
        <v>140.38000000000002</v>
      </c>
      <c r="S48" s="5">
        <f t="shared" si="12"/>
        <v>641.79044800000065</v>
      </c>
      <c r="T48" s="1">
        <f t="shared" si="17"/>
        <v>12</v>
      </c>
      <c r="U48" s="1">
        <f t="shared" si="18"/>
        <v>7.4281917082205409</v>
      </c>
      <c r="V48" s="1">
        <v>172.2028</v>
      </c>
      <c r="W48" s="1">
        <v>48.210799999999999</v>
      </c>
      <c r="X48" s="1">
        <v>0.9294</v>
      </c>
      <c r="Y48" s="1">
        <v>46.881199999999993</v>
      </c>
      <c r="Z48" s="1">
        <v>105.58880000000001</v>
      </c>
      <c r="AA48" s="1">
        <v>141.5504</v>
      </c>
      <c r="AB48" s="1">
        <v>82.66</v>
      </c>
      <c r="AC48" s="1">
        <v>80.614800000000002</v>
      </c>
      <c r="AD48" s="1">
        <v>94.964200000000005</v>
      </c>
      <c r="AE48" s="1">
        <v>153.36920000000001</v>
      </c>
      <c r="AF48" s="1"/>
      <c r="AG48" s="1">
        <f t="shared" si="13"/>
        <v>641.79044800000065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 x14ac:dyDescent="0.25">
      <c r="A49" s="10" t="s">
        <v>89</v>
      </c>
      <c r="B49" s="10" t="s">
        <v>36</v>
      </c>
      <c r="C49" s="10"/>
      <c r="D49" s="10"/>
      <c r="E49" s="10"/>
      <c r="F49" s="10"/>
      <c r="G49" s="11">
        <v>0</v>
      </c>
      <c r="H49" s="10"/>
      <c r="I49" s="10" t="s">
        <v>40</v>
      </c>
      <c r="J49" s="10"/>
      <c r="K49" s="10"/>
      <c r="L49" s="10">
        <f t="shared" si="14"/>
        <v>0</v>
      </c>
      <c r="M49" s="10">
        <f t="shared" si="15"/>
        <v>0</v>
      </c>
      <c r="N49" s="10"/>
      <c r="O49" s="10">
        <v>0</v>
      </c>
      <c r="P49" s="10"/>
      <c r="Q49" s="10">
        <v>0</v>
      </c>
      <c r="R49" s="10">
        <f t="shared" si="16"/>
        <v>0</v>
      </c>
      <c r="S49" s="12"/>
      <c r="T49" s="10" t="e">
        <f t="shared" si="17"/>
        <v>#DIV/0!</v>
      </c>
      <c r="U49" s="10" t="e">
        <f t="shared" si="18"/>
        <v>#DIV/0!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 t="s">
        <v>53</v>
      </c>
      <c r="AG49" s="10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 x14ac:dyDescent="0.25">
      <c r="A50" s="1" t="s">
        <v>90</v>
      </c>
      <c r="B50" s="1" t="s">
        <v>42</v>
      </c>
      <c r="C50" s="1">
        <v>179</v>
      </c>
      <c r="D50" s="1">
        <v>385</v>
      </c>
      <c r="E50" s="1">
        <v>320</v>
      </c>
      <c r="F50" s="1">
        <v>181</v>
      </c>
      <c r="G50" s="7">
        <v>0.45</v>
      </c>
      <c r="H50" s="1">
        <v>50</v>
      </c>
      <c r="I50" s="1" t="s">
        <v>37</v>
      </c>
      <c r="J50" s="1"/>
      <c r="K50" s="1">
        <v>340</v>
      </c>
      <c r="L50" s="1">
        <f t="shared" si="14"/>
        <v>-20</v>
      </c>
      <c r="M50" s="1">
        <f t="shared" si="15"/>
        <v>320</v>
      </c>
      <c r="N50" s="1"/>
      <c r="O50" s="1">
        <v>178.69106076599999</v>
      </c>
      <c r="P50" s="1">
        <v>197.10507123400001</v>
      </c>
      <c r="Q50" s="1">
        <v>100</v>
      </c>
      <c r="R50" s="1">
        <f t="shared" si="16"/>
        <v>64</v>
      </c>
      <c r="S50" s="5">
        <f t="shared" ref="S50:S51" si="19">12*R50-Q50-P50-O50-F50</f>
        <v>111.20386800000006</v>
      </c>
      <c r="T50" s="1">
        <f t="shared" si="17"/>
        <v>12</v>
      </c>
      <c r="U50" s="1">
        <f t="shared" si="18"/>
        <v>10.262439562499999</v>
      </c>
      <c r="V50" s="1">
        <v>63.8</v>
      </c>
      <c r="W50" s="1">
        <v>68</v>
      </c>
      <c r="X50" s="1">
        <v>58.8</v>
      </c>
      <c r="Y50" s="1">
        <v>49.8</v>
      </c>
      <c r="Z50" s="1">
        <v>64.003599999999992</v>
      </c>
      <c r="AA50" s="1">
        <v>53.003599999999992</v>
      </c>
      <c r="AB50" s="1">
        <v>62.2</v>
      </c>
      <c r="AC50" s="1">
        <v>72.400000000000006</v>
      </c>
      <c r="AD50" s="1">
        <v>68</v>
      </c>
      <c r="AE50" s="1">
        <v>63</v>
      </c>
      <c r="AF50" s="1"/>
      <c r="AG50" s="1">
        <f>G50*S50</f>
        <v>50.041740600000026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 x14ac:dyDescent="0.25">
      <c r="A51" s="1" t="s">
        <v>91</v>
      </c>
      <c r="B51" s="1" t="s">
        <v>42</v>
      </c>
      <c r="C51" s="1">
        <v>828</v>
      </c>
      <c r="D51" s="1">
        <v>49</v>
      </c>
      <c r="E51" s="1">
        <v>449</v>
      </c>
      <c r="F51" s="1">
        <v>323</v>
      </c>
      <c r="G51" s="7">
        <v>0.45</v>
      </c>
      <c r="H51" s="1">
        <v>50</v>
      </c>
      <c r="I51" s="1" t="s">
        <v>37</v>
      </c>
      <c r="J51" s="1"/>
      <c r="K51" s="1">
        <v>515</v>
      </c>
      <c r="L51" s="1">
        <f t="shared" si="14"/>
        <v>-66</v>
      </c>
      <c r="M51" s="1">
        <f t="shared" si="15"/>
        <v>449</v>
      </c>
      <c r="N51" s="1"/>
      <c r="O51" s="1">
        <v>128.75018399999999</v>
      </c>
      <c r="P51" s="1">
        <v>142.01781600000001</v>
      </c>
      <c r="Q51" s="1">
        <v>63.031999999999933</v>
      </c>
      <c r="R51" s="1">
        <f t="shared" si="16"/>
        <v>89.8</v>
      </c>
      <c r="S51" s="5">
        <f t="shared" si="19"/>
        <v>420.79999999999995</v>
      </c>
      <c r="T51" s="1">
        <f t="shared" si="17"/>
        <v>12</v>
      </c>
      <c r="U51" s="1">
        <f t="shared" si="18"/>
        <v>7.3140311804008906</v>
      </c>
      <c r="V51" s="1">
        <v>78.8</v>
      </c>
      <c r="W51" s="1">
        <v>79.2</v>
      </c>
      <c r="X51" s="1">
        <v>78.400000000000006</v>
      </c>
      <c r="Y51" s="1">
        <v>62.8</v>
      </c>
      <c r="Z51" s="1">
        <v>88.6</v>
      </c>
      <c r="AA51" s="1">
        <v>112.4</v>
      </c>
      <c r="AB51" s="1">
        <v>111.6</v>
      </c>
      <c r="AC51" s="1">
        <v>97.4</v>
      </c>
      <c r="AD51" s="1">
        <v>85.4</v>
      </c>
      <c r="AE51" s="1">
        <v>118.6</v>
      </c>
      <c r="AF51" s="1"/>
      <c r="AG51" s="1">
        <f>G51*S51</f>
        <v>189.35999999999999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 x14ac:dyDescent="0.25">
      <c r="A52" s="10" t="s">
        <v>92</v>
      </c>
      <c r="B52" s="10" t="s">
        <v>42</v>
      </c>
      <c r="C52" s="10"/>
      <c r="D52" s="10"/>
      <c r="E52" s="10"/>
      <c r="F52" s="10"/>
      <c r="G52" s="11">
        <v>0</v>
      </c>
      <c r="H52" s="10"/>
      <c r="I52" s="10" t="s">
        <v>37</v>
      </c>
      <c r="J52" s="10"/>
      <c r="K52" s="10"/>
      <c r="L52" s="10">
        <f t="shared" si="14"/>
        <v>0</v>
      </c>
      <c r="M52" s="10">
        <f t="shared" si="15"/>
        <v>0</v>
      </c>
      <c r="N52" s="10"/>
      <c r="O52" s="10">
        <v>0</v>
      </c>
      <c r="P52" s="10"/>
      <c r="Q52" s="10">
        <v>0</v>
      </c>
      <c r="R52" s="10">
        <f t="shared" si="16"/>
        <v>0</v>
      </c>
      <c r="S52" s="12"/>
      <c r="T52" s="10" t="e">
        <f t="shared" si="17"/>
        <v>#DIV/0!</v>
      </c>
      <c r="U52" s="10" t="e">
        <f t="shared" si="18"/>
        <v>#DIV/0!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0</v>
      </c>
      <c r="AE52" s="10">
        <v>0</v>
      </c>
      <c r="AF52" s="10" t="s">
        <v>53</v>
      </c>
      <c r="AG52" s="10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 x14ac:dyDescent="0.25">
      <c r="A53" s="1" t="s">
        <v>93</v>
      </c>
      <c r="B53" s="1" t="s">
        <v>42</v>
      </c>
      <c r="C53" s="1">
        <v>2</v>
      </c>
      <c r="D53" s="1">
        <v>33</v>
      </c>
      <c r="E53" s="1">
        <v>-1</v>
      </c>
      <c r="F53" s="1">
        <v>24</v>
      </c>
      <c r="G53" s="7">
        <v>0.4</v>
      </c>
      <c r="H53" s="1">
        <v>40</v>
      </c>
      <c r="I53" s="1" t="s">
        <v>37</v>
      </c>
      <c r="J53" s="1"/>
      <c r="K53" s="1">
        <v>7</v>
      </c>
      <c r="L53" s="1">
        <f t="shared" si="14"/>
        <v>-8</v>
      </c>
      <c r="M53" s="1">
        <f t="shared" si="15"/>
        <v>-1</v>
      </c>
      <c r="N53" s="1"/>
      <c r="O53" s="1">
        <v>48.7</v>
      </c>
      <c r="P53" s="1"/>
      <c r="Q53" s="1">
        <v>0</v>
      </c>
      <c r="R53" s="1">
        <f t="shared" si="16"/>
        <v>-0.2</v>
      </c>
      <c r="S53" s="5"/>
      <c r="T53" s="1">
        <f t="shared" si="17"/>
        <v>-363.5</v>
      </c>
      <c r="U53" s="1">
        <f t="shared" si="18"/>
        <v>-363.5</v>
      </c>
      <c r="V53" s="1">
        <v>1</v>
      </c>
      <c r="W53" s="1">
        <v>6.8</v>
      </c>
      <c r="X53" s="1">
        <v>7</v>
      </c>
      <c r="Y53" s="1">
        <v>3.8</v>
      </c>
      <c r="Z53" s="1">
        <v>3.8</v>
      </c>
      <c r="AA53" s="1">
        <v>8</v>
      </c>
      <c r="AB53" s="1">
        <v>7.4</v>
      </c>
      <c r="AC53" s="1">
        <v>5.4</v>
      </c>
      <c r="AD53" s="1">
        <v>6</v>
      </c>
      <c r="AE53" s="1">
        <v>5.2</v>
      </c>
      <c r="AF53" s="1" t="s">
        <v>94</v>
      </c>
      <c r="AG53" s="1">
        <f t="shared" ref="AG53:AG67" si="20">G53*S53</f>
        <v>0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 x14ac:dyDescent="0.25">
      <c r="A54" s="1" t="s">
        <v>95</v>
      </c>
      <c r="B54" s="1" t="s">
        <v>36</v>
      </c>
      <c r="C54" s="1">
        <v>833.04100000000005</v>
      </c>
      <c r="D54" s="1">
        <v>1999.7660000000001</v>
      </c>
      <c r="E54" s="1">
        <v>1436.5930000000001</v>
      </c>
      <c r="F54" s="1">
        <v>499.97800000000001</v>
      </c>
      <c r="G54" s="7">
        <v>1</v>
      </c>
      <c r="H54" s="1">
        <v>50</v>
      </c>
      <c r="I54" s="1" t="s">
        <v>37</v>
      </c>
      <c r="J54" s="1"/>
      <c r="K54" s="1">
        <v>1429.556</v>
      </c>
      <c r="L54" s="1">
        <f t="shared" si="14"/>
        <v>7.0370000000000346</v>
      </c>
      <c r="M54" s="1">
        <f t="shared" si="15"/>
        <v>673.53700000000003</v>
      </c>
      <c r="N54" s="1">
        <v>763.05600000000004</v>
      </c>
      <c r="O54" s="1">
        <v>221.25363826800009</v>
      </c>
      <c r="P54" s="1">
        <v>244.05369773199999</v>
      </c>
      <c r="Q54" s="1">
        <v>982.36824000000036</v>
      </c>
      <c r="R54" s="1">
        <f t="shared" si="16"/>
        <v>134.70740000000001</v>
      </c>
      <c r="S54" s="5"/>
      <c r="T54" s="1">
        <f t="shared" si="17"/>
        <v>14.458400770855947</v>
      </c>
      <c r="U54" s="1">
        <f t="shared" si="18"/>
        <v>14.458400770855947</v>
      </c>
      <c r="V54" s="1">
        <v>246.79640000000001</v>
      </c>
      <c r="W54" s="1">
        <v>179.1534</v>
      </c>
      <c r="X54" s="1">
        <v>142.68860000000001</v>
      </c>
      <c r="Y54" s="1">
        <v>164.26859999999999</v>
      </c>
      <c r="Z54" s="1">
        <v>206.44300000000001</v>
      </c>
      <c r="AA54" s="1">
        <v>204.51920000000001</v>
      </c>
      <c r="AB54" s="1">
        <v>173.88640000000001</v>
      </c>
      <c r="AC54" s="1">
        <v>123.2016</v>
      </c>
      <c r="AD54" s="1">
        <v>136.36320000000001</v>
      </c>
      <c r="AE54" s="1">
        <v>140.7388</v>
      </c>
      <c r="AF54" s="1"/>
      <c r="AG54" s="1">
        <f t="shared" si="20"/>
        <v>0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 x14ac:dyDescent="0.25">
      <c r="A55" s="1" t="s">
        <v>96</v>
      </c>
      <c r="B55" s="1" t="s">
        <v>42</v>
      </c>
      <c r="C55" s="1">
        <v>277</v>
      </c>
      <c r="D55" s="1">
        <v>15</v>
      </c>
      <c r="E55" s="13">
        <f>194+E129</f>
        <v>273</v>
      </c>
      <c r="F55" s="13">
        <f>-3+F129</f>
        <v>1</v>
      </c>
      <c r="G55" s="7">
        <v>0.1</v>
      </c>
      <c r="H55" s="1">
        <v>731</v>
      </c>
      <c r="I55" s="1" t="s">
        <v>37</v>
      </c>
      <c r="J55" s="1"/>
      <c r="K55" s="1">
        <v>219</v>
      </c>
      <c r="L55" s="1">
        <f t="shared" si="14"/>
        <v>54</v>
      </c>
      <c r="M55" s="1">
        <f t="shared" si="15"/>
        <v>273</v>
      </c>
      <c r="N55" s="1"/>
      <c r="O55" s="1">
        <v>248.047428</v>
      </c>
      <c r="P55" s="1">
        <v>273.60857199999998</v>
      </c>
      <c r="Q55" s="1">
        <v>70</v>
      </c>
      <c r="R55" s="1">
        <f t="shared" si="16"/>
        <v>54.6</v>
      </c>
      <c r="S55" s="5">
        <f t="shared" ref="S53:S67" si="21">12*R55-Q55-P55-O55-F55</f>
        <v>62.544000000000068</v>
      </c>
      <c r="T55" s="1">
        <f t="shared" si="17"/>
        <v>12</v>
      </c>
      <c r="U55" s="1">
        <f t="shared" si="18"/>
        <v>10.854505494505494</v>
      </c>
      <c r="V55" s="1">
        <v>62</v>
      </c>
      <c r="W55" s="1">
        <v>61.4</v>
      </c>
      <c r="X55" s="1">
        <v>38.4</v>
      </c>
      <c r="Y55" s="1">
        <v>32.799999999999997</v>
      </c>
      <c r="Z55" s="1">
        <v>39.4</v>
      </c>
      <c r="AA55" s="1">
        <v>46.6</v>
      </c>
      <c r="AB55" s="1">
        <v>63</v>
      </c>
      <c r="AC55" s="1">
        <v>65.400000000000006</v>
      </c>
      <c r="AD55" s="1">
        <v>33.4</v>
      </c>
      <c r="AE55" s="1">
        <v>37</v>
      </c>
      <c r="AF55" s="1"/>
      <c r="AG55" s="1">
        <f t="shared" si="20"/>
        <v>6.2544000000000075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 x14ac:dyDescent="0.25">
      <c r="A56" s="1" t="s">
        <v>97</v>
      </c>
      <c r="B56" s="1" t="s">
        <v>36</v>
      </c>
      <c r="C56" s="1">
        <v>-0.22900000000000001</v>
      </c>
      <c r="D56" s="1">
        <v>1292.6569999999999</v>
      </c>
      <c r="E56" s="1">
        <v>461.22399999999999</v>
      </c>
      <c r="F56" s="1">
        <v>545.88699999999994</v>
      </c>
      <c r="G56" s="7">
        <v>1</v>
      </c>
      <c r="H56" s="1">
        <v>50</v>
      </c>
      <c r="I56" s="1" t="s">
        <v>37</v>
      </c>
      <c r="J56" s="1"/>
      <c r="K56" s="1">
        <v>588.48900000000003</v>
      </c>
      <c r="L56" s="1">
        <f t="shared" si="14"/>
        <v>-127.26500000000004</v>
      </c>
      <c r="M56" s="1">
        <f t="shared" si="15"/>
        <v>461.22399999999999</v>
      </c>
      <c r="N56" s="1"/>
      <c r="O56" s="1">
        <v>109.431562392</v>
      </c>
      <c r="P56" s="1">
        <v>120.70842160799999</v>
      </c>
      <c r="Q56" s="1">
        <v>150</v>
      </c>
      <c r="R56" s="1">
        <f t="shared" si="16"/>
        <v>92.244799999999998</v>
      </c>
      <c r="S56" s="5">
        <f t="shared" si="21"/>
        <v>180.910616</v>
      </c>
      <c r="T56" s="1">
        <f t="shared" si="17"/>
        <v>12</v>
      </c>
      <c r="U56" s="1">
        <f t="shared" si="18"/>
        <v>10.038798761556206</v>
      </c>
      <c r="V56" s="1">
        <v>70.771600000000007</v>
      </c>
      <c r="W56" s="1">
        <v>106.0296</v>
      </c>
      <c r="X56" s="1">
        <v>99.083200000000005</v>
      </c>
      <c r="Y56" s="1">
        <v>84.417000000000002</v>
      </c>
      <c r="Z56" s="1">
        <v>102.416</v>
      </c>
      <c r="AA56" s="1">
        <v>87.879000000000005</v>
      </c>
      <c r="AB56" s="1">
        <v>99.554999999999993</v>
      </c>
      <c r="AC56" s="1">
        <v>115.2872</v>
      </c>
      <c r="AD56" s="1">
        <v>98.024599999999992</v>
      </c>
      <c r="AE56" s="1">
        <v>102.12820000000001</v>
      </c>
      <c r="AF56" s="1"/>
      <c r="AG56" s="1">
        <f t="shared" si="20"/>
        <v>180.910616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 x14ac:dyDescent="0.25">
      <c r="A57" s="1" t="s">
        <v>98</v>
      </c>
      <c r="B57" s="1" t="s">
        <v>36</v>
      </c>
      <c r="C57" s="1">
        <v>205.08799999999999</v>
      </c>
      <c r="D57" s="1"/>
      <c r="E57" s="1">
        <v>41.113</v>
      </c>
      <c r="F57" s="1">
        <v>154.447</v>
      </c>
      <c r="G57" s="7">
        <v>1</v>
      </c>
      <c r="H57" s="1">
        <v>55</v>
      </c>
      <c r="I57" s="1" t="s">
        <v>37</v>
      </c>
      <c r="J57" s="1"/>
      <c r="K57" s="1">
        <v>44.4</v>
      </c>
      <c r="L57" s="1">
        <f t="shared" si="14"/>
        <v>-3.286999999999999</v>
      </c>
      <c r="M57" s="1">
        <f t="shared" si="15"/>
        <v>41.113</v>
      </c>
      <c r="N57" s="1"/>
      <c r="O57" s="1">
        <v>0</v>
      </c>
      <c r="P57" s="1"/>
      <c r="Q57" s="1">
        <v>0</v>
      </c>
      <c r="R57" s="1">
        <f t="shared" si="16"/>
        <v>8.2225999999999999</v>
      </c>
      <c r="S57" s="5"/>
      <c r="T57" s="1">
        <f t="shared" si="17"/>
        <v>18.783231581251673</v>
      </c>
      <c r="U57" s="1">
        <f t="shared" si="18"/>
        <v>18.783231581251673</v>
      </c>
      <c r="V57" s="1">
        <v>9.8346</v>
      </c>
      <c r="W57" s="1">
        <v>8.355599999999999</v>
      </c>
      <c r="X57" s="1">
        <v>5.3819999999999997</v>
      </c>
      <c r="Y57" s="1">
        <v>4.3932000000000002</v>
      </c>
      <c r="Z57" s="1">
        <v>3.2082000000000002</v>
      </c>
      <c r="AA57" s="1">
        <v>1.5431999999999999</v>
      </c>
      <c r="AB57" s="1">
        <v>4.0904000000000007</v>
      </c>
      <c r="AC57" s="1">
        <v>20.759</v>
      </c>
      <c r="AD57" s="1">
        <v>17.7484</v>
      </c>
      <c r="AE57" s="1">
        <v>2.9815999999999998</v>
      </c>
      <c r="AF57" s="17" t="s">
        <v>61</v>
      </c>
      <c r="AG57" s="1">
        <f t="shared" si="20"/>
        <v>0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 x14ac:dyDescent="0.25">
      <c r="A58" s="1" t="s">
        <v>99</v>
      </c>
      <c r="B58" s="1" t="s">
        <v>42</v>
      </c>
      <c r="C58" s="1">
        <v>331</v>
      </c>
      <c r="D58" s="1">
        <v>10</v>
      </c>
      <c r="E58" s="1">
        <v>173</v>
      </c>
      <c r="F58" s="1">
        <v>125</v>
      </c>
      <c r="G58" s="7">
        <v>0.1</v>
      </c>
      <c r="H58" s="1">
        <v>731</v>
      </c>
      <c r="I58" s="1" t="s">
        <v>37</v>
      </c>
      <c r="J58" s="1"/>
      <c r="K58" s="1">
        <v>200</v>
      </c>
      <c r="L58" s="1">
        <f t="shared" si="14"/>
        <v>-27</v>
      </c>
      <c r="M58" s="1">
        <f t="shared" si="15"/>
        <v>173</v>
      </c>
      <c r="N58" s="1"/>
      <c r="O58" s="1">
        <v>83.402700000000024</v>
      </c>
      <c r="P58" s="1">
        <v>91.99730000000001</v>
      </c>
      <c r="Q58" s="1">
        <v>80</v>
      </c>
      <c r="R58" s="1">
        <f t="shared" si="16"/>
        <v>34.6</v>
      </c>
      <c r="S58" s="5">
        <f t="shared" si="21"/>
        <v>34.800000000000011</v>
      </c>
      <c r="T58" s="1">
        <f t="shared" si="17"/>
        <v>12</v>
      </c>
      <c r="U58" s="1">
        <f t="shared" si="18"/>
        <v>10.994219653179192</v>
      </c>
      <c r="V58" s="1">
        <v>38.4</v>
      </c>
      <c r="W58" s="1">
        <v>39.200000000000003</v>
      </c>
      <c r="X58" s="1">
        <v>27.6</v>
      </c>
      <c r="Y58" s="1">
        <v>22</v>
      </c>
      <c r="Z58" s="1">
        <v>24.8</v>
      </c>
      <c r="AA58" s="1">
        <v>27.2</v>
      </c>
      <c r="AB58" s="1">
        <v>35</v>
      </c>
      <c r="AC58" s="1">
        <v>40.200000000000003</v>
      </c>
      <c r="AD58" s="1">
        <v>25.8</v>
      </c>
      <c r="AE58" s="1">
        <v>29</v>
      </c>
      <c r="AF58" s="1"/>
      <c r="AG58" s="1">
        <f t="shared" si="20"/>
        <v>3.4800000000000013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 x14ac:dyDescent="0.25">
      <c r="A59" s="1" t="s">
        <v>100</v>
      </c>
      <c r="B59" s="1" t="s">
        <v>42</v>
      </c>
      <c r="C59" s="1"/>
      <c r="D59" s="1">
        <v>20</v>
      </c>
      <c r="E59" s="1">
        <v>3</v>
      </c>
      <c r="F59" s="1">
        <v>17</v>
      </c>
      <c r="G59" s="7">
        <v>0.4</v>
      </c>
      <c r="H59" s="1">
        <v>50</v>
      </c>
      <c r="I59" s="1" t="s">
        <v>37</v>
      </c>
      <c r="J59" s="1"/>
      <c r="K59" s="1">
        <v>5</v>
      </c>
      <c r="L59" s="1">
        <f t="shared" si="14"/>
        <v>-2</v>
      </c>
      <c r="M59" s="1">
        <f t="shared" si="15"/>
        <v>3</v>
      </c>
      <c r="N59" s="1"/>
      <c r="O59" s="1">
        <v>10</v>
      </c>
      <c r="P59" s="1"/>
      <c r="Q59" s="1">
        <v>0</v>
      </c>
      <c r="R59" s="1">
        <f t="shared" si="16"/>
        <v>0.6</v>
      </c>
      <c r="S59" s="5"/>
      <c r="T59" s="1">
        <f t="shared" si="17"/>
        <v>45</v>
      </c>
      <c r="U59" s="1">
        <f t="shared" si="18"/>
        <v>45</v>
      </c>
      <c r="V59" s="1">
        <v>0.2</v>
      </c>
      <c r="W59" s="1">
        <v>0</v>
      </c>
      <c r="X59" s="1">
        <v>0</v>
      </c>
      <c r="Y59" s="1">
        <v>0</v>
      </c>
      <c r="Z59" s="1">
        <v>0</v>
      </c>
      <c r="AA59" s="1">
        <v>0.8</v>
      </c>
      <c r="AB59" s="1">
        <v>1.4</v>
      </c>
      <c r="AC59" s="1">
        <v>1</v>
      </c>
      <c r="AD59" s="1">
        <v>0.6</v>
      </c>
      <c r="AE59" s="1">
        <v>0.2</v>
      </c>
      <c r="AF59" s="16" t="s">
        <v>190</v>
      </c>
      <c r="AG59" s="1">
        <f t="shared" si="20"/>
        <v>0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 x14ac:dyDescent="0.25">
      <c r="A60" s="1" t="s">
        <v>101</v>
      </c>
      <c r="B60" s="1" t="s">
        <v>36</v>
      </c>
      <c r="C60" s="1">
        <v>431.83300000000003</v>
      </c>
      <c r="D60" s="1">
        <v>616.399</v>
      </c>
      <c r="E60" s="1">
        <v>884.59199999999998</v>
      </c>
      <c r="F60" s="1">
        <v>-44.453000000000003</v>
      </c>
      <c r="G60" s="7">
        <v>1</v>
      </c>
      <c r="H60" s="1">
        <v>40</v>
      </c>
      <c r="I60" s="9" t="s">
        <v>40</v>
      </c>
      <c r="J60" s="1"/>
      <c r="K60" s="1">
        <v>1068.953</v>
      </c>
      <c r="L60" s="1">
        <f t="shared" si="14"/>
        <v>-184.36099999999999</v>
      </c>
      <c r="M60" s="1">
        <f t="shared" si="15"/>
        <v>884.59199999999998</v>
      </c>
      <c r="N60" s="1"/>
      <c r="O60" s="1">
        <v>61.356564744000039</v>
      </c>
      <c r="P60" s="1">
        <v>67.679323256000046</v>
      </c>
      <c r="Q60" s="1">
        <v>818.65175999999974</v>
      </c>
      <c r="R60" s="1">
        <f t="shared" si="16"/>
        <v>176.91839999999999</v>
      </c>
      <c r="S60" s="5">
        <f t="shared" si="21"/>
        <v>1219.7861519999999</v>
      </c>
      <c r="T60" s="1">
        <f t="shared" si="17"/>
        <v>12</v>
      </c>
      <c r="U60" s="1">
        <f t="shared" si="18"/>
        <v>5.1053742742416839</v>
      </c>
      <c r="V60" s="1">
        <v>159.2122</v>
      </c>
      <c r="W60" s="1">
        <v>67.032200000000003</v>
      </c>
      <c r="X60" s="1">
        <v>33.514600000000002</v>
      </c>
      <c r="Y60" s="1">
        <v>51.473600000000012</v>
      </c>
      <c r="Z60" s="1">
        <v>55.871799999999993</v>
      </c>
      <c r="AA60" s="1">
        <v>77.281200000000013</v>
      </c>
      <c r="AB60" s="1">
        <v>50.870399999999997</v>
      </c>
      <c r="AC60" s="1">
        <v>19.090599999999998</v>
      </c>
      <c r="AD60" s="1">
        <v>23.803599999999999</v>
      </c>
      <c r="AE60" s="1">
        <v>71.302800000000005</v>
      </c>
      <c r="AF60" s="1"/>
      <c r="AG60" s="1">
        <f t="shared" si="20"/>
        <v>1219.7861519999999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 x14ac:dyDescent="0.25">
      <c r="A61" s="1" t="s">
        <v>102</v>
      </c>
      <c r="B61" s="1" t="s">
        <v>36</v>
      </c>
      <c r="C61" s="1">
        <v>21.591999999999999</v>
      </c>
      <c r="D61" s="1">
        <v>515.38499999999999</v>
      </c>
      <c r="E61" s="1">
        <v>322.68599999999998</v>
      </c>
      <c r="F61" s="1">
        <v>7.5449999999999999</v>
      </c>
      <c r="G61" s="7">
        <v>1</v>
      </c>
      <c r="H61" s="1">
        <v>40</v>
      </c>
      <c r="I61" s="1" t="s">
        <v>37</v>
      </c>
      <c r="J61" s="1"/>
      <c r="K61" s="1">
        <v>355.61900000000003</v>
      </c>
      <c r="L61" s="1">
        <f t="shared" si="14"/>
        <v>-32.93300000000005</v>
      </c>
      <c r="M61" s="1">
        <f t="shared" si="15"/>
        <v>266.66699999999997</v>
      </c>
      <c r="N61" s="1">
        <v>56.018999999999998</v>
      </c>
      <c r="O61" s="1">
        <v>136.01502516000011</v>
      </c>
      <c r="P61" s="1">
        <v>150.03129483999999</v>
      </c>
      <c r="Q61" s="1">
        <v>200</v>
      </c>
      <c r="R61" s="1">
        <f t="shared" si="16"/>
        <v>53.333399999999997</v>
      </c>
      <c r="S61" s="5">
        <f t="shared" si="21"/>
        <v>146.40947999999995</v>
      </c>
      <c r="T61" s="1">
        <f t="shared" si="17"/>
        <v>12.000000000000002</v>
      </c>
      <c r="U61" s="1">
        <f t="shared" si="18"/>
        <v>9.2548256814679011</v>
      </c>
      <c r="V61" s="1">
        <v>52.77</v>
      </c>
      <c r="W61" s="1">
        <v>53.208000000000013</v>
      </c>
      <c r="X61" s="1">
        <v>24.193999999999999</v>
      </c>
      <c r="Y61" s="1">
        <v>18.840399999999999</v>
      </c>
      <c r="Z61" s="1">
        <v>20.795200000000001</v>
      </c>
      <c r="AA61" s="1">
        <v>1.9228000000000001</v>
      </c>
      <c r="AB61" s="1">
        <v>32.845799999999997</v>
      </c>
      <c r="AC61" s="1">
        <v>64.912599999999998</v>
      </c>
      <c r="AD61" s="1">
        <v>19.1128</v>
      </c>
      <c r="AE61" s="1">
        <v>32.8048</v>
      </c>
      <c r="AF61" s="1"/>
      <c r="AG61" s="1">
        <f t="shared" si="20"/>
        <v>146.40947999999995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 x14ac:dyDescent="0.25">
      <c r="A62" s="1" t="s">
        <v>103</v>
      </c>
      <c r="B62" s="1" t="s">
        <v>42</v>
      </c>
      <c r="C62" s="1">
        <v>1</v>
      </c>
      <c r="D62" s="1">
        <v>1406</v>
      </c>
      <c r="E62" s="1">
        <v>649</v>
      </c>
      <c r="F62" s="1">
        <v>568</v>
      </c>
      <c r="G62" s="7">
        <v>0.4</v>
      </c>
      <c r="H62" s="1">
        <v>40</v>
      </c>
      <c r="I62" s="1" t="s">
        <v>37</v>
      </c>
      <c r="J62" s="1"/>
      <c r="K62" s="1">
        <v>832</v>
      </c>
      <c r="L62" s="1">
        <f t="shared" si="14"/>
        <v>-183</v>
      </c>
      <c r="M62" s="1">
        <f t="shared" si="15"/>
        <v>649</v>
      </c>
      <c r="N62" s="1"/>
      <c r="O62" s="1">
        <v>193.65403199999989</v>
      </c>
      <c r="P62" s="1">
        <v>213.60996799999981</v>
      </c>
      <c r="Q62" s="1">
        <v>0</v>
      </c>
      <c r="R62" s="1">
        <f t="shared" si="16"/>
        <v>129.80000000000001</v>
      </c>
      <c r="S62" s="5">
        <f t="shared" si="21"/>
        <v>582.33600000000047</v>
      </c>
      <c r="T62" s="1">
        <f t="shared" si="17"/>
        <v>12</v>
      </c>
      <c r="U62" s="1">
        <f t="shared" si="18"/>
        <v>7.5135901386748811</v>
      </c>
      <c r="V62" s="1">
        <v>116</v>
      </c>
      <c r="W62" s="1">
        <v>134.6</v>
      </c>
      <c r="X62" s="1">
        <v>128.80000000000001</v>
      </c>
      <c r="Y62" s="1">
        <v>126.8</v>
      </c>
      <c r="Z62" s="1">
        <v>142.6</v>
      </c>
      <c r="AA62" s="1">
        <v>143.80000000000001</v>
      </c>
      <c r="AB62" s="1">
        <v>123.8</v>
      </c>
      <c r="AC62" s="1">
        <v>114.2</v>
      </c>
      <c r="AD62" s="1">
        <v>94.8</v>
      </c>
      <c r="AE62" s="1">
        <v>209</v>
      </c>
      <c r="AF62" s="1"/>
      <c r="AG62" s="1">
        <f t="shared" si="20"/>
        <v>232.93440000000021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 x14ac:dyDescent="0.25">
      <c r="A63" s="1" t="s">
        <v>104</v>
      </c>
      <c r="B63" s="1" t="s">
        <v>42</v>
      </c>
      <c r="C63" s="1">
        <v>264</v>
      </c>
      <c r="D63" s="1">
        <v>586</v>
      </c>
      <c r="E63" s="1">
        <v>424</v>
      </c>
      <c r="F63" s="1">
        <v>373</v>
      </c>
      <c r="G63" s="7">
        <v>0.4</v>
      </c>
      <c r="H63" s="1">
        <v>40</v>
      </c>
      <c r="I63" s="9" t="s">
        <v>40</v>
      </c>
      <c r="J63" s="1"/>
      <c r="K63" s="1">
        <v>462</v>
      </c>
      <c r="L63" s="1">
        <f t="shared" si="14"/>
        <v>-38</v>
      </c>
      <c r="M63" s="1">
        <f t="shared" si="15"/>
        <v>424</v>
      </c>
      <c r="N63" s="1"/>
      <c r="O63" s="1">
        <v>245.07935699999979</v>
      </c>
      <c r="P63" s="1">
        <v>270.33464299999969</v>
      </c>
      <c r="Q63" s="1">
        <v>100</v>
      </c>
      <c r="R63" s="1">
        <f t="shared" si="16"/>
        <v>84.8</v>
      </c>
      <c r="S63" s="5">
        <f t="shared" si="21"/>
        <v>29.186000000000433</v>
      </c>
      <c r="T63" s="1">
        <f t="shared" si="17"/>
        <v>12</v>
      </c>
      <c r="U63" s="1">
        <f t="shared" si="18"/>
        <v>11.655825471698108</v>
      </c>
      <c r="V63" s="1">
        <v>95.6</v>
      </c>
      <c r="W63" s="1">
        <v>98.6</v>
      </c>
      <c r="X63" s="1">
        <v>82</v>
      </c>
      <c r="Y63" s="1">
        <v>60.6</v>
      </c>
      <c r="Z63" s="1">
        <v>77</v>
      </c>
      <c r="AA63" s="1">
        <v>82</v>
      </c>
      <c r="AB63" s="1">
        <v>72</v>
      </c>
      <c r="AC63" s="1">
        <v>53.8</v>
      </c>
      <c r="AD63" s="1">
        <v>26.4</v>
      </c>
      <c r="AE63" s="1">
        <v>52.6</v>
      </c>
      <c r="AF63" s="1"/>
      <c r="AG63" s="1">
        <f t="shared" si="20"/>
        <v>11.674400000000174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 x14ac:dyDescent="0.25">
      <c r="A64" s="1" t="s">
        <v>105</v>
      </c>
      <c r="B64" s="1" t="s">
        <v>36</v>
      </c>
      <c r="C64" s="1">
        <v>1.2450000000000001</v>
      </c>
      <c r="D64" s="1">
        <v>388.42099999999999</v>
      </c>
      <c r="E64" s="1">
        <v>164.55500000000001</v>
      </c>
      <c r="F64" s="1">
        <v>207.083</v>
      </c>
      <c r="G64" s="7">
        <v>1</v>
      </c>
      <c r="H64" s="1">
        <v>40</v>
      </c>
      <c r="I64" s="9" t="s">
        <v>40</v>
      </c>
      <c r="J64" s="1"/>
      <c r="K64" s="1">
        <v>177.7</v>
      </c>
      <c r="L64" s="1">
        <f t="shared" si="14"/>
        <v>-13.144999999999982</v>
      </c>
      <c r="M64" s="1">
        <f t="shared" si="15"/>
        <v>164.55500000000001</v>
      </c>
      <c r="N64" s="1"/>
      <c r="O64" s="1">
        <v>0</v>
      </c>
      <c r="P64" s="1"/>
      <c r="Q64" s="1">
        <v>0</v>
      </c>
      <c r="R64" s="1">
        <f t="shared" si="16"/>
        <v>32.911000000000001</v>
      </c>
      <c r="S64" s="5">
        <f t="shared" si="21"/>
        <v>187.84900000000002</v>
      </c>
      <c r="T64" s="1">
        <f t="shared" si="17"/>
        <v>12</v>
      </c>
      <c r="U64" s="1">
        <f t="shared" si="18"/>
        <v>6.2922123302239372</v>
      </c>
      <c r="V64" s="1">
        <v>1.4616</v>
      </c>
      <c r="W64" s="1">
        <v>11.3096</v>
      </c>
      <c r="X64" s="1">
        <v>30.225200000000001</v>
      </c>
      <c r="Y64" s="1">
        <v>55.783799999999999</v>
      </c>
      <c r="Z64" s="1">
        <v>23.893999999999998</v>
      </c>
      <c r="AA64" s="1">
        <v>12.907400000000001</v>
      </c>
      <c r="AB64" s="1">
        <v>12.6274</v>
      </c>
      <c r="AC64" s="1">
        <v>29.1814</v>
      </c>
      <c r="AD64" s="1">
        <v>13.0938</v>
      </c>
      <c r="AE64" s="1">
        <v>1.0998000000000001</v>
      </c>
      <c r="AF64" s="1"/>
      <c r="AG64" s="1">
        <f t="shared" si="20"/>
        <v>187.84900000000002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25">
      <c r="A65" s="1" t="s">
        <v>106</v>
      </c>
      <c r="B65" s="1" t="s">
        <v>36</v>
      </c>
      <c r="C65" s="1">
        <v>1.9970000000000001</v>
      </c>
      <c r="D65" s="1">
        <v>340.19099999999997</v>
      </c>
      <c r="E65" s="1">
        <v>161.768</v>
      </c>
      <c r="F65" s="1">
        <v>45.576000000000001</v>
      </c>
      <c r="G65" s="7">
        <v>1</v>
      </c>
      <c r="H65" s="1">
        <v>40</v>
      </c>
      <c r="I65" s="9" t="s">
        <v>40</v>
      </c>
      <c r="J65" s="1"/>
      <c r="K65" s="1">
        <v>162.49600000000001</v>
      </c>
      <c r="L65" s="1">
        <f t="shared" si="14"/>
        <v>-0.72800000000000864</v>
      </c>
      <c r="M65" s="1">
        <f t="shared" si="15"/>
        <v>161.768</v>
      </c>
      <c r="N65" s="1"/>
      <c r="O65" s="1">
        <v>0</v>
      </c>
      <c r="P65" s="1"/>
      <c r="Q65" s="1">
        <v>70.287199999999984</v>
      </c>
      <c r="R65" s="1">
        <f t="shared" si="16"/>
        <v>32.3536</v>
      </c>
      <c r="S65" s="5">
        <f>11*R65-Q65-P65-O65-F65</f>
        <v>240.0264</v>
      </c>
      <c r="T65" s="1">
        <f t="shared" si="17"/>
        <v>11</v>
      </c>
      <c r="U65" s="1">
        <f t="shared" si="18"/>
        <v>3.5811532565155031</v>
      </c>
      <c r="V65" s="1">
        <v>18.395199999999999</v>
      </c>
      <c r="W65" s="1">
        <v>10.944000000000001</v>
      </c>
      <c r="X65" s="1">
        <v>0</v>
      </c>
      <c r="Y65" s="1">
        <v>7.2829999999999986</v>
      </c>
      <c r="Z65" s="1">
        <v>9.6465999999999994</v>
      </c>
      <c r="AA65" s="1">
        <v>9.2433999999999994</v>
      </c>
      <c r="AB65" s="1">
        <v>12.121600000000001</v>
      </c>
      <c r="AC65" s="1">
        <v>9.0609999999999982</v>
      </c>
      <c r="AD65" s="1">
        <v>10.6732</v>
      </c>
      <c r="AE65" s="1">
        <v>19.827200000000001</v>
      </c>
      <c r="AF65" s="1"/>
      <c r="AG65" s="1">
        <f t="shared" si="20"/>
        <v>240.0264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25">
      <c r="A66" s="1" t="s">
        <v>107</v>
      </c>
      <c r="B66" s="1" t="s">
        <v>36</v>
      </c>
      <c r="C66" s="1">
        <v>0.57299999999999995</v>
      </c>
      <c r="D66" s="1">
        <v>899.23800000000006</v>
      </c>
      <c r="E66" s="1">
        <v>477.35399999999998</v>
      </c>
      <c r="F66" s="1">
        <v>-86.962999999999994</v>
      </c>
      <c r="G66" s="7">
        <v>1</v>
      </c>
      <c r="H66" s="1">
        <v>40</v>
      </c>
      <c r="I66" s="9" t="s">
        <v>40</v>
      </c>
      <c r="J66" s="1"/>
      <c r="K66" s="1">
        <v>564.17100000000005</v>
      </c>
      <c r="L66" s="1">
        <f t="shared" si="14"/>
        <v>-86.817000000000064</v>
      </c>
      <c r="M66" s="1">
        <f t="shared" si="15"/>
        <v>198.08299999999997</v>
      </c>
      <c r="N66" s="1">
        <v>279.27100000000002</v>
      </c>
      <c r="O66" s="1">
        <v>0</v>
      </c>
      <c r="P66" s="1"/>
      <c r="Q66" s="1">
        <v>400</v>
      </c>
      <c r="R66" s="1">
        <f t="shared" si="16"/>
        <v>39.616599999999991</v>
      </c>
      <c r="S66" s="5">
        <f t="shared" si="21"/>
        <v>162.36219999999989</v>
      </c>
      <c r="T66" s="1">
        <f t="shared" si="17"/>
        <v>12.000000000000002</v>
      </c>
      <c r="U66" s="1">
        <f t="shared" si="18"/>
        <v>7.9016624344340531</v>
      </c>
      <c r="V66" s="1">
        <v>40.446399999999997</v>
      </c>
      <c r="W66" s="1">
        <v>39.285400000000003</v>
      </c>
      <c r="X66" s="1">
        <v>38.923000000000002</v>
      </c>
      <c r="Y66" s="1">
        <v>-0.54359999999999997</v>
      </c>
      <c r="Z66" s="1">
        <v>-0.54080000000000006</v>
      </c>
      <c r="AA66" s="1">
        <v>50.167000000000002</v>
      </c>
      <c r="AB66" s="1">
        <v>200.38480000000001</v>
      </c>
      <c r="AC66" s="1">
        <v>150.6652</v>
      </c>
      <c r="AD66" s="1">
        <v>10.826000000000001</v>
      </c>
      <c r="AE66" s="1">
        <v>108.81619999999999</v>
      </c>
      <c r="AF66" s="1"/>
      <c r="AG66" s="1">
        <f t="shared" si="20"/>
        <v>162.36219999999989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25">
      <c r="A67" s="1" t="s">
        <v>108</v>
      </c>
      <c r="B67" s="1" t="s">
        <v>36</v>
      </c>
      <c r="C67" s="1">
        <v>0.77100000000000002</v>
      </c>
      <c r="D67" s="1">
        <v>157.916</v>
      </c>
      <c r="E67" s="1">
        <v>29.864999999999998</v>
      </c>
      <c r="F67" s="1">
        <v>13.385999999999999</v>
      </c>
      <c r="G67" s="7">
        <v>1</v>
      </c>
      <c r="H67" s="1">
        <v>40</v>
      </c>
      <c r="I67" s="9" t="s">
        <v>40</v>
      </c>
      <c r="J67" s="1"/>
      <c r="K67" s="1">
        <v>38.299999999999997</v>
      </c>
      <c r="L67" s="1">
        <f t="shared" si="14"/>
        <v>-8.4349999999999987</v>
      </c>
      <c r="M67" s="1">
        <f t="shared" si="15"/>
        <v>29.864999999999998</v>
      </c>
      <c r="N67" s="1"/>
      <c r="O67" s="1">
        <v>0</v>
      </c>
      <c r="P67" s="1"/>
      <c r="Q67" s="1">
        <v>0</v>
      </c>
      <c r="R67" s="1">
        <f t="shared" si="16"/>
        <v>5.9729999999999999</v>
      </c>
      <c r="S67" s="5">
        <f t="shared" si="21"/>
        <v>58.290000000000006</v>
      </c>
      <c r="T67" s="1">
        <f t="shared" si="17"/>
        <v>12</v>
      </c>
      <c r="U67" s="1">
        <f t="shared" si="18"/>
        <v>2.2410848819688596</v>
      </c>
      <c r="V67" s="1">
        <v>5.9106000000000014</v>
      </c>
      <c r="W67" s="1">
        <v>8.4702000000000002</v>
      </c>
      <c r="X67" s="1">
        <v>1.4134</v>
      </c>
      <c r="Y67" s="1">
        <v>0.14399999999999999</v>
      </c>
      <c r="Z67" s="1">
        <v>0.14360000000000001</v>
      </c>
      <c r="AA67" s="1">
        <v>0.50719999999999998</v>
      </c>
      <c r="AB67" s="1">
        <v>0.36360000000000031</v>
      </c>
      <c r="AC67" s="1">
        <v>3.6232000000000002</v>
      </c>
      <c r="AD67" s="1">
        <v>4.3747999999999996</v>
      </c>
      <c r="AE67" s="1">
        <v>13.090400000000001</v>
      </c>
      <c r="AF67" s="1"/>
      <c r="AG67" s="1">
        <f t="shared" si="20"/>
        <v>58.290000000000006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25">
      <c r="A68" s="10" t="s">
        <v>109</v>
      </c>
      <c r="B68" s="10" t="s">
        <v>42</v>
      </c>
      <c r="C68" s="10"/>
      <c r="D68" s="10">
        <v>152</v>
      </c>
      <c r="E68" s="10">
        <v>10</v>
      </c>
      <c r="F68" s="10">
        <v>140</v>
      </c>
      <c r="G68" s="11">
        <v>0</v>
      </c>
      <c r="H68" s="10"/>
      <c r="I68" s="10" t="s">
        <v>110</v>
      </c>
      <c r="J68" s="10"/>
      <c r="K68" s="10">
        <v>20</v>
      </c>
      <c r="L68" s="10">
        <f t="shared" si="14"/>
        <v>-10</v>
      </c>
      <c r="M68" s="10">
        <f t="shared" si="15"/>
        <v>10</v>
      </c>
      <c r="N68" s="10"/>
      <c r="O68" s="10">
        <v>0</v>
      </c>
      <c r="P68" s="10"/>
      <c r="Q68" s="10">
        <v>0</v>
      </c>
      <c r="R68" s="10">
        <f t="shared" si="16"/>
        <v>2</v>
      </c>
      <c r="S68" s="12"/>
      <c r="T68" s="10">
        <f t="shared" si="17"/>
        <v>70</v>
      </c>
      <c r="U68" s="10">
        <f t="shared" si="18"/>
        <v>70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 t="s">
        <v>111</v>
      </c>
      <c r="AG68" s="10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25">
      <c r="A69" s="1" t="s">
        <v>112</v>
      </c>
      <c r="B69" s="1" t="s">
        <v>36</v>
      </c>
      <c r="C69" s="1">
        <v>72.221999999999994</v>
      </c>
      <c r="D69" s="1">
        <v>223.88800000000001</v>
      </c>
      <c r="E69" s="1">
        <v>84.855000000000004</v>
      </c>
      <c r="F69" s="1">
        <v>129.142</v>
      </c>
      <c r="G69" s="7">
        <v>1</v>
      </c>
      <c r="H69" s="1">
        <v>30</v>
      </c>
      <c r="I69" s="1" t="s">
        <v>37</v>
      </c>
      <c r="J69" s="1"/>
      <c r="K69" s="1">
        <v>148.6</v>
      </c>
      <c r="L69" s="1">
        <f t="shared" si="14"/>
        <v>-63.74499999999999</v>
      </c>
      <c r="M69" s="1">
        <f t="shared" si="15"/>
        <v>84.855000000000004</v>
      </c>
      <c r="N69" s="1"/>
      <c r="O69" s="1">
        <v>44.732199999999963</v>
      </c>
      <c r="P69" s="1"/>
      <c r="Q69" s="1">
        <v>0</v>
      </c>
      <c r="R69" s="1">
        <f t="shared" si="16"/>
        <v>16.971</v>
      </c>
      <c r="S69" s="5">
        <f t="shared" ref="S69:S72" si="22">12*R69-Q69-P69-O69-F69</f>
        <v>29.777800000000013</v>
      </c>
      <c r="T69" s="1">
        <f t="shared" si="17"/>
        <v>12</v>
      </c>
      <c r="U69" s="1">
        <f t="shared" si="18"/>
        <v>10.245371516115725</v>
      </c>
      <c r="V69" s="1">
        <v>12.486599999999999</v>
      </c>
      <c r="W69" s="1">
        <v>26.779599999999999</v>
      </c>
      <c r="X69" s="1">
        <v>30.773</v>
      </c>
      <c r="Y69" s="1">
        <v>31.697199999999999</v>
      </c>
      <c r="Z69" s="1">
        <v>28.5306</v>
      </c>
      <c r="AA69" s="1">
        <v>24.4192</v>
      </c>
      <c r="AB69" s="1">
        <v>29.701599999999999</v>
      </c>
      <c r="AC69" s="1">
        <v>39.893999999999998</v>
      </c>
      <c r="AD69" s="1">
        <v>36.8568</v>
      </c>
      <c r="AE69" s="1">
        <v>31.719799999999999</v>
      </c>
      <c r="AF69" s="1"/>
      <c r="AG69" s="1">
        <f>G69*S69</f>
        <v>29.777800000000013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25">
      <c r="A70" s="1" t="s">
        <v>113</v>
      </c>
      <c r="B70" s="1" t="s">
        <v>42</v>
      </c>
      <c r="C70" s="1">
        <v>582</v>
      </c>
      <c r="D70" s="1">
        <v>1249</v>
      </c>
      <c r="E70" s="1">
        <v>700</v>
      </c>
      <c r="F70" s="1">
        <v>844</v>
      </c>
      <c r="G70" s="7">
        <v>0.6</v>
      </c>
      <c r="H70" s="1">
        <v>60</v>
      </c>
      <c r="I70" s="1" t="s">
        <v>37</v>
      </c>
      <c r="J70" s="1"/>
      <c r="K70" s="1">
        <v>742</v>
      </c>
      <c r="L70" s="1">
        <f t="shared" ref="L70:L101" si="23">E70-K70</f>
        <v>-42</v>
      </c>
      <c r="M70" s="1">
        <f t="shared" ref="M70:M101" si="24">E70-N70</f>
        <v>700</v>
      </c>
      <c r="N70" s="1"/>
      <c r="O70" s="1">
        <v>0</v>
      </c>
      <c r="P70" s="1"/>
      <c r="Q70" s="1">
        <v>70</v>
      </c>
      <c r="R70" s="1">
        <f t="shared" ref="R70:R101" si="25">M70/5</f>
        <v>140</v>
      </c>
      <c r="S70" s="5">
        <f t="shared" si="22"/>
        <v>766</v>
      </c>
      <c r="T70" s="1">
        <f t="shared" ref="T70:T101" si="26">(F70+O70+P70+Q70+S70)/R70</f>
        <v>12</v>
      </c>
      <c r="U70" s="1">
        <f t="shared" ref="U70:U101" si="27">(F70+O70+P70+Q70)/R70</f>
        <v>6.5285714285714285</v>
      </c>
      <c r="V70" s="1">
        <v>135</v>
      </c>
      <c r="W70" s="1">
        <v>112.6</v>
      </c>
      <c r="X70" s="1">
        <v>98.4</v>
      </c>
      <c r="Y70" s="1">
        <v>111.8</v>
      </c>
      <c r="Z70" s="1">
        <v>251.4</v>
      </c>
      <c r="AA70" s="1">
        <v>226</v>
      </c>
      <c r="AB70" s="1">
        <v>175.8</v>
      </c>
      <c r="AC70" s="1">
        <v>177.8</v>
      </c>
      <c r="AD70" s="1">
        <v>262.60000000000002</v>
      </c>
      <c r="AE70" s="1">
        <v>297.60000000000002</v>
      </c>
      <c r="AF70" s="1"/>
      <c r="AG70" s="1">
        <f>G70*S70</f>
        <v>459.59999999999997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25">
      <c r="A71" s="1" t="s">
        <v>114</v>
      </c>
      <c r="B71" s="1" t="s">
        <v>42</v>
      </c>
      <c r="C71" s="1">
        <v>690</v>
      </c>
      <c r="D71" s="1">
        <v>677</v>
      </c>
      <c r="E71" s="1">
        <v>613</v>
      </c>
      <c r="F71" s="1">
        <v>450</v>
      </c>
      <c r="G71" s="7">
        <v>0.6</v>
      </c>
      <c r="H71" s="1">
        <v>60</v>
      </c>
      <c r="I71" s="1" t="s">
        <v>37</v>
      </c>
      <c r="J71" s="1"/>
      <c r="K71" s="1">
        <v>690</v>
      </c>
      <c r="L71" s="1">
        <f t="shared" si="23"/>
        <v>-77</v>
      </c>
      <c r="M71" s="1">
        <f t="shared" si="24"/>
        <v>613</v>
      </c>
      <c r="N71" s="1"/>
      <c r="O71" s="1">
        <v>95.888000000000005</v>
      </c>
      <c r="P71" s="1"/>
      <c r="Q71" s="1">
        <v>37.54400000000004</v>
      </c>
      <c r="R71" s="1">
        <f t="shared" si="25"/>
        <v>122.6</v>
      </c>
      <c r="S71" s="5">
        <f t="shared" si="22"/>
        <v>887.7679999999998</v>
      </c>
      <c r="T71" s="1">
        <f t="shared" si="26"/>
        <v>11.999999999999998</v>
      </c>
      <c r="U71" s="1">
        <f t="shared" si="27"/>
        <v>4.7588254486133774</v>
      </c>
      <c r="V71" s="1">
        <v>109.8</v>
      </c>
      <c r="W71" s="1">
        <v>92.2</v>
      </c>
      <c r="X71" s="1">
        <v>121</v>
      </c>
      <c r="Y71" s="1">
        <v>131.80000000000001</v>
      </c>
      <c r="Z71" s="1">
        <v>113.8</v>
      </c>
      <c r="AA71" s="1">
        <v>119.2</v>
      </c>
      <c r="AB71" s="1">
        <v>152.4</v>
      </c>
      <c r="AC71" s="1">
        <v>131.80000000000001</v>
      </c>
      <c r="AD71" s="1">
        <v>116.8</v>
      </c>
      <c r="AE71" s="1">
        <v>156.80000000000001</v>
      </c>
      <c r="AF71" s="1"/>
      <c r="AG71" s="1">
        <f>G71*S71</f>
        <v>532.66079999999988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25">
      <c r="A72" s="1" t="s">
        <v>115</v>
      </c>
      <c r="B72" s="1" t="s">
        <v>42</v>
      </c>
      <c r="C72" s="1">
        <v>93</v>
      </c>
      <c r="D72" s="1"/>
      <c r="E72" s="1">
        <v>80</v>
      </c>
      <c r="F72" s="1">
        <v>1</v>
      </c>
      <c r="G72" s="7">
        <v>0.4</v>
      </c>
      <c r="H72" s="1"/>
      <c r="I72" s="1" t="s">
        <v>37</v>
      </c>
      <c r="J72" s="1"/>
      <c r="K72" s="1">
        <v>81</v>
      </c>
      <c r="L72" s="1">
        <f t="shared" si="23"/>
        <v>-1</v>
      </c>
      <c r="M72" s="1">
        <f t="shared" si="24"/>
        <v>80</v>
      </c>
      <c r="N72" s="1"/>
      <c r="O72" s="1">
        <v>30.200000000000021</v>
      </c>
      <c r="P72" s="1"/>
      <c r="Q72" s="1">
        <v>0</v>
      </c>
      <c r="R72" s="1">
        <f t="shared" si="25"/>
        <v>16</v>
      </c>
      <c r="S72" s="5">
        <f>9*R72-Q72-P72-O72-F72</f>
        <v>112.79999999999998</v>
      </c>
      <c r="T72" s="1">
        <f t="shared" si="26"/>
        <v>9</v>
      </c>
      <c r="U72" s="1">
        <f t="shared" si="27"/>
        <v>1.9500000000000013</v>
      </c>
      <c r="V72" s="1">
        <v>9.1999999999999993</v>
      </c>
      <c r="W72" s="1">
        <v>11.8</v>
      </c>
      <c r="X72" s="1">
        <v>12.4</v>
      </c>
      <c r="Y72" s="1">
        <v>4.8</v>
      </c>
      <c r="Z72" s="1">
        <v>3.2</v>
      </c>
      <c r="AA72" s="1">
        <v>9.4</v>
      </c>
      <c r="AB72" s="1">
        <v>10</v>
      </c>
      <c r="AC72" s="1">
        <v>6.6</v>
      </c>
      <c r="AD72" s="1">
        <v>5</v>
      </c>
      <c r="AE72" s="1">
        <v>4</v>
      </c>
      <c r="AF72" s="1"/>
      <c r="AG72" s="1">
        <f>G72*S72</f>
        <v>45.12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25">
      <c r="A73" s="10" t="s">
        <v>116</v>
      </c>
      <c r="B73" s="10" t="s">
        <v>42</v>
      </c>
      <c r="C73" s="10"/>
      <c r="D73" s="10"/>
      <c r="E73" s="10"/>
      <c r="F73" s="10"/>
      <c r="G73" s="11">
        <v>0</v>
      </c>
      <c r="H73" s="10"/>
      <c r="I73" s="10" t="s">
        <v>40</v>
      </c>
      <c r="J73" s="10"/>
      <c r="K73" s="10"/>
      <c r="L73" s="10">
        <f t="shared" si="23"/>
        <v>0</v>
      </c>
      <c r="M73" s="10">
        <f t="shared" si="24"/>
        <v>0</v>
      </c>
      <c r="N73" s="10"/>
      <c r="O73" s="10">
        <v>0</v>
      </c>
      <c r="P73" s="10"/>
      <c r="Q73" s="10">
        <v>0</v>
      </c>
      <c r="R73" s="10">
        <f t="shared" si="25"/>
        <v>0</v>
      </c>
      <c r="S73" s="12"/>
      <c r="T73" s="10" t="e">
        <f t="shared" si="26"/>
        <v>#DIV/0!</v>
      </c>
      <c r="U73" s="10" t="e">
        <f t="shared" si="27"/>
        <v>#DIV/0!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 t="s">
        <v>53</v>
      </c>
      <c r="AG73" s="10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25">
      <c r="A74" s="1" t="s">
        <v>117</v>
      </c>
      <c r="B74" s="1" t="s">
        <v>42</v>
      </c>
      <c r="C74" s="1">
        <v>3</v>
      </c>
      <c r="D74" s="1">
        <v>48</v>
      </c>
      <c r="E74" s="1">
        <v>49</v>
      </c>
      <c r="F74" s="1">
        <v>-2</v>
      </c>
      <c r="G74" s="7">
        <v>0.35</v>
      </c>
      <c r="H74" s="1">
        <v>90</v>
      </c>
      <c r="I74" s="1" t="s">
        <v>37</v>
      </c>
      <c r="J74" s="1"/>
      <c r="K74" s="1">
        <v>49</v>
      </c>
      <c r="L74" s="1">
        <f t="shared" si="23"/>
        <v>0</v>
      </c>
      <c r="M74" s="1">
        <f t="shared" si="24"/>
        <v>49</v>
      </c>
      <c r="N74" s="1"/>
      <c r="O74" s="1">
        <v>47.800000000000011</v>
      </c>
      <c r="P74" s="1"/>
      <c r="Q74" s="1">
        <v>0</v>
      </c>
      <c r="R74" s="1">
        <f t="shared" si="25"/>
        <v>9.8000000000000007</v>
      </c>
      <c r="S74" s="5">
        <f t="shared" ref="S74:S82" si="28">12*R74-Q74-P74-O74-F74</f>
        <v>71.8</v>
      </c>
      <c r="T74" s="1">
        <f t="shared" si="26"/>
        <v>12</v>
      </c>
      <c r="U74" s="1">
        <f t="shared" si="27"/>
        <v>4.6734693877551026</v>
      </c>
      <c r="V74" s="1">
        <v>7.8</v>
      </c>
      <c r="W74" s="1">
        <v>7.4</v>
      </c>
      <c r="X74" s="1">
        <v>2.4</v>
      </c>
      <c r="Y74" s="1">
        <v>6</v>
      </c>
      <c r="Z74" s="1">
        <v>5.8</v>
      </c>
      <c r="AA74" s="1">
        <v>2</v>
      </c>
      <c r="AB74" s="1">
        <v>0</v>
      </c>
      <c r="AC74" s="1">
        <v>4.5999999999999996</v>
      </c>
      <c r="AD74" s="1">
        <v>8.6</v>
      </c>
      <c r="AE74" s="1">
        <v>6.4</v>
      </c>
      <c r="AF74" s="1"/>
      <c r="AG74" s="1">
        <f t="shared" ref="AG74:AG82" si="29">G74*S74</f>
        <v>25.13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25">
      <c r="A75" s="1" t="s">
        <v>118</v>
      </c>
      <c r="B75" s="1" t="s">
        <v>42</v>
      </c>
      <c r="C75" s="1">
        <v>144</v>
      </c>
      <c r="D75" s="1">
        <v>62</v>
      </c>
      <c r="E75" s="1">
        <v>136</v>
      </c>
      <c r="F75" s="1">
        <v>65</v>
      </c>
      <c r="G75" s="7">
        <v>0.37</v>
      </c>
      <c r="H75" s="1">
        <v>50</v>
      </c>
      <c r="I75" s="1" t="s">
        <v>37</v>
      </c>
      <c r="J75" s="1"/>
      <c r="K75" s="1">
        <v>139</v>
      </c>
      <c r="L75" s="1">
        <f t="shared" si="23"/>
        <v>-3</v>
      </c>
      <c r="M75" s="1">
        <f t="shared" si="24"/>
        <v>136</v>
      </c>
      <c r="N75" s="1"/>
      <c r="O75" s="1">
        <v>79.37600000000009</v>
      </c>
      <c r="P75" s="1"/>
      <c r="Q75" s="1">
        <v>77.800000000000011</v>
      </c>
      <c r="R75" s="1">
        <f t="shared" si="25"/>
        <v>27.2</v>
      </c>
      <c r="S75" s="5">
        <f t="shared" si="28"/>
        <v>104.22399999999988</v>
      </c>
      <c r="T75" s="1">
        <f t="shared" si="26"/>
        <v>12</v>
      </c>
      <c r="U75" s="1">
        <f t="shared" si="27"/>
        <v>8.1682352941176504</v>
      </c>
      <c r="V75" s="1">
        <v>25.8</v>
      </c>
      <c r="W75" s="1">
        <v>22</v>
      </c>
      <c r="X75" s="1">
        <v>21</v>
      </c>
      <c r="Y75" s="1">
        <v>23.4</v>
      </c>
      <c r="Z75" s="1">
        <v>25.4</v>
      </c>
      <c r="AA75" s="1">
        <v>24.8</v>
      </c>
      <c r="AB75" s="1">
        <v>24.6</v>
      </c>
      <c r="AC75" s="1">
        <v>23.2</v>
      </c>
      <c r="AD75" s="1">
        <v>23.8</v>
      </c>
      <c r="AE75" s="1">
        <v>28.6</v>
      </c>
      <c r="AF75" s="1"/>
      <c r="AG75" s="1">
        <f t="shared" si="29"/>
        <v>38.56287999999995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25">
      <c r="A76" s="1" t="s">
        <v>119</v>
      </c>
      <c r="B76" s="1" t="s">
        <v>42</v>
      </c>
      <c r="C76" s="1">
        <v>-6</v>
      </c>
      <c r="D76" s="1">
        <v>1651</v>
      </c>
      <c r="E76" s="1">
        <v>703</v>
      </c>
      <c r="F76" s="1">
        <v>890</v>
      </c>
      <c r="G76" s="7">
        <v>0.6</v>
      </c>
      <c r="H76" s="1">
        <v>70</v>
      </c>
      <c r="I76" s="1" t="s">
        <v>72</v>
      </c>
      <c r="J76" s="1"/>
      <c r="K76" s="1">
        <v>827</v>
      </c>
      <c r="L76" s="1">
        <f t="shared" si="23"/>
        <v>-124</v>
      </c>
      <c r="M76" s="1">
        <f t="shared" si="24"/>
        <v>703</v>
      </c>
      <c r="N76" s="1"/>
      <c r="O76" s="1">
        <v>0</v>
      </c>
      <c r="P76" s="1"/>
      <c r="Q76" s="1">
        <v>403.08</v>
      </c>
      <c r="R76" s="1">
        <f t="shared" si="25"/>
        <v>140.6</v>
      </c>
      <c r="S76" s="5">
        <f t="shared" si="28"/>
        <v>394.11999999999989</v>
      </c>
      <c r="T76" s="1">
        <f t="shared" si="26"/>
        <v>12</v>
      </c>
      <c r="U76" s="1">
        <f t="shared" si="27"/>
        <v>9.196870554765292</v>
      </c>
      <c r="V76" s="1">
        <v>137</v>
      </c>
      <c r="W76" s="1">
        <v>94.4</v>
      </c>
      <c r="X76" s="1">
        <v>84.8</v>
      </c>
      <c r="Y76" s="1">
        <v>98.8</v>
      </c>
      <c r="Z76" s="1">
        <v>59.8</v>
      </c>
      <c r="AA76" s="1">
        <v>70.400000000000006</v>
      </c>
      <c r="AB76" s="1">
        <v>59.2</v>
      </c>
      <c r="AC76" s="1">
        <v>51.8</v>
      </c>
      <c r="AD76" s="1">
        <v>45.2</v>
      </c>
      <c r="AE76" s="1">
        <v>52</v>
      </c>
      <c r="AF76" s="1" t="s">
        <v>120</v>
      </c>
      <c r="AG76" s="1">
        <f t="shared" si="29"/>
        <v>236.47199999999992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25">
      <c r="A77" s="1" t="s">
        <v>121</v>
      </c>
      <c r="B77" s="1" t="s">
        <v>42</v>
      </c>
      <c r="C77" s="1">
        <v>372</v>
      </c>
      <c r="D77" s="1">
        <v>480</v>
      </c>
      <c r="E77" s="1">
        <v>387</v>
      </c>
      <c r="F77" s="1">
        <v>289</v>
      </c>
      <c r="G77" s="7">
        <v>0.33</v>
      </c>
      <c r="H77" s="1">
        <v>40</v>
      </c>
      <c r="I77" s="1" t="s">
        <v>37</v>
      </c>
      <c r="J77" s="1"/>
      <c r="K77" s="1">
        <v>403</v>
      </c>
      <c r="L77" s="1">
        <f t="shared" si="23"/>
        <v>-16</v>
      </c>
      <c r="M77" s="1">
        <f t="shared" si="24"/>
        <v>387</v>
      </c>
      <c r="N77" s="1"/>
      <c r="O77" s="1">
        <v>260.44751699999989</v>
      </c>
      <c r="P77" s="1">
        <v>287.28648299999992</v>
      </c>
      <c r="Q77" s="1">
        <v>0</v>
      </c>
      <c r="R77" s="1">
        <f t="shared" si="25"/>
        <v>77.400000000000006</v>
      </c>
      <c r="S77" s="5">
        <f t="shared" si="28"/>
        <v>92.066000000000201</v>
      </c>
      <c r="T77" s="1">
        <f t="shared" si="26"/>
        <v>11.999999999999998</v>
      </c>
      <c r="U77" s="1">
        <f t="shared" si="27"/>
        <v>10.810516795865629</v>
      </c>
      <c r="V77" s="1">
        <v>80.400000000000006</v>
      </c>
      <c r="W77" s="1">
        <v>98.6</v>
      </c>
      <c r="X77" s="1">
        <v>89.2</v>
      </c>
      <c r="Y77" s="1">
        <v>70.599999999999994</v>
      </c>
      <c r="Z77" s="1">
        <v>78.2</v>
      </c>
      <c r="AA77" s="1">
        <v>81</v>
      </c>
      <c r="AB77" s="1">
        <v>76.2</v>
      </c>
      <c r="AC77" s="1">
        <v>80.400000000000006</v>
      </c>
      <c r="AD77" s="1">
        <v>78.599999999999994</v>
      </c>
      <c r="AE77" s="1">
        <v>60.2</v>
      </c>
      <c r="AF77" s="1"/>
      <c r="AG77" s="1">
        <f t="shared" si="29"/>
        <v>30.381780000000067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25">
      <c r="A78" s="1" t="s">
        <v>122</v>
      </c>
      <c r="B78" s="1" t="s">
        <v>42</v>
      </c>
      <c r="C78" s="1">
        <v>108</v>
      </c>
      <c r="D78" s="1"/>
      <c r="E78" s="1">
        <v>57</v>
      </c>
      <c r="F78" s="1">
        <v>45</v>
      </c>
      <c r="G78" s="7">
        <v>0.4</v>
      </c>
      <c r="H78" s="1">
        <v>55</v>
      </c>
      <c r="I78" s="9" t="s">
        <v>40</v>
      </c>
      <c r="J78" s="1"/>
      <c r="K78" s="1">
        <v>61</v>
      </c>
      <c r="L78" s="1">
        <f t="shared" si="23"/>
        <v>-4</v>
      </c>
      <c r="M78" s="1">
        <f t="shared" si="24"/>
        <v>57</v>
      </c>
      <c r="N78" s="1"/>
      <c r="O78" s="1">
        <v>15.19999999999999</v>
      </c>
      <c r="P78" s="1"/>
      <c r="Q78" s="1">
        <v>4.4000000000000057</v>
      </c>
      <c r="R78" s="1">
        <f t="shared" si="25"/>
        <v>11.4</v>
      </c>
      <c r="S78" s="5">
        <f t="shared" si="28"/>
        <v>72.200000000000017</v>
      </c>
      <c r="T78" s="1">
        <f t="shared" si="26"/>
        <v>12</v>
      </c>
      <c r="U78" s="1">
        <f t="shared" si="27"/>
        <v>5.6666666666666661</v>
      </c>
      <c r="V78" s="1">
        <v>9.6</v>
      </c>
      <c r="W78" s="1">
        <v>11.2</v>
      </c>
      <c r="X78" s="1">
        <v>6.8</v>
      </c>
      <c r="Y78" s="1">
        <v>0.6</v>
      </c>
      <c r="Z78" s="1">
        <v>5.2</v>
      </c>
      <c r="AA78" s="1">
        <v>10.199999999999999</v>
      </c>
      <c r="AB78" s="1">
        <v>10.4</v>
      </c>
      <c r="AC78" s="1">
        <v>7.6</v>
      </c>
      <c r="AD78" s="1">
        <v>7.6</v>
      </c>
      <c r="AE78" s="1">
        <v>10.199999999999999</v>
      </c>
      <c r="AF78" s="1"/>
      <c r="AG78" s="1">
        <f t="shared" si="29"/>
        <v>28.88000000000001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25">
      <c r="A79" s="1" t="s">
        <v>123</v>
      </c>
      <c r="B79" s="1" t="s">
        <v>42</v>
      </c>
      <c r="C79" s="1">
        <v>3</v>
      </c>
      <c r="D79" s="1">
        <v>135</v>
      </c>
      <c r="E79" s="1">
        <v>80</v>
      </c>
      <c r="F79" s="1">
        <v>24</v>
      </c>
      <c r="G79" s="7">
        <v>0.35</v>
      </c>
      <c r="H79" s="1">
        <v>40</v>
      </c>
      <c r="I79" s="9" t="s">
        <v>40</v>
      </c>
      <c r="J79" s="1"/>
      <c r="K79" s="1">
        <v>99</v>
      </c>
      <c r="L79" s="1">
        <f t="shared" si="23"/>
        <v>-19</v>
      </c>
      <c r="M79" s="1">
        <f t="shared" si="24"/>
        <v>80</v>
      </c>
      <c r="N79" s="1"/>
      <c r="O79" s="1">
        <v>0</v>
      </c>
      <c r="P79" s="1"/>
      <c r="Q79" s="1">
        <v>0</v>
      </c>
      <c r="R79" s="1">
        <f t="shared" si="25"/>
        <v>16</v>
      </c>
      <c r="S79" s="5">
        <f t="shared" si="28"/>
        <v>168</v>
      </c>
      <c r="T79" s="1">
        <f t="shared" si="26"/>
        <v>12</v>
      </c>
      <c r="U79" s="1">
        <f t="shared" si="27"/>
        <v>1.5</v>
      </c>
      <c r="V79" s="1">
        <v>2</v>
      </c>
      <c r="W79" s="1">
        <v>6</v>
      </c>
      <c r="X79" s="1">
        <v>12.4</v>
      </c>
      <c r="Y79" s="1">
        <v>14.6</v>
      </c>
      <c r="Z79" s="1">
        <v>8.6</v>
      </c>
      <c r="AA79" s="1">
        <v>7.2</v>
      </c>
      <c r="AB79" s="1">
        <v>15.8</v>
      </c>
      <c r="AC79" s="1">
        <v>8.4</v>
      </c>
      <c r="AD79" s="1">
        <v>-0.6</v>
      </c>
      <c r="AE79" s="1">
        <v>-1.2</v>
      </c>
      <c r="AF79" s="1"/>
      <c r="AG79" s="1">
        <f t="shared" si="29"/>
        <v>58.8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25">
      <c r="A80" s="1" t="s">
        <v>124</v>
      </c>
      <c r="B80" s="1" t="s">
        <v>42</v>
      </c>
      <c r="C80" s="1">
        <v>6</v>
      </c>
      <c r="D80" s="1">
        <v>408</v>
      </c>
      <c r="E80" s="1">
        <v>30</v>
      </c>
      <c r="F80" s="1">
        <v>285</v>
      </c>
      <c r="G80" s="7">
        <v>0.35</v>
      </c>
      <c r="H80" s="1">
        <v>45</v>
      </c>
      <c r="I80" s="9" t="s">
        <v>40</v>
      </c>
      <c r="J80" s="1"/>
      <c r="K80" s="1">
        <v>51</v>
      </c>
      <c r="L80" s="1">
        <f t="shared" si="23"/>
        <v>-21</v>
      </c>
      <c r="M80" s="1">
        <f t="shared" si="24"/>
        <v>30</v>
      </c>
      <c r="N80" s="1"/>
      <c r="O80" s="1">
        <v>65.99939999999998</v>
      </c>
      <c r="P80" s="1">
        <v>72.800599999999974</v>
      </c>
      <c r="Q80" s="1">
        <v>0</v>
      </c>
      <c r="R80" s="1">
        <f t="shared" si="25"/>
        <v>6</v>
      </c>
      <c r="S80" s="5"/>
      <c r="T80" s="1">
        <f t="shared" si="26"/>
        <v>70.633333333333326</v>
      </c>
      <c r="U80" s="1">
        <f t="shared" si="27"/>
        <v>70.633333333333326</v>
      </c>
      <c r="V80" s="1">
        <v>3.2</v>
      </c>
      <c r="W80" s="1">
        <v>45.4</v>
      </c>
      <c r="X80" s="1">
        <v>49.6</v>
      </c>
      <c r="Y80" s="1">
        <v>19.600000000000001</v>
      </c>
      <c r="Z80" s="1">
        <v>33.799999999999997</v>
      </c>
      <c r="AA80" s="1">
        <v>60</v>
      </c>
      <c r="AB80" s="1">
        <v>60.2</v>
      </c>
      <c r="AC80" s="1">
        <v>18.600000000000001</v>
      </c>
      <c r="AD80" s="1">
        <v>1.2</v>
      </c>
      <c r="AE80" s="1">
        <v>24.8</v>
      </c>
      <c r="AF80" s="1"/>
      <c r="AG80" s="1">
        <f t="shared" si="29"/>
        <v>0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25">
      <c r="A81" s="1" t="s">
        <v>125</v>
      </c>
      <c r="B81" s="1" t="s">
        <v>42</v>
      </c>
      <c r="C81" s="1">
        <v>18</v>
      </c>
      <c r="D81" s="1">
        <v>70</v>
      </c>
      <c r="E81" s="1">
        <v>17</v>
      </c>
      <c r="F81" s="1">
        <v>69</v>
      </c>
      <c r="G81" s="7">
        <v>0.4</v>
      </c>
      <c r="H81" s="1">
        <v>55</v>
      </c>
      <c r="I81" s="1" t="s">
        <v>37</v>
      </c>
      <c r="J81" s="1"/>
      <c r="K81" s="1">
        <v>20</v>
      </c>
      <c r="L81" s="1">
        <f t="shared" si="23"/>
        <v>-3</v>
      </c>
      <c r="M81" s="1">
        <f t="shared" si="24"/>
        <v>17</v>
      </c>
      <c r="N81" s="1"/>
      <c r="O81" s="1">
        <v>0</v>
      </c>
      <c r="P81" s="1"/>
      <c r="Q81" s="1">
        <v>0</v>
      </c>
      <c r="R81" s="1">
        <f t="shared" si="25"/>
        <v>3.4</v>
      </c>
      <c r="S81" s="5"/>
      <c r="T81" s="1">
        <f t="shared" si="26"/>
        <v>20.294117647058822</v>
      </c>
      <c r="U81" s="1">
        <f t="shared" si="27"/>
        <v>20.294117647058822</v>
      </c>
      <c r="V81" s="1">
        <v>3.4</v>
      </c>
      <c r="W81" s="1">
        <v>0.6</v>
      </c>
      <c r="X81" s="1">
        <v>0.8</v>
      </c>
      <c r="Y81" s="1">
        <v>6.4</v>
      </c>
      <c r="Z81" s="1">
        <v>6.2</v>
      </c>
      <c r="AA81" s="1">
        <v>2</v>
      </c>
      <c r="AB81" s="1">
        <v>2</v>
      </c>
      <c r="AC81" s="1">
        <v>2</v>
      </c>
      <c r="AD81" s="1">
        <v>6.2</v>
      </c>
      <c r="AE81" s="1">
        <v>4.4000000000000004</v>
      </c>
      <c r="AF81" s="17" t="s">
        <v>61</v>
      </c>
      <c r="AG81" s="1">
        <f t="shared" si="29"/>
        <v>0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25">
      <c r="A82" s="1" t="s">
        <v>126</v>
      </c>
      <c r="B82" s="1" t="s">
        <v>36</v>
      </c>
      <c r="C82" s="1">
        <v>1.008</v>
      </c>
      <c r="D82" s="1">
        <v>11.51</v>
      </c>
      <c r="E82" s="1"/>
      <c r="F82" s="1">
        <v>12.518000000000001</v>
      </c>
      <c r="G82" s="7">
        <v>1</v>
      </c>
      <c r="H82" s="1">
        <v>55</v>
      </c>
      <c r="I82" s="1" t="s">
        <v>37</v>
      </c>
      <c r="J82" s="1"/>
      <c r="K82" s="1"/>
      <c r="L82" s="1">
        <f t="shared" si="23"/>
        <v>0</v>
      </c>
      <c r="M82" s="1">
        <f t="shared" si="24"/>
        <v>0</v>
      </c>
      <c r="N82" s="1"/>
      <c r="O82" s="1">
        <v>0</v>
      </c>
      <c r="P82" s="1"/>
      <c r="Q82" s="1">
        <v>0</v>
      </c>
      <c r="R82" s="1">
        <f t="shared" si="25"/>
        <v>0</v>
      </c>
      <c r="S82" s="5"/>
      <c r="T82" s="1" t="e">
        <f t="shared" si="26"/>
        <v>#DIV/0!</v>
      </c>
      <c r="U82" s="1" t="e">
        <f t="shared" si="27"/>
        <v>#DIV/0!</v>
      </c>
      <c r="V82" s="1">
        <v>0</v>
      </c>
      <c r="W82" s="1">
        <v>0</v>
      </c>
      <c r="X82" s="1">
        <v>0</v>
      </c>
      <c r="Y82" s="1">
        <v>0.26679999999999998</v>
      </c>
      <c r="Z82" s="1">
        <v>0.26679999999999998</v>
      </c>
      <c r="AA82" s="1">
        <v>0.74340000000000006</v>
      </c>
      <c r="AB82" s="1">
        <v>0.74340000000000006</v>
      </c>
      <c r="AC82" s="1">
        <v>0.26700000000000002</v>
      </c>
      <c r="AD82" s="1">
        <v>0.26700000000000002</v>
      </c>
      <c r="AE82" s="1">
        <v>0.29099999999999998</v>
      </c>
      <c r="AF82" s="14" t="s">
        <v>127</v>
      </c>
      <c r="AG82" s="1">
        <f t="shared" si="29"/>
        <v>0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25">
      <c r="A83" s="10" t="s">
        <v>128</v>
      </c>
      <c r="B83" s="10" t="s">
        <v>36</v>
      </c>
      <c r="C83" s="10"/>
      <c r="D83" s="10"/>
      <c r="E83" s="10"/>
      <c r="F83" s="10"/>
      <c r="G83" s="11">
        <v>0</v>
      </c>
      <c r="H83" s="10"/>
      <c r="I83" s="10" t="s">
        <v>37</v>
      </c>
      <c r="J83" s="10"/>
      <c r="K83" s="10"/>
      <c r="L83" s="10">
        <f t="shared" si="23"/>
        <v>0</v>
      </c>
      <c r="M83" s="10">
        <f t="shared" si="24"/>
        <v>0</v>
      </c>
      <c r="N83" s="10"/>
      <c r="O83" s="10">
        <v>0</v>
      </c>
      <c r="P83" s="10"/>
      <c r="Q83" s="10">
        <v>0</v>
      </c>
      <c r="R83" s="10">
        <f t="shared" si="25"/>
        <v>0</v>
      </c>
      <c r="S83" s="12"/>
      <c r="T83" s="10" t="e">
        <f t="shared" si="26"/>
        <v>#DIV/0!</v>
      </c>
      <c r="U83" s="10" t="e">
        <f t="shared" si="27"/>
        <v>#DIV/0!</v>
      </c>
      <c r="V83" s="10">
        <v>0</v>
      </c>
      <c r="W83" s="10">
        <v>0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 t="s">
        <v>53</v>
      </c>
      <c r="AG83" s="10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25">
      <c r="A84" s="1" t="s">
        <v>129</v>
      </c>
      <c r="B84" s="1" t="s">
        <v>36</v>
      </c>
      <c r="C84" s="1">
        <v>1082.576</v>
      </c>
      <c r="D84" s="1">
        <v>6302.9080000000004</v>
      </c>
      <c r="E84" s="1">
        <v>3869.3240000000001</v>
      </c>
      <c r="F84" s="1">
        <v>2280.6860000000001</v>
      </c>
      <c r="G84" s="7">
        <v>1</v>
      </c>
      <c r="H84" s="1">
        <v>60</v>
      </c>
      <c r="I84" s="1" t="s">
        <v>37</v>
      </c>
      <c r="J84" s="1"/>
      <c r="K84" s="1">
        <v>3915.9740000000002</v>
      </c>
      <c r="L84" s="1">
        <f t="shared" si="23"/>
        <v>-46.650000000000091</v>
      </c>
      <c r="M84" s="1">
        <f t="shared" si="24"/>
        <v>3163.4549999999999</v>
      </c>
      <c r="N84" s="1">
        <v>705.86900000000003</v>
      </c>
      <c r="O84" s="1">
        <v>1610.6827110720001</v>
      </c>
      <c r="P84" s="1">
        <v>1776.662632928</v>
      </c>
      <c r="Q84" s="1">
        <v>1100</v>
      </c>
      <c r="R84" s="1">
        <f t="shared" si="25"/>
        <v>632.69100000000003</v>
      </c>
      <c r="S84" s="5">
        <f t="shared" ref="S84:S95" si="30">12*R84-Q84-P84-O84-F84</f>
        <v>824.26065600000038</v>
      </c>
      <c r="T84" s="1">
        <f t="shared" si="26"/>
        <v>12</v>
      </c>
      <c r="U84" s="1">
        <f t="shared" si="27"/>
        <v>10.69721450755582</v>
      </c>
      <c r="V84" s="1">
        <v>612.56139999999994</v>
      </c>
      <c r="W84" s="1">
        <v>648.1386</v>
      </c>
      <c r="X84" s="1">
        <v>480.19400000000007</v>
      </c>
      <c r="Y84" s="1">
        <v>440.85640000000001</v>
      </c>
      <c r="Z84" s="1">
        <v>511.75360000000001</v>
      </c>
      <c r="AA84" s="1">
        <v>483.48380000000009</v>
      </c>
      <c r="AB84" s="1">
        <v>522.95619999999997</v>
      </c>
      <c r="AC84" s="1">
        <v>517.02299999999991</v>
      </c>
      <c r="AD84" s="1">
        <v>538.73500000000001</v>
      </c>
      <c r="AE84" s="1">
        <v>591.0634</v>
      </c>
      <c r="AF84" s="1"/>
      <c r="AG84" s="1">
        <f t="shared" ref="AG84:AG95" si="31">G84*S84</f>
        <v>824.26065600000038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25">
      <c r="A85" s="1" t="s">
        <v>130</v>
      </c>
      <c r="B85" s="1" t="s">
        <v>42</v>
      </c>
      <c r="C85" s="1">
        <v>23</v>
      </c>
      <c r="D85" s="1"/>
      <c r="E85" s="1">
        <v>-10</v>
      </c>
      <c r="F85" s="1">
        <v>23</v>
      </c>
      <c r="G85" s="7">
        <v>0.3</v>
      </c>
      <c r="H85" s="1">
        <v>40</v>
      </c>
      <c r="I85" s="1" t="s">
        <v>37</v>
      </c>
      <c r="J85" s="1"/>
      <c r="K85" s="1">
        <v>343</v>
      </c>
      <c r="L85" s="1">
        <f t="shared" si="23"/>
        <v>-353</v>
      </c>
      <c r="M85" s="1">
        <f t="shared" si="24"/>
        <v>-10</v>
      </c>
      <c r="N85" s="1"/>
      <c r="O85" s="1">
        <v>93.8</v>
      </c>
      <c r="P85" s="1"/>
      <c r="Q85" s="1">
        <v>50</v>
      </c>
      <c r="R85" s="1">
        <f t="shared" si="25"/>
        <v>-2</v>
      </c>
      <c r="S85" s="5"/>
      <c r="T85" s="1">
        <f t="shared" si="26"/>
        <v>-83.4</v>
      </c>
      <c r="U85" s="1">
        <f t="shared" si="27"/>
        <v>-83.4</v>
      </c>
      <c r="V85" s="1">
        <v>-0.4</v>
      </c>
      <c r="W85" s="1">
        <v>14.6</v>
      </c>
      <c r="X85" s="1">
        <v>16.600000000000001</v>
      </c>
      <c r="Y85" s="1">
        <v>7.2</v>
      </c>
      <c r="Z85" s="1">
        <v>16.399999999999999</v>
      </c>
      <c r="AA85" s="1">
        <v>26.8</v>
      </c>
      <c r="AB85" s="1">
        <v>38.799999999999997</v>
      </c>
      <c r="AC85" s="1">
        <v>47.6</v>
      </c>
      <c r="AD85" s="1">
        <v>64.8</v>
      </c>
      <c r="AE85" s="1">
        <v>54.6</v>
      </c>
      <c r="AF85" s="15" t="s">
        <v>191</v>
      </c>
      <c r="AG85" s="1">
        <f t="shared" si="31"/>
        <v>0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25">
      <c r="A86" s="1" t="s">
        <v>131</v>
      </c>
      <c r="B86" s="1" t="s">
        <v>36</v>
      </c>
      <c r="C86" s="1">
        <v>438.36599999999999</v>
      </c>
      <c r="D86" s="1">
        <v>2411.0610000000001</v>
      </c>
      <c r="E86" s="1">
        <v>1510.4680000000001</v>
      </c>
      <c r="F86" s="1">
        <v>880.71299999999997</v>
      </c>
      <c r="G86" s="7">
        <v>1</v>
      </c>
      <c r="H86" s="1">
        <v>60</v>
      </c>
      <c r="I86" s="1" t="s">
        <v>37</v>
      </c>
      <c r="J86" s="1"/>
      <c r="K86" s="1">
        <v>1605.164</v>
      </c>
      <c r="L86" s="1">
        <f t="shared" si="23"/>
        <v>-94.695999999999913</v>
      </c>
      <c r="M86" s="1">
        <f t="shared" si="24"/>
        <v>1510.4680000000001</v>
      </c>
      <c r="N86" s="1"/>
      <c r="O86" s="1">
        <v>941.52631964099987</v>
      </c>
      <c r="P86" s="1">
        <v>1038.5500623590001</v>
      </c>
      <c r="Q86" s="1">
        <v>0</v>
      </c>
      <c r="R86" s="1">
        <f t="shared" si="25"/>
        <v>302.09360000000004</v>
      </c>
      <c r="S86" s="5">
        <f t="shared" si="30"/>
        <v>764.33381800000052</v>
      </c>
      <c r="T86" s="1">
        <f t="shared" si="26"/>
        <v>12</v>
      </c>
      <c r="U86" s="1">
        <f t="shared" si="27"/>
        <v>9.4698774883016377</v>
      </c>
      <c r="V86" s="1">
        <v>298.49459999999999</v>
      </c>
      <c r="W86" s="1">
        <v>338.16379999999998</v>
      </c>
      <c r="X86" s="1">
        <v>266.18579999999997</v>
      </c>
      <c r="Y86" s="1">
        <v>238.93180000000001</v>
      </c>
      <c r="Z86" s="1">
        <v>332.30399999999997</v>
      </c>
      <c r="AA86" s="1">
        <v>267.47199999999998</v>
      </c>
      <c r="AB86" s="1">
        <v>289.9846</v>
      </c>
      <c r="AC86" s="1">
        <v>263.73020000000002</v>
      </c>
      <c r="AD86" s="1">
        <v>277.47519999999997</v>
      </c>
      <c r="AE86" s="1">
        <v>257.95119999999997</v>
      </c>
      <c r="AF86" s="1"/>
      <c r="AG86" s="1">
        <f t="shared" si="31"/>
        <v>764.33381800000052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25">
      <c r="A87" s="1" t="s">
        <v>132</v>
      </c>
      <c r="B87" s="1" t="s">
        <v>36</v>
      </c>
      <c r="C87" s="1">
        <v>1048.5119999999999</v>
      </c>
      <c r="D87" s="1">
        <v>4201.7730000000001</v>
      </c>
      <c r="E87" s="1">
        <v>2811.6410000000001</v>
      </c>
      <c r="F87" s="1">
        <v>1318.3409999999999</v>
      </c>
      <c r="G87" s="7">
        <v>1</v>
      </c>
      <c r="H87" s="1">
        <v>60</v>
      </c>
      <c r="I87" s="1" t="s">
        <v>37</v>
      </c>
      <c r="J87" s="1"/>
      <c r="K87" s="1">
        <v>2935.1030000000001</v>
      </c>
      <c r="L87" s="1">
        <f t="shared" si="23"/>
        <v>-123.46199999999999</v>
      </c>
      <c r="M87" s="1">
        <f t="shared" si="24"/>
        <v>2811.6410000000001</v>
      </c>
      <c r="N87" s="1"/>
      <c r="O87" s="1">
        <v>983.87034117600047</v>
      </c>
      <c r="P87" s="1">
        <v>1085.257610824</v>
      </c>
      <c r="Q87" s="1">
        <v>290.46837599999981</v>
      </c>
      <c r="R87" s="1">
        <f t="shared" si="25"/>
        <v>562.32820000000004</v>
      </c>
      <c r="S87" s="5">
        <f t="shared" si="30"/>
        <v>3070.0010720000005</v>
      </c>
      <c r="T87" s="1">
        <f t="shared" si="26"/>
        <v>12</v>
      </c>
      <c r="U87" s="1">
        <f t="shared" si="27"/>
        <v>6.5405528799729407</v>
      </c>
      <c r="V87" s="1">
        <v>542.87920000000008</v>
      </c>
      <c r="W87" s="1">
        <v>492.68880000000001</v>
      </c>
      <c r="X87" s="1">
        <v>405.63260000000002</v>
      </c>
      <c r="Y87" s="1">
        <v>436.04500000000007</v>
      </c>
      <c r="Z87" s="1">
        <v>563.02379999999994</v>
      </c>
      <c r="AA87" s="1">
        <v>485.17479999999989</v>
      </c>
      <c r="AB87" s="1">
        <v>500.68040000000002</v>
      </c>
      <c r="AC87" s="1">
        <v>462.61800000000011</v>
      </c>
      <c r="AD87" s="1">
        <v>495.69220000000001</v>
      </c>
      <c r="AE87" s="1">
        <v>523.89400000000001</v>
      </c>
      <c r="AF87" s="1"/>
      <c r="AG87" s="1">
        <f t="shared" si="31"/>
        <v>3070.0010720000005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25">
      <c r="A88" s="1" t="s">
        <v>133</v>
      </c>
      <c r="B88" s="1" t="s">
        <v>36</v>
      </c>
      <c r="C88" s="1">
        <v>1121.8779999999999</v>
      </c>
      <c r="D88" s="1">
        <v>6372.2610000000004</v>
      </c>
      <c r="E88" s="1">
        <v>4648.8959999999997</v>
      </c>
      <c r="F88" s="1">
        <v>1043.9739999999999</v>
      </c>
      <c r="G88" s="7">
        <v>1</v>
      </c>
      <c r="H88" s="1">
        <v>60</v>
      </c>
      <c r="I88" s="1" t="s">
        <v>37</v>
      </c>
      <c r="J88" s="1"/>
      <c r="K88" s="1">
        <v>4835.8029999999999</v>
      </c>
      <c r="L88" s="1">
        <f t="shared" si="23"/>
        <v>-186.90700000000015</v>
      </c>
      <c r="M88" s="1">
        <f t="shared" si="24"/>
        <v>4046.8999999999996</v>
      </c>
      <c r="N88" s="1">
        <v>601.99599999999998</v>
      </c>
      <c r="O88" s="1">
        <v>2577.9447958559999</v>
      </c>
      <c r="P88" s="1">
        <v>2843.6005161439998</v>
      </c>
      <c r="Q88" s="1"/>
      <c r="R88" s="1">
        <f t="shared" si="25"/>
        <v>809.37999999999988</v>
      </c>
      <c r="S88" s="5">
        <f t="shared" si="30"/>
        <v>3247.0406879999973</v>
      </c>
      <c r="T88" s="1">
        <f t="shared" si="26"/>
        <v>11.999999999999998</v>
      </c>
      <c r="U88" s="1">
        <f t="shared" si="27"/>
        <v>7.9882370604660364</v>
      </c>
      <c r="V88" s="1">
        <v>778.43979999999999</v>
      </c>
      <c r="W88" s="1">
        <v>768.42280000000005</v>
      </c>
      <c r="X88" s="1">
        <v>532.95240000000001</v>
      </c>
      <c r="Y88" s="1">
        <v>457.38780000000003</v>
      </c>
      <c r="Z88" s="1">
        <v>640.37459999999987</v>
      </c>
      <c r="AA88" s="1">
        <v>544.50639999999999</v>
      </c>
      <c r="AB88" s="1">
        <v>570.49300000000005</v>
      </c>
      <c r="AC88" s="1">
        <v>578.13740000000007</v>
      </c>
      <c r="AD88" s="1">
        <v>589.31639999999993</v>
      </c>
      <c r="AE88" s="1">
        <v>576.82039999999995</v>
      </c>
      <c r="AF88" s="1"/>
      <c r="AG88" s="1">
        <f t="shared" si="31"/>
        <v>3247.0406879999973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25">
      <c r="A89" s="1" t="s">
        <v>134</v>
      </c>
      <c r="B89" s="1" t="s">
        <v>36</v>
      </c>
      <c r="C89" s="1">
        <v>9.4719999999999995</v>
      </c>
      <c r="D89" s="1">
        <v>42.79</v>
      </c>
      <c r="E89" s="1">
        <v>12.686</v>
      </c>
      <c r="F89" s="1">
        <v>38.753</v>
      </c>
      <c r="G89" s="7">
        <v>1</v>
      </c>
      <c r="H89" s="1">
        <v>55</v>
      </c>
      <c r="I89" s="9" t="s">
        <v>40</v>
      </c>
      <c r="J89" s="1"/>
      <c r="K89" s="1">
        <v>13.4</v>
      </c>
      <c r="L89" s="1">
        <f t="shared" si="23"/>
        <v>-0.71400000000000041</v>
      </c>
      <c r="M89" s="1">
        <f t="shared" si="24"/>
        <v>12.686</v>
      </c>
      <c r="N89" s="1"/>
      <c r="O89" s="1">
        <v>13.5604</v>
      </c>
      <c r="P89" s="1"/>
      <c r="Q89" s="1">
        <v>0</v>
      </c>
      <c r="R89" s="1">
        <f t="shared" si="25"/>
        <v>2.5371999999999999</v>
      </c>
      <c r="S89" s="5"/>
      <c r="T89" s="1">
        <f t="shared" si="26"/>
        <v>20.618555888380893</v>
      </c>
      <c r="U89" s="1">
        <f t="shared" si="27"/>
        <v>20.618555888380893</v>
      </c>
      <c r="V89" s="1">
        <v>3.8062</v>
      </c>
      <c r="W89" s="1">
        <v>4.8583999999999996</v>
      </c>
      <c r="X89" s="1">
        <v>4.8124000000000002</v>
      </c>
      <c r="Y89" s="1">
        <v>2.9316</v>
      </c>
      <c r="Z89" s="1">
        <v>2.9371999999999998</v>
      </c>
      <c r="AA89" s="1">
        <v>3.2063999999999999</v>
      </c>
      <c r="AB89" s="1">
        <v>3.226</v>
      </c>
      <c r="AC89" s="1">
        <v>3.7902</v>
      </c>
      <c r="AD89" s="1">
        <v>4.0486000000000004</v>
      </c>
      <c r="AE89" s="1">
        <v>4.0282</v>
      </c>
      <c r="AF89" s="1"/>
      <c r="AG89" s="1">
        <f t="shared" si="31"/>
        <v>0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25">
      <c r="A90" s="1" t="s">
        <v>135</v>
      </c>
      <c r="B90" s="1" t="s">
        <v>42</v>
      </c>
      <c r="C90" s="1"/>
      <c r="D90" s="1">
        <v>84</v>
      </c>
      <c r="E90" s="1">
        <v>67</v>
      </c>
      <c r="F90" s="1">
        <v>4</v>
      </c>
      <c r="G90" s="7">
        <v>0.3</v>
      </c>
      <c r="H90" s="1">
        <v>40</v>
      </c>
      <c r="I90" s="9" t="s">
        <v>40</v>
      </c>
      <c r="J90" s="1"/>
      <c r="K90" s="1">
        <v>82</v>
      </c>
      <c r="L90" s="1">
        <f t="shared" si="23"/>
        <v>-15</v>
      </c>
      <c r="M90" s="1">
        <f t="shared" si="24"/>
        <v>67</v>
      </c>
      <c r="N90" s="1"/>
      <c r="O90" s="1">
        <v>50</v>
      </c>
      <c r="P90" s="1"/>
      <c r="Q90" s="1">
        <v>30</v>
      </c>
      <c r="R90" s="1">
        <f t="shared" si="25"/>
        <v>13.4</v>
      </c>
      <c r="S90" s="5">
        <f t="shared" si="30"/>
        <v>76.800000000000011</v>
      </c>
      <c r="T90" s="1">
        <f t="shared" si="26"/>
        <v>12</v>
      </c>
      <c r="U90" s="1">
        <f t="shared" si="27"/>
        <v>6.2686567164179099</v>
      </c>
      <c r="V90" s="1">
        <v>0</v>
      </c>
      <c r="W90" s="1">
        <v>0</v>
      </c>
      <c r="X90" s="1">
        <v>0</v>
      </c>
      <c r="Y90" s="1">
        <v>-0.4</v>
      </c>
      <c r="Z90" s="1">
        <v>-0.4</v>
      </c>
      <c r="AA90" s="1">
        <v>0</v>
      </c>
      <c r="AB90" s="1">
        <v>0</v>
      </c>
      <c r="AC90" s="1">
        <v>0</v>
      </c>
      <c r="AD90" s="1">
        <v>-0.4</v>
      </c>
      <c r="AE90" s="1">
        <v>-0.4</v>
      </c>
      <c r="AF90" s="1"/>
      <c r="AG90" s="1">
        <f t="shared" si="31"/>
        <v>23.040000000000003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25">
      <c r="A91" s="1" t="s">
        <v>136</v>
      </c>
      <c r="B91" s="1" t="s">
        <v>42</v>
      </c>
      <c r="C91" s="1">
        <v>22</v>
      </c>
      <c r="D91" s="1"/>
      <c r="E91" s="1"/>
      <c r="F91" s="1">
        <v>22</v>
      </c>
      <c r="G91" s="7">
        <v>0.3</v>
      </c>
      <c r="H91" s="1">
        <v>40</v>
      </c>
      <c r="I91" s="9" t="s">
        <v>40</v>
      </c>
      <c r="J91" s="1"/>
      <c r="K91" s="1">
        <v>19</v>
      </c>
      <c r="L91" s="1">
        <f t="shared" si="23"/>
        <v>-19</v>
      </c>
      <c r="M91" s="1">
        <f t="shared" si="24"/>
        <v>0</v>
      </c>
      <c r="N91" s="1"/>
      <c r="O91" s="1">
        <v>0</v>
      </c>
      <c r="P91" s="1"/>
      <c r="Q91" s="1">
        <v>0</v>
      </c>
      <c r="R91" s="1">
        <f t="shared" si="25"/>
        <v>0</v>
      </c>
      <c r="S91" s="5"/>
      <c r="T91" s="1" t="e">
        <f t="shared" si="26"/>
        <v>#DIV/0!</v>
      </c>
      <c r="U91" s="1" t="e">
        <f t="shared" si="27"/>
        <v>#DIV/0!</v>
      </c>
      <c r="V91" s="1">
        <v>0</v>
      </c>
      <c r="W91" s="1">
        <v>-1.4</v>
      </c>
      <c r="X91" s="1">
        <v>-1.8</v>
      </c>
      <c r="Y91" s="1">
        <v>-0.6</v>
      </c>
      <c r="Z91" s="1">
        <v>3</v>
      </c>
      <c r="AA91" s="1">
        <v>8</v>
      </c>
      <c r="AB91" s="1">
        <v>5.6</v>
      </c>
      <c r="AC91" s="1">
        <v>4.2</v>
      </c>
      <c r="AD91" s="1">
        <v>6.4</v>
      </c>
      <c r="AE91" s="1">
        <v>8.8000000000000007</v>
      </c>
      <c r="AF91" s="17" t="s">
        <v>61</v>
      </c>
      <c r="AG91" s="1">
        <f t="shared" si="31"/>
        <v>0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25">
      <c r="A92" s="1" t="s">
        <v>137</v>
      </c>
      <c r="B92" s="1" t="s">
        <v>42</v>
      </c>
      <c r="C92" s="1">
        <v>83</v>
      </c>
      <c r="D92" s="1">
        <v>9</v>
      </c>
      <c r="E92" s="1">
        <v>53</v>
      </c>
      <c r="F92" s="1">
        <v>24</v>
      </c>
      <c r="G92" s="7">
        <v>7.0000000000000007E-2</v>
      </c>
      <c r="H92" s="1">
        <v>90</v>
      </c>
      <c r="I92" s="9" t="s">
        <v>40</v>
      </c>
      <c r="J92" s="1"/>
      <c r="K92" s="1">
        <v>105</v>
      </c>
      <c r="L92" s="1">
        <f t="shared" si="23"/>
        <v>-52</v>
      </c>
      <c r="M92" s="1">
        <f t="shared" si="24"/>
        <v>53</v>
      </c>
      <c r="N92" s="1"/>
      <c r="O92" s="1">
        <v>55.348199999999991</v>
      </c>
      <c r="P92" s="1">
        <v>61.051799999999993</v>
      </c>
      <c r="Q92" s="1">
        <v>73.200000000000045</v>
      </c>
      <c r="R92" s="1">
        <f t="shared" si="25"/>
        <v>10.6</v>
      </c>
      <c r="S92" s="5"/>
      <c r="T92" s="1">
        <f t="shared" si="26"/>
        <v>20.150943396226417</v>
      </c>
      <c r="U92" s="1">
        <f t="shared" si="27"/>
        <v>20.150943396226417</v>
      </c>
      <c r="V92" s="1">
        <v>20.6</v>
      </c>
      <c r="W92" s="1">
        <v>16.2</v>
      </c>
      <c r="X92" s="1">
        <v>4.8</v>
      </c>
      <c r="Y92" s="1">
        <v>0</v>
      </c>
      <c r="Z92" s="1">
        <v>0.8</v>
      </c>
      <c r="AA92" s="1">
        <v>8.4</v>
      </c>
      <c r="AB92" s="1">
        <v>20.399999999999999</v>
      </c>
      <c r="AC92" s="1">
        <v>12.6</v>
      </c>
      <c r="AD92" s="1">
        <v>0.4</v>
      </c>
      <c r="AE92" s="1">
        <v>3</v>
      </c>
      <c r="AF92" s="1"/>
      <c r="AG92" s="1">
        <f t="shared" si="31"/>
        <v>0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25">
      <c r="A93" s="1" t="s">
        <v>138</v>
      </c>
      <c r="B93" s="1" t="s">
        <v>42</v>
      </c>
      <c r="C93" s="1">
        <v>6</v>
      </c>
      <c r="D93" s="1">
        <v>72</v>
      </c>
      <c r="E93" s="1">
        <v>13</v>
      </c>
      <c r="F93" s="1">
        <v>50</v>
      </c>
      <c r="G93" s="7">
        <v>7.0000000000000007E-2</v>
      </c>
      <c r="H93" s="1">
        <v>90</v>
      </c>
      <c r="I93" s="9" t="s">
        <v>40</v>
      </c>
      <c r="J93" s="1"/>
      <c r="K93" s="1">
        <v>30</v>
      </c>
      <c r="L93" s="1">
        <f t="shared" si="23"/>
        <v>-17</v>
      </c>
      <c r="M93" s="1">
        <f t="shared" si="24"/>
        <v>13</v>
      </c>
      <c r="N93" s="1"/>
      <c r="O93" s="1">
        <v>72.27600000000001</v>
      </c>
      <c r="P93" s="1">
        <v>79.72399999999999</v>
      </c>
      <c r="Q93" s="1">
        <v>0</v>
      </c>
      <c r="R93" s="1">
        <f t="shared" si="25"/>
        <v>2.6</v>
      </c>
      <c r="S93" s="5"/>
      <c r="T93" s="1">
        <f t="shared" si="26"/>
        <v>77.692307692307693</v>
      </c>
      <c r="U93" s="1">
        <f t="shared" si="27"/>
        <v>77.692307692307693</v>
      </c>
      <c r="V93" s="1">
        <v>14.8</v>
      </c>
      <c r="W93" s="1">
        <v>24</v>
      </c>
      <c r="X93" s="1">
        <v>16.8</v>
      </c>
      <c r="Y93" s="1">
        <v>19.2</v>
      </c>
      <c r="Z93" s="1">
        <v>23</v>
      </c>
      <c r="AA93" s="1">
        <v>19</v>
      </c>
      <c r="AB93" s="1">
        <v>27.6</v>
      </c>
      <c r="AC93" s="1">
        <v>35.200000000000003</v>
      </c>
      <c r="AD93" s="1">
        <v>34.200000000000003</v>
      </c>
      <c r="AE93" s="1">
        <v>44.6</v>
      </c>
      <c r="AF93" s="1"/>
      <c r="AG93" s="1">
        <f t="shared" si="31"/>
        <v>0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25">
      <c r="A94" s="1" t="s">
        <v>139</v>
      </c>
      <c r="B94" s="1" t="s">
        <v>42</v>
      </c>
      <c r="C94" s="1">
        <v>401</v>
      </c>
      <c r="D94" s="1">
        <v>16</v>
      </c>
      <c r="E94" s="1">
        <v>92</v>
      </c>
      <c r="F94" s="1">
        <v>300</v>
      </c>
      <c r="G94" s="7">
        <v>7.0000000000000007E-2</v>
      </c>
      <c r="H94" s="1">
        <v>90</v>
      </c>
      <c r="I94" s="1" t="s">
        <v>37</v>
      </c>
      <c r="J94" s="1"/>
      <c r="K94" s="1">
        <v>133</v>
      </c>
      <c r="L94" s="1">
        <f t="shared" si="23"/>
        <v>-41</v>
      </c>
      <c r="M94" s="1">
        <f t="shared" si="24"/>
        <v>92</v>
      </c>
      <c r="N94" s="1"/>
      <c r="O94" s="1">
        <v>0</v>
      </c>
      <c r="P94" s="1"/>
      <c r="Q94" s="1">
        <v>0</v>
      </c>
      <c r="R94" s="1">
        <f t="shared" si="25"/>
        <v>18.399999999999999</v>
      </c>
      <c r="S94" s="5"/>
      <c r="T94" s="1">
        <f t="shared" si="26"/>
        <v>16.304347826086957</v>
      </c>
      <c r="U94" s="1">
        <f t="shared" si="27"/>
        <v>16.304347826086957</v>
      </c>
      <c r="V94" s="1">
        <v>18.2</v>
      </c>
      <c r="W94" s="1">
        <v>20.8</v>
      </c>
      <c r="X94" s="1">
        <v>13</v>
      </c>
      <c r="Y94" s="1">
        <v>15.2</v>
      </c>
      <c r="Z94" s="1">
        <v>16.600000000000001</v>
      </c>
      <c r="AA94" s="1">
        <v>11</v>
      </c>
      <c r="AB94" s="1">
        <v>38</v>
      </c>
      <c r="AC94" s="1">
        <v>42.6</v>
      </c>
      <c r="AD94" s="1">
        <v>11.4</v>
      </c>
      <c r="AE94" s="1">
        <v>17.8</v>
      </c>
      <c r="AF94" s="17" t="s">
        <v>61</v>
      </c>
      <c r="AG94" s="1">
        <f t="shared" si="31"/>
        <v>0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25">
      <c r="A95" s="1" t="s">
        <v>140</v>
      </c>
      <c r="B95" s="1" t="s">
        <v>42</v>
      </c>
      <c r="C95" s="1">
        <v>61</v>
      </c>
      <c r="D95" s="1"/>
      <c r="E95" s="1">
        <v>18</v>
      </c>
      <c r="F95" s="1">
        <v>37</v>
      </c>
      <c r="G95" s="7">
        <v>0.3</v>
      </c>
      <c r="H95" s="1">
        <v>40</v>
      </c>
      <c r="I95" s="1" t="s">
        <v>37</v>
      </c>
      <c r="J95" s="1"/>
      <c r="K95" s="1">
        <v>19</v>
      </c>
      <c r="L95" s="1">
        <f t="shared" si="23"/>
        <v>-1</v>
      </c>
      <c r="M95" s="1">
        <f t="shared" si="24"/>
        <v>18</v>
      </c>
      <c r="N95" s="1"/>
      <c r="O95" s="1">
        <v>0</v>
      </c>
      <c r="P95" s="1"/>
      <c r="Q95" s="1">
        <v>11.2</v>
      </c>
      <c r="R95" s="1">
        <f t="shared" si="25"/>
        <v>3.6</v>
      </c>
      <c r="S95" s="5"/>
      <c r="T95" s="1">
        <f t="shared" si="26"/>
        <v>13.388888888888889</v>
      </c>
      <c r="U95" s="1">
        <f t="shared" si="27"/>
        <v>13.388888888888889</v>
      </c>
      <c r="V95" s="1">
        <v>5.2</v>
      </c>
      <c r="W95" s="1">
        <v>2.8</v>
      </c>
      <c r="X95" s="1">
        <v>1</v>
      </c>
      <c r="Y95" s="1">
        <v>4</v>
      </c>
      <c r="Z95" s="1">
        <v>5</v>
      </c>
      <c r="AA95" s="1">
        <v>6.8</v>
      </c>
      <c r="AB95" s="1">
        <v>6.4</v>
      </c>
      <c r="AC95" s="1">
        <v>4.2</v>
      </c>
      <c r="AD95" s="1">
        <v>4</v>
      </c>
      <c r="AE95" s="1">
        <v>2.4</v>
      </c>
      <c r="AF95" s="1"/>
      <c r="AG95" s="1">
        <f t="shared" si="31"/>
        <v>0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25">
      <c r="A96" s="10" t="s">
        <v>141</v>
      </c>
      <c r="B96" s="10" t="s">
        <v>36</v>
      </c>
      <c r="C96" s="10">
        <v>-3.2010000000000001</v>
      </c>
      <c r="D96" s="10"/>
      <c r="E96" s="13">
        <f>0+E123</f>
        <v>23.326000000000001</v>
      </c>
      <c r="F96" s="13">
        <f>-3.201+F123</f>
        <v>0.24299999999999988</v>
      </c>
      <c r="G96" s="11">
        <v>0</v>
      </c>
      <c r="H96" s="10">
        <v>55</v>
      </c>
      <c r="I96" s="10" t="s">
        <v>110</v>
      </c>
      <c r="J96" s="10"/>
      <c r="K96" s="10"/>
      <c r="L96" s="10">
        <f t="shared" si="23"/>
        <v>23.326000000000001</v>
      </c>
      <c r="M96" s="10">
        <f t="shared" si="24"/>
        <v>23.326000000000001</v>
      </c>
      <c r="N96" s="10"/>
      <c r="O96" s="10">
        <v>0</v>
      </c>
      <c r="P96" s="10"/>
      <c r="Q96" s="10">
        <v>0</v>
      </c>
      <c r="R96" s="10">
        <f t="shared" si="25"/>
        <v>4.6652000000000005</v>
      </c>
      <c r="S96" s="12"/>
      <c r="T96" s="10">
        <f t="shared" si="26"/>
        <v>5.2087799022549917E-2</v>
      </c>
      <c r="U96" s="10">
        <f t="shared" si="27"/>
        <v>5.2087799022549917E-2</v>
      </c>
      <c r="V96" s="10">
        <v>5.3570000000000002</v>
      </c>
      <c r="W96" s="10">
        <v>4.3322000000000003</v>
      </c>
      <c r="X96" s="10">
        <v>2.0859999999999999</v>
      </c>
      <c r="Y96" s="10">
        <v>3.4163999999999999</v>
      </c>
      <c r="Z96" s="10">
        <v>4.1698000000000004</v>
      </c>
      <c r="AA96" s="10">
        <v>3.3782000000000001</v>
      </c>
      <c r="AB96" s="10">
        <v>2.556</v>
      </c>
      <c r="AC96" s="10">
        <v>2.0268000000000002</v>
      </c>
      <c r="AD96" s="10">
        <v>3.2402000000000002</v>
      </c>
      <c r="AE96" s="10">
        <v>3.1644000000000001</v>
      </c>
      <c r="AF96" s="10"/>
      <c r="AG96" s="10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25">
      <c r="A97" s="1" t="s">
        <v>142</v>
      </c>
      <c r="B97" s="1" t="s">
        <v>42</v>
      </c>
      <c r="C97" s="1">
        <v>-1</v>
      </c>
      <c r="D97" s="1">
        <v>122</v>
      </c>
      <c r="E97" s="1">
        <v>23</v>
      </c>
      <c r="F97" s="1">
        <v>73</v>
      </c>
      <c r="G97" s="7">
        <v>0.11</v>
      </c>
      <c r="H97" s="1">
        <v>30</v>
      </c>
      <c r="I97" s="1" t="s">
        <v>37</v>
      </c>
      <c r="J97" s="1"/>
      <c r="K97" s="1">
        <v>85</v>
      </c>
      <c r="L97" s="1">
        <f t="shared" si="23"/>
        <v>-62</v>
      </c>
      <c r="M97" s="1">
        <f t="shared" si="24"/>
        <v>23</v>
      </c>
      <c r="N97" s="1"/>
      <c r="O97" s="1">
        <v>0</v>
      </c>
      <c r="P97" s="1"/>
      <c r="Q97" s="1">
        <v>0</v>
      </c>
      <c r="R97" s="1">
        <f t="shared" si="25"/>
        <v>4.5999999999999996</v>
      </c>
      <c r="S97" s="5"/>
      <c r="T97" s="1">
        <f t="shared" si="26"/>
        <v>15.869565217391306</v>
      </c>
      <c r="U97" s="1">
        <f t="shared" si="27"/>
        <v>15.869565217391306</v>
      </c>
      <c r="V97" s="1">
        <v>0.6</v>
      </c>
      <c r="W97" s="1">
        <v>-1.4</v>
      </c>
      <c r="X97" s="1">
        <v>2.6</v>
      </c>
      <c r="Y97" s="1">
        <v>7.8</v>
      </c>
      <c r="Z97" s="1">
        <v>6.8</v>
      </c>
      <c r="AA97" s="1">
        <v>7.2</v>
      </c>
      <c r="AB97" s="1">
        <v>32.6</v>
      </c>
      <c r="AC97" s="1">
        <v>33</v>
      </c>
      <c r="AD97" s="1">
        <v>11.2</v>
      </c>
      <c r="AE97" s="1">
        <v>28.2</v>
      </c>
      <c r="AF97" s="1" t="s">
        <v>143</v>
      </c>
      <c r="AG97" s="1">
        <f>G97*S97</f>
        <v>0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25">
      <c r="A98" s="10" t="s">
        <v>144</v>
      </c>
      <c r="B98" s="10" t="s">
        <v>42</v>
      </c>
      <c r="C98" s="10"/>
      <c r="D98" s="10"/>
      <c r="E98" s="10"/>
      <c r="F98" s="10"/>
      <c r="G98" s="11">
        <v>0</v>
      </c>
      <c r="H98" s="10"/>
      <c r="I98" s="10" t="s">
        <v>37</v>
      </c>
      <c r="J98" s="10"/>
      <c r="K98" s="10"/>
      <c r="L98" s="10">
        <f t="shared" si="23"/>
        <v>0</v>
      </c>
      <c r="M98" s="10">
        <f t="shared" si="24"/>
        <v>0</v>
      </c>
      <c r="N98" s="10"/>
      <c r="O98" s="10">
        <v>0</v>
      </c>
      <c r="P98" s="10"/>
      <c r="Q98" s="10">
        <v>0</v>
      </c>
      <c r="R98" s="10">
        <f t="shared" si="25"/>
        <v>0</v>
      </c>
      <c r="S98" s="12"/>
      <c r="T98" s="10" t="e">
        <f t="shared" si="26"/>
        <v>#DIV/0!</v>
      </c>
      <c r="U98" s="10" t="e">
        <f t="shared" si="27"/>
        <v>#DIV/0!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 t="s">
        <v>53</v>
      </c>
      <c r="AG98" s="10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25">
      <c r="A99" s="1" t="s">
        <v>145</v>
      </c>
      <c r="B99" s="1" t="s">
        <v>42</v>
      </c>
      <c r="C99" s="1">
        <v>201</v>
      </c>
      <c r="D99" s="1">
        <v>52</v>
      </c>
      <c r="E99" s="1">
        <v>191</v>
      </c>
      <c r="F99" s="1">
        <v>24</v>
      </c>
      <c r="G99" s="7">
        <v>0.08</v>
      </c>
      <c r="H99" s="1">
        <v>45</v>
      </c>
      <c r="I99" s="1" t="s">
        <v>37</v>
      </c>
      <c r="J99" s="1"/>
      <c r="K99" s="1">
        <v>287</v>
      </c>
      <c r="L99" s="1">
        <f t="shared" si="23"/>
        <v>-96</v>
      </c>
      <c r="M99" s="1">
        <f t="shared" si="24"/>
        <v>191</v>
      </c>
      <c r="N99" s="1"/>
      <c r="O99" s="1">
        <v>165.37889999999999</v>
      </c>
      <c r="P99" s="1">
        <v>182.4211</v>
      </c>
      <c r="Q99" s="1">
        <v>0</v>
      </c>
      <c r="R99" s="1">
        <f t="shared" si="25"/>
        <v>38.200000000000003</v>
      </c>
      <c r="S99" s="5">
        <f t="shared" ref="S99:S105" si="32">12*R99-Q99-P99-O99-F99</f>
        <v>86.60000000000008</v>
      </c>
      <c r="T99" s="1">
        <f t="shared" si="26"/>
        <v>12</v>
      </c>
      <c r="U99" s="1">
        <f t="shared" si="27"/>
        <v>9.7329842931937147</v>
      </c>
      <c r="V99" s="1">
        <v>45.4</v>
      </c>
      <c r="W99" s="1">
        <v>48.4</v>
      </c>
      <c r="X99" s="1">
        <v>35</v>
      </c>
      <c r="Y99" s="1">
        <v>32</v>
      </c>
      <c r="Z99" s="1">
        <v>39.200000000000003</v>
      </c>
      <c r="AA99" s="1">
        <v>39</v>
      </c>
      <c r="AB99" s="1">
        <v>55</v>
      </c>
      <c r="AC99" s="1">
        <v>67.2</v>
      </c>
      <c r="AD99" s="1">
        <v>78.400000000000006</v>
      </c>
      <c r="AE99" s="1">
        <v>93.4</v>
      </c>
      <c r="AF99" s="1"/>
      <c r="AG99" s="1">
        <f t="shared" ref="AG99:AG105" si="33">G99*S99</f>
        <v>6.9280000000000062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  <row r="100" spans="1:47" x14ac:dyDescent="0.25">
      <c r="A100" s="1" t="s">
        <v>146</v>
      </c>
      <c r="B100" s="1" t="s">
        <v>42</v>
      </c>
      <c r="C100" s="1">
        <v>470</v>
      </c>
      <c r="D100" s="1"/>
      <c r="E100" s="1">
        <v>70</v>
      </c>
      <c r="F100" s="1">
        <v>383</v>
      </c>
      <c r="G100" s="7">
        <v>0.08</v>
      </c>
      <c r="H100" s="1">
        <v>45</v>
      </c>
      <c r="I100" s="1" t="s">
        <v>37</v>
      </c>
      <c r="J100" s="1"/>
      <c r="K100" s="1">
        <v>279</v>
      </c>
      <c r="L100" s="1">
        <f t="shared" si="23"/>
        <v>-209</v>
      </c>
      <c r="M100" s="1">
        <f t="shared" si="24"/>
        <v>70</v>
      </c>
      <c r="N100" s="1"/>
      <c r="O100" s="1">
        <v>0</v>
      </c>
      <c r="P100" s="1"/>
      <c r="Q100" s="1">
        <v>0</v>
      </c>
      <c r="R100" s="1">
        <f t="shared" si="25"/>
        <v>14</v>
      </c>
      <c r="S100" s="5"/>
      <c r="T100" s="1">
        <f t="shared" si="26"/>
        <v>27.357142857142858</v>
      </c>
      <c r="U100" s="1">
        <f t="shared" si="27"/>
        <v>27.357142857142858</v>
      </c>
      <c r="V100" s="1">
        <v>15.4</v>
      </c>
      <c r="W100" s="1">
        <v>17.600000000000001</v>
      </c>
      <c r="X100" s="1">
        <v>14.8</v>
      </c>
      <c r="Y100" s="1">
        <v>16</v>
      </c>
      <c r="Z100" s="1">
        <v>28</v>
      </c>
      <c r="AA100" s="1">
        <v>20.6</v>
      </c>
      <c r="AB100" s="1">
        <v>41</v>
      </c>
      <c r="AC100" s="1">
        <v>50.6</v>
      </c>
      <c r="AD100" s="1">
        <v>60.4</v>
      </c>
      <c r="AE100" s="1">
        <v>86.8</v>
      </c>
      <c r="AF100" s="17" t="s">
        <v>61</v>
      </c>
      <c r="AG100" s="1">
        <f t="shared" si="33"/>
        <v>0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:47" x14ac:dyDescent="0.25">
      <c r="A101" s="1" t="s">
        <v>147</v>
      </c>
      <c r="B101" s="1" t="s">
        <v>42</v>
      </c>
      <c r="C101" s="1">
        <v>11</v>
      </c>
      <c r="D101" s="1">
        <v>1</v>
      </c>
      <c r="E101" s="1">
        <v>3</v>
      </c>
      <c r="F101" s="1">
        <v>2</v>
      </c>
      <c r="G101" s="7">
        <v>0.17</v>
      </c>
      <c r="H101" s="1">
        <v>30</v>
      </c>
      <c r="I101" s="9" t="s">
        <v>40</v>
      </c>
      <c r="J101" s="1"/>
      <c r="K101" s="1">
        <v>72</v>
      </c>
      <c r="L101" s="1">
        <f t="shared" si="23"/>
        <v>-69</v>
      </c>
      <c r="M101" s="1">
        <f t="shared" si="24"/>
        <v>3</v>
      </c>
      <c r="N101" s="1"/>
      <c r="O101" s="1">
        <v>20</v>
      </c>
      <c r="P101" s="1"/>
      <c r="Q101" s="1">
        <v>13.6</v>
      </c>
      <c r="R101" s="1">
        <f t="shared" si="25"/>
        <v>0.6</v>
      </c>
      <c r="S101" s="5"/>
      <c r="T101" s="1">
        <f t="shared" si="26"/>
        <v>59.333333333333336</v>
      </c>
      <c r="U101" s="1">
        <f t="shared" si="27"/>
        <v>59.333333333333336</v>
      </c>
      <c r="V101" s="1">
        <v>3.6</v>
      </c>
      <c r="W101" s="1">
        <v>3.8</v>
      </c>
      <c r="X101" s="1">
        <v>3</v>
      </c>
      <c r="Y101" s="1">
        <v>3.8</v>
      </c>
      <c r="Z101" s="1">
        <v>6.8</v>
      </c>
      <c r="AA101" s="1">
        <v>8.1999999999999993</v>
      </c>
      <c r="AB101" s="1">
        <v>27.8</v>
      </c>
      <c r="AC101" s="1">
        <v>35</v>
      </c>
      <c r="AD101" s="1">
        <v>11.4</v>
      </c>
      <c r="AE101" s="1">
        <v>28</v>
      </c>
      <c r="AF101" s="1" t="s">
        <v>148</v>
      </c>
      <c r="AG101" s="1">
        <f t="shared" si="33"/>
        <v>0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:47" x14ac:dyDescent="0.25">
      <c r="A102" s="1" t="s">
        <v>149</v>
      </c>
      <c r="B102" s="1" t="s">
        <v>36</v>
      </c>
      <c r="C102" s="1">
        <v>182.62899999999999</v>
      </c>
      <c r="D102" s="1">
        <v>392.63499999999999</v>
      </c>
      <c r="E102" s="1">
        <v>453.75200000000001</v>
      </c>
      <c r="F102" s="1">
        <v>-0.48699999999999999</v>
      </c>
      <c r="G102" s="7">
        <v>1</v>
      </c>
      <c r="H102" s="1">
        <v>40</v>
      </c>
      <c r="I102" s="9" t="s">
        <v>40</v>
      </c>
      <c r="J102" s="1"/>
      <c r="K102" s="1">
        <v>478.01</v>
      </c>
      <c r="L102" s="1">
        <f t="shared" ref="L102:L133" si="34">E102-K102</f>
        <v>-24.257999999999981</v>
      </c>
      <c r="M102" s="1">
        <f t="shared" ref="M102:M133" si="35">E102-N102</f>
        <v>406.60599999999999</v>
      </c>
      <c r="N102" s="1">
        <v>47.146000000000001</v>
      </c>
      <c r="O102" s="1">
        <v>385.59341100000012</v>
      </c>
      <c r="P102" s="1">
        <v>425.32858900000002</v>
      </c>
      <c r="Q102" s="1">
        <v>600</v>
      </c>
      <c r="R102" s="1">
        <f t="shared" ref="R102:R133" si="36">M102/5</f>
        <v>81.321200000000005</v>
      </c>
      <c r="S102" s="5"/>
      <c r="T102" s="1">
        <f t="shared" ref="T102:T133" si="37">(F102+O102+P102+Q102+S102)/R102</f>
        <v>17.344001318229441</v>
      </c>
      <c r="U102" s="1">
        <f t="shared" ref="U102:U133" si="38">(F102+O102+P102+Q102)/R102</f>
        <v>17.344001318229441</v>
      </c>
      <c r="V102" s="1">
        <v>140.46619999999999</v>
      </c>
      <c r="W102" s="1">
        <v>122.33920000000001</v>
      </c>
      <c r="X102" s="1">
        <v>36.664200000000001</v>
      </c>
      <c r="Y102" s="1">
        <v>-0.30680000000000002</v>
      </c>
      <c r="Z102" s="1">
        <v>14.638999999999999</v>
      </c>
      <c r="AA102" s="1">
        <v>60.017800000000001</v>
      </c>
      <c r="AB102" s="1">
        <v>53.826599999999999</v>
      </c>
      <c r="AC102" s="1">
        <v>11.5198</v>
      </c>
      <c r="AD102" s="1">
        <v>44.968600000000002</v>
      </c>
      <c r="AE102" s="1">
        <v>78.888000000000005</v>
      </c>
      <c r="AF102" s="1"/>
      <c r="AG102" s="1">
        <f t="shared" si="33"/>
        <v>0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:47" x14ac:dyDescent="0.25">
      <c r="A103" s="1" t="s">
        <v>150</v>
      </c>
      <c r="B103" s="1" t="s">
        <v>36</v>
      </c>
      <c r="C103" s="1">
        <v>226.57300000000001</v>
      </c>
      <c r="D103" s="1">
        <v>333.43700000000001</v>
      </c>
      <c r="E103" s="1">
        <v>225.054</v>
      </c>
      <c r="F103" s="1">
        <v>233.51499999999999</v>
      </c>
      <c r="G103" s="7">
        <v>1</v>
      </c>
      <c r="H103" s="1">
        <v>40</v>
      </c>
      <c r="I103" s="9" t="s">
        <v>40</v>
      </c>
      <c r="J103" s="1"/>
      <c r="K103" s="1">
        <v>246.27799999999999</v>
      </c>
      <c r="L103" s="1">
        <f t="shared" si="34"/>
        <v>-21.22399999999999</v>
      </c>
      <c r="M103" s="1">
        <f t="shared" si="35"/>
        <v>181.846</v>
      </c>
      <c r="N103" s="1">
        <v>43.207999999999998</v>
      </c>
      <c r="O103" s="1">
        <v>60.273143699999991</v>
      </c>
      <c r="P103" s="1">
        <v>66.48425629999997</v>
      </c>
      <c r="Q103" s="1">
        <v>256.14753600000012</v>
      </c>
      <c r="R103" s="1">
        <f t="shared" si="36"/>
        <v>36.369199999999999</v>
      </c>
      <c r="S103" s="5"/>
      <c r="T103" s="1">
        <f t="shared" si="37"/>
        <v>16.94895504987737</v>
      </c>
      <c r="U103" s="1">
        <f t="shared" si="38"/>
        <v>16.94895504987737</v>
      </c>
      <c r="V103" s="1">
        <v>70.575400000000002</v>
      </c>
      <c r="W103" s="1">
        <v>46.1312</v>
      </c>
      <c r="X103" s="1">
        <v>3.4698000000000002</v>
      </c>
      <c r="Y103" s="1">
        <v>-0.16420000000000001</v>
      </c>
      <c r="Z103" s="1">
        <v>-0.16420000000000001</v>
      </c>
      <c r="AA103" s="1">
        <v>30.249199999999998</v>
      </c>
      <c r="AB103" s="1">
        <v>33.227200000000003</v>
      </c>
      <c r="AC103" s="1">
        <v>28.0884</v>
      </c>
      <c r="AD103" s="1">
        <v>45.462800000000001</v>
      </c>
      <c r="AE103" s="1">
        <v>36.320399999999999</v>
      </c>
      <c r="AF103" s="1"/>
      <c r="AG103" s="1">
        <f t="shared" si="33"/>
        <v>0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:47" x14ac:dyDescent="0.25">
      <c r="A104" s="1" t="s">
        <v>151</v>
      </c>
      <c r="B104" s="1" t="s">
        <v>36</v>
      </c>
      <c r="C104" s="1"/>
      <c r="D104" s="1">
        <v>44.433999999999997</v>
      </c>
      <c r="E104" s="1">
        <v>19.251000000000001</v>
      </c>
      <c r="F104" s="1">
        <v>1.3720000000000001</v>
      </c>
      <c r="G104" s="7">
        <v>1</v>
      </c>
      <c r="H104" s="1">
        <v>40</v>
      </c>
      <c r="I104" s="9" t="s">
        <v>40</v>
      </c>
      <c r="J104" s="1"/>
      <c r="K104" s="1">
        <v>54.994999999999997</v>
      </c>
      <c r="L104" s="1">
        <f t="shared" si="34"/>
        <v>-35.744</v>
      </c>
      <c r="M104" s="1">
        <f t="shared" si="35"/>
        <v>19.251000000000001</v>
      </c>
      <c r="N104" s="1"/>
      <c r="O104" s="1">
        <v>10</v>
      </c>
      <c r="P104" s="1"/>
      <c r="Q104" s="1">
        <v>10</v>
      </c>
      <c r="R104" s="1">
        <f t="shared" si="36"/>
        <v>3.8502000000000001</v>
      </c>
      <c r="S104" s="5">
        <f t="shared" si="32"/>
        <v>24.830399999999997</v>
      </c>
      <c r="T104" s="1">
        <f t="shared" si="37"/>
        <v>11.999999999999998</v>
      </c>
      <c r="U104" s="1">
        <f t="shared" si="38"/>
        <v>5.550880473741624</v>
      </c>
      <c r="V104" s="1">
        <v>-0.42520000000000002</v>
      </c>
      <c r="W104" s="1">
        <v>-0.1434</v>
      </c>
      <c r="X104" s="1">
        <v>0</v>
      </c>
      <c r="Y104" s="1">
        <v>0</v>
      </c>
      <c r="Z104" s="1">
        <v>-0.1414</v>
      </c>
      <c r="AA104" s="1">
        <v>-0.28460000000000002</v>
      </c>
      <c r="AB104" s="1">
        <v>-0.14319999999999999</v>
      </c>
      <c r="AC104" s="1">
        <v>-0.58819999999999995</v>
      </c>
      <c r="AD104" s="1">
        <v>-0.72819999999999996</v>
      </c>
      <c r="AE104" s="1">
        <v>-0.84860000000000002</v>
      </c>
      <c r="AF104" s="1"/>
      <c r="AG104" s="1">
        <f t="shared" si="33"/>
        <v>24.830399999999997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:47" x14ac:dyDescent="0.25">
      <c r="A105" s="1" t="s">
        <v>152</v>
      </c>
      <c r="B105" s="1" t="s">
        <v>42</v>
      </c>
      <c r="C105" s="1">
        <v>53</v>
      </c>
      <c r="D105" s="1"/>
      <c r="E105" s="1">
        <v>26</v>
      </c>
      <c r="F105" s="1">
        <v>6</v>
      </c>
      <c r="G105" s="7">
        <v>0.3</v>
      </c>
      <c r="H105" s="1">
        <v>45</v>
      </c>
      <c r="I105" s="1" t="s">
        <v>37</v>
      </c>
      <c r="J105" s="1"/>
      <c r="K105" s="1">
        <v>50</v>
      </c>
      <c r="L105" s="1">
        <f t="shared" si="34"/>
        <v>-24</v>
      </c>
      <c r="M105" s="1">
        <f t="shared" si="35"/>
        <v>26</v>
      </c>
      <c r="N105" s="1"/>
      <c r="O105" s="1">
        <v>0</v>
      </c>
      <c r="P105" s="1"/>
      <c r="Q105" s="1">
        <v>0</v>
      </c>
      <c r="R105" s="1">
        <f t="shared" si="36"/>
        <v>5.2</v>
      </c>
      <c r="S105" s="19">
        <v>0</v>
      </c>
      <c r="T105" s="1">
        <f t="shared" si="37"/>
        <v>1.1538461538461537</v>
      </c>
      <c r="U105" s="1">
        <f t="shared" si="38"/>
        <v>1.1538461538461537</v>
      </c>
      <c r="V105" s="1">
        <v>6.4</v>
      </c>
      <c r="W105" s="1">
        <v>7.4</v>
      </c>
      <c r="X105" s="1">
        <v>11</v>
      </c>
      <c r="Y105" s="1">
        <v>7.2</v>
      </c>
      <c r="Z105" s="1">
        <v>0</v>
      </c>
      <c r="AA105" s="1">
        <v>4.8</v>
      </c>
      <c r="AB105" s="1">
        <v>11.4</v>
      </c>
      <c r="AC105" s="1">
        <v>7.2</v>
      </c>
      <c r="AD105" s="1">
        <v>2.2000000000000002</v>
      </c>
      <c r="AE105" s="1">
        <v>5</v>
      </c>
      <c r="AF105" s="18" t="s">
        <v>153</v>
      </c>
      <c r="AG105" s="1">
        <f t="shared" si="33"/>
        <v>0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:47" x14ac:dyDescent="0.25">
      <c r="A106" s="10" t="s">
        <v>154</v>
      </c>
      <c r="B106" s="10" t="s">
        <v>36</v>
      </c>
      <c r="C106" s="10">
        <v>1.2509999999999999</v>
      </c>
      <c r="D106" s="10">
        <v>10.9</v>
      </c>
      <c r="E106" s="10">
        <v>1.018</v>
      </c>
      <c r="F106" s="10">
        <v>10.782999999999999</v>
      </c>
      <c r="G106" s="11">
        <v>0</v>
      </c>
      <c r="H106" s="10">
        <v>55</v>
      </c>
      <c r="I106" s="10" t="s">
        <v>110</v>
      </c>
      <c r="J106" s="10"/>
      <c r="K106" s="10">
        <v>1.25</v>
      </c>
      <c r="L106" s="10">
        <f t="shared" si="34"/>
        <v>-0.23199999999999998</v>
      </c>
      <c r="M106" s="10">
        <f t="shared" si="35"/>
        <v>1.018</v>
      </c>
      <c r="N106" s="10"/>
      <c r="O106" s="10">
        <v>7.9802000000000017</v>
      </c>
      <c r="P106" s="10"/>
      <c r="Q106" s="10">
        <v>0</v>
      </c>
      <c r="R106" s="10">
        <f t="shared" si="36"/>
        <v>0.2036</v>
      </c>
      <c r="S106" s="12"/>
      <c r="T106" s="10">
        <f t="shared" si="37"/>
        <v>92.157170923379184</v>
      </c>
      <c r="U106" s="10">
        <f t="shared" si="38"/>
        <v>92.157170923379184</v>
      </c>
      <c r="V106" s="10">
        <v>0.76459999999999995</v>
      </c>
      <c r="W106" s="10">
        <v>1.1026</v>
      </c>
      <c r="X106" s="10">
        <v>0.53499999999999992</v>
      </c>
      <c r="Y106" s="10">
        <v>0.53220000000000001</v>
      </c>
      <c r="Z106" s="10">
        <v>0.53420000000000001</v>
      </c>
      <c r="AA106" s="10">
        <v>0.81699999999999995</v>
      </c>
      <c r="AB106" s="10">
        <v>0.54800000000000004</v>
      </c>
      <c r="AC106" s="10">
        <v>0.53959999999999997</v>
      </c>
      <c r="AD106" s="10">
        <v>0.53959999999999997</v>
      </c>
      <c r="AE106" s="10">
        <v>0.54379999999999995</v>
      </c>
      <c r="AF106" s="10"/>
      <c r="AG106" s="10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:47" x14ac:dyDescent="0.25">
      <c r="A107" s="1" t="s">
        <v>155</v>
      </c>
      <c r="B107" s="1" t="s">
        <v>42</v>
      </c>
      <c r="C107" s="1">
        <v>186</v>
      </c>
      <c r="D107" s="1">
        <v>531</v>
      </c>
      <c r="E107" s="1">
        <v>495</v>
      </c>
      <c r="F107" s="1">
        <v>143</v>
      </c>
      <c r="G107" s="7">
        <v>0.28000000000000003</v>
      </c>
      <c r="H107" s="1">
        <v>40</v>
      </c>
      <c r="I107" s="9" t="s">
        <v>40</v>
      </c>
      <c r="J107" s="1"/>
      <c r="K107" s="1">
        <v>557</v>
      </c>
      <c r="L107" s="1">
        <f t="shared" si="34"/>
        <v>-62</v>
      </c>
      <c r="M107" s="1">
        <f t="shared" si="35"/>
        <v>495</v>
      </c>
      <c r="N107" s="1"/>
      <c r="O107" s="1">
        <v>84.270012000000023</v>
      </c>
      <c r="P107" s="1">
        <v>92.953988000000024</v>
      </c>
      <c r="Q107" s="1">
        <v>555.69600000000014</v>
      </c>
      <c r="R107" s="1">
        <f t="shared" si="36"/>
        <v>99</v>
      </c>
      <c r="S107" s="5">
        <f t="shared" ref="S107:S110" si="39">12*R107-Q107-P107-O107-F107</f>
        <v>312.07999999999987</v>
      </c>
      <c r="T107" s="1">
        <f t="shared" si="37"/>
        <v>12</v>
      </c>
      <c r="U107" s="1">
        <f t="shared" si="38"/>
        <v>8.84767676767677</v>
      </c>
      <c r="V107" s="1">
        <v>113</v>
      </c>
      <c r="W107" s="1">
        <v>60.6</v>
      </c>
      <c r="X107" s="1">
        <v>12.2</v>
      </c>
      <c r="Y107" s="1">
        <v>82.2</v>
      </c>
      <c r="Z107" s="1">
        <v>143.4</v>
      </c>
      <c r="AA107" s="1">
        <v>118.6</v>
      </c>
      <c r="AB107" s="1">
        <v>92.6</v>
      </c>
      <c r="AC107" s="1">
        <v>36.799999999999997</v>
      </c>
      <c r="AD107" s="1">
        <v>29.6</v>
      </c>
      <c r="AE107" s="1">
        <v>101</v>
      </c>
      <c r="AF107" s="1"/>
      <c r="AG107" s="1">
        <f>G107*S107</f>
        <v>87.382399999999976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:47" x14ac:dyDescent="0.25">
      <c r="A108" s="1" t="s">
        <v>156</v>
      </c>
      <c r="B108" s="1" t="s">
        <v>42</v>
      </c>
      <c r="C108" s="1">
        <v>234</v>
      </c>
      <c r="D108" s="1">
        <v>698</v>
      </c>
      <c r="E108" s="1">
        <v>662</v>
      </c>
      <c r="F108" s="1">
        <v>60</v>
      </c>
      <c r="G108" s="7">
        <v>0.28000000000000003</v>
      </c>
      <c r="H108" s="1">
        <v>40</v>
      </c>
      <c r="I108" s="9" t="s">
        <v>40</v>
      </c>
      <c r="J108" s="1"/>
      <c r="K108" s="1">
        <v>741</v>
      </c>
      <c r="L108" s="1">
        <f t="shared" si="34"/>
        <v>-79</v>
      </c>
      <c r="M108" s="1">
        <f t="shared" si="35"/>
        <v>662</v>
      </c>
      <c r="N108" s="1"/>
      <c r="O108" s="1">
        <v>50</v>
      </c>
      <c r="P108" s="1"/>
      <c r="Q108" s="1">
        <v>600.08800000000008</v>
      </c>
      <c r="R108" s="1">
        <f t="shared" si="36"/>
        <v>132.4</v>
      </c>
      <c r="S108" s="5">
        <f t="shared" si="39"/>
        <v>878.7120000000001</v>
      </c>
      <c r="T108" s="1">
        <f t="shared" si="37"/>
        <v>12</v>
      </c>
      <c r="U108" s="1">
        <f t="shared" si="38"/>
        <v>5.3632024169184298</v>
      </c>
      <c r="V108" s="1">
        <v>118.2</v>
      </c>
      <c r="W108" s="1">
        <v>51</v>
      </c>
      <c r="X108" s="1">
        <v>21.4</v>
      </c>
      <c r="Y108" s="1">
        <v>76.400000000000006</v>
      </c>
      <c r="Z108" s="1">
        <v>94.2</v>
      </c>
      <c r="AA108" s="1">
        <v>49</v>
      </c>
      <c r="AB108" s="1">
        <v>21.2</v>
      </c>
      <c r="AC108" s="1">
        <v>42.8</v>
      </c>
      <c r="AD108" s="1">
        <v>71.2</v>
      </c>
      <c r="AE108" s="1">
        <v>36.799999999999997</v>
      </c>
      <c r="AF108" s="1"/>
      <c r="AG108" s="1">
        <f>G108*S108</f>
        <v>246.03936000000004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:47" x14ac:dyDescent="0.25">
      <c r="A109" s="1" t="s">
        <v>157</v>
      </c>
      <c r="B109" s="1" t="s">
        <v>42</v>
      </c>
      <c r="C109" s="1"/>
      <c r="D109" s="1">
        <v>403</v>
      </c>
      <c r="E109" s="1">
        <v>335</v>
      </c>
      <c r="F109" s="1">
        <v>-7</v>
      </c>
      <c r="G109" s="7">
        <v>0.28000000000000003</v>
      </c>
      <c r="H109" s="1">
        <v>40</v>
      </c>
      <c r="I109" s="9" t="s">
        <v>40</v>
      </c>
      <c r="J109" s="1"/>
      <c r="K109" s="1">
        <v>563</v>
      </c>
      <c r="L109" s="1">
        <f t="shared" si="34"/>
        <v>-228</v>
      </c>
      <c r="M109" s="1">
        <f t="shared" si="35"/>
        <v>335</v>
      </c>
      <c r="N109" s="1"/>
      <c r="O109" s="1">
        <v>254.48759999999999</v>
      </c>
      <c r="P109" s="1">
        <v>280.7124</v>
      </c>
      <c r="Q109" s="1">
        <v>650</v>
      </c>
      <c r="R109" s="1">
        <f t="shared" si="36"/>
        <v>67</v>
      </c>
      <c r="S109" s="5"/>
      <c r="T109" s="1">
        <f t="shared" si="37"/>
        <v>17.585074626865673</v>
      </c>
      <c r="U109" s="1">
        <f t="shared" si="38"/>
        <v>17.585074626865673</v>
      </c>
      <c r="V109" s="1">
        <v>117.6</v>
      </c>
      <c r="W109" s="1">
        <v>82.2</v>
      </c>
      <c r="X109" s="1">
        <v>13.6</v>
      </c>
      <c r="Y109" s="1">
        <v>8.8000000000000007</v>
      </c>
      <c r="Z109" s="1">
        <v>71</v>
      </c>
      <c r="AA109" s="1">
        <v>136.4</v>
      </c>
      <c r="AB109" s="1">
        <v>115</v>
      </c>
      <c r="AC109" s="1">
        <v>61.6</v>
      </c>
      <c r="AD109" s="1">
        <v>65.400000000000006</v>
      </c>
      <c r="AE109" s="1">
        <v>102</v>
      </c>
      <c r="AF109" s="1"/>
      <c r="AG109" s="1">
        <f>G109*S109</f>
        <v>0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:47" x14ac:dyDescent="0.25">
      <c r="A110" s="1" t="s">
        <v>158</v>
      </c>
      <c r="B110" s="1" t="s">
        <v>42</v>
      </c>
      <c r="C110" s="1">
        <v>383</v>
      </c>
      <c r="D110" s="1">
        <v>5</v>
      </c>
      <c r="E110" s="1">
        <v>113</v>
      </c>
      <c r="F110" s="1">
        <v>241</v>
      </c>
      <c r="G110" s="7">
        <v>0.09</v>
      </c>
      <c r="H110" s="1">
        <v>45</v>
      </c>
      <c r="I110" s="1" t="s">
        <v>37</v>
      </c>
      <c r="J110" s="1"/>
      <c r="K110" s="1">
        <v>210</v>
      </c>
      <c r="L110" s="1">
        <f t="shared" si="34"/>
        <v>-97</v>
      </c>
      <c r="M110" s="1">
        <f t="shared" si="35"/>
        <v>113</v>
      </c>
      <c r="N110" s="1"/>
      <c r="O110" s="1">
        <v>40.599999999999973</v>
      </c>
      <c r="P110" s="1"/>
      <c r="Q110" s="1">
        <v>0</v>
      </c>
      <c r="R110" s="1">
        <f t="shared" si="36"/>
        <v>22.6</v>
      </c>
      <c r="S110" s="5"/>
      <c r="T110" s="1">
        <f t="shared" si="37"/>
        <v>12.460176991150441</v>
      </c>
      <c r="U110" s="1">
        <f t="shared" si="38"/>
        <v>12.460176991150441</v>
      </c>
      <c r="V110" s="1">
        <v>25.2</v>
      </c>
      <c r="W110" s="1">
        <v>33.799999999999997</v>
      </c>
      <c r="X110" s="1">
        <v>28.6</v>
      </c>
      <c r="Y110" s="1">
        <v>12.2</v>
      </c>
      <c r="Z110" s="1">
        <v>14</v>
      </c>
      <c r="AA110" s="1">
        <v>15</v>
      </c>
      <c r="AB110" s="1">
        <v>37.200000000000003</v>
      </c>
      <c r="AC110" s="1">
        <v>45.6</v>
      </c>
      <c r="AD110" s="1">
        <v>44.2</v>
      </c>
      <c r="AE110" s="1">
        <v>73.2</v>
      </c>
      <c r="AF110" s="1"/>
      <c r="AG110" s="1">
        <f>G110*S110</f>
        <v>0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:47" x14ac:dyDescent="0.25">
      <c r="A111" s="10" t="s">
        <v>159</v>
      </c>
      <c r="B111" s="10" t="s">
        <v>36</v>
      </c>
      <c r="C111" s="10">
        <v>5.5179999999999998</v>
      </c>
      <c r="D111" s="10"/>
      <c r="E111" s="10">
        <v>4.0910000000000002</v>
      </c>
      <c r="F111" s="10">
        <v>1.427</v>
      </c>
      <c r="G111" s="11">
        <v>0</v>
      </c>
      <c r="H111" s="10">
        <v>55</v>
      </c>
      <c r="I111" s="10" t="s">
        <v>160</v>
      </c>
      <c r="J111" s="10"/>
      <c r="K111" s="10">
        <v>14.85</v>
      </c>
      <c r="L111" s="10">
        <f t="shared" si="34"/>
        <v>-10.759</v>
      </c>
      <c r="M111" s="10">
        <f t="shared" si="35"/>
        <v>4.0910000000000002</v>
      </c>
      <c r="N111" s="10"/>
      <c r="O111" s="10">
        <v>0</v>
      </c>
      <c r="P111" s="10"/>
      <c r="Q111" s="10">
        <v>0</v>
      </c>
      <c r="R111" s="10">
        <f t="shared" si="36"/>
        <v>0.81820000000000004</v>
      </c>
      <c r="S111" s="12"/>
      <c r="T111" s="10">
        <f t="shared" si="37"/>
        <v>1.7440723539476901</v>
      </c>
      <c r="U111" s="10">
        <f t="shared" si="38"/>
        <v>1.7440723539476901</v>
      </c>
      <c r="V111" s="10">
        <v>0.54480000000000006</v>
      </c>
      <c r="W111" s="10">
        <v>0</v>
      </c>
      <c r="X111" s="10">
        <v>0</v>
      </c>
      <c r="Y111" s="10">
        <v>0.55199999999999994</v>
      </c>
      <c r="Z111" s="10">
        <v>0.55199999999999994</v>
      </c>
      <c r="AA111" s="10">
        <v>0.26500000000000001</v>
      </c>
      <c r="AB111" s="10">
        <v>-4.0000000000000001E-3</v>
      </c>
      <c r="AC111" s="10">
        <v>-0.26900000000000002</v>
      </c>
      <c r="AD111" s="10">
        <v>0</v>
      </c>
      <c r="AE111" s="10">
        <v>0</v>
      </c>
      <c r="AF111" s="10"/>
      <c r="AG111" s="10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:47" x14ac:dyDescent="0.25">
      <c r="A112" s="1" t="s">
        <v>161</v>
      </c>
      <c r="B112" s="1" t="s">
        <v>36</v>
      </c>
      <c r="C112" s="1">
        <v>30.798999999999999</v>
      </c>
      <c r="D112" s="1">
        <v>29.827999999999999</v>
      </c>
      <c r="E112" s="1">
        <v>17.513000000000002</v>
      </c>
      <c r="F112" s="1">
        <v>43.113999999999997</v>
      </c>
      <c r="G112" s="7">
        <v>1</v>
      </c>
      <c r="H112" s="1">
        <v>60</v>
      </c>
      <c r="I112" s="1" t="s">
        <v>37</v>
      </c>
      <c r="J112" s="1"/>
      <c r="K112" s="1">
        <v>17.8</v>
      </c>
      <c r="L112" s="1">
        <f t="shared" si="34"/>
        <v>-0.28699999999999903</v>
      </c>
      <c r="M112" s="1">
        <f t="shared" si="35"/>
        <v>17.513000000000002</v>
      </c>
      <c r="N112" s="1"/>
      <c r="O112" s="1">
        <v>22.370250000000009</v>
      </c>
      <c r="P112" s="1"/>
      <c r="Q112" s="1">
        <v>0</v>
      </c>
      <c r="R112" s="1">
        <f t="shared" si="36"/>
        <v>3.5026000000000002</v>
      </c>
      <c r="S112" s="5"/>
      <c r="T112" s="1">
        <f t="shared" si="37"/>
        <v>18.695897333409466</v>
      </c>
      <c r="U112" s="1">
        <f t="shared" si="38"/>
        <v>18.695897333409466</v>
      </c>
      <c r="V112" s="1">
        <v>5.0207999999999986</v>
      </c>
      <c r="W112" s="1">
        <v>6.0305999999999997</v>
      </c>
      <c r="X112" s="1">
        <v>4.5142000000000007</v>
      </c>
      <c r="Y112" s="1">
        <v>4.4657999999999998</v>
      </c>
      <c r="Z112" s="1">
        <v>6.38</v>
      </c>
      <c r="AA112" s="1">
        <v>5.8250000000000002</v>
      </c>
      <c r="AB112" s="1">
        <v>4.3907999999999996</v>
      </c>
      <c r="AC112" s="1">
        <v>7.3688000000000002</v>
      </c>
      <c r="AD112" s="1">
        <v>7.8537999999999997</v>
      </c>
      <c r="AE112" s="1">
        <v>6.3715999999999999</v>
      </c>
      <c r="AF112" s="1"/>
      <c r="AG112" s="1">
        <f t="shared" ref="AG112:AG122" si="40">G112*S112</f>
        <v>0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:47" x14ac:dyDescent="0.25">
      <c r="A113" s="1" t="s">
        <v>162</v>
      </c>
      <c r="B113" s="1" t="s">
        <v>36</v>
      </c>
      <c r="C113" s="1">
        <v>9.8520000000000003</v>
      </c>
      <c r="D113" s="1">
        <v>59.87</v>
      </c>
      <c r="E113" s="1">
        <v>22.42</v>
      </c>
      <c r="F113" s="1">
        <v>47.302</v>
      </c>
      <c r="G113" s="7">
        <v>1</v>
      </c>
      <c r="H113" s="1">
        <v>50</v>
      </c>
      <c r="I113" s="1" t="s">
        <v>37</v>
      </c>
      <c r="J113" s="1"/>
      <c r="K113" s="1">
        <v>24.93</v>
      </c>
      <c r="L113" s="1">
        <f t="shared" si="34"/>
        <v>-2.509999999999998</v>
      </c>
      <c r="M113" s="1">
        <f t="shared" si="35"/>
        <v>22.42</v>
      </c>
      <c r="N113" s="1"/>
      <c r="O113" s="1">
        <v>96.326799999999992</v>
      </c>
      <c r="P113" s="1"/>
      <c r="Q113" s="1">
        <v>0</v>
      </c>
      <c r="R113" s="1">
        <f t="shared" si="36"/>
        <v>4.484</v>
      </c>
      <c r="S113" s="5"/>
      <c r="T113" s="1">
        <f t="shared" si="37"/>
        <v>32.031400535236394</v>
      </c>
      <c r="U113" s="1">
        <f t="shared" si="38"/>
        <v>32.031400535236394</v>
      </c>
      <c r="V113" s="1">
        <v>6.9774000000000003</v>
      </c>
      <c r="W113" s="1">
        <v>14.524800000000001</v>
      </c>
      <c r="X113" s="1">
        <v>11.554</v>
      </c>
      <c r="Y113" s="1">
        <v>3.5186000000000002</v>
      </c>
      <c r="Z113" s="1">
        <v>2.0089999999999999</v>
      </c>
      <c r="AA113" s="1">
        <v>1.9832000000000001</v>
      </c>
      <c r="AB113" s="1">
        <v>2.9632000000000001</v>
      </c>
      <c r="AC113" s="1">
        <v>5.9215999999999998</v>
      </c>
      <c r="AD113" s="1">
        <v>5.3567999999999998</v>
      </c>
      <c r="AE113" s="1">
        <v>2.4121999999999999</v>
      </c>
      <c r="AF113" s="1"/>
      <c r="AG113" s="1">
        <f t="shared" si="40"/>
        <v>0</v>
      </c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:47" x14ac:dyDescent="0.25">
      <c r="A114" s="1" t="s">
        <v>163</v>
      </c>
      <c r="B114" s="1" t="s">
        <v>42</v>
      </c>
      <c r="C114" s="1">
        <v>317</v>
      </c>
      <c r="D114" s="1">
        <v>1</v>
      </c>
      <c r="E114" s="1">
        <v>69</v>
      </c>
      <c r="F114" s="1">
        <v>226</v>
      </c>
      <c r="G114" s="7">
        <v>0.09</v>
      </c>
      <c r="H114" s="1">
        <v>45</v>
      </c>
      <c r="I114" s="9" t="s">
        <v>40</v>
      </c>
      <c r="J114" s="1"/>
      <c r="K114" s="1">
        <v>149</v>
      </c>
      <c r="L114" s="1">
        <f t="shared" si="34"/>
        <v>-80</v>
      </c>
      <c r="M114" s="1">
        <f t="shared" si="35"/>
        <v>69</v>
      </c>
      <c r="N114" s="1"/>
      <c r="O114" s="1">
        <v>0</v>
      </c>
      <c r="P114" s="1"/>
      <c r="Q114" s="1">
        <v>0</v>
      </c>
      <c r="R114" s="1">
        <f t="shared" si="36"/>
        <v>13.8</v>
      </c>
      <c r="S114" s="5"/>
      <c r="T114" s="1">
        <f t="shared" si="37"/>
        <v>16.376811594202898</v>
      </c>
      <c r="U114" s="1">
        <f t="shared" si="38"/>
        <v>16.376811594202898</v>
      </c>
      <c r="V114" s="1">
        <v>14.6</v>
      </c>
      <c r="W114" s="1">
        <v>17.600000000000001</v>
      </c>
      <c r="X114" s="1">
        <v>14.2</v>
      </c>
      <c r="Y114" s="1">
        <v>12.6</v>
      </c>
      <c r="Z114" s="1">
        <v>15</v>
      </c>
      <c r="AA114" s="1">
        <v>7.8</v>
      </c>
      <c r="AB114" s="1">
        <v>30</v>
      </c>
      <c r="AC114" s="1">
        <v>40</v>
      </c>
      <c r="AD114" s="1">
        <v>17.2</v>
      </c>
      <c r="AE114" s="1">
        <v>42.6</v>
      </c>
      <c r="AF114" s="17" t="s">
        <v>61</v>
      </c>
      <c r="AG114" s="1">
        <f t="shared" si="40"/>
        <v>0</v>
      </c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:47" x14ac:dyDescent="0.25">
      <c r="A115" s="1" t="s">
        <v>164</v>
      </c>
      <c r="B115" s="1" t="s">
        <v>42</v>
      </c>
      <c r="C115" s="1">
        <v>286</v>
      </c>
      <c r="D115" s="1">
        <v>15</v>
      </c>
      <c r="E115" s="1">
        <v>89</v>
      </c>
      <c r="F115" s="1">
        <v>183</v>
      </c>
      <c r="G115" s="7">
        <v>0.09</v>
      </c>
      <c r="H115" s="1">
        <v>45</v>
      </c>
      <c r="I115" s="1" t="s">
        <v>37</v>
      </c>
      <c r="J115" s="1"/>
      <c r="K115" s="1">
        <v>159</v>
      </c>
      <c r="L115" s="1">
        <f t="shared" si="34"/>
        <v>-70</v>
      </c>
      <c r="M115" s="1">
        <f t="shared" si="35"/>
        <v>89</v>
      </c>
      <c r="N115" s="1"/>
      <c r="O115" s="1">
        <v>0</v>
      </c>
      <c r="P115" s="1"/>
      <c r="Q115" s="1">
        <v>0</v>
      </c>
      <c r="R115" s="1">
        <f t="shared" si="36"/>
        <v>17.8</v>
      </c>
      <c r="S115" s="5">
        <f t="shared" ref="S112:S122" si="41">12*R115-Q115-P115-O115-F115</f>
        <v>30.600000000000023</v>
      </c>
      <c r="T115" s="1">
        <f t="shared" si="37"/>
        <v>12</v>
      </c>
      <c r="U115" s="1">
        <f t="shared" si="38"/>
        <v>10.280898876404494</v>
      </c>
      <c r="V115" s="1">
        <v>17.2</v>
      </c>
      <c r="W115" s="1">
        <v>17</v>
      </c>
      <c r="X115" s="1">
        <v>16</v>
      </c>
      <c r="Y115" s="1">
        <v>13.6</v>
      </c>
      <c r="Z115" s="1">
        <v>16.2</v>
      </c>
      <c r="AA115" s="1">
        <v>9.4</v>
      </c>
      <c r="AB115" s="1">
        <v>30</v>
      </c>
      <c r="AC115" s="1">
        <v>39.4</v>
      </c>
      <c r="AD115" s="1">
        <v>27.8</v>
      </c>
      <c r="AE115" s="1">
        <v>52.8</v>
      </c>
      <c r="AF115" s="1"/>
      <c r="AG115" s="1">
        <f t="shared" si="40"/>
        <v>2.7540000000000018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:47" x14ac:dyDescent="0.25">
      <c r="A116" s="1" t="s">
        <v>165</v>
      </c>
      <c r="B116" s="1" t="s">
        <v>36</v>
      </c>
      <c r="C116" s="1">
        <v>92.501000000000005</v>
      </c>
      <c r="D116" s="1">
        <v>279.33600000000001</v>
      </c>
      <c r="E116" s="1">
        <v>166.07599999999999</v>
      </c>
      <c r="F116" s="1">
        <v>181.67400000000001</v>
      </c>
      <c r="G116" s="7">
        <v>1</v>
      </c>
      <c r="H116" s="1">
        <v>60</v>
      </c>
      <c r="I116" s="9" t="s">
        <v>40</v>
      </c>
      <c r="J116" s="1"/>
      <c r="K116" s="1">
        <v>147.97</v>
      </c>
      <c r="L116" s="1">
        <f t="shared" si="34"/>
        <v>18.105999999999995</v>
      </c>
      <c r="M116" s="1">
        <f t="shared" si="35"/>
        <v>166.07599999999999</v>
      </c>
      <c r="N116" s="1"/>
      <c r="O116" s="1">
        <v>0</v>
      </c>
      <c r="P116" s="1"/>
      <c r="Q116" s="1">
        <v>120</v>
      </c>
      <c r="R116" s="1">
        <f t="shared" si="36"/>
        <v>33.215199999999996</v>
      </c>
      <c r="S116" s="5">
        <f t="shared" si="41"/>
        <v>96.908399999999943</v>
      </c>
      <c r="T116" s="1">
        <f t="shared" si="37"/>
        <v>11.999999999999998</v>
      </c>
      <c r="U116" s="1">
        <f t="shared" si="38"/>
        <v>9.0824080541438867</v>
      </c>
      <c r="V116" s="1">
        <v>32.061399999999999</v>
      </c>
      <c r="W116" s="1">
        <v>20.308800000000002</v>
      </c>
      <c r="X116" s="1">
        <v>11.1462</v>
      </c>
      <c r="Y116" s="1">
        <v>20.655799999999999</v>
      </c>
      <c r="Z116" s="1">
        <v>26.749199999999998</v>
      </c>
      <c r="AA116" s="1">
        <v>20.511600000000001</v>
      </c>
      <c r="AB116" s="1">
        <v>20.523</v>
      </c>
      <c r="AC116" s="1">
        <v>19.683800000000002</v>
      </c>
      <c r="AD116" s="1">
        <v>23.858799999999999</v>
      </c>
      <c r="AE116" s="1">
        <v>30.072199999999999</v>
      </c>
      <c r="AF116" s="1"/>
      <c r="AG116" s="1">
        <f t="shared" si="40"/>
        <v>96.908399999999943</v>
      </c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:47" x14ac:dyDescent="0.25">
      <c r="A117" s="1" t="s">
        <v>166</v>
      </c>
      <c r="B117" s="1" t="s">
        <v>36</v>
      </c>
      <c r="C117" s="1">
        <v>563.26199999999994</v>
      </c>
      <c r="D117" s="1">
        <v>796.89300000000003</v>
      </c>
      <c r="E117" s="1">
        <v>822.81799999999998</v>
      </c>
      <c r="F117" s="1">
        <v>413.59</v>
      </c>
      <c r="G117" s="7">
        <v>1</v>
      </c>
      <c r="H117" s="1">
        <v>60</v>
      </c>
      <c r="I117" s="1" t="s">
        <v>37</v>
      </c>
      <c r="J117" s="1"/>
      <c r="K117" s="1">
        <v>859.34699999999998</v>
      </c>
      <c r="L117" s="1">
        <f t="shared" si="34"/>
        <v>-36.528999999999996</v>
      </c>
      <c r="M117" s="1">
        <f t="shared" si="35"/>
        <v>822.81799999999998</v>
      </c>
      <c r="N117" s="1"/>
      <c r="O117" s="1">
        <v>387.31665057900022</v>
      </c>
      <c r="P117" s="1">
        <v>427.22940742100008</v>
      </c>
      <c r="Q117" s="1">
        <v>220</v>
      </c>
      <c r="R117" s="1">
        <f t="shared" si="36"/>
        <v>164.56360000000001</v>
      </c>
      <c r="S117" s="5">
        <f t="shared" si="41"/>
        <v>526.62714199999982</v>
      </c>
      <c r="T117" s="1">
        <f t="shared" si="37"/>
        <v>12</v>
      </c>
      <c r="U117" s="1">
        <f t="shared" si="38"/>
        <v>8.7998564567133943</v>
      </c>
      <c r="V117" s="1">
        <v>159.66499999999999</v>
      </c>
      <c r="W117" s="1">
        <v>154.07400000000001</v>
      </c>
      <c r="X117" s="1">
        <v>132.27199999999999</v>
      </c>
      <c r="Y117" s="1">
        <v>134.0958</v>
      </c>
      <c r="Z117" s="1">
        <v>145.0898</v>
      </c>
      <c r="AA117" s="1">
        <v>141.90940000000001</v>
      </c>
      <c r="AB117" s="1">
        <v>146.82140000000001</v>
      </c>
      <c r="AC117" s="1">
        <v>140.74080000000001</v>
      </c>
      <c r="AD117" s="1">
        <v>154.98939999999999</v>
      </c>
      <c r="AE117" s="1">
        <v>181.70920000000001</v>
      </c>
      <c r="AF117" s="1"/>
      <c r="AG117" s="1">
        <f t="shared" si="40"/>
        <v>526.62714199999982</v>
      </c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:47" x14ac:dyDescent="0.25">
      <c r="A118" s="1" t="s">
        <v>167</v>
      </c>
      <c r="B118" s="1" t="s">
        <v>36</v>
      </c>
      <c r="C118" s="1">
        <v>49.34</v>
      </c>
      <c r="D118" s="1">
        <v>20.888000000000002</v>
      </c>
      <c r="E118" s="1">
        <v>43.723999999999997</v>
      </c>
      <c r="F118" s="1">
        <v>13.311</v>
      </c>
      <c r="G118" s="7">
        <v>1</v>
      </c>
      <c r="H118" s="1">
        <v>60</v>
      </c>
      <c r="I118" s="9" t="s">
        <v>40</v>
      </c>
      <c r="J118" s="1"/>
      <c r="K118" s="1">
        <v>47.386000000000003</v>
      </c>
      <c r="L118" s="1">
        <f t="shared" si="34"/>
        <v>-3.6620000000000061</v>
      </c>
      <c r="M118" s="1">
        <f t="shared" si="35"/>
        <v>43.723999999999997</v>
      </c>
      <c r="N118" s="1"/>
      <c r="O118" s="1">
        <v>77.775080000000003</v>
      </c>
      <c r="P118" s="1"/>
      <c r="Q118" s="1">
        <v>50</v>
      </c>
      <c r="R118" s="1">
        <f t="shared" si="36"/>
        <v>8.7447999999999997</v>
      </c>
      <c r="S118" s="5"/>
      <c r="T118" s="1">
        <f t="shared" si="37"/>
        <v>16.133711462812187</v>
      </c>
      <c r="U118" s="1">
        <f t="shared" si="38"/>
        <v>16.133711462812187</v>
      </c>
      <c r="V118" s="1">
        <v>9.0963999999999992</v>
      </c>
      <c r="W118" s="1">
        <v>10.550800000000001</v>
      </c>
      <c r="X118" s="1">
        <v>6.405800000000001</v>
      </c>
      <c r="Y118" s="1">
        <v>6.831999999999999</v>
      </c>
      <c r="Z118" s="1">
        <v>10.4628</v>
      </c>
      <c r="AA118" s="1">
        <v>9.4239999999999995</v>
      </c>
      <c r="AB118" s="1">
        <v>11.5632</v>
      </c>
      <c r="AC118" s="1">
        <v>12.903</v>
      </c>
      <c r="AD118" s="1">
        <v>13.724600000000001</v>
      </c>
      <c r="AE118" s="1">
        <v>13.781000000000001</v>
      </c>
      <c r="AF118" s="1"/>
      <c r="AG118" s="1">
        <f t="shared" si="40"/>
        <v>0</v>
      </c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:47" x14ac:dyDescent="0.25">
      <c r="A119" s="1" t="s">
        <v>168</v>
      </c>
      <c r="B119" s="1" t="s">
        <v>36</v>
      </c>
      <c r="C119" s="1">
        <v>29.728000000000002</v>
      </c>
      <c r="D119" s="1">
        <v>2387.6060000000002</v>
      </c>
      <c r="E119" s="1">
        <v>585.25599999999997</v>
      </c>
      <c r="F119" s="1">
        <v>1669.3019999999999</v>
      </c>
      <c r="G119" s="7">
        <v>1</v>
      </c>
      <c r="H119" s="1">
        <v>60</v>
      </c>
      <c r="I119" s="1" t="s">
        <v>37</v>
      </c>
      <c r="J119" s="1"/>
      <c r="K119" s="1">
        <v>920.3</v>
      </c>
      <c r="L119" s="1">
        <f t="shared" si="34"/>
        <v>-335.04399999999998</v>
      </c>
      <c r="M119" s="1">
        <f t="shared" si="35"/>
        <v>585.25599999999997</v>
      </c>
      <c r="N119" s="1"/>
      <c r="O119" s="1">
        <v>1374.7744233779999</v>
      </c>
      <c r="P119" s="1">
        <v>1516.4441326220001</v>
      </c>
      <c r="Q119" s="1">
        <v>0</v>
      </c>
      <c r="R119" s="1">
        <f t="shared" si="36"/>
        <v>117.05119999999999</v>
      </c>
      <c r="S119" s="5"/>
      <c r="T119" s="1">
        <f t="shared" si="37"/>
        <v>38.961758239129551</v>
      </c>
      <c r="U119" s="1">
        <f t="shared" si="38"/>
        <v>38.961758239129551</v>
      </c>
      <c r="V119" s="1">
        <v>242.47139999999999</v>
      </c>
      <c r="W119" s="1">
        <v>401.34140000000002</v>
      </c>
      <c r="X119" s="1">
        <v>281.52199999999999</v>
      </c>
      <c r="Y119" s="1">
        <v>178.23140000000001</v>
      </c>
      <c r="Z119" s="1">
        <v>201.7484</v>
      </c>
      <c r="AA119" s="1">
        <v>194.76939999999999</v>
      </c>
      <c r="AB119" s="1">
        <v>203.86619999999999</v>
      </c>
      <c r="AC119" s="1">
        <v>195.4562</v>
      </c>
      <c r="AD119" s="1">
        <v>194.12459999999999</v>
      </c>
      <c r="AE119" s="1">
        <v>210.81899999999999</v>
      </c>
      <c r="AF119" s="1"/>
      <c r="AG119" s="1">
        <f t="shared" si="40"/>
        <v>0</v>
      </c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:47" x14ac:dyDescent="0.25">
      <c r="A120" s="1" t="s">
        <v>169</v>
      </c>
      <c r="B120" s="1" t="s">
        <v>42</v>
      </c>
      <c r="C120" s="1">
        <v>175</v>
      </c>
      <c r="D120" s="1"/>
      <c r="E120" s="1">
        <v>2</v>
      </c>
      <c r="F120" s="1">
        <v>170</v>
      </c>
      <c r="G120" s="7">
        <v>0.25</v>
      </c>
      <c r="H120" s="1">
        <v>1096</v>
      </c>
      <c r="I120" s="1" t="s">
        <v>37</v>
      </c>
      <c r="J120" s="1"/>
      <c r="K120" s="1">
        <v>2</v>
      </c>
      <c r="L120" s="1">
        <f t="shared" si="34"/>
        <v>0</v>
      </c>
      <c r="M120" s="1">
        <f t="shared" si="35"/>
        <v>2</v>
      </c>
      <c r="N120" s="1"/>
      <c r="O120" s="1">
        <v>0</v>
      </c>
      <c r="P120" s="1"/>
      <c r="Q120" s="1">
        <v>0</v>
      </c>
      <c r="R120" s="1">
        <f t="shared" si="36"/>
        <v>0.4</v>
      </c>
      <c r="S120" s="5"/>
      <c r="T120" s="1">
        <f t="shared" si="37"/>
        <v>425</v>
      </c>
      <c r="U120" s="1">
        <f t="shared" si="38"/>
        <v>425</v>
      </c>
      <c r="V120" s="1">
        <v>0.4</v>
      </c>
      <c r="W120" s="1">
        <v>1.8</v>
      </c>
      <c r="X120" s="1">
        <v>4.5999999999999996</v>
      </c>
      <c r="Y120" s="1">
        <v>3.2</v>
      </c>
      <c r="Z120" s="1">
        <v>0.4</v>
      </c>
      <c r="AA120" s="1">
        <v>0</v>
      </c>
      <c r="AB120" s="1">
        <v>0.8</v>
      </c>
      <c r="AC120" s="1">
        <v>0.8</v>
      </c>
      <c r="AD120" s="1">
        <v>1</v>
      </c>
      <c r="AE120" s="1">
        <v>5.6</v>
      </c>
      <c r="AF120" s="17" t="s">
        <v>61</v>
      </c>
      <c r="AG120" s="1">
        <f t="shared" si="40"/>
        <v>0</v>
      </c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:47" x14ac:dyDescent="0.25">
      <c r="A121" s="1" t="s">
        <v>170</v>
      </c>
      <c r="B121" s="1" t="s">
        <v>42</v>
      </c>
      <c r="C121" s="1">
        <v>83</v>
      </c>
      <c r="D121" s="1"/>
      <c r="E121" s="1">
        <v>1</v>
      </c>
      <c r="F121" s="13">
        <f>82+F130</f>
        <v>111</v>
      </c>
      <c r="G121" s="7">
        <v>0.32500000000000001</v>
      </c>
      <c r="H121" s="1">
        <v>1096</v>
      </c>
      <c r="I121" s="1" t="s">
        <v>37</v>
      </c>
      <c r="J121" s="1"/>
      <c r="K121" s="1">
        <v>1</v>
      </c>
      <c r="L121" s="1">
        <f t="shared" si="34"/>
        <v>0</v>
      </c>
      <c r="M121" s="1">
        <f t="shared" si="35"/>
        <v>1</v>
      </c>
      <c r="N121" s="1"/>
      <c r="O121" s="1">
        <v>0</v>
      </c>
      <c r="P121" s="1"/>
      <c r="Q121" s="1">
        <v>0</v>
      </c>
      <c r="R121" s="1">
        <f t="shared" si="36"/>
        <v>0.2</v>
      </c>
      <c r="S121" s="5"/>
      <c r="T121" s="1">
        <f t="shared" si="37"/>
        <v>555</v>
      </c>
      <c r="U121" s="1">
        <f t="shared" si="38"/>
        <v>555</v>
      </c>
      <c r="V121" s="1">
        <v>0.2</v>
      </c>
      <c r="W121" s="1">
        <v>3</v>
      </c>
      <c r="X121" s="1">
        <v>6</v>
      </c>
      <c r="Y121" s="1">
        <v>3.6</v>
      </c>
      <c r="Z121" s="1">
        <v>0.6</v>
      </c>
      <c r="AA121" s="1">
        <v>0</v>
      </c>
      <c r="AB121" s="1">
        <v>1</v>
      </c>
      <c r="AC121" s="1">
        <v>1</v>
      </c>
      <c r="AD121" s="1">
        <v>1</v>
      </c>
      <c r="AE121" s="1">
        <v>5.2</v>
      </c>
      <c r="AF121" s="17" t="s">
        <v>61</v>
      </c>
      <c r="AG121" s="1">
        <f t="shared" si="40"/>
        <v>0</v>
      </c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:47" x14ac:dyDescent="0.25">
      <c r="A122" s="1" t="s">
        <v>171</v>
      </c>
      <c r="B122" s="1" t="s">
        <v>42</v>
      </c>
      <c r="C122" s="1">
        <v>142</v>
      </c>
      <c r="D122" s="1"/>
      <c r="E122" s="1">
        <v>4</v>
      </c>
      <c r="F122" s="1">
        <v>135</v>
      </c>
      <c r="G122" s="7">
        <v>0.25</v>
      </c>
      <c r="H122" s="1">
        <v>1096</v>
      </c>
      <c r="I122" s="9" t="s">
        <v>40</v>
      </c>
      <c r="J122" s="1"/>
      <c r="K122" s="1">
        <v>4</v>
      </c>
      <c r="L122" s="1">
        <f t="shared" si="34"/>
        <v>0</v>
      </c>
      <c r="M122" s="1">
        <f t="shared" si="35"/>
        <v>4</v>
      </c>
      <c r="N122" s="1"/>
      <c r="O122" s="1">
        <v>0</v>
      </c>
      <c r="P122" s="1"/>
      <c r="Q122" s="1">
        <v>0</v>
      </c>
      <c r="R122" s="1">
        <f t="shared" si="36"/>
        <v>0.8</v>
      </c>
      <c r="S122" s="5"/>
      <c r="T122" s="1">
        <f t="shared" si="37"/>
        <v>168.75</v>
      </c>
      <c r="U122" s="1">
        <f t="shared" si="38"/>
        <v>168.75</v>
      </c>
      <c r="V122" s="1">
        <v>0.8</v>
      </c>
      <c r="W122" s="1">
        <v>2.6</v>
      </c>
      <c r="X122" s="1">
        <v>5.4</v>
      </c>
      <c r="Y122" s="1">
        <v>4.2</v>
      </c>
      <c r="Z122" s="1">
        <v>1.4</v>
      </c>
      <c r="AA122" s="1">
        <v>5</v>
      </c>
      <c r="AB122" s="1">
        <v>5.8</v>
      </c>
      <c r="AC122" s="1">
        <v>1.8</v>
      </c>
      <c r="AD122" s="1">
        <v>2</v>
      </c>
      <c r="AE122" s="1">
        <v>6.4</v>
      </c>
      <c r="AF122" s="17" t="s">
        <v>61</v>
      </c>
      <c r="AG122" s="1">
        <f t="shared" si="40"/>
        <v>0</v>
      </c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:47" x14ac:dyDescent="0.25">
      <c r="A123" s="10" t="s">
        <v>172</v>
      </c>
      <c r="B123" s="10" t="s">
        <v>36</v>
      </c>
      <c r="C123" s="10">
        <v>16.798999999999999</v>
      </c>
      <c r="D123" s="10">
        <v>17.036000000000001</v>
      </c>
      <c r="E123" s="13">
        <v>23.326000000000001</v>
      </c>
      <c r="F123" s="13">
        <v>3.444</v>
      </c>
      <c r="G123" s="11">
        <v>0</v>
      </c>
      <c r="H123" s="10"/>
      <c r="I123" s="10" t="s">
        <v>173</v>
      </c>
      <c r="J123" s="10" t="s">
        <v>141</v>
      </c>
      <c r="K123" s="10">
        <v>30.3</v>
      </c>
      <c r="L123" s="10">
        <f t="shared" si="34"/>
        <v>-6.9740000000000002</v>
      </c>
      <c r="M123" s="10">
        <f t="shared" si="35"/>
        <v>23.326000000000001</v>
      </c>
      <c r="N123" s="10"/>
      <c r="O123" s="10">
        <v>0</v>
      </c>
      <c r="P123" s="10"/>
      <c r="Q123" s="10">
        <v>0</v>
      </c>
      <c r="R123" s="10">
        <f t="shared" si="36"/>
        <v>4.6652000000000005</v>
      </c>
      <c r="S123" s="12"/>
      <c r="T123" s="10">
        <f t="shared" si="37"/>
        <v>0.73823201577638675</v>
      </c>
      <c r="U123" s="10">
        <f t="shared" si="38"/>
        <v>0.73823201577638675</v>
      </c>
      <c r="V123" s="10">
        <v>3.9238</v>
      </c>
      <c r="W123" s="10">
        <v>1.4890000000000001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/>
      <c r="AG123" s="10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:47" x14ac:dyDescent="0.25">
      <c r="A124" s="1" t="s">
        <v>174</v>
      </c>
      <c r="B124" s="1" t="s">
        <v>42</v>
      </c>
      <c r="C124" s="1"/>
      <c r="D124" s="1">
        <v>30</v>
      </c>
      <c r="E124" s="1"/>
      <c r="F124" s="1">
        <v>10</v>
      </c>
      <c r="G124" s="7">
        <v>0.3</v>
      </c>
      <c r="H124" s="1">
        <v>40</v>
      </c>
      <c r="I124" s="9" t="s">
        <v>40</v>
      </c>
      <c r="J124" s="1"/>
      <c r="K124" s="1">
        <v>19</v>
      </c>
      <c r="L124" s="1">
        <f t="shared" si="34"/>
        <v>-19</v>
      </c>
      <c r="M124" s="1">
        <f t="shared" si="35"/>
        <v>0</v>
      </c>
      <c r="N124" s="1"/>
      <c r="O124" s="1">
        <v>30</v>
      </c>
      <c r="P124" s="1"/>
      <c r="Q124" s="1">
        <v>10</v>
      </c>
      <c r="R124" s="1">
        <f t="shared" si="36"/>
        <v>0</v>
      </c>
      <c r="S124" s="5">
        <v>10</v>
      </c>
      <c r="T124" s="1" t="e">
        <f t="shared" si="37"/>
        <v>#DIV/0!</v>
      </c>
      <c r="U124" s="1" t="e">
        <f t="shared" si="38"/>
        <v>#DIV/0!</v>
      </c>
      <c r="V124" s="1">
        <v>-0.2</v>
      </c>
      <c r="W124" s="1">
        <v>-0.2</v>
      </c>
      <c r="X124" s="1">
        <v>0</v>
      </c>
      <c r="Y124" s="1">
        <v>0</v>
      </c>
      <c r="Z124" s="1">
        <v>0</v>
      </c>
      <c r="AA124" s="1">
        <v>3.6</v>
      </c>
      <c r="AB124" s="1">
        <v>3.4</v>
      </c>
      <c r="AC124" s="1">
        <v>-0.2</v>
      </c>
      <c r="AD124" s="1">
        <v>13.2</v>
      </c>
      <c r="AE124" s="1">
        <v>28.8</v>
      </c>
      <c r="AF124" s="1"/>
      <c r="AG124" s="1">
        <f>G124*S124</f>
        <v>3</v>
      </c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:47" x14ac:dyDescent="0.25">
      <c r="A125" s="1" t="s">
        <v>175</v>
      </c>
      <c r="B125" s="1" t="s">
        <v>42</v>
      </c>
      <c r="C125" s="1">
        <v>36</v>
      </c>
      <c r="D125" s="1">
        <v>12</v>
      </c>
      <c r="E125" s="1">
        <v>36</v>
      </c>
      <c r="F125" s="1">
        <v>4</v>
      </c>
      <c r="G125" s="7">
        <v>0.3</v>
      </c>
      <c r="H125" s="1">
        <v>40</v>
      </c>
      <c r="I125" s="9" t="s">
        <v>40</v>
      </c>
      <c r="J125" s="1"/>
      <c r="K125" s="1">
        <v>48</v>
      </c>
      <c r="L125" s="1">
        <f t="shared" si="34"/>
        <v>-12</v>
      </c>
      <c r="M125" s="1">
        <f t="shared" si="35"/>
        <v>36</v>
      </c>
      <c r="N125" s="1"/>
      <c r="O125" s="1">
        <v>20</v>
      </c>
      <c r="P125" s="1"/>
      <c r="Q125" s="1">
        <v>54</v>
      </c>
      <c r="R125" s="1">
        <f t="shared" si="36"/>
        <v>7.2</v>
      </c>
      <c r="S125" s="5">
        <f t="shared" ref="S124:S128" si="42">12*R125-Q125-P125-O125-F125</f>
        <v>8.4000000000000057</v>
      </c>
      <c r="T125" s="1">
        <f t="shared" si="37"/>
        <v>12</v>
      </c>
      <c r="U125" s="1">
        <f t="shared" si="38"/>
        <v>10.833333333333334</v>
      </c>
      <c r="V125" s="1">
        <v>8.4</v>
      </c>
      <c r="W125" s="1">
        <v>1.2</v>
      </c>
      <c r="X125" s="1">
        <v>0</v>
      </c>
      <c r="Y125" s="1">
        <v>0</v>
      </c>
      <c r="Z125" s="1">
        <v>0</v>
      </c>
      <c r="AA125" s="1">
        <v>-0.4</v>
      </c>
      <c r="AB125" s="1">
        <v>-1</v>
      </c>
      <c r="AC125" s="1">
        <v>0.6</v>
      </c>
      <c r="AD125" s="1">
        <v>9.1999999999999993</v>
      </c>
      <c r="AE125" s="1">
        <v>8</v>
      </c>
      <c r="AF125" s="1"/>
      <c r="AG125" s="1">
        <f>G125*S125</f>
        <v>2.5200000000000018</v>
      </c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:47" x14ac:dyDescent="0.25">
      <c r="A126" s="1" t="s">
        <v>176</v>
      </c>
      <c r="B126" s="1" t="s">
        <v>36</v>
      </c>
      <c r="C126" s="1">
        <v>82.155000000000001</v>
      </c>
      <c r="D126" s="1">
        <v>52.890999999999998</v>
      </c>
      <c r="E126" s="1">
        <v>84.147999999999996</v>
      </c>
      <c r="F126" s="1">
        <v>39.347999999999999</v>
      </c>
      <c r="G126" s="7">
        <v>1</v>
      </c>
      <c r="H126" s="1">
        <v>50</v>
      </c>
      <c r="I126" s="1" t="s">
        <v>37</v>
      </c>
      <c r="J126" s="1"/>
      <c r="K126" s="1">
        <v>99.9</v>
      </c>
      <c r="L126" s="1">
        <f t="shared" si="34"/>
        <v>-15.75200000000001</v>
      </c>
      <c r="M126" s="1">
        <f t="shared" si="35"/>
        <v>84.147999999999996</v>
      </c>
      <c r="N126" s="1"/>
      <c r="O126" s="1">
        <v>95.575035999999983</v>
      </c>
      <c r="P126" s="1"/>
      <c r="Q126" s="1">
        <v>0</v>
      </c>
      <c r="R126" s="1">
        <f t="shared" si="36"/>
        <v>16.829599999999999</v>
      </c>
      <c r="S126" s="5">
        <f t="shared" si="42"/>
        <v>67.032164000000009</v>
      </c>
      <c r="T126" s="1">
        <f t="shared" si="37"/>
        <v>12</v>
      </c>
      <c r="U126" s="1">
        <f t="shared" si="38"/>
        <v>8.0170078908589613</v>
      </c>
      <c r="V126" s="1">
        <v>15.6524</v>
      </c>
      <c r="W126" s="1">
        <v>17.341000000000001</v>
      </c>
      <c r="X126" s="1">
        <v>13.747</v>
      </c>
      <c r="Y126" s="1">
        <v>10.6334</v>
      </c>
      <c r="Z126" s="1">
        <v>11.152200000000001</v>
      </c>
      <c r="AA126" s="1">
        <v>15.002800000000001</v>
      </c>
      <c r="AB126" s="1">
        <v>16.108799999999999</v>
      </c>
      <c r="AC126" s="1">
        <v>13.9884</v>
      </c>
      <c r="AD126" s="1">
        <v>11.2852</v>
      </c>
      <c r="AE126" s="1">
        <v>10.900600000000001</v>
      </c>
      <c r="AF126" s="1"/>
      <c r="AG126" s="1">
        <f>G126*S126</f>
        <v>67.032164000000009</v>
      </c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:47" x14ac:dyDescent="0.25">
      <c r="A127" s="1" t="s">
        <v>177</v>
      </c>
      <c r="B127" s="1" t="s">
        <v>42</v>
      </c>
      <c r="C127" s="1"/>
      <c r="D127" s="1">
        <v>12</v>
      </c>
      <c r="E127" s="1">
        <v>-1</v>
      </c>
      <c r="F127" s="1">
        <v>9</v>
      </c>
      <c r="G127" s="7">
        <v>0.3</v>
      </c>
      <c r="H127" s="1">
        <v>40</v>
      </c>
      <c r="I127" s="9" t="s">
        <v>40</v>
      </c>
      <c r="J127" s="1"/>
      <c r="K127" s="1"/>
      <c r="L127" s="1">
        <f t="shared" si="34"/>
        <v>-1</v>
      </c>
      <c r="M127" s="1">
        <f t="shared" si="35"/>
        <v>-1</v>
      </c>
      <c r="N127" s="1"/>
      <c r="O127" s="1">
        <v>10</v>
      </c>
      <c r="P127" s="1"/>
      <c r="Q127" s="1">
        <v>6</v>
      </c>
      <c r="R127" s="1">
        <f t="shared" si="36"/>
        <v>-0.2</v>
      </c>
      <c r="S127" s="5"/>
      <c r="T127" s="1">
        <f t="shared" si="37"/>
        <v>-125</v>
      </c>
      <c r="U127" s="1">
        <f t="shared" si="38"/>
        <v>-125</v>
      </c>
      <c r="V127" s="1">
        <v>0</v>
      </c>
      <c r="W127" s="1">
        <v>0</v>
      </c>
      <c r="X127" s="1">
        <v>0</v>
      </c>
      <c r="Y127" s="1">
        <v>0</v>
      </c>
      <c r="Z127" s="1">
        <v>-0.2</v>
      </c>
      <c r="AA127" s="1">
        <v>-0.2</v>
      </c>
      <c r="AB127" s="1">
        <v>0.2</v>
      </c>
      <c r="AC127" s="1">
        <v>0.2</v>
      </c>
      <c r="AD127" s="1">
        <v>-0.2</v>
      </c>
      <c r="AE127" s="1">
        <v>0.6</v>
      </c>
      <c r="AF127" s="1"/>
      <c r="AG127" s="1">
        <f>G127*S127</f>
        <v>0</v>
      </c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:47" x14ac:dyDescent="0.25">
      <c r="A128" s="1" t="s">
        <v>178</v>
      </c>
      <c r="B128" s="1" t="s">
        <v>42</v>
      </c>
      <c r="C128" s="1">
        <v>46</v>
      </c>
      <c r="D128" s="1">
        <v>30</v>
      </c>
      <c r="E128" s="1">
        <v>39</v>
      </c>
      <c r="F128" s="1">
        <v>2</v>
      </c>
      <c r="G128" s="7">
        <v>0.12</v>
      </c>
      <c r="H128" s="1">
        <v>45</v>
      </c>
      <c r="I128" s="9" t="s">
        <v>40</v>
      </c>
      <c r="J128" s="1"/>
      <c r="K128" s="1">
        <v>47</v>
      </c>
      <c r="L128" s="1">
        <f t="shared" si="34"/>
        <v>-8</v>
      </c>
      <c r="M128" s="1">
        <f t="shared" si="35"/>
        <v>39</v>
      </c>
      <c r="N128" s="1"/>
      <c r="O128" s="1">
        <v>8.5999999999999943</v>
      </c>
      <c r="P128" s="1"/>
      <c r="Q128" s="1">
        <v>61.600000000000009</v>
      </c>
      <c r="R128" s="1">
        <f t="shared" si="36"/>
        <v>7.8</v>
      </c>
      <c r="S128" s="5">
        <f t="shared" si="42"/>
        <v>21.399999999999991</v>
      </c>
      <c r="T128" s="1">
        <f t="shared" si="37"/>
        <v>12</v>
      </c>
      <c r="U128" s="1">
        <f t="shared" si="38"/>
        <v>9.2564102564102573</v>
      </c>
      <c r="V128" s="1">
        <v>10.8</v>
      </c>
      <c r="W128" s="1">
        <v>5.8</v>
      </c>
      <c r="X128" s="1">
        <v>4.4000000000000004</v>
      </c>
      <c r="Y128" s="1">
        <v>5.8</v>
      </c>
      <c r="Z128" s="1">
        <v>7</v>
      </c>
      <c r="AA128" s="1">
        <v>9.6</v>
      </c>
      <c r="AB128" s="1">
        <v>8.8000000000000007</v>
      </c>
      <c r="AC128" s="1">
        <v>6.6</v>
      </c>
      <c r="AD128" s="1">
        <v>8.4</v>
      </c>
      <c r="AE128" s="1">
        <v>10.4</v>
      </c>
      <c r="AF128" s="1"/>
      <c r="AG128" s="1">
        <f>G128*S128</f>
        <v>2.5679999999999987</v>
      </c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:47" x14ac:dyDescent="0.25">
      <c r="A129" s="10" t="s">
        <v>179</v>
      </c>
      <c r="B129" s="10" t="s">
        <v>42</v>
      </c>
      <c r="C129" s="10">
        <v>50</v>
      </c>
      <c r="D129" s="10">
        <v>52</v>
      </c>
      <c r="E129" s="13">
        <v>79</v>
      </c>
      <c r="F129" s="13">
        <v>4</v>
      </c>
      <c r="G129" s="11">
        <v>0</v>
      </c>
      <c r="H129" s="10"/>
      <c r="I129" s="10" t="s">
        <v>180</v>
      </c>
      <c r="J129" s="10" t="s">
        <v>96</v>
      </c>
      <c r="K129" s="10">
        <v>87</v>
      </c>
      <c r="L129" s="10">
        <f t="shared" si="34"/>
        <v>-8</v>
      </c>
      <c r="M129" s="10">
        <f t="shared" si="35"/>
        <v>79</v>
      </c>
      <c r="N129" s="10"/>
      <c r="O129" s="10">
        <v>0</v>
      </c>
      <c r="P129" s="10"/>
      <c r="Q129" s="10">
        <v>0</v>
      </c>
      <c r="R129" s="10">
        <f t="shared" si="36"/>
        <v>15.8</v>
      </c>
      <c r="S129" s="12"/>
      <c r="T129" s="10">
        <f t="shared" si="37"/>
        <v>0.25316455696202528</v>
      </c>
      <c r="U129" s="10">
        <f t="shared" si="38"/>
        <v>0.25316455696202528</v>
      </c>
      <c r="V129" s="10">
        <v>18.2</v>
      </c>
      <c r="W129" s="10">
        <v>17.600000000000001</v>
      </c>
      <c r="X129" s="10">
        <v>10.4</v>
      </c>
      <c r="Y129" s="10">
        <v>10.199999999999999</v>
      </c>
      <c r="Z129" s="10">
        <v>12.4</v>
      </c>
      <c r="AA129" s="10">
        <v>14.8</v>
      </c>
      <c r="AB129" s="10">
        <v>21.6</v>
      </c>
      <c r="AC129" s="10">
        <v>19.8</v>
      </c>
      <c r="AD129" s="10">
        <v>10.4</v>
      </c>
      <c r="AE129" s="10">
        <v>11.2</v>
      </c>
      <c r="AF129" s="10"/>
      <c r="AG129" s="10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:47" x14ac:dyDescent="0.25">
      <c r="A130" s="10" t="s">
        <v>181</v>
      </c>
      <c r="B130" s="10" t="s">
        <v>42</v>
      </c>
      <c r="C130" s="10">
        <v>29</v>
      </c>
      <c r="D130" s="10"/>
      <c r="E130" s="10"/>
      <c r="F130" s="13">
        <v>29</v>
      </c>
      <c r="G130" s="11">
        <v>0</v>
      </c>
      <c r="H130" s="10"/>
      <c r="I130" s="10" t="s">
        <v>180</v>
      </c>
      <c r="J130" s="10" t="s">
        <v>170</v>
      </c>
      <c r="K130" s="10">
        <v>1</v>
      </c>
      <c r="L130" s="10">
        <f t="shared" si="34"/>
        <v>-1</v>
      </c>
      <c r="M130" s="10">
        <f t="shared" si="35"/>
        <v>0</v>
      </c>
      <c r="N130" s="10"/>
      <c r="O130" s="10">
        <v>0</v>
      </c>
      <c r="P130" s="10"/>
      <c r="Q130" s="10">
        <v>0</v>
      </c>
      <c r="R130" s="10">
        <f t="shared" si="36"/>
        <v>0</v>
      </c>
      <c r="S130" s="12"/>
      <c r="T130" s="10" t="e">
        <f t="shared" si="37"/>
        <v>#DIV/0!</v>
      </c>
      <c r="U130" s="10" t="e">
        <f t="shared" si="38"/>
        <v>#DIV/0!</v>
      </c>
      <c r="V130" s="10">
        <v>0</v>
      </c>
      <c r="W130" s="10">
        <v>0</v>
      </c>
      <c r="X130" s="10">
        <v>0</v>
      </c>
      <c r="Y130" s="10">
        <v>0.2</v>
      </c>
      <c r="Z130" s="10">
        <v>0.2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/>
      <c r="AG130" s="10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:47" x14ac:dyDescent="0.25">
      <c r="A131" s="1" t="s">
        <v>182</v>
      </c>
      <c r="B131" s="1" t="s">
        <v>36</v>
      </c>
      <c r="C131" s="1"/>
      <c r="D131" s="1"/>
      <c r="E131" s="1"/>
      <c r="F131" s="1"/>
      <c r="G131" s="7">
        <v>1</v>
      </c>
      <c r="H131" s="1"/>
      <c r="I131" s="1" t="s">
        <v>37</v>
      </c>
      <c r="J131" s="1"/>
      <c r="K131" s="1"/>
      <c r="L131" s="1">
        <f t="shared" si="34"/>
        <v>0</v>
      </c>
      <c r="M131" s="1">
        <f t="shared" si="35"/>
        <v>0</v>
      </c>
      <c r="N131" s="1"/>
      <c r="O131" s="1"/>
      <c r="P131" s="1"/>
      <c r="Q131" s="1">
        <v>0</v>
      </c>
      <c r="R131" s="1">
        <f t="shared" si="36"/>
        <v>0</v>
      </c>
      <c r="S131" s="5"/>
      <c r="T131" s="1" t="e">
        <f t="shared" si="37"/>
        <v>#DIV/0!</v>
      </c>
      <c r="U131" s="1" t="e">
        <f t="shared" si="38"/>
        <v>#DIV/0!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 t="s">
        <v>183</v>
      </c>
      <c r="AG131" s="1">
        <f>G131*S131</f>
        <v>0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:47" x14ac:dyDescent="0.25">
      <c r="A132" s="10" t="s">
        <v>184</v>
      </c>
      <c r="B132" s="10" t="s">
        <v>36</v>
      </c>
      <c r="C132" s="10"/>
      <c r="D132" s="10"/>
      <c r="E132" s="10"/>
      <c r="F132" s="10"/>
      <c r="G132" s="11">
        <v>0</v>
      </c>
      <c r="H132" s="10"/>
      <c r="I132" s="10" t="s">
        <v>37</v>
      </c>
      <c r="J132" s="10"/>
      <c r="K132" s="10"/>
      <c r="L132" s="10">
        <f t="shared" si="34"/>
        <v>0</v>
      </c>
      <c r="M132" s="10">
        <f t="shared" si="35"/>
        <v>0</v>
      </c>
      <c r="N132" s="10"/>
      <c r="O132" s="10"/>
      <c r="P132" s="10"/>
      <c r="Q132" s="10">
        <v>0</v>
      </c>
      <c r="R132" s="10">
        <f t="shared" si="36"/>
        <v>0</v>
      </c>
      <c r="S132" s="12"/>
      <c r="T132" s="10" t="e">
        <f t="shared" si="37"/>
        <v>#DIV/0!</v>
      </c>
      <c r="U132" s="10" t="e">
        <f t="shared" si="38"/>
        <v>#DIV/0!</v>
      </c>
      <c r="V132" s="10">
        <v>0</v>
      </c>
      <c r="W132" s="10">
        <v>0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 t="s">
        <v>185</v>
      </c>
      <c r="AG132" s="10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:47" x14ac:dyDescent="0.25">
      <c r="A133" s="10" t="s">
        <v>186</v>
      </c>
      <c r="B133" s="10" t="s">
        <v>36</v>
      </c>
      <c r="C133" s="10"/>
      <c r="D133" s="10"/>
      <c r="E133" s="10"/>
      <c r="F133" s="10"/>
      <c r="G133" s="11">
        <v>0</v>
      </c>
      <c r="H133" s="10"/>
      <c r="I133" s="10" t="s">
        <v>37</v>
      </c>
      <c r="J133" s="10"/>
      <c r="K133" s="10"/>
      <c r="L133" s="10">
        <f t="shared" si="34"/>
        <v>0</v>
      </c>
      <c r="M133" s="10">
        <f t="shared" si="35"/>
        <v>0</v>
      </c>
      <c r="N133" s="10"/>
      <c r="O133" s="10"/>
      <c r="P133" s="10"/>
      <c r="Q133" s="10">
        <v>0</v>
      </c>
      <c r="R133" s="10">
        <f t="shared" si="36"/>
        <v>0</v>
      </c>
      <c r="S133" s="12"/>
      <c r="T133" s="10" t="e">
        <f t="shared" si="37"/>
        <v>#DIV/0!</v>
      </c>
      <c r="U133" s="10" t="e">
        <f t="shared" si="38"/>
        <v>#DIV/0!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 t="s">
        <v>187</v>
      </c>
      <c r="AG133" s="10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:47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:47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:47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:47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:47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:47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:47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:47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:47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:47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:47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1:47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1:47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1:47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1:47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1:47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1:47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1:47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1:47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1:47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1:47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1:47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1:47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1:47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1:47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1:47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1:47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1:47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1:47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1:47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1:47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1:47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1:47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1:47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1:47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1:47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1:47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1:47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1:47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1:47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1:47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1:47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1:47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1:47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1:47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1:47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1:47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1:47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1:47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1:47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1:47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1:47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1:47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1:47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1:47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1:47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1:47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1:47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1:47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1:47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1:47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1:47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1:47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1:47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1:47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1:47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1:47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1:47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1:47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1:47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1:47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1:47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1:47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1:47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1:47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1:47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1:47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1:47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1:47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1:47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1:47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1:47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1:47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1:47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1:47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1:47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1:47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1:47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1:47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1:47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1:47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1:47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1:47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1:47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1:47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1:47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1:47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1:47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1:47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1:47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1:47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1:47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1:47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1:47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1:47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1:47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1:47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1:47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1:47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1:47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1:47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1:47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1:47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1:47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1:47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1:47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1:47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1:47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1:47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1:47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1:47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1:47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1:47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1:47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1:47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1:47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1:47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1:47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1:47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1:47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1:47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1:47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1:47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1:47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1:47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1:47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1:47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1:47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1:47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1:47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1:47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1:47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1:47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1:47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1:47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1:47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1:47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1:47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1:47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1:47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1:47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1:47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1:47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1:47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1:47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1:47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1:47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1:47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1:47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1:47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1:47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1:47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1:47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1:47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1:47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1:47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1:47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1:47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1:47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1:47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1:47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1:47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1:47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1:47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1:47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1:47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1:47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1:47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1:47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1:47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1:47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1:47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1:47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1:47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1:47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1:47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1:47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1:47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1:47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1:47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1:47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1:47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1:47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1:47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1:47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1:47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1:47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1:47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1:47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1:47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1:47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1:47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1:47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1:47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1:47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1:47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1:47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1:47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1:47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1:47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1:47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1:47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1:47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1:47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1:47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1:47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1:47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1:47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1:47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1:47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1:47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1:47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1:47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1:47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1:47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1:47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1:47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1:47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1:47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1:47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1:47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1:47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1:47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1:47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1:47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1:47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1:47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1:47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1:47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1:47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1:47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1:47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1:47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1:47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1:47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1:47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1:47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1:47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1:47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1:47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1:47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1:47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1:47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1:47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1:47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1:47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1:47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1:47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1:47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1:47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1:47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1:47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1:47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1:47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1:47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1:47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1:47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1:47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1:47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1:47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1:47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1:47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1:47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1:47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1:47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1:47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1:47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1:47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1:47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1:47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1:47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1:47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1:47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1:47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1:47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1:47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1:47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1:47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1:47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1:47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1:47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1:47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1:47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1:47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1:47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1:47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1:47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1:47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1:47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1:47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1:47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1:47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1:47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1:47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1:47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1:47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1:47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1:47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1:47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1:47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1:47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1:47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1:47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1:47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1:47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1:47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1:47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1:47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1:47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1:47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1:47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1:47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1:47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1:47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1:47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1:47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1:47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1:47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1:47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1:47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1:47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1:47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1:47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1:47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1:47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1:47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1:47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1:47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1:47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1:47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1:47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1:47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1:47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1:47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1:47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1:47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1:47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1:47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1:47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1:47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1:47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1:47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1:47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1:47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1:47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1:47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1:47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1:47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1:47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1:47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1:47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1:47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1:47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 spans="1:47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 spans="1:47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 spans="1:47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 spans="1:47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</sheetData>
  <autoFilter ref="A3:AG133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2026-10-15T15:41:35Z</dcterms:created>
  <dcterms:modified xsi:type="dcterms:W3CDTF">2026-10-15T15:59:26Z</dcterms:modified>
</cp:coreProperties>
</file>