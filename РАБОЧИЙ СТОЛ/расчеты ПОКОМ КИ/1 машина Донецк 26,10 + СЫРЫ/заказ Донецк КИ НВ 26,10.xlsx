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EAF19C1-DBD8-4879-8358-9BEC971355A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P556" i="1"/>
  <c r="X554" i="1"/>
  <c r="X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6" i="1"/>
  <c r="X535" i="1"/>
  <c r="BP534" i="1"/>
  <c r="BO534" i="1"/>
  <c r="BN534" i="1"/>
  <c r="BM534" i="1"/>
  <c r="Z534" i="1"/>
  <c r="Y534" i="1"/>
  <c r="P534" i="1"/>
  <c r="BO533" i="1"/>
  <c r="BM533" i="1"/>
  <c r="Y533" i="1"/>
  <c r="P533" i="1"/>
  <c r="BO532" i="1"/>
  <c r="BM532" i="1"/>
  <c r="Y532" i="1"/>
  <c r="P532" i="1"/>
  <c r="BO531" i="1"/>
  <c r="BM531" i="1"/>
  <c r="Y531" i="1"/>
  <c r="P531" i="1"/>
  <c r="BP530" i="1"/>
  <c r="BO530" i="1"/>
  <c r="BN530" i="1"/>
  <c r="BM530" i="1"/>
  <c r="Z530" i="1"/>
  <c r="Y530" i="1"/>
  <c r="P530" i="1"/>
  <c r="BO529" i="1"/>
  <c r="BM529" i="1"/>
  <c r="Y529" i="1"/>
  <c r="P529" i="1"/>
  <c r="BO528" i="1"/>
  <c r="BM528" i="1"/>
  <c r="Y528" i="1"/>
  <c r="P528" i="1"/>
  <c r="X526" i="1"/>
  <c r="X525" i="1"/>
  <c r="BO524" i="1"/>
  <c r="BM524" i="1"/>
  <c r="Y524" i="1"/>
  <c r="P524" i="1"/>
  <c r="BO523" i="1"/>
  <c r="BM523" i="1"/>
  <c r="Y523" i="1"/>
  <c r="P523" i="1"/>
  <c r="BP522" i="1"/>
  <c r="BO522" i="1"/>
  <c r="BN522" i="1"/>
  <c r="BM522" i="1"/>
  <c r="Z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P485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BO457" i="1"/>
  <c r="BM457" i="1"/>
  <c r="Y457" i="1"/>
  <c r="P457" i="1"/>
  <c r="BP456" i="1"/>
  <c r="BO456" i="1"/>
  <c r="BN456" i="1"/>
  <c r="BM456" i="1"/>
  <c r="Z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X361" i="1"/>
  <c r="Y360" i="1"/>
  <c r="X360" i="1"/>
  <c r="BP359" i="1"/>
  <c r="BO359" i="1"/>
  <c r="BN359" i="1"/>
  <c r="BM359" i="1"/>
  <c r="Z359" i="1"/>
  <c r="Z360" i="1" s="1"/>
  <c r="Y359" i="1"/>
  <c r="Y361" i="1" s="1"/>
  <c r="P359" i="1"/>
  <c r="X357" i="1"/>
  <c r="Y356" i="1"/>
  <c r="X356" i="1"/>
  <c r="BP355" i="1"/>
  <c r="BO355" i="1"/>
  <c r="BN355" i="1"/>
  <c r="BM355" i="1"/>
  <c r="Z355" i="1"/>
  <c r="Z356" i="1" s="1"/>
  <c r="Y355" i="1"/>
  <c r="S575" i="1" s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Q575" i="1" s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P268" i="1"/>
  <c r="BO267" i="1"/>
  <c r="BM267" i="1"/>
  <c r="Z267" i="1"/>
  <c r="Y267" i="1"/>
  <c r="P267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X247" i="1"/>
  <c r="BO246" i="1"/>
  <c r="BM246" i="1"/>
  <c r="Y246" i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1" i="1"/>
  <c r="Y200" i="1"/>
  <c r="X200" i="1"/>
  <c r="BP199" i="1"/>
  <c r="BO199" i="1"/>
  <c r="BN199" i="1"/>
  <c r="BM199" i="1"/>
  <c r="Z199" i="1"/>
  <c r="Z200" i="1" s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3" i="1"/>
  <c r="X132" i="1"/>
  <c r="BO131" i="1"/>
  <c r="BM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X96" i="1"/>
  <c r="X95" i="1"/>
  <c r="BO94" i="1"/>
  <c r="BM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P83" i="1"/>
  <c r="BO83" i="1"/>
  <c r="BN83" i="1"/>
  <c r="BM83" i="1"/>
  <c r="Z83" i="1"/>
  <c r="Y83" i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P34" i="1"/>
  <c r="BO34" i="1"/>
  <c r="BN34" i="1"/>
  <c r="BM34" i="1"/>
  <c r="Z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BP30" i="1" l="1"/>
  <c r="BN30" i="1"/>
  <c r="Z30" i="1"/>
  <c r="BP52" i="1"/>
  <c r="BN52" i="1"/>
  <c r="Z52" i="1"/>
  <c r="BP63" i="1"/>
  <c r="BN63" i="1"/>
  <c r="Z63" i="1"/>
  <c r="Y79" i="1"/>
  <c r="BP77" i="1"/>
  <c r="BN77" i="1"/>
  <c r="Z77" i="1"/>
  <c r="BP94" i="1"/>
  <c r="BN94" i="1"/>
  <c r="Z94" i="1"/>
  <c r="BP109" i="1"/>
  <c r="BN109" i="1"/>
  <c r="Z109" i="1"/>
  <c r="BP125" i="1"/>
  <c r="BN125" i="1"/>
  <c r="Z125" i="1"/>
  <c r="BP147" i="1"/>
  <c r="BN147" i="1"/>
  <c r="Z147" i="1"/>
  <c r="BP152" i="1"/>
  <c r="BN152" i="1"/>
  <c r="Z152" i="1"/>
  <c r="Y173" i="1"/>
  <c r="BP171" i="1"/>
  <c r="BN171" i="1"/>
  <c r="Z171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BP240" i="1"/>
  <c r="BN240" i="1"/>
  <c r="Z240" i="1"/>
  <c r="BP261" i="1"/>
  <c r="BN261" i="1"/>
  <c r="Z261" i="1"/>
  <c r="BP265" i="1"/>
  <c r="BN265" i="1"/>
  <c r="Z265" i="1"/>
  <c r="BP272" i="1"/>
  <c r="BN272" i="1"/>
  <c r="Z272" i="1"/>
  <c r="BP282" i="1"/>
  <c r="BN282" i="1"/>
  <c r="Z282" i="1"/>
  <c r="BP297" i="1"/>
  <c r="BN297" i="1"/>
  <c r="Z297" i="1"/>
  <c r="Y309" i="1"/>
  <c r="Y308" i="1"/>
  <c r="BP307" i="1"/>
  <c r="BN307" i="1"/>
  <c r="Z307" i="1"/>
  <c r="Z308" i="1" s="1"/>
  <c r="Y313" i="1"/>
  <c r="Y312" i="1"/>
  <c r="BP311" i="1"/>
  <c r="BN311" i="1"/>
  <c r="Z311" i="1"/>
  <c r="Z312" i="1" s="1"/>
  <c r="BP315" i="1"/>
  <c r="BN315" i="1"/>
  <c r="Z315" i="1"/>
  <c r="BP328" i="1"/>
  <c r="BN328" i="1"/>
  <c r="Z328" i="1"/>
  <c r="Y352" i="1"/>
  <c r="BP348" i="1"/>
  <c r="BN348" i="1"/>
  <c r="Z348" i="1"/>
  <c r="Z351" i="1" s="1"/>
  <c r="BP373" i="1"/>
  <c r="BN373" i="1"/>
  <c r="Z373" i="1"/>
  <c r="BP383" i="1"/>
  <c r="BN383" i="1"/>
  <c r="Z383" i="1"/>
  <c r="BP393" i="1"/>
  <c r="BN393" i="1"/>
  <c r="Z393" i="1"/>
  <c r="Y415" i="1"/>
  <c r="BP411" i="1"/>
  <c r="BN411" i="1"/>
  <c r="Z411" i="1"/>
  <c r="Y414" i="1"/>
  <c r="Y23" i="1"/>
  <c r="BP22" i="1"/>
  <c r="X565" i="1"/>
  <c r="Y32" i="1"/>
  <c r="BP26" i="1"/>
  <c r="BN26" i="1"/>
  <c r="Z26" i="1"/>
  <c r="C575" i="1"/>
  <c r="BP42" i="1"/>
  <c r="BN42" i="1"/>
  <c r="Z42" i="1"/>
  <c r="BP59" i="1"/>
  <c r="BN59" i="1"/>
  <c r="Z59" i="1"/>
  <c r="BP71" i="1"/>
  <c r="BN71" i="1"/>
  <c r="Z71" i="1"/>
  <c r="F575" i="1"/>
  <c r="BP90" i="1"/>
  <c r="BN90" i="1"/>
  <c r="Z90" i="1"/>
  <c r="BP100" i="1"/>
  <c r="BN100" i="1"/>
  <c r="Z100" i="1"/>
  <c r="Y121" i="1"/>
  <c r="BP117" i="1"/>
  <c r="BN117" i="1"/>
  <c r="Z117" i="1"/>
  <c r="Y133" i="1"/>
  <c r="Y132" i="1"/>
  <c r="BP131" i="1"/>
  <c r="BN131" i="1"/>
  <c r="Z131" i="1"/>
  <c r="Z132" i="1" s="1"/>
  <c r="BP136" i="1"/>
  <c r="BN136" i="1"/>
  <c r="Z136" i="1"/>
  <c r="BP165" i="1"/>
  <c r="BN165" i="1"/>
  <c r="Z165" i="1"/>
  <c r="BP179" i="1"/>
  <c r="BN179" i="1"/>
  <c r="Z179" i="1"/>
  <c r="BP191" i="1"/>
  <c r="BN191" i="1"/>
  <c r="Z191" i="1"/>
  <c r="BP211" i="1"/>
  <c r="BN211" i="1"/>
  <c r="Z211" i="1"/>
  <c r="BP226" i="1"/>
  <c r="BN226" i="1"/>
  <c r="Z226" i="1"/>
  <c r="BP236" i="1"/>
  <c r="BN236" i="1"/>
  <c r="Z236" i="1"/>
  <c r="BP246" i="1"/>
  <c r="BN246" i="1"/>
  <c r="Z246" i="1"/>
  <c r="BP268" i="1"/>
  <c r="BN268" i="1"/>
  <c r="Z268" i="1"/>
  <c r="BP278" i="1"/>
  <c r="BN278" i="1"/>
  <c r="Z278" i="1"/>
  <c r="BP286" i="1"/>
  <c r="BN286" i="1"/>
  <c r="Z286" i="1"/>
  <c r="BP301" i="1"/>
  <c r="BN301" i="1"/>
  <c r="Z301" i="1"/>
  <c r="BP324" i="1"/>
  <c r="BN324" i="1"/>
  <c r="Z324" i="1"/>
  <c r="BP342" i="1"/>
  <c r="BN342" i="1"/>
  <c r="Z342" i="1"/>
  <c r="Y351" i="1"/>
  <c r="BP366" i="1"/>
  <c r="BN366" i="1"/>
  <c r="Z366" i="1"/>
  <c r="BP377" i="1"/>
  <c r="BN377" i="1"/>
  <c r="Z377" i="1"/>
  <c r="BP432" i="1"/>
  <c r="BN432" i="1"/>
  <c r="Z432" i="1"/>
  <c r="BP446" i="1"/>
  <c r="BN446" i="1"/>
  <c r="Z446" i="1"/>
  <c r="BP458" i="1"/>
  <c r="BN458" i="1"/>
  <c r="Z458" i="1"/>
  <c r="BP462" i="1"/>
  <c r="BN462" i="1"/>
  <c r="Z462" i="1"/>
  <c r="BP487" i="1"/>
  <c r="BN487" i="1"/>
  <c r="Z487" i="1"/>
  <c r="BP514" i="1"/>
  <c r="BN514" i="1"/>
  <c r="Z514" i="1"/>
  <c r="BP524" i="1"/>
  <c r="BN524" i="1"/>
  <c r="Z524" i="1"/>
  <c r="BP528" i="1"/>
  <c r="BN528" i="1"/>
  <c r="Z528" i="1"/>
  <c r="Y542" i="1"/>
  <c r="AC575" i="1"/>
  <c r="Y541" i="1"/>
  <c r="BP540" i="1"/>
  <c r="BN540" i="1"/>
  <c r="Z540" i="1"/>
  <c r="Z541" i="1" s="1"/>
  <c r="Y546" i="1"/>
  <c r="Y545" i="1"/>
  <c r="BP544" i="1"/>
  <c r="BN544" i="1"/>
  <c r="Z544" i="1"/>
  <c r="Z545" i="1" s="1"/>
  <c r="Y550" i="1"/>
  <c r="Y549" i="1"/>
  <c r="BP548" i="1"/>
  <c r="BN548" i="1"/>
  <c r="Z548" i="1"/>
  <c r="Z549" i="1" s="1"/>
  <c r="Y554" i="1"/>
  <c r="Y553" i="1"/>
  <c r="BP552" i="1"/>
  <c r="BN552" i="1"/>
  <c r="Z552" i="1"/>
  <c r="Z553" i="1" s="1"/>
  <c r="Y558" i="1"/>
  <c r="BP556" i="1"/>
  <c r="BN556" i="1"/>
  <c r="Z556" i="1"/>
  <c r="Y36" i="1"/>
  <c r="Y85" i="1"/>
  <c r="Y102" i="1"/>
  <c r="G575" i="1"/>
  <c r="Y143" i="1"/>
  <c r="Y288" i="1"/>
  <c r="BP387" i="1"/>
  <c r="BN387" i="1"/>
  <c r="Z387" i="1"/>
  <c r="BP405" i="1"/>
  <c r="BN405" i="1"/>
  <c r="Z405" i="1"/>
  <c r="BP442" i="1"/>
  <c r="BN442" i="1"/>
  <c r="Z442" i="1"/>
  <c r="BP452" i="1"/>
  <c r="BN452" i="1"/>
  <c r="Z452" i="1"/>
  <c r="Y475" i="1"/>
  <c r="Y474" i="1"/>
  <c r="BP473" i="1"/>
  <c r="BN473" i="1"/>
  <c r="Z473" i="1"/>
  <c r="Z474" i="1" s="1"/>
  <c r="Y481" i="1"/>
  <c r="BP477" i="1"/>
  <c r="BN477" i="1"/>
  <c r="Z477" i="1"/>
  <c r="BP504" i="1"/>
  <c r="BN504" i="1"/>
  <c r="Z504" i="1"/>
  <c r="BP518" i="1"/>
  <c r="BN518" i="1"/>
  <c r="Z518" i="1"/>
  <c r="BP532" i="1"/>
  <c r="BN532" i="1"/>
  <c r="Z532" i="1"/>
  <c r="Y395" i="1"/>
  <c r="Y460" i="1"/>
  <c r="Y459" i="1"/>
  <c r="Y526" i="1"/>
  <c r="Y525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BP153" i="1"/>
  <c r="BN153" i="1"/>
  <c r="Z153" i="1"/>
  <c r="Z156" i="1" s="1"/>
  <c r="BP166" i="1"/>
  <c r="BN166" i="1"/>
  <c r="Z166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Z247" i="1"/>
  <c r="BP245" i="1"/>
  <c r="BN245" i="1"/>
  <c r="Z245" i="1"/>
  <c r="BP266" i="1"/>
  <c r="BN266" i="1"/>
  <c r="Z266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Y293" i="1"/>
  <c r="BP365" i="1"/>
  <c r="BN365" i="1"/>
  <c r="Z365" i="1"/>
  <c r="Z367" i="1" s="1"/>
  <c r="Y367" i="1"/>
  <c r="BP394" i="1"/>
  <c r="BN394" i="1"/>
  <c r="Z394" i="1"/>
  <c r="Y396" i="1"/>
  <c r="Y401" i="1"/>
  <c r="BP398" i="1"/>
  <c r="BN398" i="1"/>
  <c r="Z398" i="1"/>
  <c r="Y402" i="1"/>
  <c r="BP406" i="1"/>
  <c r="BN406" i="1"/>
  <c r="Z406" i="1"/>
  <c r="BP463" i="1"/>
  <c r="BN463" i="1"/>
  <c r="Z463" i="1"/>
  <c r="Z464" i="1" s="1"/>
  <c r="Y465" i="1"/>
  <c r="Y471" i="1"/>
  <c r="BP468" i="1"/>
  <c r="BN468" i="1"/>
  <c r="Z468" i="1"/>
  <c r="Z470" i="1" s="1"/>
  <c r="Y470" i="1"/>
  <c r="Y575" i="1"/>
  <c r="H9" i="1"/>
  <c r="B575" i="1"/>
  <c r="X566" i="1"/>
  <c r="X568" i="1" s="1"/>
  <c r="X567" i="1"/>
  <c r="X569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1" i="1" s="1"/>
  <c r="BN116" i="1"/>
  <c r="BP116" i="1"/>
  <c r="Z118" i="1"/>
  <c r="BN118" i="1"/>
  <c r="Z120" i="1"/>
  <c r="BN120" i="1"/>
  <c r="Z124" i="1"/>
  <c r="BN124" i="1"/>
  <c r="BP124" i="1"/>
  <c r="Z126" i="1"/>
  <c r="BN126" i="1"/>
  <c r="H575" i="1"/>
  <c r="Y139" i="1"/>
  <c r="Z137" i="1"/>
  <c r="Z138" i="1" s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Z168" i="1" s="1"/>
  <c r="Y168" i="1"/>
  <c r="BP172" i="1"/>
  <c r="BN172" i="1"/>
  <c r="Z172" i="1"/>
  <c r="Z173" i="1" s="1"/>
  <c r="Y174" i="1"/>
  <c r="Y187" i="1"/>
  <c r="BP176" i="1"/>
  <c r="BN176" i="1"/>
  <c r="Z176" i="1"/>
  <c r="BP180" i="1"/>
  <c r="BN180" i="1"/>
  <c r="Z180" i="1"/>
  <c r="BP184" i="1"/>
  <c r="BN184" i="1"/>
  <c r="Z184" i="1"/>
  <c r="Y192" i="1"/>
  <c r="BP206" i="1"/>
  <c r="BN206" i="1"/>
  <c r="Z206" i="1"/>
  <c r="BP210" i="1"/>
  <c r="BN210" i="1"/>
  <c r="Z210" i="1"/>
  <c r="Y234" i="1"/>
  <c r="BP223" i="1"/>
  <c r="BN223" i="1"/>
  <c r="Z223" i="1"/>
  <c r="BP227" i="1"/>
  <c r="BN227" i="1"/>
  <c r="Z227" i="1"/>
  <c r="BP231" i="1"/>
  <c r="BN231" i="1"/>
  <c r="Z231" i="1"/>
  <c r="Y242" i="1"/>
  <c r="BP239" i="1"/>
  <c r="BN239" i="1"/>
  <c r="Z239" i="1"/>
  <c r="Y248" i="1"/>
  <c r="Y247" i="1"/>
  <c r="BP256" i="1"/>
  <c r="BN256" i="1"/>
  <c r="Z256" i="1"/>
  <c r="Z257" i="1" s="1"/>
  <c r="Y258" i="1"/>
  <c r="Y263" i="1"/>
  <c r="BP260" i="1"/>
  <c r="BN260" i="1"/>
  <c r="Z260" i="1"/>
  <c r="Z262" i="1" s="1"/>
  <c r="BP271" i="1"/>
  <c r="BN271" i="1"/>
  <c r="Z271" i="1"/>
  <c r="BP300" i="1"/>
  <c r="BN300" i="1"/>
  <c r="Z300" i="1"/>
  <c r="Y304" i="1"/>
  <c r="BP316" i="1"/>
  <c r="BN316" i="1"/>
  <c r="Z316" i="1"/>
  <c r="Z319" i="1" s="1"/>
  <c r="Y320" i="1"/>
  <c r="BP325" i="1"/>
  <c r="BN325" i="1"/>
  <c r="Z325" i="1"/>
  <c r="BP329" i="1"/>
  <c r="BN329" i="1"/>
  <c r="Z329" i="1"/>
  <c r="Y331" i="1"/>
  <c r="Y337" i="1"/>
  <c r="BP334" i="1"/>
  <c r="BN334" i="1"/>
  <c r="Z334" i="1"/>
  <c r="Y338" i="1"/>
  <c r="BP343" i="1"/>
  <c r="BN343" i="1"/>
  <c r="Z343" i="1"/>
  <c r="U575" i="1"/>
  <c r="BP374" i="1"/>
  <c r="BN374" i="1"/>
  <c r="Z374" i="1"/>
  <c r="Y378" i="1"/>
  <c r="BP382" i="1"/>
  <c r="BN382" i="1"/>
  <c r="Z382" i="1"/>
  <c r="Y388" i="1"/>
  <c r="BP386" i="1"/>
  <c r="BN386" i="1"/>
  <c r="Z386" i="1"/>
  <c r="BP418" i="1"/>
  <c r="BN418" i="1"/>
  <c r="Z418" i="1"/>
  <c r="Z420" i="1" s="1"/>
  <c r="Y421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BP349" i="1"/>
  <c r="BN349" i="1"/>
  <c r="Z349" i="1"/>
  <c r="BP372" i="1"/>
  <c r="BN372" i="1"/>
  <c r="Z372" i="1"/>
  <c r="BP376" i="1"/>
  <c r="BN376" i="1"/>
  <c r="Z376" i="1"/>
  <c r="Z378" i="1" s="1"/>
  <c r="Y389" i="1"/>
  <c r="BP384" i="1"/>
  <c r="BN384" i="1"/>
  <c r="Z384" i="1"/>
  <c r="Z388" i="1" s="1"/>
  <c r="BP392" i="1"/>
  <c r="BN392" i="1"/>
  <c r="Z392" i="1"/>
  <c r="BP400" i="1"/>
  <c r="BN400" i="1"/>
  <c r="Z400" i="1"/>
  <c r="Y409" i="1"/>
  <c r="BP404" i="1"/>
  <c r="BN404" i="1"/>
  <c r="Z404" i="1"/>
  <c r="Z408" i="1" s="1"/>
  <c r="Y408" i="1"/>
  <c r="Z414" i="1"/>
  <c r="BP412" i="1"/>
  <c r="BN412" i="1"/>
  <c r="Z412" i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Z480" i="1"/>
  <c r="BP478" i="1"/>
  <c r="BN478" i="1"/>
  <c r="Z478" i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Z525" i="1"/>
  <c r="BP523" i="1"/>
  <c r="BN523" i="1"/>
  <c r="Z523" i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337" i="1" l="1"/>
  <c r="Z233" i="1"/>
  <c r="Z102" i="1"/>
  <c r="Y567" i="1"/>
  <c r="Y568" i="1" s="1"/>
  <c r="Z31" i="1"/>
  <c r="Z241" i="1"/>
  <c r="Z535" i="1"/>
  <c r="Z491" i="1"/>
  <c r="Z395" i="1"/>
  <c r="Z345" i="1"/>
  <c r="Z304" i="1"/>
  <c r="Z273" i="1"/>
  <c r="Z212" i="1"/>
  <c r="Z67" i="1"/>
  <c r="Y566" i="1"/>
  <c r="Y569" i="1"/>
  <c r="Z519" i="1"/>
  <c r="Z434" i="1"/>
  <c r="Z506" i="1"/>
  <c r="Z330" i="1"/>
  <c r="Z288" i="1"/>
  <c r="Z187" i="1"/>
  <c r="Z128" i="1"/>
  <c r="Z85" i="1"/>
  <c r="Y565" i="1"/>
  <c r="Z401" i="1"/>
  <c r="Z447" i="1"/>
  <c r="Z427" i="1"/>
  <c r="Z570" i="1" l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<sst xmlns="http://schemas.openxmlformats.org/spreadsheetml/2006/main" count="2535" uniqueCount="913">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</sst>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8</v>
      </c>
      <c r="Y28" s="636">
        <f>IFERROR(IF(X28="",0,CEILING((X28/$H28),1)*$H28),"")</f>
        <v>9</v>
      </c>
      <c r="Z28" s="36">
        <f>IFERROR(IF(Y28=0,"",ROUNDUP(Y28/H28,0)*0.00651),"")</f>
        <v>3.2550000000000003E-2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14.133333333333333</v>
      </c>
      <c r="BN28" s="64">
        <f>IFERROR(Y28*I28/H28,"0")</f>
        <v>15.9</v>
      </c>
      <c r="BO28" s="64">
        <f>IFERROR(1/J28*(X28/H28),"0")</f>
        <v>2.4420024420024423E-2</v>
      </c>
      <c r="BP28" s="64">
        <f>IFERROR(1/J28*(Y28/H28),"0")</f>
        <v>2.7472527472527476E-2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9</v>
      </c>
      <c r="Y29" s="636">
        <f>IFERROR(IF(X29="",0,CEILING((X29/$H29),1)*$H29),"")</f>
        <v>9</v>
      </c>
      <c r="Z29" s="36">
        <f>IFERROR(IF(Y29=0,"",ROUNDUP(Y29/H29,0)*0.00651),"")</f>
        <v>3.2550000000000003E-2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15.9</v>
      </c>
      <c r="BN29" s="64">
        <f>IFERROR(Y29*I29/H29,"0")</f>
        <v>15.9</v>
      </c>
      <c r="BO29" s="64">
        <f>IFERROR(1/J29*(X29/H29),"0")</f>
        <v>2.7472527472527476E-2</v>
      </c>
      <c r="BP29" s="64">
        <f>IFERROR(1/J29*(Y29/H29),"0")</f>
        <v>2.7472527472527476E-2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9.4444444444444446</v>
      </c>
      <c r="Y31" s="637">
        <f>IFERROR(Y26/H26,"0")+IFERROR(Y27/H27,"0")+IFERROR(Y28/H28,"0")+IFERROR(Y29/H29,"0")+IFERROR(Y30/H30,"0")</f>
        <v>10</v>
      </c>
      <c r="Z31" s="637">
        <f>IFERROR(IF(Z26="",0,Z26),"0")+IFERROR(IF(Z27="",0,Z27),"0")+IFERROR(IF(Z28="",0,Z28),"0")+IFERROR(IF(Z29="",0,Z29),"0")+IFERROR(IF(Z30="",0,Z30),"0")</f>
        <v>6.5100000000000005E-2</v>
      </c>
      <c r="AA31" s="638"/>
      <c r="AB31" s="638"/>
      <c r="AC31" s="638"/>
    </row>
    <row r="32" spans="1:68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17</v>
      </c>
      <c r="Y32" s="637">
        <f>IFERROR(SUM(Y26:Y30),"0")</f>
        <v>18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1581</v>
      </c>
      <c r="Y51" s="636">
        <f>IFERROR(IF(X51="",0,CEILING((X51/$H51),1)*$H51),"")</f>
        <v>1587.6000000000001</v>
      </c>
      <c r="Z51" s="36">
        <f>IFERROR(IF(Y51=0,"",ROUNDUP(Y51/H51,0)*0.01898),"")</f>
        <v>2.79006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1641.0194444444446</v>
      </c>
      <c r="BN51" s="64">
        <f>IFERROR(Y51*I51/H51,"0")</f>
        <v>1647.8700000000001</v>
      </c>
      <c r="BO51" s="64">
        <f>IFERROR(1/J51*(X51/H51),"0")</f>
        <v>2.2873263888888888</v>
      </c>
      <c r="BP51" s="64">
        <f>IFERROR(1/J51*(Y51/H51),"0")</f>
        <v>2.296875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5</v>
      </c>
      <c r="Y53" s="636">
        <f>IFERROR(IF(X53="",0,CEILING((X53/$H53),1)*$H53),"")</f>
        <v>8</v>
      </c>
      <c r="Z53" s="36">
        <f>IFERROR(IF(Y53=0,"",ROUNDUP(Y53/H53,0)*0.00902),"")</f>
        <v>1.804E-2</v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5.2375000000000007</v>
      </c>
      <c r="BN53" s="64">
        <f>IFERROR(Y53*I53/H53,"0")</f>
        <v>8.3800000000000008</v>
      </c>
      <c r="BO53" s="64">
        <f>IFERROR(1/J53*(X53/H53),"0")</f>
        <v>9.46969696969697E-3</v>
      </c>
      <c r="BP53" s="64">
        <f>IFERROR(1/J53*(Y53/H53),"0")</f>
        <v>1.5151515151515152E-2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147.63888888888889</v>
      </c>
      <c r="Y55" s="637">
        <f>IFERROR(Y51/H51,"0")+IFERROR(Y52/H52,"0")+IFERROR(Y53/H53,"0")+IFERROR(Y54/H54,"0")</f>
        <v>149</v>
      </c>
      <c r="Z55" s="637">
        <f>IFERROR(IF(Z51="",0,Z51),"0")+IFERROR(IF(Z52="",0,Z52),"0")+IFERROR(IF(Z53="",0,Z53),"0")+IFERROR(IF(Z54="",0,Z54),"0")</f>
        <v>2.8081</v>
      </c>
      <c r="AA55" s="638"/>
      <c r="AB55" s="638"/>
      <c r="AC55" s="638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1586</v>
      </c>
      <c r="Y56" s="637">
        <f>IFERROR(SUM(Y51:Y54),"0")</f>
        <v>1595.6000000000001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462</v>
      </c>
      <c r="Y60" s="636">
        <f t="shared" si="0"/>
        <v>464.40000000000003</v>
      </c>
      <c r="Z60" s="36">
        <f>IFERROR(IF(Y60=0,"",ROUNDUP(Y60/H60,0)*0.01898),"")</f>
        <v>0.81613999999999998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479.53888888888889</v>
      </c>
      <c r="BN60" s="64">
        <f t="shared" si="2"/>
        <v>482.03000000000003</v>
      </c>
      <c r="BO60" s="64">
        <f t="shared" si="3"/>
        <v>0.66840277777777768</v>
      </c>
      <c r="BP60" s="64">
        <f t="shared" si="4"/>
        <v>0.671875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85</v>
      </c>
      <c r="Y66" s="636">
        <f t="shared" si="0"/>
        <v>85.5</v>
      </c>
      <c r="Z66" s="36">
        <f>IFERROR(IF(Y66=0,"",ROUNDUP(Y66/H66,0)*0.00902),"")</f>
        <v>0.17138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88.588888888888903</v>
      </c>
      <c r="BN66" s="64">
        <f t="shared" si="2"/>
        <v>89.110000000000014</v>
      </c>
      <c r="BO66" s="64">
        <f t="shared" si="3"/>
        <v>0.14309764309764311</v>
      </c>
      <c r="BP66" s="64">
        <f t="shared" si="4"/>
        <v>0.14393939393939395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61.666666666666657</v>
      </c>
      <c r="Y67" s="637">
        <f>IFERROR(Y59/H59,"0")+IFERROR(Y60/H60,"0")+IFERROR(Y61/H61,"0")+IFERROR(Y62/H62,"0")+IFERROR(Y63/H63,"0")+IFERROR(Y64/H64,"0")+IFERROR(Y65/H65,"0")+IFERROR(Y66/H66,"0")</f>
        <v>62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0.98751999999999995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547</v>
      </c>
      <c r="Y68" s="637">
        <f>IFERROR(SUM(Y59:Y66),"0")</f>
        <v>549.90000000000009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44</v>
      </c>
      <c r="Y70" s="636">
        <f>IFERROR(IF(X70="",0,CEILING((X70/$H70),1)*$H70),"")</f>
        <v>54</v>
      </c>
      <c r="Z70" s="36">
        <f>IFERROR(IF(Y70=0,"",ROUNDUP(Y70/H70,0)*0.01898),"")</f>
        <v>9.4899999999999998E-2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45.670370370370371</v>
      </c>
      <c r="BN70" s="64">
        <f>IFERROR(Y70*I70/H70,"0")</f>
        <v>56.05</v>
      </c>
      <c r="BO70" s="64">
        <f>IFERROR(1/J70*(X70/H70),"0")</f>
        <v>6.3657407407407399E-2</v>
      </c>
      <c r="BP70" s="64">
        <f>IFERROR(1/J70*(Y70/H70),"0")</f>
        <v>7.8125E-2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4.0740740740740735</v>
      </c>
      <c r="Y74" s="637">
        <f>IFERROR(Y70/H70,"0")+IFERROR(Y71/H71,"0")+IFERROR(Y72/H72,"0")+IFERROR(Y73/H73,"0")</f>
        <v>5</v>
      </c>
      <c r="Z74" s="637">
        <f>IFERROR(IF(Z70="",0,Z70),"0")+IFERROR(IF(Z71="",0,Z71),"0")+IFERROR(IF(Z72="",0,Z72),"0")+IFERROR(IF(Z73="",0,Z73),"0")</f>
        <v>9.4899999999999998E-2</v>
      </c>
      <c r="AA74" s="638"/>
      <c r="AB74" s="638"/>
      <c r="AC74" s="638"/>
    </row>
    <row r="75" spans="1:68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44</v>
      </c>
      <c r="Y75" s="637">
        <f>IFERROR(SUM(Y70:Y73),"0")</f>
        <v>54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32</v>
      </c>
      <c r="Y77" s="636">
        <f>IFERROR(IF(X77="",0,CEILING((X77/$H77),1)*$H77),"")</f>
        <v>32.4</v>
      </c>
      <c r="Z77" s="36">
        <f>IFERROR(IF(Y77=0,"",ROUNDUP(Y77/H77,0)*0.00651),"")</f>
        <v>0.11718000000000001</v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36.373333333333328</v>
      </c>
      <c r="BN77" s="64">
        <f>IFERROR(Y77*I77/H77,"0")</f>
        <v>36.827999999999996</v>
      </c>
      <c r="BO77" s="64">
        <f>IFERROR(1/J77*(X77/H77),"0")</f>
        <v>9.7680097680097694E-2</v>
      </c>
      <c r="BP77" s="64">
        <f>IFERROR(1/J77*(Y77/H77),"0")</f>
        <v>9.8901098901098911E-2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17.777777777777779</v>
      </c>
      <c r="Y79" s="637">
        <f>IFERROR(Y77/H77,"0")+IFERROR(Y78/H78,"0")</f>
        <v>18</v>
      </c>
      <c r="Z79" s="637">
        <f>IFERROR(IF(Z77="",0,Z77),"0")+IFERROR(IF(Z78="",0,Z78),"0")</f>
        <v>0.11718000000000001</v>
      </c>
      <c r="AA79" s="638"/>
      <c r="AB79" s="638"/>
      <c r="AC79" s="638"/>
    </row>
    <row r="80" spans="1:68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32</v>
      </c>
      <c r="Y80" s="637">
        <f>IFERROR(SUM(Y77:Y78),"0")</f>
        <v>32.4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173</v>
      </c>
      <c r="Y82" s="636">
        <f>IFERROR(IF(X82="",0,CEILING((X82/$H82),1)*$H82),"")</f>
        <v>179.4</v>
      </c>
      <c r="Z82" s="36">
        <f>IFERROR(IF(Y82=0,"",ROUNDUP(Y82/H82,0)*0.01898),"")</f>
        <v>0.43653999999999998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182.09358974358977</v>
      </c>
      <c r="BN82" s="64">
        <f>IFERROR(Y82*I82/H82,"0")</f>
        <v>188.83000000000004</v>
      </c>
      <c r="BO82" s="64">
        <f>IFERROR(1/J82*(X82/H82),"0")</f>
        <v>0.34655448717948717</v>
      </c>
      <c r="BP82" s="64">
        <f>IFERROR(1/J82*(Y82/H82),"0")</f>
        <v>0.359375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22.179487179487179</v>
      </c>
      <c r="Y85" s="637">
        <f>IFERROR(Y82/H82,"0")+IFERROR(Y83/H83,"0")+IFERROR(Y84/H84,"0")</f>
        <v>23</v>
      </c>
      <c r="Z85" s="637">
        <f>IFERROR(IF(Z82="",0,Z82),"0")+IFERROR(IF(Z83="",0,Z83),"0")+IFERROR(IF(Z84="",0,Z84),"0")</f>
        <v>0.43653999999999998</v>
      </c>
      <c r="AA85" s="638"/>
      <c r="AB85" s="638"/>
      <c r="AC85" s="638"/>
    </row>
    <row r="86" spans="1:68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173</v>
      </c>
      <c r="Y86" s="637">
        <f>IFERROR(SUM(Y82:Y84),"0")</f>
        <v>179.4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231</v>
      </c>
      <c r="Y89" s="636">
        <f t="shared" ref="Y89:Y94" si="5">IFERROR(IF(X89="",0,CEILING((X89/$H89),1)*$H89),"")</f>
        <v>237.60000000000002</v>
      </c>
      <c r="Z89" s="36">
        <f>IFERROR(IF(Y89=0,"",ROUNDUP(Y89/H89,0)*0.01898),"")</f>
        <v>0.41755999999999999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239.76944444444445</v>
      </c>
      <c r="BN89" s="64">
        <f t="shared" ref="BN89:BN94" si="7">IFERROR(Y89*I89/H89,"0")</f>
        <v>246.62000000000003</v>
      </c>
      <c r="BO89" s="64">
        <f t="shared" ref="BO89:BO94" si="8">IFERROR(1/J89*(X89/H89),"0")</f>
        <v>0.33420138888888884</v>
      </c>
      <c r="BP89" s="64">
        <f t="shared" ref="BP89:BP94" si="9">IFERROR(1/J89*(Y89/H89),"0")</f>
        <v>0.34375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6</v>
      </c>
      <c r="Y91" s="636">
        <f t="shared" si="5"/>
        <v>6.8000000000000007</v>
      </c>
      <c r="Z91" s="36">
        <f>IFERROR(IF(Y91=0,"",ROUNDUP(Y91/H91,0)*0.00726),"")</f>
        <v>3.6299999999999999E-2</v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6.7941176470588234</v>
      </c>
      <c r="BN91" s="64">
        <f t="shared" si="7"/>
        <v>7.7</v>
      </c>
      <c r="BO91" s="64">
        <f t="shared" si="8"/>
        <v>2.2977941176470583E-2</v>
      </c>
      <c r="BP91" s="64">
        <f t="shared" si="9"/>
        <v>2.6041666666666664E-2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124</v>
      </c>
      <c r="Y94" s="636">
        <f t="shared" si="5"/>
        <v>126</v>
      </c>
      <c r="Z94" s="36">
        <f>IFERROR(IF(Y94=0,"",ROUNDUP(Y94/H94,0)*0.00902),"")</f>
        <v>0.25256000000000001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129.23555555555558</v>
      </c>
      <c r="BN94" s="64">
        <f t="shared" si="7"/>
        <v>131.32000000000002</v>
      </c>
      <c r="BO94" s="64">
        <f t="shared" si="8"/>
        <v>0.20875420875420878</v>
      </c>
      <c r="BP94" s="64">
        <f t="shared" si="9"/>
        <v>0.21212121212121213</v>
      </c>
    </row>
    <row r="95" spans="1:68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53.356209150326791</v>
      </c>
      <c r="Y95" s="637">
        <f>IFERROR(Y89/H89,"0")+IFERROR(Y90/H90,"0")+IFERROR(Y91/H91,"0")+IFERROR(Y92/H92,"0")+IFERROR(Y93/H93,"0")+IFERROR(Y94/H94,"0")</f>
        <v>55</v>
      </c>
      <c r="Z95" s="637">
        <f>IFERROR(IF(Z89="",0,Z89),"0")+IFERROR(IF(Z90="",0,Z90),"0")+IFERROR(IF(Z91="",0,Z91),"0")+IFERROR(IF(Z92="",0,Z92),"0")+IFERROR(IF(Z93="",0,Z93),"0")+IFERROR(IF(Z94="",0,Z94),"0")</f>
        <v>0.70642000000000005</v>
      </c>
      <c r="AA95" s="638"/>
      <c r="AB95" s="638"/>
      <c r="AC95" s="638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361</v>
      </c>
      <c r="Y96" s="637">
        <f>IFERROR(SUM(Y89:Y94),"0")</f>
        <v>370.40000000000003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487</v>
      </c>
      <c r="Y98" s="636">
        <f>IFERROR(IF(X98="",0,CEILING((X98/$H98),1)*$H98),"")</f>
        <v>494.09999999999997</v>
      </c>
      <c r="Z98" s="36">
        <f>IFERROR(IF(Y98=0,"",ROUNDUP(Y98/H98,0)*0.01898),"")</f>
        <v>1.15778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516.7009876543209</v>
      </c>
      <c r="BN98" s="64">
        <f>IFERROR(Y98*I98/H98,"0")</f>
        <v>524.23399999999992</v>
      </c>
      <c r="BO98" s="64">
        <f>IFERROR(1/J98*(X98/H98),"0")</f>
        <v>0.9394290123456791</v>
      </c>
      <c r="BP98" s="64">
        <f>IFERROR(1/J98*(Y98/H98),"0")</f>
        <v>0.953125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279</v>
      </c>
      <c r="Y100" s="636">
        <f>IFERROR(IF(X100="",0,CEILING((X100/$H100),1)*$H100),"")</f>
        <v>280.8</v>
      </c>
      <c r="Z100" s="36">
        <f>IFERROR(IF(Y100=0,"",ROUNDUP(Y100/H100,0)*0.00651),"")</f>
        <v>0.67703999999999998</v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305.03999999999996</v>
      </c>
      <c r="BN100" s="64">
        <f>IFERROR(Y100*I100/H100,"0")</f>
        <v>307.00799999999998</v>
      </c>
      <c r="BO100" s="64">
        <f>IFERROR(1/J100*(X100/H100),"0")</f>
        <v>0.56776556776556775</v>
      </c>
      <c r="BP100" s="64">
        <f>IFERROR(1/J100*(Y100/H100),"0")</f>
        <v>0.57142857142857151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163.45679012345678</v>
      </c>
      <c r="Y102" s="637">
        <f>IFERROR(Y98/H98,"0")+IFERROR(Y99/H99,"0")+IFERROR(Y100/H100,"0")+IFERROR(Y101/H101,"0")</f>
        <v>165</v>
      </c>
      <c r="Z102" s="637">
        <f>IFERROR(IF(Z98="",0,Z98),"0")+IFERROR(IF(Z99="",0,Z99),"0")+IFERROR(IF(Z100="",0,Z100),"0")+IFERROR(IF(Z101="",0,Z101),"0")</f>
        <v>1.8348200000000001</v>
      </c>
      <c r="AA102" s="638"/>
      <c r="AB102" s="638"/>
      <c r="AC102" s="638"/>
    </row>
    <row r="103" spans="1:68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766</v>
      </c>
      <c r="Y103" s="637">
        <f>IFERROR(SUM(Y98:Y101),"0")</f>
        <v>774.9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466</v>
      </c>
      <c r="Y106" s="636">
        <f t="shared" ref="Y106:Y112" si="10">IFERROR(IF(X106="",0,CEILING((X106/$H106),1)*$H106),"")</f>
        <v>475.20000000000005</v>
      </c>
      <c r="Z106" s="36">
        <f>IFERROR(IF(Y106=0,"",ROUNDUP(Y106/H106,0)*0.01898),"")</f>
        <v>0.83511999999999997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483.69074074074075</v>
      </c>
      <c r="BN106" s="64">
        <f t="shared" ref="BN106:BN112" si="12">IFERROR(Y106*I106/H106,"0")</f>
        <v>493.24000000000007</v>
      </c>
      <c r="BO106" s="64">
        <f t="shared" ref="BO106:BO112" si="13">IFERROR(1/J106*(X106/H106),"0")</f>
        <v>0.67418981481481477</v>
      </c>
      <c r="BP106" s="64">
        <f t="shared" ref="BP106:BP112" si="14">IFERROR(1/J106*(Y106/H106),"0")</f>
        <v>0.6875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43.148148148148145</v>
      </c>
      <c r="Y113" s="637">
        <f>IFERROR(Y106/H106,"0")+IFERROR(Y107/H107,"0")+IFERROR(Y108/H108,"0")+IFERROR(Y109/H109,"0")+IFERROR(Y110/H110,"0")+IFERROR(Y111/H111,"0")+IFERROR(Y112/H112,"0")</f>
        <v>44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0.83511999999999997</v>
      </c>
      <c r="AA113" s="638"/>
      <c r="AB113" s="638"/>
      <c r="AC113" s="638"/>
    </row>
    <row r="114" spans="1:68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466</v>
      </c>
      <c r="Y114" s="637">
        <f>IFERROR(SUM(Y106:Y112),"0")</f>
        <v>475.20000000000005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964</v>
      </c>
      <c r="Y124" s="636">
        <f>IFERROR(IF(X124="",0,CEILING((X124/$H124),1)*$H124),"")</f>
        <v>972</v>
      </c>
      <c r="Z124" s="36">
        <f>IFERROR(IF(Y124=0,"",ROUNDUP(Y124/H124,0)*0.01898),"")</f>
        <v>2.2776000000000001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1022.0780246913579</v>
      </c>
      <c r="BN124" s="64">
        <f>IFERROR(Y124*I124/H124,"0")</f>
        <v>1030.56</v>
      </c>
      <c r="BO124" s="64">
        <f>IFERROR(1/J124*(X124/H124),"0")</f>
        <v>1.8595679012345681</v>
      </c>
      <c r="BP124" s="64">
        <f>IFERROR(1/J124*(Y124/H124),"0")</f>
        <v>1.875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441</v>
      </c>
      <c r="Y126" s="636">
        <f>IFERROR(IF(X126="",0,CEILING((X126/$H126),1)*$H126),"")</f>
        <v>442.8</v>
      </c>
      <c r="Z126" s="36">
        <f>IFERROR(IF(Y126=0,"",ROUNDUP(Y126/H126,0)*0.00651),"")</f>
        <v>1.0676399999999999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482.15999999999991</v>
      </c>
      <c r="BN126" s="64">
        <f>IFERROR(Y126*I126/H126,"0")</f>
        <v>484.12799999999999</v>
      </c>
      <c r="BO126" s="64">
        <f>IFERROR(1/J126*(X126/H126),"0")</f>
        <v>0.89743589743589736</v>
      </c>
      <c r="BP126" s="64">
        <f>IFERROR(1/J126*(Y126/H126),"0")</f>
        <v>0.90109890109890112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282.34567901234567</v>
      </c>
      <c r="Y128" s="637">
        <f>IFERROR(Y124/H124,"0")+IFERROR(Y125/H125,"0")+IFERROR(Y126/H126,"0")+IFERROR(Y127/H127,"0")</f>
        <v>284</v>
      </c>
      <c r="Z128" s="637">
        <f>IFERROR(IF(Z124="",0,Z124),"0")+IFERROR(IF(Z125="",0,Z125),"0")+IFERROR(IF(Z126="",0,Z126),"0")+IFERROR(IF(Z127="",0,Z127),"0")</f>
        <v>3.34524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1405</v>
      </c>
      <c r="Y129" s="637">
        <f>IFERROR(SUM(Y124:Y127),"0")</f>
        <v>1414.8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92</v>
      </c>
      <c r="Y131" s="636">
        <f>IFERROR(IF(X131="",0,CEILING((X131/$H131),1)*$H131),"")</f>
        <v>93.06</v>
      </c>
      <c r="Z131" s="36">
        <f>IFERROR(IF(Y131=0,"",ROUNDUP(Y131/H131,0)*0.00651),"")</f>
        <v>0.30597000000000002</v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103.98787878787878</v>
      </c>
      <c r="BN131" s="64">
        <f>IFERROR(Y131*I131/H131,"0")</f>
        <v>105.18600000000001</v>
      </c>
      <c r="BO131" s="64">
        <f>IFERROR(1/J131*(X131/H131),"0")</f>
        <v>0.2553002553002553</v>
      </c>
      <c r="BP131" s="64">
        <f>IFERROR(1/J131*(Y131/H131),"0")</f>
        <v>0.25824175824175827</v>
      </c>
    </row>
    <row r="132" spans="1:68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46.464646464646464</v>
      </c>
      <c r="Y132" s="637">
        <f>IFERROR(Y131/H131,"0")</f>
        <v>47</v>
      </c>
      <c r="Z132" s="637">
        <f>IFERROR(IF(Z131="",0,Z131),"0")</f>
        <v>0.30597000000000002</v>
      </c>
      <c r="AA132" s="638"/>
      <c r="AB132" s="638"/>
      <c r="AC132" s="638"/>
    </row>
    <row r="133" spans="1:68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92</v>
      </c>
      <c r="Y133" s="637">
        <f>IFERROR(SUM(Y131:Y131),"0")</f>
        <v>93.06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7</v>
      </c>
      <c r="Y141" s="636">
        <f>IFERROR(IF(X141="",0,CEILING((X141/$H141),1)*$H141),"")</f>
        <v>8.3999999999999986</v>
      </c>
      <c r="Z141" s="36">
        <f>IFERROR(IF(Y141=0,"",ROUNDUP(Y141/H141,0)*0.00651),"")</f>
        <v>1.9529999999999999E-2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7.67</v>
      </c>
      <c r="BN141" s="64">
        <f>IFERROR(Y141*I141/H141,"0")</f>
        <v>9.2039999999999988</v>
      </c>
      <c r="BO141" s="64">
        <f>IFERROR(1/J141*(X141/H141),"0")</f>
        <v>1.3736263736263738E-2</v>
      </c>
      <c r="BP141" s="64">
        <f>IFERROR(1/J141*(Y141/H141),"0")</f>
        <v>1.6483516483516484E-2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2.5</v>
      </c>
      <c r="Y143" s="637">
        <f>IFERROR(Y141/H141,"0")+IFERROR(Y142/H142,"0")</f>
        <v>2.9999999999999996</v>
      </c>
      <c r="Z143" s="637">
        <f>IFERROR(IF(Z141="",0,Z141),"0")+IFERROR(IF(Z142="",0,Z142),"0")</f>
        <v>1.9529999999999999E-2</v>
      </c>
      <c r="AA143" s="638"/>
      <c r="AB143" s="638"/>
      <c r="AC143" s="638"/>
    </row>
    <row r="144" spans="1:68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7</v>
      </c>
      <c r="Y144" s="637">
        <f>IFERROR(SUM(Y141:Y142),"0")</f>
        <v>8.3999999999999986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200</v>
      </c>
      <c r="Y179" s="636">
        <f t="shared" si="15"/>
        <v>203</v>
      </c>
      <c r="Z179" s="36">
        <f>IFERROR(IF(Y179=0,"",ROUNDUP(Y179/H179,0)*0.00902),"")</f>
        <v>0.52316000000000007</v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210.85714285714286</v>
      </c>
      <c r="BN179" s="64">
        <f t="shared" si="17"/>
        <v>214.01999999999998</v>
      </c>
      <c r="BO179" s="64">
        <f t="shared" si="18"/>
        <v>0.43290043290043295</v>
      </c>
      <c r="BP179" s="64">
        <f t="shared" si="19"/>
        <v>0.43939393939393939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4</v>
      </c>
      <c r="Y181" s="636">
        <f t="shared" si="15"/>
        <v>4.5</v>
      </c>
      <c r="Z181" s="36">
        <f>IFERROR(IF(Y181=0,"",ROUNDUP(Y181/H181,0)*0.00726),"")</f>
        <v>3.6299999999999999E-2</v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4.9333333333333336</v>
      </c>
      <c r="BN181" s="64">
        <f t="shared" si="17"/>
        <v>5.55</v>
      </c>
      <c r="BO181" s="64">
        <f t="shared" si="18"/>
        <v>2.3148148148148147E-2</v>
      </c>
      <c r="BP181" s="64">
        <f t="shared" si="19"/>
        <v>2.6041666666666664E-2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16</v>
      </c>
      <c r="Y183" s="636">
        <f t="shared" si="15"/>
        <v>16.2</v>
      </c>
      <c r="Z183" s="36">
        <f>IFERROR(IF(Y183=0,"",ROUNDUP(Y183/H183,0)*0.00417),"")</f>
        <v>7.5060000000000002E-2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19.733333333333334</v>
      </c>
      <c r="BN183" s="64">
        <f t="shared" si="17"/>
        <v>19.98</v>
      </c>
      <c r="BO183" s="64">
        <f t="shared" si="18"/>
        <v>5.6980056980056981E-2</v>
      </c>
      <c r="BP183" s="64">
        <f t="shared" si="19"/>
        <v>5.7692307692307689E-2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13</v>
      </c>
      <c r="Y185" s="636">
        <f t="shared" si="15"/>
        <v>13.5</v>
      </c>
      <c r="Z185" s="36">
        <f>IFERROR(IF(Y185=0,"",ROUNDUP(Y185/H185,0)*0.00417),"")</f>
        <v>6.2549999999999994E-2</v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14.444444444444445</v>
      </c>
      <c r="BN185" s="64">
        <f t="shared" si="17"/>
        <v>15</v>
      </c>
      <c r="BO185" s="64">
        <f t="shared" si="18"/>
        <v>4.6296296296296294E-2</v>
      </c>
      <c r="BP185" s="64">
        <f t="shared" si="19"/>
        <v>4.8076923076923073E-2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93.80952380952381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96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0.69707000000000008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233</v>
      </c>
      <c r="Y188" s="637">
        <f>IFERROR(SUM(Y176:Y186),"0")</f>
        <v>237.2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21</v>
      </c>
      <c r="Y220" s="636">
        <f t="shared" ref="Y220:Y232" si="26">IFERROR(IF(X220="",0,CEILING((X220/$H220),1)*$H220),"")</f>
        <v>21</v>
      </c>
      <c r="Z220" s="36">
        <f>IFERROR(IF(Y220=0,"",ROUNDUP(Y220/H220,0)*0.00902),"")</f>
        <v>4.5100000000000001E-2</v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22.25</v>
      </c>
      <c r="BN220" s="64">
        <f t="shared" ref="BN220:BN232" si="28">IFERROR(Y220*I220/H220,"0")</f>
        <v>22.25</v>
      </c>
      <c r="BO220" s="64">
        <f t="shared" ref="BO220:BO232" si="29">IFERROR(1/J220*(X220/H220),"0")</f>
        <v>3.787878787878788E-2</v>
      </c>
      <c r="BP220" s="64">
        <f t="shared" ref="BP220:BP232" si="30">IFERROR(1/J220*(Y220/H220),"0")</f>
        <v>3.787878787878788E-2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6</v>
      </c>
      <c r="Y228" s="636">
        <f t="shared" si="26"/>
        <v>7.2</v>
      </c>
      <c r="Z228" s="36">
        <f>IFERROR(IF(Y228=0,"",ROUNDUP(Y228/H228,0)*0.00502),"")</f>
        <v>2.0080000000000001E-2</v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6.4333333333333336</v>
      </c>
      <c r="BN228" s="64">
        <f t="shared" si="28"/>
        <v>7.7199999999999989</v>
      </c>
      <c r="BO228" s="64">
        <f t="shared" si="29"/>
        <v>1.4245014245014245E-2</v>
      </c>
      <c r="BP228" s="64">
        <f t="shared" si="30"/>
        <v>1.7094017094017096E-2</v>
      </c>
    </row>
    <row r="229" spans="1:68" ht="27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3</v>
      </c>
      <c r="Y229" s="636">
        <f t="shared" si="26"/>
        <v>3.2</v>
      </c>
      <c r="Z229" s="36">
        <f>IFERROR(IF(Y229=0,"",ROUNDUP(Y229/H229,0)*0.00417),"")</f>
        <v>1.668E-2</v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3.7875000000000001</v>
      </c>
      <c r="BN229" s="64">
        <f t="shared" si="28"/>
        <v>4.04</v>
      </c>
      <c r="BO229" s="64">
        <f t="shared" si="29"/>
        <v>1.2019230769230768E-2</v>
      </c>
      <c r="BP229" s="64">
        <f t="shared" si="30"/>
        <v>1.282051282051282E-2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12.083333333333332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13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8.1860000000000002E-2</v>
      </c>
      <c r="AA233" s="638"/>
      <c r="AB233" s="638"/>
      <c r="AC233" s="638"/>
    </row>
    <row r="234" spans="1:68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30</v>
      </c>
      <c r="Y234" s="637">
        <f>IFERROR(SUM(Y220:Y232),"0")</f>
        <v>31.4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6</v>
      </c>
      <c r="Y245" s="636">
        <f>IFERROR(IF(X245="",0,CEILING((X245/$H245),1)*$H245),"")</f>
        <v>6.3</v>
      </c>
      <c r="Z245" s="36">
        <f>IFERROR(IF(Y245=0,"",ROUNDUP(Y245/H245,0)*0.0059),"")</f>
        <v>2.9499999999999998E-2</v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6.9047619047619042</v>
      </c>
      <c r="BN245" s="64">
        <f>IFERROR(Y245*I245/H245,"0")</f>
        <v>7.25</v>
      </c>
      <c r="BO245" s="64">
        <f>IFERROR(1/J245*(X245/H245),"0")</f>
        <v>2.2045855379188711E-2</v>
      </c>
      <c r="BP245" s="64">
        <f>IFERROR(1/J245*(Y245/H245),"0")</f>
        <v>2.3148148148148147E-2</v>
      </c>
    </row>
    <row r="246" spans="1:68" ht="27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5</v>
      </c>
      <c r="Y246" s="636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5.753968253968254</v>
      </c>
      <c r="BN246" s="64">
        <f>IFERROR(Y246*I246/H246,"0")</f>
        <v>5.8</v>
      </c>
      <c r="BO246" s="64">
        <f>IFERROR(1/J246*(X246/H246),"0")</f>
        <v>1.8371546149323927E-2</v>
      </c>
      <c r="BP246" s="64">
        <f>IFERROR(1/J246*(Y246/H246),"0")</f>
        <v>1.8518518518518517E-2</v>
      </c>
    </row>
    <row r="247" spans="1:68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8.7301587301587311</v>
      </c>
      <c r="Y247" s="637">
        <f>IFERROR(Y244/H244,"0")+IFERROR(Y245/H245,"0")+IFERROR(Y246/H246,"0")</f>
        <v>9</v>
      </c>
      <c r="Z247" s="637">
        <f>IFERROR(IF(Z244="",0,Z244),"0")+IFERROR(IF(Z245="",0,Z245),"0")+IFERROR(IF(Z246="",0,Z246),"0")</f>
        <v>5.3099999999999994E-2</v>
      </c>
      <c r="AA247" s="638"/>
      <c r="AB247" s="638"/>
      <c r="AC247" s="638"/>
    </row>
    <row r="248" spans="1:68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11</v>
      </c>
      <c r="Y248" s="637">
        <f>IFERROR(SUM(Y244:Y246),"0")</f>
        <v>11.34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1</v>
      </c>
      <c r="Y250" s="636">
        <f>IFERROR(IF(X250="",0,CEILING((X250/$H250),1)*$H250),"")</f>
        <v>1.26</v>
      </c>
      <c r="Z250" s="36">
        <f>IFERROR(IF(Y250=0,"",ROUNDUP(Y250/H250,0)*0.0059),"")</f>
        <v>5.8999999999999999E-3</v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1.1507936507936507</v>
      </c>
      <c r="BN250" s="64">
        <f>IFERROR(Y250*I250/H250,"0")</f>
        <v>1.45</v>
      </c>
      <c r="BO250" s="64">
        <f>IFERROR(1/J250*(X250/H250),"0")</f>
        <v>3.6743092298647849E-3</v>
      </c>
      <c r="BP250" s="64">
        <f>IFERROR(1/J250*(Y250/H250),"0")</f>
        <v>4.6296296296296294E-3</v>
      </c>
    </row>
    <row r="251" spans="1:68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0.79365079365079361</v>
      </c>
      <c r="Y251" s="637">
        <f>IFERROR(Y250/H250,"0")</f>
        <v>1</v>
      </c>
      <c r="Z251" s="637">
        <f>IFERROR(IF(Z250="",0,Z250),"0")</f>
        <v>5.8999999999999999E-3</v>
      </c>
      <c r="AA251" s="638"/>
      <c r="AB251" s="638"/>
      <c r="AC251" s="638"/>
    </row>
    <row r="252" spans="1:68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1</v>
      </c>
      <c r="Y252" s="637">
        <f>IFERROR(SUM(Y250:Y250),"0")</f>
        <v>1.26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160</v>
      </c>
      <c r="Y265" s="636">
        <f t="shared" ref="Y265:Y272" si="31">IFERROR(IF(X265="",0,CEILING((X265/$H265),1)*$H265),"")</f>
        <v>162</v>
      </c>
      <c r="Z265" s="36">
        <f>IFERROR(IF(Y265=0,"",ROUNDUP(Y265/H265,0)*0.00902),"")</f>
        <v>0.27060000000000001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165.62962962962962</v>
      </c>
      <c r="BN265" s="64">
        <f t="shared" ref="BN265:BN272" si="33">IFERROR(Y265*I265/H265,"0")</f>
        <v>167.7</v>
      </c>
      <c r="BO265" s="64">
        <f t="shared" ref="BO265:BO272" si="34">IFERROR(1/J265*(X265/H265),"0")</f>
        <v>0.22446689113355778</v>
      </c>
      <c r="BP265" s="64">
        <f t="shared" ref="BP265:BP272" si="35">IFERROR(1/J265*(Y265/H265),"0")</f>
        <v>0.22727272727272727</v>
      </c>
    </row>
    <row r="266" spans="1:68" ht="27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50</v>
      </c>
      <c r="Y266" s="636">
        <f t="shared" si="31"/>
        <v>54</v>
      </c>
      <c r="Z266" s="36">
        <f>IFERROR(IF(Y266=0,"",ROUNDUP(Y266/H266,0)*0.00902),"")</f>
        <v>9.0200000000000002E-2</v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51.759259259259252</v>
      </c>
      <c r="BN266" s="64">
        <f t="shared" si="33"/>
        <v>55.9</v>
      </c>
      <c r="BO266" s="64">
        <f t="shared" si="34"/>
        <v>7.0145903479236812E-2</v>
      </c>
      <c r="BP266" s="64">
        <f t="shared" si="35"/>
        <v>7.575757575757576E-2</v>
      </c>
    </row>
    <row r="267" spans="1:68" ht="27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577</v>
      </c>
      <c r="Y267" s="636">
        <f t="shared" si="31"/>
        <v>577.80000000000007</v>
      </c>
      <c r="Z267" s="36">
        <f>IFERROR(IF(Y267=0,"",ROUNDUP(Y267/H267,0)*0.00902),"")</f>
        <v>0.96514</v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597.30185185185178</v>
      </c>
      <c r="BN267" s="64">
        <f t="shared" si="33"/>
        <v>598.13000000000011</v>
      </c>
      <c r="BO267" s="64">
        <f t="shared" si="34"/>
        <v>0.80948372615039277</v>
      </c>
      <c r="BP267" s="64">
        <f t="shared" si="35"/>
        <v>0.81060606060606066</v>
      </c>
    </row>
    <row r="268" spans="1:68" ht="27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200</v>
      </c>
      <c r="Y268" s="636">
        <f t="shared" si="31"/>
        <v>205.20000000000002</v>
      </c>
      <c r="Z268" s="36">
        <f>IFERROR(IF(Y268=0,"",ROUNDUP(Y268/H268,0)*0.00902),"")</f>
        <v>0.34276000000000001</v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207.03703703703701</v>
      </c>
      <c r="BN268" s="64">
        <f t="shared" si="33"/>
        <v>212.42</v>
      </c>
      <c r="BO268" s="64">
        <f t="shared" si="34"/>
        <v>0.28058361391694725</v>
      </c>
      <c r="BP268" s="64">
        <f t="shared" si="35"/>
        <v>0.2878787878787879</v>
      </c>
    </row>
    <row r="269" spans="1:68" ht="27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24</v>
      </c>
      <c r="Y269" s="636">
        <f t="shared" si="31"/>
        <v>25.2</v>
      </c>
      <c r="Z269" s="36">
        <f>IFERROR(IF(Y269=0,"",ROUNDUP(Y269/H269,0)*0.00502),"")</f>
        <v>7.0280000000000009E-2</v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25.733333333333334</v>
      </c>
      <c r="BN269" s="64">
        <f t="shared" si="33"/>
        <v>27.019999999999996</v>
      </c>
      <c r="BO269" s="64">
        <f t="shared" si="34"/>
        <v>5.6980056980056981E-2</v>
      </c>
      <c r="BP269" s="64">
        <f t="shared" si="35"/>
        <v>5.9829059829059839E-2</v>
      </c>
    </row>
    <row r="270" spans="1:68" ht="27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8</v>
      </c>
      <c r="Y270" s="636">
        <f t="shared" si="31"/>
        <v>9</v>
      </c>
      <c r="Z270" s="36">
        <f>IFERROR(IF(Y270=0,"",ROUNDUP(Y270/H270,0)*0.00502),"")</f>
        <v>2.5100000000000001E-2</v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8.4444444444444446</v>
      </c>
      <c r="BN270" s="64">
        <f t="shared" si="33"/>
        <v>9.4999999999999982</v>
      </c>
      <c r="BO270" s="64">
        <f t="shared" si="34"/>
        <v>1.8993352326685663E-2</v>
      </c>
      <c r="BP270" s="64">
        <f t="shared" si="35"/>
        <v>2.1367521367521368E-2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200.55555555555557</v>
      </c>
      <c r="Y273" s="637">
        <f>IFERROR(Y265/H265,"0")+IFERROR(Y266/H266,"0")+IFERROR(Y267/H267,"0")+IFERROR(Y268/H268,"0")+IFERROR(Y269/H269,"0")+IFERROR(Y270/H270,"0")+IFERROR(Y271/H271,"0")+IFERROR(Y272/H272,"0")</f>
        <v>204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1.7640800000000001</v>
      </c>
      <c r="AA273" s="638"/>
      <c r="AB273" s="638"/>
      <c r="AC273" s="638"/>
    </row>
    <row r="274" spans="1:68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1019</v>
      </c>
      <c r="Y274" s="637">
        <f>IFERROR(SUM(Y265:Y272),"0")</f>
        <v>1033.2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404</v>
      </c>
      <c r="Y277" s="636">
        <f t="shared" si="36"/>
        <v>405</v>
      </c>
      <c r="Z277" s="36">
        <f>IFERROR(IF(Y277=0,"",ROUNDUP(Y277/H277,0)*0.01898),"")</f>
        <v>0.94900000000000007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428.63901234567896</v>
      </c>
      <c r="BN277" s="64">
        <f t="shared" si="38"/>
        <v>429.7</v>
      </c>
      <c r="BO277" s="64">
        <f t="shared" si="39"/>
        <v>0.77932098765432101</v>
      </c>
      <c r="BP277" s="64">
        <f t="shared" si="40"/>
        <v>0.78125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289</v>
      </c>
      <c r="Y278" s="636">
        <f t="shared" si="36"/>
        <v>291.59999999999997</v>
      </c>
      <c r="Z278" s="36">
        <f>IFERROR(IF(Y278=0,"",ROUNDUP(Y278/H278,0)*0.01898),"")</f>
        <v>0.68328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305.98320987654324</v>
      </c>
      <c r="BN278" s="64">
        <f t="shared" si="38"/>
        <v>308.73599999999999</v>
      </c>
      <c r="BO278" s="64">
        <f t="shared" si="39"/>
        <v>0.55748456790123457</v>
      </c>
      <c r="BP278" s="64">
        <f t="shared" si="40"/>
        <v>0.5625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21</v>
      </c>
      <c r="Y280" s="636">
        <f t="shared" si="36"/>
        <v>21.599999999999998</v>
      </c>
      <c r="Z280" s="36">
        <f>IFERROR(IF(Y280=0,"",ROUNDUP(Y280/H280,0)*0.00651),"")</f>
        <v>5.8590000000000003E-2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23.362500000000001</v>
      </c>
      <c r="BN280" s="64">
        <f t="shared" si="38"/>
        <v>24.029999999999998</v>
      </c>
      <c r="BO280" s="64">
        <f t="shared" si="39"/>
        <v>4.807692307692308E-2</v>
      </c>
      <c r="BP280" s="64">
        <f t="shared" si="40"/>
        <v>4.9450549450549455E-2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393</v>
      </c>
      <c r="Y282" s="636">
        <f t="shared" si="36"/>
        <v>393.59999999999997</v>
      </c>
      <c r="Z282" s="36">
        <f>IFERROR(IF(Y282=0,"",ROUNDUP(Y282/H282,0)*0.00651),"")</f>
        <v>1.0676399999999999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434.26500000000004</v>
      </c>
      <c r="BN282" s="64">
        <f t="shared" si="38"/>
        <v>434.928</v>
      </c>
      <c r="BO282" s="64">
        <f t="shared" si="39"/>
        <v>0.89972527472527475</v>
      </c>
      <c r="BP282" s="64">
        <f t="shared" si="40"/>
        <v>0.90109890109890112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41</v>
      </c>
      <c r="Y284" s="636">
        <f t="shared" si="36"/>
        <v>43.199999999999996</v>
      </c>
      <c r="Z284" s="36">
        <f>IFERROR(IF(Y284=0,"",ROUNDUP(Y284/H284,0)*0.00651),"")</f>
        <v>0.11718000000000001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45.305</v>
      </c>
      <c r="BN284" s="64">
        <f t="shared" si="38"/>
        <v>47.736000000000004</v>
      </c>
      <c r="BO284" s="64">
        <f t="shared" si="39"/>
        <v>9.3864468864468878E-2</v>
      </c>
      <c r="BP284" s="64">
        <f t="shared" si="40"/>
        <v>9.8901098901098911E-2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81</v>
      </c>
      <c r="Y286" s="636">
        <f t="shared" si="36"/>
        <v>81.599999999999994</v>
      </c>
      <c r="Z286" s="36">
        <f>IFERROR(IF(Y286=0,"",ROUNDUP(Y286/H286,0)*0.00651),"")</f>
        <v>0.22134000000000001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89.70750000000001</v>
      </c>
      <c r="BN286" s="64">
        <f t="shared" si="38"/>
        <v>90.371999999999986</v>
      </c>
      <c r="BO286" s="64">
        <f t="shared" si="39"/>
        <v>0.18543956043956045</v>
      </c>
      <c r="BP286" s="64">
        <f t="shared" si="40"/>
        <v>0.18681318681318682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308.88888888888886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311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3.0970300000000002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1229</v>
      </c>
      <c r="Y289" s="637">
        <f>IFERROR(SUM(Y276:Y287),"0")</f>
        <v>1236.5999999999999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18</v>
      </c>
      <c r="Y291" s="636">
        <f>IFERROR(IF(X291="",0,CEILING((X291/$H291),1)*$H291),"")</f>
        <v>19.2</v>
      </c>
      <c r="Z291" s="36">
        <f>IFERROR(IF(Y291=0,"",ROUNDUP(Y291/H291,0)*0.00651),"")</f>
        <v>5.2080000000000001E-2</v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19.890000000000004</v>
      </c>
      <c r="BN291" s="64">
        <f>IFERROR(Y291*I291/H291,"0")</f>
        <v>21.216000000000001</v>
      </c>
      <c r="BO291" s="64">
        <f>IFERROR(1/J291*(X291/H291),"0")</f>
        <v>4.1208791208791215E-2</v>
      </c>
      <c r="BP291" s="64">
        <f>IFERROR(1/J291*(Y291/H291),"0")</f>
        <v>4.3956043956043959E-2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7.5</v>
      </c>
      <c r="Y293" s="637">
        <f>IFERROR(Y291/H291,"0")+IFERROR(Y292/H292,"0")</f>
        <v>8</v>
      </c>
      <c r="Z293" s="637">
        <f>IFERROR(IF(Z291="",0,Z291),"0")+IFERROR(IF(Z292="",0,Z292),"0")</f>
        <v>5.2080000000000001E-2</v>
      </c>
      <c r="AA293" s="638"/>
      <c r="AB293" s="638"/>
      <c r="AC293" s="638"/>
    </row>
    <row r="294" spans="1:68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18</v>
      </c>
      <c r="Y294" s="637">
        <f>IFERROR(SUM(Y291:Y292),"0")</f>
        <v>19.2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14</v>
      </c>
      <c r="Y303" s="636">
        <f t="shared" si="41"/>
        <v>16</v>
      </c>
      <c r="Z303" s="36">
        <f>IFERROR(IF(Y303=0,"",ROUNDUP(Y303/H303,0)*0.00902),"")</f>
        <v>3.6080000000000001E-2</v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14.665000000000001</v>
      </c>
      <c r="BN303" s="64">
        <f t="shared" si="43"/>
        <v>16.760000000000002</v>
      </c>
      <c r="BO303" s="64">
        <f t="shared" si="44"/>
        <v>2.6515151515151516E-2</v>
      </c>
      <c r="BP303" s="64">
        <f t="shared" si="45"/>
        <v>3.0303030303030304E-2</v>
      </c>
    </row>
    <row r="304" spans="1:68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3.5</v>
      </c>
      <c r="Y304" s="637">
        <f>IFERROR(Y297/H297,"0")+IFERROR(Y298/H298,"0")+IFERROR(Y299/H299,"0")+IFERROR(Y300/H300,"0")+IFERROR(Y301/H301,"0")+IFERROR(Y302/H302,"0")+IFERROR(Y303/H303,"0")</f>
        <v>4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3.6080000000000001E-2</v>
      </c>
      <c r="AA304" s="638"/>
      <c r="AB304" s="638"/>
      <c r="AC304" s="638"/>
    </row>
    <row r="305" spans="1:68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14</v>
      </c>
      <c r="Y305" s="637">
        <f>IFERROR(SUM(Y297:Y303),"0")</f>
        <v>16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60</v>
      </c>
      <c r="Y335" s="636">
        <f>IFERROR(IF(X335="",0,CEILING((X335/$H335),1)*$H335),"")</f>
        <v>60</v>
      </c>
      <c r="Z335" s="36">
        <f>IFERROR(IF(Y335=0,"",ROUNDUP(Y335/H335,0)*0.00651),"")</f>
        <v>0.16275000000000001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66.300000000000011</v>
      </c>
      <c r="BN335" s="64">
        <f>IFERROR(Y335*I335/H335,"0")</f>
        <v>66.300000000000011</v>
      </c>
      <c r="BO335" s="64">
        <f>IFERROR(1/J335*(X335/H335),"0")</f>
        <v>0.13736263736263737</v>
      </c>
      <c r="BP335" s="64">
        <f>IFERROR(1/J335*(Y335/H335),"0")</f>
        <v>0.13736263736263737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80</v>
      </c>
      <c r="Y336" s="636">
        <f>IFERROR(IF(X336="",0,CEILING((X336/$H336),1)*$H336),"")</f>
        <v>81.599999999999994</v>
      </c>
      <c r="Z336" s="36">
        <f>IFERROR(IF(Y336=0,"",ROUNDUP(Y336/H336,0)*0.00651),"")</f>
        <v>0.22134000000000001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86</v>
      </c>
      <c r="BN336" s="64">
        <f>IFERROR(Y336*I336/H336,"0")</f>
        <v>87.72</v>
      </c>
      <c r="BO336" s="64">
        <f>IFERROR(1/J336*(X336/H336),"0")</f>
        <v>0.18315018315018317</v>
      </c>
      <c r="BP336" s="64">
        <f>IFERROR(1/J336*(Y336/H336),"0")</f>
        <v>0.18681318681318682</v>
      </c>
    </row>
    <row r="337" spans="1:68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58.333333333333336</v>
      </c>
      <c r="Y337" s="637">
        <f>IFERROR(Y334/H334,"0")+IFERROR(Y335/H335,"0")+IFERROR(Y336/H336,"0")</f>
        <v>59</v>
      </c>
      <c r="Z337" s="637">
        <f>IFERROR(IF(Z334="",0,Z334),"0")+IFERROR(IF(Z335="",0,Z335),"0")+IFERROR(IF(Z336="",0,Z336),"0")</f>
        <v>0.38409000000000004</v>
      </c>
      <c r="AA337" s="638"/>
      <c r="AB337" s="638"/>
      <c r="AC337" s="638"/>
    </row>
    <row r="338" spans="1:68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140</v>
      </c>
      <c r="Y338" s="637">
        <f>IFERROR(SUM(Y334:Y336),"0")</f>
        <v>141.6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53</v>
      </c>
      <c r="Y364" s="636">
        <f>IFERROR(IF(X364="",0,CEILING((X364/$H364),1)*$H364),"")</f>
        <v>54.6</v>
      </c>
      <c r="Z364" s="36">
        <f>IFERROR(IF(Y364=0,"",ROUNDUP(Y364/H364,0)*0.01898),"")</f>
        <v>0.13286000000000001</v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55.785897435897446</v>
      </c>
      <c r="BN364" s="64">
        <f>IFERROR(Y364*I364/H364,"0")</f>
        <v>57.470000000000013</v>
      </c>
      <c r="BO364" s="64">
        <f>IFERROR(1/J364*(X364/H364),"0")</f>
        <v>0.10616987179487179</v>
      </c>
      <c r="BP364" s="64">
        <f>IFERROR(1/J364*(Y364/H364),"0")</f>
        <v>0.109375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326</v>
      </c>
      <c r="Y365" s="636">
        <f>IFERROR(IF(X365="",0,CEILING((X365/$H365),1)*$H365),"")</f>
        <v>327.59999999999997</v>
      </c>
      <c r="Z365" s="36">
        <f>IFERROR(IF(Y365=0,"",ROUNDUP(Y365/H365,0)*0.01898),"")</f>
        <v>0.79715999999999998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343.1358974358975</v>
      </c>
      <c r="BN365" s="64">
        <f>IFERROR(Y365*I365/H365,"0")</f>
        <v>344.82</v>
      </c>
      <c r="BO365" s="64">
        <f>IFERROR(1/J365*(X365/H365),"0")</f>
        <v>0.65304487179487181</v>
      </c>
      <c r="BP365" s="64">
        <f>IFERROR(1/J365*(Y365/H365),"0")</f>
        <v>0.65625</v>
      </c>
    </row>
    <row r="366" spans="1:68" ht="27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60</v>
      </c>
      <c r="Y366" s="636">
        <f>IFERROR(IF(X366="",0,CEILING((X366/$H366),1)*$H366),"")</f>
        <v>62.4</v>
      </c>
      <c r="Z366" s="36">
        <f>IFERROR(IF(Y366=0,"",ROUNDUP(Y366/H366,0)*0.01898),"")</f>
        <v>0.15184</v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63.15384615384616</v>
      </c>
      <c r="BN366" s="64">
        <f>IFERROR(Y366*I366/H366,"0")</f>
        <v>65.680000000000007</v>
      </c>
      <c r="BO366" s="64">
        <f>IFERROR(1/J366*(X366/H366),"0")</f>
        <v>0.1201923076923077</v>
      </c>
      <c r="BP366" s="64">
        <f>IFERROR(1/J366*(Y366/H366),"0")</f>
        <v>0.125</v>
      </c>
    </row>
    <row r="367" spans="1:68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56.282051282051285</v>
      </c>
      <c r="Y367" s="637">
        <f>IFERROR(Y364/H364,"0")+IFERROR(Y365/H365,"0")+IFERROR(Y366/H366,"0")</f>
        <v>57</v>
      </c>
      <c r="Z367" s="637">
        <f>IFERROR(IF(Z364="",0,Z364),"0")+IFERROR(IF(Z365="",0,Z365),"0")+IFERROR(IF(Z366="",0,Z366),"0")</f>
        <v>1.08186</v>
      </c>
      <c r="AA367" s="638"/>
      <c r="AB367" s="638"/>
      <c r="AC367" s="638"/>
    </row>
    <row r="368" spans="1:68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439</v>
      </c>
      <c r="Y368" s="637">
        <f>IFERROR(SUM(Y364:Y366),"0")</f>
        <v>444.59999999999997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15</v>
      </c>
      <c r="Y375" s="636">
        <f t="shared" si="51"/>
        <v>21.6</v>
      </c>
      <c r="Z375" s="36">
        <f>IFERROR(IF(Y375=0,"",ROUNDUP(Y375/H375,0)*0.01898),"")</f>
        <v>3.7960000000000001E-2</v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15.569444444444445</v>
      </c>
      <c r="BN375" s="64">
        <f t="shared" si="53"/>
        <v>22.42</v>
      </c>
      <c r="BO375" s="64">
        <f t="shared" si="54"/>
        <v>2.1701388888888888E-2</v>
      </c>
      <c r="BP375" s="64">
        <f t="shared" si="55"/>
        <v>3.125E-2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1.3888888888888888</v>
      </c>
      <c r="Y378" s="637">
        <f>IFERROR(Y371/H371,"0")+IFERROR(Y372/H372,"0")+IFERROR(Y373/H373,"0")+IFERROR(Y374/H374,"0")+IFERROR(Y375/H375,"0")+IFERROR(Y376/H376,"0")+IFERROR(Y377/H377,"0")</f>
        <v>2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3.7960000000000001E-2</v>
      </c>
      <c r="AA378" s="638"/>
      <c r="AB378" s="638"/>
      <c r="AC378" s="638"/>
    </row>
    <row r="379" spans="1:68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15</v>
      </c>
      <c r="Y379" s="637">
        <f>IFERROR(SUM(Y371:Y377),"0")</f>
        <v>21.6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289</v>
      </c>
      <c r="Y399" s="636">
        <f>IFERROR(IF(X399="",0,CEILING((X399/$H399),1)*$H399),"")</f>
        <v>296.39999999999998</v>
      </c>
      <c r="Z399" s="36">
        <f>IFERROR(IF(Y399=0,"",ROUNDUP(Y399/H399,0)*0.01898),"")</f>
        <v>0.72123999999999999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307.3033333333334</v>
      </c>
      <c r="BN399" s="64">
        <f>IFERROR(Y399*I399/H399,"0")</f>
        <v>315.17199999999997</v>
      </c>
      <c r="BO399" s="64">
        <f>IFERROR(1/J399*(X399/H399),"0")</f>
        <v>0.57892628205128205</v>
      </c>
      <c r="BP399" s="64">
        <f>IFERROR(1/J399*(Y399/H399),"0")</f>
        <v>0.59375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37.051282051282051</v>
      </c>
      <c r="Y401" s="637">
        <f>IFERROR(Y398/H398,"0")+IFERROR(Y399/H399,"0")+IFERROR(Y400/H400,"0")</f>
        <v>38</v>
      </c>
      <c r="Z401" s="637">
        <f>IFERROR(IF(Z398="",0,Z398),"0")+IFERROR(IF(Z399="",0,Z399),"0")+IFERROR(IF(Z400="",0,Z400),"0")</f>
        <v>0.72123999999999999</v>
      </c>
      <c r="AA401" s="638"/>
      <c r="AB401" s="638"/>
      <c r="AC401" s="638"/>
    </row>
    <row r="402" spans="1:68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289</v>
      </c>
      <c r="Y402" s="637">
        <f>IFERROR(SUM(Y398:Y400),"0")</f>
        <v>296.39999999999998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4</v>
      </c>
      <c r="Y405" s="636">
        <f>IFERROR(IF(X405="",0,CEILING((X405/$H405),1)*$H405),"")</f>
        <v>6.08</v>
      </c>
      <c r="Z405" s="36">
        <f>IFERROR(IF(Y405=0,"",ROUNDUP(Y405/H405,0)*0.00902),"")</f>
        <v>1.804E-2</v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4.3026315789473681</v>
      </c>
      <c r="BN405" s="64">
        <f>IFERROR(Y405*I405/H405,"0")</f>
        <v>6.5399999999999991</v>
      </c>
      <c r="BO405" s="64">
        <f>IFERROR(1/J405*(X405/H405),"0")</f>
        <v>9.9681020733652318E-3</v>
      </c>
      <c r="BP405" s="64">
        <f>IFERROR(1/J405*(Y405/H405),"0")</f>
        <v>1.5151515151515152E-2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31</v>
      </c>
      <c r="Y407" s="636">
        <f>IFERROR(IF(X407="",0,CEILING((X407/$H407),1)*$H407),"")</f>
        <v>33.15</v>
      </c>
      <c r="Z407" s="36">
        <f>IFERROR(IF(Y407=0,"",ROUNDUP(Y407/H407,0)*0.00651),"")</f>
        <v>8.4629999999999997E-2</v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35.011764705882356</v>
      </c>
      <c r="BN407" s="64">
        <f>IFERROR(Y407*I407/H407,"0")</f>
        <v>37.44</v>
      </c>
      <c r="BO407" s="64">
        <f>IFERROR(1/J407*(X407/H407),"0")</f>
        <v>6.6795949148890338E-2</v>
      </c>
      <c r="BP407" s="64">
        <f>IFERROR(1/J407*(Y407/H407),"0")</f>
        <v>7.1428571428571438E-2</v>
      </c>
    </row>
    <row r="408" spans="1:68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13.472652218782251</v>
      </c>
      <c r="Y408" s="637">
        <f>IFERROR(Y404/H404,"0")+IFERROR(Y405/H405,"0")+IFERROR(Y406/H406,"0")+IFERROR(Y407/H407,"0")</f>
        <v>15</v>
      </c>
      <c r="Z408" s="637">
        <f>IFERROR(IF(Z404="",0,Z404),"0")+IFERROR(IF(Z405="",0,Z405),"0")+IFERROR(IF(Z406="",0,Z406),"0")+IFERROR(IF(Z407="",0,Z407),"0")</f>
        <v>0.10267</v>
      </c>
      <c r="AA408" s="638"/>
      <c r="AB408" s="638"/>
      <c r="AC408" s="638"/>
    </row>
    <row r="409" spans="1:68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35</v>
      </c>
      <c r="Y409" s="637">
        <f>IFERROR(SUM(Y404:Y407),"0")</f>
        <v>39.229999999999997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4</v>
      </c>
      <c r="Y411" s="636">
        <f>IFERROR(IF(X411="",0,CEILING((X411/$H411),1)*$H411),"")</f>
        <v>4</v>
      </c>
      <c r="Z411" s="36">
        <f>IFERROR(IF(Y411=0,"",ROUNDUP(Y411/H411,0)*0.00474),"")</f>
        <v>9.4800000000000006E-3</v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4.4800000000000004</v>
      </c>
      <c r="BN411" s="64">
        <f>IFERROR(Y411*I411/H411,"0")</f>
        <v>4.4800000000000004</v>
      </c>
      <c r="BO411" s="64">
        <f>IFERROR(1/J411*(X411/H411),"0")</f>
        <v>8.4033613445378148E-3</v>
      </c>
      <c r="BP411" s="64">
        <f>IFERROR(1/J411*(Y411/H411),"0")</f>
        <v>8.4033613445378148E-3</v>
      </c>
    </row>
    <row r="412" spans="1:68" ht="27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4</v>
      </c>
      <c r="Y412" s="636">
        <f>IFERROR(IF(X412="",0,CEILING((X412/$H412),1)*$H412),"")</f>
        <v>4</v>
      </c>
      <c r="Z412" s="36">
        <f>IFERROR(IF(Y412=0,"",ROUNDUP(Y412/H412,0)*0.00474),"")</f>
        <v>9.4800000000000006E-3</v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4.4800000000000004</v>
      </c>
      <c r="BN412" s="64">
        <f>IFERROR(Y412*I412/H412,"0")</f>
        <v>4.4800000000000004</v>
      </c>
      <c r="BO412" s="64">
        <f>IFERROR(1/J412*(X412/H412),"0")</f>
        <v>8.4033613445378148E-3</v>
      </c>
      <c r="BP412" s="64">
        <f>IFERROR(1/J412*(Y412/H412),"0")</f>
        <v>8.4033613445378148E-3</v>
      </c>
    </row>
    <row r="413" spans="1:68" ht="27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17</v>
      </c>
      <c r="Y413" s="636">
        <f>IFERROR(IF(X413="",0,CEILING((X413/$H413),1)*$H413),"")</f>
        <v>18</v>
      </c>
      <c r="Z413" s="36">
        <f>IFERROR(IF(Y413=0,"",ROUNDUP(Y413/H413,0)*0.00474),"")</f>
        <v>4.2660000000000003E-2</v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19.040000000000003</v>
      </c>
      <c r="BN413" s="64">
        <f>IFERROR(Y413*I413/H413,"0")</f>
        <v>20.160000000000004</v>
      </c>
      <c r="BO413" s="64">
        <f>IFERROR(1/J413*(X413/H413),"0")</f>
        <v>3.5714285714285712E-2</v>
      </c>
      <c r="BP413" s="64">
        <f>IFERROR(1/J413*(Y413/H413),"0")</f>
        <v>3.7815126050420166E-2</v>
      </c>
    </row>
    <row r="414" spans="1:68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12.5</v>
      </c>
      <c r="Y414" s="637">
        <f>IFERROR(Y411/H411,"0")+IFERROR(Y412/H412,"0")+IFERROR(Y413/H413,"0")</f>
        <v>13</v>
      </c>
      <c r="Z414" s="637">
        <f>IFERROR(IF(Z411="",0,Z411),"0")+IFERROR(IF(Z412="",0,Z412),"0")+IFERROR(IF(Z413="",0,Z413),"0")</f>
        <v>6.1620000000000008E-2</v>
      </c>
      <c r="AA414" s="638"/>
      <c r="AB414" s="638"/>
      <c r="AC414" s="638"/>
    </row>
    <row r="415" spans="1:68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25</v>
      </c>
      <c r="Y415" s="637">
        <f>IFERROR(SUM(Y411:Y413),"0")</f>
        <v>26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61</v>
      </c>
      <c r="Y432" s="636">
        <f>IFERROR(IF(X432="",0,CEILING((X432/$H432),1)*$H432),"")</f>
        <v>63</v>
      </c>
      <c r="Z432" s="36">
        <f>IFERROR(IF(Y432=0,"",ROUNDUP(Y432/H432,0)*0.00651),"")</f>
        <v>0.1953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68.319999999999993</v>
      </c>
      <c r="BN432" s="64">
        <f>IFERROR(Y432*I432/H432,"0")</f>
        <v>70.559999999999988</v>
      </c>
      <c r="BO432" s="64">
        <f>IFERROR(1/J432*(X432/H432),"0")</f>
        <v>0.15960230245944532</v>
      </c>
      <c r="BP432" s="64">
        <f>IFERROR(1/J432*(Y432/H432),"0")</f>
        <v>0.16483516483516486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29.047619047619047</v>
      </c>
      <c r="Y434" s="637">
        <f>IFERROR(Y431/H431,"0")+IFERROR(Y432/H432,"0")+IFERROR(Y433/H433,"0")</f>
        <v>30</v>
      </c>
      <c r="Z434" s="637">
        <f>IFERROR(IF(Z431="",0,Z431),"0")+IFERROR(IF(Z432="",0,Z432),"0")+IFERROR(IF(Z433="",0,Z433),"0")</f>
        <v>0.1953</v>
      </c>
      <c r="AA434" s="638"/>
      <c r="AB434" s="638"/>
      <c r="AC434" s="638"/>
    </row>
    <row r="435" spans="1:68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61</v>
      </c>
      <c r="Y435" s="637">
        <f>IFERROR(SUM(Y431:Y433),"0")</f>
        <v>63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4</v>
      </c>
      <c r="Y439" s="636">
        <f t="shared" ref="Y439:Y446" si="61">IFERROR(IF(X439="",0,CEILING((X439/$H439),1)*$H439),"")</f>
        <v>15</v>
      </c>
      <c r="Z439" s="36">
        <f>IFERROR(IF(Y439=0,"",ROUNDUP(Y439/H439,0)*0.02175),"")</f>
        <v>2.1749999999999999E-2</v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4.1253333333333337</v>
      </c>
      <c r="BN439" s="64">
        <f t="shared" ref="BN439:BN446" si="63">IFERROR(Y439*I439/H439,"0")</f>
        <v>15.47</v>
      </c>
      <c r="BO439" s="64">
        <f t="shared" ref="BO439:BO446" si="64">IFERROR(1/J439*(X439/H439),"0")</f>
        <v>5.5555555555555549E-3</v>
      </c>
      <c r="BP439" s="64">
        <f t="shared" ref="BP439:BP446" si="65">IFERROR(1/J439*(Y439/H439),"0")</f>
        <v>2.0833333333333332E-2</v>
      </c>
    </row>
    <row r="440" spans="1:68" ht="37.5" hidden="1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0</v>
      </c>
      <c r="Y440" s="636">
        <f t="shared" si="61"/>
        <v>0</v>
      </c>
      <c r="Z440" s="36" t="str">
        <f>IFERROR(IF(Y440=0,"",ROUNDUP(Y440/H440,0)*0.02175),"")</f>
        <v/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0</v>
      </c>
      <c r="BN440" s="64">
        <f t="shared" si="63"/>
        <v>0</v>
      </c>
      <c r="BO440" s="64">
        <f t="shared" si="64"/>
        <v>0</v>
      </c>
      <c r="BP440" s="64">
        <f t="shared" si="65"/>
        <v>0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93</v>
      </c>
      <c r="Y441" s="636">
        <f t="shared" si="61"/>
        <v>105</v>
      </c>
      <c r="Z441" s="36">
        <f>IFERROR(IF(Y441=0,"",ROUNDUP(Y441/H441,0)*0.02175),"")</f>
        <v>0.15225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95.914000000000001</v>
      </c>
      <c r="BN441" s="64">
        <f t="shared" si="63"/>
        <v>108.29</v>
      </c>
      <c r="BO441" s="64">
        <f t="shared" si="64"/>
        <v>0.12916666666666665</v>
      </c>
      <c r="BP441" s="64">
        <f t="shared" si="65"/>
        <v>0.14583333333333331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577</v>
      </c>
      <c r="Y442" s="636">
        <f t="shared" si="61"/>
        <v>585</v>
      </c>
      <c r="Z442" s="36">
        <f>IFERROR(IF(Y442=0,"",ROUNDUP(Y442/H442,0)*0.02175),"")</f>
        <v>0.84824999999999995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595.07933333333335</v>
      </c>
      <c r="BN442" s="64">
        <f t="shared" si="63"/>
        <v>603.33000000000004</v>
      </c>
      <c r="BO442" s="64">
        <f t="shared" si="64"/>
        <v>0.80138888888888893</v>
      </c>
      <c r="BP442" s="64">
        <f t="shared" si="65"/>
        <v>0.8125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44.933333333333337</v>
      </c>
      <c r="Y447" s="637">
        <f>IFERROR(Y439/H439,"0")+IFERROR(Y440/H440,"0")+IFERROR(Y441/H441,"0")+IFERROR(Y442/H442,"0")+IFERROR(Y443/H443,"0")+IFERROR(Y444/H444,"0")+IFERROR(Y445/H445,"0")+IFERROR(Y446/H446,"0")</f>
        <v>47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1.0222499999999999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674</v>
      </c>
      <c r="Y448" s="637">
        <f>IFERROR(SUM(Y439:Y446),"0")</f>
        <v>705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1443</v>
      </c>
      <c r="Y450" s="636">
        <f>IFERROR(IF(X450="",0,CEILING((X450/$H450),1)*$H450),"")</f>
        <v>1455</v>
      </c>
      <c r="Z450" s="36">
        <f>IFERROR(IF(Y450=0,"",ROUNDUP(Y450/H450,0)*0.02175),"")</f>
        <v>2.10975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1488.2139999999999</v>
      </c>
      <c r="BN450" s="64">
        <f>IFERROR(Y450*I450/H450,"0")</f>
        <v>1500.5900000000001</v>
      </c>
      <c r="BO450" s="64">
        <f>IFERROR(1/J450*(X450/H450),"0")</f>
        <v>2.0041666666666664</v>
      </c>
      <c r="BP450" s="64">
        <f>IFERROR(1/J450*(Y450/H450),"0")</f>
        <v>2.020833333333333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96.2</v>
      </c>
      <c r="Y453" s="637">
        <f>IFERROR(Y450/H450,"0")+IFERROR(Y451/H451,"0")+IFERROR(Y452/H452,"0")</f>
        <v>97</v>
      </c>
      <c r="Z453" s="637">
        <f>IFERROR(IF(Z450="",0,Z450),"0")+IFERROR(IF(Z451="",0,Z451),"0")+IFERROR(IF(Z452="",0,Z452),"0")</f>
        <v>2.10975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1443</v>
      </c>
      <c r="Y454" s="637">
        <f>IFERROR(SUM(Y450:Y452),"0")</f>
        <v>1455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882</v>
      </c>
      <c r="Y477" s="636">
        <f>IFERROR(IF(X477="",0,CEILING((X477/$H477),1)*$H477),"")</f>
        <v>882</v>
      </c>
      <c r="Z477" s="36">
        <f>IFERROR(IF(Y477=0,"",ROUNDUP(Y477/H477,0)*0.01898),"")</f>
        <v>1.8600400000000001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930.41200000000003</v>
      </c>
      <c r="BN477" s="64">
        <f>IFERROR(Y477*I477/H477,"0")</f>
        <v>930.41200000000003</v>
      </c>
      <c r="BO477" s="64">
        <f>IFERROR(1/J477*(X477/H477),"0")</f>
        <v>1.53125</v>
      </c>
      <c r="BP477" s="64">
        <f>IFERROR(1/J477*(Y477/H477),"0")</f>
        <v>1.53125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98</v>
      </c>
      <c r="Y480" s="637">
        <f>IFERROR(Y477/H477,"0")+IFERROR(Y478/H478,"0")+IFERROR(Y479/H479,"0")</f>
        <v>98</v>
      </c>
      <c r="Z480" s="637">
        <f>IFERROR(IF(Z477="",0,Z477),"0")+IFERROR(IF(Z478="",0,Z478),"0")+IFERROR(IF(Z479="",0,Z479),"0")</f>
        <v>1.8600400000000001</v>
      </c>
      <c r="AA480" s="638"/>
      <c r="AB480" s="638"/>
      <c r="AC480" s="638"/>
    </row>
    <row r="481" spans="1:68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882</v>
      </c>
      <c r="Y481" s="637">
        <f>IFERROR(SUM(Y477:Y479),"0")</f>
        <v>882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142</v>
      </c>
      <c r="Y511" s="636">
        <f t="shared" ref="Y511:Y518" si="71">IFERROR(IF(X511="",0,CEILING((X511/$H511),1)*$H511),"")</f>
        <v>142.56</v>
      </c>
      <c r="Z511" s="36">
        <f>IFERROR(IF(Y511=0,"",ROUNDUP(Y511/H511,0)*0.01196),"")</f>
        <v>0.32291999999999998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151.41287878787878</v>
      </c>
      <c r="BN511" s="64">
        <f t="shared" ref="BN511:BN518" si="73">IFERROR(Y511*I511/H511,"0")</f>
        <v>152.01</v>
      </c>
      <c r="BO511" s="64">
        <f t="shared" ref="BO511:BO518" si="74">IFERROR(1/J511*(X511/H511),"0")</f>
        <v>0.25859557109557108</v>
      </c>
      <c r="BP511" s="64">
        <f t="shared" ref="BP511:BP518" si="75">IFERROR(1/J511*(Y511/H511),"0")</f>
        <v>0.25961538461538464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1443</v>
      </c>
      <c r="Y515" s="636">
        <f t="shared" si="71"/>
        <v>1446.72</v>
      </c>
      <c r="Z515" s="36">
        <f>IFERROR(IF(Y515=0,"",ROUNDUP(Y515/H515,0)*0.01196),"")</f>
        <v>3.27704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1538.653409090909</v>
      </c>
      <c r="BN515" s="64">
        <f t="shared" si="73"/>
        <v>1542.62</v>
      </c>
      <c r="BO515" s="64">
        <f t="shared" si="74"/>
        <v>2.6278409090909092</v>
      </c>
      <c r="BP515" s="64">
        <f t="shared" si="75"/>
        <v>2.6346153846153846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163</v>
      </c>
      <c r="Y517" s="636">
        <f t="shared" si="71"/>
        <v>163.19999999999999</v>
      </c>
      <c r="Z517" s="36">
        <f>IFERROR(IF(Y517=0,"",ROUNDUP(Y517/H517,0)*0.00902),"")</f>
        <v>0.30668000000000001</v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234.65208333333334</v>
      </c>
      <c r="BN517" s="64">
        <f t="shared" si="73"/>
        <v>234.94</v>
      </c>
      <c r="BO517" s="64">
        <f t="shared" si="74"/>
        <v>0.25726010101010105</v>
      </c>
      <c r="BP517" s="64">
        <f t="shared" si="75"/>
        <v>0.25757575757575757</v>
      </c>
    </row>
    <row r="518" spans="1:68" ht="27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258</v>
      </c>
      <c r="Y518" s="636">
        <f t="shared" si="71"/>
        <v>259.2</v>
      </c>
      <c r="Z518" s="36">
        <f>IFERROR(IF(Y518=0,"",ROUNDUP(Y518/H518,0)*0.00902),"")</f>
        <v>0.48708000000000001</v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371.41250000000002</v>
      </c>
      <c r="BN518" s="64">
        <f t="shared" si="73"/>
        <v>373.14</v>
      </c>
      <c r="BO518" s="64">
        <f t="shared" si="74"/>
        <v>0.40719696969696972</v>
      </c>
      <c r="BP518" s="64">
        <f t="shared" si="75"/>
        <v>0.40909090909090912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387.89772727272725</v>
      </c>
      <c r="Y519" s="637">
        <f>IFERROR(Y511/H511,"0")+IFERROR(Y512/H512,"0")+IFERROR(Y513/H513,"0")+IFERROR(Y514/H514,"0")+IFERROR(Y515/H515,"0")+IFERROR(Y516/H516,"0")+IFERROR(Y517/H517,"0")+IFERROR(Y518/H518,"0")</f>
        <v>389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4.3937200000000001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2006</v>
      </c>
      <c r="Y520" s="637">
        <f>IFERROR(SUM(Y511:Y518),"0")</f>
        <v>2011.68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1443</v>
      </c>
      <c r="Y522" s="636">
        <f>IFERROR(IF(X522="",0,CEILING((X522/$H522),1)*$H522),"")</f>
        <v>1446.72</v>
      </c>
      <c r="Z522" s="36">
        <f>IFERROR(IF(Y522=0,"",ROUNDUP(Y522/H522,0)*0.01196),"")</f>
        <v>3.27704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1538.653409090909</v>
      </c>
      <c r="BN522" s="64">
        <f>IFERROR(Y522*I522/H522,"0")</f>
        <v>1542.62</v>
      </c>
      <c r="BO522" s="64">
        <f>IFERROR(1/J522*(X522/H522),"0")</f>
        <v>2.6278409090909092</v>
      </c>
      <c r="BP522" s="64">
        <f>IFERROR(1/J522*(Y522/H522),"0")</f>
        <v>2.6346153846153846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273.29545454545456</v>
      </c>
      <c r="Y525" s="637">
        <f>IFERROR(Y522/H522,"0")+IFERROR(Y523/H523,"0")+IFERROR(Y524/H524,"0")</f>
        <v>274</v>
      </c>
      <c r="Z525" s="637">
        <f>IFERROR(IF(Z522="",0,Z522),"0")+IFERROR(IF(Z523="",0,Z523),"0")+IFERROR(IF(Z524="",0,Z524),"0")</f>
        <v>3.27704</v>
      </c>
      <c r="AA525" s="638"/>
      <c r="AB525" s="638"/>
      <c r="AC525" s="638"/>
    </row>
    <row r="526" spans="1:68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1443</v>
      </c>
      <c r="Y526" s="637">
        <f>IFERROR(SUM(Y522:Y524),"0")</f>
        <v>1446.72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988</v>
      </c>
      <c r="Y530" s="636">
        <f t="shared" si="76"/>
        <v>992.6400000000001</v>
      </c>
      <c r="Z530" s="36">
        <f>IFERROR(IF(Y530=0,"",ROUNDUP(Y530/H530,0)*0.01196),"")</f>
        <v>2.2484799999999998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1053.492424242424</v>
      </c>
      <c r="BN530" s="64">
        <f t="shared" si="78"/>
        <v>1058.44</v>
      </c>
      <c r="BO530" s="64">
        <f t="shared" si="79"/>
        <v>1.7992424242424243</v>
      </c>
      <c r="BP530" s="64">
        <f t="shared" si="80"/>
        <v>1.8076923076923077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187.12121212121212</v>
      </c>
      <c r="Y535" s="637">
        <f>IFERROR(Y528/H528,"0")+IFERROR(Y529/H529,"0")+IFERROR(Y530/H530,"0")+IFERROR(Y531/H531,"0")+IFERROR(Y532/H532,"0")+IFERROR(Y533/H533,"0")+IFERROR(Y534/H534,"0")</f>
        <v>188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2.2484799999999998</v>
      </c>
      <c r="AA535" s="638"/>
      <c r="AB535" s="638"/>
      <c r="AC535" s="638"/>
    </row>
    <row r="536" spans="1:68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988</v>
      </c>
      <c r="Y536" s="637">
        <f>IFERROR(SUM(Y528:Y534),"0")</f>
        <v>992.6400000000001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16491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16677.73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17594.557673713465</v>
      </c>
      <c r="Y566" s="637">
        <f>IFERROR(SUM(BN22:BN562),"0")</f>
        <v>17792.409999999996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29</v>
      </c>
      <c r="Y567" s="38">
        <f>ROUNDUP(SUM(BP22:BP562),0)</f>
        <v>30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18319.557673713465</v>
      </c>
      <c r="Y568" s="637">
        <f>GrossWeightTotalR+PalletQtyTotalR*25</f>
        <v>18542.409999999996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2785.4374771360581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2818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34.839660000000002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18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1595.6000000000001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815.7</v>
      </c>
      <c r="F575" s="46">
        <f>IFERROR(Y89*1,"0")+IFERROR(Y90*1,"0")+IFERROR(Y91*1,"0")+IFERROR(Y92*1,"0")+IFERROR(Y93*1,"0")+IFERROR(Y94*1,"0")+IFERROR(Y98*1,"0")+IFERROR(Y99*1,"0")+IFERROR(Y100*1,"0")+IFERROR(Y101*1,"0")</f>
        <v>1145.3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1983.06</v>
      </c>
      <c r="H575" s="46">
        <f>IFERROR(Y136*1,"0")+IFERROR(Y137*1,"0")+IFERROR(Y141*1,"0")+IFERROR(Y142*1,"0")+IFERROR(Y146*1,"0")+IFERROR(Y147*1,"0")</f>
        <v>8.3999999999999986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237.2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43.999999999999993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2288.9999999999995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16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141.6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444.59999999999997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383.22999999999996</v>
      </c>
      <c r="V575" s="46">
        <f>IFERROR(Y424*1,"0")+IFERROR(Y425*1,"0")+IFERROR(Y426*1,"0")</f>
        <v>0</v>
      </c>
      <c r="W575" s="46">
        <f>IFERROR(Y431*1,"0")+IFERROR(Y432*1,"0")+IFERROR(Y433*1,"0")</f>
        <v>63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2160</v>
      </c>
      <c r="Y575" s="46">
        <f>IFERROR(Y468*1,"0")+IFERROR(Y469*1,"0")+IFERROR(Y473*1,"0")+IFERROR(Y477*1,"0")+IFERROR(Y478*1,"0")+IFERROR(Y479*1,"0")</f>
        <v>882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4451.04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 019,00"/>
        <filter val="1 229,00"/>
        <filter val="1 405,00"/>
        <filter val="1 443,00"/>
        <filter val="1 581,00"/>
        <filter val="1 586,00"/>
        <filter val="1,00"/>
        <filter val="1,39"/>
        <filter val="11,00"/>
        <filter val="12,08"/>
        <filter val="12,50"/>
        <filter val="124,00"/>
        <filter val="13,00"/>
        <filter val="13,47"/>
        <filter val="14,00"/>
        <filter val="140,00"/>
        <filter val="142,00"/>
        <filter val="147,64"/>
        <filter val="15,00"/>
        <filter val="16 491,00"/>
        <filter val="16,00"/>
        <filter val="160,00"/>
        <filter val="163,00"/>
        <filter val="163,46"/>
        <filter val="17 594,56"/>
        <filter val="17,00"/>
        <filter val="17,78"/>
        <filter val="173,00"/>
        <filter val="18 319,56"/>
        <filter val="18,00"/>
        <filter val="187,12"/>
        <filter val="2 006,00"/>
        <filter val="2 785,44"/>
        <filter val="2,50"/>
        <filter val="200,00"/>
        <filter val="200,56"/>
        <filter val="21,00"/>
        <filter val="22,18"/>
        <filter val="231,00"/>
        <filter val="233,00"/>
        <filter val="24,00"/>
        <filter val="25,00"/>
        <filter val="258,00"/>
        <filter val="273,30"/>
        <filter val="279,00"/>
        <filter val="282,35"/>
        <filter val="289,00"/>
        <filter val="29"/>
        <filter val="29,05"/>
        <filter val="3,00"/>
        <filter val="3,50"/>
        <filter val="30,00"/>
        <filter val="308,89"/>
        <filter val="31,00"/>
        <filter val="32,00"/>
        <filter val="326,00"/>
        <filter val="35,00"/>
        <filter val="361,00"/>
        <filter val="37,05"/>
        <filter val="387,90"/>
        <filter val="393,00"/>
        <filter val="4,00"/>
        <filter val="4,07"/>
        <filter val="404,00"/>
        <filter val="41,00"/>
        <filter val="43,15"/>
        <filter val="439,00"/>
        <filter val="44,00"/>
        <filter val="44,93"/>
        <filter val="441,00"/>
        <filter val="46,46"/>
        <filter val="462,00"/>
        <filter val="466,00"/>
        <filter val="487,00"/>
        <filter val="5,00"/>
        <filter val="50,00"/>
        <filter val="53,00"/>
        <filter val="53,36"/>
        <filter val="547,00"/>
        <filter val="56,28"/>
        <filter val="577,00"/>
        <filter val="58,33"/>
        <filter val="6,00"/>
        <filter val="60,00"/>
        <filter val="61,00"/>
        <filter val="61,67"/>
        <filter val="674,00"/>
        <filter val="7,00"/>
        <filter val="7,50"/>
        <filter val="766,00"/>
        <filter val="8,00"/>
        <filter val="8,73"/>
        <filter val="80,00"/>
        <filter val="81,00"/>
        <filter val="85,00"/>
        <filter val="882,00"/>
        <filter val="9,00"/>
        <filter val="9,44"/>
        <filter val="92,00"/>
        <filter val="93,00"/>
        <filter val="93,81"/>
        <filter val="96,20"/>
        <filter val="964,00"/>
        <filter val="98,00"/>
        <filter val="988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2026-10-23T10:00:55Z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