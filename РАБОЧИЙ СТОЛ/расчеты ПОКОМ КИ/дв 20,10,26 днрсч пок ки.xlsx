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42F6007-73FE-41B3-8409-090DEF4303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3" i="1" l="1"/>
  <c r="T133" i="1" s="1"/>
  <c r="W133" i="1" s="1"/>
  <c r="L133" i="1"/>
  <c r="M132" i="1"/>
  <c r="T132" i="1" s="1"/>
  <c r="L132" i="1"/>
  <c r="M131" i="1"/>
  <c r="T131" i="1" s="1"/>
  <c r="AI131" i="1" s="1"/>
  <c r="L131" i="1"/>
  <c r="M130" i="1"/>
  <c r="T130" i="1" s="1"/>
  <c r="W130" i="1" s="1"/>
  <c r="L130" i="1"/>
  <c r="M129" i="1"/>
  <c r="T129" i="1" s="1"/>
  <c r="L129" i="1"/>
  <c r="M128" i="1"/>
  <c r="T128" i="1" s="1"/>
  <c r="L128" i="1"/>
  <c r="M127" i="1"/>
  <c r="T127" i="1" s="1"/>
  <c r="AI127" i="1" s="1"/>
  <c r="L127" i="1"/>
  <c r="M126" i="1"/>
  <c r="T126" i="1" s="1"/>
  <c r="U126" i="1" s="1"/>
  <c r="AI126" i="1" s="1"/>
  <c r="L126" i="1"/>
  <c r="M125" i="1"/>
  <c r="T125" i="1" s="1"/>
  <c r="AI125" i="1" s="1"/>
  <c r="L125" i="1"/>
  <c r="M124" i="1"/>
  <c r="T124" i="1" s="1"/>
  <c r="L124" i="1"/>
  <c r="M123" i="1"/>
  <c r="T123" i="1" s="1"/>
  <c r="W123" i="1" s="1"/>
  <c r="L123" i="1"/>
  <c r="M122" i="1"/>
  <c r="T122" i="1" s="1"/>
  <c r="L122" i="1"/>
  <c r="M121" i="1"/>
  <c r="T121" i="1" s="1"/>
  <c r="L121" i="1"/>
  <c r="F121" i="1"/>
  <c r="W121" i="1" s="1"/>
  <c r="M120" i="1"/>
  <c r="T120" i="1" s="1"/>
  <c r="AI120" i="1" s="1"/>
  <c r="L120" i="1"/>
  <c r="M119" i="1"/>
  <c r="T119" i="1" s="1"/>
  <c r="AI119" i="1" s="1"/>
  <c r="L119" i="1"/>
  <c r="M118" i="1"/>
  <c r="T118" i="1" s="1"/>
  <c r="AI118" i="1" s="1"/>
  <c r="L118" i="1"/>
  <c r="M117" i="1"/>
  <c r="T117" i="1" s="1"/>
  <c r="L117" i="1"/>
  <c r="M116" i="1"/>
  <c r="T116" i="1" s="1"/>
  <c r="AI116" i="1" s="1"/>
  <c r="L116" i="1"/>
  <c r="M115" i="1"/>
  <c r="T115" i="1" s="1"/>
  <c r="AI115" i="1" s="1"/>
  <c r="L115" i="1"/>
  <c r="M114" i="1"/>
  <c r="T114" i="1" s="1"/>
  <c r="AI114" i="1" s="1"/>
  <c r="L114" i="1"/>
  <c r="M113" i="1"/>
  <c r="T113" i="1" s="1"/>
  <c r="L113" i="1"/>
  <c r="M112" i="1"/>
  <c r="T112" i="1" s="1"/>
  <c r="AI112" i="1" s="1"/>
  <c r="L112" i="1"/>
  <c r="M111" i="1"/>
  <c r="T111" i="1" s="1"/>
  <c r="L111" i="1"/>
  <c r="M110" i="1"/>
  <c r="T110" i="1" s="1"/>
  <c r="AI110" i="1" s="1"/>
  <c r="L110" i="1"/>
  <c r="M109" i="1"/>
  <c r="L109" i="1"/>
  <c r="M108" i="1"/>
  <c r="T108" i="1" s="1"/>
  <c r="AI108" i="1" s="1"/>
  <c r="L108" i="1"/>
  <c r="M107" i="1"/>
  <c r="T107" i="1" s="1"/>
  <c r="AI107" i="1" s="1"/>
  <c r="L107" i="1"/>
  <c r="M106" i="1"/>
  <c r="T106" i="1" s="1"/>
  <c r="V106" i="1" s="1"/>
  <c r="L106" i="1"/>
  <c r="M105" i="1"/>
  <c r="T105" i="1" s="1"/>
  <c r="AI105" i="1" s="1"/>
  <c r="L105" i="1"/>
  <c r="M104" i="1"/>
  <c r="T104" i="1" s="1"/>
  <c r="L104" i="1"/>
  <c r="M103" i="1"/>
  <c r="T103" i="1" s="1"/>
  <c r="U103" i="1" s="1"/>
  <c r="AI103" i="1" s="1"/>
  <c r="L103" i="1"/>
  <c r="M102" i="1"/>
  <c r="T102" i="1" s="1"/>
  <c r="L102" i="1"/>
  <c r="M101" i="1"/>
  <c r="T101" i="1" s="1"/>
  <c r="AI101" i="1" s="1"/>
  <c r="L101" i="1"/>
  <c r="M100" i="1"/>
  <c r="T100" i="1" s="1"/>
  <c r="AI100" i="1" s="1"/>
  <c r="L100" i="1"/>
  <c r="M99" i="1"/>
  <c r="T99" i="1" s="1"/>
  <c r="AI99" i="1" s="1"/>
  <c r="L99" i="1"/>
  <c r="M98" i="1"/>
  <c r="T98" i="1" s="1"/>
  <c r="L98" i="1"/>
  <c r="M97" i="1"/>
  <c r="T97" i="1" s="1"/>
  <c r="U97" i="1" s="1"/>
  <c r="AI97" i="1" s="1"/>
  <c r="L97" i="1"/>
  <c r="F96" i="1"/>
  <c r="E96" i="1"/>
  <c r="M96" i="1" s="1"/>
  <c r="T96" i="1" s="1"/>
  <c r="M95" i="1"/>
  <c r="T95" i="1" s="1"/>
  <c r="L95" i="1"/>
  <c r="M94" i="1"/>
  <c r="T94" i="1" s="1"/>
  <c r="AI94" i="1" s="1"/>
  <c r="L94" i="1"/>
  <c r="M93" i="1"/>
  <c r="T93" i="1" s="1"/>
  <c r="L93" i="1"/>
  <c r="M92" i="1"/>
  <c r="T92" i="1" s="1"/>
  <c r="AI92" i="1" s="1"/>
  <c r="L92" i="1"/>
  <c r="M91" i="1"/>
  <c r="T91" i="1" s="1"/>
  <c r="AI91" i="1" s="1"/>
  <c r="L91" i="1"/>
  <c r="M90" i="1"/>
  <c r="T90" i="1" s="1"/>
  <c r="U90" i="1" s="1"/>
  <c r="AI90" i="1" s="1"/>
  <c r="L90" i="1"/>
  <c r="M89" i="1"/>
  <c r="T89" i="1" s="1"/>
  <c r="L89" i="1"/>
  <c r="M88" i="1"/>
  <c r="T88" i="1" s="1"/>
  <c r="U88" i="1" s="1"/>
  <c r="AI88" i="1" s="1"/>
  <c r="L88" i="1"/>
  <c r="M87" i="1"/>
  <c r="T87" i="1" s="1"/>
  <c r="U87" i="1" s="1"/>
  <c r="AI87" i="1" s="1"/>
  <c r="L87" i="1"/>
  <c r="M86" i="1"/>
  <c r="T86" i="1" s="1"/>
  <c r="U86" i="1" s="1"/>
  <c r="AI86" i="1" s="1"/>
  <c r="L86" i="1"/>
  <c r="M85" i="1"/>
  <c r="T85" i="1" s="1"/>
  <c r="L85" i="1"/>
  <c r="M84" i="1"/>
  <c r="T84" i="1" s="1"/>
  <c r="U84" i="1" s="1"/>
  <c r="AI84" i="1" s="1"/>
  <c r="L84" i="1"/>
  <c r="M83" i="1"/>
  <c r="T83" i="1" s="1"/>
  <c r="L83" i="1"/>
  <c r="M82" i="1"/>
  <c r="T82" i="1" s="1"/>
  <c r="AI82" i="1" s="1"/>
  <c r="L82" i="1"/>
  <c r="M81" i="1"/>
  <c r="T81" i="1" s="1"/>
  <c r="L81" i="1"/>
  <c r="M80" i="1"/>
  <c r="T80" i="1" s="1"/>
  <c r="U80" i="1" s="1"/>
  <c r="AI80" i="1" s="1"/>
  <c r="L80" i="1"/>
  <c r="M79" i="1"/>
  <c r="T79" i="1" s="1"/>
  <c r="U79" i="1" s="1"/>
  <c r="AI79" i="1" s="1"/>
  <c r="L79" i="1"/>
  <c r="M78" i="1"/>
  <c r="T78" i="1" s="1"/>
  <c r="AI78" i="1" s="1"/>
  <c r="L78" i="1"/>
  <c r="M77" i="1"/>
  <c r="T77" i="1" s="1"/>
  <c r="U77" i="1" s="1"/>
  <c r="AI77" i="1" s="1"/>
  <c r="L77" i="1"/>
  <c r="M76" i="1"/>
  <c r="T76" i="1" s="1"/>
  <c r="AI76" i="1" s="1"/>
  <c r="L76" i="1"/>
  <c r="M75" i="1"/>
  <c r="T75" i="1" s="1"/>
  <c r="AI75" i="1" s="1"/>
  <c r="L75" i="1"/>
  <c r="M74" i="1"/>
  <c r="T74" i="1" s="1"/>
  <c r="U74" i="1" s="1"/>
  <c r="AI74" i="1" s="1"/>
  <c r="L74" i="1"/>
  <c r="M73" i="1"/>
  <c r="T73" i="1" s="1"/>
  <c r="L73" i="1"/>
  <c r="M72" i="1"/>
  <c r="T72" i="1" s="1"/>
  <c r="U72" i="1" s="1"/>
  <c r="AI72" i="1" s="1"/>
  <c r="L72" i="1"/>
  <c r="M71" i="1"/>
  <c r="T71" i="1" s="1"/>
  <c r="L71" i="1"/>
  <c r="M70" i="1"/>
  <c r="T70" i="1" s="1"/>
  <c r="L70" i="1"/>
  <c r="M69" i="1"/>
  <c r="T69" i="1" s="1"/>
  <c r="U69" i="1" s="1"/>
  <c r="L69" i="1"/>
  <c r="M68" i="1"/>
  <c r="T68" i="1" s="1"/>
  <c r="W68" i="1" s="1"/>
  <c r="L68" i="1"/>
  <c r="M67" i="1"/>
  <c r="T67" i="1" s="1"/>
  <c r="U67" i="1" s="1"/>
  <c r="L67" i="1"/>
  <c r="M66" i="1"/>
  <c r="T66" i="1" s="1"/>
  <c r="L66" i="1"/>
  <c r="M65" i="1"/>
  <c r="T65" i="1" s="1"/>
  <c r="L65" i="1"/>
  <c r="M64" i="1"/>
  <c r="T64" i="1" s="1"/>
  <c r="L64" i="1"/>
  <c r="M63" i="1"/>
  <c r="T63" i="1" s="1"/>
  <c r="L63" i="1"/>
  <c r="M62" i="1"/>
  <c r="T62" i="1" s="1"/>
  <c r="L62" i="1"/>
  <c r="M61" i="1"/>
  <c r="T61" i="1" s="1"/>
  <c r="L61" i="1"/>
  <c r="M60" i="1"/>
  <c r="T60" i="1" s="1"/>
  <c r="L60" i="1"/>
  <c r="M59" i="1"/>
  <c r="T59" i="1" s="1"/>
  <c r="L59" i="1"/>
  <c r="M58" i="1"/>
  <c r="T58" i="1" s="1"/>
  <c r="L58" i="1"/>
  <c r="M57" i="1"/>
  <c r="T57" i="1" s="1"/>
  <c r="L57" i="1"/>
  <c r="M56" i="1"/>
  <c r="T56" i="1" s="1"/>
  <c r="L56" i="1"/>
  <c r="E55" i="1"/>
  <c r="L55" i="1" s="1"/>
  <c r="M54" i="1"/>
  <c r="T54" i="1" s="1"/>
  <c r="L54" i="1"/>
  <c r="M53" i="1"/>
  <c r="T53" i="1" s="1"/>
  <c r="L53" i="1"/>
  <c r="M52" i="1"/>
  <c r="T52" i="1" s="1"/>
  <c r="W52" i="1" s="1"/>
  <c r="L52" i="1"/>
  <c r="M51" i="1"/>
  <c r="T51" i="1" s="1"/>
  <c r="L51" i="1"/>
  <c r="M50" i="1"/>
  <c r="T50" i="1" s="1"/>
  <c r="L50" i="1"/>
  <c r="M49" i="1"/>
  <c r="T49" i="1" s="1"/>
  <c r="V49" i="1" s="1"/>
  <c r="L49" i="1"/>
  <c r="M48" i="1"/>
  <c r="T48" i="1" s="1"/>
  <c r="AI48" i="1" s="1"/>
  <c r="L48" i="1"/>
  <c r="M47" i="1"/>
  <c r="T47" i="1" s="1"/>
  <c r="L47" i="1"/>
  <c r="M46" i="1"/>
  <c r="T46" i="1" s="1"/>
  <c r="L46" i="1"/>
  <c r="M45" i="1"/>
  <c r="T45" i="1" s="1"/>
  <c r="L45" i="1"/>
  <c r="M44" i="1"/>
  <c r="T44" i="1" s="1"/>
  <c r="AI44" i="1" s="1"/>
  <c r="L44" i="1"/>
  <c r="M43" i="1"/>
  <c r="L43" i="1"/>
  <c r="M42" i="1"/>
  <c r="L42" i="1"/>
  <c r="M41" i="1"/>
  <c r="T41" i="1" s="1"/>
  <c r="AI41" i="1" s="1"/>
  <c r="L41" i="1"/>
  <c r="M40" i="1"/>
  <c r="T40" i="1" s="1"/>
  <c r="U40" i="1" s="1"/>
  <c r="AI40" i="1" s="1"/>
  <c r="L40" i="1"/>
  <c r="M39" i="1"/>
  <c r="T39" i="1" s="1"/>
  <c r="U39" i="1" s="1"/>
  <c r="AI39" i="1" s="1"/>
  <c r="L39" i="1"/>
  <c r="M38" i="1"/>
  <c r="T38" i="1" s="1"/>
  <c r="AI38" i="1" s="1"/>
  <c r="L38" i="1"/>
  <c r="M37" i="1"/>
  <c r="T37" i="1" s="1"/>
  <c r="L37" i="1"/>
  <c r="M36" i="1"/>
  <c r="T36" i="1" s="1"/>
  <c r="U36" i="1" s="1"/>
  <c r="AI36" i="1" s="1"/>
  <c r="L36" i="1"/>
  <c r="M35" i="1"/>
  <c r="T35" i="1" s="1"/>
  <c r="AI35" i="1" s="1"/>
  <c r="L35" i="1"/>
  <c r="M34" i="1"/>
  <c r="T34" i="1" s="1"/>
  <c r="U34" i="1" s="1"/>
  <c r="AI34" i="1" s="1"/>
  <c r="L34" i="1"/>
  <c r="M33" i="1"/>
  <c r="T33" i="1" s="1"/>
  <c r="V33" i="1" s="1"/>
  <c r="L33" i="1"/>
  <c r="M32" i="1"/>
  <c r="T32" i="1" s="1"/>
  <c r="L32" i="1"/>
  <c r="M31" i="1"/>
  <c r="T31" i="1" s="1"/>
  <c r="V31" i="1" s="1"/>
  <c r="L31" i="1"/>
  <c r="M30" i="1"/>
  <c r="T30" i="1" s="1"/>
  <c r="L30" i="1"/>
  <c r="M29" i="1"/>
  <c r="T29" i="1" s="1"/>
  <c r="U29" i="1" s="1"/>
  <c r="AI29" i="1" s="1"/>
  <c r="L29" i="1"/>
  <c r="M28" i="1"/>
  <c r="T28" i="1" s="1"/>
  <c r="U28" i="1" s="1"/>
  <c r="AI28" i="1" s="1"/>
  <c r="L28" i="1"/>
  <c r="M27" i="1"/>
  <c r="T27" i="1" s="1"/>
  <c r="V27" i="1" s="1"/>
  <c r="L27" i="1"/>
  <c r="M26" i="1"/>
  <c r="T26" i="1" s="1"/>
  <c r="L26" i="1"/>
  <c r="M25" i="1"/>
  <c r="T25" i="1" s="1"/>
  <c r="AI25" i="1" s="1"/>
  <c r="L25" i="1"/>
  <c r="M24" i="1"/>
  <c r="T24" i="1" s="1"/>
  <c r="U24" i="1" s="1"/>
  <c r="AI24" i="1" s="1"/>
  <c r="L24" i="1"/>
  <c r="M23" i="1"/>
  <c r="T23" i="1" s="1"/>
  <c r="V23" i="1" s="1"/>
  <c r="L23" i="1"/>
  <c r="M22" i="1"/>
  <c r="T22" i="1" s="1"/>
  <c r="U22" i="1" s="1"/>
  <c r="L22" i="1"/>
  <c r="M21" i="1"/>
  <c r="T21" i="1" s="1"/>
  <c r="L21" i="1"/>
  <c r="M20" i="1"/>
  <c r="T20" i="1" s="1"/>
  <c r="L20" i="1"/>
  <c r="M19" i="1"/>
  <c r="T19" i="1" s="1"/>
  <c r="L19" i="1"/>
  <c r="M18" i="1"/>
  <c r="T18" i="1" s="1"/>
  <c r="L18" i="1"/>
  <c r="M17" i="1"/>
  <c r="T17" i="1" s="1"/>
  <c r="U17" i="1" s="1"/>
  <c r="AI17" i="1" s="1"/>
  <c r="L17" i="1"/>
  <c r="M16" i="1"/>
  <c r="T16" i="1" s="1"/>
  <c r="U16" i="1" s="1"/>
  <c r="AI16" i="1" s="1"/>
  <c r="L16" i="1"/>
  <c r="M15" i="1"/>
  <c r="T15" i="1" s="1"/>
  <c r="U15" i="1" s="1"/>
  <c r="AI15" i="1" s="1"/>
  <c r="L15" i="1"/>
  <c r="M14" i="1"/>
  <c r="T14" i="1" s="1"/>
  <c r="U14" i="1" s="1"/>
  <c r="AI14" i="1" s="1"/>
  <c r="L14" i="1"/>
  <c r="M13" i="1"/>
  <c r="T13" i="1" s="1"/>
  <c r="U13" i="1" s="1"/>
  <c r="AI13" i="1" s="1"/>
  <c r="L13" i="1"/>
  <c r="M12" i="1"/>
  <c r="T12" i="1" s="1"/>
  <c r="U12" i="1" s="1"/>
  <c r="AI12" i="1" s="1"/>
  <c r="L12" i="1"/>
  <c r="M11" i="1"/>
  <c r="T11" i="1" s="1"/>
  <c r="AI11" i="1" s="1"/>
  <c r="L11" i="1"/>
  <c r="AI10" i="1"/>
  <c r="M10" i="1"/>
  <c r="T10" i="1" s="1"/>
  <c r="L10" i="1"/>
  <c r="M9" i="1"/>
  <c r="T9" i="1" s="1"/>
  <c r="U9" i="1" s="1"/>
  <c r="AI9" i="1" s="1"/>
  <c r="L9" i="1"/>
  <c r="M8" i="1"/>
  <c r="T8" i="1" s="1"/>
  <c r="U8" i="1" s="1"/>
  <c r="AI8" i="1" s="1"/>
  <c r="L8" i="1"/>
  <c r="M7" i="1"/>
  <c r="T7" i="1" s="1"/>
  <c r="U7" i="1" s="1"/>
  <c r="AI7" i="1" s="1"/>
  <c r="L7" i="1"/>
  <c r="M6" i="1"/>
  <c r="T6" i="1" s="1"/>
  <c r="U6" i="1" s="1"/>
  <c r="AI6" i="1" s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U81" i="1" l="1"/>
  <c r="AI81" i="1" s="1"/>
  <c r="U95" i="1"/>
  <c r="AI95" i="1" s="1"/>
  <c r="U37" i="1"/>
  <c r="AI37" i="1" s="1"/>
  <c r="U104" i="1"/>
  <c r="AI104" i="1" s="1"/>
  <c r="AI109" i="1"/>
  <c r="T109" i="1"/>
  <c r="W109" i="1" s="1"/>
  <c r="AI42" i="1"/>
  <c r="T42" i="1"/>
  <c r="V42" i="1" s="1"/>
  <c r="AI43" i="1"/>
  <c r="T43" i="1"/>
  <c r="V43" i="1" s="1"/>
  <c r="M55" i="1"/>
  <c r="T55" i="1" s="1"/>
  <c r="W55" i="1" s="1"/>
  <c r="V130" i="1"/>
  <c r="U20" i="1"/>
  <c r="AI20" i="1" s="1"/>
  <c r="AI45" i="1"/>
  <c r="AI47" i="1"/>
  <c r="W51" i="1"/>
  <c r="U51" i="1"/>
  <c r="AI51" i="1" s="1"/>
  <c r="W59" i="1"/>
  <c r="AI59" i="1"/>
  <c r="W63" i="1"/>
  <c r="U63" i="1"/>
  <c r="AI63" i="1" s="1"/>
  <c r="W67" i="1"/>
  <c r="AI67" i="1"/>
  <c r="AI70" i="1"/>
  <c r="U89" i="1"/>
  <c r="AI89" i="1" s="1"/>
  <c r="AI113" i="1"/>
  <c r="AI22" i="1"/>
  <c r="AI46" i="1"/>
  <c r="U53" i="1"/>
  <c r="AI53" i="1" s="1"/>
  <c r="W57" i="1"/>
  <c r="AI57" i="1"/>
  <c r="W61" i="1"/>
  <c r="U61" i="1"/>
  <c r="AI61" i="1" s="1"/>
  <c r="W65" i="1"/>
  <c r="AI65" i="1"/>
  <c r="AI69" i="1"/>
  <c r="AI85" i="1"/>
  <c r="AI93" i="1"/>
  <c r="AI117" i="1"/>
  <c r="AI102" i="1"/>
  <c r="W122" i="1"/>
  <c r="AI122" i="1"/>
  <c r="U124" i="1"/>
  <c r="AI124" i="1" s="1"/>
  <c r="AI128" i="1"/>
  <c r="AI19" i="1"/>
  <c r="AI21" i="1"/>
  <c r="W50" i="1"/>
  <c r="AI50" i="1"/>
  <c r="AI54" i="1"/>
  <c r="W56" i="1"/>
  <c r="U56" i="1"/>
  <c r="AI56" i="1" s="1"/>
  <c r="W58" i="1"/>
  <c r="U58" i="1"/>
  <c r="AI58" i="1" s="1"/>
  <c r="W60" i="1"/>
  <c r="AI60" i="1"/>
  <c r="W62" i="1"/>
  <c r="U62" i="1"/>
  <c r="AI62" i="1" s="1"/>
  <c r="W64" i="1"/>
  <c r="AI64" i="1"/>
  <c r="W66" i="1"/>
  <c r="AI66" i="1"/>
  <c r="U71" i="1"/>
  <c r="AI71" i="1" s="1"/>
  <c r="W96" i="1"/>
  <c r="AI121" i="1"/>
  <c r="V48" i="1"/>
  <c r="W48" i="1"/>
  <c r="V73" i="1"/>
  <c r="W73" i="1"/>
  <c r="V87" i="1"/>
  <c r="W87" i="1"/>
  <c r="V91" i="1"/>
  <c r="W91" i="1"/>
  <c r="W95" i="1"/>
  <c r="V115" i="1"/>
  <c r="W115" i="1"/>
  <c r="V119" i="1"/>
  <c r="W119" i="1"/>
  <c r="V100" i="1"/>
  <c r="W100" i="1"/>
  <c r="W104" i="1"/>
  <c r="V126" i="1"/>
  <c r="W126" i="1"/>
  <c r="V131" i="1"/>
  <c r="W131" i="1"/>
  <c r="F5" i="1"/>
  <c r="W46" i="1"/>
  <c r="V52" i="1"/>
  <c r="W53" i="1"/>
  <c r="W70" i="1"/>
  <c r="W85" i="1"/>
  <c r="W89" i="1"/>
  <c r="W93" i="1"/>
  <c r="W102" i="1"/>
  <c r="W106" i="1"/>
  <c r="W113" i="1"/>
  <c r="W117" i="1"/>
  <c r="V122" i="1"/>
  <c r="V123" i="1"/>
  <c r="W124" i="1"/>
  <c r="W128" i="1"/>
  <c r="V133" i="1"/>
  <c r="W7" i="1"/>
  <c r="V7" i="1"/>
  <c r="W9" i="1"/>
  <c r="V9" i="1"/>
  <c r="W11" i="1"/>
  <c r="V11" i="1"/>
  <c r="W13" i="1"/>
  <c r="V13" i="1"/>
  <c r="W15" i="1"/>
  <c r="V15" i="1"/>
  <c r="W17" i="1"/>
  <c r="V17" i="1"/>
  <c r="W24" i="1"/>
  <c r="V24" i="1"/>
  <c r="W26" i="1"/>
  <c r="V26" i="1"/>
  <c r="W29" i="1"/>
  <c r="V29" i="1"/>
  <c r="W32" i="1"/>
  <c r="V32" i="1"/>
  <c r="W35" i="1"/>
  <c r="V35" i="1"/>
  <c r="W37" i="1"/>
  <c r="W39" i="1"/>
  <c r="V39" i="1"/>
  <c r="W41" i="1"/>
  <c r="V41" i="1"/>
  <c r="W6" i="1"/>
  <c r="V6" i="1"/>
  <c r="W8" i="1"/>
  <c r="V8" i="1"/>
  <c r="W10" i="1"/>
  <c r="V10" i="1"/>
  <c r="W12" i="1"/>
  <c r="V12" i="1"/>
  <c r="W14" i="1"/>
  <c r="V14" i="1"/>
  <c r="W16" i="1"/>
  <c r="V16" i="1"/>
  <c r="W18" i="1"/>
  <c r="V18" i="1"/>
  <c r="W25" i="1"/>
  <c r="V25" i="1"/>
  <c r="W28" i="1"/>
  <c r="V28" i="1"/>
  <c r="W30" i="1"/>
  <c r="V30" i="1"/>
  <c r="W34" i="1"/>
  <c r="V34" i="1"/>
  <c r="W36" i="1"/>
  <c r="V36" i="1"/>
  <c r="W38" i="1"/>
  <c r="V38" i="1"/>
  <c r="W40" i="1"/>
  <c r="V40" i="1"/>
  <c r="V44" i="1"/>
  <c r="W44" i="1"/>
  <c r="W19" i="1"/>
  <c r="W20" i="1"/>
  <c r="W21" i="1"/>
  <c r="W22" i="1"/>
  <c r="W23" i="1"/>
  <c r="W27" i="1"/>
  <c r="W31" i="1"/>
  <c r="W33" i="1"/>
  <c r="W74" i="1"/>
  <c r="V74" i="1"/>
  <c r="W76" i="1"/>
  <c r="V76" i="1"/>
  <c r="W78" i="1"/>
  <c r="V78" i="1"/>
  <c r="W80" i="1"/>
  <c r="V80" i="1"/>
  <c r="W82" i="1"/>
  <c r="V82" i="1"/>
  <c r="V84" i="1"/>
  <c r="W84" i="1"/>
  <c r="V88" i="1"/>
  <c r="W88" i="1"/>
  <c r="V92" i="1"/>
  <c r="W92" i="1"/>
  <c r="L96" i="1"/>
  <c r="L5" i="1" s="1"/>
  <c r="W98" i="1"/>
  <c r="V98" i="1"/>
  <c r="V101" i="1"/>
  <c r="W101" i="1"/>
  <c r="V105" i="1"/>
  <c r="W105" i="1"/>
  <c r="W108" i="1"/>
  <c r="V108" i="1"/>
  <c r="W110" i="1"/>
  <c r="V110" i="1"/>
  <c r="V112" i="1"/>
  <c r="W112" i="1"/>
  <c r="V116" i="1"/>
  <c r="W116" i="1"/>
  <c r="V120" i="1"/>
  <c r="W120" i="1"/>
  <c r="V127" i="1"/>
  <c r="W127" i="1"/>
  <c r="V132" i="1"/>
  <c r="W132" i="1"/>
  <c r="E5" i="1"/>
  <c r="W45" i="1"/>
  <c r="W47" i="1"/>
  <c r="W49" i="1"/>
  <c r="W54" i="1"/>
  <c r="V64" i="1"/>
  <c r="V68" i="1"/>
  <c r="W69" i="1"/>
  <c r="W71" i="1"/>
  <c r="V72" i="1"/>
  <c r="W72" i="1"/>
  <c r="W75" i="1"/>
  <c r="V75" i="1"/>
  <c r="W77" i="1"/>
  <c r="V77" i="1"/>
  <c r="W79" i="1"/>
  <c r="V79" i="1"/>
  <c r="W81" i="1"/>
  <c r="W83" i="1"/>
  <c r="V83" i="1"/>
  <c r="V86" i="1"/>
  <c r="W86" i="1"/>
  <c r="V90" i="1"/>
  <c r="W90" i="1"/>
  <c r="V94" i="1"/>
  <c r="W94" i="1"/>
  <c r="W97" i="1"/>
  <c r="V97" i="1"/>
  <c r="V99" i="1"/>
  <c r="W99" i="1"/>
  <c r="V103" i="1"/>
  <c r="W103" i="1"/>
  <c r="W107" i="1"/>
  <c r="V107" i="1"/>
  <c r="W111" i="1"/>
  <c r="V111" i="1"/>
  <c r="V114" i="1"/>
  <c r="W114" i="1"/>
  <c r="V118" i="1"/>
  <c r="W118" i="1"/>
  <c r="V125" i="1"/>
  <c r="W125" i="1"/>
  <c r="V129" i="1"/>
  <c r="W129" i="1"/>
  <c r="V96" i="1"/>
  <c r="V81" i="1" l="1"/>
  <c r="W43" i="1"/>
  <c r="V95" i="1"/>
  <c r="V109" i="1"/>
  <c r="W42" i="1"/>
  <c r="V58" i="1"/>
  <c r="V37" i="1"/>
  <c r="V104" i="1"/>
  <c r="M5" i="1"/>
  <c r="AI55" i="1"/>
  <c r="AI5" i="1" s="1"/>
  <c r="V67" i="1"/>
  <c r="V60" i="1"/>
  <c r="V66" i="1"/>
  <c r="V62" i="1"/>
  <c r="V59" i="1"/>
  <c r="V56" i="1"/>
  <c r="T5" i="1"/>
  <c r="V63" i="1"/>
  <c r="V51" i="1"/>
  <c r="V113" i="1"/>
  <c r="V89" i="1"/>
  <c r="V70" i="1"/>
  <c r="V47" i="1"/>
  <c r="V45" i="1"/>
  <c r="V20" i="1"/>
  <c r="U5" i="1"/>
  <c r="V65" i="1"/>
  <c r="V61" i="1"/>
  <c r="V57" i="1"/>
  <c r="V121" i="1"/>
  <c r="V50" i="1"/>
  <c r="V71" i="1"/>
  <c r="V54" i="1"/>
  <c r="V21" i="1"/>
  <c r="V19" i="1"/>
  <c r="V128" i="1"/>
  <c r="V124" i="1"/>
  <c r="V102" i="1"/>
  <c r="V117" i="1"/>
  <c r="V93" i="1"/>
  <c r="V85" i="1"/>
  <c r="V69" i="1"/>
  <c r="V53" i="1"/>
  <c r="V46" i="1"/>
  <c r="V22" i="1"/>
  <c r="V55" i="1" l="1"/>
</calcChain>
</file>

<file path=xl/sharedStrings.xml><?xml version="1.0" encoding="utf-8"?>
<sst xmlns="http://schemas.openxmlformats.org/spreadsheetml/2006/main" count="478" uniqueCount="194">
  <si>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</si>
  <si>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</si>
  <si>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</si>
  <si>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</si>
  <si>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</si>
  <si>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</si>
  <si>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</si>
  <si>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</si>
  <si>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</si>
  <si>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</si>
  <si>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</si>
  <si>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</si>
  <si>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</si>
  <si>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</si>
  <si>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</si>
  <si>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</si>
  <si>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</si>
  <si>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</si>
  <si>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</si>
  <si>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</si>
  <si>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</si>
  <si>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</si>
  <si>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</si>
  <si>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17,10,</t>
  </si>
  <si>
    <t>19,10,</t>
  </si>
  <si>
    <t>19,10,доз</t>
  </si>
  <si>
    <t>20,10,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</si>
  <si>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</si>
  <si>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</si>
  <si>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</si>
  <si>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</si>
  <si>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</si>
  <si>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</si>
  <si>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</si>
  <si>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</si>
  <si>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</si>
  <si>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</si>
  <si>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</si>
  <si>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</si>
  <si>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</si>
  <si>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</si>
  <si>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</si>
  <si>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</si>
  <si>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</si>
  <si>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</si>
  <si>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</si>
  <si>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</si>
  <si>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</si>
  <si>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</si>
  <si>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</si>
  <si>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</si>
  <si>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</si>
  <si>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</si>
  <si>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</si>
  <si>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</si>
  <si>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</si>
  <si>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</si>
  <si>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</si>
  <si>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</si>
  <si>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</si>
  <si>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</si>
  <si>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</si>
  <si>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</si>
  <si>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</si>
  <si>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</si>
  <si>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</si>
  <si>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</si>
  <si>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</si>
  <si>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</si>
  <si>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</si>
  <si>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</si>
  <si>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</si>
  <si>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</si>
  <si>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</si>
  <si>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</si>
  <si>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</si>
  <si>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</si>
  <si>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</si>
  <si>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</si>
  <si>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</si>
  <si>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</si>
  <si>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</si>
  <si>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</si>
  <si>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</si>
  <si>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</si>
  <si>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</si>
  <si>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</si>
  <si>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</si>
  <si>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</si>
  <si>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</si>
  <si>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</si>
  <si>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</si>
  <si>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</si>
  <si>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</si>
  <si>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</si>
  <si>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</si>
  <si>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</si>
  <si>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</si>
  <si>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</si>
  <si>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</si>
  <si>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</si>
  <si>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</si>
  <si>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</si>
  <si>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</si>
  <si>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</si>
  <si>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</si>
  <si>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</si>
  <si>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</si>
  <si>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</si>
  <si>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</si>
  <si>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</si>
  <si>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</si>
  <si>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</si>
  <si>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</si>
  <si>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</si>
  <si>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</si>
  <si>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</si>
  <si>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</si>
  <si>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</si>
  <si>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</si>
  <si>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</si>
  <si>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</si>
  <si>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1200шт заказано под ЮТ (30,09,26)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</si>
  <si>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</si>
  <si>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</si>
  <si>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</si>
  <si>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</si>
  <si>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</si>
  <si>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</si>
  <si>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</si>
  <si>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</si>
  <si>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</si>
  <si>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</si>
  <si>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</si>
  <si>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</si>
  <si>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</si>
  <si>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</si>
  <si>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</si>
  <si>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</si>
  <si>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</si>
  <si>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</si>
  <si>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</si>
  <si>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</si>
  <si>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</si>
  <si>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403шт списано (29,09,26)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</si>
  <si>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</si>
  <si>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</si>
  <si>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</si>
  <si>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</si>
  <si>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</si>
  <si>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</si>
  <si>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</si>
  <si>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</si>
  <si>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</si>
  <si>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</si>
  <si>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</si>
  <si>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</si>
  <si>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</si>
  <si>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</si>
  <si>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</si>
  <si>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</si>
  <si>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</si>
  <si>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</si>
  <si>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</si>
  <si>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</si>
  <si>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</si>
  <si>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</si>
  <si>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</si>
  <si>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</si>
  <si>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</si>
  <si>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</si>
  <si>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</si>
  <si>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</si>
  <si>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</si>
  <si>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</si>
  <si>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</si>
  <si>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</si>
  <si>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</si>
  <si>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</si>
  <si>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</si>
  <si>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</si>
  <si>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</si>
  <si>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</si>
  <si>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</si>
  <si>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</si>
  <si>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</si>
  <si>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SU002971 / нет потребности</t>
  </si>
  <si>
    <t>Сосиски Ганноверские Бордо Весовые П/а мгс Баварушка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</si>
  <si>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</si>
  <si>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28кг в уценке (07,10,26)</t>
    </r>
  </si>
  <si>
    <t>22шт списано (19,10,26)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</si>
  <si>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 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</si>
  <si>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356шт в уценку (07,10,26) / 85шт в уценку (01,10,26)</t>
    </r>
  </si>
  <si>
    <t>18шт списано (19,09,26) / 19 шт списано (12,07,26)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</si>
</sst>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6" fillId="0" borderId="1" xfId="1" applyNumberFormat="1" applyFont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3" width="6.85546875" customWidth="1"/>
    <col min="34" max="34" width="32.7109375" customWidth="1"/>
    <col min="35" max="35" width="7" customWidth="1"/>
    <col min="36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26</v>
      </c>
      <c r="U4" s="1"/>
      <c r="V4" s="1"/>
      <c r="W4" s="1"/>
      <c r="X4" s="1" t="s">
        <v>27</v>
      </c>
      <c r="Y4" s="1" t="s">
        <v>22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67701.293000000005</v>
      </c>
      <c r="F5" s="4">
        <f>SUM(F6:F500)</f>
        <v>48666.577999999994</v>
      </c>
      <c r="G5" s="7"/>
      <c r="H5" s="1"/>
      <c r="I5" s="1"/>
      <c r="J5" s="1"/>
      <c r="K5" s="4">
        <f t="shared" ref="K5:U5" si="0">SUM(K6:K500)</f>
        <v>73433.218000000008</v>
      </c>
      <c r="L5" s="4">
        <f t="shared" si="0"/>
        <v>-5731.9250000000011</v>
      </c>
      <c r="M5" s="4">
        <f t="shared" si="0"/>
        <v>61099.653999999988</v>
      </c>
      <c r="N5" s="4">
        <f t="shared" si="0"/>
        <v>6601.639000000001</v>
      </c>
      <c r="O5" s="4">
        <f t="shared" si="0"/>
        <v>23158.682937056001</v>
      </c>
      <c r="P5" s="4">
        <f t="shared" si="0"/>
        <v>14163.382248000002</v>
      </c>
      <c r="Q5" s="4">
        <f t="shared" si="0"/>
        <v>22128.504321299999</v>
      </c>
      <c r="R5" s="4">
        <f t="shared" si="0"/>
        <v>100</v>
      </c>
      <c r="S5" s="4">
        <f t="shared" si="0"/>
        <v>22074.795142700001</v>
      </c>
      <c r="T5" s="4">
        <f t="shared" si="0"/>
        <v>12219.930800000004</v>
      </c>
      <c r="U5" s="4">
        <f t="shared" si="0"/>
        <v>20088.987756577</v>
      </c>
      <c r="V5" s="1"/>
      <c r="W5" s="1"/>
      <c r="X5" s="4">
        <f t="shared" ref="X5:AG5" si="1">SUM(X6:X500)</f>
        <v>12002.606600000001</v>
      </c>
      <c r="Y5" s="4">
        <f t="shared" si="1"/>
        <v>12253.452400000006</v>
      </c>
      <c r="Z5" s="4">
        <f t="shared" si="1"/>
        <v>11896.36</v>
      </c>
      <c r="AA5" s="4">
        <f t="shared" si="1"/>
        <v>10362.461600000004</v>
      </c>
      <c r="AB5" s="4">
        <f t="shared" si="1"/>
        <v>10484.75300000001</v>
      </c>
      <c r="AC5" s="4">
        <f t="shared" si="1"/>
        <v>12416.699399999992</v>
      </c>
      <c r="AD5" s="4">
        <f t="shared" si="1"/>
        <v>11708.138999999994</v>
      </c>
      <c r="AE5" s="4">
        <f t="shared" si="1"/>
        <v>12733.619199999997</v>
      </c>
      <c r="AF5" s="4">
        <f t="shared" si="1"/>
        <v>12494.7556</v>
      </c>
      <c r="AG5" s="4">
        <f t="shared" si="1"/>
        <v>12634.5478</v>
      </c>
      <c r="AH5" s="1"/>
      <c r="AI5" s="4">
        <f>SUM(AI6:AI500)</f>
        <v>17646.926573227003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100.125</v>
      </c>
      <c r="D6" s="1">
        <v>5557.3440000000001</v>
      </c>
      <c r="E6" s="1">
        <v>1557.5509999999999</v>
      </c>
      <c r="F6" s="1">
        <v>2067.7570000000001</v>
      </c>
      <c r="G6" s="7">
        <v>1</v>
      </c>
      <c r="H6" s="1">
        <v>50</v>
      </c>
      <c r="I6" s="1" t="s">
        <v>38</v>
      </c>
      <c r="J6" s="1"/>
      <c r="K6" s="1">
        <v>1780.037</v>
      </c>
      <c r="L6" s="1">
        <f t="shared" ref="L6:L37" si="2">E6-K6</f>
        <v>-222.4860000000001</v>
      </c>
      <c r="M6" s="1">
        <f t="shared" ref="M6:M37" si="3">E6-N6</f>
        <v>1449.3209999999999</v>
      </c>
      <c r="N6" s="1">
        <v>108.23</v>
      </c>
      <c r="O6" s="1"/>
      <c r="P6" s="1">
        <v>650</v>
      </c>
      <c r="Q6" s="1">
        <v>121.75</v>
      </c>
      <c r="R6" s="1"/>
      <c r="S6" s="1">
        <v>128.25</v>
      </c>
      <c r="T6" s="1">
        <f t="shared" ref="T6:T37" si="4">M6/5</f>
        <v>289.86419999999998</v>
      </c>
      <c r="U6" s="5">
        <f>11*T6-S6-R6-Q6-P6-O6-F6</f>
        <v>220.74919999999975</v>
      </c>
      <c r="V6" s="1">
        <f t="shared" ref="V6:V37" si="5">(F6+O6+P6+Q6+R6+S6+U6)/T6</f>
        <v>11</v>
      </c>
      <c r="W6" s="1">
        <f t="shared" ref="W6:W37" si="6">(F6+O6+P6+Q6+R6+S6)/T6</f>
        <v>10.238439241548285</v>
      </c>
      <c r="X6" s="1">
        <v>319.28379999999999</v>
      </c>
      <c r="Y6" s="1">
        <v>352.44439999999997</v>
      </c>
      <c r="Z6" s="1">
        <v>386.90719999999999</v>
      </c>
      <c r="AA6" s="1">
        <v>372.88260000000002</v>
      </c>
      <c r="AB6" s="1">
        <v>253.00800000000001</v>
      </c>
      <c r="AC6" s="1">
        <v>347.27100000000002</v>
      </c>
      <c r="AD6" s="1">
        <v>256.87139999999999</v>
      </c>
      <c r="AE6" s="1">
        <v>307.10719999999998</v>
      </c>
      <c r="AF6" s="1">
        <v>314.50659999999999</v>
      </c>
      <c r="AG6" s="1">
        <v>330.37540000000001</v>
      </c>
      <c r="AH6" s="1"/>
      <c r="AI6" s="1">
        <f t="shared" ref="AI6:AI17" si="7">G6*U6</f>
        <v>220.74919999999975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1017.9160000000001</v>
      </c>
      <c r="D7" s="1">
        <v>1300.1880000000001</v>
      </c>
      <c r="E7" s="1">
        <v>808.31200000000001</v>
      </c>
      <c r="F7" s="1">
        <v>901.80799999999999</v>
      </c>
      <c r="G7" s="7">
        <v>1</v>
      </c>
      <c r="H7" s="1">
        <v>45</v>
      </c>
      <c r="I7" s="1" t="s">
        <v>38</v>
      </c>
      <c r="J7" s="1"/>
      <c r="K7" s="1">
        <v>803.06799999999998</v>
      </c>
      <c r="L7" s="1">
        <f t="shared" si="2"/>
        <v>5.2440000000000282</v>
      </c>
      <c r="M7" s="1">
        <f t="shared" si="3"/>
        <v>753.44399999999996</v>
      </c>
      <c r="N7" s="1">
        <v>54.868000000000002</v>
      </c>
      <c r="O7" s="1"/>
      <c r="P7" s="1">
        <v>350</v>
      </c>
      <c r="Q7" s="1">
        <v>194.8</v>
      </c>
      <c r="R7" s="1"/>
      <c r="S7" s="1">
        <v>205.2</v>
      </c>
      <c r="T7" s="1">
        <f t="shared" si="4"/>
        <v>150.68879999999999</v>
      </c>
      <c r="U7" s="5">
        <f t="shared" ref="U7:U17" si="8">11*T7-S7-R7-Q7-P7-O7-F7</f>
        <v>5.7687999999998283</v>
      </c>
      <c r="V7" s="1">
        <f t="shared" si="5"/>
        <v>11</v>
      </c>
      <c r="W7" s="1">
        <f t="shared" si="6"/>
        <v>10.961717128280272</v>
      </c>
      <c r="X7" s="1">
        <v>159.678</v>
      </c>
      <c r="Y7" s="1">
        <v>169.86320000000001</v>
      </c>
      <c r="Z7" s="1">
        <v>158.95939999999999</v>
      </c>
      <c r="AA7" s="1">
        <v>146.95519999999999</v>
      </c>
      <c r="AB7" s="1">
        <v>170.70339999999999</v>
      </c>
      <c r="AC7" s="1">
        <v>199.7456</v>
      </c>
      <c r="AD7" s="1">
        <v>203.16059999999999</v>
      </c>
      <c r="AE7" s="1">
        <v>215.5368</v>
      </c>
      <c r="AF7" s="1">
        <v>330.04300000000001</v>
      </c>
      <c r="AG7" s="1">
        <v>367.75</v>
      </c>
      <c r="AH7" s="1"/>
      <c r="AI7" s="1">
        <f t="shared" si="7"/>
        <v>5.7687999999998283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2649.951</v>
      </c>
      <c r="D8" s="1">
        <v>5604.2209999999995</v>
      </c>
      <c r="E8" s="1">
        <v>3738.9140000000002</v>
      </c>
      <c r="F8" s="1">
        <v>1312.17</v>
      </c>
      <c r="G8" s="7">
        <v>1</v>
      </c>
      <c r="H8" s="1">
        <v>45</v>
      </c>
      <c r="I8" s="9" t="s">
        <v>41</v>
      </c>
      <c r="J8" s="1"/>
      <c r="K8" s="1">
        <v>3773.806</v>
      </c>
      <c r="L8" s="1">
        <f t="shared" si="2"/>
        <v>-34.891999999999825</v>
      </c>
      <c r="M8" s="1">
        <f t="shared" si="3"/>
        <v>2406.5930000000003</v>
      </c>
      <c r="N8" s="1">
        <v>1332.3209999999999</v>
      </c>
      <c r="O8" s="1">
        <v>438.74849425400038</v>
      </c>
      <c r="P8" s="1">
        <v>23.98744799999929</v>
      </c>
      <c r="Q8" s="1">
        <v>1655.8</v>
      </c>
      <c r="R8" s="1"/>
      <c r="S8" s="1">
        <v>1744.2</v>
      </c>
      <c r="T8" s="1">
        <f t="shared" si="4"/>
        <v>481.31860000000006</v>
      </c>
      <c r="U8" s="5">
        <f t="shared" si="8"/>
        <v>119.59865774600075</v>
      </c>
      <c r="V8" s="1">
        <f t="shared" si="5"/>
        <v>10.999999999999998</v>
      </c>
      <c r="W8" s="1">
        <f t="shared" si="6"/>
        <v>10.751518728455537</v>
      </c>
      <c r="X8" s="1">
        <v>503.94539999999989</v>
      </c>
      <c r="Y8" s="1">
        <v>492.78300000000002</v>
      </c>
      <c r="Z8" s="1">
        <v>482.3218</v>
      </c>
      <c r="AA8" s="1">
        <v>477.91320000000002</v>
      </c>
      <c r="AB8" s="1">
        <v>591.2826</v>
      </c>
      <c r="AC8" s="1">
        <v>723.93399999999997</v>
      </c>
      <c r="AD8" s="1">
        <v>580.02659999999992</v>
      </c>
      <c r="AE8" s="1">
        <v>625.75400000000002</v>
      </c>
      <c r="AF8" s="1">
        <v>800.88400000000001</v>
      </c>
      <c r="AG8" s="1">
        <v>833.0154</v>
      </c>
      <c r="AH8" s="1"/>
      <c r="AI8" s="1">
        <f t="shared" si="7"/>
        <v>119.59865774600075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43</v>
      </c>
      <c r="C9" s="1">
        <v>34</v>
      </c>
      <c r="D9" s="1">
        <v>4</v>
      </c>
      <c r="E9" s="1">
        <v>12</v>
      </c>
      <c r="F9" s="1">
        <v>17</v>
      </c>
      <c r="G9" s="7">
        <v>0.4</v>
      </c>
      <c r="H9" s="1">
        <v>50</v>
      </c>
      <c r="I9" s="1" t="s">
        <v>38</v>
      </c>
      <c r="J9" s="1"/>
      <c r="K9" s="1">
        <v>14</v>
      </c>
      <c r="L9" s="1">
        <f t="shared" si="2"/>
        <v>-2</v>
      </c>
      <c r="M9" s="1">
        <f t="shared" si="3"/>
        <v>12</v>
      </c>
      <c r="N9" s="1"/>
      <c r="O9" s="1"/>
      <c r="P9" s="1">
        <v>0</v>
      </c>
      <c r="Q9" s="1">
        <v>0</v>
      </c>
      <c r="R9" s="1"/>
      <c r="S9" s="1"/>
      <c r="T9" s="1">
        <f t="shared" si="4"/>
        <v>2.4</v>
      </c>
      <c r="U9" s="5">
        <f t="shared" si="8"/>
        <v>9.3999999999999986</v>
      </c>
      <c r="V9" s="1">
        <f t="shared" si="5"/>
        <v>11</v>
      </c>
      <c r="W9" s="1">
        <f t="shared" si="6"/>
        <v>7.0833333333333339</v>
      </c>
      <c r="X9" s="1">
        <v>1</v>
      </c>
      <c r="Y9" s="1">
        <v>0.6</v>
      </c>
      <c r="Z9" s="1">
        <v>1.2</v>
      </c>
      <c r="AA9" s="1">
        <v>0.6</v>
      </c>
      <c r="AB9" s="1">
        <v>-0.2</v>
      </c>
      <c r="AC9" s="1">
        <v>0.2</v>
      </c>
      <c r="AD9" s="1">
        <v>2.2000000000000002</v>
      </c>
      <c r="AE9" s="1">
        <v>2</v>
      </c>
      <c r="AF9" s="1">
        <v>0</v>
      </c>
      <c r="AG9" s="1">
        <v>0.2</v>
      </c>
      <c r="AH9" s="17" t="s">
        <v>193</v>
      </c>
      <c r="AI9" s="1">
        <f t="shared" si="7"/>
        <v>3.76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43</v>
      </c>
      <c r="C10" s="1">
        <v>4455</v>
      </c>
      <c r="D10" s="1">
        <v>1866</v>
      </c>
      <c r="E10" s="1">
        <v>1682.5229999999999</v>
      </c>
      <c r="F10" s="1">
        <v>3153</v>
      </c>
      <c r="G10" s="7">
        <v>0.45</v>
      </c>
      <c r="H10" s="1">
        <v>45</v>
      </c>
      <c r="I10" s="1" t="s">
        <v>38</v>
      </c>
      <c r="J10" s="1"/>
      <c r="K10" s="1">
        <v>1846</v>
      </c>
      <c r="L10" s="1">
        <f t="shared" si="2"/>
        <v>-163.47700000000009</v>
      </c>
      <c r="M10" s="1">
        <f t="shared" si="3"/>
        <v>1682.5229999999999</v>
      </c>
      <c r="N10" s="1"/>
      <c r="O10" s="1"/>
      <c r="P10" s="1">
        <v>0</v>
      </c>
      <c r="Q10" s="1">
        <v>560.04999999999995</v>
      </c>
      <c r="R10" s="1"/>
      <c r="S10" s="1">
        <v>589.95000000000005</v>
      </c>
      <c r="T10" s="1">
        <f t="shared" si="4"/>
        <v>336.50459999999998</v>
      </c>
      <c r="U10" s="5"/>
      <c r="V10" s="1">
        <f t="shared" si="5"/>
        <v>12.787343768851898</v>
      </c>
      <c r="W10" s="1">
        <f t="shared" si="6"/>
        <v>12.787343768851898</v>
      </c>
      <c r="X10" s="1">
        <v>355.70460000000003</v>
      </c>
      <c r="Y10" s="1">
        <v>371.6</v>
      </c>
      <c r="Z10" s="1">
        <v>309.39999999999998</v>
      </c>
      <c r="AA10" s="1">
        <v>244.8</v>
      </c>
      <c r="AB10" s="1">
        <v>244.4</v>
      </c>
      <c r="AC10" s="1">
        <v>326</v>
      </c>
      <c r="AD10" s="1">
        <v>640.6</v>
      </c>
      <c r="AE10" s="1">
        <v>845.8</v>
      </c>
      <c r="AF10" s="1">
        <v>569</v>
      </c>
      <c r="AG10" s="1">
        <v>530.86719999999991</v>
      </c>
      <c r="AH10" s="1"/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43</v>
      </c>
      <c r="C11" s="1">
        <v>1860</v>
      </c>
      <c r="D11" s="1">
        <v>4511.12</v>
      </c>
      <c r="E11" s="1">
        <v>1922.12</v>
      </c>
      <c r="F11" s="1">
        <v>1225</v>
      </c>
      <c r="G11" s="7">
        <v>0.45</v>
      </c>
      <c r="H11" s="1">
        <v>45</v>
      </c>
      <c r="I11" s="1" t="s">
        <v>38</v>
      </c>
      <c r="J11" s="1"/>
      <c r="K11" s="1">
        <v>2874</v>
      </c>
      <c r="L11" s="1">
        <f t="shared" si="2"/>
        <v>-951.88000000000011</v>
      </c>
      <c r="M11" s="1">
        <f t="shared" si="3"/>
        <v>1922.12</v>
      </c>
      <c r="N11" s="1"/>
      <c r="O11" s="1">
        <v>1752.0859559999999</v>
      </c>
      <c r="P11" s="1"/>
      <c r="Q11" s="1">
        <v>1168.8</v>
      </c>
      <c r="R11" s="1"/>
      <c r="S11" s="1">
        <v>1231.2</v>
      </c>
      <c r="T11" s="1">
        <f t="shared" si="4"/>
        <v>384.42399999999998</v>
      </c>
      <c r="U11" s="5"/>
      <c r="V11" s="1">
        <f t="shared" si="5"/>
        <v>13.987383607683183</v>
      </c>
      <c r="W11" s="1">
        <f t="shared" si="6"/>
        <v>13.987383607683183</v>
      </c>
      <c r="X11" s="1">
        <v>495.62400000000002</v>
      </c>
      <c r="Y11" s="1">
        <v>526.79999999999995</v>
      </c>
      <c r="Z11" s="1">
        <v>472.2</v>
      </c>
      <c r="AA11" s="1">
        <v>409.6</v>
      </c>
      <c r="AB11" s="1">
        <v>413.8</v>
      </c>
      <c r="AC11" s="1">
        <v>502.6</v>
      </c>
      <c r="AD11" s="1">
        <v>524</v>
      </c>
      <c r="AE11" s="1">
        <v>664.8</v>
      </c>
      <c r="AF11" s="1">
        <v>660.6</v>
      </c>
      <c r="AG11" s="1">
        <v>572.67619999999999</v>
      </c>
      <c r="AH11" s="1"/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43</v>
      </c>
      <c r="C12" s="1">
        <v>117</v>
      </c>
      <c r="D12" s="1">
        <v>207</v>
      </c>
      <c r="E12" s="1">
        <v>138</v>
      </c>
      <c r="F12" s="1">
        <v>29</v>
      </c>
      <c r="G12" s="7">
        <v>0.17</v>
      </c>
      <c r="H12" s="1">
        <v>180</v>
      </c>
      <c r="I12" s="1" t="s">
        <v>38</v>
      </c>
      <c r="J12" s="1"/>
      <c r="K12" s="1">
        <v>147</v>
      </c>
      <c r="L12" s="1">
        <f t="shared" si="2"/>
        <v>-9</v>
      </c>
      <c r="M12" s="1">
        <f t="shared" si="3"/>
        <v>138</v>
      </c>
      <c r="N12" s="1"/>
      <c r="O12" s="1"/>
      <c r="P12" s="1">
        <v>0</v>
      </c>
      <c r="Q12" s="1">
        <v>89.997600000000006</v>
      </c>
      <c r="R12" s="1"/>
      <c r="S12" s="1">
        <v>94.802400000000006</v>
      </c>
      <c r="T12" s="1">
        <f t="shared" si="4"/>
        <v>27.6</v>
      </c>
      <c r="U12" s="5">
        <f t="shared" si="8"/>
        <v>89.800000000000011</v>
      </c>
      <c r="V12" s="1">
        <f t="shared" si="5"/>
        <v>11</v>
      </c>
      <c r="W12" s="1">
        <f t="shared" si="6"/>
        <v>7.7463768115942031</v>
      </c>
      <c r="X12" s="1">
        <v>24.8</v>
      </c>
      <c r="Y12" s="1">
        <v>14.2</v>
      </c>
      <c r="Z12" s="1">
        <v>17.8</v>
      </c>
      <c r="AA12" s="1">
        <v>23</v>
      </c>
      <c r="AB12" s="1">
        <v>14.8</v>
      </c>
      <c r="AC12" s="1">
        <v>14.8</v>
      </c>
      <c r="AD12" s="1">
        <v>22.2</v>
      </c>
      <c r="AE12" s="1">
        <v>26</v>
      </c>
      <c r="AF12" s="1">
        <v>20.399999999999999</v>
      </c>
      <c r="AG12" s="1">
        <v>9.4</v>
      </c>
      <c r="AH12" s="1"/>
      <c r="AI12" s="1">
        <f t="shared" si="7"/>
        <v>15.266000000000004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43</v>
      </c>
      <c r="C13" s="1">
        <v>82</v>
      </c>
      <c r="D13" s="1">
        <v>28</v>
      </c>
      <c r="E13" s="1">
        <v>66</v>
      </c>
      <c r="F13" s="1">
        <v>5</v>
      </c>
      <c r="G13" s="7">
        <v>0.3</v>
      </c>
      <c r="H13" s="1">
        <v>40</v>
      </c>
      <c r="I13" s="1" t="s">
        <v>38</v>
      </c>
      <c r="J13" s="1"/>
      <c r="K13" s="1">
        <v>72</v>
      </c>
      <c r="L13" s="1">
        <f t="shared" si="2"/>
        <v>-6</v>
      </c>
      <c r="M13" s="1">
        <f t="shared" si="3"/>
        <v>66</v>
      </c>
      <c r="N13" s="1"/>
      <c r="O13" s="1"/>
      <c r="P13" s="1">
        <v>8.1999999999999886</v>
      </c>
      <c r="Q13" s="1">
        <v>88.200000000000017</v>
      </c>
      <c r="R13" s="1"/>
      <c r="S13" s="1"/>
      <c r="T13" s="1">
        <f t="shared" si="4"/>
        <v>13.2</v>
      </c>
      <c r="U13" s="5">
        <f t="shared" si="8"/>
        <v>43.799999999999983</v>
      </c>
      <c r="V13" s="1">
        <f t="shared" si="5"/>
        <v>11</v>
      </c>
      <c r="W13" s="1">
        <f t="shared" si="6"/>
        <v>7.6818181818181825</v>
      </c>
      <c r="X13" s="1">
        <v>12.4</v>
      </c>
      <c r="Y13" s="1">
        <v>8.1999999999999993</v>
      </c>
      <c r="Z13" s="1">
        <v>4.8</v>
      </c>
      <c r="AA13" s="1">
        <v>7.2</v>
      </c>
      <c r="AB13" s="1">
        <v>7</v>
      </c>
      <c r="AC13" s="1">
        <v>7.6</v>
      </c>
      <c r="AD13" s="1">
        <v>9.4</v>
      </c>
      <c r="AE13" s="1">
        <v>6.8</v>
      </c>
      <c r="AF13" s="1">
        <v>5.8</v>
      </c>
      <c r="AG13" s="1">
        <v>9.1999999999999993</v>
      </c>
      <c r="AH13" s="1"/>
      <c r="AI13" s="1">
        <f t="shared" si="7"/>
        <v>13.139999999999995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43</v>
      </c>
      <c r="C14" s="1">
        <v>73</v>
      </c>
      <c r="D14" s="1">
        <v>545</v>
      </c>
      <c r="E14" s="1">
        <v>190</v>
      </c>
      <c r="F14" s="1">
        <v>292</v>
      </c>
      <c r="G14" s="7">
        <v>0.17</v>
      </c>
      <c r="H14" s="1">
        <v>180</v>
      </c>
      <c r="I14" s="1" t="s">
        <v>38</v>
      </c>
      <c r="J14" s="1"/>
      <c r="K14" s="1">
        <v>197</v>
      </c>
      <c r="L14" s="1">
        <f t="shared" si="2"/>
        <v>-7</v>
      </c>
      <c r="M14" s="1">
        <f t="shared" si="3"/>
        <v>190</v>
      </c>
      <c r="N14" s="1"/>
      <c r="O14" s="1"/>
      <c r="P14" s="1">
        <v>0</v>
      </c>
      <c r="Q14" s="1">
        <v>37.599999999999973</v>
      </c>
      <c r="R14" s="1"/>
      <c r="S14" s="1"/>
      <c r="T14" s="1">
        <f t="shared" si="4"/>
        <v>38</v>
      </c>
      <c r="U14" s="5">
        <f t="shared" si="8"/>
        <v>88.400000000000034</v>
      </c>
      <c r="V14" s="1">
        <f t="shared" si="5"/>
        <v>11</v>
      </c>
      <c r="W14" s="1">
        <f t="shared" si="6"/>
        <v>8.6736842105263143</v>
      </c>
      <c r="X14" s="1">
        <v>32.799999999999997</v>
      </c>
      <c r="Y14" s="1">
        <v>27.8</v>
      </c>
      <c r="Z14" s="1">
        <v>39</v>
      </c>
      <c r="AA14" s="1">
        <v>53.6</v>
      </c>
      <c r="AB14" s="1">
        <v>48.6</v>
      </c>
      <c r="AC14" s="1">
        <v>35.6</v>
      </c>
      <c r="AD14" s="1">
        <v>33.4</v>
      </c>
      <c r="AE14" s="1">
        <v>40.6</v>
      </c>
      <c r="AF14" s="1">
        <v>38.6</v>
      </c>
      <c r="AG14" s="1">
        <v>32.799999999999997</v>
      </c>
      <c r="AH14" s="1"/>
      <c r="AI14" s="1">
        <f t="shared" si="7"/>
        <v>15.028000000000008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37</v>
      </c>
      <c r="C15" s="1">
        <v>2683.4540000000002</v>
      </c>
      <c r="D15" s="1">
        <v>7767.7749999999996</v>
      </c>
      <c r="E15" s="1">
        <v>4280.1639999999998</v>
      </c>
      <c r="F15" s="1">
        <v>2893.7860000000001</v>
      </c>
      <c r="G15" s="7">
        <v>1</v>
      </c>
      <c r="H15" s="1">
        <v>70</v>
      </c>
      <c r="I15" s="1" t="s">
        <v>38</v>
      </c>
      <c r="J15" s="1"/>
      <c r="K15" s="1">
        <v>4170.7790000000005</v>
      </c>
      <c r="L15" s="1">
        <f t="shared" si="2"/>
        <v>109.38499999999931</v>
      </c>
      <c r="M15" s="1">
        <f t="shared" si="3"/>
        <v>3207.37</v>
      </c>
      <c r="N15" s="1">
        <v>1072.7940000000001</v>
      </c>
      <c r="O15" s="1"/>
      <c r="P15" s="1">
        <v>1000</v>
      </c>
      <c r="Q15" s="1">
        <v>876.6</v>
      </c>
      <c r="R15" s="1"/>
      <c r="S15" s="1">
        <v>923.4</v>
      </c>
      <c r="T15" s="1">
        <f t="shared" si="4"/>
        <v>641.47399999999993</v>
      </c>
      <c r="U15" s="5">
        <f t="shared" si="8"/>
        <v>1362.427999999999</v>
      </c>
      <c r="V15" s="1">
        <f t="shared" si="5"/>
        <v>11</v>
      </c>
      <c r="W15" s="1">
        <f t="shared" si="6"/>
        <v>8.876097862111326</v>
      </c>
      <c r="X15" s="1">
        <v>603.31939999999997</v>
      </c>
      <c r="Y15" s="1">
        <v>631.99979999999994</v>
      </c>
      <c r="Z15" s="1">
        <v>638.21439999999996</v>
      </c>
      <c r="AA15" s="1">
        <v>684.60360000000003</v>
      </c>
      <c r="AB15" s="1">
        <v>863.32839999999999</v>
      </c>
      <c r="AC15" s="1">
        <v>914.48199999999997</v>
      </c>
      <c r="AD15" s="1">
        <v>675.87339999999995</v>
      </c>
      <c r="AE15" s="1">
        <v>648.81240000000003</v>
      </c>
      <c r="AF15" s="1">
        <v>873.28039999999999</v>
      </c>
      <c r="AG15" s="1">
        <v>934.93299999999999</v>
      </c>
      <c r="AH15" s="1"/>
      <c r="AI15" s="1">
        <f t="shared" si="7"/>
        <v>1362.427999999999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37</v>
      </c>
      <c r="C16" s="1">
        <v>1629.9259999999999</v>
      </c>
      <c r="D16" s="1">
        <v>8367.8970000000008</v>
      </c>
      <c r="E16" s="1">
        <v>4171.3549999999996</v>
      </c>
      <c r="F16" s="1">
        <v>2483.712</v>
      </c>
      <c r="G16" s="7">
        <v>1</v>
      </c>
      <c r="H16" s="1">
        <v>50</v>
      </c>
      <c r="I16" s="1" t="s">
        <v>38</v>
      </c>
      <c r="J16" s="1"/>
      <c r="K16" s="1">
        <v>4228.3180000000002</v>
      </c>
      <c r="L16" s="1">
        <f t="shared" si="2"/>
        <v>-56.963000000000648</v>
      </c>
      <c r="M16" s="1">
        <f t="shared" si="3"/>
        <v>3055.3229999999994</v>
      </c>
      <c r="N16" s="1">
        <v>1116.0319999999999</v>
      </c>
      <c r="O16" s="1"/>
      <c r="P16" s="1">
        <v>700</v>
      </c>
      <c r="Q16" s="1">
        <v>850</v>
      </c>
      <c r="R16" s="1"/>
      <c r="S16" s="1">
        <v>950</v>
      </c>
      <c r="T16" s="1">
        <f t="shared" si="4"/>
        <v>611.06459999999993</v>
      </c>
      <c r="U16" s="5">
        <f t="shared" si="8"/>
        <v>1737.9985999999994</v>
      </c>
      <c r="V16" s="1">
        <f t="shared" si="5"/>
        <v>10.999999999999998</v>
      </c>
      <c r="W16" s="1">
        <f t="shared" si="6"/>
        <v>8.1557858203535272</v>
      </c>
      <c r="X16" s="1">
        <v>538.01859999999999</v>
      </c>
      <c r="Y16" s="1">
        <v>532.27240000000006</v>
      </c>
      <c r="Z16" s="1">
        <v>533.49900000000002</v>
      </c>
      <c r="AA16" s="1">
        <v>724.56679999999994</v>
      </c>
      <c r="AB16" s="1">
        <v>751.04700000000003</v>
      </c>
      <c r="AC16" s="1">
        <v>753.80539999999996</v>
      </c>
      <c r="AD16" s="1">
        <v>623.83040000000005</v>
      </c>
      <c r="AE16" s="1">
        <v>608.67060000000004</v>
      </c>
      <c r="AF16" s="1">
        <v>760.83500000000004</v>
      </c>
      <c r="AG16" s="1">
        <v>778.13599999999997</v>
      </c>
      <c r="AH16" s="1"/>
      <c r="AI16" s="1">
        <f t="shared" si="7"/>
        <v>1737.9985999999994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37</v>
      </c>
      <c r="C17" s="1">
        <v>635.32000000000005</v>
      </c>
      <c r="D17" s="1">
        <v>437.31200000000001</v>
      </c>
      <c r="E17" s="1">
        <v>355.697</v>
      </c>
      <c r="F17" s="1">
        <v>222.62799999999999</v>
      </c>
      <c r="G17" s="7">
        <v>1</v>
      </c>
      <c r="H17" s="1">
        <v>60</v>
      </c>
      <c r="I17" s="1" t="s">
        <v>38</v>
      </c>
      <c r="J17" s="1"/>
      <c r="K17" s="1">
        <v>345.4</v>
      </c>
      <c r="L17" s="1">
        <f t="shared" si="2"/>
        <v>10.297000000000025</v>
      </c>
      <c r="M17" s="1">
        <f t="shared" si="3"/>
        <v>201.76400000000001</v>
      </c>
      <c r="N17" s="1">
        <v>153.93299999999999</v>
      </c>
      <c r="O17" s="1"/>
      <c r="P17" s="1">
        <v>0</v>
      </c>
      <c r="Q17" s="1">
        <v>43.545999999999992</v>
      </c>
      <c r="R17" s="1"/>
      <c r="S17" s="1"/>
      <c r="T17" s="1">
        <f t="shared" si="4"/>
        <v>40.352800000000002</v>
      </c>
      <c r="U17" s="5">
        <f t="shared" si="8"/>
        <v>177.70680000000004</v>
      </c>
      <c r="V17" s="1">
        <f t="shared" si="5"/>
        <v>11</v>
      </c>
      <c r="W17" s="1">
        <f t="shared" si="6"/>
        <v>6.5961717650324134</v>
      </c>
      <c r="X17" s="1">
        <v>37.872</v>
      </c>
      <c r="Y17" s="1">
        <v>35.195999999999998</v>
      </c>
      <c r="Z17" s="1">
        <v>26.605</v>
      </c>
      <c r="AA17" s="1">
        <v>20.235399999999998</v>
      </c>
      <c r="AB17" s="1">
        <v>64.747600000000006</v>
      </c>
      <c r="AC17" s="1">
        <v>80.977200000000011</v>
      </c>
      <c r="AD17" s="1">
        <v>49.133600000000001</v>
      </c>
      <c r="AE17" s="1">
        <v>48.952800000000003</v>
      </c>
      <c r="AF17" s="1">
        <v>44.703800000000001</v>
      </c>
      <c r="AG17" s="1">
        <v>25.674399999999999</v>
      </c>
      <c r="AH17" s="1"/>
      <c r="AI17" s="1">
        <f t="shared" si="7"/>
        <v>177.70680000000004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0" t="s">
        <v>52</v>
      </c>
      <c r="B18" s="10" t="s">
        <v>37</v>
      </c>
      <c r="C18" s="10"/>
      <c r="D18" s="10"/>
      <c r="E18" s="10"/>
      <c r="F18" s="10"/>
      <c r="G18" s="11">
        <v>0</v>
      </c>
      <c r="H18" s="10"/>
      <c r="I18" s="10" t="s">
        <v>38</v>
      </c>
      <c r="J18" s="10"/>
      <c r="K18" s="10"/>
      <c r="L18" s="10">
        <f t="shared" si="2"/>
        <v>0</v>
      </c>
      <c r="M18" s="10">
        <f t="shared" si="3"/>
        <v>0</v>
      </c>
      <c r="N18" s="10"/>
      <c r="O18" s="10"/>
      <c r="P18" s="10">
        <v>0</v>
      </c>
      <c r="Q18" s="10">
        <v>0</v>
      </c>
      <c r="R18" s="10"/>
      <c r="S18" s="10"/>
      <c r="T18" s="10">
        <f t="shared" si="4"/>
        <v>0</v>
      </c>
      <c r="U18" s="12"/>
      <c r="V18" s="10" t="e">
        <f t="shared" si="5"/>
        <v>#DIV/0!</v>
      </c>
      <c r="W18" s="10" t="e">
        <f t="shared" si="6"/>
        <v>#DIV/0!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 t="s">
        <v>53</v>
      </c>
      <c r="AI18" s="1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37</v>
      </c>
      <c r="C19" s="1">
        <v>6.94</v>
      </c>
      <c r="D19" s="1">
        <v>1.23</v>
      </c>
      <c r="E19" s="1">
        <v>3.3580000000000001</v>
      </c>
      <c r="F19" s="1">
        <v>3.6960000000000002</v>
      </c>
      <c r="G19" s="7">
        <v>1</v>
      </c>
      <c r="H19" s="1">
        <v>180</v>
      </c>
      <c r="I19" s="1" t="s">
        <v>38</v>
      </c>
      <c r="J19" s="1"/>
      <c r="K19" s="1">
        <v>5.1509999999999998</v>
      </c>
      <c r="L19" s="1">
        <f t="shared" si="2"/>
        <v>-1.7929999999999997</v>
      </c>
      <c r="M19" s="1">
        <f t="shared" si="3"/>
        <v>3.3580000000000001</v>
      </c>
      <c r="N19" s="1"/>
      <c r="O19" s="1"/>
      <c r="P19" s="1">
        <v>4</v>
      </c>
      <c r="Q19" s="1">
        <v>4</v>
      </c>
      <c r="R19" s="1"/>
      <c r="S19" s="1"/>
      <c r="T19" s="1">
        <f t="shared" si="4"/>
        <v>0.67159999999999997</v>
      </c>
      <c r="U19" s="5"/>
      <c r="V19" s="1">
        <f t="shared" si="5"/>
        <v>17.41512805241215</v>
      </c>
      <c r="W19" s="1">
        <f t="shared" si="6"/>
        <v>17.41512805241215</v>
      </c>
      <c r="X19" s="1">
        <v>0.79580000000000006</v>
      </c>
      <c r="Y19" s="1">
        <v>0.79180000000000006</v>
      </c>
      <c r="Z19" s="1">
        <v>0.36199999999999999</v>
      </c>
      <c r="AA19" s="1">
        <v>0.58179999999999998</v>
      </c>
      <c r="AB19" s="1">
        <v>0.41959999999999997</v>
      </c>
      <c r="AC19" s="1">
        <v>0.68019999999999992</v>
      </c>
      <c r="AD19" s="1">
        <v>0.82240000000000002</v>
      </c>
      <c r="AE19" s="1">
        <v>0.69000000000000006</v>
      </c>
      <c r="AF19" s="1">
        <v>0.41899999999999998</v>
      </c>
      <c r="AG19" s="1">
        <v>0.92219999999999991</v>
      </c>
      <c r="AH19" s="1"/>
      <c r="AI19" s="1">
        <f>G19*U19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37</v>
      </c>
      <c r="C20" s="1">
        <v>1333.011</v>
      </c>
      <c r="D20" s="1">
        <v>9945.0220000000008</v>
      </c>
      <c r="E20" s="1">
        <v>5216.0029999999997</v>
      </c>
      <c r="F20" s="1">
        <v>2566.91</v>
      </c>
      <c r="G20" s="7">
        <v>1</v>
      </c>
      <c r="H20" s="1">
        <v>60</v>
      </c>
      <c r="I20" s="1" t="s">
        <v>38</v>
      </c>
      <c r="J20" s="1"/>
      <c r="K20" s="1">
        <v>5102.8469999999998</v>
      </c>
      <c r="L20" s="1">
        <f t="shared" si="2"/>
        <v>113.15599999999995</v>
      </c>
      <c r="M20" s="1">
        <f t="shared" si="3"/>
        <v>5115.4609999999993</v>
      </c>
      <c r="N20" s="1">
        <v>100.542</v>
      </c>
      <c r="O20" s="1">
        <v>2275.9822711860002</v>
      </c>
      <c r="P20" s="1">
        <v>79.370096000000331</v>
      </c>
      <c r="Q20" s="1">
        <v>1826.25</v>
      </c>
      <c r="R20" s="1"/>
      <c r="S20" s="1">
        <v>1923.75</v>
      </c>
      <c r="T20" s="1">
        <f t="shared" si="4"/>
        <v>1023.0921999999998</v>
      </c>
      <c r="U20" s="5">
        <f t="shared" ref="U19:U22" si="9">11*T20-S20-R20-Q20-P20-O20-F20</f>
        <v>2581.7518328139977</v>
      </c>
      <c r="V20" s="1">
        <f t="shared" si="5"/>
        <v>11</v>
      </c>
      <c r="W20" s="1">
        <f t="shared" si="6"/>
        <v>8.4765208523591529</v>
      </c>
      <c r="X20" s="1">
        <v>922.54380000000003</v>
      </c>
      <c r="Y20" s="1">
        <v>889.4248</v>
      </c>
      <c r="Z20" s="1">
        <v>913.99760000000003</v>
      </c>
      <c r="AA20" s="1">
        <v>789.43779999999992</v>
      </c>
      <c r="AB20" s="1">
        <v>661.26800000000003</v>
      </c>
      <c r="AC20" s="1">
        <v>917.37380000000007</v>
      </c>
      <c r="AD20" s="1">
        <v>723.88019999999995</v>
      </c>
      <c r="AE20" s="1">
        <v>773.48840000000007</v>
      </c>
      <c r="AF20" s="1">
        <v>732.97140000000002</v>
      </c>
      <c r="AG20" s="1">
        <v>804.43240000000003</v>
      </c>
      <c r="AH20" s="1"/>
      <c r="AI20" s="1">
        <f>G20*U20</f>
        <v>2581.7518328139977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37</v>
      </c>
      <c r="C21" s="1">
        <v>320.78300000000002</v>
      </c>
      <c r="D21" s="1">
        <v>432.77100000000002</v>
      </c>
      <c r="E21" s="1">
        <v>378.5</v>
      </c>
      <c r="F21" s="1">
        <v>84.48</v>
      </c>
      <c r="G21" s="7">
        <v>1</v>
      </c>
      <c r="H21" s="1">
        <v>70</v>
      </c>
      <c r="I21" s="1" t="s">
        <v>38</v>
      </c>
      <c r="J21" s="1"/>
      <c r="K21" s="1">
        <v>444.11200000000002</v>
      </c>
      <c r="L21" s="1">
        <f t="shared" si="2"/>
        <v>-65.612000000000023</v>
      </c>
      <c r="M21" s="1">
        <f t="shared" si="3"/>
        <v>378.5</v>
      </c>
      <c r="N21" s="1"/>
      <c r="O21" s="1">
        <v>164.92926836800009</v>
      </c>
      <c r="P21" s="1">
        <v>348.49603999999988</v>
      </c>
      <c r="Q21" s="1">
        <v>240.76992475200001</v>
      </c>
      <c r="R21" s="1"/>
      <c r="S21" s="1">
        <v>253.62417124800001</v>
      </c>
      <c r="T21" s="1">
        <f t="shared" si="4"/>
        <v>75.7</v>
      </c>
      <c r="U21" s="5"/>
      <c r="V21" s="1">
        <f t="shared" si="5"/>
        <v>14.429318419656539</v>
      </c>
      <c r="W21" s="1">
        <f t="shared" si="6"/>
        <v>14.429318419656539</v>
      </c>
      <c r="X21" s="1">
        <v>97.615800000000007</v>
      </c>
      <c r="Y21" s="1">
        <v>99.165599999999998</v>
      </c>
      <c r="Z21" s="1">
        <v>66.941600000000008</v>
      </c>
      <c r="AA21" s="1">
        <v>35.273200000000003</v>
      </c>
      <c r="AB21" s="1">
        <v>47.993600000000001</v>
      </c>
      <c r="AC21" s="1">
        <v>75.930999999999997</v>
      </c>
      <c r="AD21" s="1">
        <v>74.3142</v>
      </c>
      <c r="AE21" s="1">
        <v>56.826199999999993</v>
      </c>
      <c r="AF21" s="1">
        <v>33.156399999999998</v>
      </c>
      <c r="AG21" s="1">
        <v>51.611800000000002</v>
      </c>
      <c r="AH21" s="1"/>
      <c r="AI21" s="1">
        <f>G21*U21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37</v>
      </c>
      <c r="C22" s="1">
        <v>1194.1659999999999</v>
      </c>
      <c r="D22" s="1">
        <v>3130.3380000000002</v>
      </c>
      <c r="E22" s="1">
        <v>1874.825</v>
      </c>
      <c r="F22" s="1">
        <v>1372.5650000000001</v>
      </c>
      <c r="G22" s="7">
        <v>1</v>
      </c>
      <c r="H22" s="1">
        <v>70</v>
      </c>
      <c r="I22" s="1" t="s">
        <v>38</v>
      </c>
      <c r="J22" s="1"/>
      <c r="K22" s="1">
        <v>1796.2739999999999</v>
      </c>
      <c r="L22" s="1">
        <f t="shared" si="2"/>
        <v>78.551000000000158</v>
      </c>
      <c r="M22" s="1">
        <f t="shared" si="3"/>
        <v>1806.1010000000001</v>
      </c>
      <c r="N22" s="1">
        <v>68.724000000000004</v>
      </c>
      <c r="O22" s="1"/>
      <c r="P22" s="1">
        <v>0</v>
      </c>
      <c r="Q22" s="1">
        <v>91.274708799999743</v>
      </c>
      <c r="R22" s="1"/>
      <c r="S22" s="1">
        <v>96.147691199999727</v>
      </c>
      <c r="T22" s="1">
        <f t="shared" si="4"/>
        <v>361.22020000000003</v>
      </c>
      <c r="U22" s="5">
        <f>10*T22-S22-R22-Q22-P22-O22-F22</f>
        <v>2052.2146000000007</v>
      </c>
      <c r="V22" s="1">
        <f t="shared" si="5"/>
        <v>10</v>
      </c>
      <c r="W22" s="1">
        <f t="shared" si="6"/>
        <v>4.3186604735837015</v>
      </c>
      <c r="X22" s="1">
        <v>238.35220000000001</v>
      </c>
      <c r="Y22" s="1">
        <v>217.6114</v>
      </c>
      <c r="Z22" s="1">
        <v>206.72020000000001</v>
      </c>
      <c r="AA22" s="1">
        <v>293.69060000000002</v>
      </c>
      <c r="AB22" s="1">
        <v>383.78739999999999</v>
      </c>
      <c r="AC22" s="1">
        <v>327.67899999999997</v>
      </c>
      <c r="AD22" s="1">
        <v>251.3426</v>
      </c>
      <c r="AE22" s="1">
        <v>229.2002</v>
      </c>
      <c r="AF22" s="1">
        <v>266.73680000000002</v>
      </c>
      <c r="AG22" s="1">
        <v>285.91019999999997</v>
      </c>
      <c r="AH22" s="1"/>
      <c r="AI22" s="1">
        <f>G22*U22</f>
        <v>2052.2146000000007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58</v>
      </c>
      <c r="B23" s="10" t="s">
        <v>37</v>
      </c>
      <c r="C23" s="10"/>
      <c r="D23" s="10"/>
      <c r="E23" s="10"/>
      <c r="F23" s="10"/>
      <c r="G23" s="11">
        <v>0</v>
      </c>
      <c r="H23" s="10"/>
      <c r="I23" s="10" t="s">
        <v>38</v>
      </c>
      <c r="J23" s="10"/>
      <c r="K23" s="10"/>
      <c r="L23" s="10">
        <f t="shared" si="2"/>
        <v>0</v>
      </c>
      <c r="M23" s="10">
        <f t="shared" si="3"/>
        <v>0</v>
      </c>
      <c r="N23" s="10"/>
      <c r="O23" s="10"/>
      <c r="P23" s="10">
        <v>0</v>
      </c>
      <c r="Q23" s="10">
        <v>0</v>
      </c>
      <c r="R23" s="10"/>
      <c r="S23" s="10"/>
      <c r="T23" s="10">
        <f t="shared" si="4"/>
        <v>0</v>
      </c>
      <c r="U23" s="12"/>
      <c r="V23" s="10" t="e">
        <f t="shared" si="5"/>
        <v>#DIV/0!</v>
      </c>
      <c r="W23" s="10" t="e">
        <f t="shared" si="6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53</v>
      </c>
      <c r="AI23" s="1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37</v>
      </c>
      <c r="C24" s="1">
        <v>1458.876</v>
      </c>
      <c r="D24" s="1">
        <v>4184.8500000000004</v>
      </c>
      <c r="E24" s="1">
        <v>2014.414</v>
      </c>
      <c r="F24" s="1">
        <v>2145.9279999999999</v>
      </c>
      <c r="G24" s="7">
        <v>1</v>
      </c>
      <c r="H24" s="1">
        <v>70</v>
      </c>
      <c r="I24" s="1" t="s">
        <v>38</v>
      </c>
      <c r="J24" s="1"/>
      <c r="K24" s="1">
        <v>1979.662</v>
      </c>
      <c r="L24" s="1">
        <f t="shared" si="2"/>
        <v>34.751999999999953</v>
      </c>
      <c r="M24" s="1">
        <f t="shared" si="3"/>
        <v>1791.663</v>
      </c>
      <c r="N24" s="1">
        <v>222.751</v>
      </c>
      <c r="O24" s="1">
        <v>205.81811348799999</v>
      </c>
      <c r="P24" s="1">
        <v>0</v>
      </c>
      <c r="Q24" s="1">
        <v>730.5</v>
      </c>
      <c r="R24" s="1"/>
      <c r="S24" s="1">
        <v>769.5</v>
      </c>
      <c r="T24" s="1">
        <f t="shared" si="4"/>
        <v>358.33260000000001</v>
      </c>
      <c r="U24" s="5">
        <f t="shared" ref="U24:U25" si="10">11*T24-S24-R24-Q24-P24-O24-F24</f>
        <v>89.912486512000214</v>
      </c>
      <c r="V24" s="1">
        <f t="shared" si="5"/>
        <v>11</v>
      </c>
      <c r="W24" s="1">
        <f t="shared" si="6"/>
        <v>10.749080919480951</v>
      </c>
      <c r="X24" s="1">
        <v>374.34059999999999</v>
      </c>
      <c r="Y24" s="1">
        <v>372.63639999999998</v>
      </c>
      <c r="Z24" s="1">
        <v>377.31560000000002</v>
      </c>
      <c r="AA24" s="1">
        <v>418.45379999999989</v>
      </c>
      <c r="AB24" s="1">
        <v>527.61379999999997</v>
      </c>
      <c r="AC24" s="1">
        <v>509.92160000000001</v>
      </c>
      <c r="AD24" s="1">
        <v>404.24360000000001</v>
      </c>
      <c r="AE24" s="1">
        <v>396.53120000000001</v>
      </c>
      <c r="AF24" s="1">
        <v>524.30680000000007</v>
      </c>
      <c r="AG24" s="1">
        <v>537.15940000000001</v>
      </c>
      <c r="AH24" s="1"/>
      <c r="AI24" s="1">
        <f>G24*U24</f>
        <v>89.912486512000214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37</v>
      </c>
      <c r="C25" s="1">
        <v>101.131</v>
      </c>
      <c r="D25" s="1">
        <v>22.541</v>
      </c>
      <c r="E25" s="1">
        <v>34.844000000000001</v>
      </c>
      <c r="F25" s="1">
        <v>88.085999999999999</v>
      </c>
      <c r="G25" s="7">
        <v>1</v>
      </c>
      <c r="H25" s="1">
        <v>40</v>
      </c>
      <c r="I25" s="1" t="s">
        <v>38</v>
      </c>
      <c r="J25" s="1"/>
      <c r="K25" s="1">
        <v>32.328000000000003</v>
      </c>
      <c r="L25" s="1">
        <f t="shared" si="2"/>
        <v>2.5159999999999982</v>
      </c>
      <c r="M25" s="1">
        <f t="shared" si="3"/>
        <v>21.82</v>
      </c>
      <c r="N25" s="1">
        <v>13.023999999999999</v>
      </c>
      <c r="O25" s="1"/>
      <c r="P25" s="1">
        <v>0</v>
      </c>
      <c r="Q25" s="1">
        <v>0</v>
      </c>
      <c r="R25" s="1"/>
      <c r="S25" s="1"/>
      <c r="T25" s="1">
        <f t="shared" si="4"/>
        <v>4.3639999999999999</v>
      </c>
      <c r="U25" s="5"/>
      <c r="V25" s="1">
        <f t="shared" si="5"/>
        <v>20.184692942254813</v>
      </c>
      <c r="W25" s="1">
        <f t="shared" si="6"/>
        <v>20.184692942254813</v>
      </c>
      <c r="X25" s="1">
        <v>1.7474000000000001</v>
      </c>
      <c r="Y25" s="1">
        <v>3.0384000000000002</v>
      </c>
      <c r="Z25" s="1">
        <v>2.4554</v>
      </c>
      <c r="AA25" s="1">
        <v>0</v>
      </c>
      <c r="AB25" s="1">
        <v>-0.14879999999999999</v>
      </c>
      <c r="AC25" s="1">
        <v>0.28860000000000002</v>
      </c>
      <c r="AD25" s="1">
        <v>4.2222</v>
      </c>
      <c r="AE25" s="1">
        <v>3.7848000000000002</v>
      </c>
      <c r="AF25" s="1">
        <v>-0.29299999999999998</v>
      </c>
      <c r="AG25" s="1">
        <v>1.601</v>
      </c>
      <c r="AH25" s="18" t="s">
        <v>61</v>
      </c>
      <c r="AI25" s="1">
        <f>G25*U25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62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/>
      <c r="P26" s="10">
        <v>0</v>
      </c>
      <c r="Q26" s="10">
        <v>0</v>
      </c>
      <c r="R26" s="10"/>
      <c r="S26" s="10"/>
      <c r="T26" s="10">
        <f t="shared" si="4"/>
        <v>0</v>
      </c>
      <c r="U26" s="12"/>
      <c r="V26" s="10" t="e">
        <f t="shared" si="5"/>
        <v>#DIV/0!</v>
      </c>
      <c r="W26" s="10" t="e">
        <f t="shared" si="6"/>
        <v>#DIV/0!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 t="s">
        <v>53</v>
      </c>
      <c r="AI26" s="10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0" t="s">
        <v>63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41</v>
      </c>
      <c r="J27" s="10"/>
      <c r="K27" s="10"/>
      <c r="L27" s="10">
        <f t="shared" si="2"/>
        <v>0</v>
      </c>
      <c r="M27" s="10">
        <f t="shared" si="3"/>
        <v>0</v>
      </c>
      <c r="N27" s="10"/>
      <c r="O27" s="10"/>
      <c r="P27" s="10">
        <v>0</v>
      </c>
      <c r="Q27" s="10">
        <v>0</v>
      </c>
      <c r="R27" s="10"/>
      <c r="S27" s="10"/>
      <c r="T27" s="10">
        <f t="shared" si="4"/>
        <v>0</v>
      </c>
      <c r="U27" s="12"/>
      <c r="V27" s="10" t="e">
        <f t="shared" si="5"/>
        <v>#DIV/0!</v>
      </c>
      <c r="W27" s="10" t="e">
        <f t="shared" si="6"/>
        <v>#DIV/0!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 t="s">
        <v>53</v>
      </c>
      <c r="AI27" s="1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64</v>
      </c>
      <c r="B28" s="1" t="s">
        <v>37</v>
      </c>
      <c r="C28" s="1">
        <v>553.28399999999999</v>
      </c>
      <c r="D28" s="1">
        <v>1665.4269999999999</v>
      </c>
      <c r="E28" s="1">
        <v>1138.8599999999999</v>
      </c>
      <c r="F28" s="1">
        <v>401.76499999999999</v>
      </c>
      <c r="G28" s="7">
        <v>1</v>
      </c>
      <c r="H28" s="1">
        <v>30</v>
      </c>
      <c r="I28" s="9" t="s">
        <v>41</v>
      </c>
      <c r="J28" s="1"/>
      <c r="K28" s="1">
        <v>1251.345</v>
      </c>
      <c r="L28" s="1">
        <f t="shared" si="2"/>
        <v>-112.48500000000013</v>
      </c>
      <c r="M28" s="1">
        <f t="shared" si="3"/>
        <v>938.72499999999991</v>
      </c>
      <c r="N28" s="1">
        <v>200.13499999999999</v>
      </c>
      <c r="O28" s="1">
        <v>375.47332406800001</v>
      </c>
      <c r="P28" s="1">
        <v>200</v>
      </c>
      <c r="Q28" s="1">
        <v>399.36490323200002</v>
      </c>
      <c r="R28" s="1"/>
      <c r="S28" s="1">
        <v>420.68623276800002</v>
      </c>
      <c r="T28" s="1">
        <f t="shared" si="4"/>
        <v>187.74499999999998</v>
      </c>
      <c r="U28" s="5">
        <f t="shared" ref="U28:U29" si="11">11*T28-S28-R28-Q28-P28-O28-F28</f>
        <v>267.90553993199967</v>
      </c>
      <c r="V28" s="1">
        <f t="shared" si="5"/>
        <v>11</v>
      </c>
      <c r="W28" s="1">
        <f t="shared" si="6"/>
        <v>9.5730350212682112</v>
      </c>
      <c r="X28" s="1">
        <v>182.31960000000001</v>
      </c>
      <c r="Y28" s="1">
        <v>171.17699999999999</v>
      </c>
      <c r="Z28" s="1">
        <v>180.38159999999999</v>
      </c>
      <c r="AA28" s="1">
        <v>170.09280000000001</v>
      </c>
      <c r="AB28" s="1">
        <v>186.76320000000001</v>
      </c>
      <c r="AC28" s="1">
        <v>219.6258</v>
      </c>
      <c r="AD28" s="1">
        <v>196.6198</v>
      </c>
      <c r="AE28" s="1">
        <v>221.1712</v>
      </c>
      <c r="AF28" s="1">
        <v>225.0454</v>
      </c>
      <c r="AG28" s="1">
        <v>231.65860000000001</v>
      </c>
      <c r="AH28" s="1"/>
      <c r="AI28" s="1">
        <f>G28*U28</f>
        <v>267.90553993199967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37</v>
      </c>
      <c r="C29" s="1">
        <v>4290.1570000000002</v>
      </c>
      <c r="D29" s="1">
        <v>2257.3719999999998</v>
      </c>
      <c r="E29" s="1">
        <v>2976.163</v>
      </c>
      <c r="F29" s="1">
        <v>2364.5100000000002</v>
      </c>
      <c r="G29" s="7">
        <v>1</v>
      </c>
      <c r="H29" s="1">
        <v>40</v>
      </c>
      <c r="I29" s="1" t="s">
        <v>38</v>
      </c>
      <c r="J29" s="1"/>
      <c r="K29" s="1">
        <v>2877.3960000000002</v>
      </c>
      <c r="L29" s="1">
        <f t="shared" si="2"/>
        <v>98.766999999999825</v>
      </c>
      <c r="M29" s="1">
        <f t="shared" si="3"/>
        <v>2713.5509999999999</v>
      </c>
      <c r="N29" s="1">
        <v>262.61200000000002</v>
      </c>
      <c r="O29" s="1">
        <v>1070.733996023999</v>
      </c>
      <c r="P29" s="1">
        <v>0</v>
      </c>
      <c r="Q29" s="1">
        <v>731.5779491760004</v>
      </c>
      <c r="R29" s="1"/>
      <c r="S29" s="1">
        <v>770.63549882400048</v>
      </c>
      <c r="T29" s="1">
        <f t="shared" si="4"/>
        <v>542.71019999999999</v>
      </c>
      <c r="U29" s="5">
        <f t="shared" si="11"/>
        <v>1032.3547559760009</v>
      </c>
      <c r="V29" s="1">
        <f t="shared" si="5"/>
        <v>11</v>
      </c>
      <c r="W29" s="1">
        <f t="shared" si="6"/>
        <v>9.0977789693726034</v>
      </c>
      <c r="X29" s="1">
        <v>510.97300000000001</v>
      </c>
      <c r="Y29" s="1">
        <v>522.6425999999999</v>
      </c>
      <c r="Z29" s="1">
        <v>566.42879999999991</v>
      </c>
      <c r="AA29" s="1">
        <v>504.87639999999999</v>
      </c>
      <c r="AB29" s="1">
        <v>528.65340000000003</v>
      </c>
      <c r="AC29" s="1">
        <v>571.5462</v>
      </c>
      <c r="AD29" s="1">
        <v>586.11699999999996</v>
      </c>
      <c r="AE29" s="1">
        <v>710.12940000000003</v>
      </c>
      <c r="AF29" s="1">
        <v>412.98540000000003</v>
      </c>
      <c r="AG29" s="1">
        <v>192.2834</v>
      </c>
      <c r="AH29" s="1"/>
      <c r="AI29" s="1">
        <f>G29*U29</f>
        <v>1032.3547559760009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0" t="s">
        <v>66</v>
      </c>
      <c r="B30" s="10" t="s">
        <v>37</v>
      </c>
      <c r="C30" s="10"/>
      <c r="D30" s="10"/>
      <c r="E30" s="10"/>
      <c r="F30" s="10"/>
      <c r="G30" s="11">
        <v>0</v>
      </c>
      <c r="H30" s="10"/>
      <c r="I30" s="10" t="s">
        <v>38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/>
      <c r="P30" s="10">
        <v>0</v>
      </c>
      <c r="Q30" s="10">
        <v>0</v>
      </c>
      <c r="R30" s="10"/>
      <c r="S30" s="10"/>
      <c r="T30" s="10">
        <f t="shared" si="4"/>
        <v>0</v>
      </c>
      <c r="U30" s="12"/>
      <c r="V30" s="10" t="e">
        <f t="shared" si="5"/>
        <v>#DIV/0!</v>
      </c>
      <c r="W30" s="10" t="e">
        <f t="shared" si="6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53</v>
      </c>
      <c r="AI30" s="10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0" t="s">
        <v>67</v>
      </c>
      <c r="B31" s="10" t="s">
        <v>37</v>
      </c>
      <c r="C31" s="10"/>
      <c r="D31" s="10"/>
      <c r="E31" s="10"/>
      <c r="F31" s="10"/>
      <c r="G31" s="11">
        <v>0</v>
      </c>
      <c r="H31" s="10"/>
      <c r="I31" s="10" t="s">
        <v>41</v>
      </c>
      <c r="J31" s="10"/>
      <c r="K31" s="10"/>
      <c r="L31" s="10">
        <f t="shared" si="2"/>
        <v>0</v>
      </c>
      <c r="M31" s="10">
        <f t="shared" si="3"/>
        <v>0</v>
      </c>
      <c r="N31" s="10"/>
      <c r="O31" s="10"/>
      <c r="P31" s="10">
        <v>0</v>
      </c>
      <c r="Q31" s="10">
        <v>0</v>
      </c>
      <c r="R31" s="10"/>
      <c r="S31" s="10"/>
      <c r="T31" s="10">
        <f t="shared" si="4"/>
        <v>0</v>
      </c>
      <c r="U31" s="12"/>
      <c r="V31" s="10" t="e">
        <f t="shared" si="5"/>
        <v>#DIV/0!</v>
      </c>
      <c r="W31" s="10" t="e">
        <f t="shared" si="6"/>
        <v>#DIV/0!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 t="s">
        <v>53</v>
      </c>
      <c r="AI31" s="1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68</v>
      </c>
      <c r="B32" s="10" t="s">
        <v>37</v>
      </c>
      <c r="C32" s="10"/>
      <c r="D32" s="10"/>
      <c r="E32" s="10"/>
      <c r="F32" s="10"/>
      <c r="G32" s="11">
        <v>0</v>
      </c>
      <c r="H32" s="10"/>
      <c r="I32" s="10" t="s">
        <v>38</v>
      </c>
      <c r="J32" s="10"/>
      <c r="K32" s="10"/>
      <c r="L32" s="10">
        <f t="shared" si="2"/>
        <v>0</v>
      </c>
      <c r="M32" s="10">
        <f t="shared" si="3"/>
        <v>0</v>
      </c>
      <c r="N32" s="10"/>
      <c r="O32" s="10"/>
      <c r="P32" s="10">
        <v>0</v>
      </c>
      <c r="Q32" s="10">
        <v>0</v>
      </c>
      <c r="R32" s="10"/>
      <c r="S32" s="10"/>
      <c r="T32" s="10">
        <f t="shared" si="4"/>
        <v>0</v>
      </c>
      <c r="U32" s="12"/>
      <c r="V32" s="10" t="e">
        <f t="shared" si="5"/>
        <v>#DIV/0!</v>
      </c>
      <c r="W32" s="10" t="e">
        <f t="shared" si="6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53</v>
      </c>
      <c r="AI32" s="10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69</v>
      </c>
      <c r="B33" s="10" t="s">
        <v>37</v>
      </c>
      <c r="C33" s="10"/>
      <c r="D33" s="10"/>
      <c r="E33" s="10"/>
      <c r="F33" s="10"/>
      <c r="G33" s="11">
        <v>0</v>
      </c>
      <c r="H33" s="10"/>
      <c r="I33" s="10" t="s">
        <v>38</v>
      </c>
      <c r="J33" s="10"/>
      <c r="K33" s="10"/>
      <c r="L33" s="10">
        <f t="shared" si="2"/>
        <v>0</v>
      </c>
      <c r="M33" s="10">
        <f t="shared" si="3"/>
        <v>0</v>
      </c>
      <c r="N33" s="10"/>
      <c r="O33" s="10"/>
      <c r="P33" s="10">
        <v>0</v>
      </c>
      <c r="Q33" s="10">
        <v>0</v>
      </c>
      <c r="R33" s="10"/>
      <c r="S33" s="10"/>
      <c r="T33" s="10">
        <f t="shared" si="4"/>
        <v>0</v>
      </c>
      <c r="U33" s="12"/>
      <c r="V33" s="10" t="e">
        <f t="shared" si="5"/>
        <v>#DIV/0!</v>
      </c>
      <c r="W33" s="10" t="e">
        <f t="shared" si="6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53</v>
      </c>
      <c r="AI33" s="1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43</v>
      </c>
      <c r="C34" s="1">
        <v>1187</v>
      </c>
      <c r="D34" s="1">
        <v>8035</v>
      </c>
      <c r="E34" s="1">
        <v>3950</v>
      </c>
      <c r="F34" s="1">
        <v>2003</v>
      </c>
      <c r="G34" s="7">
        <v>0.4</v>
      </c>
      <c r="H34" s="1">
        <v>45</v>
      </c>
      <c r="I34" s="9" t="s">
        <v>41</v>
      </c>
      <c r="J34" s="1"/>
      <c r="K34" s="1">
        <v>4186</v>
      </c>
      <c r="L34" s="1">
        <f t="shared" si="2"/>
        <v>-236</v>
      </c>
      <c r="M34" s="1">
        <f t="shared" si="3"/>
        <v>3752</v>
      </c>
      <c r="N34" s="1">
        <v>198</v>
      </c>
      <c r="O34" s="1">
        <v>1928.3259283999989</v>
      </c>
      <c r="P34" s="1"/>
      <c r="Q34" s="1">
        <v>1655.8</v>
      </c>
      <c r="R34" s="1"/>
      <c r="S34" s="1">
        <v>1744.2</v>
      </c>
      <c r="T34" s="1">
        <f t="shared" si="4"/>
        <v>750.4</v>
      </c>
      <c r="U34" s="5">
        <f t="shared" ref="U34:U48" si="12">11*T34-S34-R34-Q34-P34-O34-F34</f>
        <v>923.07407160000093</v>
      </c>
      <c r="V34" s="1">
        <f t="shared" si="5"/>
        <v>11</v>
      </c>
      <c r="W34" s="1">
        <f t="shared" si="6"/>
        <v>9.7698906295309147</v>
      </c>
      <c r="X34" s="1">
        <v>704.4</v>
      </c>
      <c r="Y34" s="1">
        <v>693.2</v>
      </c>
      <c r="Z34" s="1">
        <v>715.8</v>
      </c>
      <c r="AA34" s="1">
        <v>617.20000000000005</v>
      </c>
      <c r="AB34" s="1">
        <v>583.4</v>
      </c>
      <c r="AC34" s="1">
        <v>686</v>
      </c>
      <c r="AD34" s="1">
        <v>679.4</v>
      </c>
      <c r="AE34" s="1">
        <v>754.6</v>
      </c>
      <c r="AF34" s="1">
        <v>654.79999999999995</v>
      </c>
      <c r="AG34" s="1">
        <v>869.4</v>
      </c>
      <c r="AH34" s="1"/>
      <c r="AI34" s="1">
        <f t="shared" ref="AI34:AI48" si="13">G34*U34</f>
        <v>369.22962864000039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71</v>
      </c>
      <c r="B35" s="1" t="s">
        <v>43</v>
      </c>
      <c r="C35" s="1">
        <v>51</v>
      </c>
      <c r="D35" s="1">
        <v>2816</v>
      </c>
      <c r="E35" s="1">
        <v>759</v>
      </c>
      <c r="F35" s="1">
        <v>911</v>
      </c>
      <c r="G35" s="7">
        <v>0.45</v>
      </c>
      <c r="H35" s="1">
        <v>50</v>
      </c>
      <c r="I35" s="19" t="s">
        <v>72</v>
      </c>
      <c r="J35" s="1"/>
      <c r="K35" s="1">
        <v>824</v>
      </c>
      <c r="L35" s="1">
        <f t="shared" si="2"/>
        <v>-65</v>
      </c>
      <c r="M35" s="1">
        <f t="shared" si="3"/>
        <v>759</v>
      </c>
      <c r="N35" s="1"/>
      <c r="O35" s="1">
        <v>629.4</v>
      </c>
      <c r="P35" s="1">
        <v>282.72800000000012</v>
      </c>
      <c r="Q35" s="1">
        <v>292.2</v>
      </c>
      <c r="R35" s="1"/>
      <c r="S35" s="1">
        <v>307.8</v>
      </c>
      <c r="T35" s="1">
        <f t="shared" si="4"/>
        <v>151.80000000000001</v>
      </c>
      <c r="U35" s="5"/>
      <c r="V35" s="1">
        <f t="shared" si="5"/>
        <v>15.962635046113308</v>
      </c>
      <c r="W35" s="1">
        <f t="shared" si="6"/>
        <v>15.962635046113308</v>
      </c>
      <c r="X35" s="1">
        <v>150.19999999999999</v>
      </c>
      <c r="Y35" s="1">
        <v>144.19999999999999</v>
      </c>
      <c r="Z35" s="1">
        <v>139</v>
      </c>
      <c r="AA35" s="1">
        <v>143.19999999999999</v>
      </c>
      <c r="AB35" s="1">
        <v>108.2</v>
      </c>
      <c r="AC35" s="1">
        <v>107.4</v>
      </c>
      <c r="AD35" s="1">
        <v>120.4</v>
      </c>
      <c r="AE35" s="1">
        <v>124.2</v>
      </c>
      <c r="AF35" s="1">
        <v>129</v>
      </c>
      <c r="AG35" s="1">
        <v>84</v>
      </c>
      <c r="AH35" s="1" t="s">
        <v>73</v>
      </c>
      <c r="AI35" s="1">
        <f t="shared" si="13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74</v>
      </c>
      <c r="B36" s="1" t="s">
        <v>43</v>
      </c>
      <c r="C36" s="1">
        <v>234</v>
      </c>
      <c r="D36" s="1">
        <v>2964</v>
      </c>
      <c r="E36" s="1">
        <v>1046</v>
      </c>
      <c r="F36" s="1">
        <v>751</v>
      </c>
      <c r="G36" s="7">
        <v>0.4</v>
      </c>
      <c r="H36" s="1">
        <v>45</v>
      </c>
      <c r="I36" s="1" t="s">
        <v>38</v>
      </c>
      <c r="J36" s="1"/>
      <c r="K36" s="1">
        <v>1091</v>
      </c>
      <c r="L36" s="1">
        <f t="shared" si="2"/>
        <v>-45</v>
      </c>
      <c r="M36" s="1">
        <f t="shared" si="3"/>
        <v>1046</v>
      </c>
      <c r="N36" s="1"/>
      <c r="O36" s="1">
        <v>379.30476299999992</v>
      </c>
      <c r="P36" s="1">
        <v>0</v>
      </c>
      <c r="Q36" s="1">
        <v>391.85286200000019</v>
      </c>
      <c r="R36" s="1"/>
      <c r="S36" s="1">
        <v>412.77313800000019</v>
      </c>
      <c r="T36" s="1">
        <f t="shared" si="4"/>
        <v>209.2</v>
      </c>
      <c r="U36" s="5">
        <f t="shared" si="12"/>
        <v>366.26923699999952</v>
      </c>
      <c r="V36" s="1">
        <f t="shared" si="5"/>
        <v>11</v>
      </c>
      <c r="W36" s="1">
        <f t="shared" si="6"/>
        <v>9.2491910277246667</v>
      </c>
      <c r="X36" s="1">
        <v>193.4</v>
      </c>
      <c r="Y36" s="1">
        <v>176.6</v>
      </c>
      <c r="Z36" s="1">
        <v>196.6</v>
      </c>
      <c r="AA36" s="1">
        <v>188.6</v>
      </c>
      <c r="AB36" s="1">
        <v>152.80000000000001</v>
      </c>
      <c r="AC36" s="1">
        <v>173.4</v>
      </c>
      <c r="AD36" s="1">
        <v>179.2</v>
      </c>
      <c r="AE36" s="1">
        <v>210.4</v>
      </c>
      <c r="AF36" s="1">
        <v>192</v>
      </c>
      <c r="AG36" s="1">
        <v>152.4</v>
      </c>
      <c r="AH36" s="1"/>
      <c r="AI36" s="1">
        <f t="shared" si="13"/>
        <v>146.50769479999983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75</v>
      </c>
      <c r="B37" s="1" t="s">
        <v>43</v>
      </c>
      <c r="C37" s="1">
        <v>165</v>
      </c>
      <c r="D37" s="1">
        <v>1317</v>
      </c>
      <c r="E37" s="1">
        <v>579</v>
      </c>
      <c r="F37" s="1"/>
      <c r="G37" s="7">
        <v>0.4</v>
      </c>
      <c r="H37" s="1">
        <v>40</v>
      </c>
      <c r="I37" s="19" t="s">
        <v>72</v>
      </c>
      <c r="J37" s="1"/>
      <c r="K37" s="1">
        <v>808</v>
      </c>
      <c r="L37" s="1">
        <f t="shared" si="2"/>
        <v>-229</v>
      </c>
      <c r="M37" s="1">
        <f t="shared" si="3"/>
        <v>579</v>
      </c>
      <c r="N37" s="1"/>
      <c r="O37" s="1"/>
      <c r="P37" s="1">
        <v>0</v>
      </c>
      <c r="Q37" s="1">
        <v>255.4802</v>
      </c>
      <c r="R37" s="1"/>
      <c r="S37" s="1">
        <v>269.1198</v>
      </c>
      <c r="T37" s="1">
        <f t="shared" si="4"/>
        <v>115.8</v>
      </c>
      <c r="U37" s="5">
        <f>12*T37-S37-R37-Q37-P37-O37-F37</f>
        <v>865</v>
      </c>
      <c r="V37" s="1">
        <f t="shared" si="5"/>
        <v>12</v>
      </c>
      <c r="W37" s="1">
        <f t="shared" si="6"/>
        <v>4.5302245250431783</v>
      </c>
      <c r="X37" s="1">
        <v>78.8</v>
      </c>
      <c r="Y37" s="1">
        <v>30.4</v>
      </c>
      <c r="Z37" s="1">
        <v>21.8</v>
      </c>
      <c r="AA37" s="1">
        <v>26</v>
      </c>
      <c r="AB37" s="1">
        <v>29.6</v>
      </c>
      <c r="AC37" s="1">
        <v>30.4</v>
      </c>
      <c r="AD37" s="1">
        <v>20.399999999999999</v>
      </c>
      <c r="AE37" s="1">
        <v>0</v>
      </c>
      <c r="AF37" s="1">
        <v>1.8</v>
      </c>
      <c r="AG37" s="1">
        <v>13.6</v>
      </c>
      <c r="AH37" s="1"/>
      <c r="AI37" s="1">
        <f t="shared" si="13"/>
        <v>346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76</v>
      </c>
      <c r="B38" s="1" t="s">
        <v>37</v>
      </c>
      <c r="C38" s="1">
        <v>91.876999999999995</v>
      </c>
      <c r="D38" s="1">
        <v>40.079000000000001</v>
      </c>
      <c r="E38" s="1">
        <v>32.756</v>
      </c>
      <c r="F38" s="1">
        <v>64.319999999999993</v>
      </c>
      <c r="G38" s="7">
        <v>1</v>
      </c>
      <c r="H38" s="1"/>
      <c r="I38" s="9" t="s">
        <v>41</v>
      </c>
      <c r="J38" s="1"/>
      <c r="K38" s="1">
        <v>35.4</v>
      </c>
      <c r="L38" s="1">
        <f t="shared" ref="L38:L69" si="14">E38-K38</f>
        <v>-2.6439999999999984</v>
      </c>
      <c r="M38" s="1">
        <f t="shared" ref="M38:M69" si="15">E38-N38</f>
        <v>32.756</v>
      </c>
      <c r="N38" s="1"/>
      <c r="O38" s="1"/>
      <c r="P38" s="1">
        <v>0</v>
      </c>
      <c r="Q38" s="1">
        <v>146.1</v>
      </c>
      <c r="R38" s="1"/>
      <c r="S38" s="1">
        <v>153.9</v>
      </c>
      <c r="T38" s="1">
        <f t="shared" ref="T38:T69" si="16">M38/5</f>
        <v>6.5511999999999997</v>
      </c>
      <c r="U38" s="5"/>
      <c r="V38" s="1">
        <f t="shared" ref="V38:V69" si="17">(F38+O38+P38+Q38+R38+S38+U38)/T38</f>
        <v>55.611185736964224</v>
      </c>
      <c r="W38" s="1">
        <f t="shared" ref="W38:W69" si="18">(F38+O38+P38+Q38+R38+S38)/T38</f>
        <v>55.611185736964224</v>
      </c>
      <c r="X38" s="1">
        <v>4.5708000000000002</v>
      </c>
      <c r="Y38" s="1">
        <v>3.7145999999999999</v>
      </c>
      <c r="Z38" s="1">
        <v>1.996</v>
      </c>
      <c r="AA38" s="1">
        <v>2.2833999999999999</v>
      </c>
      <c r="AB38" s="1">
        <v>2.2871999999999999</v>
      </c>
      <c r="AC38" s="1">
        <v>2.8632</v>
      </c>
      <c r="AD38" s="1">
        <v>2.0015999999999998</v>
      </c>
      <c r="AE38" s="1">
        <v>2.2812000000000001</v>
      </c>
      <c r="AF38" s="1">
        <v>4.6482000000000001</v>
      </c>
      <c r="AG38" s="1">
        <v>6.3221999999999996</v>
      </c>
      <c r="AH38" s="16" t="s">
        <v>189</v>
      </c>
      <c r="AI38" s="1">
        <f t="shared" si="13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77</v>
      </c>
      <c r="B39" s="1" t="s">
        <v>43</v>
      </c>
      <c r="C39" s="1">
        <v>166</v>
      </c>
      <c r="D39" s="1">
        <v>462</v>
      </c>
      <c r="E39" s="1">
        <v>326</v>
      </c>
      <c r="F39" s="1">
        <v>234</v>
      </c>
      <c r="G39" s="7">
        <v>0.1</v>
      </c>
      <c r="H39" s="1">
        <v>731</v>
      </c>
      <c r="I39" s="1" t="s">
        <v>38</v>
      </c>
      <c r="J39" s="1"/>
      <c r="K39" s="1">
        <v>358</v>
      </c>
      <c r="L39" s="1">
        <f t="shared" si="14"/>
        <v>-32</v>
      </c>
      <c r="M39" s="1">
        <f t="shared" si="15"/>
        <v>326</v>
      </c>
      <c r="N39" s="1"/>
      <c r="O39" s="1">
        <v>220.71799200000001</v>
      </c>
      <c r="P39" s="1">
        <v>100</v>
      </c>
      <c r="Q39" s="1">
        <v>57.384000000000071</v>
      </c>
      <c r="R39" s="1"/>
      <c r="S39" s="1"/>
      <c r="T39" s="1">
        <f t="shared" si="16"/>
        <v>65.2</v>
      </c>
      <c r="U39" s="5">
        <f t="shared" si="12"/>
        <v>105.09800800000005</v>
      </c>
      <c r="V39" s="1">
        <f t="shared" si="17"/>
        <v>11.000000000000002</v>
      </c>
      <c r="W39" s="1">
        <f t="shared" si="18"/>
        <v>9.3880673619631914</v>
      </c>
      <c r="X39" s="1">
        <v>59.6</v>
      </c>
      <c r="Y39" s="1">
        <v>61.2</v>
      </c>
      <c r="Z39" s="1">
        <v>65.400000000000006</v>
      </c>
      <c r="AA39" s="1">
        <v>45.2</v>
      </c>
      <c r="AB39" s="1">
        <v>39.6</v>
      </c>
      <c r="AC39" s="1">
        <v>47</v>
      </c>
      <c r="AD39" s="1">
        <v>55.8</v>
      </c>
      <c r="AE39" s="1">
        <v>66.2</v>
      </c>
      <c r="AF39" s="1">
        <v>60.8</v>
      </c>
      <c r="AG39" s="1">
        <v>56</v>
      </c>
      <c r="AH39" s="1"/>
      <c r="AI39" s="1">
        <f t="shared" si="13"/>
        <v>10.509800800000006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78</v>
      </c>
      <c r="B40" s="1" t="s">
        <v>43</v>
      </c>
      <c r="C40" s="1">
        <v>0.66300000000000003</v>
      </c>
      <c r="D40" s="1">
        <v>194.33699999999999</v>
      </c>
      <c r="E40" s="1">
        <v>99</v>
      </c>
      <c r="F40" s="1"/>
      <c r="G40" s="7">
        <v>0.35</v>
      </c>
      <c r="H40" s="1">
        <v>40</v>
      </c>
      <c r="I40" s="9" t="s">
        <v>41</v>
      </c>
      <c r="J40" s="1"/>
      <c r="K40" s="1">
        <v>102</v>
      </c>
      <c r="L40" s="1">
        <f t="shared" si="14"/>
        <v>-3</v>
      </c>
      <c r="M40" s="1">
        <f t="shared" si="15"/>
        <v>39</v>
      </c>
      <c r="N40" s="1">
        <v>60</v>
      </c>
      <c r="O40" s="1"/>
      <c r="P40" s="1">
        <v>0</v>
      </c>
      <c r="Q40" s="1">
        <v>45.396799999999978</v>
      </c>
      <c r="R40" s="1"/>
      <c r="S40" s="1"/>
      <c r="T40" s="1">
        <f t="shared" si="16"/>
        <v>7.8</v>
      </c>
      <c r="U40" s="5">
        <f t="shared" si="12"/>
        <v>40.40320000000002</v>
      </c>
      <c r="V40" s="1">
        <f t="shared" si="17"/>
        <v>11</v>
      </c>
      <c r="W40" s="1">
        <f t="shared" si="18"/>
        <v>5.8201025641025614</v>
      </c>
      <c r="X40" s="1">
        <v>4.8</v>
      </c>
      <c r="Y40" s="1">
        <v>5.4</v>
      </c>
      <c r="Z40" s="1">
        <v>9.4336000000000002</v>
      </c>
      <c r="AA40" s="1">
        <v>5.4336000000000002</v>
      </c>
      <c r="AB40" s="1">
        <v>0.23380000000000001</v>
      </c>
      <c r="AC40" s="1">
        <v>0.23380000000000001</v>
      </c>
      <c r="AD40" s="1">
        <v>-0.2</v>
      </c>
      <c r="AE40" s="1">
        <v>-0.4</v>
      </c>
      <c r="AF40" s="1">
        <v>17.399999999999999</v>
      </c>
      <c r="AG40" s="1">
        <v>18.2</v>
      </c>
      <c r="AH40" s="1"/>
      <c r="AI40" s="1">
        <f t="shared" si="13"/>
        <v>14.141120000000006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79</v>
      </c>
      <c r="B41" s="1" t="s">
        <v>37</v>
      </c>
      <c r="C41" s="1">
        <v>27.574000000000002</v>
      </c>
      <c r="D41" s="1">
        <v>52.576999999999998</v>
      </c>
      <c r="E41" s="1">
        <v>17.486000000000001</v>
      </c>
      <c r="F41" s="1">
        <v>51.764000000000003</v>
      </c>
      <c r="G41" s="7">
        <v>1</v>
      </c>
      <c r="H41" s="1">
        <v>40</v>
      </c>
      <c r="I41" s="1" t="s">
        <v>38</v>
      </c>
      <c r="J41" s="1"/>
      <c r="K41" s="1">
        <v>19.434999999999999</v>
      </c>
      <c r="L41" s="1">
        <f t="shared" si="14"/>
        <v>-1.9489999999999981</v>
      </c>
      <c r="M41" s="1">
        <f t="shared" si="15"/>
        <v>17.486000000000001</v>
      </c>
      <c r="N41" s="1"/>
      <c r="O41" s="1"/>
      <c r="P41" s="1">
        <v>4</v>
      </c>
      <c r="Q41" s="1">
        <v>0</v>
      </c>
      <c r="R41" s="1"/>
      <c r="S41" s="1"/>
      <c r="T41" s="1">
        <f t="shared" si="16"/>
        <v>3.4972000000000003</v>
      </c>
      <c r="U41" s="5"/>
      <c r="V41" s="1">
        <f t="shared" si="17"/>
        <v>15.945327690724007</v>
      </c>
      <c r="W41" s="1">
        <f t="shared" si="18"/>
        <v>15.945327690724007</v>
      </c>
      <c r="X41" s="1">
        <v>4.0369999999999999</v>
      </c>
      <c r="Y41" s="1">
        <v>6.6698000000000004</v>
      </c>
      <c r="Z41" s="1">
        <v>6.9189999999999996</v>
      </c>
      <c r="AA41" s="1">
        <v>6.3548</v>
      </c>
      <c r="AB41" s="1">
        <v>6.2396000000000003</v>
      </c>
      <c r="AC41" s="1">
        <v>4.0526</v>
      </c>
      <c r="AD41" s="1">
        <v>0.86860000000000004</v>
      </c>
      <c r="AE41" s="1">
        <v>1.5376000000000001</v>
      </c>
      <c r="AF41" s="1">
        <v>4.7845999999999993</v>
      </c>
      <c r="AG41" s="1">
        <v>3.8283999999999998</v>
      </c>
      <c r="AH41" s="1"/>
      <c r="AI41" s="1">
        <f t="shared" si="1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80</v>
      </c>
      <c r="B42" s="1" t="s">
        <v>43</v>
      </c>
      <c r="C42" s="1">
        <v>-1</v>
      </c>
      <c r="D42" s="1">
        <v>848</v>
      </c>
      <c r="E42" s="1">
        <v>92</v>
      </c>
      <c r="F42" s="1">
        <v>167</v>
      </c>
      <c r="G42" s="7">
        <v>0.4</v>
      </c>
      <c r="H42" s="1">
        <v>40</v>
      </c>
      <c r="I42" s="9" t="s">
        <v>41</v>
      </c>
      <c r="J42" s="1"/>
      <c r="K42" s="1">
        <v>359</v>
      </c>
      <c r="L42" s="1">
        <f t="shared" si="14"/>
        <v>-267</v>
      </c>
      <c r="M42" s="1">
        <f t="shared" si="15"/>
        <v>92</v>
      </c>
      <c r="N42" s="1"/>
      <c r="O42" s="1">
        <v>226.89869999999999</v>
      </c>
      <c r="P42" s="1">
        <v>380.48000000000008</v>
      </c>
      <c r="Q42" s="1">
        <v>0</v>
      </c>
      <c r="R42" s="1"/>
      <c r="S42" s="1"/>
      <c r="T42" s="1">
        <f t="shared" si="16"/>
        <v>18.399999999999999</v>
      </c>
      <c r="U42" s="5"/>
      <c r="V42" s="1">
        <f t="shared" si="17"/>
        <v>42.085798913043483</v>
      </c>
      <c r="W42" s="1">
        <f t="shared" si="18"/>
        <v>42.085798913043483</v>
      </c>
      <c r="X42" s="1">
        <v>40.200000000000003</v>
      </c>
      <c r="Y42" s="1">
        <v>87</v>
      </c>
      <c r="Z42" s="1">
        <v>60.6</v>
      </c>
      <c r="AA42" s="1">
        <v>14.8</v>
      </c>
      <c r="AB42" s="1">
        <v>32.799999999999997</v>
      </c>
      <c r="AC42" s="1">
        <v>53.2</v>
      </c>
      <c r="AD42" s="1">
        <v>65</v>
      </c>
      <c r="AE42" s="1">
        <v>73.2</v>
      </c>
      <c r="AF42" s="1">
        <v>57</v>
      </c>
      <c r="AG42" s="1">
        <v>51.2</v>
      </c>
      <c r="AH42" s="1"/>
      <c r="AI42" s="1">
        <f t="shared" si="13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43</v>
      </c>
      <c r="C43" s="1">
        <v>196</v>
      </c>
      <c r="D43" s="1">
        <v>1554</v>
      </c>
      <c r="E43" s="1">
        <v>341</v>
      </c>
      <c r="F43" s="1">
        <v>413</v>
      </c>
      <c r="G43" s="7">
        <v>0.4</v>
      </c>
      <c r="H43" s="1">
        <v>45</v>
      </c>
      <c r="I43" s="9" t="s">
        <v>41</v>
      </c>
      <c r="J43" s="1"/>
      <c r="K43" s="1">
        <v>623</v>
      </c>
      <c r="L43" s="1">
        <f t="shared" si="14"/>
        <v>-282</v>
      </c>
      <c r="M43" s="1">
        <f t="shared" si="15"/>
        <v>341</v>
      </c>
      <c r="N43" s="1"/>
      <c r="O43" s="1">
        <v>504.60676399999988</v>
      </c>
      <c r="P43" s="1">
        <v>266.25599999999997</v>
      </c>
      <c r="Q43" s="1">
        <v>191.42606399999991</v>
      </c>
      <c r="R43" s="1"/>
      <c r="S43" s="1">
        <v>201.64593599999989</v>
      </c>
      <c r="T43" s="1">
        <f t="shared" si="16"/>
        <v>68.2</v>
      </c>
      <c r="U43" s="5"/>
      <c r="V43" s="1">
        <f t="shared" si="17"/>
        <v>23.122210615835773</v>
      </c>
      <c r="W43" s="1">
        <f t="shared" si="18"/>
        <v>23.122210615835773</v>
      </c>
      <c r="X43" s="1">
        <v>136.19999999999999</v>
      </c>
      <c r="Y43" s="1">
        <v>154.19999999999999</v>
      </c>
      <c r="Z43" s="1">
        <v>116.8</v>
      </c>
      <c r="AA43" s="1">
        <v>81.8</v>
      </c>
      <c r="AB43" s="1">
        <v>82.4</v>
      </c>
      <c r="AC43" s="1">
        <v>90.2</v>
      </c>
      <c r="AD43" s="1">
        <v>88</v>
      </c>
      <c r="AE43" s="1">
        <v>84</v>
      </c>
      <c r="AF43" s="1">
        <v>41.2</v>
      </c>
      <c r="AG43" s="1">
        <v>60.8</v>
      </c>
      <c r="AH43" s="1"/>
      <c r="AI43" s="1">
        <f t="shared" si="13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37</v>
      </c>
      <c r="C44" s="1">
        <v>288.38499999999999</v>
      </c>
      <c r="D44" s="1">
        <v>149.80600000000001</v>
      </c>
      <c r="E44" s="1">
        <v>79.858999999999995</v>
      </c>
      <c r="F44" s="1">
        <v>357.60300000000001</v>
      </c>
      <c r="G44" s="7">
        <v>1</v>
      </c>
      <c r="H44" s="1">
        <v>40</v>
      </c>
      <c r="I44" s="9" t="s">
        <v>41</v>
      </c>
      <c r="J44" s="1"/>
      <c r="K44" s="1">
        <v>90.534000000000006</v>
      </c>
      <c r="L44" s="1">
        <f t="shared" si="14"/>
        <v>-10.675000000000011</v>
      </c>
      <c r="M44" s="1">
        <f t="shared" si="15"/>
        <v>66.768000000000001</v>
      </c>
      <c r="N44" s="1">
        <v>13.090999999999999</v>
      </c>
      <c r="O44" s="1"/>
      <c r="P44" s="1">
        <v>0</v>
      </c>
      <c r="Q44" s="1">
        <v>0</v>
      </c>
      <c r="R44" s="1"/>
      <c r="S44" s="1"/>
      <c r="T44" s="1">
        <f t="shared" si="16"/>
        <v>13.3536</v>
      </c>
      <c r="U44" s="5"/>
      <c r="V44" s="1">
        <f t="shared" si="17"/>
        <v>26.779520129403306</v>
      </c>
      <c r="W44" s="1">
        <f t="shared" si="18"/>
        <v>26.779520129403306</v>
      </c>
      <c r="X44" s="1">
        <v>11.878</v>
      </c>
      <c r="Y44" s="1">
        <v>18.694400000000002</v>
      </c>
      <c r="Z44" s="1">
        <v>8.4109999999999996</v>
      </c>
      <c r="AA44" s="1">
        <v>0.14360000000000001</v>
      </c>
      <c r="AB44" s="1">
        <v>0</v>
      </c>
      <c r="AC44" s="1">
        <v>0</v>
      </c>
      <c r="AD44" s="1">
        <v>9.7788000000000004</v>
      </c>
      <c r="AE44" s="1">
        <v>18.235800000000001</v>
      </c>
      <c r="AF44" s="1">
        <v>15.523999999999999</v>
      </c>
      <c r="AG44" s="1">
        <v>12.8612</v>
      </c>
      <c r="AH44" s="18" t="s">
        <v>61</v>
      </c>
      <c r="AI44" s="1">
        <f t="shared" si="13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43</v>
      </c>
      <c r="C45" s="1">
        <v>35.15</v>
      </c>
      <c r="D45" s="1">
        <v>889.85</v>
      </c>
      <c r="E45" s="1">
        <v>122</v>
      </c>
      <c r="F45" s="1">
        <v>700</v>
      </c>
      <c r="G45" s="7">
        <v>0.35</v>
      </c>
      <c r="H45" s="1">
        <v>40</v>
      </c>
      <c r="I45" s="9" t="s">
        <v>85</v>
      </c>
      <c r="J45" s="1"/>
      <c r="K45" s="1">
        <v>227</v>
      </c>
      <c r="L45" s="1">
        <f t="shared" si="14"/>
        <v>-105</v>
      </c>
      <c r="M45" s="1">
        <f t="shared" si="15"/>
        <v>122</v>
      </c>
      <c r="N45" s="1"/>
      <c r="O45" s="1">
        <v>786.75</v>
      </c>
      <c r="P45" s="1">
        <v>290.83999999999997</v>
      </c>
      <c r="Q45" s="1">
        <v>170.45</v>
      </c>
      <c r="R45" s="1"/>
      <c r="S45" s="1">
        <v>179.55</v>
      </c>
      <c r="T45" s="1">
        <f t="shared" si="16"/>
        <v>24.4</v>
      </c>
      <c r="U45" s="5"/>
      <c r="V45" s="1">
        <f t="shared" si="17"/>
        <v>87.196311475409843</v>
      </c>
      <c r="W45" s="1">
        <f t="shared" si="18"/>
        <v>87.196311475409843</v>
      </c>
      <c r="X45" s="1">
        <v>36.799999999999997</v>
      </c>
      <c r="Y45" s="1">
        <v>51</v>
      </c>
      <c r="Z45" s="1">
        <v>28.6</v>
      </c>
      <c r="AA45" s="1">
        <v>-0.4</v>
      </c>
      <c r="AB45" s="1">
        <v>0</v>
      </c>
      <c r="AC45" s="1">
        <v>-0.4</v>
      </c>
      <c r="AD45" s="1">
        <v>31.2</v>
      </c>
      <c r="AE45" s="1">
        <v>60.8</v>
      </c>
      <c r="AF45" s="1">
        <v>78.400000000000006</v>
      </c>
      <c r="AG45" s="1">
        <v>297.39999999999998</v>
      </c>
      <c r="AH45" s="1" t="s">
        <v>86</v>
      </c>
      <c r="AI45" s="1">
        <f t="shared" si="1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87</v>
      </c>
      <c r="B46" s="1" t="s">
        <v>43</v>
      </c>
      <c r="C46" s="1">
        <v>235</v>
      </c>
      <c r="D46" s="1">
        <v>708</v>
      </c>
      <c r="E46" s="1">
        <v>350</v>
      </c>
      <c r="F46" s="1">
        <v>109</v>
      </c>
      <c r="G46" s="7">
        <v>0.4</v>
      </c>
      <c r="H46" s="1">
        <v>40</v>
      </c>
      <c r="I46" s="1" t="s">
        <v>38</v>
      </c>
      <c r="J46" s="1"/>
      <c r="K46" s="1">
        <v>382</v>
      </c>
      <c r="L46" s="1">
        <f t="shared" si="14"/>
        <v>-32</v>
      </c>
      <c r="M46" s="1">
        <f t="shared" si="15"/>
        <v>350</v>
      </c>
      <c r="N46" s="1"/>
      <c r="O46" s="1">
        <v>191.25368</v>
      </c>
      <c r="P46" s="1">
        <v>244.95999999999989</v>
      </c>
      <c r="Q46" s="1">
        <v>272.13560000000012</v>
      </c>
      <c r="R46" s="1"/>
      <c r="S46" s="1">
        <v>286.66440000000011</v>
      </c>
      <c r="T46" s="1">
        <f t="shared" si="16"/>
        <v>70</v>
      </c>
      <c r="U46" s="5"/>
      <c r="V46" s="1">
        <f t="shared" si="17"/>
        <v>15.771624000000003</v>
      </c>
      <c r="W46" s="1">
        <f t="shared" si="18"/>
        <v>15.771624000000003</v>
      </c>
      <c r="X46" s="1">
        <v>97.2</v>
      </c>
      <c r="Y46" s="1">
        <v>90</v>
      </c>
      <c r="Z46" s="1">
        <v>66</v>
      </c>
      <c r="AA46" s="1">
        <v>54.6</v>
      </c>
      <c r="AB46" s="1">
        <v>52</v>
      </c>
      <c r="AC46" s="1">
        <v>69</v>
      </c>
      <c r="AD46" s="1">
        <v>79.400000000000006</v>
      </c>
      <c r="AE46" s="1">
        <v>67.400000000000006</v>
      </c>
      <c r="AF46" s="1">
        <v>75.400000000000006</v>
      </c>
      <c r="AG46" s="1">
        <v>92</v>
      </c>
      <c r="AH46" s="1"/>
      <c r="AI46" s="1">
        <f t="shared" si="13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37</v>
      </c>
      <c r="C47" s="1">
        <v>181.23699999999999</v>
      </c>
      <c r="D47" s="1">
        <v>253.749</v>
      </c>
      <c r="E47" s="1">
        <v>103.694</v>
      </c>
      <c r="F47" s="1">
        <v>304.52800000000002</v>
      </c>
      <c r="G47" s="7">
        <v>1</v>
      </c>
      <c r="H47" s="1">
        <v>50</v>
      </c>
      <c r="I47" s="1" t="s">
        <v>38</v>
      </c>
      <c r="J47" s="1"/>
      <c r="K47" s="1">
        <v>122</v>
      </c>
      <c r="L47" s="1">
        <f t="shared" si="14"/>
        <v>-18.305999999999997</v>
      </c>
      <c r="M47" s="1">
        <f t="shared" si="15"/>
        <v>103.694</v>
      </c>
      <c r="N47" s="1"/>
      <c r="O47" s="1"/>
      <c r="P47" s="1">
        <v>0</v>
      </c>
      <c r="Q47" s="1">
        <v>0</v>
      </c>
      <c r="R47" s="1"/>
      <c r="S47" s="1"/>
      <c r="T47" s="1">
        <f t="shared" si="16"/>
        <v>20.738800000000001</v>
      </c>
      <c r="U47" s="5"/>
      <c r="V47" s="1">
        <f t="shared" si="17"/>
        <v>14.683974000424325</v>
      </c>
      <c r="W47" s="1">
        <f t="shared" si="18"/>
        <v>14.683974000424325</v>
      </c>
      <c r="X47" s="1">
        <v>20.241199999999999</v>
      </c>
      <c r="Y47" s="1">
        <v>19.106200000000001</v>
      </c>
      <c r="Z47" s="1">
        <v>26.2178</v>
      </c>
      <c r="AA47" s="1">
        <v>24.6632</v>
      </c>
      <c r="AB47" s="1">
        <v>41.405000000000001</v>
      </c>
      <c r="AC47" s="1">
        <v>41.046999999999997</v>
      </c>
      <c r="AD47" s="1">
        <v>19.833600000000001</v>
      </c>
      <c r="AE47" s="1">
        <v>20.871600000000001</v>
      </c>
      <c r="AF47" s="1">
        <v>29.981400000000001</v>
      </c>
      <c r="AG47" s="1">
        <v>29.677399999999999</v>
      </c>
      <c r="AH47" s="1"/>
      <c r="AI47" s="1">
        <f t="shared" si="13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37</v>
      </c>
      <c r="C48" s="1">
        <v>764.36300000000006</v>
      </c>
      <c r="D48" s="1">
        <v>1367.7270000000001</v>
      </c>
      <c r="E48" s="1">
        <v>865.55200000000002</v>
      </c>
      <c r="F48" s="1">
        <v>14.509</v>
      </c>
      <c r="G48" s="7">
        <v>1</v>
      </c>
      <c r="H48" s="1">
        <v>50</v>
      </c>
      <c r="I48" s="1" t="s">
        <v>38</v>
      </c>
      <c r="J48" s="1"/>
      <c r="K48" s="1">
        <v>914.75599999999997</v>
      </c>
      <c r="L48" s="1">
        <f t="shared" si="14"/>
        <v>-49.203999999999951</v>
      </c>
      <c r="M48" s="1">
        <f t="shared" si="15"/>
        <v>499.096</v>
      </c>
      <c r="N48" s="1">
        <v>366.45600000000002</v>
      </c>
      <c r="O48" s="1"/>
      <c r="P48" s="1">
        <v>840.90155199999981</v>
      </c>
      <c r="Q48" s="1">
        <v>312.55194817600028</v>
      </c>
      <c r="R48" s="1"/>
      <c r="S48" s="1">
        <v>329.23849982400031</v>
      </c>
      <c r="T48" s="1">
        <f t="shared" si="16"/>
        <v>99.819199999999995</v>
      </c>
      <c r="U48" s="5"/>
      <c r="V48" s="1">
        <f t="shared" si="17"/>
        <v>14.999128424190943</v>
      </c>
      <c r="W48" s="1">
        <f t="shared" si="18"/>
        <v>14.999128424190943</v>
      </c>
      <c r="X48" s="1">
        <v>140.38</v>
      </c>
      <c r="Y48" s="1">
        <v>172.2028</v>
      </c>
      <c r="Z48" s="1">
        <v>48.210799999999999</v>
      </c>
      <c r="AA48" s="1">
        <v>0.9294</v>
      </c>
      <c r="AB48" s="1">
        <v>46.881199999999993</v>
      </c>
      <c r="AC48" s="1">
        <v>105.58880000000001</v>
      </c>
      <c r="AD48" s="1">
        <v>141.5504</v>
      </c>
      <c r="AE48" s="1">
        <v>82.66</v>
      </c>
      <c r="AF48" s="1">
        <v>80.614800000000002</v>
      </c>
      <c r="AG48" s="1">
        <v>94.964200000000005</v>
      </c>
      <c r="AH48" s="1"/>
      <c r="AI48" s="1">
        <f t="shared" si="13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0" t="s">
        <v>90</v>
      </c>
      <c r="B49" s="10" t="s">
        <v>37</v>
      </c>
      <c r="C49" s="10"/>
      <c r="D49" s="10"/>
      <c r="E49" s="10"/>
      <c r="F49" s="10"/>
      <c r="G49" s="11">
        <v>0</v>
      </c>
      <c r="H49" s="10"/>
      <c r="I49" s="10" t="s">
        <v>41</v>
      </c>
      <c r="J49" s="10"/>
      <c r="K49" s="10"/>
      <c r="L49" s="10">
        <f t="shared" si="14"/>
        <v>0</v>
      </c>
      <c r="M49" s="10">
        <f t="shared" si="15"/>
        <v>0</v>
      </c>
      <c r="N49" s="10"/>
      <c r="O49" s="10"/>
      <c r="P49" s="10">
        <v>0</v>
      </c>
      <c r="Q49" s="10">
        <v>0</v>
      </c>
      <c r="R49" s="10"/>
      <c r="S49" s="10"/>
      <c r="T49" s="10">
        <f t="shared" si="16"/>
        <v>0</v>
      </c>
      <c r="U49" s="12"/>
      <c r="V49" s="10" t="e">
        <f t="shared" si="17"/>
        <v>#DIV/0!</v>
      </c>
      <c r="W49" s="10" t="e">
        <f t="shared" si="18"/>
        <v>#DIV/0!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 t="s">
        <v>53</v>
      </c>
      <c r="AI49" s="10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91</v>
      </c>
      <c r="B50" s="1" t="s">
        <v>43</v>
      </c>
      <c r="C50" s="1">
        <v>139</v>
      </c>
      <c r="D50" s="1">
        <v>611</v>
      </c>
      <c r="E50" s="1">
        <v>244</v>
      </c>
      <c r="F50" s="1">
        <v>280</v>
      </c>
      <c r="G50" s="7">
        <v>0.45</v>
      </c>
      <c r="H50" s="1">
        <v>50</v>
      </c>
      <c r="I50" s="1" t="s">
        <v>38</v>
      </c>
      <c r="J50" s="1"/>
      <c r="K50" s="1">
        <v>276</v>
      </c>
      <c r="L50" s="1">
        <f t="shared" si="14"/>
        <v>-32</v>
      </c>
      <c r="M50" s="1">
        <f t="shared" si="15"/>
        <v>244</v>
      </c>
      <c r="N50" s="1"/>
      <c r="O50" s="1">
        <v>197.10507123400001</v>
      </c>
      <c r="P50" s="1">
        <v>100</v>
      </c>
      <c r="Q50" s="1">
        <v>54.156283716000033</v>
      </c>
      <c r="R50" s="1"/>
      <c r="S50" s="1">
        <v>57.047584284000031</v>
      </c>
      <c r="T50" s="1">
        <f t="shared" si="16"/>
        <v>48.8</v>
      </c>
      <c r="U50" s="5"/>
      <c r="V50" s="1">
        <f t="shared" si="17"/>
        <v>14.104691377745903</v>
      </c>
      <c r="W50" s="1">
        <f t="shared" si="18"/>
        <v>14.104691377745903</v>
      </c>
      <c r="X50" s="1">
        <v>64</v>
      </c>
      <c r="Y50" s="1">
        <v>63.8</v>
      </c>
      <c r="Z50" s="1">
        <v>68</v>
      </c>
      <c r="AA50" s="1">
        <v>58.8</v>
      </c>
      <c r="AB50" s="1">
        <v>49.8</v>
      </c>
      <c r="AC50" s="1">
        <v>64.003599999999992</v>
      </c>
      <c r="AD50" s="1">
        <v>53.003599999999992</v>
      </c>
      <c r="AE50" s="1">
        <v>62.2</v>
      </c>
      <c r="AF50" s="1">
        <v>72.400000000000006</v>
      </c>
      <c r="AG50" s="1">
        <v>68</v>
      </c>
      <c r="AH50" s="1"/>
      <c r="AI50" s="1">
        <f>G50*U50</f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43</v>
      </c>
      <c r="C51" s="1">
        <v>539</v>
      </c>
      <c r="D51" s="1">
        <v>1048</v>
      </c>
      <c r="E51" s="1">
        <v>419</v>
      </c>
      <c r="F51" s="1">
        <v>240</v>
      </c>
      <c r="G51" s="7">
        <v>0.45</v>
      </c>
      <c r="H51" s="1">
        <v>50</v>
      </c>
      <c r="I51" s="1" t="s">
        <v>38</v>
      </c>
      <c r="J51" s="1"/>
      <c r="K51" s="1">
        <v>497</v>
      </c>
      <c r="L51" s="1">
        <f t="shared" si="14"/>
        <v>-78</v>
      </c>
      <c r="M51" s="1">
        <f t="shared" si="15"/>
        <v>419</v>
      </c>
      <c r="N51" s="1"/>
      <c r="O51" s="1">
        <v>142.01781600000001</v>
      </c>
      <c r="P51" s="1">
        <v>63.031999999999933</v>
      </c>
      <c r="Q51" s="1">
        <v>204.92959999999999</v>
      </c>
      <c r="R51" s="1"/>
      <c r="S51" s="1">
        <v>215.87039999999999</v>
      </c>
      <c r="T51" s="1">
        <f t="shared" si="16"/>
        <v>83.8</v>
      </c>
      <c r="U51" s="5">
        <f t="shared" ref="U50:U51" si="19">11*T51-S51-R51-Q51-P51-O51-F51</f>
        <v>55.950184000000036</v>
      </c>
      <c r="V51" s="1">
        <f t="shared" si="17"/>
        <v>11</v>
      </c>
      <c r="W51" s="1">
        <f t="shared" si="18"/>
        <v>10.332336706443913</v>
      </c>
      <c r="X51" s="1">
        <v>89.8</v>
      </c>
      <c r="Y51" s="1">
        <v>78.8</v>
      </c>
      <c r="Z51" s="1">
        <v>79.2</v>
      </c>
      <c r="AA51" s="1">
        <v>78.400000000000006</v>
      </c>
      <c r="AB51" s="1">
        <v>62.8</v>
      </c>
      <c r="AC51" s="1">
        <v>88.6</v>
      </c>
      <c r="AD51" s="1">
        <v>112.4</v>
      </c>
      <c r="AE51" s="1">
        <v>111.6</v>
      </c>
      <c r="AF51" s="1">
        <v>97.4</v>
      </c>
      <c r="AG51" s="1">
        <v>85.4</v>
      </c>
      <c r="AH51" s="1"/>
      <c r="AI51" s="1">
        <f>G51*U51</f>
        <v>25.177582800000017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0" t="s">
        <v>93</v>
      </c>
      <c r="B52" s="10" t="s">
        <v>43</v>
      </c>
      <c r="C52" s="10"/>
      <c r="D52" s="10"/>
      <c r="E52" s="10"/>
      <c r="F52" s="10"/>
      <c r="G52" s="11">
        <v>0</v>
      </c>
      <c r="H52" s="10"/>
      <c r="I52" s="10" t="s">
        <v>38</v>
      </c>
      <c r="J52" s="10"/>
      <c r="K52" s="10"/>
      <c r="L52" s="10">
        <f t="shared" si="14"/>
        <v>0</v>
      </c>
      <c r="M52" s="10">
        <f t="shared" si="15"/>
        <v>0</v>
      </c>
      <c r="N52" s="10"/>
      <c r="O52" s="10"/>
      <c r="P52" s="10">
        <v>0</v>
      </c>
      <c r="Q52" s="10">
        <v>0</v>
      </c>
      <c r="R52" s="10"/>
      <c r="S52" s="10"/>
      <c r="T52" s="10">
        <f t="shared" si="16"/>
        <v>0</v>
      </c>
      <c r="U52" s="12"/>
      <c r="V52" s="10" t="e">
        <f t="shared" si="17"/>
        <v>#DIV/0!</v>
      </c>
      <c r="W52" s="10" t="e">
        <f t="shared" si="18"/>
        <v>#DIV/0!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 t="s">
        <v>53</v>
      </c>
      <c r="AI52" s="10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94</v>
      </c>
      <c r="B53" s="1" t="s">
        <v>43</v>
      </c>
      <c r="C53" s="1">
        <v>-5</v>
      </c>
      <c r="D53" s="1">
        <v>149</v>
      </c>
      <c r="E53" s="1">
        <v>24</v>
      </c>
      <c r="F53" s="1">
        <v>33</v>
      </c>
      <c r="G53" s="7">
        <v>0.4</v>
      </c>
      <c r="H53" s="1">
        <v>40</v>
      </c>
      <c r="I53" s="1" t="s">
        <v>38</v>
      </c>
      <c r="J53" s="1"/>
      <c r="K53" s="1">
        <v>33</v>
      </c>
      <c r="L53" s="1">
        <f t="shared" si="14"/>
        <v>-9</v>
      </c>
      <c r="M53" s="1">
        <f t="shared" si="15"/>
        <v>24</v>
      </c>
      <c r="N53" s="1"/>
      <c r="O53" s="1"/>
      <c r="P53" s="1">
        <v>0</v>
      </c>
      <c r="Q53" s="1">
        <v>0</v>
      </c>
      <c r="R53" s="1"/>
      <c r="S53" s="1"/>
      <c r="T53" s="1">
        <f t="shared" si="16"/>
        <v>4.8</v>
      </c>
      <c r="U53" s="5">
        <f t="shared" ref="U53:U67" si="20">11*T53-S53-R53-Q53-P53-O53-F53</f>
        <v>19.799999999999997</v>
      </c>
      <c r="V53" s="1">
        <f t="shared" si="17"/>
        <v>11</v>
      </c>
      <c r="W53" s="1">
        <f t="shared" si="18"/>
        <v>6.875</v>
      </c>
      <c r="X53" s="1">
        <v>-0.2</v>
      </c>
      <c r="Y53" s="1">
        <v>1</v>
      </c>
      <c r="Z53" s="1">
        <v>6.8</v>
      </c>
      <c r="AA53" s="1">
        <v>7</v>
      </c>
      <c r="AB53" s="1">
        <v>3.8</v>
      </c>
      <c r="AC53" s="1">
        <v>3.8</v>
      </c>
      <c r="AD53" s="1">
        <v>8</v>
      </c>
      <c r="AE53" s="1">
        <v>7.4</v>
      </c>
      <c r="AF53" s="1">
        <v>5.4</v>
      </c>
      <c r="AG53" s="1">
        <v>6</v>
      </c>
      <c r="AH53" s="1" t="s">
        <v>95</v>
      </c>
      <c r="AI53" s="1">
        <f t="shared" ref="AI53:AI67" si="21">G53*U53</f>
        <v>7.919999999999999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96</v>
      </c>
      <c r="B54" s="1" t="s">
        <v>37</v>
      </c>
      <c r="C54" s="1">
        <v>530.80100000000004</v>
      </c>
      <c r="D54" s="1">
        <v>2352.4180000000001</v>
      </c>
      <c r="E54" s="1">
        <v>951.49900000000002</v>
      </c>
      <c r="F54" s="1">
        <v>234.21600000000001</v>
      </c>
      <c r="G54" s="7">
        <v>1</v>
      </c>
      <c r="H54" s="1">
        <v>50</v>
      </c>
      <c r="I54" s="1" t="s">
        <v>38</v>
      </c>
      <c r="J54" s="1"/>
      <c r="K54" s="1">
        <v>1050.8679999999999</v>
      </c>
      <c r="L54" s="1">
        <f t="shared" si="14"/>
        <v>-99.368999999999915</v>
      </c>
      <c r="M54" s="1">
        <f t="shared" si="15"/>
        <v>616.83100000000002</v>
      </c>
      <c r="N54" s="1">
        <v>334.66800000000001</v>
      </c>
      <c r="O54" s="1">
        <v>244.05369773199999</v>
      </c>
      <c r="P54" s="1">
        <v>982.36824000000036</v>
      </c>
      <c r="Q54" s="1">
        <v>0</v>
      </c>
      <c r="R54" s="1"/>
      <c r="S54" s="1"/>
      <c r="T54" s="1">
        <f t="shared" si="16"/>
        <v>123.36620000000001</v>
      </c>
      <c r="U54" s="5"/>
      <c r="V54" s="1">
        <f t="shared" si="17"/>
        <v>11.839855144537161</v>
      </c>
      <c r="W54" s="1">
        <f t="shared" si="18"/>
        <v>11.839855144537161</v>
      </c>
      <c r="X54" s="1">
        <v>134.70740000000001</v>
      </c>
      <c r="Y54" s="1">
        <v>246.79640000000001</v>
      </c>
      <c r="Z54" s="1">
        <v>179.1534</v>
      </c>
      <c r="AA54" s="1">
        <v>142.68860000000001</v>
      </c>
      <c r="AB54" s="1">
        <v>164.26859999999999</v>
      </c>
      <c r="AC54" s="1">
        <v>206.44300000000001</v>
      </c>
      <c r="AD54" s="1">
        <v>204.51920000000001</v>
      </c>
      <c r="AE54" s="1">
        <v>173.88640000000001</v>
      </c>
      <c r="AF54" s="1">
        <v>123.2016</v>
      </c>
      <c r="AG54" s="1">
        <v>136.36320000000001</v>
      </c>
      <c r="AH54" s="1"/>
      <c r="AI54" s="1">
        <f t="shared" si="21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97</v>
      </c>
      <c r="B55" s="1" t="s">
        <v>43</v>
      </c>
      <c r="C55" s="1">
        <v>142</v>
      </c>
      <c r="D55" s="1">
        <v>281</v>
      </c>
      <c r="E55" s="13">
        <f>154+E129</f>
        <v>235</v>
      </c>
      <c r="F55" s="1">
        <v>237</v>
      </c>
      <c r="G55" s="7">
        <v>0.1</v>
      </c>
      <c r="H55" s="1">
        <v>731</v>
      </c>
      <c r="I55" s="1" t="s">
        <v>38</v>
      </c>
      <c r="J55" s="1"/>
      <c r="K55" s="1">
        <v>176</v>
      </c>
      <c r="L55" s="1">
        <f t="shared" si="14"/>
        <v>59</v>
      </c>
      <c r="M55" s="1">
        <f t="shared" si="15"/>
        <v>235</v>
      </c>
      <c r="N55" s="1"/>
      <c r="O55" s="1">
        <v>273.60857199999998</v>
      </c>
      <c r="P55" s="1">
        <v>70</v>
      </c>
      <c r="Q55" s="1">
        <v>62.544000000000068</v>
      </c>
      <c r="R55" s="1"/>
      <c r="S55" s="1"/>
      <c r="T55" s="1">
        <f t="shared" si="16"/>
        <v>47</v>
      </c>
      <c r="U55" s="5"/>
      <c r="V55" s="1">
        <f t="shared" si="17"/>
        <v>13.684097276595747</v>
      </c>
      <c r="W55" s="1">
        <f t="shared" si="18"/>
        <v>13.684097276595747</v>
      </c>
      <c r="X55" s="1">
        <v>54.6</v>
      </c>
      <c r="Y55" s="1">
        <v>62</v>
      </c>
      <c r="Z55" s="1">
        <v>61.4</v>
      </c>
      <c r="AA55" s="1">
        <v>38.4</v>
      </c>
      <c r="AB55" s="1">
        <v>32.799999999999997</v>
      </c>
      <c r="AC55" s="1">
        <v>39.4</v>
      </c>
      <c r="AD55" s="1">
        <v>46.6</v>
      </c>
      <c r="AE55" s="1">
        <v>63</v>
      </c>
      <c r="AF55" s="1">
        <v>65.400000000000006</v>
      </c>
      <c r="AG55" s="1">
        <v>33.4</v>
      </c>
      <c r="AH55" s="1"/>
      <c r="AI55" s="1">
        <f t="shared" si="21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98</v>
      </c>
      <c r="B56" s="1" t="s">
        <v>37</v>
      </c>
      <c r="C56" s="1">
        <v>84.936999999999998</v>
      </c>
      <c r="D56" s="1">
        <v>1797.4549999999999</v>
      </c>
      <c r="E56" s="1">
        <v>680.81700000000001</v>
      </c>
      <c r="F56" s="1">
        <v>425.21</v>
      </c>
      <c r="G56" s="7">
        <v>1</v>
      </c>
      <c r="H56" s="1">
        <v>50</v>
      </c>
      <c r="I56" s="1" t="s">
        <v>38</v>
      </c>
      <c r="J56" s="1"/>
      <c r="K56" s="1">
        <v>699.66600000000005</v>
      </c>
      <c r="L56" s="1">
        <f t="shared" si="14"/>
        <v>-18.849000000000046</v>
      </c>
      <c r="M56" s="1">
        <f t="shared" si="15"/>
        <v>680.81700000000001</v>
      </c>
      <c r="N56" s="1"/>
      <c r="O56" s="1">
        <v>120.70842160799999</v>
      </c>
      <c r="P56" s="1">
        <v>150</v>
      </c>
      <c r="Q56" s="1">
        <v>88.103469992000001</v>
      </c>
      <c r="R56" s="1"/>
      <c r="S56" s="1">
        <v>92.807146008000004</v>
      </c>
      <c r="T56" s="1">
        <f t="shared" si="16"/>
        <v>136.1634</v>
      </c>
      <c r="U56" s="5">
        <f t="shared" si="20"/>
        <v>620.96836239199979</v>
      </c>
      <c r="V56" s="1">
        <f t="shared" si="17"/>
        <v>11</v>
      </c>
      <c r="W56" s="1">
        <f t="shared" si="18"/>
        <v>6.439535422940379</v>
      </c>
      <c r="X56" s="1">
        <v>92.244799999999998</v>
      </c>
      <c r="Y56" s="1">
        <v>70.771600000000007</v>
      </c>
      <c r="Z56" s="1">
        <v>106.0296</v>
      </c>
      <c r="AA56" s="1">
        <v>99.083200000000005</v>
      </c>
      <c r="AB56" s="1">
        <v>84.417000000000002</v>
      </c>
      <c r="AC56" s="1">
        <v>102.416</v>
      </c>
      <c r="AD56" s="1">
        <v>87.879000000000005</v>
      </c>
      <c r="AE56" s="1">
        <v>99.554999999999993</v>
      </c>
      <c r="AF56" s="1">
        <v>115.2872</v>
      </c>
      <c r="AG56" s="1">
        <v>98.024599999999992</v>
      </c>
      <c r="AH56" s="1"/>
      <c r="AI56" s="1">
        <f t="shared" si="21"/>
        <v>620.96836239199979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99</v>
      </c>
      <c r="B57" s="1" t="s">
        <v>37</v>
      </c>
      <c r="C57" s="1">
        <v>180.39500000000001</v>
      </c>
      <c r="D57" s="1">
        <v>34.289000000000001</v>
      </c>
      <c r="E57" s="1">
        <v>39.585999999999999</v>
      </c>
      <c r="F57" s="1">
        <v>142.18</v>
      </c>
      <c r="G57" s="7">
        <v>1</v>
      </c>
      <c r="H57" s="1">
        <v>55</v>
      </c>
      <c r="I57" s="1" t="s">
        <v>38</v>
      </c>
      <c r="J57" s="1"/>
      <c r="K57" s="1">
        <v>40.6</v>
      </c>
      <c r="L57" s="1">
        <f t="shared" si="14"/>
        <v>-1.0140000000000029</v>
      </c>
      <c r="M57" s="1">
        <f t="shared" si="15"/>
        <v>39.585999999999999</v>
      </c>
      <c r="N57" s="1"/>
      <c r="O57" s="1"/>
      <c r="P57" s="1">
        <v>0</v>
      </c>
      <c r="Q57" s="1">
        <v>0</v>
      </c>
      <c r="R57" s="1"/>
      <c r="S57" s="1"/>
      <c r="T57" s="1">
        <f t="shared" si="16"/>
        <v>7.9171999999999993</v>
      </c>
      <c r="U57" s="5"/>
      <c r="V57" s="1">
        <f t="shared" si="17"/>
        <v>17.958369120396103</v>
      </c>
      <c r="W57" s="1">
        <f t="shared" si="18"/>
        <v>17.958369120396103</v>
      </c>
      <c r="X57" s="1">
        <v>8.2225999999999999</v>
      </c>
      <c r="Y57" s="1">
        <v>9.8346</v>
      </c>
      <c r="Z57" s="1">
        <v>8.355599999999999</v>
      </c>
      <c r="AA57" s="1">
        <v>5.3819999999999997</v>
      </c>
      <c r="AB57" s="1">
        <v>4.3932000000000002</v>
      </c>
      <c r="AC57" s="1">
        <v>3.2082000000000002</v>
      </c>
      <c r="AD57" s="1">
        <v>1.5431999999999999</v>
      </c>
      <c r="AE57" s="1">
        <v>4.0904000000000007</v>
      </c>
      <c r="AF57" s="1">
        <v>20.759</v>
      </c>
      <c r="AG57" s="1">
        <v>17.7484</v>
      </c>
      <c r="AH57" s="18" t="s">
        <v>61</v>
      </c>
      <c r="AI57" s="1">
        <f t="shared" si="21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100</v>
      </c>
      <c r="B58" s="1" t="s">
        <v>43</v>
      </c>
      <c r="C58" s="1">
        <v>246</v>
      </c>
      <c r="D58" s="1">
        <v>94</v>
      </c>
      <c r="E58" s="1">
        <v>182</v>
      </c>
      <c r="F58" s="1">
        <v>144</v>
      </c>
      <c r="G58" s="7">
        <v>0.1</v>
      </c>
      <c r="H58" s="1">
        <v>731</v>
      </c>
      <c r="I58" s="1" t="s">
        <v>38</v>
      </c>
      <c r="J58" s="1"/>
      <c r="K58" s="1">
        <v>200</v>
      </c>
      <c r="L58" s="1">
        <f t="shared" si="14"/>
        <v>-18</v>
      </c>
      <c r="M58" s="1">
        <f t="shared" si="15"/>
        <v>182</v>
      </c>
      <c r="N58" s="1"/>
      <c r="O58" s="1">
        <v>91.99730000000001</v>
      </c>
      <c r="P58" s="1">
        <v>80</v>
      </c>
      <c r="Q58" s="1">
        <v>34.800000000000011</v>
      </c>
      <c r="R58" s="1"/>
      <c r="S58" s="1"/>
      <c r="T58" s="1">
        <f t="shared" si="16"/>
        <v>36.4</v>
      </c>
      <c r="U58" s="5">
        <f t="shared" si="20"/>
        <v>49.60269999999997</v>
      </c>
      <c r="V58" s="1">
        <f t="shared" si="17"/>
        <v>11</v>
      </c>
      <c r="W58" s="1">
        <f t="shared" si="18"/>
        <v>9.6372884615384624</v>
      </c>
      <c r="X58" s="1">
        <v>34.6</v>
      </c>
      <c r="Y58" s="1">
        <v>38.4</v>
      </c>
      <c r="Z58" s="1">
        <v>39.200000000000003</v>
      </c>
      <c r="AA58" s="1">
        <v>27.6</v>
      </c>
      <c r="AB58" s="1">
        <v>22</v>
      </c>
      <c r="AC58" s="1">
        <v>24.8</v>
      </c>
      <c r="AD58" s="1">
        <v>27.2</v>
      </c>
      <c r="AE58" s="1">
        <v>35</v>
      </c>
      <c r="AF58" s="1">
        <v>40.200000000000003</v>
      </c>
      <c r="AG58" s="1">
        <v>25.8</v>
      </c>
      <c r="AH58" s="1"/>
      <c r="AI58" s="1">
        <f t="shared" si="21"/>
        <v>4.9602699999999977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101</v>
      </c>
      <c r="B59" s="1" t="s">
        <v>43</v>
      </c>
      <c r="C59" s="1">
        <v>9</v>
      </c>
      <c r="D59" s="1">
        <v>21</v>
      </c>
      <c r="E59" s="1">
        <v>6</v>
      </c>
      <c r="F59" s="1">
        <v>24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14"/>
        <v>-2</v>
      </c>
      <c r="M59" s="1">
        <f t="shared" si="15"/>
        <v>6</v>
      </c>
      <c r="N59" s="1"/>
      <c r="O59" s="1"/>
      <c r="P59" s="1">
        <v>0</v>
      </c>
      <c r="Q59" s="1">
        <v>0</v>
      </c>
      <c r="R59" s="1"/>
      <c r="S59" s="1"/>
      <c r="T59" s="1">
        <f t="shared" si="16"/>
        <v>1.2</v>
      </c>
      <c r="U59" s="5"/>
      <c r="V59" s="1">
        <f t="shared" si="17"/>
        <v>20</v>
      </c>
      <c r="W59" s="1">
        <f t="shared" si="18"/>
        <v>20</v>
      </c>
      <c r="X59" s="1">
        <v>0.6</v>
      </c>
      <c r="Y59" s="1">
        <v>0.2</v>
      </c>
      <c r="Z59" s="1">
        <v>0</v>
      </c>
      <c r="AA59" s="1">
        <v>0</v>
      </c>
      <c r="AB59" s="1">
        <v>0</v>
      </c>
      <c r="AC59" s="1">
        <v>0</v>
      </c>
      <c r="AD59" s="1">
        <v>0.8</v>
      </c>
      <c r="AE59" s="1">
        <v>1.4</v>
      </c>
      <c r="AF59" s="1">
        <v>1</v>
      </c>
      <c r="AG59" s="1">
        <v>0.6</v>
      </c>
      <c r="AH59" s="1" t="s">
        <v>102</v>
      </c>
      <c r="AI59" s="1">
        <f t="shared" si="21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103</v>
      </c>
      <c r="B60" s="1" t="s">
        <v>37</v>
      </c>
      <c r="C60" s="1">
        <v>209.96100000000001</v>
      </c>
      <c r="D60" s="1">
        <v>721.36</v>
      </c>
      <c r="E60" s="1">
        <v>433.12900000000002</v>
      </c>
      <c r="F60" s="1">
        <v>5.4489999999999998</v>
      </c>
      <c r="G60" s="7">
        <v>1</v>
      </c>
      <c r="H60" s="1">
        <v>40</v>
      </c>
      <c r="I60" s="9" t="s">
        <v>41</v>
      </c>
      <c r="J60" s="1"/>
      <c r="K60" s="1">
        <v>642.6</v>
      </c>
      <c r="L60" s="1">
        <f t="shared" si="14"/>
        <v>-209.471</v>
      </c>
      <c r="M60" s="1">
        <f t="shared" si="15"/>
        <v>433.12900000000002</v>
      </c>
      <c r="N60" s="1"/>
      <c r="O60" s="1">
        <v>67.679323256000046</v>
      </c>
      <c r="P60" s="1">
        <v>818.65175999999974</v>
      </c>
      <c r="Q60" s="1">
        <v>594.03585602399994</v>
      </c>
      <c r="R60" s="1"/>
      <c r="S60" s="1">
        <v>625.75029597599996</v>
      </c>
      <c r="T60" s="1">
        <f t="shared" si="16"/>
        <v>86.625799999999998</v>
      </c>
      <c r="U60" s="5"/>
      <c r="V60" s="1">
        <f t="shared" si="17"/>
        <v>24.3757198808669</v>
      </c>
      <c r="W60" s="1">
        <f t="shared" si="18"/>
        <v>24.3757198808669</v>
      </c>
      <c r="X60" s="1">
        <v>176.91839999999999</v>
      </c>
      <c r="Y60" s="1">
        <v>159.2122</v>
      </c>
      <c r="Z60" s="1">
        <v>67.032200000000003</v>
      </c>
      <c r="AA60" s="1">
        <v>33.514600000000002</v>
      </c>
      <c r="AB60" s="1">
        <v>51.473600000000012</v>
      </c>
      <c r="AC60" s="1">
        <v>55.871799999999993</v>
      </c>
      <c r="AD60" s="1">
        <v>77.281200000000013</v>
      </c>
      <c r="AE60" s="1">
        <v>50.870399999999997</v>
      </c>
      <c r="AF60" s="1">
        <v>19.090599999999998</v>
      </c>
      <c r="AG60" s="1">
        <v>23.803599999999999</v>
      </c>
      <c r="AH60" s="1"/>
      <c r="AI60" s="1">
        <f t="shared" si="21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37</v>
      </c>
      <c r="C61" s="1">
        <v>40.073999999999998</v>
      </c>
      <c r="D61" s="1">
        <v>634.41600000000005</v>
      </c>
      <c r="E61" s="1">
        <v>438.73700000000002</v>
      </c>
      <c r="F61" s="1">
        <v>5.4269999999999996</v>
      </c>
      <c r="G61" s="7">
        <v>1</v>
      </c>
      <c r="H61" s="1">
        <v>40</v>
      </c>
      <c r="I61" s="1" t="s">
        <v>38</v>
      </c>
      <c r="J61" s="1"/>
      <c r="K61" s="1">
        <v>484.404</v>
      </c>
      <c r="L61" s="1">
        <f t="shared" si="14"/>
        <v>-45.666999999999973</v>
      </c>
      <c r="M61" s="1">
        <f t="shared" si="15"/>
        <v>398.87800000000004</v>
      </c>
      <c r="N61" s="1">
        <v>39.859000000000002</v>
      </c>
      <c r="O61" s="1">
        <v>150.03129483999999</v>
      </c>
      <c r="P61" s="1">
        <v>200</v>
      </c>
      <c r="Q61" s="1">
        <v>71.301416759999967</v>
      </c>
      <c r="R61" s="1"/>
      <c r="S61" s="1">
        <v>75.108063239999979</v>
      </c>
      <c r="T61" s="1">
        <f t="shared" si="16"/>
        <v>79.775600000000011</v>
      </c>
      <c r="U61" s="5">
        <f t="shared" si="20"/>
        <v>375.66382516000021</v>
      </c>
      <c r="V61" s="1">
        <f t="shared" si="17"/>
        <v>11</v>
      </c>
      <c r="W61" s="1">
        <f t="shared" si="18"/>
        <v>6.290993422048845</v>
      </c>
      <c r="X61" s="1">
        <v>53.333399999999997</v>
      </c>
      <c r="Y61" s="1">
        <v>52.77</v>
      </c>
      <c r="Z61" s="1">
        <v>53.208000000000013</v>
      </c>
      <c r="AA61" s="1">
        <v>24.193999999999999</v>
      </c>
      <c r="AB61" s="1">
        <v>18.840399999999999</v>
      </c>
      <c r="AC61" s="1">
        <v>20.795200000000001</v>
      </c>
      <c r="AD61" s="1">
        <v>1.9228000000000001</v>
      </c>
      <c r="AE61" s="1">
        <v>32.845799999999997</v>
      </c>
      <c r="AF61" s="1">
        <v>64.912599999999998</v>
      </c>
      <c r="AG61" s="1">
        <v>19.1128</v>
      </c>
      <c r="AH61" s="1"/>
      <c r="AI61" s="1">
        <f t="shared" si="21"/>
        <v>375.66382516000021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43</v>
      </c>
      <c r="C62" s="1">
        <v>379</v>
      </c>
      <c r="D62" s="1">
        <v>1520</v>
      </c>
      <c r="E62" s="1">
        <v>810</v>
      </c>
      <c r="F62" s="1">
        <v>474</v>
      </c>
      <c r="G62" s="7">
        <v>0.4</v>
      </c>
      <c r="H62" s="1">
        <v>40</v>
      </c>
      <c r="I62" s="1" t="s">
        <v>38</v>
      </c>
      <c r="J62" s="1"/>
      <c r="K62" s="1">
        <v>847</v>
      </c>
      <c r="L62" s="1">
        <f t="shared" si="14"/>
        <v>-37</v>
      </c>
      <c r="M62" s="1">
        <f t="shared" si="15"/>
        <v>810</v>
      </c>
      <c r="N62" s="1"/>
      <c r="O62" s="1">
        <v>213.60996799999981</v>
      </c>
      <c r="P62" s="1">
        <v>0</v>
      </c>
      <c r="Q62" s="1">
        <v>283.5976320000002</v>
      </c>
      <c r="R62" s="1"/>
      <c r="S62" s="1">
        <v>298.73836800000032</v>
      </c>
      <c r="T62" s="1">
        <f t="shared" si="16"/>
        <v>162</v>
      </c>
      <c r="U62" s="5">
        <f t="shared" si="20"/>
        <v>512.05403199999978</v>
      </c>
      <c r="V62" s="1">
        <f t="shared" si="17"/>
        <v>11</v>
      </c>
      <c r="W62" s="1">
        <f t="shared" si="18"/>
        <v>7.8391726419753098</v>
      </c>
      <c r="X62" s="1">
        <v>129.80000000000001</v>
      </c>
      <c r="Y62" s="1">
        <v>116</v>
      </c>
      <c r="Z62" s="1">
        <v>134.6</v>
      </c>
      <c r="AA62" s="1">
        <v>128.80000000000001</v>
      </c>
      <c r="AB62" s="1">
        <v>126.8</v>
      </c>
      <c r="AC62" s="1">
        <v>142.6</v>
      </c>
      <c r="AD62" s="1">
        <v>143.80000000000001</v>
      </c>
      <c r="AE62" s="1">
        <v>123.8</v>
      </c>
      <c r="AF62" s="1">
        <v>114.2</v>
      </c>
      <c r="AG62" s="1">
        <v>94.8</v>
      </c>
      <c r="AH62" s="1"/>
      <c r="AI62" s="1">
        <f t="shared" si="21"/>
        <v>204.82161279999991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43</v>
      </c>
      <c r="C63" s="1">
        <v>28</v>
      </c>
      <c r="D63" s="1">
        <v>1240</v>
      </c>
      <c r="E63" s="1">
        <v>412</v>
      </c>
      <c r="F63" s="1">
        <v>411</v>
      </c>
      <c r="G63" s="7">
        <v>0.4</v>
      </c>
      <c r="H63" s="1">
        <v>40</v>
      </c>
      <c r="I63" s="9" t="s">
        <v>41</v>
      </c>
      <c r="J63" s="1"/>
      <c r="K63" s="1">
        <v>442</v>
      </c>
      <c r="L63" s="1">
        <f t="shared" si="14"/>
        <v>-30</v>
      </c>
      <c r="M63" s="1">
        <f t="shared" si="15"/>
        <v>412</v>
      </c>
      <c r="N63" s="1"/>
      <c r="O63" s="1">
        <v>270.33464299999969</v>
      </c>
      <c r="P63" s="1">
        <v>100</v>
      </c>
      <c r="Q63" s="1">
        <v>29.18600000000043</v>
      </c>
      <c r="R63" s="1"/>
      <c r="S63" s="1"/>
      <c r="T63" s="1">
        <f t="shared" si="16"/>
        <v>82.4</v>
      </c>
      <c r="U63" s="5">
        <f t="shared" si="20"/>
        <v>95.879357000000027</v>
      </c>
      <c r="V63" s="1">
        <f t="shared" si="17"/>
        <v>11</v>
      </c>
      <c r="W63" s="1">
        <f t="shared" si="18"/>
        <v>9.8364155703883505</v>
      </c>
      <c r="X63" s="1">
        <v>84.8</v>
      </c>
      <c r="Y63" s="1">
        <v>95.6</v>
      </c>
      <c r="Z63" s="1">
        <v>98.6</v>
      </c>
      <c r="AA63" s="1">
        <v>82</v>
      </c>
      <c r="AB63" s="1">
        <v>60.6</v>
      </c>
      <c r="AC63" s="1">
        <v>77</v>
      </c>
      <c r="AD63" s="1">
        <v>82</v>
      </c>
      <c r="AE63" s="1">
        <v>72</v>
      </c>
      <c r="AF63" s="1">
        <v>53.8</v>
      </c>
      <c r="AG63" s="1">
        <v>26.4</v>
      </c>
      <c r="AH63" s="1"/>
      <c r="AI63" s="1">
        <f t="shared" si="21"/>
        <v>38.351742800000011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37</v>
      </c>
      <c r="C64" s="1">
        <v>43.134999999999998</v>
      </c>
      <c r="D64" s="1">
        <v>536.298</v>
      </c>
      <c r="E64" s="1">
        <v>232.733</v>
      </c>
      <c r="F64" s="1">
        <v>148.19900000000001</v>
      </c>
      <c r="G64" s="7">
        <v>1</v>
      </c>
      <c r="H64" s="1">
        <v>40</v>
      </c>
      <c r="I64" s="9" t="s">
        <v>41</v>
      </c>
      <c r="J64" s="1"/>
      <c r="K64" s="1">
        <v>227.83699999999999</v>
      </c>
      <c r="L64" s="1">
        <f t="shared" si="14"/>
        <v>4.896000000000015</v>
      </c>
      <c r="M64" s="1">
        <f t="shared" si="15"/>
        <v>112.74600000000001</v>
      </c>
      <c r="N64" s="1">
        <v>119.98699999999999</v>
      </c>
      <c r="O64" s="1"/>
      <c r="P64" s="1">
        <v>0</v>
      </c>
      <c r="Q64" s="1">
        <v>91.48246300000001</v>
      </c>
      <c r="R64" s="1"/>
      <c r="S64" s="1">
        <v>96.366537000000008</v>
      </c>
      <c r="T64" s="1">
        <f t="shared" si="16"/>
        <v>22.549200000000003</v>
      </c>
      <c r="U64" s="5"/>
      <c r="V64" s="1">
        <f t="shared" si="17"/>
        <v>14.902879037837261</v>
      </c>
      <c r="W64" s="1">
        <f t="shared" si="18"/>
        <v>14.902879037837261</v>
      </c>
      <c r="X64" s="1">
        <v>32.911000000000001</v>
      </c>
      <c r="Y64" s="1">
        <v>1.4616</v>
      </c>
      <c r="Z64" s="1">
        <v>11.3096</v>
      </c>
      <c r="AA64" s="1">
        <v>30.225200000000001</v>
      </c>
      <c r="AB64" s="1">
        <v>55.783799999999999</v>
      </c>
      <c r="AC64" s="1">
        <v>23.893999999999998</v>
      </c>
      <c r="AD64" s="1">
        <v>12.907400000000001</v>
      </c>
      <c r="AE64" s="1">
        <v>12.6274</v>
      </c>
      <c r="AF64" s="1">
        <v>29.1814</v>
      </c>
      <c r="AG64" s="1">
        <v>13.0938</v>
      </c>
      <c r="AH64" s="1"/>
      <c r="AI64" s="1">
        <f t="shared" si="21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37</v>
      </c>
      <c r="C65" s="1">
        <v>103.85</v>
      </c>
      <c r="D65" s="1">
        <v>144.119</v>
      </c>
      <c r="E65" s="1">
        <v>118.47799999999999</v>
      </c>
      <c r="F65" s="1">
        <v>24.233000000000001</v>
      </c>
      <c r="G65" s="7">
        <v>1</v>
      </c>
      <c r="H65" s="1">
        <v>40</v>
      </c>
      <c r="I65" s="9" t="s">
        <v>41</v>
      </c>
      <c r="J65" s="1"/>
      <c r="K65" s="1">
        <v>116.663</v>
      </c>
      <c r="L65" s="1">
        <f t="shared" si="14"/>
        <v>1.8149999999999977</v>
      </c>
      <c r="M65" s="1">
        <f t="shared" si="15"/>
        <v>118.47799999999999</v>
      </c>
      <c r="N65" s="1"/>
      <c r="O65" s="1"/>
      <c r="P65" s="1">
        <v>70.287199999999984</v>
      </c>
      <c r="Q65" s="1">
        <v>116.8928568</v>
      </c>
      <c r="R65" s="1"/>
      <c r="S65" s="1">
        <v>123.13354320000001</v>
      </c>
      <c r="T65" s="1">
        <f t="shared" si="16"/>
        <v>23.695599999999999</v>
      </c>
      <c r="U65" s="5"/>
      <c r="V65" s="1">
        <f t="shared" si="17"/>
        <v>14.118511453603201</v>
      </c>
      <c r="W65" s="1">
        <f t="shared" si="18"/>
        <v>14.118511453603201</v>
      </c>
      <c r="X65" s="1">
        <v>32.3536</v>
      </c>
      <c r="Y65" s="1">
        <v>18.395199999999999</v>
      </c>
      <c r="Z65" s="1">
        <v>10.944000000000001</v>
      </c>
      <c r="AA65" s="1">
        <v>0</v>
      </c>
      <c r="AB65" s="1">
        <v>7.2829999999999986</v>
      </c>
      <c r="AC65" s="1">
        <v>9.6465999999999994</v>
      </c>
      <c r="AD65" s="1">
        <v>9.2433999999999994</v>
      </c>
      <c r="AE65" s="1">
        <v>12.121600000000001</v>
      </c>
      <c r="AF65" s="1">
        <v>9.0609999999999982</v>
      </c>
      <c r="AG65" s="1">
        <v>10.6732</v>
      </c>
      <c r="AH65" s="1"/>
      <c r="AI65" s="1">
        <f t="shared" si="21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37</v>
      </c>
      <c r="C66" s="1">
        <v>-8.4380000000000006</v>
      </c>
      <c r="D66" s="1">
        <v>1287.271</v>
      </c>
      <c r="E66" s="1">
        <v>439.18599999999998</v>
      </c>
      <c r="F66" s="1"/>
      <c r="G66" s="7">
        <v>1</v>
      </c>
      <c r="H66" s="1">
        <v>40</v>
      </c>
      <c r="I66" s="9" t="s">
        <v>41</v>
      </c>
      <c r="J66" s="1"/>
      <c r="K66" s="1">
        <v>514.88099999999997</v>
      </c>
      <c r="L66" s="1">
        <f t="shared" si="14"/>
        <v>-75.694999999999993</v>
      </c>
      <c r="M66" s="1">
        <f t="shared" si="15"/>
        <v>73.805000000000007</v>
      </c>
      <c r="N66" s="1">
        <v>365.38099999999997</v>
      </c>
      <c r="O66" s="1"/>
      <c r="P66" s="1">
        <v>400</v>
      </c>
      <c r="Q66" s="1">
        <v>79.070391399999949</v>
      </c>
      <c r="R66" s="1"/>
      <c r="S66" s="1">
        <v>83.291808599999939</v>
      </c>
      <c r="T66" s="1">
        <f t="shared" si="16"/>
        <v>14.761000000000001</v>
      </c>
      <c r="U66" s="5"/>
      <c r="V66" s="1">
        <f t="shared" si="17"/>
        <v>38.097838899803527</v>
      </c>
      <c r="W66" s="1">
        <f t="shared" si="18"/>
        <v>38.097838899803527</v>
      </c>
      <c r="X66" s="1">
        <v>39.616599999999991</v>
      </c>
      <c r="Y66" s="1">
        <v>40.446399999999997</v>
      </c>
      <c r="Z66" s="1">
        <v>39.285400000000003</v>
      </c>
      <c r="AA66" s="1">
        <v>38.923000000000002</v>
      </c>
      <c r="AB66" s="1">
        <v>-0.54359999999999997</v>
      </c>
      <c r="AC66" s="1">
        <v>-0.54080000000000006</v>
      </c>
      <c r="AD66" s="1">
        <v>50.167000000000002</v>
      </c>
      <c r="AE66" s="1">
        <v>200.38480000000001</v>
      </c>
      <c r="AF66" s="1">
        <v>150.6652</v>
      </c>
      <c r="AG66" s="1">
        <v>10.826000000000001</v>
      </c>
      <c r="AH66" s="1"/>
      <c r="AI66" s="1">
        <f t="shared" si="21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37</v>
      </c>
      <c r="C67" s="1">
        <v>90.528000000000006</v>
      </c>
      <c r="D67" s="1">
        <v>298.38200000000001</v>
      </c>
      <c r="E67" s="1">
        <v>136.22399999999999</v>
      </c>
      <c r="F67" s="1">
        <v>5.4619999999999997</v>
      </c>
      <c r="G67" s="7">
        <v>1</v>
      </c>
      <c r="H67" s="1">
        <v>40</v>
      </c>
      <c r="I67" s="9" t="s">
        <v>41</v>
      </c>
      <c r="J67" s="1"/>
      <c r="K67" s="1">
        <v>135.67099999999999</v>
      </c>
      <c r="L67" s="1">
        <f t="shared" si="14"/>
        <v>0.55299999999999727</v>
      </c>
      <c r="M67" s="1">
        <f t="shared" si="15"/>
        <v>136.22399999999999</v>
      </c>
      <c r="N67" s="1"/>
      <c r="O67" s="1"/>
      <c r="P67" s="1">
        <v>0</v>
      </c>
      <c r="Q67" s="1">
        <v>58.290000000000013</v>
      </c>
      <c r="R67" s="1"/>
      <c r="S67" s="1"/>
      <c r="T67" s="1">
        <f t="shared" si="16"/>
        <v>27.244799999999998</v>
      </c>
      <c r="U67" s="5">
        <f>8*T67-S67-R67-Q67-P67-O67-F67</f>
        <v>154.20639999999997</v>
      </c>
      <c r="V67" s="1">
        <f t="shared" si="17"/>
        <v>8</v>
      </c>
      <c r="W67" s="1">
        <f t="shared" si="18"/>
        <v>2.339969462062486</v>
      </c>
      <c r="X67" s="1">
        <v>5.9729999999999999</v>
      </c>
      <c r="Y67" s="1">
        <v>5.9106000000000014</v>
      </c>
      <c r="Z67" s="1">
        <v>8.4702000000000002</v>
      </c>
      <c r="AA67" s="1">
        <v>1.4134</v>
      </c>
      <c r="AB67" s="1">
        <v>0.14399999999999999</v>
      </c>
      <c r="AC67" s="1">
        <v>0.14360000000000001</v>
      </c>
      <c r="AD67" s="1">
        <v>0.50719999999999998</v>
      </c>
      <c r="AE67" s="1">
        <v>0.36360000000000031</v>
      </c>
      <c r="AF67" s="1">
        <v>3.6232000000000002</v>
      </c>
      <c r="AG67" s="1">
        <v>4.3747999999999996</v>
      </c>
      <c r="AH67" s="1"/>
      <c r="AI67" s="1">
        <f t="shared" si="21"/>
        <v>154.20639999999997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0" t="s">
        <v>111</v>
      </c>
      <c r="B68" s="10" t="s">
        <v>43</v>
      </c>
      <c r="C68" s="10"/>
      <c r="D68" s="10">
        <v>198</v>
      </c>
      <c r="E68" s="10">
        <v>62</v>
      </c>
      <c r="F68" s="10">
        <v>90</v>
      </c>
      <c r="G68" s="11">
        <v>0</v>
      </c>
      <c r="H68" s="10"/>
      <c r="I68" s="10" t="s">
        <v>112</v>
      </c>
      <c r="J68" s="10"/>
      <c r="K68" s="10">
        <v>85</v>
      </c>
      <c r="L68" s="10">
        <f t="shared" si="14"/>
        <v>-23</v>
      </c>
      <c r="M68" s="10">
        <f t="shared" si="15"/>
        <v>62</v>
      </c>
      <c r="N68" s="10"/>
      <c r="O68" s="10"/>
      <c r="P68" s="10">
        <v>0</v>
      </c>
      <c r="Q68" s="10">
        <v>0</v>
      </c>
      <c r="R68" s="10"/>
      <c r="S68" s="10"/>
      <c r="T68" s="10">
        <f t="shared" si="16"/>
        <v>12.4</v>
      </c>
      <c r="U68" s="12"/>
      <c r="V68" s="10">
        <f t="shared" si="17"/>
        <v>7.258064516129032</v>
      </c>
      <c r="W68" s="10">
        <f t="shared" si="18"/>
        <v>7.258064516129032</v>
      </c>
      <c r="X68" s="10">
        <v>2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 t="s">
        <v>113</v>
      </c>
      <c r="AI68" s="10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114</v>
      </c>
      <c r="B69" s="1" t="s">
        <v>37</v>
      </c>
      <c r="C69" s="1">
        <v>92.361999999999995</v>
      </c>
      <c r="D69" s="1">
        <v>278.49799999999999</v>
      </c>
      <c r="E69" s="1">
        <v>153.304</v>
      </c>
      <c r="F69" s="1">
        <v>63.764000000000003</v>
      </c>
      <c r="G69" s="7">
        <v>1</v>
      </c>
      <c r="H69" s="1">
        <v>30</v>
      </c>
      <c r="I69" s="1" t="s">
        <v>38</v>
      </c>
      <c r="J69" s="1"/>
      <c r="K69" s="1">
        <v>189.4</v>
      </c>
      <c r="L69" s="1">
        <f t="shared" si="14"/>
        <v>-36.096000000000004</v>
      </c>
      <c r="M69" s="1">
        <f t="shared" si="15"/>
        <v>153.304</v>
      </c>
      <c r="N69" s="1"/>
      <c r="O69" s="1"/>
      <c r="P69" s="1">
        <v>0</v>
      </c>
      <c r="Q69" s="1">
        <v>29.77780000000001</v>
      </c>
      <c r="R69" s="1"/>
      <c r="S69" s="1"/>
      <c r="T69" s="1">
        <f t="shared" si="16"/>
        <v>30.660800000000002</v>
      </c>
      <c r="U69" s="5">
        <f>9*T69-S69-R69-Q69-P69-O69-F69</f>
        <v>182.40539999999999</v>
      </c>
      <c r="V69" s="1">
        <f t="shared" si="17"/>
        <v>9</v>
      </c>
      <c r="W69" s="1">
        <f t="shared" si="18"/>
        <v>3.0508597296874185</v>
      </c>
      <c r="X69" s="1">
        <v>16.971</v>
      </c>
      <c r="Y69" s="1">
        <v>12.486599999999999</v>
      </c>
      <c r="Z69" s="1">
        <v>26.779599999999999</v>
      </c>
      <c r="AA69" s="1">
        <v>30.773</v>
      </c>
      <c r="AB69" s="1">
        <v>31.697199999999999</v>
      </c>
      <c r="AC69" s="1">
        <v>28.5306</v>
      </c>
      <c r="AD69" s="1">
        <v>24.4192</v>
      </c>
      <c r="AE69" s="1">
        <v>29.701599999999999</v>
      </c>
      <c r="AF69" s="1">
        <v>39.893999999999998</v>
      </c>
      <c r="AG69" s="1">
        <v>36.8568</v>
      </c>
      <c r="AH69" s="1"/>
      <c r="AI69" s="1">
        <f>G69*U69</f>
        <v>182.40539999999999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43</v>
      </c>
      <c r="C70" s="1">
        <v>1415</v>
      </c>
      <c r="D70" s="1">
        <v>2473</v>
      </c>
      <c r="E70" s="1">
        <v>670</v>
      </c>
      <c r="F70" s="1">
        <v>738</v>
      </c>
      <c r="G70" s="7">
        <v>0.6</v>
      </c>
      <c r="H70" s="1">
        <v>60</v>
      </c>
      <c r="I70" s="1" t="s">
        <v>38</v>
      </c>
      <c r="J70" s="1"/>
      <c r="K70" s="1">
        <v>731</v>
      </c>
      <c r="L70" s="1">
        <f t="shared" ref="L70:L101" si="22">E70-K70</f>
        <v>-61</v>
      </c>
      <c r="M70" s="1">
        <f t="shared" ref="M70:M101" si="23">E70-N70</f>
        <v>670</v>
      </c>
      <c r="N70" s="1"/>
      <c r="O70" s="1"/>
      <c r="P70" s="1">
        <v>70</v>
      </c>
      <c r="Q70" s="1">
        <v>389.6</v>
      </c>
      <c r="R70" s="1"/>
      <c r="S70" s="1">
        <v>410.4</v>
      </c>
      <c r="T70" s="1">
        <f t="shared" ref="T70:T101" si="24">M70/5</f>
        <v>134</v>
      </c>
      <c r="U70" s="5"/>
      <c r="V70" s="1">
        <f t="shared" ref="V70:V101" si="25">(F70+O70+P70+Q70+R70+S70+U70)/T70</f>
        <v>12</v>
      </c>
      <c r="W70" s="1">
        <f t="shared" ref="W70:W101" si="26">(F70+O70+P70+Q70+R70+S70)/T70</f>
        <v>12</v>
      </c>
      <c r="X70" s="1">
        <v>140</v>
      </c>
      <c r="Y70" s="1">
        <v>135</v>
      </c>
      <c r="Z70" s="1">
        <v>112.6</v>
      </c>
      <c r="AA70" s="1">
        <v>98.4</v>
      </c>
      <c r="AB70" s="1">
        <v>111.8</v>
      </c>
      <c r="AC70" s="1">
        <v>251.4</v>
      </c>
      <c r="AD70" s="1">
        <v>226</v>
      </c>
      <c r="AE70" s="1">
        <v>175.8</v>
      </c>
      <c r="AF70" s="1">
        <v>177.8</v>
      </c>
      <c r="AG70" s="1">
        <v>262.60000000000002</v>
      </c>
      <c r="AH70" s="1"/>
      <c r="AI70" s="1">
        <f>G70*U70</f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43</v>
      </c>
      <c r="C71" s="1">
        <v>347</v>
      </c>
      <c r="D71" s="1">
        <v>2686</v>
      </c>
      <c r="E71" s="1">
        <v>647</v>
      </c>
      <c r="F71" s="1">
        <v>420</v>
      </c>
      <c r="G71" s="7">
        <v>0.6</v>
      </c>
      <c r="H71" s="1">
        <v>60</v>
      </c>
      <c r="I71" s="1" t="s">
        <v>38</v>
      </c>
      <c r="J71" s="1"/>
      <c r="K71" s="1">
        <v>703</v>
      </c>
      <c r="L71" s="1">
        <f t="shared" si="22"/>
        <v>-56</v>
      </c>
      <c r="M71" s="1">
        <f t="shared" si="23"/>
        <v>647</v>
      </c>
      <c r="N71" s="1"/>
      <c r="O71" s="1"/>
      <c r="P71" s="1">
        <v>37.54400000000004</v>
      </c>
      <c r="Q71" s="1">
        <v>438.3</v>
      </c>
      <c r="R71" s="1"/>
      <c r="S71" s="1">
        <v>461.7</v>
      </c>
      <c r="T71" s="1">
        <f t="shared" si="24"/>
        <v>129.4</v>
      </c>
      <c r="U71" s="5">
        <f t="shared" ref="U69:U72" si="27">11*T71-S71-R71-Q71-P71-O71-F71</f>
        <v>65.856000000000051</v>
      </c>
      <c r="V71" s="1">
        <f t="shared" si="25"/>
        <v>11</v>
      </c>
      <c r="W71" s="1">
        <f t="shared" si="26"/>
        <v>10.491066460587327</v>
      </c>
      <c r="X71" s="1">
        <v>122.6</v>
      </c>
      <c r="Y71" s="1">
        <v>109.8</v>
      </c>
      <c r="Z71" s="1">
        <v>92.2</v>
      </c>
      <c r="AA71" s="1">
        <v>121</v>
      </c>
      <c r="AB71" s="1">
        <v>131.80000000000001</v>
      </c>
      <c r="AC71" s="1">
        <v>113.8</v>
      </c>
      <c r="AD71" s="1">
        <v>119.2</v>
      </c>
      <c r="AE71" s="1">
        <v>152.4</v>
      </c>
      <c r="AF71" s="1">
        <v>131.80000000000001</v>
      </c>
      <c r="AG71" s="1">
        <v>116.8</v>
      </c>
      <c r="AH71" s="1"/>
      <c r="AI71" s="1">
        <f>G71*U71</f>
        <v>39.513600000000032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117</v>
      </c>
      <c r="B72" s="1" t="s">
        <v>43</v>
      </c>
      <c r="C72" s="1">
        <v>68</v>
      </c>
      <c r="D72" s="1">
        <v>38</v>
      </c>
      <c r="E72" s="1">
        <v>76</v>
      </c>
      <c r="F72" s="1">
        <v>23</v>
      </c>
      <c r="G72" s="7">
        <v>0.4</v>
      </c>
      <c r="H72" s="1"/>
      <c r="I72" s="1" t="s">
        <v>38</v>
      </c>
      <c r="J72" s="1"/>
      <c r="K72" s="1">
        <v>93</v>
      </c>
      <c r="L72" s="1">
        <f t="shared" si="22"/>
        <v>-17</v>
      </c>
      <c r="M72" s="1">
        <f t="shared" si="23"/>
        <v>76</v>
      </c>
      <c r="N72" s="1"/>
      <c r="O72" s="1"/>
      <c r="P72" s="1">
        <v>0</v>
      </c>
      <c r="Q72" s="1">
        <v>54.933599999999991</v>
      </c>
      <c r="R72" s="1"/>
      <c r="S72" s="1">
        <v>57.866399999999992</v>
      </c>
      <c r="T72" s="1">
        <f t="shared" si="24"/>
        <v>15.2</v>
      </c>
      <c r="U72" s="5">
        <f t="shared" si="27"/>
        <v>31.4</v>
      </c>
      <c r="V72" s="1">
        <f t="shared" si="25"/>
        <v>11</v>
      </c>
      <c r="W72" s="1">
        <f t="shared" si="26"/>
        <v>8.9342105263157894</v>
      </c>
      <c r="X72" s="1">
        <v>16</v>
      </c>
      <c r="Y72" s="1">
        <v>9.1999999999999993</v>
      </c>
      <c r="Z72" s="1">
        <v>11.8</v>
      </c>
      <c r="AA72" s="1">
        <v>12.4</v>
      </c>
      <c r="AB72" s="1">
        <v>4.8</v>
      </c>
      <c r="AC72" s="1">
        <v>3.2</v>
      </c>
      <c r="AD72" s="1">
        <v>9.4</v>
      </c>
      <c r="AE72" s="1">
        <v>10</v>
      </c>
      <c r="AF72" s="1">
        <v>6.6</v>
      </c>
      <c r="AG72" s="1">
        <v>5</v>
      </c>
      <c r="AH72" s="1"/>
      <c r="AI72" s="1">
        <f>G72*U72</f>
        <v>12.56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0" t="s">
        <v>118</v>
      </c>
      <c r="B73" s="10" t="s">
        <v>43</v>
      </c>
      <c r="C73" s="10"/>
      <c r="D73" s="10"/>
      <c r="E73" s="10"/>
      <c r="F73" s="10"/>
      <c r="G73" s="11">
        <v>0</v>
      </c>
      <c r="H73" s="10"/>
      <c r="I73" s="10" t="s">
        <v>41</v>
      </c>
      <c r="J73" s="10"/>
      <c r="K73" s="10"/>
      <c r="L73" s="10">
        <f t="shared" si="22"/>
        <v>0</v>
      </c>
      <c r="M73" s="10">
        <f t="shared" si="23"/>
        <v>0</v>
      </c>
      <c r="N73" s="10"/>
      <c r="O73" s="10"/>
      <c r="P73" s="10">
        <v>0</v>
      </c>
      <c r="Q73" s="10">
        <v>0</v>
      </c>
      <c r="R73" s="10"/>
      <c r="S73" s="10"/>
      <c r="T73" s="10">
        <f t="shared" si="24"/>
        <v>0</v>
      </c>
      <c r="U73" s="12"/>
      <c r="V73" s="10" t="e">
        <f t="shared" si="25"/>
        <v>#DIV/0!</v>
      </c>
      <c r="W73" s="10" t="e">
        <f t="shared" si="26"/>
        <v>#DIV/0!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 t="s">
        <v>53</v>
      </c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43</v>
      </c>
      <c r="C74" s="1">
        <v>32</v>
      </c>
      <c r="D74" s="1">
        <v>87</v>
      </c>
      <c r="E74" s="1">
        <v>57</v>
      </c>
      <c r="F74" s="1">
        <v>49</v>
      </c>
      <c r="G74" s="7">
        <v>0.35</v>
      </c>
      <c r="H74" s="1">
        <v>90</v>
      </c>
      <c r="I74" s="1" t="s">
        <v>38</v>
      </c>
      <c r="J74" s="1"/>
      <c r="K74" s="1">
        <v>57</v>
      </c>
      <c r="L74" s="1">
        <f t="shared" si="22"/>
        <v>0</v>
      </c>
      <c r="M74" s="1">
        <f t="shared" si="23"/>
        <v>57</v>
      </c>
      <c r="N74" s="1"/>
      <c r="O74" s="1"/>
      <c r="P74" s="1">
        <v>0</v>
      </c>
      <c r="Q74" s="1">
        <v>71.8</v>
      </c>
      <c r="R74" s="1"/>
      <c r="S74" s="1"/>
      <c r="T74" s="1">
        <f t="shared" si="24"/>
        <v>11.4</v>
      </c>
      <c r="U74" s="5">
        <f t="shared" ref="U74:U82" si="28">11*T74-S74-R74-Q74-P74-O74-F74</f>
        <v>4.6000000000000085</v>
      </c>
      <c r="V74" s="1">
        <f t="shared" si="25"/>
        <v>11</v>
      </c>
      <c r="W74" s="1">
        <f t="shared" si="26"/>
        <v>10.596491228070175</v>
      </c>
      <c r="X74" s="1">
        <v>9.8000000000000007</v>
      </c>
      <c r="Y74" s="1">
        <v>7.8</v>
      </c>
      <c r="Z74" s="1">
        <v>7.4</v>
      </c>
      <c r="AA74" s="1">
        <v>2.4</v>
      </c>
      <c r="AB74" s="1">
        <v>6</v>
      </c>
      <c r="AC74" s="1">
        <v>5.8</v>
      </c>
      <c r="AD74" s="1">
        <v>2</v>
      </c>
      <c r="AE74" s="1">
        <v>0</v>
      </c>
      <c r="AF74" s="1">
        <v>4.5999999999999996</v>
      </c>
      <c r="AG74" s="1">
        <v>8.6</v>
      </c>
      <c r="AH74" s="1"/>
      <c r="AI74" s="1">
        <f t="shared" ref="AI74:AI82" si="29">G74*U74</f>
        <v>1.610000000000003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43</v>
      </c>
      <c r="C75" s="1">
        <v>75</v>
      </c>
      <c r="D75" s="1">
        <v>188</v>
      </c>
      <c r="E75" s="1">
        <v>103</v>
      </c>
      <c r="F75" s="1">
        <v>120</v>
      </c>
      <c r="G75" s="7">
        <v>0.37</v>
      </c>
      <c r="H75" s="1">
        <v>50</v>
      </c>
      <c r="I75" s="1" t="s">
        <v>38</v>
      </c>
      <c r="J75" s="1"/>
      <c r="K75" s="1">
        <v>106</v>
      </c>
      <c r="L75" s="1">
        <f t="shared" si="22"/>
        <v>-3</v>
      </c>
      <c r="M75" s="1">
        <f t="shared" si="23"/>
        <v>103</v>
      </c>
      <c r="N75" s="1"/>
      <c r="O75" s="1"/>
      <c r="P75" s="1">
        <v>77.800000000000011</v>
      </c>
      <c r="Q75" s="1">
        <v>50.757087999999939</v>
      </c>
      <c r="R75" s="1"/>
      <c r="S75" s="1">
        <v>53.466911999999937</v>
      </c>
      <c r="T75" s="1">
        <f t="shared" si="24"/>
        <v>20.6</v>
      </c>
      <c r="U75" s="5"/>
      <c r="V75" s="1">
        <f t="shared" si="25"/>
        <v>14.661359223300964</v>
      </c>
      <c r="W75" s="1">
        <f t="shared" si="26"/>
        <v>14.661359223300964</v>
      </c>
      <c r="X75" s="1">
        <v>27.2</v>
      </c>
      <c r="Y75" s="1">
        <v>25.8</v>
      </c>
      <c r="Z75" s="1">
        <v>22</v>
      </c>
      <c r="AA75" s="1">
        <v>21</v>
      </c>
      <c r="AB75" s="1">
        <v>23.4</v>
      </c>
      <c r="AC75" s="1">
        <v>25.4</v>
      </c>
      <c r="AD75" s="1">
        <v>24.8</v>
      </c>
      <c r="AE75" s="1">
        <v>24.6</v>
      </c>
      <c r="AF75" s="1">
        <v>23.2</v>
      </c>
      <c r="AG75" s="1">
        <v>23.8</v>
      </c>
      <c r="AH75" s="1"/>
      <c r="AI75" s="1">
        <f t="shared" si="29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43</v>
      </c>
      <c r="C76" s="1">
        <v>551</v>
      </c>
      <c r="D76" s="1">
        <v>1626</v>
      </c>
      <c r="E76" s="1">
        <v>166</v>
      </c>
      <c r="F76" s="1">
        <v>791</v>
      </c>
      <c r="G76" s="7">
        <v>0.6</v>
      </c>
      <c r="H76" s="1">
        <v>70</v>
      </c>
      <c r="I76" s="19" t="s">
        <v>72</v>
      </c>
      <c r="J76" s="1"/>
      <c r="K76" s="1">
        <v>203</v>
      </c>
      <c r="L76" s="1">
        <f t="shared" si="22"/>
        <v>-37</v>
      </c>
      <c r="M76" s="1">
        <f t="shared" si="23"/>
        <v>166</v>
      </c>
      <c r="N76" s="1"/>
      <c r="O76" s="1"/>
      <c r="P76" s="1">
        <v>403.08</v>
      </c>
      <c r="Q76" s="1">
        <v>191.93643999999989</v>
      </c>
      <c r="R76" s="1"/>
      <c r="S76" s="1">
        <v>202.18355999999989</v>
      </c>
      <c r="T76" s="1">
        <f t="shared" si="24"/>
        <v>33.200000000000003</v>
      </c>
      <c r="U76" s="5"/>
      <c r="V76" s="1">
        <f t="shared" si="25"/>
        <v>47.837349397590351</v>
      </c>
      <c r="W76" s="1">
        <f t="shared" si="26"/>
        <v>47.837349397590351</v>
      </c>
      <c r="X76" s="1">
        <v>140.6</v>
      </c>
      <c r="Y76" s="1">
        <v>137</v>
      </c>
      <c r="Z76" s="1">
        <v>94.4</v>
      </c>
      <c r="AA76" s="1">
        <v>84.8</v>
      </c>
      <c r="AB76" s="1">
        <v>98.8</v>
      </c>
      <c r="AC76" s="1">
        <v>59.8</v>
      </c>
      <c r="AD76" s="1">
        <v>70.400000000000006</v>
      </c>
      <c r="AE76" s="1">
        <v>59.2</v>
      </c>
      <c r="AF76" s="1">
        <v>51.8</v>
      </c>
      <c r="AG76" s="1">
        <v>45.2</v>
      </c>
      <c r="AH76" s="1" t="s">
        <v>122</v>
      </c>
      <c r="AI76" s="1">
        <f t="shared" si="29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123</v>
      </c>
      <c r="B77" s="1" t="s">
        <v>43</v>
      </c>
      <c r="C77" s="1">
        <v>231</v>
      </c>
      <c r="D77" s="1">
        <v>1913</v>
      </c>
      <c r="E77" s="1">
        <v>426</v>
      </c>
      <c r="F77" s="1">
        <v>521</v>
      </c>
      <c r="G77" s="7">
        <v>0.33</v>
      </c>
      <c r="H77" s="1">
        <v>40</v>
      </c>
      <c r="I77" s="1" t="s">
        <v>38</v>
      </c>
      <c r="J77" s="1"/>
      <c r="K77" s="1">
        <v>442</v>
      </c>
      <c r="L77" s="1">
        <f t="shared" si="22"/>
        <v>-16</v>
      </c>
      <c r="M77" s="1">
        <f t="shared" si="23"/>
        <v>426</v>
      </c>
      <c r="N77" s="1"/>
      <c r="O77" s="1">
        <v>287.28648299999992</v>
      </c>
      <c r="P77" s="1">
        <v>0</v>
      </c>
      <c r="Q77" s="1">
        <v>92.066000000000201</v>
      </c>
      <c r="R77" s="1"/>
      <c r="S77" s="1"/>
      <c r="T77" s="1">
        <f t="shared" si="24"/>
        <v>85.2</v>
      </c>
      <c r="U77" s="5">
        <f t="shared" si="28"/>
        <v>36.847516999999925</v>
      </c>
      <c r="V77" s="1">
        <f t="shared" si="25"/>
        <v>11</v>
      </c>
      <c r="W77" s="1">
        <f t="shared" si="26"/>
        <v>10.567517406103287</v>
      </c>
      <c r="X77" s="1">
        <v>77.400000000000006</v>
      </c>
      <c r="Y77" s="1">
        <v>80.400000000000006</v>
      </c>
      <c r="Z77" s="1">
        <v>98.6</v>
      </c>
      <c r="AA77" s="1">
        <v>89.2</v>
      </c>
      <c r="AB77" s="1">
        <v>70.599999999999994</v>
      </c>
      <c r="AC77" s="1">
        <v>78.2</v>
      </c>
      <c r="AD77" s="1">
        <v>81</v>
      </c>
      <c r="AE77" s="1">
        <v>76.2</v>
      </c>
      <c r="AF77" s="1">
        <v>80.400000000000006</v>
      </c>
      <c r="AG77" s="1">
        <v>78.599999999999994</v>
      </c>
      <c r="AH77" s="1"/>
      <c r="AI77" s="1">
        <f t="shared" si="29"/>
        <v>12.159680609999976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124</v>
      </c>
      <c r="B78" s="1" t="s">
        <v>43</v>
      </c>
      <c r="C78" s="1">
        <v>86</v>
      </c>
      <c r="D78" s="1">
        <v>37</v>
      </c>
      <c r="E78" s="1">
        <v>50</v>
      </c>
      <c r="F78" s="1">
        <v>67</v>
      </c>
      <c r="G78" s="7">
        <v>0.4</v>
      </c>
      <c r="H78" s="1">
        <v>55</v>
      </c>
      <c r="I78" s="9" t="s">
        <v>41</v>
      </c>
      <c r="J78" s="1"/>
      <c r="K78" s="1">
        <v>55</v>
      </c>
      <c r="L78" s="1">
        <f t="shared" si="22"/>
        <v>-5</v>
      </c>
      <c r="M78" s="1">
        <f t="shared" si="23"/>
        <v>50</v>
      </c>
      <c r="N78" s="1"/>
      <c r="O78" s="1"/>
      <c r="P78" s="1">
        <v>4.4000000000000057</v>
      </c>
      <c r="Q78" s="1">
        <v>72.200000000000017</v>
      </c>
      <c r="R78" s="1"/>
      <c r="S78" s="1"/>
      <c r="T78" s="1">
        <f t="shared" si="24"/>
        <v>10</v>
      </c>
      <c r="U78" s="5"/>
      <c r="V78" s="1">
        <f t="shared" si="25"/>
        <v>14.360000000000003</v>
      </c>
      <c r="W78" s="1">
        <f t="shared" si="26"/>
        <v>14.360000000000003</v>
      </c>
      <c r="X78" s="1">
        <v>11.4</v>
      </c>
      <c r="Y78" s="1">
        <v>9.6</v>
      </c>
      <c r="Z78" s="1">
        <v>11.2</v>
      </c>
      <c r="AA78" s="1">
        <v>6.8</v>
      </c>
      <c r="AB78" s="1">
        <v>0.6</v>
      </c>
      <c r="AC78" s="1">
        <v>5.2</v>
      </c>
      <c r="AD78" s="1">
        <v>10.199999999999999</v>
      </c>
      <c r="AE78" s="1">
        <v>10.4</v>
      </c>
      <c r="AF78" s="1">
        <v>7.6</v>
      </c>
      <c r="AG78" s="1">
        <v>7.6</v>
      </c>
      <c r="AH78" s="1"/>
      <c r="AI78" s="1">
        <f t="shared" si="29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125</v>
      </c>
      <c r="B79" s="1" t="s">
        <v>43</v>
      </c>
      <c r="C79" s="1">
        <v>94</v>
      </c>
      <c r="D79" s="1">
        <v>72</v>
      </c>
      <c r="E79" s="1">
        <v>118</v>
      </c>
      <c r="F79" s="1">
        <v>-1</v>
      </c>
      <c r="G79" s="7">
        <v>0.35</v>
      </c>
      <c r="H79" s="1">
        <v>40</v>
      </c>
      <c r="I79" s="9" t="s">
        <v>41</v>
      </c>
      <c r="J79" s="1"/>
      <c r="K79" s="1">
        <v>148</v>
      </c>
      <c r="L79" s="1">
        <f t="shared" si="22"/>
        <v>-30</v>
      </c>
      <c r="M79" s="1">
        <f t="shared" si="23"/>
        <v>118</v>
      </c>
      <c r="N79" s="1"/>
      <c r="O79" s="1"/>
      <c r="P79" s="1">
        <v>0</v>
      </c>
      <c r="Q79" s="1">
        <v>81.816000000000003</v>
      </c>
      <c r="R79" s="1"/>
      <c r="S79" s="1">
        <v>86.183999999999997</v>
      </c>
      <c r="T79" s="1">
        <f t="shared" si="24"/>
        <v>23.6</v>
      </c>
      <c r="U79" s="5">
        <f t="shared" si="28"/>
        <v>92.600000000000023</v>
      </c>
      <c r="V79" s="1">
        <f t="shared" si="25"/>
        <v>11</v>
      </c>
      <c r="W79" s="1">
        <f t="shared" si="26"/>
        <v>7.0762711864406773</v>
      </c>
      <c r="X79" s="1">
        <v>16</v>
      </c>
      <c r="Y79" s="1">
        <v>2</v>
      </c>
      <c r="Z79" s="1">
        <v>6</v>
      </c>
      <c r="AA79" s="1">
        <v>12.4</v>
      </c>
      <c r="AB79" s="1">
        <v>14.6</v>
      </c>
      <c r="AC79" s="1">
        <v>8.6</v>
      </c>
      <c r="AD79" s="1">
        <v>7.2</v>
      </c>
      <c r="AE79" s="1">
        <v>15.8</v>
      </c>
      <c r="AF79" s="1">
        <v>8.4</v>
      </c>
      <c r="AG79" s="1">
        <v>-0.6</v>
      </c>
      <c r="AH79" s="1"/>
      <c r="AI79" s="1">
        <f t="shared" si="29"/>
        <v>32.410000000000004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43</v>
      </c>
      <c r="C80" s="1">
        <v>-12</v>
      </c>
      <c r="D80" s="1">
        <v>649</v>
      </c>
      <c r="E80" s="1">
        <v>271</v>
      </c>
      <c r="F80" s="1">
        <v>199</v>
      </c>
      <c r="G80" s="7">
        <v>0.35</v>
      </c>
      <c r="H80" s="1">
        <v>45</v>
      </c>
      <c r="I80" s="9" t="s">
        <v>41</v>
      </c>
      <c r="J80" s="1"/>
      <c r="K80" s="1">
        <v>271</v>
      </c>
      <c r="L80" s="1">
        <f t="shared" si="22"/>
        <v>0</v>
      </c>
      <c r="M80" s="1">
        <f t="shared" si="23"/>
        <v>211</v>
      </c>
      <c r="N80" s="1">
        <v>60</v>
      </c>
      <c r="O80" s="1">
        <v>72.800599999999974</v>
      </c>
      <c r="P80" s="1">
        <v>0</v>
      </c>
      <c r="Q80" s="1">
        <v>0</v>
      </c>
      <c r="R80" s="1"/>
      <c r="S80" s="1"/>
      <c r="T80" s="1">
        <f t="shared" si="24"/>
        <v>42.2</v>
      </c>
      <c r="U80" s="5">
        <f t="shared" si="28"/>
        <v>192.39940000000007</v>
      </c>
      <c r="V80" s="1">
        <f t="shared" si="25"/>
        <v>11</v>
      </c>
      <c r="W80" s="1">
        <f t="shared" si="26"/>
        <v>6.4407725118483405</v>
      </c>
      <c r="X80" s="1">
        <v>6</v>
      </c>
      <c r="Y80" s="1">
        <v>3.2</v>
      </c>
      <c r="Z80" s="1">
        <v>45.4</v>
      </c>
      <c r="AA80" s="1">
        <v>49.6</v>
      </c>
      <c r="AB80" s="1">
        <v>19.600000000000001</v>
      </c>
      <c r="AC80" s="1">
        <v>33.799999999999997</v>
      </c>
      <c r="AD80" s="1">
        <v>60</v>
      </c>
      <c r="AE80" s="1">
        <v>60.2</v>
      </c>
      <c r="AF80" s="1">
        <v>18.600000000000001</v>
      </c>
      <c r="AG80" s="1">
        <v>1.2</v>
      </c>
      <c r="AH80" s="1"/>
      <c r="AI80" s="1">
        <f t="shared" si="29"/>
        <v>67.339790000000022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43</v>
      </c>
      <c r="C81" s="1">
        <v>41</v>
      </c>
      <c r="D81" s="1">
        <v>105</v>
      </c>
      <c r="E81" s="1">
        <v>42</v>
      </c>
      <c r="F81" s="1">
        <v>24</v>
      </c>
      <c r="G81" s="7">
        <v>0.4</v>
      </c>
      <c r="H81" s="1">
        <v>55</v>
      </c>
      <c r="I81" s="1" t="s">
        <v>38</v>
      </c>
      <c r="J81" s="1"/>
      <c r="K81" s="1">
        <v>42</v>
      </c>
      <c r="L81" s="1">
        <f t="shared" si="22"/>
        <v>0</v>
      </c>
      <c r="M81" s="1">
        <f t="shared" si="23"/>
        <v>42</v>
      </c>
      <c r="N81" s="1"/>
      <c r="O81" s="1"/>
      <c r="P81" s="1">
        <v>0</v>
      </c>
      <c r="Q81" s="1">
        <v>0</v>
      </c>
      <c r="R81" s="1"/>
      <c r="S81" s="1"/>
      <c r="T81" s="1">
        <f t="shared" si="24"/>
        <v>8.4</v>
      </c>
      <c r="U81" s="5">
        <f>8*T81-S81-R81-Q81-P81-O81-F81</f>
        <v>43.2</v>
      </c>
      <c r="V81" s="1">
        <f t="shared" si="25"/>
        <v>8</v>
      </c>
      <c r="W81" s="1">
        <f t="shared" si="26"/>
        <v>2.8571428571428572</v>
      </c>
      <c r="X81" s="1">
        <v>3.4</v>
      </c>
      <c r="Y81" s="1">
        <v>3.4</v>
      </c>
      <c r="Z81" s="1">
        <v>0.6</v>
      </c>
      <c r="AA81" s="1">
        <v>0.8</v>
      </c>
      <c r="AB81" s="1">
        <v>6.4</v>
      </c>
      <c r="AC81" s="1">
        <v>6.2</v>
      </c>
      <c r="AD81" s="1">
        <v>2</v>
      </c>
      <c r="AE81" s="1">
        <v>2</v>
      </c>
      <c r="AF81" s="1">
        <v>2</v>
      </c>
      <c r="AG81" s="1">
        <v>6.2</v>
      </c>
      <c r="AH81" s="1"/>
      <c r="AI81" s="1">
        <f t="shared" si="29"/>
        <v>17.28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37</v>
      </c>
      <c r="C82" s="1">
        <v>12.518000000000001</v>
      </c>
      <c r="D82" s="1">
        <v>22.032</v>
      </c>
      <c r="E82" s="1"/>
      <c r="F82" s="1">
        <v>33.116</v>
      </c>
      <c r="G82" s="7">
        <v>1</v>
      </c>
      <c r="H82" s="1">
        <v>55</v>
      </c>
      <c r="I82" s="1" t="s">
        <v>38</v>
      </c>
      <c r="J82" s="1"/>
      <c r="K82" s="1"/>
      <c r="L82" s="1">
        <f t="shared" si="22"/>
        <v>0</v>
      </c>
      <c r="M82" s="1">
        <f t="shared" si="23"/>
        <v>0</v>
      </c>
      <c r="N82" s="1"/>
      <c r="O82" s="1"/>
      <c r="P82" s="1">
        <v>0</v>
      </c>
      <c r="Q82" s="1">
        <v>0</v>
      </c>
      <c r="R82" s="1"/>
      <c r="S82" s="1"/>
      <c r="T82" s="1">
        <f t="shared" si="24"/>
        <v>0</v>
      </c>
      <c r="U82" s="5"/>
      <c r="V82" s="1" t="e">
        <f t="shared" si="25"/>
        <v>#DIV/0!</v>
      </c>
      <c r="W82" s="1" t="e">
        <f t="shared" si="26"/>
        <v>#DIV/0!</v>
      </c>
      <c r="X82" s="1">
        <v>0</v>
      </c>
      <c r="Y82" s="1">
        <v>0</v>
      </c>
      <c r="Z82" s="1">
        <v>0</v>
      </c>
      <c r="AA82" s="1">
        <v>0</v>
      </c>
      <c r="AB82" s="1">
        <v>0.26679999999999998</v>
      </c>
      <c r="AC82" s="1">
        <v>0.26679999999999998</v>
      </c>
      <c r="AD82" s="1">
        <v>0.74340000000000006</v>
      </c>
      <c r="AE82" s="1">
        <v>0.74340000000000006</v>
      </c>
      <c r="AF82" s="1">
        <v>0.26700000000000002</v>
      </c>
      <c r="AG82" s="1">
        <v>0.26700000000000002</v>
      </c>
      <c r="AH82" s="16" t="s">
        <v>191</v>
      </c>
      <c r="AI82" s="1">
        <f t="shared" si="29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0" t="s">
        <v>129</v>
      </c>
      <c r="B83" s="10" t="s">
        <v>37</v>
      </c>
      <c r="C83" s="10"/>
      <c r="D83" s="10"/>
      <c r="E83" s="10"/>
      <c r="F83" s="10"/>
      <c r="G83" s="11">
        <v>0</v>
      </c>
      <c r="H83" s="10"/>
      <c r="I83" s="10" t="s">
        <v>38</v>
      </c>
      <c r="J83" s="10"/>
      <c r="K83" s="10"/>
      <c r="L83" s="10">
        <f t="shared" si="22"/>
        <v>0</v>
      </c>
      <c r="M83" s="10">
        <f t="shared" si="23"/>
        <v>0</v>
      </c>
      <c r="N83" s="10"/>
      <c r="O83" s="10"/>
      <c r="P83" s="10">
        <v>0</v>
      </c>
      <c r="Q83" s="10">
        <v>0</v>
      </c>
      <c r="R83" s="10"/>
      <c r="S83" s="10"/>
      <c r="T83" s="10">
        <f t="shared" si="24"/>
        <v>0</v>
      </c>
      <c r="U83" s="12"/>
      <c r="V83" s="10" t="e">
        <f t="shared" si="25"/>
        <v>#DIV/0!</v>
      </c>
      <c r="W83" s="10" t="e">
        <f t="shared" si="26"/>
        <v>#DIV/0!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53</v>
      </c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37</v>
      </c>
      <c r="C84" s="1">
        <v>1214.288</v>
      </c>
      <c r="D84" s="1">
        <v>8198.8060000000005</v>
      </c>
      <c r="E84" s="1">
        <v>3357.5940000000001</v>
      </c>
      <c r="F84" s="1">
        <v>2720.377</v>
      </c>
      <c r="G84" s="7">
        <v>1</v>
      </c>
      <c r="H84" s="1">
        <v>60</v>
      </c>
      <c r="I84" s="1" t="s">
        <v>38</v>
      </c>
      <c r="J84" s="1"/>
      <c r="K84" s="1">
        <v>3388.9859999999999</v>
      </c>
      <c r="L84" s="1">
        <f t="shared" si="22"/>
        <v>-31.391999999999825</v>
      </c>
      <c r="M84" s="1">
        <f t="shared" si="23"/>
        <v>3255.1280000000002</v>
      </c>
      <c r="N84" s="1">
        <v>102.46599999999999</v>
      </c>
      <c r="O84" s="1">
        <v>1776.662632928</v>
      </c>
      <c r="P84" s="1">
        <v>1100</v>
      </c>
      <c r="Q84" s="1">
        <v>401.41493947200019</v>
      </c>
      <c r="R84" s="1"/>
      <c r="S84" s="1">
        <v>422.8457165280002</v>
      </c>
      <c r="T84" s="1">
        <f t="shared" si="24"/>
        <v>651.02560000000005</v>
      </c>
      <c r="U84" s="5">
        <f t="shared" ref="U84:U95" si="30">11*T84-S84-R84-Q84-P84-O84-F84</f>
        <v>739.98131107200015</v>
      </c>
      <c r="V84" s="1">
        <f t="shared" si="25"/>
        <v>11</v>
      </c>
      <c r="W84" s="1">
        <f t="shared" si="26"/>
        <v>9.8633606557530147</v>
      </c>
      <c r="X84" s="1">
        <v>632.69100000000003</v>
      </c>
      <c r="Y84" s="1">
        <v>612.56139999999994</v>
      </c>
      <c r="Z84" s="1">
        <v>648.1386</v>
      </c>
      <c r="AA84" s="1">
        <v>480.19400000000007</v>
      </c>
      <c r="AB84" s="1">
        <v>440.85640000000001</v>
      </c>
      <c r="AC84" s="1">
        <v>511.75360000000001</v>
      </c>
      <c r="AD84" s="1">
        <v>483.48380000000009</v>
      </c>
      <c r="AE84" s="1">
        <v>522.95619999999997</v>
      </c>
      <c r="AF84" s="1">
        <v>517.02299999999991</v>
      </c>
      <c r="AG84" s="1">
        <v>538.73500000000001</v>
      </c>
      <c r="AH84" s="1"/>
      <c r="AI84" s="1">
        <f t="shared" ref="AI84:AI95" si="31">G84*U84</f>
        <v>739.98131107200015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43</v>
      </c>
      <c r="C85" s="1">
        <v>23</v>
      </c>
      <c r="D85" s="1">
        <v>189</v>
      </c>
      <c r="E85" s="1">
        <v>-23</v>
      </c>
      <c r="F85" s="1">
        <v>95</v>
      </c>
      <c r="G85" s="7">
        <v>0.3</v>
      </c>
      <c r="H85" s="1">
        <v>40</v>
      </c>
      <c r="I85" s="1" t="s">
        <v>38</v>
      </c>
      <c r="J85" s="1"/>
      <c r="K85" s="1">
        <v>371</v>
      </c>
      <c r="L85" s="1">
        <f t="shared" si="22"/>
        <v>-394</v>
      </c>
      <c r="M85" s="1">
        <f t="shared" si="23"/>
        <v>-23</v>
      </c>
      <c r="N85" s="1"/>
      <c r="O85" s="1"/>
      <c r="P85" s="1">
        <v>50</v>
      </c>
      <c r="Q85" s="1">
        <v>0</v>
      </c>
      <c r="R85" s="1"/>
      <c r="S85" s="1"/>
      <c r="T85" s="1">
        <f t="shared" si="24"/>
        <v>-4.5999999999999996</v>
      </c>
      <c r="U85" s="5"/>
      <c r="V85" s="1">
        <f t="shared" si="25"/>
        <v>-31.521739130434785</v>
      </c>
      <c r="W85" s="1">
        <f t="shared" si="26"/>
        <v>-31.521739130434785</v>
      </c>
      <c r="X85" s="1">
        <v>-2</v>
      </c>
      <c r="Y85" s="1">
        <v>-0.4</v>
      </c>
      <c r="Z85" s="1">
        <v>14.6</v>
      </c>
      <c r="AA85" s="1">
        <v>16.600000000000001</v>
      </c>
      <c r="AB85" s="1">
        <v>7.2</v>
      </c>
      <c r="AC85" s="1">
        <v>16.399999999999999</v>
      </c>
      <c r="AD85" s="1">
        <v>26.8</v>
      </c>
      <c r="AE85" s="1">
        <v>38.799999999999997</v>
      </c>
      <c r="AF85" s="1">
        <v>47.6</v>
      </c>
      <c r="AG85" s="1">
        <v>64.8</v>
      </c>
      <c r="AH85" s="16" t="s">
        <v>192</v>
      </c>
      <c r="AI85" s="1">
        <f t="shared" si="31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132</v>
      </c>
      <c r="B86" s="1" t="s">
        <v>37</v>
      </c>
      <c r="C86" s="1">
        <v>418.74700000000001</v>
      </c>
      <c r="D86" s="1">
        <v>3400.2179999999998</v>
      </c>
      <c r="E86" s="1">
        <v>2347.5830000000001</v>
      </c>
      <c r="F86" s="1">
        <v>384.09</v>
      </c>
      <c r="G86" s="7">
        <v>1</v>
      </c>
      <c r="H86" s="1">
        <v>60</v>
      </c>
      <c r="I86" s="1" t="s">
        <v>38</v>
      </c>
      <c r="J86" s="1"/>
      <c r="K86" s="1">
        <v>2367.1689999999999</v>
      </c>
      <c r="L86" s="1">
        <f t="shared" si="22"/>
        <v>-19.585999999999785</v>
      </c>
      <c r="M86" s="1">
        <f t="shared" si="23"/>
        <v>2242.241</v>
      </c>
      <c r="N86" s="1">
        <v>105.342</v>
      </c>
      <c r="O86" s="1">
        <v>1038.5500623590001</v>
      </c>
      <c r="P86" s="1">
        <v>0</v>
      </c>
      <c r="Q86" s="1">
        <v>389.6</v>
      </c>
      <c r="R86" s="1"/>
      <c r="S86" s="1">
        <v>410.4</v>
      </c>
      <c r="T86" s="1">
        <f t="shared" si="24"/>
        <v>448.44819999999999</v>
      </c>
      <c r="U86" s="5">
        <f t="shared" si="30"/>
        <v>2710.2901376409995</v>
      </c>
      <c r="V86" s="1">
        <f t="shared" si="25"/>
        <v>11</v>
      </c>
      <c r="W86" s="1">
        <f t="shared" si="26"/>
        <v>4.956291634929074</v>
      </c>
      <c r="X86" s="1">
        <v>302.09359999999998</v>
      </c>
      <c r="Y86" s="1">
        <v>298.49459999999999</v>
      </c>
      <c r="Z86" s="1">
        <v>338.16379999999998</v>
      </c>
      <c r="AA86" s="1">
        <v>266.18579999999997</v>
      </c>
      <c r="AB86" s="1">
        <v>238.93180000000001</v>
      </c>
      <c r="AC86" s="1">
        <v>332.30399999999997</v>
      </c>
      <c r="AD86" s="1">
        <v>267.47199999999998</v>
      </c>
      <c r="AE86" s="1">
        <v>289.9846</v>
      </c>
      <c r="AF86" s="1">
        <v>263.73020000000002</v>
      </c>
      <c r="AG86" s="1">
        <v>277.47519999999997</v>
      </c>
      <c r="AH86" s="1"/>
      <c r="AI86" s="1">
        <f t="shared" si="31"/>
        <v>2710.2901376409995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37</v>
      </c>
      <c r="C87" s="1">
        <v>1442.4069999999999</v>
      </c>
      <c r="D87" s="1">
        <v>8104.317</v>
      </c>
      <c r="E87" s="1">
        <v>2946.7620000000002</v>
      </c>
      <c r="F87" s="1">
        <v>1224.703</v>
      </c>
      <c r="G87" s="7">
        <v>1</v>
      </c>
      <c r="H87" s="1">
        <v>60</v>
      </c>
      <c r="I87" s="1" t="s">
        <v>38</v>
      </c>
      <c r="J87" s="1"/>
      <c r="K87" s="1">
        <v>3047.4070000000002</v>
      </c>
      <c r="L87" s="1">
        <f t="shared" si="22"/>
        <v>-100.64499999999998</v>
      </c>
      <c r="M87" s="1">
        <f t="shared" si="23"/>
        <v>2946.7620000000002</v>
      </c>
      <c r="N87" s="1"/>
      <c r="O87" s="1">
        <v>1085.257610824</v>
      </c>
      <c r="P87" s="1">
        <v>290.46837599999981</v>
      </c>
      <c r="Q87" s="1">
        <v>1558.4</v>
      </c>
      <c r="R87" s="1"/>
      <c r="S87" s="1">
        <v>1641.6</v>
      </c>
      <c r="T87" s="1">
        <f t="shared" si="24"/>
        <v>589.35239999999999</v>
      </c>
      <c r="U87" s="5">
        <f t="shared" si="30"/>
        <v>682.44741317600074</v>
      </c>
      <c r="V87" s="1">
        <f t="shared" si="25"/>
        <v>11</v>
      </c>
      <c r="W87" s="1">
        <f t="shared" si="26"/>
        <v>9.8420384592036942</v>
      </c>
      <c r="X87" s="1">
        <v>562.32820000000004</v>
      </c>
      <c r="Y87" s="1">
        <v>542.87920000000008</v>
      </c>
      <c r="Z87" s="1">
        <v>492.68880000000001</v>
      </c>
      <c r="AA87" s="1">
        <v>405.63260000000002</v>
      </c>
      <c r="AB87" s="1">
        <v>436.04500000000007</v>
      </c>
      <c r="AC87" s="1">
        <v>563.02379999999994</v>
      </c>
      <c r="AD87" s="1">
        <v>485.17479999999989</v>
      </c>
      <c r="AE87" s="1">
        <v>500.68040000000002</v>
      </c>
      <c r="AF87" s="1">
        <v>462.61800000000011</v>
      </c>
      <c r="AG87" s="1">
        <v>495.69220000000001</v>
      </c>
      <c r="AH87" s="1"/>
      <c r="AI87" s="1">
        <f t="shared" si="31"/>
        <v>682.44741317600074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134</v>
      </c>
      <c r="B88" s="1" t="s">
        <v>37</v>
      </c>
      <c r="C88" s="1">
        <v>1081.6479999999999</v>
      </c>
      <c r="D88" s="1">
        <v>9000.0329999999994</v>
      </c>
      <c r="E88" s="1">
        <v>4282.0320000000002</v>
      </c>
      <c r="F88" s="1">
        <v>2012.979</v>
      </c>
      <c r="G88" s="7">
        <v>1</v>
      </c>
      <c r="H88" s="1">
        <v>60</v>
      </c>
      <c r="I88" s="1" t="s">
        <v>38</v>
      </c>
      <c r="J88" s="1"/>
      <c r="K88" s="1">
        <v>4392.49</v>
      </c>
      <c r="L88" s="1">
        <f t="shared" si="22"/>
        <v>-110.45799999999963</v>
      </c>
      <c r="M88" s="1">
        <f t="shared" si="23"/>
        <v>4177.0020000000004</v>
      </c>
      <c r="N88" s="1">
        <v>105.03</v>
      </c>
      <c r="O88" s="1">
        <v>2843.6005161439998</v>
      </c>
      <c r="P88" s="1"/>
      <c r="Q88" s="1">
        <v>1655.8</v>
      </c>
      <c r="R88" s="1">
        <v>100</v>
      </c>
      <c r="S88" s="1">
        <v>1744.2</v>
      </c>
      <c r="T88" s="1">
        <f t="shared" si="24"/>
        <v>835.4004000000001</v>
      </c>
      <c r="U88" s="5">
        <f t="shared" si="30"/>
        <v>832.82488385600141</v>
      </c>
      <c r="V88" s="1">
        <f t="shared" si="25"/>
        <v>11</v>
      </c>
      <c r="W88" s="1">
        <f t="shared" si="26"/>
        <v>10.00308297212211</v>
      </c>
      <c r="X88" s="1">
        <v>809.37999999999988</v>
      </c>
      <c r="Y88" s="1">
        <v>778.43979999999999</v>
      </c>
      <c r="Z88" s="1">
        <v>768.42280000000005</v>
      </c>
      <c r="AA88" s="1">
        <v>532.95240000000001</v>
      </c>
      <c r="AB88" s="1">
        <v>457.38780000000003</v>
      </c>
      <c r="AC88" s="1">
        <v>640.37459999999987</v>
      </c>
      <c r="AD88" s="1">
        <v>544.50639999999999</v>
      </c>
      <c r="AE88" s="1">
        <v>570.49300000000005</v>
      </c>
      <c r="AF88" s="1">
        <v>578.13740000000007</v>
      </c>
      <c r="AG88" s="1">
        <v>589.31639999999993</v>
      </c>
      <c r="AH88" s="1"/>
      <c r="AI88" s="1">
        <f t="shared" si="31"/>
        <v>832.82488385600141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135</v>
      </c>
      <c r="B89" s="1" t="s">
        <v>37</v>
      </c>
      <c r="C89" s="1">
        <v>-1.341</v>
      </c>
      <c r="D89" s="1">
        <v>80.341999999999999</v>
      </c>
      <c r="E89" s="1">
        <v>21.928999999999998</v>
      </c>
      <c r="F89" s="1">
        <v>41.677</v>
      </c>
      <c r="G89" s="7">
        <v>1</v>
      </c>
      <c r="H89" s="1">
        <v>55</v>
      </c>
      <c r="I89" s="9" t="s">
        <v>41</v>
      </c>
      <c r="J89" s="1"/>
      <c r="K89" s="1">
        <v>23.2</v>
      </c>
      <c r="L89" s="1">
        <f t="shared" si="22"/>
        <v>-1.2710000000000008</v>
      </c>
      <c r="M89" s="1">
        <f t="shared" si="23"/>
        <v>21.928999999999998</v>
      </c>
      <c r="N89" s="1"/>
      <c r="O89" s="1"/>
      <c r="P89" s="1">
        <v>0</v>
      </c>
      <c r="Q89" s="1">
        <v>0</v>
      </c>
      <c r="R89" s="1"/>
      <c r="S89" s="1"/>
      <c r="T89" s="1">
        <f t="shared" si="24"/>
        <v>4.3857999999999997</v>
      </c>
      <c r="U89" s="5">
        <f t="shared" si="30"/>
        <v>6.5667999999999935</v>
      </c>
      <c r="V89" s="1">
        <f t="shared" si="25"/>
        <v>11</v>
      </c>
      <c r="W89" s="1">
        <f t="shared" si="26"/>
        <v>9.5027133020201564</v>
      </c>
      <c r="X89" s="1">
        <v>2.5371999999999999</v>
      </c>
      <c r="Y89" s="1">
        <v>3.8062</v>
      </c>
      <c r="Z89" s="1">
        <v>4.8583999999999996</v>
      </c>
      <c r="AA89" s="1">
        <v>4.8124000000000002</v>
      </c>
      <c r="AB89" s="1">
        <v>2.9316</v>
      </c>
      <c r="AC89" s="1">
        <v>2.9371999999999998</v>
      </c>
      <c r="AD89" s="1">
        <v>3.2063999999999999</v>
      </c>
      <c r="AE89" s="1">
        <v>3.226</v>
      </c>
      <c r="AF89" s="1">
        <v>3.7902</v>
      </c>
      <c r="AG89" s="1">
        <v>4.0486000000000004</v>
      </c>
      <c r="AH89" s="1"/>
      <c r="AI89" s="1">
        <f t="shared" si="31"/>
        <v>6.5667999999999935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136</v>
      </c>
      <c r="B90" s="1" t="s">
        <v>43</v>
      </c>
      <c r="C90" s="1">
        <v>30</v>
      </c>
      <c r="D90" s="1">
        <v>168</v>
      </c>
      <c r="E90" s="1">
        <v>81</v>
      </c>
      <c r="F90" s="1">
        <v>54</v>
      </c>
      <c r="G90" s="7">
        <v>0.3</v>
      </c>
      <c r="H90" s="1">
        <v>40</v>
      </c>
      <c r="I90" s="9" t="s">
        <v>41</v>
      </c>
      <c r="J90" s="1"/>
      <c r="K90" s="1">
        <v>91</v>
      </c>
      <c r="L90" s="1">
        <f t="shared" si="22"/>
        <v>-10</v>
      </c>
      <c r="M90" s="1">
        <f t="shared" si="23"/>
        <v>81</v>
      </c>
      <c r="N90" s="1"/>
      <c r="O90" s="1"/>
      <c r="P90" s="1">
        <v>30</v>
      </c>
      <c r="Q90" s="1">
        <v>76.800000000000011</v>
      </c>
      <c r="R90" s="1"/>
      <c r="S90" s="1"/>
      <c r="T90" s="1">
        <f t="shared" si="24"/>
        <v>16.2</v>
      </c>
      <c r="U90" s="5">
        <f t="shared" si="30"/>
        <v>17.399999999999977</v>
      </c>
      <c r="V90" s="1">
        <f t="shared" si="25"/>
        <v>11</v>
      </c>
      <c r="W90" s="1">
        <f t="shared" si="26"/>
        <v>9.9259259259259274</v>
      </c>
      <c r="X90" s="1">
        <v>13.4</v>
      </c>
      <c r="Y90" s="1">
        <v>0</v>
      </c>
      <c r="Z90" s="1">
        <v>0</v>
      </c>
      <c r="AA90" s="1">
        <v>0</v>
      </c>
      <c r="AB90" s="1">
        <v>-0.4</v>
      </c>
      <c r="AC90" s="1">
        <v>-0.4</v>
      </c>
      <c r="AD90" s="1">
        <v>0</v>
      </c>
      <c r="AE90" s="1">
        <v>0</v>
      </c>
      <c r="AF90" s="1">
        <v>0</v>
      </c>
      <c r="AG90" s="1">
        <v>-0.4</v>
      </c>
      <c r="AH90" s="1"/>
      <c r="AI90" s="1">
        <f t="shared" si="31"/>
        <v>5.2199999999999926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137</v>
      </c>
      <c r="B91" s="1" t="s">
        <v>43</v>
      </c>
      <c r="C91" s="1">
        <v>22</v>
      </c>
      <c r="D91" s="1">
        <v>4</v>
      </c>
      <c r="E91" s="1">
        <v>-1</v>
      </c>
      <c r="F91" s="1">
        <v>4</v>
      </c>
      <c r="G91" s="7">
        <v>0.3</v>
      </c>
      <c r="H91" s="1">
        <v>40</v>
      </c>
      <c r="I91" s="9" t="s">
        <v>41</v>
      </c>
      <c r="J91" s="1"/>
      <c r="K91" s="1">
        <v>16</v>
      </c>
      <c r="L91" s="1">
        <f t="shared" si="22"/>
        <v>-17</v>
      </c>
      <c r="M91" s="1">
        <f t="shared" si="23"/>
        <v>-1</v>
      </c>
      <c r="N91" s="1"/>
      <c r="O91" s="1"/>
      <c r="P91" s="1">
        <v>0</v>
      </c>
      <c r="Q91" s="1">
        <v>0</v>
      </c>
      <c r="R91" s="1"/>
      <c r="S91" s="1"/>
      <c r="T91" s="1">
        <f t="shared" si="24"/>
        <v>-0.2</v>
      </c>
      <c r="U91" s="5"/>
      <c r="V91" s="1">
        <f t="shared" si="25"/>
        <v>-20</v>
      </c>
      <c r="W91" s="1">
        <f t="shared" si="26"/>
        <v>-20</v>
      </c>
      <c r="X91" s="1">
        <v>0</v>
      </c>
      <c r="Y91" s="1">
        <v>0</v>
      </c>
      <c r="Z91" s="1">
        <v>-1.4</v>
      </c>
      <c r="AA91" s="1">
        <v>-1.8</v>
      </c>
      <c r="AB91" s="1">
        <v>-0.6</v>
      </c>
      <c r="AC91" s="1">
        <v>3</v>
      </c>
      <c r="AD91" s="1">
        <v>8</v>
      </c>
      <c r="AE91" s="1">
        <v>5.6</v>
      </c>
      <c r="AF91" s="1">
        <v>4.2</v>
      </c>
      <c r="AG91" s="1">
        <v>6.4</v>
      </c>
      <c r="AH91" s="17" t="s">
        <v>190</v>
      </c>
      <c r="AI91" s="1">
        <f t="shared" si="31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138</v>
      </c>
      <c r="B92" s="1" t="s">
        <v>43</v>
      </c>
      <c r="C92" s="1">
        <v>37</v>
      </c>
      <c r="D92" s="1">
        <v>87</v>
      </c>
      <c r="E92" s="1">
        <v>35</v>
      </c>
      <c r="F92" s="1">
        <v>53</v>
      </c>
      <c r="G92" s="7">
        <v>7.0000000000000007E-2</v>
      </c>
      <c r="H92" s="1">
        <v>90</v>
      </c>
      <c r="I92" s="9" t="s">
        <v>41</v>
      </c>
      <c r="J92" s="1"/>
      <c r="K92" s="1">
        <v>112</v>
      </c>
      <c r="L92" s="1">
        <f t="shared" si="22"/>
        <v>-77</v>
      </c>
      <c r="M92" s="1">
        <f t="shared" si="23"/>
        <v>35</v>
      </c>
      <c r="N92" s="1"/>
      <c r="O92" s="1">
        <v>61.051799999999993</v>
      </c>
      <c r="P92" s="1">
        <v>73.200000000000045</v>
      </c>
      <c r="Q92" s="1">
        <v>0</v>
      </c>
      <c r="R92" s="1"/>
      <c r="S92" s="1"/>
      <c r="T92" s="1">
        <f t="shared" si="24"/>
        <v>7</v>
      </c>
      <c r="U92" s="5"/>
      <c r="V92" s="1">
        <f t="shared" si="25"/>
        <v>26.750257142857148</v>
      </c>
      <c r="W92" s="1">
        <f t="shared" si="26"/>
        <v>26.750257142857148</v>
      </c>
      <c r="X92" s="1">
        <v>10.6</v>
      </c>
      <c r="Y92" s="1">
        <v>20.6</v>
      </c>
      <c r="Z92" s="1">
        <v>16.2</v>
      </c>
      <c r="AA92" s="1">
        <v>4.8</v>
      </c>
      <c r="AB92" s="1">
        <v>0</v>
      </c>
      <c r="AC92" s="1">
        <v>0.8</v>
      </c>
      <c r="AD92" s="1">
        <v>8.4</v>
      </c>
      <c r="AE92" s="1">
        <v>20.399999999999999</v>
      </c>
      <c r="AF92" s="1">
        <v>12.6</v>
      </c>
      <c r="AG92" s="1">
        <v>0.4</v>
      </c>
      <c r="AH92" s="1"/>
      <c r="AI92" s="1">
        <f t="shared" si="31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139</v>
      </c>
      <c r="B93" s="1" t="s">
        <v>43</v>
      </c>
      <c r="C93" s="1">
        <v>-7</v>
      </c>
      <c r="D93" s="1">
        <v>182</v>
      </c>
      <c r="E93" s="1">
        <v>66</v>
      </c>
      <c r="F93" s="1">
        <v>104</v>
      </c>
      <c r="G93" s="7">
        <v>7.0000000000000007E-2</v>
      </c>
      <c r="H93" s="1">
        <v>90</v>
      </c>
      <c r="I93" s="9" t="s">
        <v>41</v>
      </c>
      <c r="J93" s="1"/>
      <c r="K93" s="1">
        <v>71</v>
      </c>
      <c r="L93" s="1">
        <f t="shared" si="22"/>
        <v>-5</v>
      </c>
      <c r="M93" s="1">
        <f t="shared" si="23"/>
        <v>66</v>
      </c>
      <c r="N93" s="1"/>
      <c r="O93" s="1">
        <v>79.72399999999999</v>
      </c>
      <c r="P93" s="1">
        <v>0</v>
      </c>
      <c r="Q93" s="1">
        <v>0</v>
      </c>
      <c r="R93" s="1"/>
      <c r="S93" s="1"/>
      <c r="T93" s="1">
        <f t="shared" si="24"/>
        <v>13.2</v>
      </c>
      <c r="U93" s="5"/>
      <c r="V93" s="1">
        <f t="shared" si="25"/>
        <v>13.918484848484848</v>
      </c>
      <c r="W93" s="1">
        <f t="shared" si="26"/>
        <v>13.918484848484848</v>
      </c>
      <c r="X93" s="1">
        <v>2.6</v>
      </c>
      <c r="Y93" s="1">
        <v>14.8</v>
      </c>
      <c r="Z93" s="1">
        <v>24</v>
      </c>
      <c r="AA93" s="1">
        <v>16.8</v>
      </c>
      <c r="AB93" s="1">
        <v>19.2</v>
      </c>
      <c r="AC93" s="1">
        <v>23</v>
      </c>
      <c r="AD93" s="1">
        <v>19</v>
      </c>
      <c r="AE93" s="1">
        <v>27.6</v>
      </c>
      <c r="AF93" s="1">
        <v>35.200000000000003</v>
      </c>
      <c r="AG93" s="1">
        <v>34.200000000000003</v>
      </c>
      <c r="AH93" s="1"/>
      <c r="AI93" s="1">
        <f t="shared" si="31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140</v>
      </c>
      <c r="B94" s="1" t="s">
        <v>43</v>
      </c>
      <c r="C94" s="1">
        <v>366</v>
      </c>
      <c r="D94" s="1">
        <v>62</v>
      </c>
      <c r="E94" s="1">
        <v>98</v>
      </c>
      <c r="F94" s="1">
        <v>280</v>
      </c>
      <c r="G94" s="7">
        <v>7.0000000000000007E-2</v>
      </c>
      <c r="H94" s="1">
        <v>90</v>
      </c>
      <c r="I94" s="1" t="s">
        <v>38</v>
      </c>
      <c r="J94" s="1"/>
      <c r="K94" s="1">
        <v>121</v>
      </c>
      <c r="L94" s="1">
        <f t="shared" si="22"/>
        <v>-23</v>
      </c>
      <c r="M94" s="1">
        <f t="shared" si="23"/>
        <v>98</v>
      </c>
      <c r="N94" s="1"/>
      <c r="O94" s="1"/>
      <c r="P94" s="1">
        <v>0</v>
      </c>
      <c r="Q94" s="1">
        <v>0</v>
      </c>
      <c r="R94" s="1"/>
      <c r="S94" s="1"/>
      <c r="T94" s="1">
        <f t="shared" si="24"/>
        <v>19.600000000000001</v>
      </c>
      <c r="U94" s="5"/>
      <c r="V94" s="1">
        <f t="shared" si="25"/>
        <v>14.285714285714285</v>
      </c>
      <c r="W94" s="1">
        <f t="shared" si="26"/>
        <v>14.285714285714285</v>
      </c>
      <c r="X94" s="1">
        <v>18.399999999999999</v>
      </c>
      <c r="Y94" s="1">
        <v>18.2</v>
      </c>
      <c r="Z94" s="1">
        <v>20.8</v>
      </c>
      <c r="AA94" s="1">
        <v>13</v>
      </c>
      <c r="AB94" s="1">
        <v>15.2</v>
      </c>
      <c r="AC94" s="1">
        <v>16.600000000000001</v>
      </c>
      <c r="AD94" s="1">
        <v>11</v>
      </c>
      <c r="AE94" s="1">
        <v>38</v>
      </c>
      <c r="AF94" s="1">
        <v>42.6</v>
      </c>
      <c r="AG94" s="1">
        <v>11.4</v>
      </c>
      <c r="AH94" s="18" t="s">
        <v>61</v>
      </c>
      <c r="AI94" s="1">
        <f t="shared" si="31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141</v>
      </c>
      <c r="B95" s="1" t="s">
        <v>43</v>
      </c>
      <c r="C95" s="1">
        <v>46</v>
      </c>
      <c r="D95" s="1">
        <v>49</v>
      </c>
      <c r="E95" s="1">
        <v>40</v>
      </c>
      <c r="F95" s="1"/>
      <c r="G95" s="7">
        <v>0.3</v>
      </c>
      <c r="H95" s="1">
        <v>40</v>
      </c>
      <c r="I95" s="1" t="s">
        <v>38</v>
      </c>
      <c r="J95" s="1"/>
      <c r="K95" s="1">
        <v>67</v>
      </c>
      <c r="L95" s="1">
        <f t="shared" si="22"/>
        <v>-27</v>
      </c>
      <c r="M95" s="1">
        <f t="shared" si="23"/>
        <v>40</v>
      </c>
      <c r="N95" s="1"/>
      <c r="O95" s="1"/>
      <c r="P95" s="1">
        <v>11.2</v>
      </c>
      <c r="Q95" s="1">
        <v>0</v>
      </c>
      <c r="R95" s="1"/>
      <c r="S95" s="1"/>
      <c r="T95" s="1">
        <f t="shared" si="24"/>
        <v>8</v>
      </c>
      <c r="U95" s="5">
        <f>8*T95-S95-R95-Q95-P95-O95-F95</f>
        <v>52.8</v>
      </c>
      <c r="V95" s="1">
        <f t="shared" si="25"/>
        <v>8</v>
      </c>
      <c r="W95" s="1">
        <f t="shared" si="26"/>
        <v>1.4</v>
      </c>
      <c r="X95" s="1">
        <v>3.6</v>
      </c>
      <c r="Y95" s="1">
        <v>5.2</v>
      </c>
      <c r="Z95" s="1">
        <v>2.8</v>
      </c>
      <c r="AA95" s="1">
        <v>1</v>
      </c>
      <c r="AB95" s="1">
        <v>4</v>
      </c>
      <c r="AC95" s="1">
        <v>5</v>
      </c>
      <c r="AD95" s="1">
        <v>6.8</v>
      </c>
      <c r="AE95" s="1">
        <v>6.4</v>
      </c>
      <c r="AF95" s="1">
        <v>4.2</v>
      </c>
      <c r="AG95" s="1">
        <v>4</v>
      </c>
      <c r="AH95" s="1"/>
      <c r="AI95" s="1">
        <f t="shared" si="31"/>
        <v>15.839999999999998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142</v>
      </c>
      <c r="B96" s="10" t="s">
        <v>37</v>
      </c>
      <c r="C96" s="10">
        <v>-3.2010000000000001</v>
      </c>
      <c r="D96" s="10">
        <v>3.5529999999999999</v>
      </c>
      <c r="E96" s="13">
        <f>0+E123</f>
        <v>16.202000000000002</v>
      </c>
      <c r="F96" s="13">
        <f>0+F123</f>
        <v>10</v>
      </c>
      <c r="G96" s="11">
        <v>0</v>
      </c>
      <c r="H96" s="10">
        <v>55</v>
      </c>
      <c r="I96" s="10" t="s">
        <v>112</v>
      </c>
      <c r="J96" s="10"/>
      <c r="K96" s="10"/>
      <c r="L96" s="10">
        <f t="shared" si="22"/>
        <v>16.202000000000002</v>
      </c>
      <c r="M96" s="10">
        <f t="shared" si="23"/>
        <v>16.202000000000002</v>
      </c>
      <c r="N96" s="10"/>
      <c r="O96" s="10"/>
      <c r="P96" s="10">
        <v>0</v>
      </c>
      <c r="Q96" s="10">
        <v>0</v>
      </c>
      <c r="R96" s="10"/>
      <c r="S96" s="10"/>
      <c r="T96" s="10">
        <f t="shared" si="24"/>
        <v>3.2404000000000002</v>
      </c>
      <c r="U96" s="12"/>
      <c r="V96" s="10">
        <f t="shared" si="25"/>
        <v>3.0860387606468334</v>
      </c>
      <c r="W96" s="10">
        <f t="shared" si="26"/>
        <v>3.0860387606468334</v>
      </c>
      <c r="X96" s="10">
        <v>4.6651999999999996</v>
      </c>
      <c r="Y96" s="10">
        <v>5.3570000000000002</v>
      </c>
      <c r="Z96" s="10">
        <v>4.3322000000000003</v>
      </c>
      <c r="AA96" s="10">
        <v>2.0859999999999999</v>
      </c>
      <c r="AB96" s="10">
        <v>3.4163999999999999</v>
      </c>
      <c r="AC96" s="10">
        <v>4.1698000000000004</v>
      </c>
      <c r="AD96" s="10">
        <v>3.3782000000000001</v>
      </c>
      <c r="AE96" s="10">
        <v>2.556</v>
      </c>
      <c r="AF96" s="10">
        <v>2.0268000000000002</v>
      </c>
      <c r="AG96" s="10">
        <v>3.2402000000000002</v>
      </c>
      <c r="AH96" s="10"/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143</v>
      </c>
      <c r="B97" s="1" t="s">
        <v>43</v>
      </c>
      <c r="C97" s="1">
        <v>49</v>
      </c>
      <c r="D97" s="1">
        <v>185</v>
      </c>
      <c r="E97" s="1">
        <v>38</v>
      </c>
      <c r="F97" s="1">
        <v>47</v>
      </c>
      <c r="G97" s="7">
        <v>0.11</v>
      </c>
      <c r="H97" s="1">
        <v>30</v>
      </c>
      <c r="I97" s="1" t="s">
        <v>38</v>
      </c>
      <c r="J97" s="1"/>
      <c r="K97" s="1">
        <v>90</v>
      </c>
      <c r="L97" s="1">
        <f t="shared" si="22"/>
        <v>-52</v>
      </c>
      <c r="M97" s="1">
        <f t="shared" si="23"/>
        <v>38</v>
      </c>
      <c r="N97" s="1"/>
      <c r="O97" s="1"/>
      <c r="P97" s="1">
        <v>0</v>
      </c>
      <c r="Q97" s="1">
        <v>0</v>
      </c>
      <c r="R97" s="1"/>
      <c r="S97" s="1"/>
      <c r="T97" s="1">
        <f t="shared" si="24"/>
        <v>7.6</v>
      </c>
      <c r="U97" s="5">
        <f>11*T97-S97-R97-Q97-P97-O97-F97</f>
        <v>36.599999999999994</v>
      </c>
      <c r="V97" s="1">
        <f t="shared" si="25"/>
        <v>11</v>
      </c>
      <c r="W97" s="1">
        <f t="shared" si="26"/>
        <v>6.1842105263157894</v>
      </c>
      <c r="X97" s="1">
        <v>4.5999999999999996</v>
      </c>
      <c r="Y97" s="1">
        <v>0.6</v>
      </c>
      <c r="Z97" s="1">
        <v>-1.4</v>
      </c>
      <c r="AA97" s="1">
        <v>2.6</v>
      </c>
      <c r="AB97" s="1">
        <v>7.8</v>
      </c>
      <c r="AC97" s="1">
        <v>6.8</v>
      </c>
      <c r="AD97" s="1">
        <v>7.2</v>
      </c>
      <c r="AE97" s="1">
        <v>32.6</v>
      </c>
      <c r="AF97" s="1">
        <v>33</v>
      </c>
      <c r="AG97" s="1">
        <v>11.2</v>
      </c>
      <c r="AH97" s="1" t="s">
        <v>144</v>
      </c>
      <c r="AI97" s="1">
        <f>G97*U97</f>
        <v>4.0259999999999998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145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22"/>
        <v>0</v>
      </c>
      <c r="M98" s="10">
        <f t="shared" si="23"/>
        <v>0</v>
      </c>
      <c r="N98" s="10"/>
      <c r="O98" s="10"/>
      <c r="P98" s="10">
        <v>0</v>
      </c>
      <c r="Q98" s="10">
        <v>0</v>
      </c>
      <c r="R98" s="10"/>
      <c r="S98" s="10"/>
      <c r="T98" s="10">
        <f t="shared" si="24"/>
        <v>0</v>
      </c>
      <c r="U98" s="12"/>
      <c r="V98" s="10" t="e">
        <f t="shared" si="25"/>
        <v>#DIV/0!</v>
      </c>
      <c r="W98" s="10" t="e">
        <f t="shared" si="26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53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146</v>
      </c>
      <c r="B99" s="1" t="s">
        <v>43</v>
      </c>
      <c r="C99" s="1">
        <v>115</v>
      </c>
      <c r="D99" s="1">
        <v>391</v>
      </c>
      <c r="E99" s="1">
        <v>171</v>
      </c>
      <c r="F99" s="1">
        <v>163</v>
      </c>
      <c r="G99" s="7">
        <v>0.08</v>
      </c>
      <c r="H99" s="1">
        <v>45</v>
      </c>
      <c r="I99" s="1" t="s">
        <v>38</v>
      </c>
      <c r="J99" s="1"/>
      <c r="K99" s="1">
        <v>268</v>
      </c>
      <c r="L99" s="1">
        <f t="shared" si="22"/>
        <v>-97</v>
      </c>
      <c r="M99" s="1">
        <f t="shared" si="23"/>
        <v>171</v>
      </c>
      <c r="N99" s="1"/>
      <c r="O99" s="1">
        <v>182.4211</v>
      </c>
      <c r="P99" s="1">
        <v>0</v>
      </c>
      <c r="Q99" s="1">
        <v>86.60000000000008</v>
      </c>
      <c r="R99" s="1"/>
      <c r="S99" s="1"/>
      <c r="T99" s="1">
        <f t="shared" si="24"/>
        <v>34.200000000000003</v>
      </c>
      <c r="U99" s="5"/>
      <c r="V99" s="1">
        <f t="shared" si="25"/>
        <v>12.63219590643275</v>
      </c>
      <c r="W99" s="1">
        <f t="shared" si="26"/>
        <v>12.63219590643275</v>
      </c>
      <c r="X99" s="1">
        <v>38.200000000000003</v>
      </c>
      <c r="Y99" s="1">
        <v>45.4</v>
      </c>
      <c r="Z99" s="1">
        <v>48.4</v>
      </c>
      <c r="AA99" s="1">
        <v>35</v>
      </c>
      <c r="AB99" s="1">
        <v>32</v>
      </c>
      <c r="AC99" s="1">
        <v>39.200000000000003</v>
      </c>
      <c r="AD99" s="1">
        <v>39</v>
      </c>
      <c r="AE99" s="1">
        <v>55</v>
      </c>
      <c r="AF99" s="1">
        <v>67.2</v>
      </c>
      <c r="AG99" s="1">
        <v>78.400000000000006</v>
      </c>
      <c r="AH99" s="1"/>
      <c r="AI99" s="1">
        <f t="shared" ref="AI99:AI105" si="32">G99*U99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147</v>
      </c>
      <c r="B100" s="1" t="s">
        <v>43</v>
      </c>
      <c r="C100" s="1">
        <v>430</v>
      </c>
      <c r="D100" s="1">
        <v>102</v>
      </c>
      <c r="E100" s="1">
        <v>62</v>
      </c>
      <c r="F100" s="1">
        <v>371</v>
      </c>
      <c r="G100" s="7">
        <v>0.08</v>
      </c>
      <c r="H100" s="1">
        <v>45</v>
      </c>
      <c r="I100" s="1" t="s">
        <v>38</v>
      </c>
      <c r="J100" s="1"/>
      <c r="K100" s="1">
        <v>284</v>
      </c>
      <c r="L100" s="1">
        <f t="shared" si="22"/>
        <v>-222</v>
      </c>
      <c r="M100" s="1">
        <f t="shared" si="23"/>
        <v>62</v>
      </c>
      <c r="N100" s="1"/>
      <c r="O100" s="1"/>
      <c r="P100" s="1">
        <v>0</v>
      </c>
      <c r="Q100" s="1">
        <v>0</v>
      </c>
      <c r="R100" s="1"/>
      <c r="S100" s="1"/>
      <c r="T100" s="1">
        <f t="shared" si="24"/>
        <v>12.4</v>
      </c>
      <c r="U100" s="5"/>
      <c r="V100" s="1">
        <f t="shared" si="25"/>
        <v>29.919354838709676</v>
      </c>
      <c r="W100" s="1">
        <f t="shared" si="26"/>
        <v>29.919354838709676</v>
      </c>
      <c r="X100" s="1">
        <v>14</v>
      </c>
      <c r="Y100" s="1">
        <v>15.4</v>
      </c>
      <c r="Z100" s="1">
        <v>17.600000000000001</v>
      </c>
      <c r="AA100" s="1">
        <v>14.8</v>
      </c>
      <c r="AB100" s="1">
        <v>16</v>
      </c>
      <c r="AC100" s="1">
        <v>28</v>
      </c>
      <c r="AD100" s="1">
        <v>20.6</v>
      </c>
      <c r="AE100" s="1">
        <v>41</v>
      </c>
      <c r="AF100" s="1">
        <v>50.6</v>
      </c>
      <c r="AG100" s="1">
        <v>60.4</v>
      </c>
      <c r="AH100" s="18" t="s">
        <v>61</v>
      </c>
      <c r="AI100" s="1">
        <f t="shared" si="32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148</v>
      </c>
      <c r="B101" s="1" t="s">
        <v>43</v>
      </c>
      <c r="C101" s="1">
        <v>6</v>
      </c>
      <c r="D101" s="1">
        <v>92</v>
      </c>
      <c r="E101" s="1">
        <v>9</v>
      </c>
      <c r="F101" s="1">
        <v>24</v>
      </c>
      <c r="G101" s="7">
        <v>0.17</v>
      </c>
      <c r="H101" s="1">
        <v>30</v>
      </c>
      <c r="I101" s="9" t="s">
        <v>41</v>
      </c>
      <c r="J101" s="1"/>
      <c r="K101" s="1">
        <v>65</v>
      </c>
      <c r="L101" s="1">
        <f t="shared" si="22"/>
        <v>-56</v>
      </c>
      <c r="M101" s="1">
        <f t="shared" si="23"/>
        <v>9</v>
      </c>
      <c r="N101" s="1"/>
      <c r="O101" s="1"/>
      <c r="P101" s="1">
        <v>13.6</v>
      </c>
      <c r="Q101" s="1">
        <v>0</v>
      </c>
      <c r="R101" s="1"/>
      <c r="S101" s="1"/>
      <c r="T101" s="1">
        <f t="shared" si="24"/>
        <v>1.8</v>
      </c>
      <c r="U101" s="5"/>
      <c r="V101" s="1">
        <f t="shared" si="25"/>
        <v>20.888888888888889</v>
      </c>
      <c r="W101" s="1">
        <f t="shared" si="26"/>
        <v>20.888888888888889</v>
      </c>
      <c r="X101" s="1">
        <v>0.6</v>
      </c>
      <c r="Y101" s="1">
        <v>3.6</v>
      </c>
      <c r="Z101" s="1">
        <v>3.8</v>
      </c>
      <c r="AA101" s="1">
        <v>3</v>
      </c>
      <c r="AB101" s="1">
        <v>3.8</v>
      </c>
      <c r="AC101" s="1">
        <v>6.8</v>
      </c>
      <c r="AD101" s="1">
        <v>8.1999999999999993</v>
      </c>
      <c r="AE101" s="1">
        <v>27.8</v>
      </c>
      <c r="AF101" s="1">
        <v>35</v>
      </c>
      <c r="AG101" s="1">
        <v>11.4</v>
      </c>
      <c r="AH101" s="1" t="s">
        <v>149</v>
      </c>
      <c r="AI101" s="1">
        <f t="shared" si="32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150</v>
      </c>
      <c r="B102" s="1" t="s">
        <v>37</v>
      </c>
      <c r="C102" s="1">
        <v>133.084</v>
      </c>
      <c r="D102" s="1">
        <v>642.73599999999999</v>
      </c>
      <c r="E102" s="1">
        <v>230.85300000000001</v>
      </c>
      <c r="F102" s="1">
        <v>341.22199999999998</v>
      </c>
      <c r="G102" s="7">
        <v>1</v>
      </c>
      <c r="H102" s="1">
        <v>40</v>
      </c>
      <c r="I102" s="9" t="s">
        <v>41</v>
      </c>
      <c r="J102" s="1"/>
      <c r="K102" s="1">
        <v>274.74400000000003</v>
      </c>
      <c r="L102" s="1">
        <f t="shared" ref="L102:L133" si="33">E102-K102</f>
        <v>-43.89100000000002</v>
      </c>
      <c r="M102" s="1">
        <f t="shared" ref="M102:M133" si="34">E102-N102</f>
        <v>223.59700000000001</v>
      </c>
      <c r="N102" s="1">
        <v>7.2560000000000002</v>
      </c>
      <c r="O102" s="1">
        <v>425.32858900000002</v>
      </c>
      <c r="P102" s="1">
        <v>600</v>
      </c>
      <c r="Q102" s="1">
        <v>0</v>
      </c>
      <c r="R102" s="1"/>
      <c r="S102" s="1"/>
      <c r="T102" s="1">
        <f t="shared" ref="T102:T133" si="35">M102/5</f>
        <v>44.7194</v>
      </c>
      <c r="U102" s="5"/>
      <c r="V102" s="1">
        <f t="shared" ref="V102:V133" si="36">(F102+O102+P102+Q102+R102+S102+U102)/T102</f>
        <v>30.558339087733735</v>
      </c>
      <c r="W102" s="1">
        <f t="shared" ref="W102:W133" si="37">(F102+O102+P102+Q102+R102+S102)/T102</f>
        <v>30.558339087733735</v>
      </c>
      <c r="X102" s="1">
        <v>81.321200000000005</v>
      </c>
      <c r="Y102" s="1">
        <v>140.46619999999999</v>
      </c>
      <c r="Z102" s="1">
        <v>122.33920000000001</v>
      </c>
      <c r="AA102" s="1">
        <v>36.664200000000001</v>
      </c>
      <c r="AB102" s="1">
        <v>-0.30680000000000002</v>
      </c>
      <c r="AC102" s="1">
        <v>14.638999999999999</v>
      </c>
      <c r="AD102" s="1">
        <v>60.017800000000001</v>
      </c>
      <c r="AE102" s="1">
        <v>53.826599999999999</v>
      </c>
      <c r="AF102" s="1">
        <v>11.5198</v>
      </c>
      <c r="AG102" s="1">
        <v>44.968600000000002</v>
      </c>
      <c r="AH102" s="1"/>
      <c r="AI102" s="1">
        <f t="shared" si="32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151</v>
      </c>
      <c r="B103" s="1" t="s">
        <v>37</v>
      </c>
      <c r="C103" s="1">
        <v>270.97800000000001</v>
      </c>
      <c r="D103" s="1">
        <v>253.15299999999999</v>
      </c>
      <c r="E103" s="1">
        <v>278.26400000000001</v>
      </c>
      <c r="F103" s="1">
        <v>111.53</v>
      </c>
      <c r="G103" s="7">
        <v>1</v>
      </c>
      <c r="H103" s="1">
        <v>40</v>
      </c>
      <c r="I103" s="9" t="s">
        <v>41</v>
      </c>
      <c r="J103" s="1"/>
      <c r="K103" s="1">
        <v>279.41699999999997</v>
      </c>
      <c r="L103" s="1">
        <f t="shared" si="33"/>
        <v>-1.1529999999999632</v>
      </c>
      <c r="M103" s="1">
        <f t="shared" si="34"/>
        <v>260.12700000000001</v>
      </c>
      <c r="N103" s="1">
        <v>18.137</v>
      </c>
      <c r="O103" s="1">
        <v>66.48425629999997</v>
      </c>
      <c r="P103" s="1">
        <v>256.14753600000012</v>
      </c>
      <c r="Q103" s="1">
        <v>0</v>
      </c>
      <c r="R103" s="1"/>
      <c r="S103" s="1"/>
      <c r="T103" s="1">
        <f t="shared" si="35"/>
        <v>52.025400000000005</v>
      </c>
      <c r="U103" s="5">
        <f t="shared" ref="U99:U105" si="38">11*T103-S103-R103-Q103-P103-O103-F103</f>
        <v>138.11760769999992</v>
      </c>
      <c r="V103" s="1">
        <f t="shared" si="36"/>
        <v>11</v>
      </c>
      <c r="W103" s="1">
        <f t="shared" si="37"/>
        <v>8.3451889327136382</v>
      </c>
      <c r="X103" s="1">
        <v>36.369199999999999</v>
      </c>
      <c r="Y103" s="1">
        <v>70.575400000000002</v>
      </c>
      <c r="Z103" s="1">
        <v>46.1312</v>
      </c>
      <c r="AA103" s="1">
        <v>3.4698000000000002</v>
      </c>
      <c r="AB103" s="1">
        <v>-0.16420000000000001</v>
      </c>
      <c r="AC103" s="1">
        <v>-0.16420000000000001</v>
      </c>
      <c r="AD103" s="1">
        <v>30.249199999999998</v>
      </c>
      <c r="AE103" s="1">
        <v>33.227200000000003</v>
      </c>
      <c r="AF103" s="1">
        <v>28.0884</v>
      </c>
      <c r="AG103" s="1">
        <v>45.462800000000001</v>
      </c>
      <c r="AH103" s="1"/>
      <c r="AI103" s="1">
        <f t="shared" si="32"/>
        <v>138.11760769999992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152</v>
      </c>
      <c r="B104" s="1" t="s">
        <v>37</v>
      </c>
      <c r="C104" s="1">
        <v>0.71699999999999997</v>
      </c>
      <c r="D104" s="1">
        <v>58.097999999999999</v>
      </c>
      <c r="E104" s="1">
        <v>50.904000000000003</v>
      </c>
      <c r="F104" s="1">
        <v>2.1160000000000001</v>
      </c>
      <c r="G104" s="7">
        <v>1</v>
      </c>
      <c r="H104" s="1">
        <v>40</v>
      </c>
      <c r="I104" s="9" t="s">
        <v>41</v>
      </c>
      <c r="J104" s="1"/>
      <c r="K104" s="1">
        <v>87.516000000000005</v>
      </c>
      <c r="L104" s="1">
        <f t="shared" si="33"/>
        <v>-36.612000000000002</v>
      </c>
      <c r="M104" s="1">
        <f t="shared" si="34"/>
        <v>50.904000000000003</v>
      </c>
      <c r="N104" s="1"/>
      <c r="O104" s="1"/>
      <c r="P104" s="1">
        <v>10</v>
      </c>
      <c r="Q104" s="1">
        <v>24.830400000000001</v>
      </c>
      <c r="R104" s="1"/>
      <c r="S104" s="1"/>
      <c r="T104" s="1">
        <f t="shared" si="35"/>
        <v>10.180800000000001</v>
      </c>
      <c r="U104" s="5">
        <f>10*T104-S104-R104-Q104-P104-O104-F104</f>
        <v>64.861600000000024</v>
      </c>
      <c r="V104" s="1">
        <f t="shared" si="36"/>
        <v>10</v>
      </c>
      <c r="W104" s="1">
        <f t="shared" si="37"/>
        <v>3.6290271884331284</v>
      </c>
      <c r="X104" s="1">
        <v>3.8502000000000001</v>
      </c>
      <c r="Y104" s="1">
        <v>-0.42520000000000002</v>
      </c>
      <c r="Z104" s="1">
        <v>-0.1434</v>
      </c>
      <c r="AA104" s="1">
        <v>0</v>
      </c>
      <c r="AB104" s="1">
        <v>0</v>
      </c>
      <c r="AC104" s="1">
        <v>-0.1414</v>
      </c>
      <c r="AD104" s="1">
        <v>-0.28460000000000002</v>
      </c>
      <c r="AE104" s="1">
        <v>-0.14319999999999999</v>
      </c>
      <c r="AF104" s="1">
        <v>-0.58819999999999995</v>
      </c>
      <c r="AG104" s="1">
        <v>-0.72819999999999996</v>
      </c>
      <c r="AH104" s="1"/>
      <c r="AI104" s="1">
        <f t="shared" si="32"/>
        <v>64.861600000000024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153</v>
      </c>
      <c r="B105" s="1" t="s">
        <v>43</v>
      </c>
      <c r="C105" s="1">
        <v>39</v>
      </c>
      <c r="D105" s="1">
        <v>1</v>
      </c>
      <c r="E105" s="1">
        <v>34</v>
      </c>
      <c r="F105" s="1">
        <v>6</v>
      </c>
      <c r="G105" s="7">
        <v>0.3</v>
      </c>
      <c r="H105" s="1">
        <v>45</v>
      </c>
      <c r="I105" s="1" t="s">
        <v>38</v>
      </c>
      <c r="J105" s="1"/>
      <c r="K105" s="1">
        <v>58</v>
      </c>
      <c r="L105" s="1">
        <f t="shared" si="33"/>
        <v>-24</v>
      </c>
      <c r="M105" s="1">
        <f t="shared" si="34"/>
        <v>34</v>
      </c>
      <c r="N105" s="1"/>
      <c r="O105" s="1"/>
      <c r="P105" s="1">
        <v>0</v>
      </c>
      <c r="Q105" s="1">
        <v>0</v>
      </c>
      <c r="R105" s="1"/>
      <c r="S105" s="1"/>
      <c r="T105" s="1">
        <f t="shared" si="35"/>
        <v>6.8</v>
      </c>
      <c r="U105" s="20">
        <v>0</v>
      </c>
      <c r="V105" s="1">
        <f t="shared" si="36"/>
        <v>0.88235294117647056</v>
      </c>
      <c r="W105" s="1">
        <f t="shared" si="37"/>
        <v>0.88235294117647056</v>
      </c>
      <c r="X105" s="1">
        <v>5.2</v>
      </c>
      <c r="Y105" s="1">
        <v>6.4</v>
      </c>
      <c r="Z105" s="1">
        <v>7.4</v>
      </c>
      <c r="AA105" s="1">
        <v>11</v>
      </c>
      <c r="AB105" s="1">
        <v>7.2</v>
      </c>
      <c r="AC105" s="1">
        <v>0</v>
      </c>
      <c r="AD105" s="1">
        <v>4.8</v>
      </c>
      <c r="AE105" s="1">
        <v>11.4</v>
      </c>
      <c r="AF105" s="1">
        <v>7.2</v>
      </c>
      <c r="AG105" s="1">
        <v>2.2000000000000002</v>
      </c>
      <c r="AH105" s="19" t="s">
        <v>154</v>
      </c>
      <c r="AI105" s="1">
        <f t="shared" si="32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155</v>
      </c>
      <c r="B106" s="10" t="s">
        <v>37</v>
      </c>
      <c r="C106" s="10">
        <v>1.2509999999999999</v>
      </c>
      <c r="D106" s="10">
        <v>23.312000000000001</v>
      </c>
      <c r="E106" s="10">
        <v>2.754</v>
      </c>
      <c r="F106" s="10">
        <v>20.515000000000001</v>
      </c>
      <c r="G106" s="11">
        <v>0</v>
      </c>
      <c r="H106" s="10">
        <v>55</v>
      </c>
      <c r="I106" s="10" t="s">
        <v>112</v>
      </c>
      <c r="J106" s="10"/>
      <c r="K106" s="10">
        <v>3.95</v>
      </c>
      <c r="L106" s="10">
        <f t="shared" si="33"/>
        <v>-1.1960000000000002</v>
      </c>
      <c r="M106" s="10">
        <f t="shared" si="34"/>
        <v>2.754</v>
      </c>
      <c r="N106" s="10"/>
      <c r="O106" s="10"/>
      <c r="P106" s="10">
        <v>0</v>
      </c>
      <c r="Q106" s="10">
        <v>0</v>
      </c>
      <c r="R106" s="10"/>
      <c r="S106" s="10"/>
      <c r="T106" s="10">
        <f t="shared" si="35"/>
        <v>0.55079999999999996</v>
      </c>
      <c r="U106" s="12"/>
      <c r="V106" s="10">
        <f t="shared" si="36"/>
        <v>37.245824255628179</v>
      </c>
      <c r="W106" s="10">
        <f t="shared" si="37"/>
        <v>37.245824255628179</v>
      </c>
      <c r="X106" s="10">
        <v>0.2036</v>
      </c>
      <c r="Y106" s="10">
        <v>0.76459999999999995</v>
      </c>
      <c r="Z106" s="10">
        <v>1.1026</v>
      </c>
      <c r="AA106" s="10">
        <v>0.53499999999999992</v>
      </c>
      <c r="AB106" s="10">
        <v>0.53220000000000001</v>
      </c>
      <c r="AC106" s="10">
        <v>0.53420000000000001</v>
      </c>
      <c r="AD106" s="10">
        <v>0.81699999999999995</v>
      </c>
      <c r="AE106" s="10">
        <v>0.54800000000000004</v>
      </c>
      <c r="AF106" s="10">
        <v>0.53959999999999997</v>
      </c>
      <c r="AG106" s="10">
        <v>0.53959999999999997</v>
      </c>
      <c r="AH106" s="10"/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156</v>
      </c>
      <c r="B107" s="1" t="s">
        <v>43</v>
      </c>
      <c r="C107" s="1">
        <v>294</v>
      </c>
      <c r="D107" s="1">
        <v>409</v>
      </c>
      <c r="E107" s="1">
        <v>434</v>
      </c>
      <c r="F107" s="1">
        <v>41</v>
      </c>
      <c r="G107" s="7">
        <v>0.28000000000000003</v>
      </c>
      <c r="H107" s="1">
        <v>40</v>
      </c>
      <c r="I107" s="9" t="s">
        <v>41</v>
      </c>
      <c r="J107" s="1"/>
      <c r="K107" s="1">
        <v>481</v>
      </c>
      <c r="L107" s="1">
        <f t="shared" si="33"/>
        <v>-47</v>
      </c>
      <c r="M107" s="1">
        <f t="shared" si="34"/>
        <v>434</v>
      </c>
      <c r="N107" s="1"/>
      <c r="O107" s="1">
        <v>92.953988000000024</v>
      </c>
      <c r="P107" s="1">
        <v>555.69600000000014</v>
      </c>
      <c r="Q107" s="1">
        <v>151.98295999999991</v>
      </c>
      <c r="R107" s="1"/>
      <c r="S107" s="1">
        <v>160.09703999999991</v>
      </c>
      <c r="T107" s="1">
        <f t="shared" si="35"/>
        <v>86.8</v>
      </c>
      <c r="U107" s="5"/>
      <c r="V107" s="1">
        <f t="shared" si="36"/>
        <v>11.540668064516129</v>
      </c>
      <c r="W107" s="1">
        <f t="shared" si="37"/>
        <v>11.540668064516129</v>
      </c>
      <c r="X107" s="1">
        <v>99</v>
      </c>
      <c r="Y107" s="1">
        <v>113</v>
      </c>
      <c r="Z107" s="1">
        <v>60.6</v>
      </c>
      <c r="AA107" s="1">
        <v>12.2</v>
      </c>
      <c r="AB107" s="1">
        <v>82.2</v>
      </c>
      <c r="AC107" s="1">
        <v>143.4</v>
      </c>
      <c r="AD107" s="1">
        <v>118.6</v>
      </c>
      <c r="AE107" s="1">
        <v>92.6</v>
      </c>
      <c r="AF107" s="1">
        <v>36.799999999999997</v>
      </c>
      <c r="AG107" s="1">
        <v>29.6</v>
      </c>
      <c r="AH107" s="1"/>
      <c r="AI107" s="1">
        <f>G107*U107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157</v>
      </c>
      <c r="B108" s="1" t="s">
        <v>43</v>
      </c>
      <c r="C108" s="1">
        <v>178</v>
      </c>
      <c r="D108" s="1">
        <v>702</v>
      </c>
      <c r="E108" s="1">
        <v>565</v>
      </c>
      <c r="F108" s="1">
        <v>22</v>
      </c>
      <c r="G108" s="7">
        <v>0.28000000000000003</v>
      </c>
      <c r="H108" s="1">
        <v>40</v>
      </c>
      <c r="I108" s="9" t="s">
        <v>41</v>
      </c>
      <c r="J108" s="1"/>
      <c r="K108" s="1">
        <v>694</v>
      </c>
      <c r="L108" s="1">
        <f t="shared" si="33"/>
        <v>-129</v>
      </c>
      <c r="M108" s="1">
        <f t="shared" si="34"/>
        <v>565</v>
      </c>
      <c r="N108" s="1"/>
      <c r="O108" s="1"/>
      <c r="P108" s="1">
        <v>600.08800000000008</v>
      </c>
      <c r="Q108" s="1">
        <v>438.3</v>
      </c>
      <c r="R108" s="1"/>
      <c r="S108" s="1">
        <v>461.7</v>
      </c>
      <c r="T108" s="1">
        <f t="shared" si="35"/>
        <v>113</v>
      </c>
      <c r="U108" s="5"/>
      <c r="V108" s="1">
        <f t="shared" si="36"/>
        <v>13.469805309734515</v>
      </c>
      <c r="W108" s="1">
        <f t="shared" si="37"/>
        <v>13.469805309734515</v>
      </c>
      <c r="X108" s="1">
        <v>132.4</v>
      </c>
      <c r="Y108" s="1">
        <v>118.2</v>
      </c>
      <c r="Z108" s="1">
        <v>51</v>
      </c>
      <c r="AA108" s="1">
        <v>21.4</v>
      </c>
      <c r="AB108" s="1">
        <v>76.400000000000006</v>
      </c>
      <c r="AC108" s="1">
        <v>94.2</v>
      </c>
      <c r="AD108" s="1">
        <v>49</v>
      </c>
      <c r="AE108" s="1">
        <v>21.2</v>
      </c>
      <c r="AF108" s="1">
        <v>42.8</v>
      </c>
      <c r="AG108" s="1">
        <v>71.2</v>
      </c>
      <c r="AH108" s="1"/>
      <c r="AI108" s="1">
        <f>G108*U108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158</v>
      </c>
      <c r="B109" s="1" t="s">
        <v>43</v>
      </c>
      <c r="C109" s="1">
        <v>88</v>
      </c>
      <c r="D109" s="1">
        <v>451</v>
      </c>
      <c r="E109" s="1">
        <v>239</v>
      </c>
      <c r="F109" s="1">
        <v>186</v>
      </c>
      <c r="G109" s="7">
        <v>0.28000000000000003</v>
      </c>
      <c r="H109" s="1">
        <v>40</v>
      </c>
      <c r="I109" s="9" t="s">
        <v>41</v>
      </c>
      <c r="J109" s="1"/>
      <c r="K109" s="1">
        <v>491</v>
      </c>
      <c r="L109" s="1">
        <f t="shared" si="33"/>
        <v>-252</v>
      </c>
      <c r="M109" s="1">
        <f t="shared" si="34"/>
        <v>239</v>
      </c>
      <c r="N109" s="1"/>
      <c r="O109" s="1">
        <v>280.7124</v>
      </c>
      <c r="P109" s="1">
        <v>650</v>
      </c>
      <c r="Q109" s="1">
        <v>0</v>
      </c>
      <c r="R109" s="1"/>
      <c r="S109" s="1"/>
      <c r="T109" s="1">
        <f t="shared" si="35"/>
        <v>47.8</v>
      </c>
      <c r="U109" s="5"/>
      <c r="V109" s="1">
        <f t="shared" si="36"/>
        <v>23.362184100418411</v>
      </c>
      <c r="W109" s="1">
        <f t="shared" si="37"/>
        <v>23.362184100418411</v>
      </c>
      <c r="X109" s="1">
        <v>67</v>
      </c>
      <c r="Y109" s="1">
        <v>117.6</v>
      </c>
      <c r="Z109" s="1">
        <v>82.2</v>
      </c>
      <c r="AA109" s="1">
        <v>13.6</v>
      </c>
      <c r="AB109" s="1">
        <v>8.8000000000000007</v>
      </c>
      <c r="AC109" s="1">
        <v>71</v>
      </c>
      <c r="AD109" s="1">
        <v>136.4</v>
      </c>
      <c r="AE109" s="1">
        <v>115</v>
      </c>
      <c r="AF109" s="1">
        <v>61.6</v>
      </c>
      <c r="AG109" s="1">
        <v>65.400000000000006</v>
      </c>
      <c r="AH109" s="1"/>
      <c r="AI109" s="1">
        <f>G109*U109</f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159</v>
      </c>
      <c r="B110" s="1" t="s">
        <v>43</v>
      </c>
      <c r="C110" s="1">
        <v>304</v>
      </c>
      <c r="D110" s="1">
        <v>92</v>
      </c>
      <c r="E110" s="1">
        <v>65</v>
      </c>
      <c r="F110" s="1">
        <v>255</v>
      </c>
      <c r="G110" s="7">
        <v>0.09</v>
      </c>
      <c r="H110" s="1">
        <v>45</v>
      </c>
      <c r="I110" s="1" t="s">
        <v>38</v>
      </c>
      <c r="J110" s="1"/>
      <c r="K110" s="1">
        <v>167</v>
      </c>
      <c r="L110" s="1">
        <f t="shared" si="33"/>
        <v>-102</v>
      </c>
      <c r="M110" s="1">
        <f t="shared" si="34"/>
        <v>65</v>
      </c>
      <c r="N110" s="1"/>
      <c r="O110" s="1"/>
      <c r="P110" s="1">
        <v>0</v>
      </c>
      <c r="Q110" s="1">
        <v>0</v>
      </c>
      <c r="R110" s="1"/>
      <c r="S110" s="1"/>
      <c r="T110" s="1">
        <f t="shared" si="35"/>
        <v>13</v>
      </c>
      <c r="U110" s="5"/>
      <c r="V110" s="1">
        <f t="shared" si="36"/>
        <v>19.615384615384617</v>
      </c>
      <c r="W110" s="1">
        <f t="shared" si="37"/>
        <v>19.615384615384617</v>
      </c>
      <c r="X110" s="1">
        <v>22.6</v>
      </c>
      <c r="Y110" s="1">
        <v>25.2</v>
      </c>
      <c r="Z110" s="1">
        <v>33.799999999999997</v>
      </c>
      <c r="AA110" s="1">
        <v>28.6</v>
      </c>
      <c r="AB110" s="1">
        <v>12.2</v>
      </c>
      <c r="AC110" s="1">
        <v>14</v>
      </c>
      <c r="AD110" s="1">
        <v>15</v>
      </c>
      <c r="AE110" s="1">
        <v>37.200000000000003</v>
      </c>
      <c r="AF110" s="1">
        <v>45.6</v>
      </c>
      <c r="AG110" s="1">
        <v>44.2</v>
      </c>
      <c r="AH110" s="1"/>
      <c r="AI110" s="1">
        <f>G110*U110</f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0" t="s">
        <v>160</v>
      </c>
      <c r="B111" s="10" t="s">
        <v>37</v>
      </c>
      <c r="C111" s="10">
        <v>2.794</v>
      </c>
      <c r="D111" s="10"/>
      <c r="E111" s="10">
        <v>2.7610000000000001</v>
      </c>
      <c r="F111" s="10"/>
      <c r="G111" s="11">
        <v>0</v>
      </c>
      <c r="H111" s="10">
        <v>55</v>
      </c>
      <c r="I111" s="10" t="s">
        <v>161</v>
      </c>
      <c r="J111" s="10"/>
      <c r="K111" s="10">
        <v>9.5440000000000005</v>
      </c>
      <c r="L111" s="10">
        <f t="shared" si="33"/>
        <v>-6.7830000000000004</v>
      </c>
      <c r="M111" s="10">
        <f t="shared" si="34"/>
        <v>2.7610000000000001</v>
      </c>
      <c r="N111" s="10"/>
      <c r="O111" s="10"/>
      <c r="P111" s="10">
        <v>0</v>
      </c>
      <c r="Q111" s="10">
        <v>0</v>
      </c>
      <c r="R111" s="10"/>
      <c r="S111" s="10"/>
      <c r="T111" s="10">
        <f t="shared" si="35"/>
        <v>0.55220000000000002</v>
      </c>
      <c r="U111" s="12"/>
      <c r="V111" s="10">
        <f t="shared" si="36"/>
        <v>0</v>
      </c>
      <c r="W111" s="10">
        <f t="shared" si="37"/>
        <v>0</v>
      </c>
      <c r="X111" s="10">
        <v>0.81820000000000004</v>
      </c>
      <c r="Y111" s="10">
        <v>0.54480000000000006</v>
      </c>
      <c r="Z111" s="10">
        <v>0</v>
      </c>
      <c r="AA111" s="10">
        <v>0</v>
      </c>
      <c r="AB111" s="10">
        <v>0.55199999999999994</v>
      </c>
      <c r="AC111" s="10">
        <v>0.55199999999999994</v>
      </c>
      <c r="AD111" s="10">
        <v>0.26500000000000001</v>
      </c>
      <c r="AE111" s="10">
        <v>-4.0000000000000001E-3</v>
      </c>
      <c r="AF111" s="10">
        <v>-0.26900000000000002</v>
      </c>
      <c r="AG111" s="10">
        <v>0</v>
      </c>
      <c r="AH111" s="10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162</v>
      </c>
      <c r="B112" s="1" t="s">
        <v>37</v>
      </c>
      <c r="C112" s="1">
        <v>33.209000000000003</v>
      </c>
      <c r="D112" s="1">
        <v>51.46</v>
      </c>
      <c r="E112" s="1">
        <v>22.32</v>
      </c>
      <c r="F112" s="1">
        <v>54.656999999999996</v>
      </c>
      <c r="G112" s="7">
        <v>1</v>
      </c>
      <c r="H112" s="1">
        <v>60</v>
      </c>
      <c r="I112" s="1" t="s">
        <v>38</v>
      </c>
      <c r="J112" s="1"/>
      <c r="K112" s="1">
        <v>22.78</v>
      </c>
      <c r="L112" s="1">
        <f t="shared" si="33"/>
        <v>-0.46000000000000085</v>
      </c>
      <c r="M112" s="1">
        <f t="shared" si="34"/>
        <v>22.32</v>
      </c>
      <c r="N112" s="1"/>
      <c r="O112" s="1"/>
      <c r="P112" s="1">
        <v>0</v>
      </c>
      <c r="Q112" s="1">
        <v>0</v>
      </c>
      <c r="R112" s="1"/>
      <c r="S112" s="1"/>
      <c r="T112" s="1">
        <f t="shared" si="35"/>
        <v>4.4640000000000004</v>
      </c>
      <c r="U112" s="5"/>
      <c r="V112" s="1">
        <f t="shared" si="36"/>
        <v>12.243951612903224</v>
      </c>
      <c r="W112" s="1">
        <f t="shared" si="37"/>
        <v>12.243951612903224</v>
      </c>
      <c r="X112" s="1">
        <v>3.5026000000000002</v>
      </c>
      <c r="Y112" s="1">
        <v>5.0207999999999986</v>
      </c>
      <c r="Z112" s="1">
        <v>6.0305999999999997</v>
      </c>
      <c r="AA112" s="1">
        <v>4.5142000000000007</v>
      </c>
      <c r="AB112" s="1">
        <v>4.4657999999999998</v>
      </c>
      <c r="AC112" s="1">
        <v>6.38</v>
      </c>
      <c r="AD112" s="1">
        <v>5.8250000000000002</v>
      </c>
      <c r="AE112" s="1">
        <v>4.3907999999999996</v>
      </c>
      <c r="AF112" s="1">
        <v>7.3688000000000002</v>
      </c>
      <c r="AG112" s="1">
        <v>7.8537999999999997</v>
      </c>
      <c r="AH112" s="1"/>
      <c r="AI112" s="1">
        <f t="shared" ref="AI112:AI122" si="39">G112*U112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163</v>
      </c>
      <c r="B113" s="1" t="s">
        <v>37</v>
      </c>
      <c r="C113" s="1">
        <v>-0.13800000000000001</v>
      </c>
      <c r="D113" s="1">
        <v>206.142</v>
      </c>
      <c r="E113" s="1">
        <v>14.2</v>
      </c>
      <c r="F113" s="1">
        <v>148.465</v>
      </c>
      <c r="G113" s="7">
        <v>1</v>
      </c>
      <c r="H113" s="1">
        <v>50</v>
      </c>
      <c r="I113" s="1" t="s">
        <v>38</v>
      </c>
      <c r="J113" s="1"/>
      <c r="K113" s="1">
        <v>14.93</v>
      </c>
      <c r="L113" s="1">
        <f t="shared" si="33"/>
        <v>-0.73000000000000043</v>
      </c>
      <c r="M113" s="1">
        <f t="shared" si="34"/>
        <v>14.2</v>
      </c>
      <c r="N113" s="1"/>
      <c r="O113" s="1"/>
      <c r="P113" s="1">
        <v>0</v>
      </c>
      <c r="Q113" s="1">
        <v>0</v>
      </c>
      <c r="R113" s="1"/>
      <c r="S113" s="1"/>
      <c r="T113" s="1">
        <f t="shared" si="35"/>
        <v>2.84</v>
      </c>
      <c r="U113" s="5"/>
      <c r="V113" s="1">
        <f t="shared" si="36"/>
        <v>52.276408450704231</v>
      </c>
      <c r="W113" s="1">
        <f t="shared" si="37"/>
        <v>52.276408450704231</v>
      </c>
      <c r="X113" s="1">
        <v>4.484</v>
      </c>
      <c r="Y113" s="1">
        <v>6.9774000000000003</v>
      </c>
      <c r="Z113" s="1">
        <v>14.524800000000001</v>
      </c>
      <c r="AA113" s="1">
        <v>11.554</v>
      </c>
      <c r="AB113" s="1">
        <v>3.5186000000000002</v>
      </c>
      <c r="AC113" s="1">
        <v>2.0089999999999999</v>
      </c>
      <c r="AD113" s="1">
        <v>1.9832000000000001</v>
      </c>
      <c r="AE113" s="1">
        <v>2.9632000000000001</v>
      </c>
      <c r="AF113" s="1">
        <v>5.9215999999999998</v>
      </c>
      <c r="AG113" s="1">
        <v>5.3567999999999998</v>
      </c>
      <c r="AH113" s="1"/>
      <c r="AI113" s="1">
        <f t="shared" si="39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164</v>
      </c>
      <c r="B114" s="1" t="s">
        <v>43</v>
      </c>
      <c r="C114" s="1">
        <v>267</v>
      </c>
      <c r="D114" s="1">
        <v>84</v>
      </c>
      <c r="E114" s="1">
        <v>41</v>
      </c>
      <c r="F114" s="1">
        <v>228</v>
      </c>
      <c r="G114" s="7">
        <v>0.09</v>
      </c>
      <c r="H114" s="1">
        <v>45</v>
      </c>
      <c r="I114" s="9" t="s">
        <v>41</v>
      </c>
      <c r="J114" s="1"/>
      <c r="K114" s="1">
        <v>115</v>
      </c>
      <c r="L114" s="1">
        <f t="shared" si="33"/>
        <v>-74</v>
      </c>
      <c r="M114" s="1">
        <f t="shared" si="34"/>
        <v>41</v>
      </c>
      <c r="N114" s="1"/>
      <c r="O114" s="1"/>
      <c r="P114" s="1">
        <v>0</v>
      </c>
      <c r="Q114" s="1">
        <v>0</v>
      </c>
      <c r="R114" s="1"/>
      <c r="S114" s="1"/>
      <c r="T114" s="1">
        <f t="shared" si="35"/>
        <v>8.1999999999999993</v>
      </c>
      <c r="U114" s="5"/>
      <c r="V114" s="1">
        <f t="shared" si="36"/>
        <v>27.804878048780491</v>
      </c>
      <c r="W114" s="1">
        <f t="shared" si="37"/>
        <v>27.804878048780491</v>
      </c>
      <c r="X114" s="1">
        <v>13.8</v>
      </c>
      <c r="Y114" s="1">
        <v>14.6</v>
      </c>
      <c r="Z114" s="1">
        <v>17.600000000000001</v>
      </c>
      <c r="AA114" s="1">
        <v>14.2</v>
      </c>
      <c r="AB114" s="1">
        <v>12.6</v>
      </c>
      <c r="AC114" s="1">
        <v>15</v>
      </c>
      <c r="AD114" s="1">
        <v>7.8</v>
      </c>
      <c r="AE114" s="1">
        <v>30</v>
      </c>
      <c r="AF114" s="1">
        <v>40</v>
      </c>
      <c r="AG114" s="1">
        <v>17.2</v>
      </c>
      <c r="AH114" s="18" t="s">
        <v>61</v>
      </c>
      <c r="AI114" s="1">
        <f t="shared" si="39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165</v>
      </c>
      <c r="B115" s="1" t="s">
        <v>43</v>
      </c>
      <c r="C115" s="1">
        <v>225</v>
      </c>
      <c r="D115" s="1">
        <v>62</v>
      </c>
      <c r="E115" s="1">
        <v>52</v>
      </c>
      <c r="F115" s="1">
        <v>154</v>
      </c>
      <c r="G115" s="7">
        <v>0.09</v>
      </c>
      <c r="H115" s="1">
        <v>45</v>
      </c>
      <c r="I115" s="1" t="s">
        <v>38</v>
      </c>
      <c r="J115" s="1"/>
      <c r="K115" s="1">
        <v>150</v>
      </c>
      <c r="L115" s="1">
        <f t="shared" si="33"/>
        <v>-98</v>
      </c>
      <c r="M115" s="1">
        <f t="shared" si="34"/>
        <v>52</v>
      </c>
      <c r="N115" s="1"/>
      <c r="O115" s="1"/>
      <c r="P115" s="1">
        <v>0</v>
      </c>
      <c r="Q115" s="1">
        <v>30.600000000000019</v>
      </c>
      <c r="R115" s="1"/>
      <c r="S115" s="1"/>
      <c r="T115" s="1">
        <f t="shared" si="35"/>
        <v>10.4</v>
      </c>
      <c r="U115" s="5"/>
      <c r="V115" s="1">
        <f t="shared" si="36"/>
        <v>17.75</v>
      </c>
      <c r="W115" s="1">
        <f t="shared" si="37"/>
        <v>17.75</v>
      </c>
      <c r="X115" s="1">
        <v>17.8</v>
      </c>
      <c r="Y115" s="1">
        <v>17.2</v>
      </c>
      <c r="Z115" s="1">
        <v>17</v>
      </c>
      <c r="AA115" s="1">
        <v>16</v>
      </c>
      <c r="AB115" s="1">
        <v>13.6</v>
      </c>
      <c r="AC115" s="1">
        <v>16.2</v>
      </c>
      <c r="AD115" s="1">
        <v>9.4</v>
      </c>
      <c r="AE115" s="1">
        <v>30</v>
      </c>
      <c r="AF115" s="1">
        <v>39.4</v>
      </c>
      <c r="AG115" s="1">
        <v>27.8</v>
      </c>
      <c r="AH115" s="1"/>
      <c r="AI115" s="1">
        <f t="shared" si="39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166</v>
      </c>
      <c r="B116" s="1" t="s">
        <v>37</v>
      </c>
      <c r="C116" s="1">
        <v>215.90600000000001</v>
      </c>
      <c r="D116" s="1">
        <v>149.25</v>
      </c>
      <c r="E116" s="1">
        <v>141.60499999999999</v>
      </c>
      <c r="F116" s="1">
        <v>158.51300000000001</v>
      </c>
      <c r="G116" s="7">
        <v>1</v>
      </c>
      <c r="H116" s="1">
        <v>60</v>
      </c>
      <c r="I116" s="9" t="s">
        <v>41</v>
      </c>
      <c r="J116" s="1"/>
      <c r="K116" s="1">
        <v>142.22399999999999</v>
      </c>
      <c r="L116" s="1">
        <f t="shared" si="33"/>
        <v>-0.61899999999999977</v>
      </c>
      <c r="M116" s="1">
        <f t="shared" si="34"/>
        <v>141.60499999999999</v>
      </c>
      <c r="N116" s="1"/>
      <c r="O116" s="1"/>
      <c r="P116" s="1">
        <v>120</v>
      </c>
      <c r="Q116" s="1">
        <v>96.908399999999943</v>
      </c>
      <c r="R116" s="1"/>
      <c r="S116" s="1"/>
      <c r="T116" s="1">
        <f t="shared" si="35"/>
        <v>28.320999999999998</v>
      </c>
      <c r="U116" s="5"/>
      <c r="V116" s="1">
        <f t="shared" si="36"/>
        <v>13.255937290349916</v>
      </c>
      <c r="W116" s="1">
        <f t="shared" si="37"/>
        <v>13.255937290349916</v>
      </c>
      <c r="X116" s="1">
        <v>33.215200000000003</v>
      </c>
      <c r="Y116" s="1">
        <v>32.061399999999999</v>
      </c>
      <c r="Z116" s="1">
        <v>20.308800000000002</v>
      </c>
      <c r="AA116" s="1">
        <v>11.1462</v>
      </c>
      <c r="AB116" s="1">
        <v>20.655799999999999</v>
      </c>
      <c r="AC116" s="1">
        <v>26.749199999999998</v>
      </c>
      <c r="AD116" s="1">
        <v>20.511600000000001</v>
      </c>
      <c r="AE116" s="1">
        <v>20.523</v>
      </c>
      <c r="AF116" s="1">
        <v>19.683800000000002</v>
      </c>
      <c r="AG116" s="1">
        <v>23.858799999999999</v>
      </c>
      <c r="AH116" s="1"/>
      <c r="AI116" s="1">
        <f t="shared" si="39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167</v>
      </c>
      <c r="B117" s="1" t="s">
        <v>37</v>
      </c>
      <c r="C117" s="1">
        <v>388.86</v>
      </c>
      <c r="D117" s="1">
        <v>1474.3989999999999</v>
      </c>
      <c r="E117" s="1">
        <v>772.99800000000005</v>
      </c>
      <c r="F117" s="1">
        <v>473.47800000000001</v>
      </c>
      <c r="G117" s="7">
        <v>1</v>
      </c>
      <c r="H117" s="1">
        <v>60</v>
      </c>
      <c r="I117" s="1" t="s">
        <v>38</v>
      </c>
      <c r="J117" s="1"/>
      <c r="K117" s="1">
        <v>784.14200000000005</v>
      </c>
      <c r="L117" s="1">
        <f t="shared" si="33"/>
        <v>-11.144000000000005</v>
      </c>
      <c r="M117" s="1">
        <f t="shared" si="34"/>
        <v>772.99800000000005</v>
      </c>
      <c r="N117" s="1"/>
      <c r="O117" s="1">
        <v>427.22940742100008</v>
      </c>
      <c r="P117" s="1">
        <v>220</v>
      </c>
      <c r="Q117" s="1">
        <v>292.2</v>
      </c>
      <c r="R117" s="1"/>
      <c r="S117" s="1">
        <v>307.8</v>
      </c>
      <c r="T117" s="1">
        <f t="shared" si="35"/>
        <v>154.59960000000001</v>
      </c>
      <c r="U117" s="5"/>
      <c r="V117" s="1">
        <f t="shared" si="36"/>
        <v>11.130089647198311</v>
      </c>
      <c r="W117" s="1">
        <f t="shared" si="37"/>
        <v>11.130089647198311</v>
      </c>
      <c r="X117" s="1">
        <v>164.56360000000001</v>
      </c>
      <c r="Y117" s="1">
        <v>159.66499999999999</v>
      </c>
      <c r="Z117" s="1">
        <v>154.07400000000001</v>
      </c>
      <c r="AA117" s="1">
        <v>132.27199999999999</v>
      </c>
      <c r="AB117" s="1">
        <v>134.0958</v>
      </c>
      <c r="AC117" s="1">
        <v>145.0898</v>
      </c>
      <c r="AD117" s="1">
        <v>141.90940000000001</v>
      </c>
      <c r="AE117" s="1">
        <v>146.82140000000001</v>
      </c>
      <c r="AF117" s="1">
        <v>140.74080000000001</v>
      </c>
      <c r="AG117" s="1">
        <v>154.98939999999999</v>
      </c>
      <c r="AH117" s="1"/>
      <c r="AI117" s="1">
        <f t="shared" si="39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168</v>
      </c>
      <c r="B118" s="1" t="s">
        <v>37</v>
      </c>
      <c r="C118" s="1">
        <v>46.79</v>
      </c>
      <c r="D118" s="1">
        <v>113.79</v>
      </c>
      <c r="E118" s="1">
        <v>55.094000000000001</v>
      </c>
      <c r="F118" s="1">
        <v>74.131</v>
      </c>
      <c r="G118" s="7">
        <v>1</v>
      </c>
      <c r="H118" s="1">
        <v>60</v>
      </c>
      <c r="I118" s="9" t="s">
        <v>41</v>
      </c>
      <c r="J118" s="1"/>
      <c r="K118" s="1">
        <v>58.680999999999997</v>
      </c>
      <c r="L118" s="1">
        <f t="shared" si="33"/>
        <v>-3.5869999999999962</v>
      </c>
      <c r="M118" s="1">
        <f t="shared" si="34"/>
        <v>55.094000000000001</v>
      </c>
      <c r="N118" s="1"/>
      <c r="O118" s="1"/>
      <c r="P118" s="1">
        <v>50</v>
      </c>
      <c r="Q118" s="1">
        <v>75</v>
      </c>
      <c r="R118" s="1"/>
      <c r="S118" s="1"/>
      <c r="T118" s="1">
        <f t="shared" si="35"/>
        <v>11.018800000000001</v>
      </c>
      <c r="U118" s="5"/>
      <c r="V118" s="1">
        <f t="shared" si="36"/>
        <v>18.07193160779758</v>
      </c>
      <c r="W118" s="1">
        <f t="shared" si="37"/>
        <v>18.07193160779758</v>
      </c>
      <c r="X118" s="1">
        <v>8.7447999999999997</v>
      </c>
      <c r="Y118" s="1">
        <v>9.0963999999999992</v>
      </c>
      <c r="Z118" s="1">
        <v>10.550800000000001</v>
      </c>
      <c r="AA118" s="1">
        <v>6.405800000000001</v>
      </c>
      <c r="AB118" s="1">
        <v>6.831999999999999</v>
      </c>
      <c r="AC118" s="1">
        <v>10.4628</v>
      </c>
      <c r="AD118" s="1">
        <v>9.4239999999999995</v>
      </c>
      <c r="AE118" s="1">
        <v>11.5632</v>
      </c>
      <c r="AF118" s="1">
        <v>12.903</v>
      </c>
      <c r="AG118" s="1">
        <v>13.724600000000001</v>
      </c>
      <c r="AH118" s="1"/>
      <c r="AI118" s="1">
        <f t="shared" si="39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169</v>
      </c>
      <c r="B119" s="1" t="s">
        <v>37</v>
      </c>
      <c r="C119" s="1">
        <v>100.798</v>
      </c>
      <c r="D119" s="1">
        <v>4212.2510000000002</v>
      </c>
      <c r="E119" s="1">
        <v>921.13199999999995</v>
      </c>
      <c r="F119" s="1">
        <v>2505.1930000000002</v>
      </c>
      <c r="G119" s="7">
        <v>1</v>
      </c>
      <c r="H119" s="1">
        <v>60</v>
      </c>
      <c r="I119" s="1" t="s">
        <v>38</v>
      </c>
      <c r="J119" s="1"/>
      <c r="K119" s="1">
        <v>1114.8</v>
      </c>
      <c r="L119" s="1">
        <f t="shared" si="33"/>
        <v>-193.66800000000001</v>
      </c>
      <c r="M119" s="1">
        <f t="shared" si="34"/>
        <v>921.13199999999995</v>
      </c>
      <c r="N119" s="1"/>
      <c r="O119" s="1">
        <v>1516.4441326220001</v>
      </c>
      <c r="P119" s="1">
        <v>0</v>
      </c>
      <c r="Q119" s="1">
        <v>0</v>
      </c>
      <c r="R119" s="1"/>
      <c r="S119" s="1"/>
      <c r="T119" s="1">
        <f t="shared" si="35"/>
        <v>184.22639999999998</v>
      </c>
      <c r="U119" s="5"/>
      <c r="V119" s="1">
        <f t="shared" si="36"/>
        <v>21.829863323725593</v>
      </c>
      <c r="W119" s="1">
        <f t="shared" si="37"/>
        <v>21.829863323725593</v>
      </c>
      <c r="X119" s="1">
        <v>117.05119999999999</v>
      </c>
      <c r="Y119" s="1">
        <v>242.47139999999999</v>
      </c>
      <c r="Z119" s="1">
        <v>401.34140000000002</v>
      </c>
      <c r="AA119" s="1">
        <v>281.52199999999999</v>
      </c>
      <c r="AB119" s="1">
        <v>178.23140000000001</v>
      </c>
      <c r="AC119" s="1">
        <v>201.7484</v>
      </c>
      <c r="AD119" s="1">
        <v>194.76939999999999</v>
      </c>
      <c r="AE119" s="1">
        <v>203.86619999999999</v>
      </c>
      <c r="AF119" s="1">
        <v>195.4562</v>
      </c>
      <c r="AG119" s="1">
        <v>194.12459999999999</v>
      </c>
      <c r="AH119" s="15" t="s">
        <v>83</v>
      </c>
      <c r="AI119" s="1">
        <f t="shared" si="39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170</v>
      </c>
      <c r="B120" s="1" t="s">
        <v>43</v>
      </c>
      <c r="C120" s="1">
        <v>173</v>
      </c>
      <c r="D120" s="1"/>
      <c r="E120" s="1">
        <v>3</v>
      </c>
      <c r="F120" s="1">
        <v>156</v>
      </c>
      <c r="G120" s="7">
        <v>0.25</v>
      </c>
      <c r="H120" s="1">
        <v>1096</v>
      </c>
      <c r="I120" s="1" t="s">
        <v>38</v>
      </c>
      <c r="J120" s="1"/>
      <c r="K120" s="1">
        <v>3</v>
      </c>
      <c r="L120" s="1">
        <f t="shared" si="33"/>
        <v>0</v>
      </c>
      <c r="M120" s="1">
        <f t="shared" si="34"/>
        <v>3</v>
      </c>
      <c r="N120" s="1"/>
      <c r="O120" s="1"/>
      <c r="P120" s="1">
        <v>0</v>
      </c>
      <c r="Q120" s="1">
        <v>0</v>
      </c>
      <c r="R120" s="1"/>
      <c r="S120" s="1"/>
      <c r="T120" s="1">
        <f t="shared" si="35"/>
        <v>0.6</v>
      </c>
      <c r="U120" s="5"/>
      <c r="V120" s="1">
        <f t="shared" si="36"/>
        <v>260</v>
      </c>
      <c r="W120" s="1">
        <f t="shared" si="37"/>
        <v>260</v>
      </c>
      <c r="X120" s="1">
        <v>0.4</v>
      </c>
      <c r="Y120" s="1">
        <v>0.4</v>
      </c>
      <c r="Z120" s="1">
        <v>1.8</v>
      </c>
      <c r="AA120" s="1">
        <v>4.5999999999999996</v>
      </c>
      <c r="AB120" s="1">
        <v>3.2</v>
      </c>
      <c r="AC120" s="1">
        <v>0.4</v>
      </c>
      <c r="AD120" s="1">
        <v>0</v>
      </c>
      <c r="AE120" s="1">
        <v>0.8</v>
      </c>
      <c r="AF120" s="1">
        <v>0.8</v>
      </c>
      <c r="AG120" s="1">
        <v>1</v>
      </c>
      <c r="AH120" s="18" t="s">
        <v>61</v>
      </c>
      <c r="AI120" s="1">
        <f t="shared" si="39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171</v>
      </c>
      <c r="B121" s="1" t="s">
        <v>43</v>
      </c>
      <c r="C121" s="1">
        <v>82</v>
      </c>
      <c r="D121" s="1"/>
      <c r="E121" s="1"/>
      <c r="F121" s="13">
        <f>82+F130</f>
        <v>109</v>
      </c>
      <c r="G121" s="7">
        <v>0.32500000000000001</v>
      </c>
      <c r="H121" s="1">
        <v>1096</v>
      </c>
      <c r="I121" s="1" t="s">
        <v>38</v>
      </c>
      <c r="J121" s="1"/>
      <c r="K121" s="1"/>
      <c r="L121" s="1">
        <f t="shared" si="33"/>
        <v>0</v>
      </c>
      <c r="M121" s="1">
        <f t="shared" si="34"/>
        <v>0</v>
      </c>
      <c r="N121" s="1"/>
      <c r="O121" s="1"/>
      <c r="P121" s="1">
        <v>0</v>
      </c>
      <c r="Q121" s="1">
        <v>0</v>
      </c>
      <c r="R121" s="1"/>
      <c r="S121" s="1"/>
      <c r="T121" s="1">
        <f t="shared" si="35"/>
        <v>0</v>
      </c>
      <c r="U121" s="5"/>
      <c r="V121" s="1" t="e">
        <f t="shared" si="36"/>
        <v>#DIV/0!</v>
      </c>
      <c r="W121" s="1" t="e">
        <f t="shared" si="37"/>
        <v>#DIV/0!</v>
      </c>
      <c r="X121" s="1">
        <v>0.2</v>
      </c>
      <c r="Y121" s="1">
        <v>0.2</v>
      </c>
      <c r="Z121" s="1">
        <v>3</v>
      </c>
      <c r="AA121" s="1">
        <v>6</v>
      </c>
      <c r="AB121" s="1">
        <v>3.6</v>
      </c>
      <c r="AC121" s="1">
        <v>0.6</v>
      </c>
      <c r="AD121" s="1">
        <v>0</v>
      </c>
      <c r="AE121" s="1">
        <v>1</v>
      </c>
      <c r="AF121" s="1">
        <v>1</v>
      </c>
      <c r="AG121" s="1">
        <v>1</v>
      </c>
      <c r="AH121" s="18" t="s">
        <v>61</v>
      </c>
      <c r="AI121" s="1">
        <f t="shared" si="39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172</v>
      </c>
      <c r="B122" s="1" t="s">
        <v>43</v>
      </c>
      <c r="C122" s="1">
        <v>138</v>
      </c>
      <c r="D122" s="1">
        <v>21</v>
      </c>
      <c r="E122" s="1">
        <v>3</v>
      </c>
      <c r="F122" s="1">
        <v>156</v>
      </c>
      <c r="G122" s="7">
        <v>0.25</v>
      </c>
      <c r="H122" s="1">
        <v>1096</v>
      </c>
      <c r="I122" s="9" t="s">
        <v>41</v>
      </c>
      <c r="J122" s="1"/>
      <c r="K122" s="1">
        <v>3</v>
      </c>
      <c r="L122" s="1">
        <f t="shared" si="33"/>
        <v>0</v>
      </c>
      <c r="M122" s="1">
        <f t="shared" si="34"/>
        <v>3</v>
      </c>
      <c r="N122" s="1"/>
      <c r="O122" s="1"/>
      <c r="P122" s="1">
        <v>0</v>
      </c>
      <c r="Q122" s="1">
        <v>0</v>
      </c>
      <c r="R122" s="1"/>
      <c r="S122" s="1"/>
      <c r="T122" s="1">
        <f t="shared" si="35"/>
        <v>0.6</v>
      </c>
      <c r="U122" s="5"/>
      <c r="V122" s="1">
        <f t="shared" si="36"/>
        <v>260</v>
      </c>
      <c r="W122" s="1">
        <f t="shared" si="37"/>
        <v>260</v>
      </c>
      <c r="X122" s="1">
        <v>0.8</v>
      </c>
      <c r="Y122" s="1">
        <v>0.8</v>
      </c>
      <c r="Z122" s="1">
        <v>2.6</v>
      </c>
      <c r="AA122" s="1">
        <v>5.4</v>
      </c>
      <c r="AB122" s="1">
        <v>4.2</v>
      </c>
      <c r="AC122" s="1">
        <v>1.4</v>
      </c>
      <c r="AD122" s="1">
        <v>5</v>
      </c>
      <c r="AE122" s="1">
        <v>5.8</v>
      </c>
      <c r="AF122" s="1">
        <v>1.8</v>
      </c>
      <c r="AG122" s="1">
        <v>2</v>
      </c>
      <c r="AH122" s="18" t="s">
        <v>61</v>
      </c>
      <c r="AI122" s="1">
        <f t="shared" si="39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0" t="s">
        <v>173</v>
      </c>
      <c r="B123" s="10" t="s">
        <v>37</v>
      </c>
      <c r="C123" s="10">
        <v>16.626000000000001</v>
      </c>
      <c r="D123" s="10">
        <v>9.5760000000000005</v>
      </c>
      <c r="E123" s="13">
        <v>16.202000000000002</v>
      </c>
      <c r="F123" s="13">
        <v>10</v>
      </c>
      <c r="G123" s="11">
        <v>0</v>
      </c>
      <c r="H123" s="10"/>
      <c r="I123" s="10" t="s">
        <v>174</v>
      </c>
      <c r="J123" s="10" t="s">
        <v>142</v>
      </c>
      <c r="K123" s="10">
        <v>15.3</v>
      </c>
      <c r="L123" s="10">
        <f t="shared" si="33"/>
        <v>0.90200000000000102</v>
      </c>
      <c r="M123" s="10">
        <f t="shared" si="34"/>
        <v>16.202000000000002</v>
      </c>
      <c r="N123" s="10"/>
      <c r="O123" s="10"/>
      <c r="P123" s="10">
        <v>0</v>
      </c>
      <c r="Q123" s="10">
        <v>0</v>
      </c>
      <c r="R123" s="10"/>
      <c r="S123" s="10"/>
      <c r="T123" s="10">
        <f t="shared" si="35"/>
        <v>3.2404000000000002</v>
      </c>
      <c r="U123" s="12"/>
      <c r="V123" s="10">
        <f t="shared" si="36"/>
        <v>3.0860387606468334</v>
      </c>
      <c r="W123" s="10">
        <f t="shared" si="37"/>
        <v>3.0860387606468334</v>
      </c>
      <c r="X123" s="10">
        <v>4.6651999999999996</v>
      </c>
      <c r="Y123" s="10">
        <v>3.9238</v>
      </c>
      <c r="Z123" s="10">
        <v>1.4890000000000001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175</v>
      </c>
      <c r="B124" s="1" t="s">
        <v>43</v>
      </c>
      <c r="C124" s="1"/>
      <c r="D124" s="1">
        <v>60</v>
      </c>
      <c r="E124" s="1">
        <v>35</v>
      </c>
      <c r="F124" s="1">
        <v>25</v>
      </c>
      <c r="G124" s="7">
        <v>0.3</v>
      </c>
      <c r="H124" s="1">
        <v>40</v>
      </c>
      <c r="I124" s="9" t="s">
        <v>41</v>
      </c>
      <c r="J124" s="1"/>
      <c r="K124" s="1">
        <v>37</v>
      </c>
      <c r="L124" s="1">
        <f t="shared" si="33"/>
        <v>-2</v>
      </c>
      <c r="M124" s="1">
        <f t="shared" si="34"/>
        <v>35</v>
      </c>
      <c r="N124" s="1"/>
      <c r="O124" s="1"/>
      <c r="P124" s="1">
        <v>10</v>
      </c>
      <c r="Q124" s="1">
        <v>10</v>
      </c>
      <c r="R124" s="1"/>
      <c r="S124" s="1"/>
      <c r="T124" s="1">
        <f t="shared" si="35"/>
        <v>7</v>
      </c>
      <c r="U124" s="5">
        <f t="shared" ref="U124:U128" si="40">11*T124-S124-R124-Q124-P124-O124-F124</f>
        <v>32</v>
      </c>
      <c r="V124" s="1">
        <f t="shared" si="36"/>
        <v>11</v>
      </c>
      <c r="W124" s="1">
        <f t="shared" si="37"/>
        <v>6.4285714285714288</v>
      </c>
      <c r="X124" s="1">
        <v>0</v>
      </c>
      <c r="Y124" s="1">
        <v>-0.2</v>
      </c>
      <c r="Z124" s="1">
        <v>-0.2</v>
      </c>
      <c r="AA124" s="1">
        <v>0</v>
      </c>
      <c r="AB124" s="1">
        <v>0</v>
      </c>
      <c r="AC124" s="1">
        <v>0</v>
      </c>
      <c r="AD124" s="1">
        <v>3.6</v>
      </c>
      <c r="AE124" s="1">
        <v>3.4</v>
      </c>
      <c r="AF124" s="1">
        <v>-0.2</v>
      </c>
      <c r="AG124" s="1">
        <v>13.2</v>
      </c>
      <c r="AH124" s="1"/>
      <c r="AI124" s="1">
        <f>G124*U124</f>
        <v>9.6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176</v>
      </c>
      <c r="B125" s="1" t="s">
        <v>43</v>
      </c>
      <c r="C125" s="1"/>
      <c r="D125" s="1">
        <v>38</v>
      </c>
      <c r="E125" s="1">
        <v>21</v>
      </c>
      <c r="F125" s="1">
        <v>17</v>
      </c>
      <c r="G125" s="7">
        <v>0.3</v>
      </c>
      <c r="H125" s="1">
        <v>40</v>
      </c>
      <c r="I125" s="9" t="s">
        <v>41</v>
      </c>
      <c r="J125" s="1"/>
      <c r="K125" s="1">
        <v>26</v>
      </c>
      <c r="L125" s="1">
        <f t="shared" si="33"/>
        <v>-5</v>
      </c>
      <c r="M125" s="1">
        <f t="shared" si="34"/>
        <v>21</v>
      </c>
      <c r="N125" s="1"/>
      <c r="O125" s="1"/>
      <c r="P125" s="1">
        <v>54</v>
      </c>
      <c r="Q125" s="1">
        <v>8.4000000000000057</v>
      </c>
      <c r="R125" s="1"/>
      <c r="S125" s="1"/>
      <c r="T125" s="1">
        <f t="shared" si="35"/>
        <v>4.2</v>
      </c>
      <c r="U125" s="5"/>
      <c r="V125" s="1">
        <f t="shared" si="36"/>
        <v>18.904761904761905</v>
      </c>
      <c r="W125" s="1">
        <f t="shared" si="37"/>
        <v>18.904761904761905</v>
      </c>
      <c r="X125" s="1">
        <v>7.2</v>
      </c>
      <c r="Y125" s="1">
        <v>8.4</v>
      </c>
      <c r="Z125" s="1">
        <v>1.2</v>
      </c>
      <c r="AA125" s="1">
        <v>0</v>
      </c>
      <c r="AB125" s="1">
        <v>0</v>
      </c>
      <c r="AC125" s="1">
        <v>0</v>
      </c>
      <c r="AD125" s="1">
        <v>-0.4</v>
      </c>
      <c r="AE125" s="1">
        <v>-1</v>
      </c>
      <c r="AF125" s="1">
        <v>0.6</v>
      </c>
      <c r="AG125" s="1">
        <v>9.1999999999999993</v>
      </c>
      <c r="AH125" s="1"/>
      <c r="AI125" s="1">
        <f>G125*U125</f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177</v>
      </c>
      <c r="B126" s="1" t="s">
        <v>37</v>
      </c>
      <c r="C126" s="1">
        <v>43.241999999999997</v>
      </c>
      <c r="D126" s="1">
        <v>71.218000000000004</v>
      </c>
      <c r="E126" s="1">
        <v>61.460999999999999</v>
      </c>
      <c r="F126" s="1">
        <v>12.151</v>
      </c>
      <c r="G126" s="7">
        <v>1</v>
      </c>
      <c r="H126" s="1">
        <v>50</v>
      </c>
      <c r="I126" s="1" t="s">
        <v>38</v>
      </c>
      <c r="J126" s="1"/>
      <c r="K126" s="1">
        <v>85.7</v>
      </c>
      <c r="L126" s="1">
        <f t="shared" si="33"/>
        <v>-24.239000000000004</v>
      </c>
      <c r="M126" s="1">
        <f t="shared" si="34"/>
        <v>61.460999999999999</v>
      </c>
      <c r="N126" s="1"/>
      <c r="O126" s="1"/>
      <c r="P126" s="1">
        <v>0</v>
      </c>
      <c r="Q126" s="1">
        <v>67.032164000000009</v>
      </c>
      <c r="R126" s="1"/>
      <c r="S126" s="1"/>
      <c r="T126" s="1">
        <f t="shared" si="35"/>
        <v>12.292199999999999</v>
      </c>
      <c r="U126" s="5">
        <f t="shared" si="40"/>
        <v>56.031036</v>
      </c>
      <c r="V126" s="1">
        <f t="shared" si="36"/>
        <v>11.000000000000002</v>
      </c>
      <c r="W126" s="1">
        <f t="shared" si="37"/>
        <v>6.4417406160003914</v>
      </c>
      <c r="X126" s="1">
        <v>16.829599999999999</v>
      </c>
      <c r="Y126" s="1">
        <v>15.6524</v>
      </c>
      <c r="Z126" s="1">
        <v>17.341000000000001</v>
      </c>
      <c r="AA126" s="1">
        <v>13.747</v>
      </c>
      <c r="AB126" s="1">
        <v>10.6334</v>
      </c>
      <c r="AC126" s="1">
        <v>11.152200000000001</v>
      </c>
      <c r="AD126" s="1">
        <v>15.002800000000001</v>
      </c>
      <c r="AE126" s="1">
        <v>16.108799999999999</v>
      </c>
      <c r="AF126" s="1">
        <v>13.9884</v>
      </c>
      <c r="AG126" s="1">
        <v>11.2852</v>
      </c>
      <c r="AH126" s="1"/>
      <c r="AI126" s="1">
        <f>G126*U126</f>
        <v>56.031036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178</v>
      </c>
      <c r="B127" s="1" t="s">
        <v>43</v>
      </c>
      <c r="C127" s="1"/>
      <c r="D127" s="1">
        <v>24</v>
      </c>
      <c r="E127" s="1">
        <v>9</v>
      </c>
      <c r="F127" s="1">
        <v>14</v>
      </c>
      <c r="G127" s="7">
        <v>0.3</v>
      </c>
      <c r="H127" s="1">
        <v>40</v>
      </c>
      <c r="I127" s="9" t="s">
        <v>41</v>
      </c>
      <c r="J127" s="1"/>
      <c r="K127" s="1">
        <v>10</v>
      </c>
      <c r="L127" s="1">
        <f t="shared" si="33"/>
        <v>-1</v>
      </c>
      <c r="M127" s="1">
        <f t="shared" si="34"/>
        <v>9</v>
      </c>
      <c r="N127" s="1"/>
      <c r="O127" s="1"/>
      <c r="P127" s="1">
        <v>6</v>
      </c>
      <c r="Q127" s="1">
        <v>0</v>
      </c>
      <c r="R127" s="1"/>
      <c r="S127" s="1"/>
      <c r="T127" s="1">
        <f t="shared" si="35"/>
        <v>1.8</v>
      </c>
      <c r="U127" s="5">
        <v>6</v>
      </c>
      <c r="V127" s="1">
        <f t="shared" si="36"/>
        <v>14.444444444444445</v>
      </c>
      <c r="W127" s="1">
        <f t="shared" si="37"/>
        <v>11.111111111111111</v>
      </c>
      <c r="X127" s="1">
        <v>-0.2</v>
      </c>
      <c r="Y127" s="1">
        <v>0</v>
      </c>
      <c r="Z127" s="1">
        <v>0</v>
      </c>
      <c r="AA127" s="1">
        <v>0</v>
      </c>
      <c r="AB127" s="1">
        <v>0</v>
      </c>
      <c r="AC127" s="1">
        <v>-0.2</v>
      </c>
      <c r="AD127" s="1">
        <v>-0.2</v>
      </c>
      <c r="AE127" s="1">
        <v>0.2</v>
      </c>
      <c r="AF127" s="1">
        <v>0.2</v>
      </c>
      <c r="AG127" s="1">
        <v>-0.2</v>
      </c>
      <c r="AH127" s="1"/>
      <c r="AI127" s="1">
        <f>G127*U127</f>
        <v>1.7999999999999998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179</v>
      </c>
      <c r="B128" s="1" t="s">
        <v>43</v>
      </c>
      <c r="C128" s="1">
        <v>7</v>
      </c>
      <c r="D128" s="1">
        <v>132</v>
      </c>
      <c r="E128" s="1">
        <v>34</v>
      </c>
      <c r="F128" s="1">
        <v>87</v>
      </c>
      <c r="G128" s="7">
        <v>0.12</v>
      </c>
      <c r="H128" s="1">
        <v>45</v>
      </c>
      <c r="I128" s="9" t="s">
        <v>41</v>
      </c>
      <c r="J128" s="1"/>
      <c r="K128" s="1">
        <v>43</v>
      </c>
      <c r="L128" s="1">
        <f t="shared" si="33"/>
        <v>-9</v>
      </c>
      <c r="M128" s="1">
        <f t="shared" si="34"/>
        <v>34</v>
      </c>
      <c r="N128" s="1"/>
      <c r="O128" s="1"/>
      <c r="P128" s="1">
        <v>61.600000000000009</v>
      </c>
      <c r="Q128" s="1">
        <v>21.399999999999991</v>
      </c>
      <c r="R128" s="1"/>
      <c r="S128" s="1"/>
      <c r="T128" s="1">
        <f t="shared" si="35"/>
        <v>6.8</v>
      </c>
      <c r="U128" s="5"/>
      <c r="V128" s="1">
        <f t="shared" si="36"/>
        <v>25</v>
      </c>
      <c r="W128" s="1">
        <f t="shared" si="37"/>
        <v>25</v>
      </c>
      <c r="X128" s="1">
        <v>7.8</v>
      </c>
      <c r="Y128" s="1">
        <v>10.8</v>
      </c>
      <c r="Z128" s="1">
        <v>5.8</v>
      </c>
      <c r="AA128" s="1">
        <v>4.4000000000000004</v>
      </c>
      <c r="AB128" s="1">
        <v>5.8</v>
      </c>
      <c r="AC128" s="1">
        <v>7</v>
      </c>
      <c r="AD128" s="1">
        <v>9.6</v>
      </c>
      <c r="AE128" s="1">
        <v>8.8000000000000007</v>
      </c>
      <c r="AF128" s="1">
        <v>6.6</v>
      </c>
      <c r="AG128" s="1">
        <v>8.4</v>
      </c>
      <c r="AH128" s="1"/>
      <c r="AI128" s="1">
        <f>G128*U128</f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0" t="s">
        <v>180</v>
      </c>
      <c r="B129" s="10" t="s">
        <v>43</v>
      </c>
      <c r="C129" s="10">
        <v>61</v>
      </c>
      <c r="D129" s="10">
        <v>22</v>
      </c>
      <c r="E129" s="13">
        <v>81</v>
      </c>
      <c r="F129" s="10"/>
      <c r="G129" s="11">
        <v>0</v>
      </c>
      <c r="H129" s="10"/>
      <c r="I129" s="10" t="s">
        <v>181</v>
      </c>
      <c r="J129" s="10" t="s">
        <v>97</v>
      </c>
      <c r="K129" s="10">
        <v>86</v>
      </c>
      <c r="L129" s="10">
        <f t="shared" si="33"/>
        <v>-5</v>
      </c>
      <c r="M129" s="10">
        <f t="shared" si="34"/>
        <v>81</v>
      </c>
      <c r="N129" s="10"/>
      <c r="O129" s="10"/>
      <c r="P129" s="10">
        <v>0</v>
      </c>
      <c r="Q129" s="10">
        <v>0</v>
      </c>
      <c r="R129" s="10"/>
      <c r="S129" s="10"/>
      <c r="T129" s="10">
        <f t="shared" si="35"/>
        <v>16.2</v>
      </c>
      <c r="U129" s="12"/>
      <c r="V129" s="10">
        <f t="shared" si="36"/>
        <v>0</v>
      </c>
      <c r="W129" s="10">
        <f t="shared" si="37"/>
        <v>0</v>
      </c>
      <c r="X129" s="10">
        <v>15.8</v>
      </c>
      <c r="Y129" s="10">
        <v>18.2</v>
      </c>
      <c r="Z129" s="10">
        <v>17.600000000000001</v>
      </c>
      <c r="AA129" s="10">
        <v>10.4</v>
      </c>
      <c r="AB129" s="10">
        <v>10.199999999999999</v>
      </c>
      <c r="AC129" s="10">
        <v>12.4</v>
      </c>
      <c r="AD129" s="10">
        <v>14.8</v>
      </c>
      <c r="AE129" s="10">
        <v>21.6</v>
      </c>
      <c r="AF129" s="10">
        <v>19.8</v>
      </c>
      <c r="AG129" s="10">
        <v>10.4</v>
      </c>
      <c r="AH129" s="10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0" t="s">
        <v>182</v>
      </c>
      <c r="B130" s="10" t="s">
        <v>43</v>
      </c>
      <c r="C130" s="10">
        <v>29</v>
      </c>
      <c r="D130" s="10"/>
      <c r="E130" s="10"/>
      <c r="F130" s="13">
        <v>27</v>
      </c>
      <c r="G130" s="11">
        <v>0</v>
      </c>
      <c r="H130" s="10"/>
      <c r="I130" s="10" t="s">
        <v>181</v>
      </c>
      <c r="J130" s="10" t="s">
        <v>171</v>
      </c>
      <c r="K130" s="10"/>
      <c r="L130" s="10">
        <f t="shared" si="33"/>
        <v>0</v>
      </c>
      <c r="M130" s="10">
        <f t="shared" si="34"/>
        <v>0</v>
      </c>
      <c r="N130" s="10"/>
      <c r="O130" s="10"/>
      <c r="P130" s="10">
        <v>0</v>
      </c>
      <c r="Q130" s="10">
        <v>0</v>
      </c>
      <c r="R130" s="10"/>
      <c r="S130" s="10"/>
      <c r="T130" s="10">
        <f t="shared" si="35"/>
        <v>0</v>
      </c>
      <c r="U130" s="12"/>
      <c r="V130" s="10" t="e">
        <f t="shared" si="36"/>
        <v>#DIV/0!</v>
      </c>
      <c r="W130" s="10" t="e">
        <f t="shared" si="37"/>
        <v>#DIV/0!</v>
      </c>
      <c r="X130" s="10">
        <v>0</v>
      </c>
      <c r="Y130" s="10">
        <v>0</v>
      </c>
      <c r="Z130" s="10">
        <v>0</v>
      </c>
      <c r="AA130" s="10">
        <v>0</v>
      </c>
      <c r="AB130" s="10">
        <v>0.2</v>
      </c>
      <c r="AC130" s="10">
        <v>0.2</v>
      </c>
      <c r="AD130" s="10">
        <v>0</v>
      </c>
      <c r="AE130" s="10">
        <v>0</v>
      </c>
      <c r="AF130" s="10">
        <v>0</v>
      </c>
      <c r="AG130" s="10">
        <v>0</v>
      </c>
      <c r="AH130" s="10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4" t="s">
        <v>183</v>
      </c>
      <c r="B131" s="1" t="s">
        <v>37</v>
      </c>
      <c r="C131" s="1"/>
      <c r="D131" s="1"/>
      <c r="E131" s="1"/>
      <c r="F131" s="1"/>
      <c r="G131" s="7">
        <v>1</v>
      </c>
      <c r="H131" s="1"/>
      <c r="I131" s="1" t="s">
        <v>38</v>
      </c>
      <c r="J131" s="1"/>
      <c r="K131" s="1"/>
      <c r="L131" s="1">
        <f t="shared" si="33"/>
        <v>0</v>
      </c>
      <c r="M131" s="1">
        <f t="shared" si="34"/>
        <v>0</v>
      </c>
      <c r="N131" s="1"/>
      <c r="O131" s="1"/>
      <c r="P131" s="1">
        <v>0</v>
      </c>
      <c r="Q131" s="1">
        <v>0</v>
      </c>
      <c r="R131" s="1"/>
      <c r="S131" s="1"/>
      <c r="T131" s="1">
        <f t="shared" si="35"/>
        <v>0</v>
      </c>
      <c r="U131" s="5"/>
      <c r="V131" s="1" t="e">
        <f t="shared" si="36"/>
        <v>#DIV/0!</v>
      </c>
      <c r="W131" s="1" t="e">
        <f t="shared" si="37"/>
        <v>#DIV/0!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 t="s">
        <v>184</v>
      </c>
      <c r="AI131" s="1">
        <f>G131*U131</f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0" t="s">
        <v>185</v>
      </c>
      <c r="B132" s="10" t="s">
        <v>37</v>
      </c>
      <c r="C132" s="10"/>
      <c r="D132" s="10"/>
      <c r="E132" s="10"/>
      <c r="F132" s="10"/>
      <c r="G132" s="11">
        <v>0</v>
      </c>
      <c r="H132" s="10"/>
      <c r="I132" s="10" t="s">
        <v>38</v>
      </c>
      <c r="J132" s="10"/>
      <c r="K132" s="10"/>
      <c r="L132" s="10">
        <f t="shared" si="33"/>
        <v>0</v>
      </c>
      <c r="M132" s="10">
        <f t="shared" si="34"/>
        <v>0</v>
      </c>
      <c r="N132" s="10"/>
      <c r="O132" s="10"/>
      <c r="P132" s="10">
        <v>0</v>
      </c>
      <c r="Q132" s="10">
        <v>0</v>
      </c>
      <c r="R132" s="10"/>
      <c r="S132" s="10"/>
      <c r="T132" s="10">
        <f t="shared" si="35"/>
        <v>0</v>
      </c>
      <c r="U132" s="12"/>
      <c r="V132" s="10" t="e">
        <f t="shared" si="36"/>
        <v>#DIV/0!</v>
      </c>
      <c r="W132" s="10" t="e">
        <f t="shared" si="37"/>
        <v>#DIV/0!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 t="s">
        <v>186</v>
      </c>
      <c r="AI132" s="10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0" t="s">
        <v>187</v>
      </c>
      <c r="B133" s="10" t="s">
        <v>37</v>
      </c>
      <c r="C133" s="10"/>
      <c r="D133" s="10"/>
      <c r="E133" s="10"/>
      <c r="F133" s="10"/>
      <c r="G133" s="11">
        <v>0</v>
      </c>
      <c r="H133" s="10"/>
      <c r="I133" s="10" t="s">
        <v>38</v>
      </c>
      <c r="J133" s="10"/>
      <c r="K133" s="10"/>
      <c r="L133" s="10">
        <f t="shared" si="33"/>
        <v>0</v>
      </c>
      <c r="M133" s="10">
        <f t="shared" si="34"/>
        <v>0</v>
      </c>
      <c r="N133" s="10"/>
      <c r="O133" s="10"/>
      <c r="P133" s="10">
        <v>0</v>
      </c>
      <c r="Q133" s="10">
        <v>0</v>
      </c>
      <c r="R133" s="10"/>
      <c r="S133" s="10"/>
      <c r="T133" s="10">
        <f t="shared" si="35"/>
        <v>0</v>
      </c>
      <c r="U133" s="12"/>
      <c r="V133" s="10" t="e">
        <f t="shared" si="36"/>
        <v>#DIV/0!</v>
      </c>
      <c r="W133" s="10" t="e">
        <f t="shared" si="37"/>
        <v>#DIV/0!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 t="s">
        <v>188</v>
      </c>
      <c r="AI133" s="10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I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2026-10-20T09:15:54Z</dcterms:created>
  <dcterms:modified xsi:type="dcterms:W3CDTF">2026-10-20T09:37:57Z</dcterms:modified>
</cp:coreProperties>
</file>