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A13360C-792C-491D-928D-1ACC3D6EAE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8" i="1" l="1"/>
  <c r="M48" i="1"/>
  <c r="T48" i="1" s="1"/>
  <c r="AG48" i="1"/>
  <c r="M136" i="1"/>
  <c r="T136" i="1" s="1"/>
  <c r="L136" i="1"/>
  <c r="M135" i="1"/>
  <c r="T135" i="1" s="1"/>
  <c r="U135" i="1" s="1"/>
  <c r="AG135" i="1" s="1"/>
  <c r="L135" i="1"/>
  <c r="M134" i="1"/>
  <c r="T134" i="1" s="1"/>
  <c r="AG134" i="1" s="1"/>
  <c r="L134" i="1"/>
  <c r="M133" i="1"/>
  <c r="T133" i="1" s="1"/>
  <c r="AG133" i="1" s="1"/>
  <c r="L133" i="1"/>
  <c r="M132" i="1"/>
  <c r="T132" i="1" s="1"/>
  <c r="U132" i="1" s="1"/>
  <c r="AG132" i="1" s="1"/>
  <c r="L132" i="1"/>
  <c r="M131" i="1"/>
  <c r="T131" i="1" s="1"/>
  <c r="AG131" i="1" s="1"/>
  <c r="L131" i="1"/>
  <c r="M130" i="1"/>
  <c r="T130" i="1" s="1"/>
  <c r="U130" i="1" s="1"/>
  <c r="AG130" i="1" s="1"/>
  <c r="L130" i="1"/>
  <c r="M129" i="1"/>
  <c r="T129" i="1" s="1"/>
  <c r="L129" i="1"/>
  <c r="F129" i="1"/>
  <c r="M128" i="1"/>
  <c r="T128" i="1" s="1"/>
  <c r="U128" i="1" s="1"/>
  <c r="AG128" i="1" s="1"/>
  <c r="L128" i="1"/>
  <c r="F127" i="1"/>
  <c r="E127" i="1"/>
  <c r="M127" i="1" s="1"/>
  <c r="T127" i="1" s="1"/>
  <c r="M126" i="1"/>
  <c r="T126" i="1" s="1"/>
  <c r="AG126" i="1" s="1"/>
  <c r="L126" i="1"/>
  <c r="M125" i="1"/>
  <c r="T125" i="1" s="1"/>
  <c r="AG125" i="1" s="1"/>
  <c r="L125" i="1"/>
  <c r="M124" i="1"/>
  <c r="T124" i="1" s="1"/>
  <c r="AG124" i="1" s="1"/>
  <c r="L124" i="1"/>
  <c r="M123" i="1"/>
  <c r="T123" i="1" s="1"/>
  <c r="AG123" i="1" s="1"/>
  <c r="L123" i="1"/>
  <c r="M122" i="1"/>
  <c r="T122" i="1" s="1"/>
  <c r="AG122" i="1" s="1"/>
  <c r="L122" i="1"/>
  <c r="M121" i="1"/>
  <c r="T121" i="1" s="1"/>
  <c r="AG121" i="1" s="1"/>
  <c r="L121" i="1"/>
  <c r="M120" i="1"/>
  <c r="T120" i="1" s="1"/>
  <c r="AG120" i="1" s="1"/>
  <c r="L120" i="1"/>
  <c r="M119" i="1"/>
  <c r="T119" i="1" s="1"/>
  <c r="L119" i="1"/>
  <c r="M118" i="1"/>
  <c r="T118" i="1" s="1"/>
  <c r="U118" i="1" s="1"/>
  <c r="AG118" i="1" s="1"/>
  <c r="L118" i="1"/>
  <c r="M117" i="1"/>
  <c r="T117" i="1" s="1"/>
  <c r="U117" i="1" s="1"/>
  <c r="AG117" i="1" s="1"/>
  <c r="L117" i="1"/>
  <c r="M116" i="1"/>
  <c r="T116" i="1" s="1"/>
  <c r="AG116" i="1" s="1"/>
  <c r="L116" i="1"/>
  <c r="M115" i="1"/>
  <c r="T115" i="1" s="1"/>
  <c r="U115" i="1" s="1"/>
  <c r="AG115" i="1" s="1"/>
  <c r="L115" i="1"/>
  <c r="M114" i="1"/>
  <c r="T114" i="1" s="1"/>
  <c r="AG114" i="1" s="1"/>
  <c r="L114" i="1"/>
  <c r="M113" i="1"/>
  <c r="T113" i="1" s="1"/>
  <c r="AG113" i="1" s="1"/>
  <c r="L113" i="1"/>
  <c r="M112" i="1"/>
  <c r="T112" i="1" s="1"/>
  <c r="U112" i="1" s="1"/>
  <c r="AG112" i="1" s="1"/>
  <c r="L112" i="1"/>
  <c r="M111" i="1"/>
  <c r="T111" i="1" s="1"/>
  <c r="AG111" i="1" s="1"/>
  <c r="L111" i="1"/>
  <c r="M110" i="1"/>
  <c r="T110" i="1" s="1"/>
  <c r="U110" i="1" s="1"/>
  <c r="AG110" i="1" s="1"/>
  <c r="L110" i="1"/>
  <c r="M109" i="1"/>
  <c r="T109" i="1" s="1"/>
  <c r="AG109" i="1" s="1"/>
  <c r="L109" i="1"/>
  <c r="M108" i="1"/>
  <c r="T108" i="1" s="1"/>
  <c r="AG108" i="1" s="1"/>
  <c r="L108" i="1"/>
  <c r="M107" i="1"/>
  <c r="T107" i="1" s="1"/>
  <c r="AG107" i="1" s="1"/>
  <c r="L107" i="1"/>
  <c r="M106" i="1"/>
  <c r="T106" i="1" s="1"/>
  <c r="L106" i="1"/>
  <c r="M105" i="1"/>
  <c r="T105" i="1" s="1"/>
  <c r="L105" i="1"/>
  <c r="M104" i="1"/>
  <c r="T104" i="1" s="1"/>
  <c r="AG104" i="1" s="1"/>
  <c r="L104" i="1"/>
  <c r="M103" i="1"/>
  <c r="T103" i="1" s="1"/>
  <c r="AG103" i="1" s="1"/>
  <c r="L103" i="1"/>
  <c r="M102" i="1"/>
  <c r="T102" i="1" s="1"/>
  <c r="L102" i="1"/>
  <c r="M101" i="1"/>
  <c r="T101" i="1" s="1"/>
  <c r="AG101" i="1" s="1"/>
  <c r="L101" i="1"/>
  <c r="M100" i="1"/>
  <c r="T100" i="1" s="1"/>
  <c r="AG100" i="1" s="1"/>
  <c r="L100" i="1"/>
  <c r="M99" i="1"/>
  <c r="T99" i="1" s="1"/>
  <c r="AG99" i="1" s="1"/>
  <c r="L99" i="1"/>
  <c r="M98" i="1"/>
  <c r="T98" i="1" s="1"/>
  <c r="AG98" i="1" s="1"/>
  <c r="L98" i="1"/>
  <c r="M97" i="1"/>
  <c r="T97" i="1" s="1"/>
  <c r="AG97" i="1" s="1"/>
  <c r="L97" i="1"/>
  <c r="M96" i="1"/>
  <c r="T96" i="1" s="1"/>
  <c r="L96" i="1"/>
  <c r="M95" i="1"/>
  <c r="T95" i="1" s="1"/>
  <c r="L95" i="1"/>
  <c r="M94" i="1"/>
  <c r="T94" i="1" s="1"/>
  <c r="AG94" i="1" s="1"/>
  <c r="L94" i="1"/>
  <c r="M93" i="1"/>
  <c r="T93" i="1" s="1"/>
  <c r="L93" i="1"/>
  <c r="F93" i="1"/>
  <c r="M92" i="1"/>
  <c r="T92" i="1" s="1"/>
  <c r="AG92" i="1" s="1"/>
  <c r="L92" i="1"/>
  <c r="M91" i="1"/>
  <c r="T91" i="1" s="1"/>
  <c r="AG91" i="1" s="1"/>
  <c r="L91" i="1"/>
  <c r="M90" i="1"/>
  <c r="T90" i="1" s="1"/>
  <c r="L90" i="1"/>
  <c r="M89" i="1"/>
  <c r="T89" i="1" s="1"/>
  <c r="U89" i="1" s="1"/>
  <c r="AG89" i="1" s="1"/>
  <c r="L89" i="1"/>
  <c r="M88" i="1"/>
  <c r="T88" i="1" s="1"/>
  <c r="L88" i="1"/>
  <c r="M87" i="1"/>
  <c r="T87" i="1" s="1"/>
  <c r="AG87" i="1" s="1"/>
  <c r="L87" i="1"/>
  <c r="M86" i="1"/>
  <c r="T86" i="1" s="1"/>
  <c r="AG86" i="1" s="1"/>
  <c r="L86" i="1"/>
  <c r="M85" i="1"/>
  <c r="T85" i="1" s="1"/>
  <c r="V85" i="1" s="1"/>
  <c r="L85" i="1"/>
  <c r="M84" i="1"/>
  <c r="T84" i="1" s="1"/>
  <c r="L84" i="1"/>
  <c r="M83" i="1"/>
  <c r="T83" i="1" s="1"/>
  <c r="L83" i="1"/>
  <c r="M82" i="1"/>
  <c r="T82" i="1" s="1"/>
  <c r="AG82" i="1" s="1"/>
  <c r="L82" i="1"/>
  <c r="M81" i="1"/>
  <c r="T81" i="1" s="1"/>
  <c r="U81" i="1" s="1"/>
  <c r="AG81" i="1" s="1"/>
  <c r="L81" i="1"/>
  <c r="M80" i="1"/>
  <c r="T80" i="1" s="1"/>
  <c r="W80" i="1" s="1"/>
  <c r="L80" i="1"/>
  <c r="M79" i="1"/>
  <c r="T79" i="1" s="1"/>
  <c r="U79" i="1" s="1"/>
  <c r="AG79" i="1" s="1"/>
  <c r="L79" i="1"/>
  <c r="M78" i="1"/>
  <c r="T78" i="1" s="1"/>
  <c r="U78" i="1" s="1"/>
  <c r="AG78" i="1" s="1"/>
  <c r="L78" i="1"/>
  <c r="M77" i="1"/>
  <c r="T77" i="1" s="1"/>
  <c r="L77" i="1"/>
  <c r="M76" i="1"/>
  <c r="T76" i="1" s="1"/>
  <c r="V76" i="1" s="1"/>
  <c r="L76" i="1"/>
  <c r="M75" i="1"/>
  <c r="T75" i="1" s="1"/>
  <c r="W75" i="1" s="1"/>
  <c r="L75" i="1"/>
  <c r="M74" i="1"/>
  <c r="T74" i="1" s="1"/>
  <c r="L74" i="1"/>
  <c r="M73" i="1"/>
  <c r="T73" i="1" s="1"/>
  <c r="AG73" i="1" s="1"/>
  <c r="L73" i="1"/>
  <c r="M72" i="1"/>
  <c r="T72" i="1" s="1"/>
  <c r="L72" i="1"/>
  <c r="M71" i="1"/>
  <c r="T71" i="1" s="1"/>
  <c r="U71" i="1" s="1"/>
  <c r="AG71" i="1" s="1"/>
  <c r="L71" i="1"/>
  <c r="M70" i="1"/>
  <c r="T70" i="1" s="1"/>
  <c r="AG70" i="1" s="1"/>
  <c r="L70" i="1"/>
  <c r="M69" i="1"/>
  <c r="T69" i="1" s="1"/>
  <c r="U69" i="1" s="1"/>
  <c r="AG69" i="1" s="1"/>
  <c r="L69" i="1"/>
  <c r="M68" i="1"/>
  <c r="T68" i="1" s="1"/>
  <c r="AG68" i="1" s="1"/>
  <c r="L68" i="1"/>
  <c r="M67" i="1"/>
  <c r="T67" i="1" s="1"/>
  <c r="AG67" i="1" s="1"/>
  <c r="L67" i="1"/>
  <c r="M66" i="1"/>
  <c r="T66" i="1" s="1"/>
  <c r="L66" i="1"/>
  <c r="M65" i="1"/>
  <c r="T65" i="1" s="1"/>
  <c r="AG65" i="1" s="1"/>
  <c r="L65" i="1"/>
  <c r="M64" i="1"/>
  <c r="T64" i="1" s="1"/>
  <c r="AG64" i="1" s="1"/>
  <c r="L64" i="1"/>
  <c r="M63" i="1"/>
  <c r="T63" i="1" s="1"/>
  <c r="U63" i="1" s="1"/>
  <c r="AG63" i="1" s="1"/>
  <c r="L63" i="1"/>
  <c r="M62" i="1"/>
  <c r="T62" i="1" s="1"/>
  <c r="U62" i="1" s="1"/>
  <c r="AG62" i="1" s="1"/>
  <c r="L62" i="1"/>
  <c r="M61" i="1"/>
  <c r="T61" i="1" s="1"/>
  <c r="AG61" i="1" s="1"/>
  <c r="L61" i="1"/>
  <c r="M60" i="1"/>
  <c r="T60" i="1" s="1"/>
  <c r="U60" i="1" s="1"/>
  <c r="AG60" i="1" s="1"/>
  <c r="L60" i="1"/>
  <c r="M59" i="1"/>
  <c r="T59" i="1" s="1"/>
  <c r="U59" i="1" s="1"/>
  <c r="AG59" i="1" s="1"/>
  <c r="L59" i="1"/>
  <c r="M58" i="1"/>
  <c r="T58" i="1" s="1"/>
  <c r="U58" i="1" s="1"/>
  <c r="AG58" i="1" s="1"/>
  <c r="L58" i="1"/>
  <c r="M57" i="1"/>
  <c r="T57" i="1" s="1"/>
  <c r="AG57" i="1" s="1"/>
  <c r="L57" i="1"/>
  <c r="M56" i="1"/>
  <c r="T56" i="1" s="1"/>
  <c r="V56" i="1" s="1"/>
  <c r="L56" i="1"/>
  <c r="M55" i="1"/>
  <c r="T55" i="1" s="1"/>
  <c r="L55" i="1"/>
  <c r="M54" i="1"/>
  <c r="T54" i="1" s="1"/>
  <c r="L54" i="1"/>
  <c r="M53" i="1"/>
  <c r="T53" i="1" s="1"/>
  <c r="W53" i="1" s="1"/>
  <c r="L53" i="1"/>
  <c r="M52" i="1"/>
  <c r="T52" i="1" s="1"/>
  <c r="W52" i="1" s="1"/>
  <c r="L52" i="1"/>
  <c r="M51" i="1"/>
  <c r="T51" i="1" s="1"/>
  <c r="L51" i="1"/>
  <c r="M50" i="1"/>
  <c r="T50" i="1" s="1"/>
  <c r="W50" i="1" s="1"/>
  <c r="L50" i="1"/>
  <c r="M49" i="1"/>
  <c r="T49" i="1" s="1"/>
  <c r="L49" i="1"/>
  <c r="M47" i="1"/>
  <c r="T47" i="1" s="1"/>
  <c r="L47" i="1"/>
  <c r="M46" i="1"/>
  <c r="T46" i="1" s="1"/>
  <c r="W46" i="1" s="1"/>
  <c r="L46" i="1"/>
  <c r="M45" i="1"/>
  <c r="T45" i="1" s="1"/>
  <c r="L45" i="1"/>
  <c r="M44" i="1"/>
  <c r="T44" i="1" s="1"/>
  <c r="W44" i="1" s="1"/>
  <c r="L44" i="1"/>
  <c r="M43" i="1"/>
  <c r="T43" i="1" s="1"/>
  <c r="L43" i="1"/>
  <c r="M42" i="1"/>
  <c r="T42" i="1" s="1"/>
  <c r="L42" i="1"/>
  <c r="M41" i="1"/>
  <c r="T41" i="1" s="1"/>
  <c r="L41" i="1"/>
  <c r="M40" i="1"/>
  <c r="T40" i="1" s="1"/>
  <c r="L40" i="1"/>
  <c r="M39" i="1"/>
  <c r="T39" i="1" s="1"/>
  <c r="L39" i="1"/>
  <c r="M38" i="1"/>
  <c r="T38" i="1" s="1"/>
  <c r="L38" i="1"/>
  <c r="M37" i="1"/>
  <c r="T37" i="1" s="1"/>
  <c r="L37" i="1"/>
  <c r="M36" i="1"/>
  <c r="T36" i="1" s="1"/>
  <c r="V36" i="1" s="1"/>
  <c r="L36" i="1"/>
  <c r="M35" i="1"/>
  <c r="T35" i="1" s="1"/>
  <c r="L35" i="1"/>
  <c r="M34" i="1"/>
  <c r="T34" i="1" s="1"/>
  <c r="V34" i="1" s="1"/>
  <c r="L34" i="1"/>
  <c r="M33" i="1"/>
  <c r="T33" i="1" s="1"/>
  <c r="L33" i="1"/>
  <c r="M32" i="1"/>
  <c r="T32" i="1" s="1"/>
  <c r="L32" i="1"/>
  <c r="M31" i="1"/>
  <c r="T31" i="1" s="1"/>
  <c r="AG31" i="1" s="1"/>
  <c r="L31" i="1"/>
  <c r="M30" i="1"/>
  <c r="T30" i="1" s="1"/>
  <c r="V30" i="1" s="1"/>
  <c r="L30" i="1"/>
  <c r="M29" i="1"/>
  <c r="T29" i="1" s="1"/>
  <c r="L29" i="1"/>
  <c r="M28" i="1"/>
  <c r="T28" i="1" s="1"/>
  <c r="AG28" i="1" s="1"/>
  <c r="L28" i="1"/>
  <c r="M27" i="1"/>
  <c r="T27" i="1" s="1"/>
  <c r="U27" i="1" s="1"/>
  <c r="AG27" i="1" s="1"/>
  <c r="L27" i="1"/>
  <c r="M26" i="1"/>
  <c r="T26" i="1" s="1"/>
  <c r="V26" i="1" s="1"/>
  <c r="L26" i="1"/>
  <c r="M25" i="1"/>
  <c r="T25" i="1" s="1"/>
  <c r="L25" i="1"/>
  <c r="M24" i="1"/>
  <c r="T24" i="1" s="1"/>
  <c r="U24" i="1" s="1"/>
  <c r="AG24" i="1" s="1"/>
  <c r="L24" i="1"/>
  <c r="M23" i="1"/>
  <c r="T23" i="1" s="1"/>
  <c r="L23" i="1"/>
  <c r="M22" i="1"/>
  <c r="T22" i="1" s="1"/>
  <c r="AG22" i="1" s="1"/>
  <c r="L22" i="1"/>
  <c r="M21" i="1"/>
  <c r="T21" i="1" s="1"/>
  <c r="AG21" i="1" s="1"/>
  <c r="L21" i="1"/>
  <c r="M20" i="1"/>
  <c r="T20" i="1" s="1"/>
  <c r="V20" i="1" s="1"/>
  <c r="L20" i="1"/>
  <c r="M19" i="1"/>
  <c r="T19" i="1" s="1"/>
  <c r="L19" i="1"/>
  <c r="AG18" i="1"/>
  <c r="M18" i="1"/>
  <c r="T18" i="1" s="1"/>
  <c r="L18" i="1"/>
  <c r="M17" i="1"/>
  <c r="T17" i="1" s="1"/>
  <c r="U17" i="1" s="1"/>
  <c r="AG17" i="1" s="1"/>
  <c r="L17" i="1"/>
  <c r="M16" i="1"/>
  <c r="T16" i="1" s="1"/>
  <c r="U16" i="1" s="1"/>
  <c r="AG16" i="1" s="1"/>
  <c r="L16" i="1"/>
  <c r="M15" i="1"/>
  <c r="T15" i="1" s="1"/>
  <c r="V15" i="1" s="1"/>
  <c r="L15" i="1"/>
  <c r="M14" i="1"/>
  <c r="T14" i="1" s="1"/>
  <c r="L14" i="1"/>
  <c r="M13" i="1"/>
  <c r="T13" i="1" s="1"/>
  <c r="L13" i="1"/>
  <c r="M12" i="1"/>
  <c r="T12" i="1" s="1"/>
  <c r="AG12" i="1" s="1"/>
  <c r="L12" i="1"/>
  <c r="M11" i="1"/>
  <c r="T11" i="1" s="1"/>
  <c r="L11" i="1"/>
  <c r="M10" i="1"/>
  <c r="T10" i="1" s="1"/>
  <c r="L10" i="1"/>
  <c r="M9" i="1"/>
  <c r="T9" i="1" s="1"/>
  <c r="L9" i="1"/>
  <c r="F8" i="1"/>
  <c r="E8" i="1"/>
  <c r="M8" i="1" s="1"/>
  <c r="M7" i="1"/>
  <c r="T7" i="1" s="1"/>
  <c r="L7" i="1"/>
  <c r="M6" i="1"/>
  <c r="T6" i="1" s="1"/>
  <c r="L6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K5" i="1"/>
  <c r="U66" i="1" l="1"/>
  <c r="AG66" i="1" s="1"/>
  <c r="W48" i="1"/>
  <c r="V48" i="1"/>
  <c r="W126" i="1"/>
  <c r="AG75" i="1"/>
  <c r="AG93" i="1"/>
  <c r="AG7" i="1"/>
  <c r="U11" i="1"/>
  <c r="AG11" i="1" s="1"/>
  <c r="AG25" i="1"/>
  <c r="AG41" i="1"/>
  <c r="W45" i="1"/>
  <c r="U45" i="1"/>
  <c r="AG45" i="1" s="1"/>
  <c r="W49" i="1"/>
  <c r="AG49" i="1"/>
  <c r="U54" i="1"/>
  <c r="AG54" i="1" s="1"/>
  <c r="AG74" i="1"/>
  <c r="W127" i="1"/>
  <c r="AG127" i="1"/>
  <c r="AG40" i="1"/>
  <c r="U44" i="1"/>
  <c r="AG44" i="1" s="1"/>
  <c r="U52" i="1"/>
  <c r="AG52" i="1" s="1"/>
  <c r="E5" i="1"/>
  <c r="AG9" i="1"/>
  <c r="V12" i="1"/>
  <c r="AG13" i="1"/>
  <c r="AG33" i="1"/>
  <c r="AG39" i="1"/>
  <c r="AG43" i="1"/>
  <c r="W47" i="1"/>
  <c r="AG47" i="1"/>
  <c r="W51" i="1"/>
  <c r="U51" i="1"/>
  <c r="AG51" i="1" s="1"/>
  <c r="AG80" i="1"/>
  <c r="U84" i="1"/>
  <c r="AG84" i="1" s="1"/>
  <c r="AG129" i="1"/>
  <c r="U6" i="1"/>
  <c r="AG6" i="1" s="1"/>
  <c r="AG10" i="1"/>
  <c r="AG14" i="1"/>
  <c r="AG38" i="1"/>
  <c r="AG42" i="1"/>
  <c r="AG46" i="1"/>
  <c r="AG50" i="1"/>
  <c r="U55" i="1"/>
  <c r="AG55" i="1" s="1"/>
  <c r="AG83" i="1"/>
  <c r="V122" i="1"/>
  <c r="V126" i="1"/>
  <c r="U90" i="1"/>
  <c r="AG90" i="1" s="1"/>
  <c r="AG105" i="1"/>
  <c r="V24" i="1"/>
  <c r="V79" i="1"/>
  <c r="V81" i="1"/>
  <c r="W58" i="1"/>
  <c r="V58" i="1"/>
  <c r="W60" i="1"/>
  <c r="V60" i="1"/>
  <c r="W62" i="1"/>
  <c r="V62" i="1"/>
  <c r="W64" i="1"/>
  <c r="V64" i="1"/>
  <c r="W66" i="1"/>
  <c r="V66" i="1"/>
  <c r="W68" i="1"/>
  <c r="V68" i="1"/>
  <c r="W70" i="1"/>
  <c r="V70" i="1"/>
  <c r="W72" i="1"/>
  <c r="V72" i="1"/>
  <c r="W77" i="1"/>
  <c r="V77" i="1"/>
  <c r="V82" i="1"/>
  <c r="W82" i="1"/>
  <c r="W97" i="1"/>
  <c r="V97" i="1"/>
  <c r="W99" i="1"/>
  <c r="V99" i="1"/>
  <c r="W101" i="1"/>
  <c r="V101" i="1"/>
  <c r="V103" i="1"/>
  <c r="W103" i="1"/>
  <c r="W108" i="1"/>
  <c r="V108" i="1"/>
  <c r="W110" i="1"/>
  <c r="V110" i="1"/>
  <c r="W112" i="1"/>
  <c r="V112" i="1"/>
  <c r="W114" i="1"/>
  <c r="V114" i="1"/>
  <c r="W116" i="1"/>
  <c r="V116" i="1"/>
  <c r="W118" i="1"/>
  <c r="V118" i="1"/>
  <c r="V120" i="1"/>
  <c r="W120" i="1"/>
  <c r="W129" i="1"/>
  <c r="V129" i="1"/>
  <c r="W131" i="1"/>
  <c r="V131" i="1"/>
  <c r="W133" i="1"/>
  <c r="V133" i="1"/>
  <c r="W135" i="1"/>
  <c r="V135" i="1"/>
  <c r="W55" i="1"/>
  <c r="W57" i="1"/>
  <c r="V57" i="1"/>
  <c r="W59" i="1"/>
  <c r="V59" i="1"/>
  <c r="W61" i="1"/>
  <c r="V61" i="1"/>
  <c r="W63" i="1"/>
  <c r="V63" i="1"/>
  <c r="W65" i="1"/>
  <c r="V65" i="1"/>
  <c r="W67" i="1"/>
  <c r="V67" i="1"/>
  <c r="W69" i="1"/>
  <c r="V69" i="1"/>
  <c r="W71" i="1"/>
  <c r="V71" i="1"/>
  <c r="V73" i="1"/>
  <c r="W73" i="1"/>
  <c r="V78" i="1"/>
  <c r="W78" i="1"/>
  <c r="W84" i="1"/>
  <c r="W90" i="1"/>
  <c r="V92" i="1"/>
  <c r="W92" i="1"/>
  <c r="W98" i="1"/>
  <c r="V98" i="1"/>
  <c r="W100" i="1"/>
  <c r="V100" i="1"/>
  <c r="W102" i="1"/>
  <c r="V102" i="1"/>
  <c r="W105" i="1"/>
  <c r="W107" i="1"/>
  <c r="V107" i="1"/>
  <c r="W109" i="1"/>
  <c r="V109" i="1"/>
  <c r="W111" i="1"/>
  <c r="V111" i="1"/>
  <c r="W113" i="1"/>
  <c r="V113" i="1"/>
  <c r="W115" i="1"/>
  <c r="V115" i="1"/>
  <c r="W117" i="1"/>
  <c r="V117" i="1"/>
  <c r="W119" i="1"/>
  <c r="V119" i="1"/>
  <c r="W122" i="1"/>
  <c r="V124" i="1"/>
  <c r="W124" i="1"/>
  <c r="W130" i="1"/>
  <c r="V130" i="1"/>
  <c r="W132" i="1"/>
  <c r="V132" i="1"/>
  <c r="W134" i="1"/>
  <c r="V134" i="1"/>
  <c r="W136" i="1"/>
  <c r="V136" i="1"/>
  <c r="W16" i="1"/>
  <c r="V16" i="1"/>
  <c r="W18" i="1"/>
  <c r="V18" i="1"/>
  <c r="W21" i="1"/>
  <c r="V21" i="1"/>
  <c r="W23" i="1"/>
  <c r="V23" i="1"/>
  <c r="W28" i="1"/>
  <c r="V28" i="1"/>
  <c r="W31" i="1"/>
  <c r="V31" i="1"/>
  <c r="W35" i="1"/>
  <c r="V35" i="1"/>
  <c r="T8" i="1"/>
  <c r="M5" i="1"/>
  <c r="W17" i="1"/>
  <c r="V17" i="1"/>
  <c r="W19" i="1"/>
  <c r="V19" i="1"/>
  <c r="W22" i="1"/>
  <c r="V22" i="1"/>
  <c r="W27" i="1"/>
  <c r="V27" i="1"/>
  <c r="W29" i="1"/>
  <c r="V29" i="1"/>
  <c r="W32" i="1"/>
  <c r="V32" i="1"/>
  <c r="W37" i="1"/>
  <c r="V37" i="1"/>
  <c r="W6" i="1"/>
  <c r="W7" i="1"/>
  <c r="L8" i="1"/>
  <c r="W9" i="1"/>
  <c r="W10" i="1"/>
  <c r="W11" i="1"/>
  <c r="W12" i="1"/>
  <c r="W13" i="1"/>
  <c r="W14" i="1"/>
  <c r="W15" i="1"/>
  <c r="W20" i="1"/>
  <c r="W24" i="1"/>
  <c r="W25" i="1"/>
  <c r="W26" i="1"/>
  <c r="W30" i="1"/>
  <c r="W33" i="1"/>
  <c r="W34" i="1"/>
  <c r="W36" i="1"/>
  <c r="W38" i="1"/>
  <c r="W39" i="1"/>
  <c r="W40" i="1"/>
  <c r="W41" i="1"/>
  <c r="W42" i="1"/>
  <c r="W43" i="1"/>
  <c r="W87" i="1"/>
  <c r="V87" i="1"/>
  <c r="V89" i="1"/>
  <c r="W89" i="1"/>
  <c r="W93" i="1"/>
  <c r="W95" i="1"/>
  <c r="V95" i="1"/>
  <c r="V104" i="1"/>
  <c r="W104" i="1"/>
  <c r="V121" i="1"/>
  <c r="W121" i="1"/>
  <c r="V125" i="1"/>
  <c r="W125" i="1"/>
  <c r="V128" i="1"/>
  <c r="W128" i="1"/>
  <c r="F5" i="1"/>
  <c r="V50" i="1"/>
  <c r="V53" i="1"/>
  <c r="W54" i="1"/>
  <c r="W56" i="1"/>
  <c r="W74" i="1"/>
  <c r="W76" i="1"/>
  <c r="W79" i="1"/>
  <c r="W81" i="1"/>
  <c r="W83" i="1"/>
  <c r="W85" i="1"/>
  <c r="W86" i="1"/>
  <c r="V86" i="1"/>
  <c r="W88" i="1"/>
  <c r="V88" i="1"/>
  <c r="V91" i="1"/>
  <c r="W91" i="1"/>
  <c r="W94" i="1"/>
  <c r="V94" i="1"/>
  <c r="V96" i="1"/>
  <c r="W96" i="1"/>
  <c r="V106" i="1"/>
  <c r="W106" i="1"/>
  <c r="V123" i="1"/>
  <c r="W123" i="1"/>
  <c r="L127" i="1"/>
  <c r="V45" i="1" l="1"/>
  <c r="V93" i="1"/>
  <c r="V39" i="1"/>
  <c r="V7" i="1"/>
  <c r="V127" i="1"/>
  <c r="V51" i="1"/>
  <c r="V49" i="1"/>
  <c r="V47" i="1"/>
  <c r="V84" i="1"/>
  <c r="V75" i="1"/>
  <c r="L5" i="1"/>
  <c r="V42" i="1"/>
  <c r="V40" i="1"/>
  <c r="V25" i="1"/>
  <c r="V9" i="1"/>
  <c r="W8" i="1"/>
  <c r="U8" i="1"/>
  <c r="V90" i="1"/>
  <c r="V10" i="1"/>
  <c r="V52" i="1"/>
  <c r="V46" i="1"/>
  <c r="V44" i="1"/>
  <c r="V105" i="1"/>
  <c r="V83" i="1"/>
  <c r="V80" i="1"/>
  <c r="V55" i="1"/>
  <c r="V43" i="1"/>
  <c r="V38" i="1"/>
  <c r="V33" i="1"/>
  <c r="V13" i="1"/>
  <c r="V74" i="1"/>
  <c r="V54" i="1"/>
  <c r="V41" i="1"/>
  <c r="V14" i="1"/>
  <c r="V11" i="1"/>
  <c r="V6" i="1"/>
  <c r="T5" i="1"/>
  <c r="AG8" i="1" l="1"/>
  <c r="AG5" i="1" s="1"/>
  <c r="U5" i="1"/>
  <c r="V8" i="1"/>
</calcChain>
</file>

<file path=xl/sharedStrings.xml><?xml version="1.0" encoding="utf-8"?>
<sst xmlns="http://schemas.openxmlformats.org/spreadsheetml/2006/main" count="489" uniqueCount="188">
  <si>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</si>
  <si>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</si>
  <si>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</si>
  <si>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</si>
  <si>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</si>
  <si>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</si>
  <si>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</si>
  <si>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</si>
  <si>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</si>
  <si>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</si>
  <si>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</si>
  <si>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</si>
  <si>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</si>
  <si>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</si>
  <si>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</si>
  <si>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</si>
  <si>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</si>
  <si>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</si>
  <si>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</si>
  <si>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</si>
  <si>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</si>
  <si>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</si>
  <si>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02,09,</t>
  </si>
  <si>
    <t>03,08,</t>
  </si>
  <si>
    <t>04,08,</t>
  </si>
  <si>
    <t>04,08,доз</t>
  </si>
  <si>
    <t>09,08,</t>
  </si>
  <si>
    <t>06,08,</t>
  </si>
  <si>
    <t>30,07,</t>
  </si>
  <si>
    <t>28,07,</t>
  </si>
  <si>
    <t>23,07,</t>
  </si>
  <si>
    <t>21,07,</t>
  </si>
  <si>
    <t>20,07,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</si>
  <si>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</si>
  <si>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</si>
  <si>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</si>
  <si>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</si>
  <si>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</si>
  <si>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</si>
  <si>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</si>
  <si>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</si>
  <si>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</si>
  <si>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</si>
  <si>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</si>
  <si>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</si>
  <si>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</si>
  <si>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</si>
  <si>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</si>
  <si>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</si>
  <si>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</si>
  <si>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</si>
  <si>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</si>
  <si>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</si>
  <si>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</si>
  <si>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</si>
  <si>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</si>
  <si>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</si>
  <si>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</si>
  <si>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</si>
  <si>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</si>
  <si>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</si>
  <si>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</si>
  <si>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</si>
  <si>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</si>
  <si>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</si>
  <si>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</si>
  <si>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</si>
  <si>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</si>
  <si>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</si>
  <si>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</si>
  <si>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</si>
  <si>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</si>
  <si>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</si>
  <si>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</si>
  <si>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</si>
  <si>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</si>
  <si>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</si>
  <si>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</si>
  <si>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</si>
  <si>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</si>
  <si>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</si>
  <si>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</si>
  <si>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</si>
  <si>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</si>
  <si>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</si>
  <si>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</si>
  <si>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</si>
  <si>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</si>
  <si>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</si>
  <si>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</si>
  <si>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</si>
  <si>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</si>
  <si>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</si>
  <si>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</si>
  <si>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</si>
  <si>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</si>
  <si>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</si>
  <si>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</si>
  <si>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</si>
  <si>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</si>
  <si>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</si>
  <si>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</si>
  <si>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</si>
  <si>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</si>
  <si>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</si>
  <si>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</si>
  <si>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</si>
  <si>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</si>
  <si>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</si>
  <si>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</si>
  <si>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</si>
  <si>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</si>
  <si>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</si>
  <si>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</si>
  <si>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</si>
  <si>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</si>
  <si>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</si>
  <si>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</si>
  <si>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</si>
  <si>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</si>
  <si>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</si>
  <si>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</si>
  <si>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</si>
  <si>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</si>
  <si>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</si>
  <si>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</si>
  <si>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</si>
  <si>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</si>
  <si>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</si>
  <si>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</si>
  <si>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</si>
  <si>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</si>
  <si>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</si>
  <si>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</si>
  <si>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</si>
  <si>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</si>
  <si>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</si>
  <si>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</si>
  <si>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</si>
  <si>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</si>
  <si>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</si>
  <si>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</si>
  <si>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</si>
  <si>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</si>
  <si>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</si>
  <si>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</si>
  <si>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</si>
  <si>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</si>
  <si>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</si>
  <si>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</si>
  <si>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</si>
  <si>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</si>
  <si>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</si>
  <si>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</si>
  <si>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</si>
  <si>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</si>
  <si>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</si>
  <si>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</si>
  <si>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</si>
  <si>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</si>
  <si>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</si>
  <si>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</si>
  <si>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</si>
  <si>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</si>
  <si>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</si>
  <si>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</si>
  <si>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</si>
  <si>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</si>
  <si>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</si>
  <si>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</si>
  <si>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</si>
  <si>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</si>
  <si>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</si>
  <si>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</si>
  <si>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</si>
  <si>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</si>
  <si>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</si>
  <si>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</si>
  <si>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</si>
  <si>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</si>
  <si>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</si>
  <si>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</si>
  <si>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</si>
  <si>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</si>
  <si>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</si>
  <si>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</si>
  <si>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500шт под ЮТЛ (Хмель 05,08,26) / 500шт под ЮТЛ (Хмель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</si>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</sst>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21" width="7" customWidth="1"/>
    <col min="22" max="23" width="5" customWidth="1"/>
    <col min="24" max="31" width="6.5703125" customWidth="1"/>
    <col min="32" max="32" width="39.42578125" customWidth="1"/>
    <col min="33" max="33" width="7" customWidth="1"/>
    <col min="34" max="43" width="3" customWidth="1"/>
  </cols>
  <sheetData>
    <row r="1" spans="1:43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spans="1:4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24</v>
      </c>
      <c r="R4" s="9" t="s">
        <v>25</v>
      </c>
      <c r="S4" s="9" t="s">
        <v>26</v>
      </c>
      <c r="T4" s="9" t="s">
        <v>27</v>
      </c>
      <c r="U4" s="9"/>
      <c r="V4" s="9"/>
      <c r="W4" s="9"/>
      <c r="X4" s="9" t="s">
        <v>24</v>
      </c>
      <c r="Y4" s="9" t="s">
        <v>28</v>
      </c>
      <c r="Z4" s="9" t="s">
        <v>29</v>
      </c>
      <c r="AA4" s="9" t="s">
        <v>30</v>
      </c>
      <c r="AB4" s="9" t="s">
        <v>31</v>
      </c>
      <c r="AC4" s="9" t="s">
        <v>32</v>
      </c>
      <c r="AD4" s="9" t="s">
        <v>33</v>
      </c>
      <c r="AE4" s="9" t="s">
        <v>34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x14ac:dyDescent="0.25">
      <c r="A5" s="9"/>
      <c r="B5" s="9"/>
      <c r="C5" s="9"/>
      <c r="D5" s="9"/>
      <c r="E5" s="3">
        <f>SUM(E6:E500)</f>
        <v>57893.232000000004</v>
      </c>
      <c r="F5" s="3">
        <f>SUM(F6:F500)</f>
        <v>54609.132999999994</v>
      </c>
      <c r="G5" s="6"/>
      <c r="H5" s="9"/>
      <c r="I5" s="9"/>
      <c r="J5" s="9"/>
      <c r="K5" s="3">
        <f t="shared" ref="K5:U5" si="0">SUM(K6:K500)</f>
        <v>78084.934999999998</v>
      </c>
      <c r="L5" s="3">
        <f t="shared" si="0"/>
        <v>-20191.703000000001</v>
      </c>
      <c r="M5" s="3">
        <f t="shared" si="0"/>
        <v>52169.131999999998</v>
      </c>
      <c r="N5" s="3">
        <f t="shared" si="0"/>
        <v>5724.1</v>
      </c>
      <c r="O5" s="3">
        <f t="shared" si="0"/>
        <v>1600</v>
      </c>
      <c r="P5" s="3">
        <f t="shared" si="0"/>
        <v>13458.599258912795</v>
      </c>
      <c r="Q5" s="3">
        <f t="shared" si="0"/>
        <v>21727.185372103198</v>
      </c>
      <c r="R5" s="3">
        <f t="shared" si="0"/>
        <v>1000</v>
      </c>
      <c r="S5" s="3">
        <f t="shared" si="0"/>
        <v>23284.48310400001</v>
      </c>
      <c r="T5" s="3">
        <f t="shared" si="0"/>
        <v>10433.826400000007</v>
      </c>
      <c r="U5" s="3">
        <f t="shared" si="0"/>
        <v>17032.362270400001</v>
      </c>
      <c r="V5" s="9"/>
      <c r="W5" s="9"/>
      <c r="X5" s="3">
        <f t="shared" ref="X5:AE5" si="1">SUM(X6:X500)</f>
        <v>11173.737200000001</v>
      </c>
      <c r="Y5" s="3">
        <f t="shared" si="1"/>
        <v>12763.749600000005</v>
      </c>
      <c r="Z5" s="3">
        <f t="shared" si="1"/>
        <v>14118.473</v>
      </c>
      <c r="AA5" s="3">
        <f t="shared" si="1"/>
        <v>10392.847799999996</v>
      </c>
      <c r="AB5" s="3">
        <f t="shared" si="1"/>
        <v>11560.837400000002</v>
      </c>
      <c r="AC5" s="3">
        <f t="shared" si="1"/>
        <v>11734.1994</v>
      </c>
      <c r="AD5" s="3">
        <f t="shared" si="1"/>
        <v>14138.868400000007</v>
      </c>
      <c r="AE5" s="3">
        <f t="shared" si="1"/>
        <v>14537.335200000001</v>
      </c>
      <c r="AF5" s="9"/>
      <c r="AG5" s="3">
        <f>SUM(AG6:AG500)</f>
        <v>12292.438490299994</v>
      </c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x14ac:dyDescent="0.25">
      <c r="A6" s="9" t="s">
        <v>35</v>
      </c>
      <c r="B6" s="9" t="s">
        <v>36</v>
      </c>
      <c r="C6" s="9">
        <v>2412.105</v>
      </c>
      <c r="D6" s="9">
        <v>983.90599999999995</v>
      </c>
      <c r="E6" s="9">
        <v>1896.5409999999999</v>
      </c>
      <c r="F6" s="9">
        <v>1212.9970000000001</v>
      </c>
      <c r="G6" s="6">
        <v>1</v>
      </c>
      <c r="H6" s="9">
        <v>50</v>
      </c>
      <c r="I6" s="9" t="s">
        <v>37</v>
      </c>
      <c r="J6" s="9"/>
      <c r="K6" s="9">
        <v>2136.41</v>
      </c>
      <c r="L6" s="9">
        <f t="shared" ref="L6:L37" si="2">E6-K6</f>
        <v>-239.86899999999991</v>
      </c>
      <c r="M6" s="9">
        <f t="shared" ref="M6:M37" si="3">E6-N6</f>
        <v>1688.6709999999998</v>
      </c>
      <c r="N6" s="9">
        <v>207.87</v>
      </c>
      <c r="O6" s="9">
        <v>800</v>
      </c>
      <c r="P6" s="9">
        <v>361.01789634480059</v>
      </c>
      <c r="Q6" s="9">
        <v>774.25850725520149</v>
      </c>
      <c r="R6" s="9"/>
      <c r="S6" s="9">
        <v>0</v>
      </c>
      <c r="T6" s="9">
        <f t="shared" ref="T6:T37" si="4">M6/5</f>
        <v>337.73419999999999</v>
      </c>
      <c r="U6" s="4">
        <f>12*T6-S6-R6-Q6-P6-O6-F6</f>
        <v>904.53699639999763</v>
      </c>
      <c r="V6" s="9">
        <f t="shared" ref="V6:V37" si="5">(F6+O6+P6+Q6+R6+S6+U6)/T6</f>
        <v>11.999999999999998</v>
      </c>
      <c r="W6" s="9">
        <f t="shared" ref="W6:W37" si="6">(F6+O6+P6+Q6+R6+S6)/T6</f>
        <v>9.3217488889191618</v>
      </c>
      <c r="X6" s="9">
        <v>348.79259999999999</v>
      </c>
      <c r="Y6" s="9">
        <v>383.91660000000002</v>
      </c>
      <c r="Z6" s="9">
        <v>414.53539999999992</v>
      </c>
      <c r="AA6" s="9">
        <v>309.1234</v>
      </c>
      <c r="AB6" s="9">
        <v>397.22059999999999</v>
      </c>
      <c r="AC6" s="9">
        <v>387.44979999999998</v>
      </c>
      <c r="AD6" s="9">
        <v>475.30520000000001</v>
      </c>
      <c r="AE6" s="9">
        <v>548.64239999999995</v>
      </c>
      <c r="AF6" s="9"/>
      <c r="AG6" s="9">
        <f t="shared" ref="AG6:AG14" si="7">G6*U6</f>
        <v>904.53699639999763</v>
      </c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x14ac:dyDescent="0.25">
      <c r="A7" s="9" t="s">
        <v>38</v>
      </c>
      <c r="B7" s="9" t="s">
        <v>36</v>
      </c>
      <c r="C7" s="9">
        <v>306.62099999999998</v>
      </c>
      <c r="D7" s="9">
        <v>1176.883</v>
      </c>
      <c r="E7" s="9">
        <v>808.471</v>
      </c>
      <c r="F7" s="9">
        <v>576.66099999999994</v>
      </c>
      <c r="G7" s="6">
        <v>1</v>
      </c>
      <c r="H7" s="9">
        <v>45</v>
      </c>
      <c r="I7" s="9" t="s">
        <v>37</v>
      </c>
      <c r="J7" s="9"/>
      <c r="K7" s="9">
        <v>960.22199999999998</v>
      </c>
      <c r="L7" s="9">
        <f t="shared" si="2"/>
        <v>-151.75099999999998</v>
      </c>
      <c r="M7" s="9">
        <f t="shared" si="3"/>
        <v>681.96299999999997</v>
      </c>
      <c r="N7" s="9">
        <v>126.508</v>
      </c>
      <c r="O7" s="9"/>
      <c r="P7" s="9">
        <v>496.76597433599949</v>
      </c>
      <c r="Q7" s="9">
        <v>1065.391177664</v>
      </c>
      <c r="R7" s="9"/>
      <c r="S7" s="9">
        <v>0</v>
      </c>
      <c r="T7" s="9">
        <f t="shared" si="4"/>
        <v>136.39259999999999</v>
      </c>
      <c r="U7" s="4"/>
      <c r="V7" s="9">
        <f t="shared" si="5"/>
        <v>15.681335732290458</v>
      </c>
      <c r="W7" s="9">
        <f t="shared" si="6"/>
        <v>15.681335732290458</v>
      </c>
      <c r="X7" s="9">
        <v>175.6748</v>
      </c>
      <c r="Y7" s="9">
        <v>232.39340000000001</v>
      </c>
      <c r="Z7" s="9">
        <v>194.2758</v>
      </c>
      <c r="AA7" s="9">
        <v>139.5838</v>
      </c>
      <c r="AB7" s="9">
        <v>139.13839999999999</v>
      </c>
      <c r="AC7" s="9">
        <v>153.54400000000001</v>
      </c>
      <c r="AD7" s="9">
        <v>198.9838</v>
      </c>
      <c r="AE7" s="9">
        <v>211.20099999999999</v>
      </c>
      <c r="AF7" s="9"/>
      <c r="AG7" s="9">
        <f t="shared" si="7"/>
        <v>0</v>
      </c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x14ac:dyDescent="0.25">
      <c r="A8" s="8" t="s">
        <v>39</v>
      </c>
      <c r="B8" s="9" t="s">
        <v>36</v>
      </c>
      <c r="C8" s="9">
        <v>1710.021</v>
      </c>
      <c r="D8" s="9">
        <v>4244.5789999999997</v>
      </c>
      <c r="E8" s="15">
        <f>3418.422+E85</f>
        <v>3423.8629999999998</v>
      </c>
      <c r="F8" s="15">
        <f>1867.142+F85</f>
        <v>1861.701</v>
      </c>
      <c r="G8" s="6">
        <v>1</v>
      </c>
      <c r="H8" s="9">
        <v>45</v>
      </c>
      <c r="I8" s="9" t="s">
        <v>37</v>
      </c>
      <c r="J8" s="9"/>
      <c r="K8" s="9">
        <v>4099.9459999999999</v>
      </c>
      <c r="L8" s="9">
        <f t="shared" si="2"/>
        <v>-676.08300000000008</v>
      </c>
      <c r="M8" s="9">
        <f t="shared" si="3"/>
        <v>2718.2449999999999</v>
      </c>
      <c r="N8" s="9">
        <v>705.61800000000005</v>
      </c>
      <c r="O8" s="9"/>
      <c r="P8" s="9">
        <v>943.87382423999952</v>
      </c>
      <c r="Q8" s="9">
        <v>2024.2828557600001</v>
      </c>
      <c r="R8" s="9"/>
      <c r="S8" s="9">
        <v>1400.372760000002</v>
      </c>
      <c r="T8" s="9">
        <f t="shared" si="4"/>
        <v>543.649</v>
      </c>
      <c r="U8" s="4">
        <f t="shared" ref="U8:U11" si="8">12*T8-S8-R8-Q8-P8-O8-F8</f>
        <v>293.55755999999883</v>
      </c>
      <c r="V8" s="9">
        <f t="shared" si="5"/>
        <v>12</v>
      </c>
      <c r="W8" s="9">
        <f t="shared" si="6"/>
        <v>11.460023728545442</v>
      </c>
      <c r="X8" s="9">
        <v>613.56360000000006</v>
      </c>
      <c r="Y8" s="9">
        <v>603.60799999999995</v>
      </c>
      <c r="Z8" s="9">
        <v>601.60220000000004</v>
      </c>
      <c r="AA8" s="9">
        <v>449.45300000000009</v>
      </c>
      <c r="AB8" s="9">
        <v>483.47179999999997</v>
      </c>
      <c r="AC8" s="9">
        <v>504.71640000000002</v>
      </c>
      <c r="AD8" s="9">
        <v>603.90640000000008</v>
      </c>
      <c r="AE8" s="9">
        <v>611.28559999999993</v>
      </c>
      <c r="AF8" s="9"/>
      <c r="AG8" s="9">
        <f t="shared" si="7"/>
        <v>293.55755999999883</v>
      </c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x14ac:dyDescent="0.25">
      <c r="A9" s="9" t="s">
        <v>40</v>
      </c>
      <c r="B9" s="9" t="s">
        <v>41</v>
      </c>
      <c r="C9" s="9">
        <v>7</v>
      </c>
      <c r="D9" s="9">
        <v>25</v>
      </c>
      <c r="E9" s="9">
        <v>5</v>
      </c>
      <c r="F9" s="9">
        <v>20</v>
      </c>
      <c r="G9" s="6">
        <v>0.4</v>
      </c>
      <c r="H9" s="9">
        <v>50</v>
      </c>
      <c r="I9" s="9" t="s">
        <v>37</v>
      </c>
      <c r="J9" s="9"/>
      <c r="K9" s="9">
        <v>14</v>
      </c>
      <c r="L9" s="9">
        <f t="shared" si="2"/>
        <v>-9</v>
      </c>
      <c r="M9" s="9">
        <f t="shared" si="3"/>
        <v>5</v>
      </c>
      <c r="N9" s="9"/>
      <c r="O9" s="9"/>
      <c r="P9" s="9">
        <v>10.9</v>
      </c>
      <c r="Q9" s="9"/>
      <c r="R9" s="9"/>
      <c r="S9" s="9">
        <v>0</v>
      </c>
      <c r="T9" s="9">
        <f t="shared" si="4"/>
        <v>1</v>
      </c>
      <c r="U9" s="4"/>
      <c r="V9" s="9">
        <f t="shared" si="5"/>
        <v>30.9</v>
      </c>
      <c r="W9" s="9">
        <f t="shared" si="6"/>
        <v>30.9</v>
      </c>
      <c r="X9" s="9">
        <v>1.2</v>
      </c>
      <c r="Y9" s="9">
        <v>2.6</v>
      </c>
      <c r="Z9" s="9">
        <v>2.2000000000000002</v>
      </c>
      <c r="AA9" s="9">
        <v>0</v>
      </c>
      <c r="AB9" s="9">
        <v>0</v>
      </c>
      <c r="AC9" s="9">
        <v>0</v>
      </c>
      <c r="AD9" s="9">
        <v>0</v>
      </c>
      <c r="AE9" s="9">
        <v>0.6</v>
      </c>
      <c r="AF9" s="9" t="s">
        <v>42</v>
      </c>
      <c r="AG9" s="9">
        <f t="shared" si="7"/>
        <v>0</v>
      </c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x14ac:dyDescent="0.25">
      <c r="A10" s="9" t="s">
        <v>43</v>
      </c>
      <c r="B10" s="9" t="s">
        <v>41</v>
      </c>
      <c r="C10" s="9">
        <v>413.44400000000002</v>
      </c>
      <c r="D10" s="9">
        <v>2500.201</v>
      </c>
      <c r="E10" s="9">
        <v>1490</v>
      </c>
      <c r="F10" s="9">
        <v>913.64499999999998</v>
      </c>
      <c r="G10" s="6">
        <v>0.45</v>
      </c>
      <c r="H10" s="9">
        <v>45</v>
      </c>
      <c r="I10" s="16" t="s">
        <v>44</v>
      </c>
      <c r="J10" s="9"/>
      <c r="K10" s="9">
        <v>2420</v>
      </c>
      <c r="L10" s="9">
        <f t="shared" si="2"/>
        <v>-930</v>
      </c>
      <c r="M10" s="9">
        <f t="shared" si="3"/>
        <v>1490</v>
      </c>
      <c r="N10" s="9"/>
      <c r="O10" s="9"/>
      <c r="P10" s="9">
        <v>953.99999999999977</v>
      </c>
      <c r="Q10" s="9">
        <v>2046</v>
      </c>
      <c r="R10" s="9"/>
      <c r="S10" s="9">
        <v>0</v>
      </c>
      <c r="T10" s="9">
        <f t="shared" si="4"/>
        <v>298</v>
      </c>
      <c r="U10" s="4"/>
      <c r="V10" s="9">
        <f t="shared" si="5"/>
        <v>13.133036912751676</v>
      </c>
      <c r="W10" s="9">
        <f t="shared" si="6"/>
        <v>13.133036912751676</v>
      </c>
      <c r="X10" s="9">
        <v>339</v>
      </c>
      <c r="Y10" s="9">
        <v>705.87099999999998</v>
      </c>
      <c r="Z10" s="9">
        <v>624.67100000000005</v>
      </c>
      <c r="AA10" s="9">
        <v>265.39999999999998</v>
      </c>
      <c r="AB10" s="9">
        <v>547.20000000000005</v>
      </c>
      <c r="AC10" s="9">
        <v>563.6</v>
      </c>
      <c r="AD10" s="9">
        <v>673.6</v>
      </c>
      <c r="AE10" s="9">
        <v>380.8</v>
      </c>
      <c r="AF10" s="9" t="s">
        <v>45</v>
      </c>
      <c r="AG10" s="9">
        <f t="shared" si="7"/>
        <v>0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x14ac:dyDescent="0.25">
      <c r="A11" s="9" t="s">
        <v>46</v>
      </c>
      <c r="B11" s="9" t="s">
        <v>41</v>
      </c>
      <c r="C11" s="9">
        <v>1694.171</v>
      </c>
      <c r="D11" s="9">
        <v>5815</v>
      </c>
      <c r="E11" s="9">
        <v>3429</v>
      </c>
      <c r="F11" s="9">
        <v>3264.1709999999998</v>
      </c>
      <c r="G11" s="6">
        <v>0.45</v>
      </c>
      <c r="H11" s="9">
        <v>45</v>
      </c>
      <c r="I11" s="16" t="s">
        <v>44</v>
      </c>
      <c r="J11" s="9"/>
      <c r="K11" s="9">
        <v>4290</v>
      </c>
      <c r="L11" s="9">
        <f t="shared" si="2"/>
        <v>-861</v>
      </c>
      <c r="M11" s="9">
        <f t="shared" si="3"/>
        <v>3417</v>
      </c>
      <c r="N11" s="9">
        <v>12</v>
      </c>
      <c r="O11" s="9"/>
      <c r="P11" s="9">
        <v>817.98453692400017</v>
      </c>
      <c r="Q11" s="9">
        <v>1754.2938810760011</v>
      </c>
      <c r="R11" s="9"/>
      <c r="S11" s="9">
        <v>1000</v>
      </c>
      <c r="T11" s="9">
        <f t="shared" si="4"/>
        <v>683.4</v>
      </c>
      <c r="U11" s="4">
        <f t="shared" si="8"/>
        <v>1364.3505819999987</v>
      </c>
      <c r="V11" s="9">
        <f t="shared" si="5"/>
        <v>12</v>
      </c>
      <c r="W11" s="9">
        <f t="shared" si="6"/>
        <v>10.003584164471761</v>
      </c>
      <c r="X11" s="9">
        <v>536.79999999999995</v>
      </c>
      <c r="Y11" s="9">
        <v>707.36580000000004</v>
      </c>
      <c r="Z11" s="9">
        <v>771.7657999999999</v>
      </c>
      <c r="AA11" s="9">
        <v>431.2</v>
      </c>
      <c r="AB11" s="9">
        <v>445.4</v>
      </c>
      <c r="AC11" s="9">
        <v>495.2</v>
      </c>
      <c r="AD11" s="9">
        <v>660.46</v>
      </c>
      <c r="AE11" s="9">
        <v>717.66000000000008</v>
      </c>
      <c r="AF11" s="9" t="s">
        <v>47</v>
      </c>
      <c r="AG11" s="9">
        <f t="shared" si="7"/>
        <v>613.95776189999947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x14ac:dyDescent="0.25">
      <c r="A12" s="9" t="s">
        <v>48</v>
      </c>
      <c r="B12" s="9" t="s">
        <v>41</v>
      </c>
      <c r="C12" s="9">
        <v>28</v>
      </c>
      <c r="D12" s="9">
        <v>180</v>
      </c>
      <c r="E12" s="9">
        <v>96.17</v>
      </c>
      <c r="F12" s="9">
        <v>93.83</v>
      </c>
      <c r="G12" s="6">
        <v>0.17</v>
      </c>
      <c r="H12" s="9">
        <v>180</v>
      </c>
      <c r="I12" s="9" t="s">
        <v>37</v>
      </c>
      <c r="J12" s="9"/>
      <c r="K12" s="9">
        <v>122</v>
      </c>
      <c r="L12" s="9">
        <f t="shared" si="2"/>
        <v>-25.83</v>
      </c>
      <c r="M12" s="9">
        <f t="shared" si="3"/>
        <v>96.17</v>
      </c>
      <c r="N12" s="9"/>
      <c r="O12" s="9"/>
      <c r="P12" s="9">
        <v>234.9</v>
      </c>
      <c r="Q12" s="9"/>
      <c r="R12" s="9"/>
      <c r="S12" s="9">
        <v>0</v>
      </c>
      <c r="T12" s="9">
        <f t="shared" si="4"/>
        <v>19.234000000000002</v>
      </c>
      <c r="U12" s="4"/>
      <c r="V12" s="9">
        <f t="shared" si="5"/>
        <v>17.091088697098886</v>
      </c>
      <c r="W12" s="9">
        <f t="shared" si="6"/>
        <v>17.091088697098886</v>
      </c>
      <c r="X12" s="9">
        <v>23.6</v>
      </c>
      <c r="Y12" s="9">
        <v>35</v>
      </c>
      <c r="Z12" s="9">
        <v>24.6</v>
      </c>
      <c r="AA12" s="9">
        <v>9</v>
      </c>
      <c r="AB12" s="9">
        <v>5.4</v>
      </c>
      <c r="AC12" s="9">
        <v>12.6</v>
      </c>
      <c r="AD12" s="9">
        <v>17.2</v>
      </c>
      <c r="AE12" s="9">
        <v>21</v>
      </c>
      <c r="AF12" s="9"/>
      <c r="AG12" s="9">
        <f t="shared" si="7"/>
        <v>0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x14ac:dyDescent="0.25">
      <c r="A13" s="9" t="s">
        <v>49</v>
      </c>
      <c r="B13" s="9" t="s">
        <v>41</v>
      </c>
      <c r="C13" s="9">
        <v>75</v>
      </c>
      <c r="D13" s="9">
        <v>12</v>
      </c>
      <c r="E13" s="9">
        <v>41</v>
      </c>
      <c r="F13" s="9">
        <v>25</v>
      </c>
      <c r="G13" s="6">
        <v>0.3</v>
      </c>
      <c r="H13" s="9">
        <v>40</v>
      </c>
      <c r="I13" s="9" t="s">
        <v>37</v>
      </c>
      <c r="J13" s="9"/>
      <c r="K13" s="9">
        <v>59</v>
      </c>
      <c r="L13" s="9">
        <f t="shared" si="2"/>
        <v>-18</v>
      </c>
      <c r="M13" s="9">
        <f t="shared" si="3"/>
        <v>41</v>
      </c>
      <c r="N13" s="9"/>
      <c r="O13" s="9"/>
      <c r="P13" s="9">
        <v>43.600000000000009</v>
      </c>
      <c r="Q13" s="9"/>
      <c r="R13" s="9"/>
      <c r="S13" s="9">
        <v>46.2</v>
      </c>
      <c r="T13" s="9">
        <f t="shared" si="4"/>
        <v>8.1999999999999993</v>
      </c>
      <c r="U13" s="4"/>
      <c r="V13" s="9">
        <f t="shared" si="5"/>
        <v>14.000000000000002</v>
      </c>
      <c r="W13" s="9">
        <f t="shared" si="6"/>
        <v>14.000000000000002</v>
      </c>
      <c r="X13" s="9">
        <v>11.8</v>
      </c>
      <c r="Y13" s="9">
        <v>8.4</v>
      </c>
      <c r="Z13" s="9">
        <v>3.2</v>
      </c>
      <c r="AA13" s="9">
        <v>1</v>
      </c>
      <c r="AB13" s="9">
        <v>0.8</v>
      </c>
      <c r="AC13" s="9">
        <v>2.6</v>
      </c>
      <c r="AD13" s="9">
        <v>9.4</v>
      </c>
      <c r="AE13" s="9">
        <v>13.4</v>
      </c>
      <c r="AF13" s="9"/>
      <c r="AG13" s="9">
        <f t="shared" si="7"/>
        <v>0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x14ac:dyDescent="0.25">
      <c r="A14" s="9" t="s">
        <v>50</v>
      </c>
      <c r="B14" s="9" t="s">
        <v>41</v>
      </c>
      <c r="C14" s="9">
        <v>250</v>
      </c>
      <c r="D14" s="9">
        <v>418</v>
      </c>
      <c r="E14" s="9">
        <v>138.16999999999999</v>
      </c>
      <c r="F14" s="9">
        <v>494.83</v>
      </c>
      <c r="G14" s="6">
        <v>0.17</v>
      </c>
      <c r="H14" s="9">
        <v>180</v>
      </c>
      <c r="I14" s="9" t="s">
        <v>37</v>
      </c>
      <c r="J14" s="9"/>
      <c r="K14" s="9">
        <v>168</v>
      </c>
      <c r="L14" s="9">
        <f t="shared" si="2"/>
        <v>-29.830000000000013</v>
      </c>
      <c r="M14" s="9">
        <f t="shared" si="3"/>
        <v>138.16999999999999</v>
      </c>
      <c r="N14" s="9"/>
      <c r="O14" s="9"/>
      <c r="P14" s="9">
        <v>78.10000000000008</v>
      </c>
      <c r="Q14" s="9"/>
      <c r="R14" s="9"/>
      <c r="S14" s="9">
        <v>0</v>
      </c>
      <c r="T14" s="9">
        <f t="shared" si="4"/>
        <v>27.633999999999997</v>
      </c>
      <c r="U14" s="4"/>
      <c r="V14" s="9">
        <f t="shared" si="5"/>
        <v>20.732792936237974</v>
      </c>
      <c r="W14" s="9">
        <f t="shared" si="6"/>
        <v>20.732792936237974</v>
      </c>
      <c r="X14" s="9">
        <v>36.799999999999997</v>
      </c>
      <c r="Y14" s="9">
        <v>60.2</v>
      </c>
      <c r="Z14" s="9">
        <v>65.2</v>
      </c>
      <c r="AA14" s="9">
        <v>36.6</v>
      </c>
      <c r="AB14" s="9">
        <v>21.4</v>
      </c>
      <c r="AC14" s="9">
        <v>16.2</v>
      </c>
      <c r="AD14" s="9">
        <v>29.4</v>
      </c>
      <c r="AE14" s="9">
        <v>74.2</v>
      </c>
      <c r="AF14" s="9"/>
      <c r="AG14" s="9">
        <f t="shared" si="7"/>
        <v>0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x14ac:dyDescent="0.25">
      <c r="A15" s="10" t="s">
        <v>51</v>
      </c>
      <c r="B15" s="10" t="s">
        <v>41</v>
      </c>
      <c r="C15" s="10">
        <v>363</v>
      </c>
      <c r="D15" s="10">
        <v>1</v>
      </c>
      <c r="E15" s="10">
        <v>1</v>
      </c>
      <c r="F15" s="10">
        <v>359</v>
      </c>
      <c r="G15" s="11">
        <v>0</v>
      </c>
      <c r="H15" s="10"/>
      <c r="I15" s="10" t="s">
        <v>52</v>
      </c>
      <c r="J15" s="10"/>
      <c r="K15" s="10">
        <v>6</v>
      </c>
      <c r="L15" s="10">
        <f t="shared" si="2"/>
        <v>-5</v>
      </c>
      <c r="M15" s="10">
        <f t="shared" si="3"/>
        <v>1</v>
      </c>
      <c r="N15" s="10"/>
      <c r="O15" s="10"/>
      <c r="P15" s="10">
        <v>0</v>
      </c>
      <c r="Q15" s="10"/>
      <c r="R15" s="10"/>
      <c r="S15" s="10">
        <v>0</v>
      </c>
      <c r="T15" s="10">
        <f t="shared" si="4"/>
        <v>0.2</v>
      </c>
      <c r="U15" s="12"/>
      <c r="V15" s="10">
        <f t="shared" si="5"/>
        <v>1795</v>
      </c>
      <c r="W15" s="10">
        <f t="shared" si="6"/>
        <v>1795</v>
      </c>
      <c r="X15" s="10">
        <v>4.4000000000000004</v>
      </c>
      <c r="Y15" s="10">
        <v>4.2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4" t="s">
        <v>53</v>
      </c>
      <c r="AG15" s="10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x14ac:dyDescent="0.25">
      <c r="A16" s="9" t="s">
        <v>54</v>
      </c>
      <c r="B16" s="9" t="s">
        <v>36</v>
      </c>
      <c r="C16" s="9">
        <v>2310.0630000000001</v>
      </c>
      <c r="D16" s="9">
        <v>4120.2349999999997</v>
      </c>
      <c r="E16" s="9">
        <v>4187.3829999999998</v>
      </c>
      <c r="F16" s="9">
        <v>1820.2819999999999</v>
      </c>
      <c r="G16" s="6">
        <v>1</v>
      </c>
      <c r="H16" s="9">
        <v>70</v>
      </c>
      <c r="I16" s="9" t="s">
        <v>37</v>
      </c>
      <c r="J16" s="9"/>
      <c r="K16" s="9">
        <v>4385.1009999999997</v>
      </c>
      <c r="L16" s="9">
        <f t="shared" si="2"/>
        <v>-197.71799999999985</v>
      </c>
      <c r="M16" s="9">
        <f t="shared" si="3"/>
        <v>3049.5459999999998</v>
      </c>
      <c r="N16" s="9">
        <v>1137.837</v>
      </c>
      <c r="O16" s="9">
        <v>800</v>
      </c>
      <c r="P16" s="9">
        <v>965.51377321199971</v>
      </c>
      <c r="Q16" s="9">
        <v>2070.6930607879999</v>
      </c>
      <c r="R16" s="9"/>
      <c r="S16" s="9">
        <v>1316.92002</v>
      </c>
      <c r="T16" s="9">
        <f t="shared" si="4"/>
        <v>609.90919999999994</v>
      </c>
      <c r="U16" s="4">
        <f t="shared" ref="U16:U17" si="9">12*T16-S16-R16-Q16-P16-O16-F16</f>
        <v>345.50154599999973</v>
      </c>
      <c r="V16" s="9">
        <f t="shared" si="5"/>
        <v>12</v>
      </c>
      <c r="W16" s="9">
        <f t="shared" si="6"/>
        <v>11.433519700965324</v>
      </c>
      <c r="X16" s="9">
        <v>693.11580000000004</v>
      </c>
      <c r="Y16" s="9">
        <v>746.79539999999997</v>
      </c>
      <c r="Z16" s="9">
        <v>794.77139999999997</v>
      </c>
      <c r="AA16" s="9">
        <v>554.79759999999999</v>
      </c>
      <c r="AB16" s="9">
        <v>546.93779999999992</v>
      </c>
      <c r="AC16" s="9">
        <v>609.09219999999993</v>
      </c>
      <c r="AD16" s="9">
        <v>717.98599999999999</v>
      </c>
      <c r="AE16" s="9">
        <v>729.06079999999997</v>
      </c>
      <c r="AF16" s="9"/>
      <c r="AG16" s="9">
        <f>G16*U16</f>
        <v>345.50154599999973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x14ac:dyDescent="0.25">
      <c r="A17" s="9" t="s">
        <v>55</v>
      </c>
      <c r="B17" s="9" t="s">
        <v>36</v>
      </c>
      <c r="C17" s="9">
        <v>4652.0910000000003</v>
      </c>
      <c r="D17" s="9">
        <v>2096.366</v>
      </c>
      <c r="E17" s="9">
        <v>2590.09</v>
      </c>
      <c r="F17" s="9">
        <v>3451.4769999999999</v>
      </c>
      <c r="G17" s="6">
        <v>1</v>
      </c>
      <c r="H17" s="9">
        <v>50</v>
      </c>
      <c r="I17" s="9" t="s">
        <v>37</v>
      </c>
      <c r="J17" s="9"/>
      <c r="K17" s="9">
        <v>2966.8629999999998</v>
      </c>
      <c r="L17" s="9">
        <f t="shared" si="2"/>
        <v>-376.77299999999968</v>
      </c>
      <c r="M17" s="9">
        <f t="shared" si="3"/>
        <v>2545.2040000000002</v>
      </c>
      <c r="N17" s="9">
        <v>44.886000000000003</v>
      </c>
      <c r="O17" s="9"/>
      <c r="P17" s="9">
        <v>366.58436753999979</v>
      </c>
      <c r="Q17" s="9">
        <v>786.19666245999986</v>
      </c>
      <c r="R17" s="9"/>
      <c r="S17" s="9">
        <v>1376.11725</v>
      </c>
      <c r="T17" s="9">
        <f t="shared" si="4"/>
        <v>509.04080000000005</v>
      </c>
      <c r="U17" s="4">
        <f t="shared" si="9"/>
        <v>128.11432000000104</v>
      </c>
      <c r="V17" s="9">
        <f t="shared" si="5"/>
        <v>12</v>
      </c>
      <c r="W17" s="9">
        <f t="shared" si="6"/>
        <v>11.748322099132327</v>
      </c>
      <c r="X17" s="9">
        <v>530.1232</v>
      </c>
      <c r="Y17" s="9">
        <v>537.54300000000001</v>
      </c>
      <c r="Z17" s="9">
        <v>623.73239999999998</v>
      </c>
      <c r="AA17" s="9">
        <v>623.553</v>
      </c>
      <c r="AB17" s="9">
        <v>655.59559999999999</v>
      </c>
      <c r="AC17" s="9">
        <v>514.53160000000003</v>
      </c>
      <c r="AD17" s="9">
        <v>650.99779999999998</v>
      </c>
      <c r="AE17" s="9">
        <v>665.4226000000001</v>
      </c>
      <c r="AF17" s="9"/>
      <c r="AG17" s="9">
        <f>G17*U17</f>
        <v>128.11432000000104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x14ac:dyDescent="0.25">
      <c r="A18" s="9" t="s">
        <v>56</v>
      </c>
      <c r="B18" s="9" t="s">
        <v>36</v>
      </c>
      <c r="C18" s="9">
        <v>392.37900000000002</v>
      </c>
      <c r="D18" s="9">
        <v>19.132000000000001</v>
      </c>
      <c r="E18" s="9">
        <v>115.29600000000001</v>
      </c>
      <c r="F18" s="9">
        <v>288.24</v>
      </c>
      <c r="G18" s="6">
        <v>1</v>
      </c>
      <c r="H18" s="9">
        <v>60</v>
      </c>
      <c r="I18" s="9" t="s">
        <v>37</v>
      </c>
      <c r="J18" s="9"/>
      <c r="K18" s="9">
        <v>346.05</v>
      </c>
      <c r="L18" s="9">
        <f t="shared" si="2"/>
        <v>-230.75400000000002</v>
      </c>
      <c r="M18" s="9">
        <f t="shared" si="3"/>
        <v>115.29600000000001</v>
      </c>
      <c r="N18" s="9"/>
      <c r="O18" s="9"/>
      <c r="P18" s="9">
        <v>0</v>
      </c>
      <c r="Q18" s="9"/>
      <c r="R18" s="9"/>
      <c r="S18" s="9">
        <v>150</v>
      </c>
      <c r="T18" s="9">
        <f t="shared" si="4"/>
        <v>23.059200000000001</v>
      </c>
      <c r="U18" s="4"/>
      <c r="V18" s="9">
        <f t="shared" si="5"/>
        <v>19.004995836802664</v>
      </c>
      <c r="W18" s="9">
        <f t="shared" si="6"/>
        <v>19.004995836802664</v>
      </c>
      <c r="X18" s="9">
        <v>27.917000000000002</v>
      </c>
      <c r="Y18" s="9">
        <v>18.902000000000001</v>
      </c>
      <c r="Z18" s="9">
        <v>36.507800000000003</v>
      </c>
      <c r="AA18" s="9">
        <v>45.231999999999992</v>
      </c>
      <c r="AB18" s="9">
        <v>39.912599999999998</v>
      </c>
      <c r="AC18" s="9">
        <v>46.755800000000001</v>
      </c>
      <c r="AD18" s="9">
        <v>52.686199999999999</v>
      </c>
      <c r="AE18" s="9">
        <v>53.1126</v>
      </c>
      <c r="AF18" s="9"/>
      <c r="AG18" s="9">
        <f>G18*U18</f>
        <v>0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x14ac:dyDescent="0.25">
      <c r="A19" s="10" t="s">
        <v>57</v>
      </c>
      <c r="B19" s="10" t="s">
        <v>36</v>
      </c>
      <c r="C19" s="10">
        <v>-4.9740000000000002</v>
      </c>
      <c r="D19" s="10"/>
      <c r="E19" s="15">
        <v>-0.74</v>
      </c>
      <c r="F19" s="15">
        <v>-4.9740000000000002</v>
      </c>
      <c r="G19" s="11">
        <v>0</v>
      </c>
      <c r="H19" s="10"/>
      <c r="I19" s="10" t="s">
        <v>52</v>
      </c>
      <c r="J19" s="10" t="s">
        <v>58</v>
      </c>
      <c r="K19" s="10">
        <v>2.5</v>
      </c>
      <c r="L19" s="10">
        <f t="shared" si="2"/>
        <v>-3.24</v>
      </c>
      <c r="M19" s="10">
        <f t="shared" si="3"/>
        <v>-0.74</v>
      </c>
      <c r="N19" s="10"/>
      <c r="O19" s="10"/>
      <c r="P19" s="10">
        <v>0</v>
      </c>
      <c r="Q19" s="10"/>
      <c r="R19" s="10"/>
      <c r="S19" s="10">
        <v>0</v>
      </c>
      <c r="T19" s="10">
        <f t="shared" si="4"/>
        <v>-0.14799999999999999</v>
      </c>
      <c r="U19" s="12"/>
      <c r="V19" s="10">
        <f t="shared" si="5"/>
        <v>33.608108108108112</v>
      </c>
      <c r="W19" s="10">
        <f t="shared" si="6"/>
        <v>33.608108108108112</v>
      </c>
      <c r="X19" s="10">
        <v>0</v>
      </c>
      <c r="Y19" s="10">
        <v>0.49480000000000002</v>
      </c>
      <c r="Z19" s="10">
        <v>0.49480000000000002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/>
      <c r="AG19" s="10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x14ac:dyDescent="0.25">
      <c r="A20" s="10" t="s">
        <v>59</v>
      </c>
      <c r="B20" s="10" t="s">
        <v>36</v>
      </c>
      <c r="C20" s="10"/>
      <c r="D20" s="10"/>
      <c r="E20" s="10"/>
      <c r="F20" s="10"/>
      <c r="G20" s="11">
        <v>0</v>
      </c>
      <c r="H20" s="10"/>
      <c r="I20" s="10" t="s">
        <v>37</v>
      </c>
      <c r="J20" s="10"/>
      <c r="K20" s="10"/>
      <c r="L20" s="10">
        <f t="shared" si="2"/>
        <v>0</v>
      </c>
      <c r="M20" s="10">
        <f t="shared" si="3"/>
        <v>0</v>
      </c>
      <c r="N20" s="10"/>
      <c r="O20" s="10"/>
      <c r="P20" s="10">
        <v>0</v>
      </c>
      <c r="Q20" s="10"/>
      <c r="R20" s="10"/>
      <c r="S20" s="10">
        <v>0</v>
      </c>
      <c r="T20" s="10">
        <f t="shared" si="4"/>
        <v>0</v>
      </c>
      <c r="U20" s="12"/>
      <c r="V20" s="10" t="e">
        <f t="shared" si="5"/>
        <v>#DIV/0!</v>
      </c>
      <c r="W20" s="10" t="e">
        <f t="shared" si="6"/>
        <v>#DIV/0!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 t="s">
        <v>60</v>
      </c>
      <c r="AG20" s="10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x14ac:dyDescent="0.25">
      <c r="A21" s="9" t="s">
        <v>61</v>
      </c>
      <c r="B21" s="9" t="s">
        <v>36</v>
      </c>
      <c r="C21" s="9">
        <v>17.986000000000001</v>
      </c>
      <c r="D21" s="9"/>
      <c r="E21" s="9">
        <v>3.21</v>
      </c>
      <c r="F21" s="9">
        <v>14.776</v>
      </c>
      <c r="G21" s="6">
        <v>1</v>
      </c>
      <c r="H21" s="9">
        <v>180</v>
      </c>
      <c r="I21" s="9" t="s">
        <v>37</v>
      </c>
      <c r="J21" s="9"/>
      <c r="K21" s="9">
        <v>3.2</v>
      </c>
      <c r="L21" s="9">
        <f t="shared" si="2"/>
        <v>9.9999999999997868E-3</v>
      </c>
      <c r="M21" s="9">
        <f t="shared" si="3"/>
        <v>3.21</v>
      </c>
      <c r="N21" s="9"/>
      <c r="O21" s="9"/>
      <c r="P21" s="9">
        <v>0</v>
      </c>
      <c r="Q21" s="9"/>
      <c r="R21" s="9"/>
      <c r="S21" s="9">
        <v>0</v>
      </c>
      <c r="T21" s="9">
        <f t="shared" si="4"/>
        <v>0.64200000000000002</v>
      </c>
      <c r="U21" s="4"/>
      <c r="V21" s="9">
        <f t="shared" si="5"/>
        <v>23.015576323987538</v>
      </c>
      <c r="W21" s="9">
        <f t="shared" si="6"/>
        <v>23.015576323987538</v>
      </c>
      <c r="X21" s="9">
        <v>0.42899999999999999</v>
      </c>
      <c r="Y21" s="9">
        <v>1.0448</v>
      </c>
      <c r="Z21" s="9">
        <v>1.1863999999999999</v>
      </c>
      <c r="AA21" s="9">
        <v>0.42980000000000002</v>
      </c>
      <c r="AB21" s="9">
        <v>0.57140000000000002</v>
      </c>
      <c r="AC21" s="9">
        <v>0.63460000000000005</v>
      </c>
      <c r="AD21" s="9">
        <v>1.0533999999999999</v>
      </c>
      <c r="AE21" s="9">
        <v>1.054</v>
      </c>
      <c r="AF21" s="19" t="s">
        <v>62</v>
      </c>
      <c r="AG21" s="9">
        <f>G21*U21</f>
        <v>0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x14ac:dyDescent="0.25">
      <c r="A22" s="9" t="s">
        <v>63</v>
      </c>
      <c r="B22" s="9" t="s">
        <v>36</v>
      </c>
      <c r="C22" s="9">
        <v>2727.386</v>
      </c>
      <c r="D22" s="9">
        <v>5877.768</v>
      </c>
      <c r="E22" s="9">
        <v>3816.7809999999999</v>
      </c>
      <c r="F22" s="9">
        <v>4269.6499999999996</v>
      </c>
      <c r="G22" s="6">
        <v>1</v>
      </c>
      <c r="H22" s="9">
        <v>60</v>
      </c>
      <c r="I22" s="9" t="s">
        <v>37</v>
      </c>
      <c r="J22" s="9"/>
      <c r="K22" s="9">
        <v>5084.42</v>
      </c>
      <c r="L22" s="9">
        <f t="shared" si="2"/>
        <v>-1267.6390000000001</v>
      </c>
      <c r="M22" s="9">
        <f t="shared" si="3"/>
        <v>3816.7809999999999</v>
      </c>
      <c r="N22" s="9"/>
      <c r="O22" s="9"/>
      <c r="P22" s="9">
        <v>836.20269586800055</v>
      </c>
      <c r="Q22" s="9">
        <v>1793.365530132002</v>
      </c>
      <c r="R22" s="9"/>
      <c r="S22" s="9">
        <v>3118.329033999999</v>
      </c>
      <c r="T22" s="9">
        <f t="shared" si="4"/>
        <v>763.35619999999994</v>
      </c>
      <c r="U22" s="4"/>
      <c r="V22" s="9">
        <f t="shared" si="5"/>
        <v>13.123031240199532</v>
      </c>
      <c r="W22" s="9">
        <f t="shared" si="6"/>
        <v>13.123031240199532</v>
      </c>
      <c r="X22" s="9">
        <v>859.37340000000006</v>
      </c>
      <c r="Y22" s="9">
        <v>796.55060000000003</v>
      </c>
      <c r="Z22" s="9">
        <v>870.48359999999991</v>
      </c>
      <c r="AA22" s="9">
        <v>625.42460000000005</v>
      </c>
      <c r="AB22" s="9">
        <v>675.56319999999994</v>
      </c>
      <c r="AC22" s="9">
        <v>724.81880000000001</v>
      </c>
      <c r="AD22" s="9">
        <v>877.02520000000004</v>
      </c>
      <c r="AE22" s="9">
        <v>881.83860000000004</v>
      </c>
      <c r="AF22" s="9"/>
      <c r="AG22" s="9">
        <f>G22*U22</f>
        <v>0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spans="1:43" x14ac:dyDescent="0.25">
      <c r="A23" s="10" t="s">
        <v>64</v>
      </c>
      <c r="B23" s="10" t="s">
        <v>36</v>
      </c>
      <c r="C23" s="10">
        <v>-7.4930000000000003</v>
      </c>
      <c r="D23" s="10"/>
      <c r="E23" s="10"/>
      <c r="F23" s="15">
        <v>-7.4930000000000003</v>
      </c>
      <c r="G23" s="11">
        <v>0</v>
      </c>
      <c r="H23" s="10"/>
      <c r="I23" s="10" t="s">
        <v>52</v>
      </c>
      <c r="J23" s="10" t="s">
        <v>65</v>
      </c>
      <c r="K23" s="10"/>
      <c r="L23" s="10">
        <f t="shared" si="2"/>
        <v>0</v>
      </c>
      <c r="M23" s="10">
        <f t="shared" si="3"/>
        <v>0</v>
      </c>
      <c r="N23" s="10"/>
      <c r="O23" s="10"/>
      <c r="P23" s="10">
        <v>0</v>
      </c>
      <c r="Q23" s="10"/>
      <c r="R23" s="10"/>
      <c r="S23" s="10">
        <v>0</v>
      </c>
      <c r="T23" s="10">
        <f t="shared" si="4"/>
        <v>0</v>
      </c>
      <c r="U23" s="12"/>
      <c r="V23" s="10" t="e">
        <f t="shared" si="5"/>
        <v>#DIV/0!</v>
      </c>
      <c r="W23" s="10" t="e">
        <f t="shared" si="6"/>
        <v>#DIV/0!</v>
      </c>
      <c r="X23" s="10">
        <v>0</v>
      </c>
      <c r="Y23" s="10">
        <v>1.4985999999999999</v>
      </c>
      <c r="Z23" s="10">
        <v>1.4985999999999999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/>
      <c r="AG23" s="10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spans="1:43" x14ac:dyDescent="0.25">
      <c r="A24" s="9" t="s">
        <v>66</v>
      </c>
      <c r="B24" s="9" t="s">
        <v>36</v>
      </c>
      <c r="C24" s="9">
        <v>335.233</v>
      </c>
      <c r="D24" s="9">
        <v>728.47799999999995</v>
      </c>
      <c r="E24" s="9">
        <v>424.35300000000001</v>
      </c>
      <c r="F24" s="9">
        <v>548.21699999999998</v>
      </c>
      <c r="G24" s="6">
        <v>1</v>
      </c>
      <c r="H24" s="9">
        <v>70</v>
      </c>
      <c r="I24" s="9" t="s">
        <v>37</v>
      </c>
      <c r="J24" s="9"/>
      <c r="K24" s="9">
        <v>630.12</v>
      </c>
      <c r="L24" s="9">
        <f t="shared" si="2"/>
        <v>-205.767</v>
      </c>
      <c r="M24" s="9">
        <f t="shared" si="3"/>
        <v>323.58300000000003</v>
      </c>
      <c r="N24" s="9">
        <v>100.77</v>
      </c>
      <c r="O24" s="9"/>
      <c r="P24" s="9">
        <v>50.635340000000269</v>
      </c>
      <c r="Q24" s="9"/>
      <c r="R24" s="9"/>
      <c r="S24" s="9">
        <v>0</v>
      </c>
      <c r="T24" s="9">
        <f t="shared" si="4"/>
        <v>64.7166</v>
      </c>
      <c r="U24" s="4">
        <f t="shared" ref="U24" si="10">12*T24-S24-R24-Q24-P24-O24-F24</f>
        <v>177.74685999999974</v>
      </c>
      <c r="V24" s="9">
        <f t="shared" si="5"/>
        <v>12</v>
      </c>
      <c r="W24" s="9">
        <f t="shared" si="6"/>
        <v>9.2534579999567388</v>
      </c>
      <c r="X24" s="9">
        <v>29.255199999999999</v>
      </c>
      <c r="Y24" s="9">
        <v>86.518400000000014</v>
      </c>
      <c r="Z24" s="9">
        <v>112.26900000000001</v>
      </c>
      <c r="AA24" s="9">
        <v>80.832799999999992</v>
      </c>
      <c r="AB24" s="9">
        <v>82.780600000000007</v>
      </c>
      <c r="AC24" s="9">
        <v>84.445999999999998</v>
      </c>
      <c r="AD24" s="9">
        <v>87.766999999999996</v>
      </c>
      <c r="AE24" s="9">
        <v>81.984399999999994</v>
      </c>
      <c r="AF24" s="9"/>
      <c r="AG24" s="9">
        <f>G24*U24</f>
        <v>177.74685999999974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spans="1:43" x14ac:dyDescent="0.25">
      <c r="A25" s="9" t="s">
        <v>67</v>
      </c>
      <c r="B25" s="9" t="s">
        <v>36</v>
      </c>
      <c r="C25" s="9">
        <v>660.40099999999995</v>
      </c>
      <c r="D25" s="9">
        <v>1811.318</v>
      </c>
      <c r="E25" s="9">
        <v>1402.7170000000001</v>
      </c>
      <c r="F25" s="9">
        <v>779.4</v>
      </c>
      <c r="G25" s="6">
        <v>1</v>
      </c>
      <c r="H25" s="9">
        <v>70</v>
      </c>
      <c r="I25" s="9" t="s">
        <v>37</v>
      </c>
      <c r="J25" s="9"/>
      <c r="K25" s="9">
        <v>1484.27</v>
      </c>
      <c r="L25" s="9">
        <f t="shared" si="2"/>
        <v>-81.552999999999884</v>
      </c>
      <c r="M25" s="9">
        <f t="shared" si="3"/>
        <v>987.04700000000003</v>
      </c>
      <c r="N25" s="9">
        <v>415.67</v>
      </c>
      <c r="O25" s="9"/>
      <c r="P25" s="9">
        <v>328.6417885919999</v>
      </c>
      <c r="Q25" s="9">
        <v>704.82295540799998</v>
      </c>
      <c r="R25" s="9"/>
      <c r="S25" s="9">
        <v>580.42593600000021</v>
      </c>
      <c r="T25" s="9">
        <f t="shared" si="4"/>
        <v>197.40940000000001</v>
      </c>
      <c r="U25" s="4"/>
      <c r="V25" s="9">
        <f t="shared" si="5"/>
        <v>12.123488952400443</v>
      </c>
      <c r="W25" s="9">
        <f t="shared" si="6"/>
        <v>12.123488952400443</v>
      </c>
      <c r="X25" s="9">
        <v>248.37119999999999</v>
      </c>
      <c r="Y25" s="9">
        <v>254.24639999999999</v>
      </c>
      <c r="Z25" s="9">
        <v>255.9778</v>
      </c>
      <c r="AA25" s="9">
        <v>183.00020000000001</v>
      </c>
      <c r="AB25" s="9">
        <v>190.50559999999999</v>
      </c>
      <c r="AC25" s="9">
        <v>210.42779999999999</v>
      </c>
      <c r="AD25" s="9">
        <v>235.95099999999999</v>
      </c>
      <c r="AE25" s="9">
        <v>225.54</v>
      </c>
      <c r="AF25" s="9"/>
      <c r="AG25" s="9">
        <f>G25*U25</f>
        <v>0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spans="1:43" x14ac:dyDescent="0.25">
      <c r="A26" s="10" t="s">
        <v>68</v>
      </c>
      <c r="B26" s="10" t="s">
        <v>36</v>
      </c>
      <c r="C26" s="10"/>
      <c r="D26" s="10"/>
      <c r="E26" s="10"/>
      <c r="F26" s="10"/>
      <c r="G26" s="11">
        <v>0</v>
      </c>
      <c r="H26" s="10"/>
      <c r="I26" s="10" t="s">
        <v>37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/>
      <c r="P26" s="10">
        <v>0</v>
      </c>
      <c r="Q26" s="10"/>
      <c r="R26" s="10"/>
      <c r="S26" s="10">
        <v>0</v>
      </c>
      <c r="T26" s="10">
        <f t="shared" si="4"/>
        <v>0</v>
      </c>
      <c r="U26" s="12"/>
      <c r="V26" s="10" t="e">
        <f t="shared" si="5"/>
        <v>#DIV/0!</v>
      </c>
      <c r="W26" s="10" t="e">
        <f t="shared" si="6"/>
        <v>#DIV/0!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 t="s">
        <v>60</v>
      </c>
      <c r="AG26" s="10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spans="1:43" x14ac:dyDescent="0.25">
      <c r="A27" s="9" t="s">
        <v>69</v>
      </c>
      <c r="B27" s="9" t="s">
        <v>36</v>
      </c>
      <c r="C27" s="9">
        <v>1527.2619999999999</v>
      </c>
      <c r="D27" s="9">
        <v>3255.0540000000001</v>
      </c>
      <c r="E27" s="9">
        <v>2715.1089999999999</v>
      </c>
      <c r="F27" s="9">
        <v>1570.2239999999999</v>
      </c>
      <c r="G27" s="6">
        <v>1</v>
      </c>
      <c r="H27" s="9">
        <v>70</v>
      </c>
      <c r="I27" s="9" t="s">
        <v>37</v>
      </c>
      <c r="J27" s="9"/>
      <c r="K27" s="9">
        <v>2888.0549999999998</v>
      </c>
      <c r="L27" s="9">
        <f t="shared" si="2"/>
        <v>-172.94599999999991</v>
      </c>
      <c r="M27" s="9">
        <f t="shared" si="3"/>
        <v>2487.944</v>
      </c>
      <c r="N27" s="9">
        <v>227.16499999999999</v>
      </c>
      <c r="O27" s="9"/>
      <c r="P27" s="9">
        <v>417.79198449599983</v>
      </c>
      <c r="Q27" s="9">
        <v>896.01928750399986</v>
      </c>
      <c r="R27" s="9"/>
      <c r="S27" s="9">
        <v>1749.328768000001</v>
      </c>
      <c r="T27" s="9">
        <f t="shared" si="4"/>
        <v>497.58879999999999</v>
      </c>
      <c r="U27" s="4">
        <f t="shared" ref="U27" si="11">12*T27-S27-R27-Q27-P27-O27-F27</f>
        <v>1337.7015599999993</v>
      </c>
      <c r="V27" s="9">
        <f t="shared" si="5"/>
        <v>12</v>
      </c>
      <c r="W27" s="9">
        <f t="shared" si="6"/>
        <v>9.3116324965513702</v>
      </c>
      <c r="X27" s="9">
        <v>453.67960000000011</v>
      </c>
      <c r="Y27" s="9">
        <v>417.40320000000003</v>
      </c>
      <c r="Z27" s="9">
        <v>457.06279999999998</v>
      </c>
      <c r="AA27" s="9">
        <v>304.71480000000003</v>
      </c>
      <c r="AB27" s="9">
        <v>332.03960000000001</v>
      </c>
      <c r="AC27" s="9">
        <v>377.9864</v>
      </c>
      <c r="AD27" s="9">
        <v>429.1764</v>
      </c>
      <c r="AE27" s="9">
        <v>423.87560000000002</v>
      </c>
      <c r="AF27" s="9"/>
      <c r="AG27" s="9">
        <f>G27*U27</f>
        <v>1337.7015599999993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spans="1:43" x14ac:dyDescent="0.25">
      <c r="A28" s="9" t="s">
        <v>70</v>
      </c>
      <c r="B28" s="9" t="s">
        <v>36</v>
      </c>
      <c r="C28" s="9">
        <v>4.2809999999999997</v>
      </c>
      <c r="D28" s="9">
        <v>53.087000000000003</v>
      </c>
      <c r="E28" s="9">
        <v>3.66</v>
      </c>
      <c r="F28" s="9">
        <v>52.256999999999998</v>
      </c>
      <c r="G28" s="6">
        <v>1</v>
      </c>
      <c r="H28" s="9">
        <v>40</v>
      </c>
      <c r="I28" s="9" t="s">
        <v>37</v>
      </c>
      <c r="J28" s="9"/>
      <c r="K28" s="9">
        <v>54.5</v>
      </c>
      <c r="L28" s="9">
        <f t="shared" si="2"/>
        <v>-50.84</v>
      </c>
      <c r="M28" s="9">
        <f t="shared" si="3"/>
        <v>3.66</v>
      </c>
      <c r="N28" s="9"/>
      <c r="O28" s="9"/>
      <c r="P28" s="9">
        <v>36.403599999999997</v>
      </c>
      <c r="Q28" s="9"/>
      <c r="R28" s="9"/>
      <c r="S28" s="9">
        <v>0</v>
      </c>
      <c r="T28" s="9">
        <f t="shared" si="4"/>
        <v>0.73199999999999998</v>
      </c>
      <c r="U28" s="4"/>
      <c r="V28" s="9">
        <f t="shared" si="5"/>
        <v>121.1210382513661</v>
      </c>
      <c r="W28" s="9">
        <f t="shared" si="6"/>
        <v>121.1210382513661</v>
      </c>
      <c r="X28" s="9">
        <v>1.3146</v>
      </c>
      <c r="Y28" s="9">
        <v>7.8512000000000004</v>
      </c>
      <c r="Z28" s="9">
        <v>8.7356000000000016</v>
      </c>
      <c r="AA28" s="9">
        <v>3.5047999999999999</v>
      </c>
      <c r="AB28" s="9">
        <v>4.6479999999999997</v>
      </c>
      <c r="AC28" s="9">
        <v>5.9480000000000004</v>
      </c>
      <c r="AD28" s="9">
        <v>7.4024000000000001</v>
      </c>
      <c r="AE28" s="9">
        <v>6.2479999999999993</v>
      </c>
      <c r="AF28" s="9"/>
      <c r="AG28" s="9">
        <f>G28*U28</f>
        <v>0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spans="1:43" x14ac:dyDescent="0.25">
      <c r="A29" s="10" t="s">
        <v>71</v>
      </c>
      <c r="B29" s="10" t="s">
        <v>36</v>
      </c>
      <c r="C29" s="10"/>
      <c r="D29" s="10"/>
      <c r="E29" s="10"/>
      <c r="F29" s="10"/>
      <c r="G29" s="11">
        <v>0</v>
      </c>
      <c r="H29" s="10"/>
      <c r="I29" s="10" t="s">
        <v>37</v>
      </c>
      <c r="J29" s="10"/>
      <c r="K29" s="10"/>
      <c r="L29" s="10">
        <f t="shared" si="2"/>
        <v>0</v>
      </c>
      <c r="M29" s="10">
        <f t="shared" si="3"/>
        <v>0</v>
      </c>
      <c r="N29" s="10"/>
      <c r="O29" s="10"/>
      <c r="P29" s="10">
        <v>0</v>
      </c>
      <c r="Q29" s="10"/>
      <c r="R29" s="10"/>
      <c r="S29" s="10">
        <v>0</v>
      </c>
      <c r="T29" s="10">
        <f t="shared" si="4"/>
        <v>0</v>
      </c>
      <c r="U29" s="12"/>
      <c r="V29" s="10" t="e">
        <f t="shared" si="5"/>
        <v>#DIV/0!</v>
      </c>
      <c r="W29" s="10" t="e">
        <f t="shared" si="6"/>
        <v>#DIV/0!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 t="s">
        <v>60</v>
      </c>
      <c r="AG29" s="10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1:43" x14ac:dyDescent="0.25">
      <c r="A30" s="10" t="s">
        <v>72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73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/>
      <c r="P30" s="10">
        <v>0</v>
      </c>
      <c r="Q30" s="10"/>
      <c r="R30" s="10"/>
      <c r="S30" s="10">
        <v>0</v>
      </c>
      <c r="T30" s="10">
        <f t="shared" si="4"/>
        <v>0</v>
      </c>
      <c r="U30" s="12"/>
      <c r="V30" s="10" t="e">
        <f t="shared" si="5"/>
        <v>#DIV/0!</v>
      </c>
      <c r="W30" s="10" t="e">
        <f t="shared" si="6"/>
        <v>#DIV/0!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 t="s">
        <v>60</v>
      </c>
      <c r="AG30" s="10"/>
      <c r="AH30" s="9"/>
      <c r="AI30" s="9"/>
      <c r="AJ30" s="9"/>
      <c r="AK30" s="9"/>
      <c r="AL30" s="9"/>
      <c r="AM30" s="9"/>
      <c r="AN30" s="9"/>
      <c r="AO30" s="9"/>
      <c r="AP30" s="9"/>
      <c r="AQ30" s="9"/>
    </row>
    <row r="31" spans="1:43" x14ac:dyDescent="0.25">
      <c r="A31" s="9" t="s">
        <v>74</v>
      </c>
      <c r="B31" s="9" t="s">
        <v>36</v>
      </c>
      <c r="C31" s="9">
        <v>2188.922</v>
      </c>
      <c r="D31" s="9">
        <v>1650.54</v>
      </c>
      <c r="E31" s="9">
        <v>2297.8649999999998</v>
      </c>
      <c r="F31" s="9">
        <v>160.71799999999999</v>
      </c>
      <c r="G31" s="6">
        <v>1</v>
      </c>
      <c r="H31" s="9">
        <v>30</v>
      </c>
      <c r="I31" s="17" t="s">
        <v>73</v>
      </c>
      <c r="J31" s="9"/>
      <c r="K31" s="9">
        <v>2475.6570000000002</v>
      </c>
      <c r="L31" s="9">
        <f t="shared" si="2"/>
        <v>-177.79200000000037</v>
      </c>
      <c r="M31" s="9">
        <f t="shared" si="3"/>
        <v>2187.1659999999997</v>
      </c>
      <c r="N31" s="9">
        <v>110.699</v>
      </c>
      <c r="O31" s="9"/>
      <c r="P31" s="9">
        <v>0</v>
      </c>
      <c r="Q31" s="9">
        <v>602.32070421600031</v>
      </c>
      <c r="R31" s="9"/>
      <c r="S31" s="9">
        <v>600</v>
      </c>
      <c r="T31" s="9">
        <f t="shared" si="4"/>
        <v>437.43319999999994</v>
      </c>
      <c r="U31" s="18">
        <v>500</v>
      </c>
      <c r="V31" s="9">
        <f t="shared" si="5"/>
        <v>4.2590244732590037</v>
      </c>
      <c r="W31" s="9">
        <f t="shared" si="6"/>
        <v>3.1159928057952628</v>
      </c>
      <c r="X31" s="9">
        <v>568.72439999999995</v>
      </c>
      <c r="Y31" s="9">
        <v>251.48259999999999</v>
      </c>
      <c r="Z31" s="9">
        <v>368.85539999999997</v>
      </c>
      <c r="AA31" s="9">
        <v>396.49419999999998</v>
      </c>
      <c r="AB31" s="9">
        <v>440.45499999999998</v>
      </c>
      <c r="AC31" s="9">
        <v>413.21019999999999</v>
      </c>
      <c r="AD31" s="9">
        <v>344.91699999999997</v>
      </c>
      <c r="AE31" s="9">
        <v>256.0514</v>
      </c>
      <c r="AF31" s="9"/>
      <c r="AG31" s="9">
        <f>G31*U31</f>
        <v>500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spans="1:43" x14ac:dyDescent="0.25">
      <c r="A32" s="10" t="s">
        <v>75</v>
      </c>
      <c r="B32" s="10" t="s">
        <v>36</v>
      </c>
      <c r="C32" s="10">
        <v>-0.23</v>
      </c>
      <c r="D32" s="10"/>
      <c r="E32" s="10"/>
      <c r="F32" s="10">
        <v>-0.23</v>
      </c>
      <c r="G32" s="11">
        <v>0</v>
      </c>
      <c r="H32" s="10">
        <v>40</v>
      </c>
      <c r="I32" s="10" t="s">
        <v>52</v>
      </c>
      <c r="J32" s="10"/>
      <c r="K32" s="10">
        <v>65</v>
      </c>
      <c r="L32" s="10">
        <f t="shared" si="2"/>
        <v>-65</v>
      </c>
      <c r="M32" s="10">
        <f t="shared" si="3"/>
        <v>0</v>
      </c>
      <c r="N32" s="10"/>
      <c r="O32" s="10"/>
      <c r="P32" s="10">
        <v>0</v>
      </c>
      <c r="Q32" s="10"/>
      <c r="R32" s="10"/>
      <c r="S32" s="10">
        <v>0</v>
      </c>
      <c r="T32" s="10">
        <f t="shared" si="4"/>
        <v>0</v>
      </c>
      <c r="U32" s="12"/>
      <c r="V32" s="10" t="e">
        <f t="shared" si="5"/>
        <v>#DIV/0!</v>
      </c>
      <c r="W32" s="10" t="e">
        <f t="shared" si="6"/>
        <v>#DIV/0!</v>
      </c>
      <c r="X32" s="10">
        <v>-9.8000000000000004E-2</v>
      </c>
      <c r="Y32" s="10">
        <v>12.5518</v>
      </c>
      <c r="Z32" s="10">
        <v>13.9894</v>
      </c>
      <c r="AA32" s="10">
        <v>4.5703999999999994</v>
      </c>
      <c r="AB32" s="10">
        <v>4.0182000000000002</v>
      </c>
      <c r="AC32" s="10">
        <v>1.0573999999999999</v>
      </c>
      <c r="AD32" s="10">
        <v>8.8558000000000003</v>
      </c>
      <c r="AE32" s="10">
        <v>9.4266000000000005</v>
      </c>
      <c r="AF32" s="10"/>
      <c r="AG32" s="10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spans="1:43" x14ac:dyDescent="0.25">
      <c r="A33" s="9" t="s">
        <v>76</v>
      </c>
      <c r="B33" s="9" t="s">
        <v>36</v>
      </c>
      <c r="C33" s="9">
        <v>-51.401000000000003</v>
      </c>
      <c r="D33" s="9">
        <v>13.895</v>
      </c>
      <c r="E33" s="9">
        <v>42.962000000000003</v>
      </c>
      <c r="F33" s="9">
        <v>-112.038</v>
      </c>
      <c r="G33" s="6">
        <v>1</v>
      </c>
      <c r="H33" s="9">
        <v>40</v>
      </c>
      <c r="I33" s="17" t="s">
        <v>73</v>
      </c>
      <c r="J33" s="9"/>
      <c r="K33" s="9">
        <v>716.9</v>
      </c>
      <c r="L33" s="9">
        <f t="shared" si="2"/>
        <v>-673.93799999999999</v>
      </c>
      <c r="M33" s="9">
        <f t="shared" si="3"/>
        <v>42.962000000000003</v>
      </c>
      <c r="N33" s="9"/>
      <c r="O33" s="9"/>
      <c r="P33" s="9">
        <v>0</v>
      </c>
      <c r="Q33" s="9"/>
      <c r="R33" s="9"/>
      <c r="S33" s="9">
        <v>800</v>
      </c>
      <c r="T33" s="9">
        <f t="shared" si="4"/>
        <v>8.5924000000000014</v>
      </c>
      <c r="U33" s="18">
        <v>1500</v>
      </c>
      <c r="V33" s="9">
        <f t="shared" si="5"/>
        <v>254.63921605139421</v>
      </c>
      <c r="W33" s="9">
        <f t="shared" si="6"/>
        <v>80.066337693775878</v>
      </c>
      <c r="X33" s="9">
        <v>9.855599999999999</v>
      </c>
      <c r="Y33" s="9">
        <v>688.04320000000007</v>
      </c>
      <c r="Z33" s="9">
        <v>1184.2532000000001</v>
      </c>
      <c r="AA33" s="9">
        <v>1031.4698000000001</v>
      </c>
      <c r="AB33" s="9">
        <v>1271.6156000000001</v>
      </c>
      <c r="AC33" s="9">
        <v>1208.7454</v>
      </c>
      <c r="AD33" s="9">
        <v>1373.8782000000001</v>
      </c>
      <c r="AE33" s="9">
        <v>1608.1394</v>
      </c>
      <c r="AF33" s="9"/>
      <c r="AG33" s="9">
        <f>G33*U33</f>
        <v>1500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</row>
    <row r="34" spans="1:43" x14ac:dyDescent="0.25">
      <c r="A34" s="10" t="s">
        <v>77</v>
      </c>
      <c r="B34" s="10" t="s">
        <v>36</v>
      </c>
      <c r="C34" s="10"/>
      <c r="D34" s="10"/>
      <c r="E34" s="10"/>
      <c r="F34" s="10"/>
      <c r="G34" s="11">
        <v>0</v>
      </c>
      <c r="H34" s="10"/>
      <c r="I34" s="10" t="s">
        <v>37</v>
      </c>
      <c r="J34" s="10"/>
      <c r="K34" s="10"/>
      <c r="L34" s="10">
        <f t="shared" si="2"/>
        <v>0</v>
      </c>
      <c r="M34" s="10">
        <f t="shared" si="3"/>
        <v>0</v>
      </c>
      <c r="N34" s="10"/>
      <c r="O34" s="10"/>
      <c r="P34" s="10">
        <v>0</v>
      </c>
      <c r="Q34" s="10"/>
      <c r="R34" s="10"/>
      <c r="S34" s="10">
        <v>0</v>
      </c>
      <c r="T34" s="10">
        <f t="shared" si="4"/>
        <v>0</v>
      </c>
      <c r="U34" s="12"/>
      <c r="V34" s="10" t="e">
        <f t="shared" si="5"/>
        <v>#DIV/0!</v>
      </c>
      <c r="W34" s="10" t="e">
        <f t="shared" si="6"/>
        <v>#DIV/0!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 t="s">
        <v>60</v>
      </c>
      <c r="AG34" s="10"/>
      <c r="AH34" s="9"/>
      <c r="AI34" s="9"/>
      <c r="AJ34" s="9"/>
      <c r="AK34" s="9"/>
      <c r="AL34" s="9"/>
      <c r="AM34" s="9"/>
      <c r="AN34" s="9"/>
      <c r="AO34" s="9"/>
      <c r="AP34" s="9"/>
      <c r="AQ34" s="9"/>
    </row>
    <row r="35" spans="1:43" x14ac:dyDescent="0.25">
      <c r="A35" s="10" t="s">
        <v>78</v>
      </c>
      <c r="B35" s="10" t="s">
        <v>36</v>
      </c>
      <c r="C35" s="10"/>
      <c r="D35" s="10"/>
      <c r="E35" s="10"/>
      <c r="F35" s="10"/>
      <c r="G35" s="11">
        <v>0</v>
      </c>
      <c r="H35" s="10"/>
      <c r="I35" s="10" t="s">
        <v>37</v>
      </c>
      <c r="J35" s="10"/>
      <c r="K35" s="10"/>
      <c r="L35" s="10">
        <f t="shared" si="2"/>
        <v>0</v>
      </c>
      <c r="M35" s="10">
        <f t="shared" si="3"/>
        <v>0</v>
      </c>
      <c r="N35" s="10"/>
      <c r="O35" s="10"/>
      <c r="P35" s="10">
        <v>0</v>
      </c>
      <c r="Q35" s="10"/>
      <c r="R35" s="10"/>
      <c r="S35" s="10">
        <v>0</v>
      </c>
      <c r="T35" s="10">
        <f t="shared" si="4"/>
        <v>0</v>
      </c>
      <c r="U35" s="12"/>
      <c r="V35" s="10" t="e">
        <f t="shared" si="5"/>
        <v>#DIV/0!</v>
      </c>
      <c r="W35" s="10" t="e">
        <f t="shared" si="6"/>
        <v>#DIV/0!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 t="s">
        <v>60</v>
      </c>
      <c r="AG35" s="10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spans="1:43" x14ac:dyDescent="0.25">
      <c r="A36" s="10" t="s">
        <v>79</v>
      </c>
      <c r="B36" s="10" t="s">
        <v>36</v>
      </c>
      <c r="C36" s="10"/>
      <c r="D36" s="10"/>
      <c r="E36" s="10"/>
      <c r="F36" s="10"/>
      <c r="G36" s="11">
        <v>0</v>
      </c>
      <c r="H36" s="10"/>
      <c r="I36" s="10" t="s">
        <v>37</v>
      </c>
      <c r="J36" s="10"/>
      <c r="K36" s="10"/>
      <c r="L36" s="10">
        <f t="shared" si="2"/>
        <v>0</v>
      </c>
      <c r="M36" s="10">
        <f t="shared" si="3"/>
        <v>0</v>
      </c>
      <c r="N36" s="10"/>
      <c r="O36" s="10"/>
      <c r="P36" s="10">
        <v>0</v>
      </c>
      <c r="Q36" s="10"/>
      <c r="R36" s="10"/>
      <c r="S36" s="10">
        <v>0</v>
      </c>
      <c r="T36" s="10">
        <f t="shared" si="4"/>
        <v>0</v>
      </c>
      <c r="U36" s="12"/>
      <c r="V36" s="10" t="e">
        <f t="shared" si="5"/>
        <v>#DIV/0!</v>
      </c>
      <c r="W36" s="10" t="e">
        <f t="shared" si="6"/>
        <v>#DIV/0!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 t="s">
        <v>60</v>
      </c>
      <c r="AG36" s="10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spans="1:43" x14ac:dyDescent="0.25">
      <c r="A37" s="10" t="s">
        <v>80</v>
      </c>
      <c r="B37" s="10" t="s">
        <v>36</v>
      </c>
      <c r="C37" s="10"/>
      <c r="D37" s="10"/>
      <c r="E37" s="10"/>
      <c r="F37" s="10"/>
      <c r="G37" s="11">
        <v>0</v>
      </c>
      <c r="H37" s="10"/>
      <c r="I37" s="10" t="s">
        <v>37</v>
      </c>
      <c r="J37" s="10"/>
      <c r="K37" s="10"/>
      <c r="L37" s="10">
        <f t="shared" si="2"/>
        <v>0</v>
      </c>
      <c r="M37" s="10">
        <f t="shared" si="3"/>
        <v>0</v>
      </c>
      <c r="N37" s="10"/>
      <c r="O37" s="10"/>
      <c r="P37" s="10">
        <v>0</v>
      </c>
      <c r="Q37" s="10"/>
      <c r="R37" s="10"/>
      <c r="S37" s="10">
        <v>0</v>
      </c>
      <c r="T37" s="10">
        <f t="shared" si="4"/>
        <v>0</v>
      </c>
      <c r="U37" s="12"/>
      <c r="V37" s="10" t="e">
        <f t="shared" si="5"/>
        <v>#DIV/0!</v>
      </c>
      <c r="W37" s="10" t="e">
        <f t="shared" si="6"/>
        <v>#DIV/0!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 t="s">
        <v>60</v>
      </c>
      <c r="AG37" s="10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spans="1:43" x14ac:dyDescent="0.25">
      <c r="A38" s="9" t="s">
        <v>81</v>
      </c>
      <c r="B38" s="9" t="s">
        <v>41</v>
      </c>
      <c r="C38" s="9">
        <v>2441</v>
      </c>
      <c r="D38" s="9">
        <v>391</v>
      </c>
      <c r="E38" s="9">
        <v>2342</v>
      </c>
      <c r="F38" s="9">
        <v>125</v>
      </c>
      <c r="G38" s="6">
        <v>0.4</v>
      </c>
      <c r="H38" s="9">
        <v>45</v>
      </c>
      <c r="I38" s="17" t="s">
        <v>73</v>
      </c>
      <c r="J38" s="9"/>
      <c r="K38" s="9">
        <v>5603</v>
      </c>
      <c r="L38" s="9">
        <f t="shared" ref="L38:L69" si="12">E38-K38</f>
        <v>-3261</v>
      </c>
      <c r="M38" s="9">
        <f t="shared" ref="M38:M69" si="13">E38-N38</f>
        <v>2306</v>
      </c>
      <c r="N38" s="9">
        <v>36</v>
      </c>
      <c r="O38" s="9"/>
      <c r="P38" s="9">
        <v>0</v>
      </c>
      <c r="Q38" s="9">
        <v>2484.6187519999999</v>
      </c>
      <c r="R38" s="9"/>
      <c r="S38" s="9">
        <v>800</v>
      </c>
      <c r="T38" s="9">
        <f t="shared" ref="T38:T69" si="14">M38/5</f>
        <v>461.2</v>
      </c>
      <c r="U38" s="18">
        <v>1600</v>
      </c>
      <c r="V38" s="9">
        <f t="shared" ref="V38:V69" si="15">(F38+O38+P38+Q38+R38+S38+U38)/T38</f>
        <v>10.862139531656549</v>
      </c>
      <c r="W38" s="9">
        <f t="shared" ref="W38:W69" si="16">(F38+O38+P38+Q38+R38+S38)/T38</f>
        <v>7.3929287771032088</v>
      </c>
      <c r="X38" s="9">
        <v>811.2</v>
      </c>
      <c r="Y38" s="9">
        <v>861.6</v>
      </c>
      <c r="Z38" s="9">
        <v>877.4</v>
      </c>
      <c r="AA38" s="9">
        <v>623.4</v>
      </c>
      <c r="AB38" s="9">
        <v>584.79999999999995</v>
      </c>
      <c r="AC38" s="9">
        <v>637.6</v>
      </c>
      <c r="AD38" s="9">
        <v>816</v>
      </c>
      <c r="AE38" s="9">
        <v>898.6</v>
      </c>
      <c r="AF38" s="9"/>
      <c r="AG38" s="9">
        <f t="shared" ref="AG38:AG52" si="17">G38*U38</f>
        <v>640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spans="1:43" x14ac:dyDescent="0.25">
      <c r="A39" s="9" t="s">
        <v>82</v>
      </c>
      <c r="B39" s="9" t="s">
        <v>41</v>
      </c>
      <c r="C39" s="9">
        <v>1166.75</v>
      </c>
      <c r="D39" s="9">
        <v>310</v>
      </c>
      <c r="E39" s="9">
        <v>352</v>
      </c>
      <c r="F39" s="9">
        <v>899.75</v>
      </c>
      <c r="G39" s="6">
        <v>0.45</v>
      </c>
      <c r="H39" s="9">
        <v>50</v>
      </c>
      <c r="I39" s="9" t="s">
        <v>37</v>
      </c>
      <c r="J39" s="9"/>
      <c r="K39" s="9">
        <v>1015</v>
      </c>
      <c r="L39" s="9">
        <f t="shared" si="12"/>
        <v>-663</v>
      </c>
      <c r="M39" s="9">
        <f t="shared" si="13"/>
        <v>352</v>
      </c>
      <c r="N39" s="9"/>
      <c r="O39" s="9"/>
      <c r="P39" s="9">
        <v>471.47800000000012</v>
      </c>
      <c r="Q39" s="9"/>
      <c r="R39" s="9"/>
      <c r="S39" s="9">
        <v>0</v>
      </c>
      <c r="T39" s="9">
        <f t="shared" si="14"/>
        <v>70.400000000000006</v>
      </c>
      <c r="U39" s="4"/>
      <c r="V39" s="9">
        <f t="shared" si="15"/>
        <v>19.477670454545454</v>
      </c>
      <c r="W39" s="9">
        <f t="shared" si="16"/>
        <v>19.477670454545454</v>
      </c>
      <c r="X39" s="9">
        <v>98.4</v>
      </c>
      <c r="Y39" s="9">
        <v>126.8</v>
      </c>
      <c r="Z39" s="9">
        <v>127.8</v>
      </c>
      <c r="AA39" s="9">
        <v>67.2</v>
      </c>
      <c r="AB39" s="9">
        <v>118.2</v>
      </c>
      <c r="AC39" s="9">
        <v>109.4</v>
      </c>
      <c r="AD39" s="9">
        <v>109.6</v>
      </c>
      <c r="AE39" s="9">
        <v>174.8</v>
      </c>
      <c r="AF39" s="19" t="s">
        <v>62</v>
      </c>
      <c r="AG39" s="9">
        <f t="shared" si="17"/>
        <v>0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spans="1:43" x14ac:dyDescent="0.25">
      <c r="A40" s="9" t="s">
        <v>83</v>
      </c>
      <c r="B40" s="9" t="s">
        <v>41</v>
      </c>
      <c r="C40" s="9">
        <v>1115</v>
      </c>
      <c r="D40" s="9">
        <v>312</v>
      </c>
      <c r="E40" s="9">
        <v>818</v>
      </c>
      <c r="F40" s="9">
        <v>289</v>
      </c>
      <c r="G40" s="6">
        <v>0.4</v>
      </c>
      <c r="H40" s="9">
        <v>45</v>
      </c>
      <c r="I40" s="17" t="s">
        <v>73</v>
      </c>
      <c r="J40" s="9"/>
      <c r="K40" s="9">
        <v>1947</v>
      </c>
      <c r="L40" s="9">
        <f t="shared" si="12"/>
        <v>-1129</v>
      </c>
      <c r="M40" s="9">
        <f t="shared" si="13"/>
        <v>818</v>
      </c>
      <c r="N40" s="9"/>
      <c r="O40" s="9"/>
      <c r="P40" s="9">
        <v>0</v>
      </c>
      <c r="Q40" s="9"/>
      <c r="R40" s="9"/>
      <c r="S40" s="9">
        <v>300</v>
      </c>
      <c r="T40" s="9">
        <f t="shared" si="14"/>
        <v>163.6</v>
      </c>
      <c r="U40" s="18">
        <v>400</v>
      </c>
      <c r="V40" s="9">
        <f t="shared" si="15"/>
        <v>6.0452322738386313</v>
      </c>
      <c r="W40" s="9">
        <f t="shared" si="16"/>
        <v>3.6002444987775064</v>
      </c>
      <c r="X40" s="9">
        <v>166.8</v>
      </c>
      <c r="Y40" s="9">
        <v>188.8</v>
      </c>
      <c r="Z40" s="9">
        <v>301.60000000000002</v>
      </c>
      <c r="AA40" s="9">
        <v>192.2</v>
      </c>
      <c r="AB40" s="9">
        <v>141.6</v>
      </c>
      <c r="AC40" s="9">
        <v>149</v>
      </c>
      <c r="AD40" s="9">
        <v>204.2</v>
      </c>
      <c r="AE40" s="9">
        <v>235.2</v>
      </c>
      <c r="AF40" s="9"/>
      <c r="AG40" s="9">
        <f t="shared" si="17"/>
        <v>160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spans="1:43" x14ac:dyDescent="0.25">
      <c r="A41" s="9" t="s">
        <v>84</v>
      </c>
      <c r="B41" s="9" t="s">
        <v>41</v>
      </c>
      <c r="C41" s="9">
        <v>483</v>
      </c>
      <c r="D41" s="9">
        <v>588</v>
      </c>
      <c r="E41" s="9">
        <v>625</v>
      </c>
      <c r="F41" s="9">
        <v>185</v>
      </c>
      <c r="G41" s="6">
        <v>0.4</v>
      </c>
      <c r="H41" s="9">
        <v>40</v>
      </c>
      <c r="I41" s="17" t="s">
        <v>73</v>
      </c>
      <c r="J41" s="9"/>
      <c r="K41" s="9">
        <v>1306</v>
      </c>
      <c r="L41" s="9">
        <f t="shared" si="12"/>
        <v>-681</v>
      </c>
      <c r="M41" s="9">
        <f t="shared" si="13"/>
        <v>625</v>
      </c>
      <c r="N41" s="9"/>
      <c r="O41" s="9"/>
      <c r="P41" s="9">
        <v>0</v>
      </c>
      <c r="Q41" s="9"/>
      <c r="R41" s="9"/>
      <c r="S41" s="9">
        <v>200</v>
      </c>
      <c r="T41" s="9">
        <f t="shared" si="14"/>
        <v>125</v>
      </c>
      <c r="U41" s="18">
        <v>300</v>
      </c>
      <c r="V41" s="9">
        <f t="shared" si="15"/>
        <v>5.48</v>
      </c>
      <c r="W41" s="9">
        <f t="shared" si="16"/>
        <v>3.08</v>
      </c>
      <c r="X41" s="9">
        <v>116.2</v>
      </c>
      <c r="Y41" s="9">
        <v>86.8</v>
      </c>
      <c r="Z41" s="9">
        <v>126.8</v>
      </c>
      <c r="AA41" s="9">
        <v>86</v>
      </c>
      <c r="AB41" s="9">
        <v>78.400000000000006</v>
      </c>
      <c r="AC41" s="9">
        <v>89</v>
      </c>
      <c r="AD41" s="9">
        <v>117.4</v>
      </c>
      <c r="AE41" s="9">
        <v>80.400000000000006</v>
      </c>
      <c r="AF41" s="9"/>
      <c r="AG41" s="9">
        <f t="shared" si="17"/>
        <v>120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spans="1:43" x14ac:dyDescent="0.25">
      <c r="A42" s="9" t="s">
        <v>85</v>
      </c>
      <c r="B42" s="9" t="s">
        <v>36</v>
      </c>
      <c r="C42" s="9"/>
      <c r="D42" s="9"/>
      <c r="E42" s="9"/>
      <c r="F42" s="9"/>
      <c r="G42" s="6">
        <v>1</v>
      </c>
      <c r="H42" s="9"/>
      <c r="I42" s="9" t="s">
        <v>37</v>
      </c>
      <c r="J42" s="9"/>
      <c r="K42" s="9"/>
      <c r="L42" s="9">
        <f t="shared" si="12"/>
        <v>0</v>
      </c>
      <c r="M42" s="9">
        <f t="shared" si="13"/>
        <v>0</v>
      </c>
      <c r="N42" s="9"/>
      <c r="O42" s="9"/>
      <c r="P42" s="9">
        <v>0</v>
      </c>
      <c r="Q42" s="9"/>
      <c r="R42" s="9"/>
      <c r="S42" s="9">
        <v>300</v>
      </c>
      <c r="T42" s="9">
        <f t="shared" si="14"/>
        <v>0</v>
      </c>
      <c r="U42" s="4"/>
      <c r="V42" s="9" t="e">
        <f t="shared" si="15"/>
        <v>#DIV/0!</v>
      </c>
      <c r="W42" s="9" t="e">
        <f t="shared" si="16"/>
        <v>#DIV/0!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 t="s">
        <v>86</v>
      </c>
      <c r="AG42" s="9">
        <f t="shared" si="17"/>
        <v>0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spans="1:43" x14ac:dyDescent="0.25">
      <c r="A43" s="9" t="s">
        <v>87</v>
      </c>
      <c r="B43" s="9" t="s">
        <v>41</v>
      </c>
      <c r="C43" s="9">
        <v>182</v>
      </c>
      <c r="D43" s="9">
        <v>365</v>
      </c>
      <c r="E43" s="9">
        <v>177</v>
      </c>
      <c r="F43" s="9">
        <v>346</v>
      </c>
      <c r="G43" s="6">
        <v>0.1</v>
      </c>
      <c r="H43" s="9">
        <v>731</v>
      </c>
      <c r="I43" s="9" t="s">
        <v>37</v>
      </c>
      <c r="J43" s="9"/>
      <c r="K43" s="9">
        <v>226</v>
      </c>
      <c r="L43" s="9">
        <f t="shared" si="12"/>
        <v>-49</v>
      </c>
      <c r="M43" s="9">
        <f t="shared" si="13"/>
        <v>177</v>
      </c>
      <c r="N43" s="9"/>
      <c r="O43" s="9"/>
      <c r="P43" s="9">
        <v>156.9</v>
      </c>
      <c r="Q43" s="9"/>
      <c r="R43" s="9"/>
      <c r="S43" s="9">
        <v>0</v>
      </c>
      <c r="T43" s="9">
        <f t="shared" si="14"/>
        <v>35.4</v>
      </c>
      <c r="U43" s="4"/>
      <c r="V43" s="9">
        <f t="shared" si="15"/>
        <v>14.206214689265536</v>
      </c>
      <c r="W43" s="9">
        <f t="shared" si="16"/>
        <v>14.206214689265536</v>
      </c>
      <c r="X43" s="9">
        <v>37.4</v>
      </c>
      <c r="Y43" s="9">
        <v>57.4</v>
      </c>
      <c r="Z43" s="9">
        <v>55.2</v>
      </c>
      <c r="AA43" s="9">
        <v>30.6</v>
      </c>
      <c r="AB43" s="9">
        <v>40</v>
      </c>
      <c r="AC43" s="9">
        <v>46</v>
      </c>
      <c r="AD43" s="9">
        <v>46</v>
      </c>
      <c r="AE43" s="9">
        <v>42</v>
      </c>
      <c r="AF43" s="9"/>
      <c r="AG43" s="9">
        <f t="shared" si="17"/>
        <v>0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spans="1:43" x14ac:dyDescent="0.25">
      <c r="A44" s="9" t="s">
        <v>88</v>
      </c>
      <c r="B44" s="9" t="s">
        <v>41</v>
      </c>
      <c r="C44" s="9">
        <v>110</v>
      </c>
      <c r="D44" s="9">
        <v>72</v>
      </c>
      <c r="E44" s="9">
        <v>79</v>
      </c>
      <c r="F44" s="9">
        <v>77</v>
      </c>
      <c r="G44" s="6">
        <v>0.35</v>
      </c>
      <c r="H44" s="9">
        <v>40</v>
      </c>
      <c r="I44" s="9" t="s">
        <v>37</v>
      </c>
      <c r="J44" s="9"/>
      <c r="K44" s="9">
        <v>104</v>
      </c>
      <c r="L44" s="9">
        <f t="shared" si="12"/>
        <v>-25</v>
      </c>
      <c r="M44" s="9">
        <f t="shared" si="13"/>
        <v>79</v>
      </c>
      <c r="N44" s="9"/>
      <c r="O44" s="9"/>
      <c r="P44" s="9">
        <v>0</v>
      </c>
      <c r="Q44" s="9"/>
      <c r="R44" s="9"/>
      <c r="S44" s="9">
        <v>81.800000000000011</v>
      </c>
      <c r="T44" s="9">
        <f t="shared" si="14"/>
        <v>15.8</v>
      </c>
      <c r="U44" s="4">
        <f t="shared" ref="U44:U52" si="18">12*T44-S44-R44-Q44-P44-O44-F44</f>
        <v>30.800000000000011</v>
      </c>
      <c r="V44" s="9">
        <f t="shared" si="15"/>
        <v>12.000000000000002</v>
      </c>
      <c r="W44" s="9">
        <f t="shared" si="16"/>
        <v>10.050632911392405</v>
      </c>
      <c r="X44" s="9">
        <v>18.8</v>
      </c>
      <c r="Y44" s="9">
        <v>28.4</v>
      </c>
      <c r="Z44" s="9">
        <v>24.4</v>
      </c>
      <c r="AA44" s="9">
        <v>10.199999999999999</v>
      </c>
      <c r="AB44" s="9">
        <v>3.8</v>
      </c>
      <c r="AC44" s="9">
        <v>4.8</v>
      </c>
      <c r="AD44" s="9">
        <v>13</v>
      </c>
      <c r="AE44" s="9">
        <v>28.4</v>
      </c>
      <c r="AF44" s="9"/>
      <c r="AG44" s="9">
        <f t="shared" si="17"/>
        <v>10.780000000000003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spans="1:43" x14ac:dyDescent="0.25">
      <c r="A45" s="9" t="s">
        <v>89</v>
      </c>
      <c r="B45" s="9" t="s">
        <v>36</v>
      </c>
      <c r="C45" s="9">
        <v>42.668999999999997</v>
      </c>
      <c r="D45" s="9">
        <v>1.4590000000000001</v>
      </c>
      <c r="E45" s="9">
        <v>21.603999999999999</v>
      </c>
      <c r="F45" s="9">
        <v>20.041</v>
      </c>
      <c r="G45" s="6">
        <v>1</v>
      </c>
      <c r="H45" s="9">
        <v>40</v>
      </c>
      <c r="I45" s="9" t="s">
        <v>37</v>
      </c>
      <c r="J45" s="9"/>
      <c r="K45" s="9">
        <v>26</v>
      </c>
      <c r="L45" s="9">
        <f t="shared" si="12"/>
        <v>-4.3960000000000008</v>
      </c>
      <c r="M45" s="9">
        <f t="shared" si="13"/>
        <v>21.603999999999999</v>
      </c>
      <c r="N45" s="9"/>
      <c r="O45" s="9"/>
      <c r="P45" s="9">
        <v>0</v>
      </c>
      <c r="Q45" s="9"/>
      <c r="R45" s="9"/>
      <c r="S45" s="9">
        <v>9.0674000000000028</v>
      </c>
      <c r="T45" s="9">
        <f t="shared" si="14"/>
        <v>4.3208000000000002</v>
      </c>
      <c r="U45" s="4">
        <f t="shared" si="18"/>
        <v>22.741200000000003</v>
      </c>
      <c r="V45" s="9">
        <f t="shared" si="15"/>
        <v>12.000000000000002</v>
      </c>
      <c r="W45" s="9">
        <f t="shared" si="16"/>
        <v>6.7368079985187936</v>
      </c>
      <c r="X45" s="9">
        <v>3.3064</v>
      </c>
      <c r="Y45" s="9">
        <v>1.6506000000000001</v>
      </c>
      <c r="Z45" s="9">
        <v>2.6989999999999998</v>
      </c>
      <c r="AA45" s="9">
        <v>4.2096</v>
      </c>
      <c r="AB45" s="9">
        <v>3.2993999999999999</v>
      </c>
      <c r="AC45" s="9">
        <v>1.956</v>
      </c>
      <c r="AD45" s="9">
        <v>1.4396</v>
      </c>
      <c r="AE45" s="9">
        <v>2.4447999999999999</v>
      </c>
      <c r="AF45" s="9"/>
      <c r="AG45" s="9">
        <f t="shared" si="17"/>
        <v>22.741200000000003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spans="1:43" x14ac:dyDescent="0.25">
      <c r="A46" s="9" t="s">
        <v>90</v>
      </c>
      <c r="B46" s="9" t="s">
        <v>41</v>
      </c>
      <c r="C46" s="9">
        <v>-25</v>
      </c>
      <c r="D46" s="9"/>
      <c r="E46" s="9">
        <v>-1</v>
      </c>
      <c r="F46" s="9">
        <v>-29</v>
      </c>
      <c r="G46" s="6">
        <v>0.4</v>
      </c>
      <c r="H46" s="9">
        <v>40</v>
      </c>
      <c r="I46" s="17" t="s">
        <v>73</v>
      </c>
      <c r="J46" s="9"/>
      <c r="K46" s="9">
        <v>252</v>
      </c>
      <c r="L46" s="9">
        <f t="shared" si="12"/>
        <v>-253</v>
      </c>
      <c r="M46" s="9">
        <f t="shared" si="13"/>
        <v>-1</v>
      </c>
      <c r="N46" s="9"/>
      <c r="O46" s="9"/>
      <c r="P46" s="9">
        <v>0</v>
      </c>
      <c r="Q46" s="9"/>
      <c r="R46" s="9"/>
      <c r="S46" s="9">
        <v>20.2</v>
      </c>
      <c r="T46" s="9">
        <f t="shared" si="14"/>
        <v>-0.2</v>
      </c>
      <c r="U46" s="18">
        <v>100</v>
      </c>
      <c r="V46" s="9">
        <f t="shared" si="15"/>
        <v>-456</v>
      </c>
      <c r="W46" s="9">
        <f t="shared" si="16"/>
        <v>44</v>
      </c>
      <c r="X46" s="9">
        <v>-0.8</v>
      </c>
      <c r="Y46" s="9">
        <v>0.6</v>
      </c>
      <c r="Z46" s="9">
        <v>1.4</v>
      </c>
      <c r="AA46" s="9">
        <v>0.2</v>
      </c>
      <c r="AB46" s="9">
        <v>-1</v>
      </c>
      <c r="AC46" s="9">
        <v>-1.2</v>
      </c>
      <c r="AD46" s="9">
        <v>-1</v>
      </c>
      <c r="AE46" s="9">
        <v>-1</v>
      </c>
      <c r="AF46" s="9"/>
      <c r="AG46" s="9">
        <f t="shared" si="17"/>
        <v>40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spans="1:43" x14ac:dyDescent="0.25">
      <c r="A47" s="9" t="s">
        <v>91</v>
      </c>
      <c r="B47" s="9" t="s">
        <v>41</v>
      </c>
      <c r="C47" s="9">
        <v>-13</v>
      </c>
      <c r="D47" s="9">
        <v>19</v>
      </c>
      <c r="E47" s="9">
        <v>2</v>
      </c>
      <c r="F47" s="9">
        <v>2</v>
      </c>
      <c r="G47" s="6">
        <v>0.4</v>
      </c>
      <c r="H47" s="9">
        <v>45</v>
      </c>
      <c r="I47" s="17" t="s">
        <v>73</v>
      </c>
      <c r="J47" s="9"/>
      <c r="K47" s="9">
        <v>396</v>
      </c>
      <c r="L47" s="9">
        <f t="shared" si="12"/>
        <v>-394</v>
      </c>
      <c r="M47" s="9">
        <f t="shared" si="13"/>
        <v>2</v>
      </c>
      <c r="N47" s="9"/>
      <c r="O47" s="9"/>
      <c r="P47" s="9">
        <v>0</v>
      </c>
      <c r="Q47" s="9"/>
      <c r="R47" s="9"/>
      <c r="S47" s="9">
        <v>50</v>
      </c>
      <c r="T47" s="9">
        <f t="shared" si="14"/>
        <v>0.4</v>
      </c>
      <c r="U47" s="18">
        <v>100</v>
      </c>
      <c r="V47" s="9">
        <f t="shared" si="15"/>
        <v>380</v>
      </c>
      <c r="W47" s="9">
        <f t="shared" si="16"/>
        <v>130</v>
      </c>
      <c r="X47" s="9">
        <v>26</v>
      </c>
      <c r="Y47" s="9">
        <v>58.6</v>
      </c>
      <c r="Z47" s="9">
        <v>50</v>
      </c>
      <c r="AA47" s="9">
        <v>30.6</v>
      </c>
      <c r="AB47" s="9">
        <v>40.799999999999997</v>
      </c>
      <c r="AC47" s="9">
        <v>47</v>
      </c>
      <c r="AD47" s="9">
        <v>52.2</v>
      </c>
      <c r="AE47" s="9">
        <v>48.4</v>
      </c>
      <c r="AF47" s="9"/>
      <c r="AG47" s="9">
        <f t="shared" si="17"/>
        <v>40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spans="1:43" x14ac:dyDescent="0.25">
      <c r="A48" s="9" t="s">
        <v>92</v>
      </c>
      <c r="B48" s="9" t="s">
        <v>36</v>
      </c>
      <c r="C48" s="9">
        <v>15.201000000000001</v>
      </c>
      <c r="D48" s="9">
        <v>57.33</v>
      </c>
      <c r="E48" s="9">
        <v>16.739999999999998</v>
      </c>
      <c r="F48" s="9">
        <v>54.34</v>
      </c>
      <c r="G48" s="6">
        <v>1</v>
      </c>
      <c r="H48" s="9">
        <v>40</v>
      </c>
      <c r="I48" s="9" t="s">
        <v>37</v>
      </c>
      <c r="J48" s="9"/>
      <c r="K48" s="9">
        <v>57.5</v>
      </c>
      <c r="L48" s="9">
        <f t="shared" si="12"/>
        <v>-40.760000000000005</v>
      </c>
      <c r="M48" s="9">
        <f t="shared" si="13"/>
        <v>16.739999999999998</v>
      </c>
      <c r="N48" s="9"/>
      <c r="O48" s="9"/>
      <c r="P48" s="9">
        <v>14.80909999999999</v>
      </c>
      <c r="Q48" s="9"/>
      <c r="R48" s="9"/>
      <c r="S48" s="9">
        <v>0</v>
      </c>
      <c r="T48" s="9">
        <f t="shared" si="14"/>
        <v>3.3479999999999999</v>
      </c>
      <c r="U48" s="4"/>
      <c r="V48" s="9">
        <f t="shared" si="15"/>
        <v>20.653853046594978</v>
      </c>
      <c r="W48" s="9">
        <f t="shared" si="16"/>
        <v>20.653853046594978</v>
      </c>
      <c r="X48" s="9">
        <v>1.8211999999999999</v>
      </c>
      <c r="Y48" s="9">
        <v>7.1238000000000001</v>
      </c>
      <c r="Z48" s="9">
        <v>8.9621999999999993</v>
      </c>
      <c r="AA48" s="9">
        <v>4.3483999999999998</v>
      </c>
      <c r="AB48" s="9">
        <v>3.9114</v>
      </c>
      <c r="AC48" s="9">
        <v>4.0561999999999996</v>
      </c>
      <c r="AD48" s="9">
        <v>5.2270000000000003</v>
      </c>
      <c r="AE48" s="9">
        <v>5.5009999999999986</v>
      </c>
      <c r="AF48" s="9"/>
      <c r="AG48" s="9">
        <f t="shared" si="17"/>
        <v>0</v>
      </c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spans="1:43" x14ac:dyDescent="0.25">
      <c r="A49" s="9" t="s">
        <v>93</v>
      </c>
      <c r="B49" s="9" t="s">
        <v>41</v>
      </c>
      <c r="C49" s="9">
        <v>320</v>
      </c>
      <c r="D49" s="9">
        <v>677</v>
      </c>
      <c r="E49" s="9">
        <v>413</v>
      </c>
      <c r="F49" s="9">
        <v>492</v>
      </c>
      <c r="G49" s="6">
        <v>0.35</v>
      </c>
      <c r="H49" s="9">
        <v>40</v>
      </c>
      <c r="I49" s="16" t="s">
        <v>44</v>
      </c>
      <c r="J49" s="9"/>
      <c r="K49" s="9">
        <v>471</v>
      </c>
      <c r="L49" s="9">
        <f t="shared" si="12"/>
        <v>-58</v>
      </c>
      <c r="M49" s="9">
        <f t="shared" si="13"/>
        <v>401</v>
      </c>
      <c r="N49" s="9">
        <v>12</v>
      </c>
      <c r="O49" s="9"/>
      <c r="P49" s="9">
        <v>159.73140000000001</v>
      </c>
      <c r="Q49" s="9">
        <v>342.5686</v>
      </c>
      <c r="R49" s="9"/>
      <c r="S49" s="9">
        <v>0</v>
      </c>
      <c r="T49" s="9">
        <f t="shared" si="14"/>
        <v>80.2</v>
      </c>
      <c r="U49" s="4"/>
      <c r="V49" s="9">
        <f t="shared" si="15"/>
        <v>12.397755610972567</v>
      </c>
      <c r="W49" s="9">
        <f t="shared" si="16"/>
        <v>12.397755610972567</v>
      </c>
      <c r="X49" s="9">
        <v>92.8</v>
      </c>
      <c r="Y49" s="9">
        <v>120.2</v>
      </c>
      <c r="Z49" s="9">
        <v>117.4</v>
      </c>
      <c r="AA49" s="9">
        <v>88</v>
      </c>
      <c r="AB49" s="9">
        <v>80.8</v>
      </c>
      <c r="AC49" s="9">
        <v>89.4</v>
      </c>
      <c r="AD49" s="9">
        <v>110</v>
      </c>
      <c r="AE49" s="9">
        <v>269.2</v>
      </c>
      <c r="AF49" s="9" t="s">
        <v>94</v>
      </c>
      <c r="AG49" s="9">
        <f t="shared" si="17"/>
        <v>0</v>
      </c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spans="1:43" x14ac:dyDescent="0.25">
      <c r="A50" s="9" t="s">
        <v>95</v>
      </c>
      <c r="B50" s="9" t="s">
        <v>41</v>
      </c>
      <c r="C50" s="9">
        <v>137</v>
      </c>
      <c r="D50" s="9">
        <v>380</v>
      </c>
      <c r="E50" s="9">
        <v>235</v>
      </c>
      <c r="F50" s="9">
        <v>159</v>
      </c>
      <c r="G50" s="6">
        <v>0.4</v>
      </c>
      <c r="H50" s="9">
        <v>40</v>
      </c>
      <c r="I50" s="17" t="s">
        <v>73</v>
      </c>
      <c r="J50" s="9"/>
      <c r="K50" s="9">
        <v>714</v>
      </c>
      <c r="L50" s="9">
        <f t="shared" si="12"/>
        <v>-479</v>
      </c>
      <c r="M50" s="9">
        <f t="shared" si="13"/>
        <v>235</v>
      </c>
      <c r="N50" s="9"/>
      <c r="O50" s="9"/>
      <c r="P50" s="9">
        <v>0</v>
      </c>
      <c r="Q50" s="9">
        <v>371.82639999999998</v>
      </c>
      <c r="R50" s="9"/>
      <c r="S50" s="9">
        <v>0</v>
      </c>
      <c r="T50" s="9">
        <f t="shared" si="14"/>
        <v>47</v>
      </c>
      <c r="U50" s="18">
        <v>100</v>
      </c>
      <c r="V50" s="9">
        <f t="shared" si="15"/>
        <v>13.421838297872339</v>
      </c>
      <c r="W50" s="9">
        <f t="shared" si="16"/>
        <v>11.294178723404254</v>
      </c>
      <c r="X50" s="9">
        <v>48.6</v>
      </c>
      <c r="Y50" s="9">
        <v>78.8</v>
      </c>
      <c r="Z50" s="9">
        <v>51</v>
      </c>
      <c r="AA50" s="9">
        <v>35.799999999999997</v>
      </c>
      <c r="AB50" s="9">
        <v>61</v>
      </c>
      <c r="AC50" s="9">
        <v>63.8</v>
      </c>
      <c r="AD50" s="9">
        <v>76</v>
      </c>
      <c r="AE50" s="9">
        <v>54.6</v>
      </c>
      <c r="AF50" s="9"/>
      <c r="AG50" s="9">
        <f t="shared" si="17"/>
        <v>40</v>
      </c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spans="1:43" x14ac:dyDescent="0.25">
      <c r="A51" s="9" t="s">
        <v>96</v>
      </c>
      <c r="B51" s="9" t="s">
        <v>36</v>
      </c>
      <c r="C51" s="9">
        <v>143.02699999999999</v>
      </c>
      <c r="D51" s="9">
        <v>73.100999999999999</v>
      </c>
      <c r="E51" s="9">
        <v>74.430000000000007</v>
      </c>
      <c r="F51" s="9">
        <v>113.25700000000001</v>
      </c>
      <c r="G51" s="6">
        <v>1</v>
      </c>
      <c r="H51" s="9">
        <v>50</v>
      </c>
      <c r="I51" s="9" t="s">
        <v>37</v>
      </c>
      <c r="J51" s="9"/>
      <c r="K51" s="9">
        <v>112.5</v>
      </c>
      <c r="L51" s="9">
        <f t="shared" si="12"/>
        <v>-38.069999999999993</v>
      </c>
      <c r="M51" s="9">
        <f t="shared" si="13"/>
        <v>74.430000000000007</v>
      </c>
      <c r="N51" s="9"/>
      <c r="O51" s="9"/>
      <c r="P51" s="9">
        <v>0</v>
      </c>
      <c r="Q51" s="9"/>
      <c r="R51" s="9"/>
      <c r="S51" s="9">
        <v>52.131800000000041</v>
      </c>
      <c r="T51" s="9">
        <f t="shared" si="14"/>
        <v>14.886000000000001</v>
      </c>
      <c r="U51" s="4">
        <f t="shared" si="18"/>
        <v>13.243199999999959</v>
      </c>
      <c r="V51" s="9">
        <f t="shared" si="15"/>
        <v>12</v>
      </c>
      <c r="W51" s="9">
        <f t="shared" si="16"/>
        <v>11.110358726320035</v>
      </c>
      <c r="X51" s="9">
        <v>16.802199999999999</v>
      </c>
      <c r="Y51" s="9">
        <v>14.042400000000001</v>
      </c>
      <c r="Z51" s="9">
        <v>19.11</v>
      </c>
      <c r="AA51" s="9">
        <v>17.2288</v>
      </c>
      <c r="AB51" s="9">
        <v>15.883800000000001</v>
      </c>
      <c r="AC51" s="9">
        <v>16.6876</v>
      </c>
      <c r="AD51" s="9">
        <v>20.451000000000001</v>
      </c>
      <c r="AE51" s="9">
        <v>20.7852</v>
      </c>
      <c r="AF51" s="9"/>
      <c r="AG51" s="9">
        <f t="shared" si="17"/>
        <v>13.243199999999959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spans="1:43" x14ac:dyDescent="0.25">
      <c r="A52" s="9" t="s">
        <v>97</v>
      </c>
      <c r="B52" s="9" t="s">
        <v>36</v>
      </c>
      <c r="C52" s="9">
        <v>781.55200000000002</v>
      </c>
      <c r="D52" s="9">
        <v>135.75899999999999</v>
      </c>
      <c r="E52" s="9">
        <v>842.71600000000001</v>
      </c>
      <c r="F52" s="9">
        <v>-73.361000000000004</v>
      </c>
      <c r="G52" s="6">
        <v>1</v>
      </c>
      <c r="H52" s="9">
        <v>50</v>
      </c>
      <c r="I52" s="9" t="s">
        <v>37</v>
      </c>
      <c r="J52" s="9"/>
      <c r="K52" s="9">
        <v>954.98699999999997</v>
      </c>
      <c r="L52" s="9">
        <f t="shared" si="12"/>
        <v>-112.27099999999996</v>
      </c>
      <c r="M52" s="9">
        <f t="shared" si="13"/>
        <v>690.02800000000002</v>
      </c>
      <c r="N52" s="9">
        <v>152.68799999999999</v>
      </c>
      <c r="O52" s="9"/>
      <c r="P52" s="9">
        <v>322.07690000000002</v>
      </c>
      <c r="Q52" s="9"/>
      <c r="R52" s="9"/>
      <c r="S52" s="9">
        <v>708.20283999999981</v>
      </c>
      <c r="T52" s="9">
        <f t="shared" si="14"/>
        <v>138.00560000000002</v>
      </c>
      <c r="U52" s="4">
        <f t="shared" si="18"/>
        <v>699.14846000000034</v>
      </c>
      <c r="V52" s="9">
        <f t="shared" si="15"/>
        <v>12</v>
      </c>
      <c r="W52" s="9">
        <f t="shared" si="16"/>
        <v>6.933912391960904</v>
      </c>
      <c r="X52" s="9">
        <v>108.6206</v>
      </c>
      <c r="Y52" s="9">
        <v>78.2346</v>
      </c>
      <c r="Z52" s="9">
        <v>79.395399999999995</v>
      </c>
      <c r="AA52" s="9">
        <v>52.078800000000022</v>
      </c>
      <c r="AB52" s="9">
        <v>97.671800000000005</v>
      </c>
      <c r="AC52" s="9">
        <v>62.823599999999999</v>
      </c>
      <c r="AD52" s="9">
        <v>78.122199999999992</v>
      </c>
      <c r="AE52" s="9">
        <v>85.384200000000007</v>
      </c>
      <c r="AF52" s="9"/>
      <c r="AG52" s="9">
        <f t="shared" si="17"/>
        <v>699.14846000000034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spans="1:43" x14ac:dyDescent="0.25">
      <c r="A53" s="10" t="s">
        <v>98</v>
      </c>
      <c r="B53" s="10" t="s">
        <v>36</v>
      </c>
      <c r="C53" s="10"/>
      <c r="D53" s="10"/>
      <c r="E53" s="10"/>
      <c r="F53" s="10"/>
      <c r="G53" s="11">
        <v>0</v>
      </c>
      <c r="H53" s="10"/>
      <c r="I53" s="10" t="s">
        <v>37</v>
      </c>
      <c r="J53" s="10"/>
      <c r="K53" s="10"/>
      <c r="L53" s="10">
        <f t="shared" si="12"/>
        <v>0</v>
      </c>
      <c r="M53" s="10">
        <f t="shared" si="13"/>
        <v>0</v>
      </c>
      <c r="N53" s="10"/>
      <c r="O53" s="10"/>
      <c r="P53" s="10">
        <v>0</v>
      </c>
      <c r="Q53" s="10"/>
      <c r="R53" s="10"/>
      <c r="S53" s="10">
        <v>0</v>
      </c>
      <c r="T53" s="10">
        <f t="shared" si="14"/>
        <v>0</v>
      </c>
      <c r="U53" s="12"/>
      <c r="V53" s="10" t="e">
        <f t="shared" si="15"/>
        <v>#DIV/0!</v>
      </c>
      <c r="W53" s="10" t="e">
        <f t="shared" si="16"/>
        <v>#DIV/0!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 t="s">
        <v>60</v>
      </c>
      <c r="AG53" s="10"/>
      <c r="AH53" s="9"/>
      <c r="AI53" s="9"/>
      <c r="AJ53" s="9"/>
      <c r="AK53" s="9"/>
      <c r="AL53" s="9"/>
      <c r="AM53" s="9"/>
      <c r="AN53" s="9"/>
      <c r="AO53" s="9"/>
      <c r="AP53" s="9"/>
      <c r="AQ53" s="9"/>
    </row>
    <row r="54" spans="1:43" x14ac:dyDescent="0.25">
      <c r="A54" s="9" t="s">
        <v>99</v>
      </c>
      <c r="B54" s="9" t="s">
        <v>41</v>
      </c>
      <c r="C54" s="9">
        <v>396</v>
      </c>
      <c r="D54" s="9">
        <v>430</v>
      </c>
      <c r="E54" s="9">
        <v>376</v>
      </c>
      <c r="F54" s="9">
        <v>364</v>
      </c>
      <c r="G54" s="6">
        <v>0.45</v>
      </c>
      <c r="H54" s="9">
        <v>50</v>
      </c>
      <c r="I54" s="9" t="s">
        <v>37</v>
      </c>
      <c r="J54" s="9"/>
      <c r="K54" s="9">
        <v>465</v>
      </c>
      <c r="L54" s="9">
        <f t="shared" si="12"/>
        <v>-89</v>
      </c>
      <c r="M54" s="9">
        <f t="shared" si="13"/>
        <v>376</v>
      </c>
      <c r="N54" s="9"/>
      <c r="O54" s="9"/>
      <c r="P54" s="9">
        <v>357.10000000000008</v>
      </c>
      <c r="Q54" s="9"/>
      <c r="R54" s="9"/>
      <c r="S54" s="9">
        <v>0</v>
      </c>
      <c r="T54" s="9">
        <f t="shared" si="14"/>
        <v>75.2</v>
      </c>
      <c r="U54" s="4">
        <f t="shared" ref="U54:U55" si="19">12*T54-S54-R54-Q54-P54-O54-F54</f>
        <v>181.29999999999995</v>
      </c>
      <c r="V54" s="9">
        <f t="shared" si="15"/>
        <v>12</v>
      </c>
      <c r="W54" s="9">
        <f t="shared" si="16"/>
        <v>9.5890957446808525</v>
      </c>
      <c r="X54" s="9">
        <v>79.400000000000006</v>
      </c>
      <c r="Y54" s="9">
        <v>86.2</v>
      </c>
      <c r="Z54" s="9">
        <v>84</v>
      </c>
      <c r="AA54" s="9">
        <v>66.400000000000006</v>
      </c>
      <c r="AB54" s="9">
        <v>64.8</v>
      </c>
      <c r="AC54" s="9">
        <v>74.2</v>
      </c>
      <c r="AD54" s="9">
        <v>96</v>
      </c>
      <c r="AE54" s="9">
        <v>96.8</v>
      </c>
      <c r="AF54" s="9"/>
      <c r="AG54" s="9">
        <f>G54*U54</f>
        <v>81.58499999999998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</row>
    <row r="55" spans="1:43" x14ac:dyDescent="0.25">
      <c r="A55" s="9" t="s">
        <v>100</v>
      </c>
      <c r="B55" s="9" t="s">
        <v>41</v>
      </c>
      <c r="C55" s="9">
        <v>577</v>
      </c>
      <c r="D55" s="9">
        <v>1090</v>
      </c>
      <c r="E55" s="9">
        <v>545</v>
      </c>
      <c r="F55" s="9">
        <v>973</v>
      </c>
      <c r="G55" s="6">
        <v>0.45</v>
      </c>
      <c r="H55" s="9">
        <v>50</v>
      </c>
      <c r="I55" s="9" t="s">
        <v>37</v>
      </c>
      <c r="J55" s="9"/>
      <c r="K55" s="9">
        <v>722</v>
      </c>
      <c r="L55" s="9">
        <f t="shared" si="12"/>
        <v>-177</v>
      </c>
      <c r="M55" s="9">
        <f t="shared" si="13"/>
        <v>545</v>
      </c>
      <c r="N55" s="9"/>
      <c r="O55" s="9"/>
      <c r="P55" s="9">
        <v>0</v>
      </c>
      <c r="Q55" s="9"/>
      <c r="R55" s="9"/>
      <c r="S55" s="9">
        <v>0</v>
      </c>
      <c r="T55" s="9">
        <f t="shared" si="14"/>
        <v>109</v>
      </c>
      <c r="U55" s="4">
        <f t="shared" si="19"/>
        <v>335</v>
      </c>
      <c r="V55" s="9">
        <f t="shared" si="15"/>
        <v>12</v>
      </c>
      <c r="W55" s="9">
        <f t="shared" si="16"/>
        <v>8.9266055045871564</v>
      </c>
      <c r="X55" s="9">
        <v>86</v>
      </c>
      <c r="Y55" s="9">
        <v>112.8</v>
      </c>
      <c r="Z55" s="9">
        <v>148.19999999999999</v>
      </c>
      <c r="AA55" s="9">
        <v>93.6</v>
      </c>
      <c r="AB55" s="9">
        <v>89.2</v>
      </c>
      <c r="AC55" s="9">
        <v>95.2</v>
      </c>
      <c r="AD55" s="9">
        <v>128.6</v>
      </c>
      <c r="AE55" s="9">
        <v>132</v>
      </c>
      <c r="AF55" s="9"/>
      <c r="AG55" s="9">
        <f>G55*U55</f>
        <v>150.75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</row>
    <row r="56" spans="1:43" x14ac:dyDescent="0.25">
      <c r="A56" s="10" t="s">
        <v>101</v>
      </c>
      <c r="B56" s="10" t="s">
        <v>41</v>
      </c>
      <c r="C56" s="10"/>
      <c r="D56" s="10"/>
      <c r="E56" s="10"/>
      <c r="F56" s="10"/>
      <c r="G56" s="11">
        <v>0</v>
      </c>
      <c r="H56" s="10"/>
      <c r="I56" s="10" t="s">
        <v>37</v>
      </c>
      <c r="J56" s="10"/>
      <c r="K56" s="10">
        <v>1</v>
      </c>
      <c r="L56" s="10">
        <f t="shared" si="12"/>
        <v>-1</v>
      </c>
      <c r="M56" s="10">
        <f t="shared" si="13"/>
        <v>0</v>
      </c>
      <c r="N56" s="10"/>
      <c r="O56" s="10"/>
      <c r="P56" s="10">
        <v>0</v>
      </c>
      <c r="Q56" s="10"/>
      <c r="R56" s="10"/>
      <c r="S56" s="10">
        <v>0</v>
      </c>
      <c r="T56" s="10">
        <f t="shared" si="14"/>
        <v>0</v>
      </c>
      <c r="U56" s="12"/>
      <c r="V56" s="10" t="e">
        <f t="shared" si="15"/>
        <v>#DIV/0!</v>
      </c>
      <c r="W56" s="10" t="e">
        <f t="shared" si="16"/>
        <v>#DIV/0!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 t="s">
        <v>60</v>
      </c>
      <c r="AG56" s="10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spans="1:43" x14ac:dyDescent="0.25">
      <c r="A57" s="9" t="s">
        <v>102</v>
      </c>
      <c r="B57" s="9" t="s">
        <v>41</v>
      </c>
      <c r="C57" s="9">
        <v>7</v>
      </c>
      <c r="D57" s="9">
        <v>22</v>
      </c>
      <c r="E57" s="9">
        <v>12</v>
      </c>
      <c r="F57" s="9">
        <v>1</v>
      </c>
      <c r="G57" s="6">
        <v>0.4</v>
      </c>
      <c r="H57" s="9">
        <v>40</v>
      </c>
      <c r="I57" s="17" t="s">
        <v>73</v>
      </c>
      <c r="J57" s="9"/>
      <c r="K57" s="9">
        <v>34</v>
      </c>
      <c r="L57" s="9">
        <f t="shared" si="12"/>
        <v>-22</v>
      </c>
      <c r="M57" s="9">
        <f t="shared" si="13"/>
        <v>12</v>
      </c>
      <c r="N57" s="9"/>
      <c r="O57" s="9"/>
      <c r="P57" s="9">
        <v>0</v>
      </c>
      <c r="Q57" s="9"/>
      <c r="R57" s="9"/>
      <c r="S57" s="9">
        <v>0</v>
      </c>
      <c r="T57" s="9">
        <f t="shared" si="14"/>
        <v>2.4</v>
      </c>
      <c r="U57" s="18">
        <v>20</v>
      </c>
      <c r="V57" s="9">
        <f t="shared" si="15"/>
        <v>8.75</v>
      </c>
      <c r="W57" s="9">
        <f t="shared" si="16"/>
        <v>0.41666666666666669</v>
      </c>
      <c r="X57" s="9">
        <v>2.8</v>
      </c>
      <c r="Y57" s="9">
        <v>4.8</v>
      </c>
      <c r="Z57" s="9">
        <v>5.6</v>
      </c>
      <c r="AA57" s="9">
        <v>3</v>
      </c>
      <c r="AB57" s="9">
        <v>3.2</v>
      </c>
      <c r="AC57" s="9">
        <v>3.8</v>
      </c>
      <c r="AD57" s="9">
        <v>3.8</v>
      </c>
      <c r="AE57" s="9">
        <v>-0.6</v>
      </c>
      <c r="AF57" s="9"/>
      <c r="AG57" s="9">
        <f t="shared" ref="AG57:AG71" si="20">G57*U57</f>
        <v>8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3" x14ac:dyDescent="0.25">
      <c r="A58" s="9" t="s">
        <v>103</v>
      </c>
      <c r="B58" s="9" t="s">
        <v>36</v>
      </c>
      <c r="C58" s="9">
        <v>959.21299999999997</v>
      </c>
      <c r="D58" s="9">
        <v>111.90300000000001</v>
      </c>
      <c r="E58" s="9">
        <v>545.94799999999998</v>
      </c>
      <c r="F58" s="9">
        <v>456.96</v>
      </c>
      <c r="G58" s="6">
        <v>1</v>
      </c>
      <c r="H58" s="9">
        <v>50</v>
      </c>
      <c r="I58" s="9" t="s">
        <v>37</v>
      </c>
      <c r="J58" s="9"/>
      <c r="K58" s="9">
        <v>618.88099999999997</v>
      </c>
      <c r="L58" s="9">
        <f t="shared" si="12"/>
        <v>-72.932999999999993</v>
      </c>
      <c r="M58" s="9">
        <f t="shared" si="13"/>
        <v>328.08600000000001</v>
      </c>
      <c r="N58" s="9">
        <v>217.86199999999999</v>
      </c>
      <c r="O58" s="9"/>
      <c r="P58" s="9">
        <v>0</v>
      </c>
      <c r="Q58" s="9"/>
      <c r="R58" s="9"/>
      <c r="S58" s="9">
        <v>0</v>
      </c>
      <c r="T58" s="9">
        <f t="shared" si="14"/>
        <v>65.617199999999997</v>
      </c>
      <c r="U58" s="4">
        <f t="shared" ref="U58:U71" si="21">12*T58-S58-R58-Q58-P58-O58-F58</f>
        <v>330.44639999999998</v>
      </c>
      <c r="V58" s="9">
        <f t="shared" si="15"/>
        <v>12</v>
      </c>
      <c r="W58" s="9">
        <f t="shared" si="16"/>
        <v>6.9640277244381048</v>
      </c>
      <c r="X58" s="9">
        <v>68.840999999999994</v>
      </c>
      <c r="Y58" s="9">
        <v>74.638599999999997</v>
      </c>
      <c r="Z58" s="9">
        <v>99.823999999999998</v>
      </c>
      <c r="AA58" s="9">
        <v>124.6264</v>
      </c>
      <c r="AB58" s="9">
        <v>103.889</v>
      </c>
      <c r="AC58" s="9">
        <v>63.091200000000001</v>
      </c>
      <c r="AD58" s="9">
        <v>69.980199999999996</v>
      </c>
      <c r="AE58" s="9">
        <v>120.0566</v>
      </c>
      <c r="AF58" s="9"/>
      <c r="AG58" s="9">
        <f t="shared" si="20"/>
        <v>330.44639999999998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spans="1:43" x14ac:dyDescent="0.25">
      <c r="A59" s="9" t="s">
        <v>104</v>
      </c>
      <c r="B59" s="9" t="s">
        <v>41</v>
      </c>
      <c r="C59" s="9">
        <v>124</v>
      </c>
      <c r="D59" s="9">
        <v>145</v>
      </c>
      <c r="E59" s="9">
        <v>138</v>
      </c>
      <c r="F59" s="9">
        <v>107</v>
      </c>
      <c r="G59" s="6">
        <v>0.1</v>
      </c>
      <c r="H59" s="9">
        <v>731</v>
      </c>
      <c r="I59" s="9" t="s">
        <v>37</v>
      </c>
      <c r="J59" s="9"/>
      <c r="K59" s="9">
        <v>164</v>
      </c>
      <c r="L59" s="9">
        <f t="shared" si="12"/>
        <v>-26</v>
      </c>
      <c r="M59" s="9">
        <f t="shared" si="13"/>
        <v>138</v>
      </c>
      <c r="N59" s="9"/>
      <c r="O59" s="9"/>
      <c r="P59" s="9">
        <v>72.999999999999972</v>
      </c>
      <c r="Q59" s="9"/>
      <c r="R59" s="9"/>
      <c r="S59" s="9">
        <v>17.800000000000011</v>
      </c>
      <c r="T59" s="9">
        <f t="shared" si="14"/>
        <v>27.6</v>
      </c>
      <c r="U59" s="4">
        <f t="shared" si="21"/>
        <v>133.40000000000006</v>
      </c>
      <c r="V59" s="9">
        <f t="shared" si="15"/>
        <v>12.000000000000002</v>
      </c>
      <c r="W59" s="9">
        <f t="shared" si="16"/>
        <v>7.1666666666666661</v>
      </c>
      <c r="X59" s="9">
        <v>24.4</v>
      </c>
      <c r="Y59" s="9">
        <v>26.4</v>
      </c>
      <c r="Z59" s="9">
        <v>26.6</v>
      </c>
      <c r="AA59" s="9">
        <v>17.600000000000001</v>
      </c>
      <c r="AB59" s="9">
        <v>20.2</v>
      </c>
      <c r="AC59" s="9">
        <v>21.8</v>
      </c>
      <c r="AD59" s="9">
        <v>26.4</v>
      </c>
      <c r="AE59" s="9">
        <v>29.2</v>
      </c>
      <c r="AF59" s="9"/>
      <c r="AG59" s="9">
        <f t="shared" si="20"/>
        <v>13.340000000000007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3" x14ac:dyDescent="0.25">
      <c r="A60" s="9" t="s">
        <v>105</v>
      </c>
      <c r="B60" s="9" t="s">
        <v>36</v>
      </c>
      <c r="C60" s="9">
        <v>153.59700000000001</v>
      </c>
      <c r="D60" s="9">
        <v>844.48599999999999</v>
      </c>
      <c r="E60" s="9">
        <v>509.95299999999997</v>
      </c>
      <c r="F60" s="9">
        <v>300.851</v>
      </c>
      <c r="G60" s="6">
        <v>1</v>
      </c>
      <c r="H60" s="9">
        <v>50</v>
      </c>
      <c r="I60" s="9" t="s">
        <v>37</v>
      </c>
      <c r="J60" s="9"/>
      <c r="K60" s="9">
        <v>788.678</v>
      </c>
      <c r="L60" s="9">
        <f t="shared" si="12"/>
        <v>-278.72500000000002</v>
      </c>
      <c r="M60" s="9">
        <f t="shared" si="13"/>
        <v>401.54199999999997</v>
      </c>
      <c r="N60" s="9">
        <v>108.411</v>
      </c>
      <c r="O60" s="9"/>
      <c r="P60" s="9">
        <v>277.54262199999971</v>
      </c>
      <c r="Q60" s="9"/>
      <c r="R60" s="9"/>
      <c r="S60" s="9">
        <v>0</v>
      </c>
      <c r="T60" s="9">
        <f t="shared" si="14"/>
        <v>80.308399999999992</v>
      </c>
      <c r="U60" s="4">
        <f t="shared" si="21"/>
        <v>385.30717800000014</v>
      </c>
      <c r="V60" s="9">
        <f t="shared" si="15"/>
        <v>12</v>
      </c>
      <c r="W60" s="9">
        <f t="shared" si="16"/>
        <v>7.2021559637597035</v>
      </c>
      <c r="X60" s="9">
        <v>57.7956</v>
      </c>
      <c r="Y60" s="9">
        <v>86.590799999999987</v>
      </c>
      <c r="Z60" s="9">
        <v>102.032</v>
      </c>
      <c r="AA60" s="9">
        <v>70.132199999999997</v>
      </c>
      <c r="AB60" s="9">
        <v>63.280999999999992</v>
      </c>
      <c r="AC60" s="9">
        <v>79.756600000000006</v>
      </c>
      <c r="AD60" s="9">
        <v>81.925600000000003</v>
      </c>
      <c r="AE60" s="9">
        <v>86.080600000000004</v>
      </c>
      <c r="AF60" s="9"/>
      <c r="AG60" s="9">
        <f t="shared" si="20"/>
        <v>385.30717800000014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spans="1:43" x14ac:dyDescent="0.25">
      <c r="A61" s="9" t="s">
        <v>106</v>
      </c>
      <c r="B61" s="9" t="s">
        <v>36</v>
      </c>
      <c r="C61" s="9">
        <v>14.879</v>
      </c>
      <c r="D61" s="9">
        <v>58.945999999999998</v>
      </c>
      <c r="E61" s="9">
        <v>13.574</v>
      </c>
      <c r="F61" s="9">
        <v>50.658000000000001</v>
      </c>
      <c r="G61" s="6">
        <v>1</v>
      </c>
      <c r="H61" s="9">
        <v>55</v>
      </c>
      <c r="I61" s="9" t="s">
        <v>37</v>
      </c>
      <c r="J61" s="9"/>
      <c r="K61" s="9">
        <v>39.1</v>
      </c>
      <c r="L61" s="9">
        <f t="shared" si="12"/>
        <v>-25.526000000000003</v>
      </c>
      <c r="M61" s="9">
        <f t="shared" si="13"/>
        <v>13.574</v>
      </c>
      <c r="N61" s="9"/>
      <c r="O61" s="9"/>
      <c r="P61" s="9">
        <v>25.131799999999998</v>
      </c>
      <c r="Q61" s="9"/>
      <c r="R61" s="9"/>
      <c r="S61" s="9">
        <v>0</v>
      </c>
      <c r="T61" s="9">
        <f t="shared" si="14"/>
        <v>2.7147999999999999</v>
      </c>
      <c r="U61" s="4"/>
      <c r="V61" s="9">
        <f t="shared" si="15"/>
        <v>27.917268307057611</v>
      </c>
      <c r="W61" s="9">
        <f t="shared" si="16"/>
        <v>27.917268307057611</v>
      </c>
      <c r="X61" s="9">
        <v>3.7801999999999998</v>
      </c>
      <c r="Y61" s="9">
        <v>7.5739999999999998</v>
      </c>
      <c r="Z61" s="9">
        <v>8.3827999999999996</v>
      </c>
      <c r="AA61" s="9">
        <v>3.4996</v>
      </c>
      <c r="AB61" s="9">
        <v>4.0301999999999998</v>
      </c>
      <c r="AC61" s="9">
        <v>4.2412000000000001</v>
      </c>
      <c r="AD61" s="9">
        <v>5.3171999999999997</v>
      </c>
      <c r="AE61" s="9">
        <v>3.4356</v>
      </c>
      <c r="AF61" s="9"/>
      <c r="AG61" s="9">
        <f t="shared" si="20"/>
        <v>0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spans="1:43" x14ac:dyDescent="0.25">
      <c r="A62" s="9" t="s">
        <v>107</v>
      </c>
      <c r="B62" s="9" t="s">
        <v>41</v>
      </c>
      <c r="C62" s="9">
        <v>109</v>
      </c>
      <c r="D62" s="9">
        <v>107</v>
      </c>
      <c r="E62" s="9">
        <v>115</v>
      </c>
      <c r="F62" s="9">
        <v>95</v>
      </c>
      <c r="G62" s="6">
        <v>0.1</v>
      </c>
      <c r="H62" s="9">
        <v>731</v>
      </c>
      <c r="I62" s="9" t="s">
        <v>37</v>
      </c>
      <c r="J62" s="9"/>
      <c r="K62" s="9">
        <v>123</v>
      </c>
      <c r="L62" s="9">
        <f t="shared" si="12"/>
        <v>-8</v>
      </c>
      <c r="M62" s="9">
        <f t="shared" si="13"/>
        <v>115</v>
      </c>
      <c r="N62" s="9"/>
      <c r="O62" s="9"/>
      <c r="P62" s="9">
        <v>55.300000000000011</v>
      </c>
      <c r="Q62" s="9"/>
      <c r="R62" s="9"/>
      <c r="S62" s="9">
        <v>50.100000000000009</v>
      </c>
      <c r="T62" s="9">
        <f t="shared" si="14"/>
        <v>23</v>
      </c>
      <c r="U62" s="4">
        <f t="shared" si="21"/>
        <v>75.599999999999966</v>
      </c>
      <c r="V62" s="9">
        <f t="shared" si="15"/>
        <v>12</v>
      </c>
      <c r="W62" s="9">
        <f t="shared" si="16"/>
        <v>8.7130434782608717</v>
      </c>
      <c r="X62" s="9">
        <v>23.6</v>
      </c>
      <c r="Y62" s="9">
        <v>23</v>
      </c>
      <c r="Z62" s="9">
        <v>24.2</v>
      </c>
      <c r="AA62" s="9">
        <v>17.600000000000001</v>
      </c>
      <c r="AB62" s="9">
        <v>17.600000000000001</v>
      </c>
      <c r="AC62" s="9">
        <v>20.8</v>
      </c>
      <c r="AD62" s="9">
        <v>23.6</v>
      </c>
      <c r="AE62" s="9">
        <v>27.2</v>
      </c>
      <c r="AF62" s="9"/>
      <c r="AG62" s="9">
        <f t="shared" si="20"/>
        <v>7.5599999999999969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</row>
    <row r="63" spans="1:43" x14ac:dyDescent="0.25">
      <c r="A63" s="9" t="s">
        <v>108</v>
      </c>
      <c r="B63" s="9" t="s">
        <v>41</v>
      </c>
      <c r="C63" s="9">
        <v>31</v>
      </c>
      <c r="D63" s="9"/>
      <c r="E63" s="9">
        <v>11</v>
      </c>
      <c r="F63" s="9">
        <v>20</v>
      </c>
      <c r="G63" s="6">
        <v>0.4</v>
      </c>
      <c r="H63" s="9">
        <v>50</v>
      </c>
      <c r="I63" s="9" t="s">
        <v>37</v>
      </c>
      <c r="J63" s="9"/>
      <c r="K63" s="9">
        <v>18</v>
      </c>
      <c r="L63" s="9">
        <f t="shared" si="12"/>
        <v>-7</v>
      </c>
      <c r="M63" s="9">
        <f t="shared" si="13"/>
        <v>11</v>
      </c>
      <c r="N63" s="9"/>
      <c r="O63" s="9"/>
      <c r="P63" s="9">
        <v>0</v>
      </c>
      <c r="Q63" s="9"/>
      <c r="R63" s="9"/>
      <c r="S63" s="9">
        <v>0</v>
      </c>
      <c r="T63" s="9">
        <f t="shared" si="14"/>
        <v>2.2000000000000002</v>
      </c>
      <c r="U63" s="4">
        <f t="shared" si="21"/>
        <v>6.4000000000000021</v>
      </c>
      <c r="V63" s="9">
        <f t="shared" si="15"/>
        <v>12</v>
      </c>
      <c r="W63" s="9">
        <f t="shared" si="16"/>
        <v>9.0909090909090899</v>
      </c>
      <c r="X63" s="9">
        <v>2.2000000000000002</v>
      </c>
      <c r="Y63" s="9">
        <v>1</v>
      </c>
      <c r="Z63" s="9">
        <v>1.6</v>
      </c>
      <c r="AA63" s="9">
        <v>2.8</v>
      </c>
      <c r="AB63" s="9">
        <v>1.2</v>
      </c>
      <c r="AC63" s="9">
        <v>0.2</v>
      </c>
      <c r="AD63" s="9">
        <v>1.6</v>
      </c>
      <c r="AE63" s="9">
        <v>2.8</v>
      </c>
      <c r="AF63" s="9"/>
      <c r="AG63" s="9">
        <f t="shared" si="20"/>
        <v>2.5600000000000009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spans="1:43" x14ac:dyDescent="0.25">
      <c r="A64" s="9" t="s">
        <v>109</v>
      </c>
      <c r="B64" s="9" t="s">
        <v>36</v>
      </c>
      <c r="C64" s="9">
        <v>40.411999999999999</v>
      </c>
      <c r="D64" s="9">
        <v>22.61</v>
      </c>
      <c r="E64" s="9">
        <v>25.89</v>
      </c>
      <c r="F64" s="9">
        <v>-2.5150000000000001</v>
      </c>
      <c r="G64" s="6">
        <v>1</v>
      </c>
      <c r="H64" s="9">
        <v>40</v>
      </c>
      <c r="I64" s="9" t="s">
        <v>37</v>
      </c>
      <c r="J64" s="9"/>
      <c r="K64" s="9">
        <v>81.5</v>
      </c>
      <c r="L64" s="9">
        <f t="shared" si="12"/>
        <v>-55.61</v>
      </c>
      <c r="M64" s="9">
        <f t="shared" si="13"/>
        <v>25.89</v>
      </c>
      <c r="N64" s="9"/>
      <c r="O64" s="9"/>
      <c r="P64" s="9">
        <v>150</v>
      </c>
      <c r="Q64" s="9"/>
      <c r="R64" s="9"/>
      <c r="S64" s="9">
        <v>300</v>
      </c>
      <c r="T64" s="9">
        <f t="shared" si="14"/>
        <v>5.1779999999999999</v>
      </c>
      <c r="U64" s="4"/>
      <c r="V64" s="9">
        <f t="shared" si="15"/>
        <v>86.420432599459261</v>
      </c>
      <c r="W64" s="9">
        <f t="shared" si="16"/>
        <v>86.420432599459261</v>
      </c>
      <c r="X64" s="9">
        <v>12.8698</v>
      </c>
      <c r="Y64" s="9">
        <v>11.319000000000001</v>
      </c>
      <c r="Z64" s="9">
        <v>7.4388000000000014</v>
      </c>
      <c r="AA64" s="9">
        <v>8.8168000000000006</v>
      </c>
      <c r="AB64" s="9">
        <v>9.9623999999999988</v>
      </c>
      <c r="AC64" s="9">
        <v>9.6790000000000003</v>
      </c>
      <c r="AD64" s="9">
        <v>10.668799999999999</v>
      </c>
      <c r="AE64" s="9">
        <v>14.4322</v>
      </c>
      <c r="AF64" s="9" t="s">
        <v>110</v>
      </c>
      <c r="AG64" s="9">
        <f t="shared" si="20"/>
        <v>0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spans="1:43" x14ac:dyDescent="0.25">
      <c r="A65" s="9" t="s">
        <v>111</v>
      </c>
      <c r="B65" s="9" t="s">
        <v>36</v>
      </c>
      <c r="C65" s="9">
        <v>-9.33</v>
      </c>
      <c r="D65" s="9">
        <v>48.393999999999998</v>
      </c>
      <c r="E65" s="9">
        <v>75.441999999999993</v>
      </c>
      <c r="F65" s="9">
        <v>-39.292999999999999</v>
      </c>
      <c r="G65" s="6">
        <v>1</v>
      </c>
      <c r="H65" s="9">
        <v>40</v>
      </c>
      <c r="I65" s="9" t="s">
        <v>37</v>
      </c>
      <c r="J65" s="9"/>
      <c r="K65" s="9">
        <v>125.33</v>
      </c>
      <c r="L65" s="9">
        <f t="shared" si="12"/>
        <v>-49.888000000000005</v>
      </c>
      <c r="M65" s="9">
        <f t="shared" si="13"/>
        <v>75.441999999999993</v>
      </c>
      <c r="N65" s="9"/>
      <c r="O65" s="9"/>
      <c r="P65" s="9">
        <v>150</v>
      </c>
      <c r="Q65" s="9"/>
      <c r="R65" s="9"/>
      <c r="S65" s="9">
        <v>300</v>
      </c>
      <c r="T65" s="9">
        <f t="shared" si="14"/>
        <v>15.088399999999998</v>
      </c>
      <c r="U65" s="4"/>
      <c r="V65" s="9">
        <f t="shared" si="15"/>
        <v>27.220049839611889</v>
      </c>
      <c r="W65" s="9">
        <f t="shared" si="16"/>
        <v>27.220049839611889</v>
      </c>
      <c r="X65" s="9">
        <v>0.26879999999999998</v>
      </c>
      <c r="Y65" s="9">
        <v>0.55599999999999994</v>
      </c>
      <c r="Z65" s="9">
        <v>8.0599999999999987</v>
      </c>
      <c r="AA65" s="9">
        <v>8.0434000000000001</v>
      </c>
      <c r="AB65" s="9">
        <v>1.6077999999999999</v>
      </c>
      <c r="AC65" s="9">
        <v>1.6077999999999999</v>
      </c>
      <c r="AD65" s="9">
        <v>1.6292</v>
      </c>
      <c r="AE65" s="9">
        <v>1.1017999999999999</v>
      </c>
      <c r="AF65" s="9" t="s">
        <v>110</v>
      </c>
      <c r="AG65" s="9">
        <f t="shared" si="20"/>
        <v>0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spans="1:43" x14ac:dyDescent="0.25">
      <c r="A66" s="9" t="s">
        <v>112</v>
      </c>
      <c r="B66" s="9" t="s">
        <v>41</v>
      </c>
      <c r="C66" s="9">
        <v>852</v>
      </c>
      <c r="D66" s="9">
        <v>350</v>
      </c>
      <c r="E66" s="9">
        <v>840</v>
      </c>
      <c r="F66" s="9">
        <v>173</v>
      </c>
      <c r="G66" s="6">
        <v>0.4</v>
      </c>
      <c r="H66" s="9">
        <v>40</v>
      </c>
      <c r="I66" s="9" t="s">
        <v>37</v>
      </c>
      <c r="J66" s="9"/>
      <c r="K66" s="9">
        <v>1036</v>
      </c>
      <c r="L66" s="9">
        <f t="shared" si="12"/>
        <v>-196</v>
      </c>
      <c r="M66" s="9">
        <f t="shared" si="13"/>
        <v>840</v>
      </c>
      <c r="N66" s="9"/>
      <c r="O66" s="9"/>
      <c r="P66" s="9">
        <v>0</v>
      </c>
      <c r="Q66" s="9"/>
      <c r="R66" s="9"/>
      <c r="S66" s="9">
        <v>562.37199999999996</v>
      </c>
      <c r="T66" s="9">
        <f t="shared" si="14"/>
        <v>168</v>
      </c>
      <c r="U66" s="4">
        <f>10*T66-S66-R66-Q66-P66-O66-F66</f>
        <v>944.62800000000016</v>
      </c>
      <c r="V66" s="9">
        <f t="shared" si="15"/>
        <v>10</v>
      </c>
      <c r="W66" s="9">
        <f t="shared" si="16"/>
        <v>4.3772142857142855</v>
      </c>
      <c r="X66" s="9">
        <v>89.6</v>
      </c>
      <c r="Y66" s="9">
        <v>26.4</v>
      </c>
      <c r="Z66" s="9">
        <v>94.8</v>
      </c>
      <c r="AA66" s="9">
        <v>113.2</v>
      </c>
      <c r="AB66" s="9">
        <v>99</v>
      </c>
      <c r="AC66" s="9">
        <v>107.8</v>
      </c>
      <c r="AD66" s="9">
        <v>129.19999999999999</v>
      </c>
      <c r="AE66" s="9">
        <v>139.4</v>
      </c>
      <c r="AF66" s="9"/>
      <c r="AG66" s="9">
        <f t="shared" si="20"/>
        <v>377.85120000000006</v>
      </c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7" spans="1:43" x14ac:dyDescent="0.25">
      <c r="A67" s="9" t="s">
        <v>113</v>
      </c>
      <c r="B67" s="9" t="s">
        <v>41</v>
      </c>
      <c r="C67" s="9">
        <v>-3</v>
      </c>
      <c r="D67" s="9"/>
      <c r="E67" s="9">
        <v>2</v>
      </c>
      <c r="F67" s="9">
        <v>-7</v>
      </c>
      <c r="G67" s="6">
        <v>0.4</v>
      </c>
      <c r="H67" s="9">
        <v>40</v>
      </c>
      <c r="I67" s="17" t="s">
        <v>73</v>
      </c>
      <c r="J67" s="9"/>
      <c r="K67" s="9">
        <v>55</v>
      </c>
      <c r="L67" s="9">
        <f t="shared" si="12"/>
        <v>-53</v>
      </c>
      <c r="M67" s="9">
        <f t="shared" si="13"/>
        <v>2</v>
      </c>
      <c r="N67" s="9"/>
      <c r="O67" s="9"/>
      <c r="P67" s="9">
        <v>0</v>
      </c>
      <c r="Q67" s="9"/>
      <c r="R67" s="9"/>
      <c r="S67" s="9">
        <v>90</v>
      </c>
      <c r="T67" s="9">
        <f t="shared" si="14"/>
        <v>0.4</v>
      </c>
      <c r="U67" s="18">
        <v>150</v>
      </c>
      <c r="V67" s="9">
        <f t="shared" si="15"/>
        <v>582.5</v>
      </c>
      <c r="W67" s="9">
        <f t="shared" si="16"/>
        <v>207.5</v>
      </c>
      <c r="X67" s="9">
        <v>0.8</v>
      </c>
      <c r="Y67" s="9">
        <v>45.6</v>
      </c>
      <c r="Z67" s="9">
        <v>95.8</v>
      </c>
      <c r="AA67" s="9">
        <v>80.400000000000006</v>
      </c>
      <c r="AB67" s="9">
        <v>83.4</v>
      </c>
      <c r="AC67" s="9">
        <v>95.6</v>
      </c>
      <c r="AD67" s="9">
        <v>103.6</v>
      </c>
      <c r="AE67" s="9">
        <v>96.2</v>
      </c>
      <c r="AF67" s="9"/>
      <c r="AG67" s="9">
        <f t="shared" si="20"/>
        <v>60</v>
      </c>
      <c r="AH67" s="9"/>
      <c r="AI67" s="9"/>
      <c r="AJ67" s="9"/>
      <c r="AK67" s="9"/>
      <c r="AL67" s="9"/>
      <c r="AM67" s="9"/>
      <c r="AN67" s="9"/>
      <c r="AO67" s="9"/>
      <c r="AP67" s="9"/>
      <c r="AQ67" s="9"/>
    </row>
    <row r="68" spans="1:43" x14ac:dyDescent="0.25">
      <c r="A68" s="9" t="s">
        <v>114</v>
      </c>
      <c r="B68" s="9" t="s">
        <v>36</v>
      </c>
      <c r="C68" s="9">
        <v>18.481999999999999</v>
      </c>
      <c r="D68" s="9">
        <v>78.251999999999995</v>
      </c>
      <c r="E68" s="9">
        <v>23.952000000000002</v>
      </c>
      <c r="F68" s="9">
        <v>63.65</v>
      </c>
      <c r="G68" s="6">
        <v>1</v>
      </c>
      <c r="H68" s="9">
        <v>40</v>
      </c>
      <c r="I68" s="9" t="s">
        <v>37</v>
      </c>
      <c r="J68" s="9"/>
      <c r="K68" s="9">
        <v>78.016999999999996</v>
      </c>
      <c r="L68" s="9">
        <f t="shared" si="12"/>
        <v>-54.064999999999998</v>
      </c>
      <c r="M68" s="9">
        <f t="shared" si="13"/>
        <v>23.952000000000002</v>
      </c>
      <c r="N68" s="9"/>
      <c r="O68" s="9"/>
      <c r="P68" s="9">
        <v>0</v>
      </c>
      <c r="Q68" s="9"/>
      <c r="R68" s="9"/>
      <c r="S68" s="9">
        <v>64.145400000000009</v>
      </c>
      <c r="T68" s="9">
        <f t="shared" si="14"/>
        <v>4.7904</v>
      </c>
      <c r="U68" s="4"/>
      <c r="V68" s="9">
        <f t="shared" si="15"/>
        <v>26.677396459585839</v>
      </c>
      <c r="W68" s="9">
        <f t="shared" si="16"/>
        <v>26.677396459585839</v>
      </c>
      <c r="X68" s="9">
        <v>12.265599999999999</v>
      </c>
      <c r="Y68" s="9">
        <v>17.055599999999998</v>
      </c>
      <c r="Z68" s="9">
        <v>11.9252</v>
      </c>
      <c r="AA68" s="9">
        <v>7.8718000000000004</v>
      </c>
      <c r="AB68" s="9">
        <v>7.6943999999999999</v>
      </c>
      <c r="AC68" s="9">
        <v>8.5982000000000003</v>
      </c>
      <c r="AD68" s="9">
        <v>10.3788</v>
      </c>
      <c r="AE68" s="9">
        <v>10.9048</v>
      </c>
      <c r="AF68" s="9"/>
      <c r="AG68" s="9">
        <f t="shared" si="20"/>
        <v>0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spans="1:43" x14ac:dyDescent="0.25">
      <c r="A69" s="9" t="s">
        <v>115</v>
      </c>
      <c r="B69" s="9" t="s">
        <v>36</v>
      </c>
      <c r="C69" s="9">
        <v>72.518000000000001</v>
      </c>
      <c r="D69" s="9">
        <v>184.649</v>
      </c>
      <c r="E69" s="9">
        <v>89.724999999999994</v>
      </c>
      <c r="F69" s="9">
        <v>113.092</v>
      </c>
      <c r="G69" s="6">
        <v>1</v>
      </c>
      <c r="H69" s="9">
        <v>40</v>
      </c>
      <c r="I69" s="9" t="s">
        <v>37</v>
      </c>
      <c r="J69" s="9"/>
      <c r="K69" s="9">
        <v>100.142</v>
      </c>
      <c r="L69" s="9">
        <f t="shared" si="12"/>
        <v>-10.417000000000002</v>
      </c>
      <c r="M69" s="9">
        <f t="shared" si="13"/>
        <v>89.724999999999994</v>
      </c>
      <c r="N69" s="9"/>
      <c r="O69" s="9"/>
      <c r="P69" s="9">
        <v>0</v>
      </c>
      <c r="Q69" s="9"/>
      <c r="R69" s="9"/>
      <c r="S69" s="9">
        <v>53.196199999999912</v>
      </c>
      <c r="T69" s="9">
        <f t="shared" si="14"/>
        <v>17.945</v>
      </c>
      <c r="U69" s="4">
        <f t="shared" si="21"/>
        <v>49.051800000000085</v>
      </c>
      <c r="V69" s="9">
        <f t="shared" si="15"/>
        <v>11.999999999999998</v>
      </c>
      <c r="W69" s="9">
        <f t="shared" si="16"/>
        <v>9.2665477848982949</v>
      </c>
      <c r="X69" s="9">
        <v>16.682200000000002</v>
      </c>
      <c r="Y69" s="9">
        <v>20.416399999999999</v>
      </c>
      <c r="Z69" s="9">
        <v>21.869800000000001</v>
      </c>
      <c r="AA69" s="9">
        <v>14.438000000000001</v>
      </c>
      <c r="AB69" s="9">
        <v>14.6104</v>
      </c>
      <c r="AC69" s="9">
        <v>11.178800000000001</v>
      </c>
      <c r="AD69" s="9">
        <v>12.990399999999999</v>
      </c>
      <c r="AE69" s="9">
        <v>13.3424</v>
      </c>
      <c r="AF69" s="9"/>
      <c r="AG69" s="9">
        <f t="shared" si="20"/>
        <v>49.051800000000085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spans="1:43" x14ac:dyDescent="0.25">
      <c r="A70" s="9" t="s">
        <v>116</v>
      </c>
      <c r="B70" s="9" t="s">
        <v>36</v>
      </c>
      <c r="C70" s="9">
        <v>1280.424</v>
      </c>
      <c r="D70" s="9">
        <v>58.9</v>
      </c>
      <c r="E70" s="9">
        <v>636.99199999999996</v>
      </c>
      <c r="F70" s="9">
        <v>629.05499999999995</v>
      </c>
      <c r="G70" s="6">
        <v>1</v>
      </c>
      <c r="H70" s="9">
        <v>40</v>
      </c>
      <c r="I70" s="9" t="s">
        <v>37</v>
      </c>
      <c r="J70" s="9"/>
      <c r="K70" s="9">
        <v>661.85799999999995</v>
      </c>
      <c r="L70" s="9">
        <f t="shared" ref="L70:L101" si="22">E70-K70</f>
        <v>-24.865999999999985</v>
      </c>
      <c r="M70" s="9">
        <f t="shared" ref="M70:M101" si="23">E70-N70</f>
        <v>446.26799999999997</v>
      </c>
      <c r="N70" s="9">
        <v>190.72399999999999</v>
      </c>
      <c r="O70" s="9"/>
      <c r="P70" s="9">
        <v>95.19388000000005</v>
      </c>
      <c r="Q70" s="9"/>
      <c r="R70" s="9"/>
      <c r="S70" s="9">
        <v>392.98524000000009</v>
      </c>
      <c r="T70" s="9">
        <f t="shared" ref="T70:T101" si="24">M70/5</f>
        <v>89.253599999999992</v>
      </c>
      <c r="U70" s="4"/>
      <c r="V70" s="9">
        <f t="shared" ref="V70:V101" si="25">(F70+O70+P70+Q70+R70+S70+U70)/T70</f>
        <v>12.517524447193168</v>
      </c>
      <c r="W70" s="9">
        <f t="shared" ref="W70:W101" si="26">(F70+O70+P70+Q70+R70+S70)/T70</f>
        <v>12.517524447193168</v>
      </c>
      <c r="X70" s="9">
        <v>110.14279999999999</v>
      </c>
      <c r="Y70" s="9">
        <v>106.628</v>
      </c>
      <c r="Z70" s="9">
        <v>119.44499999999999</v>
      </c>
      <c r="AA70" s="9">
        <v>150.35599999999999</v>
      </c>
      <c r="AB70" s="9">
        <v>156.10319999999999</v>
      </c>
      <c r="AC70" s="9">
        <v>121.55540000000001</v>
      </c>
      <c r="AD70" s="9">
        <v>176.9426</v>
      </c>
      <c r="AE70" s="9">
        <v>160.39500000000001</v>
      </c>
      <c r="AF70" s="9"/>
      <c r="AG70" s="9">
        <f t="shared" si="20"/>
        <v>0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spans="1:43" x14ac:dyDescent="0.25">
      <c r="A71" s="9" t="s">
        <v>117</v>
      </c>
      <c r="B71" s="9" t="s">
        <v>36</v>
      </c>
      <c r="C71" s="9">
        <v>65.103999999999999</v>
      </c>
      <c r="D71" s="9">
        <v>33.347000000000001</v>
      </c>
      <c r="E71" s="9">
        <v>71.709999999999994</v>
      </c>
      <c r="F71" s="9">
        <v>10.497999999999999</v>
      </c>
      <c r="G71" s="6">
        <v>1</v>
      </c>
      <c r="H71" s="9">
        <v>40</v>
      </c>
      <c r="I71" s="9" t="s">
        <v>37</v>
      </c>
      <c r="J71" s="9"/>
      <c r="K71" s="9">
        <v>77.015000000000001</v>
      </c>
      <c r="L71" s="9">
        <f t="shared" si="22"/>
        <v>-5.3050000000000068</v>
      </c>
      <c r="M71" s="9">
        <f t="shared" si="23"/>
        <v>71.709999999999994</v>
      </c>
      <c r="N71" s="9"/>
      <c r="O71" s="9"/>
      <c r="P71" s="9">
        <v>0</v>
      </c>
      <c r="Q71" s="9"/>
      <c r="R71" s="9"/>
      <c r="S71" s="9">
        <v>117.58580000000001</v>
      </c>
      <c r="T71" s="9">
        <f t="shared" si="24"/>
        <v>14.341999999999999</v>
      </c>
      <c r="U71" s="4">
        <f t="shared" si="21"/>
        <v>44.020199999999981</v>
      </c>
      <c r="V71" s="9">
        <f t="shared" si="25"/>
        <v>12</v>
      </c>
      <c r="W71" s="9">
        <f t="shared" si="26"/>
        <v>8.9306791242504531</v>
      </c>
      <c r="X71" s="9">
        <v>18.890999999999998</v>
      </c>
      <c r="Y71" s="9">
        <v>10.531000000000001</v>
      </c>
      <c r="Z71" s="9">
        <v>10.1662</v>
      </c>
      <c r="AA71" s="9">
        <v>7.0498000000000003</v>
      </c>
      <c r="AB71" s="9">
        <v>8.1069999999999993</v>
      </c>
      <c r="AC71" s="9">
        <v>10.646599999999999</v>
      </c>
      <c r="AD71" s="9">
        <v>11.2418</v>
      </c>
      <c r="AE71" s="9">
        <v>12.716799999999999</v>
      </c>
      <c r="AF71" s="9"/>
      <c r="AG71" s="9">
        <f t="shared" si="20"/>
        <v>44.020199999999981</v>
      </c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spans="1:43" x14ac:dyDescent="0.25">
      <c r="A72" s="10" t="s">
        <v>118</v>
      </c>
      <c r="B72" s="10" t="s">
        <v>41</v>
      </c>
      <c r="C72" s="10"/>
      <c r="D72" s="10"/>
      <c r="E72" s="10"/>
      <c r="F72" s="10"/>
      <c r="G72" s="11">
        <v>0</v>
      </c>
      <c r="H72" s="10"/>
      <c r="I72" s="10" t="s">
        <v>37</v>
      </c>
      <c r="J72" s="10"/>
      <c r="K72" s="10"/>
      <c r="L72" s="10">
        <f t="shared" si="22"/>
        <v>0</v>
      </c>
      <c r="M72" s="10">
        <f t="shared" si="23"/>
        <v>0</v>
      </c>
      <c r="N72" s="10"/>
      <c r="O72" s="10"/>
      <c r="P72" s="10">
        <v>0</v>
      </c>
      <c r="Q72" s="10"/>
      <c r="R72" s="10"/>
      <c r="S72" s="10">
        <v>0</v>
      </c>
      <c r="T72" s="10">
        <f t="shared" si="24"/>
        <v>0</v>
      </c>
      <c r="U72" s="12"/>
      <c r="V72" s="10" t="e">
        <f t="shared" si="25"/>
        <v>#DIV/0!</v>
      </c>
      <c r="W72" s="10" t="e">
        <f t="shared" si="26"/>
        <v>#DIV/0!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 t="s">
        <v>60</v>
      </c>
      <c r="AG72" s="10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spans="1:43" x14ac:dyDescent="0.25">
      <c r="A73" s="9" t="s">
        <v>119</v>
      </c>
      <c r="B73" s="9" t="s">
        <v>36</v>
      </c>
      <c r="C73" s="9">
        <v>426.51499999999999</v>
      </c>
      <c r="D73" s="9">
        <v>189.87100000000001</v>
      </c>
      <c r="E73" s="9">
        <v>296.75599999999997</v>
      </c>
      <c r="F73" s="9">
        <v>220.74299999999999</v>
      </c>
      <c r="G73" s="6">
        <v>1</v>
      </c>
      <c r="H73" s="9">
        <v>30</v>
      </c>
      <c r="I73" s="9" t="s">
        <v>37</v>
      </c>
      <c r="J73" s="9"/>
      <c r="K73" s="9">
        <v>380.8</v>
      </c>
      <c r="L73" s="9">
        <f t="shared" si="22"/>
        <v>-84.04400000000004</v>
      </c>
      <c r="M73" s="9">
        <f t="shared" si="23"/>
        <v>296.75599999999997</v>
      </c>
      <c r="N73" s="9"/>
      <c r="O73" s="9"/>
      <c r="P73" s="9">
        <v>277.23999447599999</v>
      </c>
      <c r="Q73" s="9">
        <v>594.58388752400003</v>
      </c>
      <c r="R73" s="9"/>
      <c r="S73" s="9">
        <v>0</v>
      </c>
      <c r="T73" s="9">
        <f t="shared" si="24"/>
        <v>59.351199999999992</v>
      </c>
      <c r="U73" s="4"/>
      <c r="V73" s="9">
        <f t="shared" si="25"/>
        <v>18.408505337718534</v>
      </c>
      <c r="W73" s="9">
        <f t="shared" si="26"/>
        <v>18.408505337718534</v>
      </c>
      <c r="X73" s="9">
        <v>99.834000000000003</v>
      </c>
      <c r="Y73" s="9">
        <v>113.3442</v>
      </c>
      <c r="Z73" s="9">
        <v>77.829800000000006</v>
      </c>
      <c r="AA73" s="9">
        <v>48.958399999999997</v>
      </c>
      <c r="AB73" s="9">
        <v>62.925199999999997</v>
      </c>
      <c r="AC73" s="9">
        <v>91.303799999999995</v>
      </c>
      <c r="AD73" s="9">
        <v>116.23739999999999</v>
      </c>
      <c r="AE73" s="9">
        <v>91.614599999999996</v>
      </c>
      <c r="AF73" s="9"/>
      <c r="AG73" s="9">
        <f>G73*U73</f>
        <v>0</v>
      </c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spans="1:43" x14ac:dyDescent="0.25">
      <c r="A74" s="9" t="s">
        <v>120</v>
      </c>
      <c r="B74" s="9" t="s">
        <v>41</v>
      </c>
      <c r="C74" s="9">
        <v>107</v>
      </c>
      <c r="D74" s="9">
        <v>972</v>
      </c>
      <c r="E74" s="9">
        <v>357</v>
      </c>
      <c r="F74" s="9">
        <v>548</v>
      </c>
      <c r="G74" s="6">
        <v>0.6</v>
      </c>
      <c r="H74" s="9">
        <v>60</v>
      </c>
      <c r="I74" s="9" t="s">
        <v>37</v>
      </c>
      <c r="J74" s="9"/>
      <c r="K74" s="9">
        <v>863</v>
      </c>
      <c r="L74" s="9">
        <f t="shared" si="22"/>
        <v>-506</v>
      </c>
      <c r="M74" s="9">
        <f t="shared" si="23"/>
        <v>357</v>
      </c>
      <c r="N74" s="9"/>
      <c r="O74" s="9"/>
      <c r="P74" s="9">
        <v>303.43814400000002</v>
      </c>
      <c r="Q74" s="9">
        <v>650.76985600000012</v>
      </c>
      <c r="R74" s="9"/>
      <c r="S74" s="9">
        <v>100</v>
      </c>
      <c r="T74" s="9">
        <f t="shared" si="24"/>
        <v>71.400000000000006</v>
      </c>
      <c r="U74" s="4"/>
      <c r="V74" s="9">
        <f t="shared" si="25"/>
        <v>22.439887955182073</v>
      </c>
      <c r="W74" s="9">
        <f t="shared" si="26"/>
        <v>22.439887955182073</v>
      </c>
      <c r="X74" s="9">
        <v>79.400000000000006</v>
      </c>
      <c r="Y74" s="9">
        <v>144.80000000000001</v>
      </c>
      <c r="Z74" s="9">
        <v>132.19999999999999</v>
      </c>
      <c r="AA74" s="9">
        <v>65.599999999999994</v>
      </c>
      <c r="AB74" s="9">
        <v>71</v>
      </c>
      <c r="AC74" s="9">
        <v>74</v>
      </c>
      <c r="AD74" s="9">
        <v>122</v>
      </c>
      <c r="AE74" s="9">
        <v>127.6</v>
      </c>
      <c r="AF74" s="9"/>
      <c r="AG74" s="9">
        <f>G74*U74</f>
        <v>0</v>
      </c>
      <c r="AH74" s="9"/>
      <c r="AI74" s="9"/>
      <c r="AJ74" s="9"/>
      <c r="AK74" s="9"/>
      <c r="AL74" s="9"/>
      <c r="AM74" s="9"/>
      <c r="AN74" s="9"/>
      <c r="AO74" s="9"/>
      <c r="AP74" s="9"/>
      <c r="AQ74" s="9"/>
    </row>
    <row r="75" spans="1:43" x14ac:dyDescent="0.25">
      <c r="A75" s="9" t="s">
        <v>121</v>
      </c>
      <c r="B75" s="9" t="s">
        <v>41</v>
      </c>
      <c r="C75" s="9">
        <v>178</v>
      </c>
      <c r="D75" s="9">
        <v>907</v>
      </c>
      <c r="E75" s="9">
        <v>372</v>
      </c>
      <c r="F75" s="9">
        <v>502</v>
      </c>
      <c r="G75" s="6">
        <v>0.6</v>
      </c>
      <c r="H75" s="9">
        <v>60</v>
      </c>
      <c r="I75" s="9" t="s">
        <v>37</v>
      </c>
      <c r="J75" s="9"/>
      <c r="K75" s="9">
        <v>868</v>
      </c>
      <c r="L75" s="9">
        <f t="shared" si="22"/>
        <v>-496</v>
      </c>
      <c r="M75" s="9">
        <f t="shared" si="23"/>
        <v>372</v>
      </c>
      <c r="N75" s="9"/>
      <c r="O75" s="9"/>
      <c r="P75" s="9">
        <v>253.012248</v>
      </c>
      <c r="Q75" s="9">
        <v>542.6237520000002</v>
      </c>
      <c r="R75" s="9"/>
      <c r="S75" s="9">
        <v>100</v>
      </c>
      <c r="T75" s="9">
        <f t="shared" si="24"/>
        <v>74.400000000000006</v>
      </c>
      <c r="U75" s="4"/>
      <c r="V75" s="9">
        <f t="shared" si="25"/>
        <v>18.785430107526881</v>
      </c>
      <c r="W75" s="9">
        <f t="shared" si="26"/>
        <v>18.785430107526881</v>
      </c>
      <c r="X75" s="9">
        <v>96.8</v>
      </c>
      <c r="Y75" s="9">
        <v>125.2</v>
      </c>
      <c r="Z75" s="9">
        <v>118.6</v>
      </c>
      <c r="AA75" s="9">
        <v>74.400000000000006</v>
      </c>
      <c r="AB75" s="9">
        <v>64.8</v>
      </c>
      <c r="AC75" s="9">
        <v>68.599999999999994</v>
      </c>
      <c r="AD75" s="9">
        <v>104.6</v>
      </c>
      <c r="AE75" s="9">
        <v>112.2</v>
      </c>
      <c r="AF75" s="9"/>
      <c r="AG75" s="9">
        <f>G75*U75</f>
        <v>0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spans="1:43" x14ac:dyDescent="0.25">
      <c r="A76" s="10" t="s">
        <v>122</v>
      </c>
      <c r="B76" s="10" t="s">
        <v>41</v>
      </c>
      <c r="C76" s="10"/>
      <c r="D76" s="10"/>
      <c r="E76" s="10"/>
      <c r="F76" s="10"/>
      <c r="G76" s="11">
        <v>0</v>
      </c>
      <c r="H76" s="10"/>
      <c r="I76" s="10" t="s">
        <v>37</v>
      </c>
      <c r="J76" s="10"/>
      <c r="K76" s="10"/>
      <c r="L76" s="10">
        <f t="shared" si="22"/>
        <v>0</v>
      </c>
      <c r="M76" s="10">
        <f t="shared" si="23"/>
        <v>0</v>
      </c>
      <c r="N76" s="10"/>
      <c r="O76" s="10"/>
      <c r="P76" s="10">
        <v>0</v>
      </c>
      <c r="Q76" s="10"/>
      <c r="R76" s="10"/>
      <c r="S76" s="10">
        <v>0</v>
      </c>
      <c r="T76" s="10">
        <f t="shared" si="24"/>
        <v>0</v>
      </c>
      <c r="U76" s="12"/>
      <c r="V76" s="10" t="e">
        <f t="shared" si="25"/>
        <v>#DIV/0!</v>
      </c>
      <c r="W76" s="10" t="e">
        <f t="shared" si="26"/>
        <v>#DIV/0!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 t="s">
        <v>60</v>
      </c>
      <c r="AG76" s="10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spans="1:43" x14ac:dyDescent="0.25">
      <c r="A77" s="10" t="s">
        <v>123</v>
      </c>
      <c r="B77" s="10" t="s">
        <v>41</v>
      </c>
      <c r="C77" s="10">
        <v>2</v>
      </c>
      <c r="D77" s="10"/>
      <c r="E77" s="10"/>
      <c r="F77" s="10">
        <v>2</v>
      </c>
      <c r="G77" s="11">
        <v>0</v>
      </c>
      <c r="H77" s="10"/>
      <c r="I77" s="10" t="s">
        <v>37</v>
      </c>
      <c r="J77" s="10"/>
      <c r="K77" s="10">
        <v>1</v>
      </c>
      <c r="L77" s="10">
        <f t="shared" si="22"/>
        <v>-1</v>
      </c>
      <c r="M77" s="10">
        <f t="shared" si="23"/>
        <v>0</v>
      </c>
      <c r="N77" s="10"/>
      <c r="O77" s="10"/>
      <c r="P77" s="10">
        <v>0</v>
      </c>
      <c r="Q77" s="10"/>
      <c r="R77" s="10"/>
      <c r="S77" s="10">
        <v>0</v>
      </c>
      <c r="T77" s="10">
        <f t="shared" si="24"/>
        <v>0</v>
      </c>
      <c r="U77" s="12"/>
      <c r="V77" s="10" t="e">
        <f t="shared" si="25"/>
        <v>#DIV/0!</v>
      </c>
      <c r="W77" s="10" t="e">
        <f t="shared" si="26"/>
        <v>#DIV/0!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 t="s">
        <v>60</v>
      </c>
      <c r="AG77" s="10"/>
      <c r="AH77" s="9"/>
      <c r="AI77" s="9"/>
      <c r="AJ77" s="9"/>
      <c r="AK77" s="9"/>
      <c r="AL77" s="9"/>
      <c r="AM77" s="9"/>
      <c r="AN77" s="9"/>
      <c r="AO77" s="9"/>
      <c r="AP77" s="9"/>
      <c r="AQ77" s="9"/>
    </row>
    <row r="78" spans="1:43" x14ac:dyDescent="0.25">
      <c r="A78" s="9" t="s">
        <v>124</v>
      </c>
      <c r="B78" s="9" t="s">
        <v>41</v>
      </c>
      <c r="C78" s="9">
        <v>102</v>
      </c>
      <c r="D78" s="9">
        <v>5</v>
      </c>
      <c r="E78" s="9">
        <v>47</v>
      </c>
      <c r="F78" s="9">
        <v>52</v>
      </c>
      <c r="G78" s="6">
        <v>0.35</v>
      </c>
      <c r="H78" s="9">
        <v>90</v>
      </c>
      <c r="I78" s="9" t="s">
        <v>37</v>
      </c>
      <c r="J78" s="9"/>
      <c r="K78" s="9">
        <v>52</v>
      </c>
      <c r="L78" s="9">
        <f t="shared" si="22"/>
        <v>-5</v>
      </c>
      <c r="M78" s="9">
        <f t="shared" si="23"/>
        <v>47</v>
      </c>
      <c r="N78" s="9"/>
      <c r="O78" s="9"/>
      <c r="P78" s="9">
        <v>0</v>
      </c>
      <c r="Q78" s="9"/>
      <c r="R78" s="9"/>
      <c r="S78" s="9">
        <v>45.400000000000013</v>
      </c>
      <c r="T78" s="9">
        <f t="shared" si="24"/>
        <v>9.4</v>
      </c>
      <c r="U78" s="4">
        <f t="shared" ref="U78:U84" si="27">12*T78-S78-R78-Q78-P78-O78-F78</f>
        <v>15.400000000000006</v>
      </c>
      <c r="V78" s="9">
        <f t="shared" si="25"/>
        <v>12</v>
      </c>
      <c r="W78" s="9">
        <f t="shared" si="26"/>
        <v>10.361702127659575</v>
      </c>
      <c r="X78" s="9">
        <v>10.4</v>
      </c>
      <c r="Y78" s="9">
        <v>6.2</v>
      </c>
      <c r="Z78" s="9">
        <v>9.4</v>
      </c>
      <c r="AA78" s="9">
        <v>9.4</v>
      </c>
      <c r="AB78" s="9">
        <v>5.2</v>
      </c>
      <c r="AC78" s="9">
        <v>8.1999999999999993</v>
      </c>
      <c r="AD78" s="9">
        <v>11.2</v>
      </c>
      <c r="AE78" s="9">
        <v>17.399999999999999</v>
      </c>
      <c r="AF78" s="9"/>
      <c r="AG78" s="9">
        <f t="shared" ref="AG78:AG84" si="28">G78*U78</f>
        <v>5.3900000000000015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</row>
    <row r="79" spans="1:43" x14ac:dyDescent="0.25">
      <c r="A79" s="9" t="s">
        <v>125</v>
      </c>
      <c r="B79" s="9" t="s">
        <v>41</v>
      </c>
      <c r="C79" s="9">
        <v>225</v>
      </c>
      <c r="D79" s="9">
        <v>96</v>
      </c>
      <c r="E79" s="9">
        <v>147</v>
      </c>
      <c r="F79" s="9">
        <v>147</v>
      </c>
      <c r="G79" s="6">
        <v>0.37</v>
      </c>
      <c r="H79" s="9">
        <v>50</v>
      </c>
      <c r="I79" s="9" t="s">
        <v>37</v>
      </c>
      <c r="J79" s="9"/>
      <c r="K79" s="9">
        <v>198</v>
      </c>
      <c r="L79" s="9">
        <f t="shared" si="22"/>
        <v>-51</v>
      </c>
      <c r="M79" s="9">
        <f t="shared" si="23"/>
        <v>147</v>
      </c>
      <c r="N79" s="9"/>
      <c r="O79" s="9"/>
      <c r="P79" s="9">
        <v>60.639999999999873</v>
      </c>
      <c r="Q79" s="9"/>
      <c r="R79" s="9"/>
      <c r="S79" s="9">
        <v>0</v>
      </c>
      <c r="T79" s="9">
        <f t="shared" si="24"/>
        <v>29.4</v>
      </c>
      <c r="U79" s="4">
        <f t="shared" si="27"/>
        <v>145.16000000000008</v>
      </c>
      <c r="V79" s="9">
        <f t="shared" si="25"/>
        <v>11.999999999999998</v>
      </c>
      <c r="W79" s="9">
        <f t="shared" si="26"/>
        <v>7.0625850340136012</v>
      </c>
      <c r="X79" s="9">
        <v>16.2</v>
      </c>
      <c r="Y79" s="9">
        <v>28.8</v>
      </c>
      <c r="Z79" s="9">
        <v>28.8</v>
      </c>
      <c r="AA79" s="9">
        <v>18.2</v>
      </c>
      <c r="AB79" s="9">
        <v>30.6</v>
      </c>
      <c r="AC79" s="9">
        <v>29</v>
      </c>
      <c r="AD79" s="9">
        <v>32.200000000000003</v>
      </c>
      <c r="AE79" s="9">
        <v>29.2</v>
      </c>
      <c r="AF79" s="9"/>
      <c r="AG79" s="9">
        <f t="shared" si="28"/>
        <v>53.709200000000031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</row>
    <row r="80" spans="1:43" x14ac:dyDescent="0.25">
      <c r="A80" s="9" t="s">
        <v>126</v>
      </c>
      <c r="B80" s="9" t="s">
        <v>41</v>
      </c>
      <c r="C80" s="9">
        <v>70</v>
      </c>
      <c r="D80" s="9">
        <v>165</v>
      </c>
      <c r="E80" s="9">
        <v>98</v>
      </c>
      <c r="F80" s="9">
        <v>81</v>
      </c>
      <c r="G80" s="6">
        <v>0.6</v>
      </c>
      <c r="H80" s="9">
        <v>70</v>
      </c>
      <c r="I80" s="16" t="s">
        <v>44</v>
      </c>
      <c r="J80" s="9"/>
      <c r="K80" s="9">
        <v>402</v>
      </c>
      <c r="L80" s="9">
        <f t="shared" si="22"/>
        <v>-304</v>
      </c>
      <c r="M80" s="9">
        <f t="shared" si="23"/>
        <v>98</v>
      </c>
      <c r="N80" s="9"/>
      <c r="O80" s="9"/>
      <c r="P80" s="9">
        <v>159</v>
      </c>
      <c r="Q80" s="9">
        <v>341</v>
      </c>
      <c r="R80" s="9"/>
      <c r="S80" s="9">
        <v>300</v>
      </c>
      <c r="T80" s="9">
        <f t="shared" si="24"/>
        <v>19.600000000000001</v>
      </c>
      <c r="U80" s="4"/>
      <c r="V80" s="9">
        <f t="shared" si="25"/>
        <v>44.948979591836732</v>
      </c>
      <c r="W80" s="9">
        <f t="shared" si="26"/>
        <v>44.948979591836732</v>
      </c>
      <c r="X80" s="9">
        <v>83.6</v>
      </c>
      <c r="Y80" s="9">
        <v>196.6</v>
      </c>
      <c r="Z80" s="9">
        <v>134</v>
      </c>
      <c r="AA80" s="9">
        <v>33.200000000000003</v>
      </c>
      <c r="AB80" s="9">
        <v>267.8</v>
      </c>
      <c r="AC80" s="9">
        <v>269</v>
      </c>
      <c r="AD80" s="9">
        <v>267.2</v>
      </c>
      <c r="AE80" s="9">
        <v>46.4</v>
      </c>
      <c r="AF80" s="9" t="s">
        <v>186</v>
      </c>
      <c r="AG80" s="9">
        <f t="shared" si="28"/>
        <v>0</v>
      </c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spans="1:43" x14ac:dyDescent="0.25">
      <c r="A81" s="9" t="s">
        <v>127</v>
      </c>
      <c r="B81" s="9" t="s">
        <v>41</v>
      </c>
      <c r="C81" s="9">
        <v>96</v>
      </c>
      <c r="D81" s="9">
        <v>238</v>
      </c>
      <c r="E81" s="9">
        <v>172</v>
      </c>
      <c r="F81" s="9">
        <v>69</v>
      </c>
      <c r="G81" s="6">
        <v>0.33</v>
      </c>
      <c r="H81" s="9">
        <v>40</v>
      </c>
      <c r="I81" s="9" t="s">
        <v>37</v>
      </c>
      <c r="J81" s="9"/>
      <c r="K81" s="9">
        <v>358</v>
      </c>
      <c r="L81" s="9">
        <f t="shared" si="22"/>
        <v>-186</v>
      </c>
      <c r="M81" s="9">
        <f t="shared" si="23"/>
        <v>172</v>
      </c>
      <c r="N81" s="9"/>
      <c r="O81" s="9"/>
      <c r="P81" s="9">
        <v>0</v>
      </c>
      <c r="Q81" s="9"/>
      <c r="R81" s="9"/>
      <c r="S81" s="9">
        <v>206.86</v>
      </c>
      <c r="T81" s="9">
        <f t="shared" si="24"/>
        <v>34.4</v>
      </c>
      <c r="U81" s="4">
        <f t="shared" si="27"/>
        <v>136.93999999999994</v>
      </c>
      <c r="V81" s="9">
        <f t="shared" si="25"/>
        <v>12</v>
      </c>
      <c r="W81" s="9">
        <f t="shared" si="26"/>
        <v>8.0191860465116278</v>
      </c>
      <c r="X81" s="9">
        <v>51</v>
      </c>
      <c r="Y81" s="9">
        <v>66.400000000000006</v>
      </c>
      <c r="Z81" s="9">
        <v>43.8</v>
      </c>
      <c r="AA81" s="9">
        <v>14</v>
      </c>
      <c r="AB81" s="9">
        <v>35.4</v>
      </c>
      <c r="AC81" s="9">
        <v>34.799999999999997</v>
      </c>
      <c r="AD81" s="9">
        <v>35.6</v>
      </c>
      <c r="AE81" s="9">
        <v>19.8</v>
      </c>
      <c r="AF81" s="9"/>
      <c r="AG81" s="9">
        <f t="shared" si="28"/>
        <v>45.190199999999983</v>
      </c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x14ac:dyDescent="0.25">
      <c r="A82" s="9" t="s">
        <v>128</v>
      </c>
      <c r="B82" s="9" t="s">
        <v>41</v>
      </c>
      <c r="C82" s="9">
        <v>81</v>
      </c>
      <c r="D82" s="9">
        <v>10</v>
      </c>
      <c r="E82" s="9">
        <v>43</v>
      </c>
      <c r="F82" s="9">
        <v>38</v>
      </c>
      <c r="G82" s="6">
        <v>0.4</v>
      </c>
      <c r="H82" s="9">
        <v>55</v>
      </c>
      <c r="I82" s="9" t="s">
        <v>37</v>
      </c>
      <c r="J82" s="9"/>
      <c r="K82" s="9">
        <v>60</v>
      </c>
      <c r="L82" s="9">
        <f t="shared" si="22"/>
        <v>-17</v>
      </c>
      <c r="M82" s="9">
        <f t="shared" si="23"/>
        <v>43</v>
      </c>
      <c r="N82" s="9"/>
      <c r="O82" s="9"/>
      <c r="P82" s="9">
        <v>63.299999999999983</v>
      </c>
      <c r="Q82" s="9"/>
      <c r="R82" s="9"/>
      <c r="S82" s="9">
        <v>0</v>
      </c>
      <c r="T82" s="9">
        <f t="shared" si="24"/>
        <v>8.6</v>
      </c>
      <c r="U82" s="4">
        <v>8</v>
      </c>
      <c r="V82" s="9">
        <f t="shared" si="25"/>
        <v>12.709302325581394</v>
      </c>
      <c r="W82" s="9">
        <f t="shared" si="26"/>
        <v>11.779069767441859</v>
      </c>
      <c r="X82" s="9">
        <v>10.8</v>
      </c>
      <c r="Y82" s="9">
        <v>12.2</v>
      </c>
      <c r="Z82" s="9">
        <v>8.4</v>
      </c>
      <c r="AA82" s="9">
        <v>8.4</v>
      </c>
      <c r="AB82" s="9">
        <v>12</v>
      </c>
      <c r="AC82" s="9">
        <v>8.4</v>
      </c>
      <c r="AD82" s="9">
        <v>7.2</v>
      </c>
      <c r="AE82" s="9">
        <v>5.8</v>
      </c>
      <c r="AF82" s="9"/>
      <c r="AG82" s="9">
        <f t="shared" si="28"/>
        <v>3.2</v>
      </c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spans="1:43" x14ac:dyDescent="0.25">
      <c r="A83" s="9" t="s">
        <v>129</v>
      </c>
      <c r="B83" s="9" t="s">
        <v>41</v>
      </c>
      <c r="C83" s="9">
        <v>-8</v>
      </c>
      <c r="D83" s="9">
        <v>315</v>
      </c>
      <c r="E83" s="9">
        <v>62</v>
      </c>
      <c r="F83" s="9">
        <v>222</v>
      </c>
      <c r="G83" s="6">
        <v>0.35</v>
      </c>
      <c r="H83" s="9">
        <v>40</v>
      </c>
      <c r="I83" s="9" t="s">
        <v>37</v>
      </c>
      <c r="J83" s="9"/>
      <c r="K83" s="9">
        <v>94</v>
      </c>
      <c r="L83" s="9">
        <f t="shared" si="22"/>
        <v>-32</v>
      </c>
      <c r="M83" s="9">
        <f t="shared" si="23"/>
        <v>62</v>
      </c>
      <c r="N83" s="9"/>
      <c r="O83" s="9"/>
      <c r="P83" s="9">
        <v>0</v>
      </c>
      <c r="Q83" s="9"/>
      <c r="R83" s="9"/>
      <c r="S83" s="9">
        <v>0</v>
      </c>
      <c r="T83" s="9">
        <f t="shared" si="24"/>
        <v>12.4</v>
      </c>
      <c r="U83" s="4"/>
      <c r="V83" s="9">
        <f t="shared" si="25"/>
        <v>17.903225806451612</v>
      </c>
      <c r="W83" s="9">
        <f t="shared" si="26"/>
        <v>17.903225806451612</v>
      </c>
      <c r="X83" s="9">
        <v>-1</v>
      </c>
      <c r="Y83" s="9">
        <v>8.8000000000000007</v>
      </c>
      <c r="Z83" s="9">
        <v>26.2</v>
      </c>
      <c r="AA83" s="9">
        <v>35.799999999999997</v>
      </c>
      <c r="AB83" s="9">
        <v>40.6</v>
      </c>
      <c r="AC83" s="9">
        <v>41.6</v>
      </c>
      <c r="AD83" s="9">
        <v>46.2</v>
      </c>
      <c r="AE83" s="9">
        <v>34.4</v>
      </c>
      <c r="AF83" s="9"/>
      <c r="AG83" s="9">
        <f t="shared" si="28"/>
        <v>0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x14ac:dyDescent="0.25">
      <c r="A84" s="9" t="s">
        <v>130</v>
      </c>
      <c r="B84" s="9" t="s">
        <v>41</v>
      </c>
      <c r="C84" s="9">
        <v>389</v>
      </c>
      <c r="D84" s="9">
        <v>41</v>
      </c>
      <c r="E84" s="9">
        <v>384</v>
      </c>
      <c r="F84" s="9">
        <v>-3</v>
      </c>
      <c r="G84" s="6">
        <v>0.35</v>
      </c>
      <c r="H84" s="9">
        <v>45</v>
      </c>
      <c r="I84" s="9" t="s">
        <v>37</v>
      </c>
      <c r="J84" s="9"/>
      <c r="K84" s="9">
        <v>548</v>
      </c>
      <c r="L84" s="9">
        <f t="shared" si="22"/>
        <v>-164</v>
      </c>
      <c r="M84" s="9">
        <f t="shared" si="23"/>
        <v>372</v>
      </c>
      <c r="N84" s="9">
        <v>12</v>
      </c>
      <c r="O84" s="9"/>
      <c r="P84" s="9">
        <v>0</v>
      </c>
      <c r="Q84" s="9"/>
      <c r="R84" s="9"/>
      <c r="S84" s="9">
        <v>463.2</v>
      </c>
      <c r="T84" s="9">
        <f t="shared" si="24"/>
        <v>74.400000000000006</v>
      </c>
      <c r="U84" s="4">
        <f t="shared" si="27"/>
        <v>432.60000000000008</v>
      </c>
      <c r="V84" s="9">
        <f t="shared" si="25"/>
        <v>12</v>
      </c>
      <c r="W84" s="9">
        <f t="shared" si="26"/>
        <v>6.1854838709677411</v>
      </c>
      <c r="X84" s="9">
        <v>77.2</v>
      </c>
      <c r="Y84" s="9">
        <v>16.600000000000001</v>
      </c>
      <c r="Z84" s="9">
        <v>66.599999999999994</v>
      </c>
      <c r="AA84" s="9">
        <v>83</v>
      </c>
      <c r="AB84" s="9">
        <v>72.599999999999994</v>
      </c>
      <c r="AC84" s="9">
        <v>72.599999999999994</v>
      </c>
      <c r="AD84" s="9">
        <v>82</v>
      </c>
      <c r="AE84" s="9">
        <v>85</v>
      </c>
      <c r="AF84" s="9"/>
      <c r="AG84" s="9">
        <f t="shared" si="28"/>
        <v>151.41000000000003</v>
      </c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spans="1:43" x14ac:dyDescent="0.25">
      <c r="A85" s="10" t="s">
        <v>131</v>
      </c>
      <c r="B85" s="10" t="s">
        <v>36</v>
      </c>
      <c r="C85" s="10"/>
      <c r="D85" s="10">
        <v>1.3740000000000001</v>
      </c>
      <c r="E85" s="15">
        <v>5.4409999999999998</v>
      </c>
      <c r="F85" s="15">
        <v>-5.4409999999999998</v>
      </c>
      <c r="G85" s="11">
        <v>0</v>
      </c>
      <c r="H85" s="10"/>
      <c r="I85" s="13" t="s">
        <v>52</v>
      </c>
      <c r="J85" s="10" t="s">
        <v>39</v>
      </c>
      <c r="K85" s="10">
        <v>6.5</v>
      </c>
      <c r="L85" s="10">
        <f t="shared" si="22"/>
        <v>-1.0590000000000002</v>
      </c>
      <c r="M85" s="10">
        <f t="shared" si="23"/>
        <v>5.4409999999999998</v>
      </c>
      <c r="N85" s="10"/>
      <c r="O85" s="10"/>
      <c r="P85" s="10"/>
      <c r="Q85" s="10"/>
      <c r="R85" s="10"/>
      <c r="S85" s="10"/>
      <c r="T85" s="10">
        <f t="shared" si="24"/>
        <v>1.0882000000000001</v>
      </c>
      <c r="U85" s="12"/>
      <c r="V85" s="10">
        <f t="shared" si="25"/>
        <v>-5</v>
      </c>
      <c r="W85" s="10">
        <f t="shared" si="26"/>
        <v>-5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/>
      <c r="AG85" s="10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spans="1:43" x14ac:dyDescent="0.25">
      <c r="A86" s="9" t="s">
        <v>132</v>
      </c>
      <c r="B86" s="9" t="s">
        <v>41</v>
      </c>
      <c r="C86" s="9">
        <v>36</v>
      </c>
      <c r="D86" s="9">
        <v>30</v>
      </c>
      <c r="E86" s="9">
        <v>22</v>
      </c>
      <c r="F86" s="9">
        <v>26</v>
      </c>
      <c r="G86" s="6">
        <v>0.4</v>
      </c>
      <c r="H86" s="9">
        <v>55</v>
      </c>
      <c r="I86" s="9" t="s">
        <v>37</v>
      </c>
      <c r="J86" s="9"/>
      <c r="K86" s="9">
        <v>42</v>
      </c>
      <c r="L86" s="9">
        <f t="shared" si="22"/>
        <v>-20</v>
      </c>
      <c r="M86" s="9">
        <f t="shared" si="23"/>
        <v>22</v>
      </c>
      <c r="N86" s="9"/>
      <c r="O86" s="9"/>
      <c r="P86" s="9">
        <v>20</v>
      </c>
      <c r="Q86" s="9"/>
      <c r="R86" s="9"/>
      <c r="S86" s="9">
        <v>48</v>
      </c>
      <c r="T86" s="9">
        <f t="shared" si="24"/>
        <v>4.4000000000000004</v>
      </c>
      <c r="U86" s="4"/>
      <c r="V86" s="9">
        <f t="shared" si="25"/>
        <v>21.363636363636363</v>
      </c>
      <c r="W86" s="9">
        <f t="shared" si="26"/>
        <v>21.363636363636363</v>
      </c>
      <c r="X86" s="9">
        <v>7.6</v>
      </c>
      <c r="Y86" s="9">
        <v>4</v>
      </c>
      <c r="Z86" s="9">
        <v>4</v>
      </c>
      <c r="AA86" s="9">
        <v>0</v>
      </c>
      <c r="AB86" s="9">
        <v>0.2</v>
      </c>
      <c r="AC86" s="9">
        <v>0.2</v>
      </c>
      <c r="AD86" s="9">
        <v>4.5999999999999996</v>
      </c>
      <c r="AE86" s="9">
        <v>5</v>
      </c>
      <c r="AF86" s="9"/>
      <c r="AG86" s="9">
        <f>G86*U86</f>
        <v>0</v>
      </c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spans="1:43" x14ac:dyDescent="0.25">
      <c r="A87" s="9" t="s">
        <v>133</v>
      </c>
      <c r="B87" s="9" t="s">
        <v>36</v>
      </c>
      <c r="C87" s="9">
        <v>50.831000000000003</v>
      </c>
      <c r="D87" s="9">
        <v>2.875</v>
      </c>
      <c r="E87" s="9">
        <v>8.5820000000000007</v>
      </c>
      <c r="F87" s="9">
        <v>42.249000000000002</v>
      </c>
      <c r="G87" s="6">
        <v>1</v>
      </c>
      <c r="H87" s="9">
        <v>55</v>
      </c>
      <c r="I87" s="9" t="s">
        <v>37</v>
      </c>
      <c r="J87" s="9"/>
      <c r="K87" s="9">
        <v>9.3000000000000007</v>
      </c>
      <c r="L87" s="9">
        <f t="shared" si="22"/>
        <v>-0.71799999999999997</v>
      </c>
      <c r="M87" s="9">
        <f t="shared" si="23"/>
        <v>8.5820000000000007</v>
      </c>
      <c r="N87" s="9"/>
      <c r="O87" s="9"/>
      <c r="P87" s="9">
        <v>0</v>
      </c>
      <c r="Q87" s="9"/>
      <c r="R87" s="9"/>
      <c r="S87" s="9">
        <v>0</v>
      </c>
      <c r="T87" s="9">
        <f t="shared" si="24"/>
        <v>1.7164000000000001</v>
      </c>
      <c r="U87" s="4"/>
      <c r="V87" s="9">
        <f t="shared" si="25"/>
        <v>24.61489163365183</v>
      </c>
      <c r="W87" s="9">
        <f t="shared" si="26"/>
        <v>24.61489163365183</v>
      </c>
      <c r="X87" s="9">
        <v>1.7183999999999999</v>
      </c>
      <c r="Y87" s="9">
        <v>0.57800000000000007</v>
      </c>
      <c r="Z87" s="9">
        <v>1.7447999999999999</v>
      </c>
      <c r="AA87" s="9">
        <v>1.7296</v>
      </c>
      <c r="AB87" s="9">
        <v>1.1372</v>
      </c>
      <c r="AC87" s="9">
        <v>1.4352</v>
      </c>
      <c r="AD87" s="9">
        <v>2.8454000000000002</v>
      </c>
      <c r="AE87" s="9">
        <v>1.7416</v>
      </c>
      <c r="AF87" s="14" t="s">
        <v>134</v>
      </c>
      <c r="AG87" s="9">
        <f>G87*U87</f>
        <v>0</v>
      </c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spans="1:43" x14ac:dyDescent="0.25">
      <c r="A88" s="10" t="s">
        <v>135</v>
      </c>
      <c r="B88" s="10" t="s">
        <v>36</v>
      </c>
      <c r="C88" s="10"/>
      <c r="D88" s="10"/>
      <c r="E88" s="10"/>
      <c r="F88" s="10"/>
      <c r="G88" s="11">
        <v>0</v>
      </c>
      <c r="H88" s="10"/>
      <c r="I88" s="10" t="s">
        <v>37</v>
      </c>
      <c r="J88" s="10"/>
      <c r="K88" s="10"/>
      <c r="L88" s="10">
        <f t="shared" si="22"/>
        <v>0</v>
      </c>
      <c r="M88" s="10">
        <f t="shared" si="23"/>
        <v>0</v>
      </c>
      <c r="N88" s="10"/>
      <c r="O88" s="10"/>
      <c r="P88" s="10">
        <v>0</v>
      </c>
      <c r="Q88" s="10"/>
      <c r="R88" s="10"/>
      <c r="S88" s="10">
        <v>0</v>
      </c>
      <c r="T88" s="10">
        <f t="shared" si="24"/>
        <v>0</v>
      </c>
      <c r="U88" s="12"/>
      <c r="V88" s="10" t="e">
        <f t="shared" si="25"/>
        <v>#DIV/0!</v>
      </c>
      <c r="W88" s="10" t="e">
        <f t="shared" si="26"/>
        <v>#DIV/0!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 t="s">
        <v>60</v>
      </c>
      <c r="AG88" s="10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3" x14ac:dyDescent="0.25">
      <c r="A89" s="9" t="s">
        <v>136</v>
      </c>
      <c r="B89" s="9" t="s">
        <v>36</v>
      </c>
      <c r="C89" s="9">
        <v>2256.991</v>
      </c>
      <c r="D89" s="9">
        <v>4085.0459999999998</v>
      </c>
      <c r="E89" s="9">
        <v>3588.3249999999998</v>
      </c>
      <c r="F89" s="9">
        <v>2362.835</v>
      </c>
      <c r="G89" s="6">
        <v>1</v>
      </c>
      <c r="H89" s="9">
        <v>60</v>
      </c>
      <c r="I89" s="9" t="s">
        <v>37</v>
      </c>
      <c r="J89" s="9"/>
      <c r="K89" s="9">
        <v>3814.69</v>
      </c>
      <c r="L89" s="9">
        <f t="shared" si="22"/>
        <v>-226.36500000000024</v>
      </c>
      <c r="M89" s="9">
        <f t="shared" si="23"/>
        <v>3056.8649999999998</v>
      </c>
      <c r="N89" s="9">
        <v>531.46</v>
      </c>
      <c r="O89" s="9"/>
      <c r="P89" s="9">
        <v>307.56029150399911</v>
      </c>
      <c r="Q89" s="9">
        <v>659.61043649599821</v>
      </c>
      <c r="R89" s="9"/>
      <c r="S89" s="9">
        <v>1412.605764000002</v>
      </c>
      <c r="T89" s="9">
        <f t="shared" si="24"/>
        <v>611.37299999999993</v>
      </c>
      <c r="U89" s="4">
        <f t="shared" ref="U89:U90" si="29">12*T89-S89-R89-Q89-P89-O89-F89</f>
        <v>2593.8645079999997</v>
      </c>
      <c r="V89" s="9">
        <f t="shared" si="25"/>
        <v>12</v>
      </c>
      <c r="W89" s="9">
        <f t="shared" si="26"/>
        <v>7.757312625843797</v>
      </c>
      <c r="X89" s="9">
        <v>524.66000000000008</v>
      </c>
      <c r="Y89" s="9">
        <v>546.37159999999994</v>
      </c>
      <c r="Z89" s="9">
        <v>631.18540000000007</v>
      </c>
      <c r="AA89" s="9">
        <v>487.42919999999992</v>
      </c>
      <c r="AB89" s="9">
        <v>486.21499999999997</v>
      </c>
      <c r="AC89" s="9">
        <v>545.07420000000002</v>
      </c>
      <c r="AD89" s="9">
        <v>663.97019999999998</v>
      </c>
      <c r="AE89" s="9">
        <v>653.57219999999995</v>
      </c>
      <c r="AF89" s="9"/>
      <c r="AG89" s="9">
        <f t="shared" ref="AG89:AG94" si="30">G89*U89</f>
        <v>2593.8645079999997</v>
      </c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spans="1:43" x14ac:dyDescent="0.25">
      <c r="A90" s="9" t="s">
        <v>137</v>
      </c>
      <c r="B90" s="9" t="s">
        <v>41</v>
      </c>
      <c r="C90" s="9">
        <v>116</v>
      </c>
      <c r="D90" s="9">
        <v>460</v>
      </c>
      <c r="E90" s="9">
        <v>189</v>
      </c>
      <c r="F90" s="9">
        <v>279</v>
      </c>
      <c r="G90" s="6">
        <v>0.3</v>
      </c>
      <c r="H90" s="9">
        <v>40</v>
      </c>
      <c r="I90" s="9" t="s">
        <v>37</v>
      </c>
      <c r="J90" s="9"/>
      <c r="K90" s="9">
        <v>339</v>
      </c>
      <c r="L90" s="9">
        <f t="shared" si="22"/>
        <v>-150</v>
      </c>
      <c r="M90" s="9">
        <f t="shared" si="23"/>
        <v>189</v>
      </c>
      <c r="N90" s="9"/>
      <c r="O90" s="9"/>
      <c r="P90" s="9">
        <v>118.22199999999999</v>
      </c>
      <c r="Q90" s="9"/>
      <c r="R90" s="9"/>
      <c r="S90" s="9">
        <v>0</v>
      </c>
      <c r="T90" s="9">
        <f t="shared" si="24"/>
        <v>37.799999999999997</v>
      </c>
      <c r="U90" s="4">
        <f t="shared" si="29"/>
        <v>56.377999999999986</v>
      </c>
      <c r="V90" s="9">
        <f t="shared" si="25"/>
        <v>12</v>
      </c>
      <c r="W90" s="9">
        <f t="shared" si="26"/>
        <v>10.508518518518519</v>
      </c>
      <c r="X90" s="9">
        <v>35.799999999999997</v>
      </c>
      <c r="Y90" s="9">
        <v>44</v>
      </c>
      <c r="Z90" s="9">
        <v>54.4</v>
      </c>
      <c r="AA90" s="9">
        <v>32.200000000000003</v>
      </c>
      <c r="AB90" s="9">
        <v>19.600000000000001</v>
      </c>
      <c r="AC90" s="9">
        <v>20.399999999999999</v>
      </c>
      <c r="AD90" s="9">
        <v>31.2</v>
      </c>
      <c r="AE90" s="9">
        <v>47.6</v>
      </c>
      <c r="AF90" s="9"/>
      <c r="AG90" s="9">
        <f t="shared" si="30"/>
        <v>16.913399999999996</v>
      </c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3" x14ac:dyDescent="0.25">
      <c r="A91" s="9" t="s">
        <v>138</v>
      </c>
      <c r="B91" s="9" t="s">
        <v>36</v>
      </c>
      <c r="C91" s="9">
        <v>761.54600000000005</v>
      </c>
      <c r="D91" s="9">
        <v>1555.175</v>
      </c>
      <c r="E91" s="9">
        <v>1122.711</v>
      </c>
      <c r="F91" s="9">
        <v>1127.8499999999999</v>
      </c>
      <c r="G91" s="6">
        <v>1</v>
      </c>
      <c r="H91" s="9">
        <v>60</v>
      </c>
      <c r="I91" s="9" t="s">
        <v>37</v>
      </c>
      <c r="J91" s="9"/>
      <c r="K91" s="9">
        <v>1299.92</v>
      </c>
      <c r="L91" s="9">
        <f t="shared" si="22"/>
        <v>-177.20900000000006</v>
      </c>
      <c r="M91" s="9">
        <f t="shared" si="23"/>
        <v>1122.711</v>
      </c>
      <c r="N91" s="9"/>
      <c r="O91" s="9"/>
      <c r="P91" s="9">
        <v>337.3591753799999</v>
      </c>
      <c r="Q91" s="9">
        <v>723.5187346199998</v>
      </c>
      <c r="R91" s="9"/>
      <c r="S91" s="9">
        <v>511.01289199999911</v>
      </c>
      <c r="T91" s="9">
        <f t="shared" si="24"/>
        <v>224.54220000000001</v>
      </c>
      <c r="U91" s="4"/>
      <c r="V91" s="9">
        <f t="shared" si="25"/>
        <v>12.023311439898597</v>
      </c>
      <c r="W91" s="9">
        <f t="shared" si="26"/>
        <v>12.023311439898597</v>
      </c>
      <c r="X91" s="9">
        <v>235.44120000000001</v>
      </c>
      <c r="Y91" s="9">
        <v>237.84280000000001</v>
      </c>
      <c r="Z91" s="9">
        <v>261.7706</v>
      </c>
      <c r="AA91" s="9">
        <v>210.9222</v>
      </c>
      <c r="AB91" s="9">
        <v>200.2338</v>
      </c>
      <c r="AC91" s="9">
        <v>224.22739999999999</v>
      </c>
      <c r="AD91" s="9">
        <v>269.709</v>
      </c>
      <c r="AE91" s="9">
        <v>297.4228</v>
      </c>
      <c r="AF91" s="9"/>
      <c r="AG91" s="9">
        <f t="shared" si="30"/>
        <v>0</v>
      </c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spans="1:43" x14ac:dyDescent="0.25">
      <c r="A92" s="9" t="s">
        <v>139</v>
      </c>
      <c r="B92" s="9" t="s">
        <v>36</v>
      </c>
      <c r="C92" s="9">
        <v>6340.402</v>
      </c>
      <c r="D92" s="9">
        <v>2856.9560000000001</v>
      </c>
      <c r="E92" s="9">
        <v>3709.4209999999998</v>
      </c>
      <c r="F92" s="9">
        <v>4763.027</v>
      </c>
      <c r="G92" s="6">
        <v>1</v>
      </c>
      <c r="H92" s="9">
        <v>60</v>
      </c>
      <c r="I92" s="9" t="s">
        <v>37</v>
      </c>
      <c r="J92" s="9"/>
      <c r="K92" s="9">
        <v>4046.8939999999998</v>
      </c>
      <c r="L92" s="9">
        <f t="shared" si="22"/>
        <v>-337.47299999999996</v>
      </c>
      <c r="M92" s="9">
        <f t="shared" si="23"/>
        <v>2648.1929999999998</v>
      </c>
      <c r="N92" s="9">
        <v>1061.2280000000001</v>
      </c>
      <c r="O92" s="9"/>
      <c r="P92" s="9">
        <v>0</v>
      </c>
      <c r="Q92" s="9"/>
      <c r="R92" s="9">
        <v>1000</v>
      </c>
      <c r="S92" s="9">
        <v>0</v>
      </c>
      <c r="T92" s="9">
        <f t="shared" si="24"/>
        <v>529.6386</v>
      </c>
      <c r="U92" s="4"/>
      <c r="V92" s="9">
        <f t="shared" si="25"/>
        <v>10.881055497088015</v>
      </c>
      <c r="W92" s="9">
        <f t="shared" si="26"/>
        <v>10.881055497088015</v>
      </c>
      <c r="X92" s="9">
        <v>447.9076</v>
      </c>
      <c r="Y92" s="9">
        <v>485.68380000000008</v>
      </c>
      <c r="Z92" s="9">
        <v>514.53820000000007</v>
      </c>
      <c r="AA92" s="9">
        <v>401.62819999999999</v>
      </c>
      <c r="AB92" s="9">
        <v>487.01119999999992</v>
      </c>
      <c r="AC92" s="9">
        <v>453.0684</v>
      </c>
      <c r="AD92" s="9">
        <v>606.41340000000002</v>
      </c>
      <c r="AE92" s="9">
        <v>702.14319999999998</v>
      </c>
      <c r="AF92" s="9"/>
      <c r="AG92" s="9">
        <f t="shared" si="30"/>
        <v>0</v>
      </c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spans="1:43" x14ac:dyDescent="0.25">
      <c r="A93" s="9" t="s">
        <v>65</v>
      </c>
      <c r="B93" s="9" t="s">
        <v>36</v>
      </c>
      <c r="C93" s="9">
        <v>8137.8050000000003</v>
      </c>
      <c r="D93" s="9">
        <v>4711.1310000000003</v>
      </c>
      <c r="E93" s="9">
        <v>3558.982</v>
      </c>
      <c r="F93" s="15">
        <f>8455.823+F23</f>
        <v>8448.33</v>
      </c>
      <c r="G93" s="6">
        <v>1</v>
      </c>
      <c r="H93" s="9">
        <v>60</v>
      </c>
      <c r="I93" s="9" t="s">
        <v>37</v>
      </c>
      <c r="J93" s="9"/>
      <c r="K93" s="9">
        <v>4073.0360000000001</v>
      </c>
      <c r="L93" s="9">
        <f t="shared" si="22"/>
        <v>-514.05400000000009</v>
      </c>
      <c r="M93" s="9">
        <f t="shared" si="23"/>
        <v>3246.2779999999998</v>
      </c>
      <c r="N93" s="9">
        <v>312.70400000000001</v>
      </c>
      <c r="O93" s="9"/>
      <c r="P93" s="9">
        <v>151</v>
      </c>
      <c r="Q93" s="9"/>
      <c r="R93" s="9"/>
      <c r="S93" s="9">
        <v>0</v>
      </c>
      <c r="T93" s="9">
        <f t="shared" si="24"/>
        <v>649.25559999999996</v>
      </c>
      <c r="U93" s="4"/>
      <c r="V93" s="9">
        <f t="shared" si="25"/>
        <v>13.244906936497738</v>
      </c>
      <c r="W93" s="9">
        <f t="shared" si="26"/>
        <v>13.244906936497738</v>
      </c>
      <c r="X93" s="9">
        <v>717.88199999999995</v>
      </c>
      <c r="Y93" s="9">
        <v>624.51419999999996</v>
      </c>
      <c r="Z93" s="9">
        <v>657.89699999999982</v>
      </c>
      <c r="AA93" s="9">
        <v>520.9251999999999</v>
      </c>
      <c r="AB93" s="9">
        <v>627.79740000000004</v>
      </c>
      <c r="AC93" s="9">
        <v>577.65159999999992</v>
      </c>
      <c r="AD93" s="9">
        <v>698.26039999999989</v>
      </c>
      <c r="AE93" s="9">
        <v>814.36879999999996</v>
      </c>
      <c r="AF93" s="9"/>
      <c r="AG93" s="9">
        <f t="shared" si="30"/>
        <v>0</v>
      </c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spans="1:43" x14ac:dyDescent="0.25">
      <c r="A94" s="9" t="s">
        <v>140</v>
      </c>
      <c r="B94" s="9" t="s">
        <v>36</v>
      </c>
      <c r="C94" s="9">
        <v>106.361</v>
      </c>
      <c r="D94" s="9">
        <v>12.103</v>
      </c>
      <c r="E94" s="9">
        <v>12.066000000000001</v>
      </c>
      <c r="F94" s="9">
        <v>94.295000000000002</v>
      </c>
      <c r="G94" s="6">
        <v>1</v>
      </c>
      <c r="H94" s="9">
        <v>55</v>
      </c>
      <c r="I94" s="9" t="s">
        <v>37</v>
      </c>
      <c r="J94" s="9"/>
      <c r="K94" s="9">
        <v>41.6</v>
      </c>
      <c r="L94" s="9">
        <f t="shared" si="22"/>
        <v>-29.533999999999999</v>
      </c>
      <c r="M94" s="9">
        <f t="shared" si="23"/>
        <v>12.066000000000001</v>
      </c>
      <c r="N94" s="9"/>
      <c r="O94" s="9"/>
      <c r="P94" s="9">
        <v>0</v>
      </c>
      <c r="Q94" s="9"/>
      <c r="R94" s="9"/>
      <c r="S94" s="9">
        <v>0</v>
      </c>
      <c r="T94" s="9">
        <f t="shared" si="24"/>
        <v>2.4132000000000002</v>
      </c>
      <c r="U94" s="4"/>
      <c r="V94" s="9">
        <f t="shared" si="25"/>
        <v>39.074672633847172</v>
      </c>
      <c r="W94" s="9">
        <f t="shared" si="26"/>
        <v>39.074672633847172</v>
      </c>
      <c r="X94" s="9">
        <v>4.8087999999999997</v>
      </c>
      <c r="Y94" s="9">
        <v>2.9365999999999999</v>
      </c>
      <c r="Z94" s="9">
        <v>2.9626000000000001</v>
      </c>
      <c r="AA94" s="9">
        <v>9.1290000000000013</v>
      </c>
      <c r="AB94" s="9">
        <v>9.1308000000000007</v>
      </c>
      <c r="AC94" s="9">
        <v>9.6712000000000007</v>
      </c>
      <c r="AD94" s="9">
        <v>9.3979999999999997</v>
      </c>
      <c r="AE94" s="9">
        <v>9.9340000000000011</v>
      </c>
      <c r="AF94" s="14" t="s">
        <v>134</v>
      </c>
      <c r="AG94" s="9">
        <f t="shared" si="30"/>
        <v>0</v>
      </c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spans="1:43" x14ac:dyDescent="0.25">
      <c r="A95" s="10" t="s">
        <v>141</v>
      </c>
      <c r="B95" s="10" t="s">
        <v>36</v>
      </c>
      <c r="C95" s="10">
        <v>-1.36</v>
      </c>
      <c r="D95" s="10"/>
      <c r="E95" s="10"/>
      <c r="F95" s="10">
        <v>-1.36</v>
      </c>
      <c r="G95" s="11">
        <v>0</v>
      </c>
      <c r="H95" s="10"/>
      <c r="I95" s="10" t="s">
        <v>52</v>
      </c>
      <c r="J95" s="10"/>
      <c r="K95" s="10"/>
      <c r="L95" s="10">
        <f t="shared" si="22"/>
        <v>0</v>
      </c>
      <c r="M95" s="10">
        <f t="shared" si="23"/>
        <v>0</v>
      </c>
      <c r="N95" s="10"/>
      <c r="O95" s="10"/>
      <c r="P95" s="10">
        <v>0</v>
      </c>
      <c r="Q95" s="10"/>
      <c r="R95" s="10"/>
      <c r="S95" s="10">
        <v>0</v>
      </c>
      <c r="T95" s="10">
        <f t="shared" si="24"/>
        <v>0</v>
      </c>
      <c r="U95" s="12"/>
      <c r="V95" s="10" t="e">
        <f t="shared" si="25"/>
        <v>#DIV/0!</v>
      </c>
      <c r="W95" s="10" t="e">
        <f t="shared" si="26"/>
        <v>#DIV/0!</v>
      </c>
      <c r="X95" s="10">
        <v>0</v>
      </c>
      <c r="Y95" s="10">
        <v>0</v>
      </c>
      <c r="Z95" s="10">
        <v>0</v>
      </c>
      <c r="AA95" s="10">
        <v>0.27200000000000002</v>
      </c>
      <c r="AB95" s="10">
        <v>0.27200000000000002</v>
      </c>
      <c r="AC95" s="10">
        <v>0</v>
      </c>
      <c r="AD95" s="10">
        <v>0</v>
      </c>
      <c r="AE95" s="10">
        <v>0</v>
      </c>
      <c r="AF95" s="10"/>
      <c r="AG95" s="10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spans="1:43" x14ac:dyDescent="0.25">
      <c r="A96" s="10" t="s">
        <v>142</v>
      </c>
      <c r="B96" s="10" t="s">
        <v>36</v>
      </c>
      <c r="C96" s="10">
        <v>493.85399999999998</v>
      </c>
      <c r="D96" s="10">
        <v>2.75</v>
      </c>
      <c r="E96" s="10">
        <v>27.02</v>
      </c>
      <c r="F96" s="10">
        <v>380.51900000000001</v>
      </c>
      <c r="G96" s="11">
        <v>0</v>
      </c>
      <c r="H96" s="10"/>
      <c r="I96" s="10" t="s">
        <v>52</v>
      </c>
      <c r="J96" s="10"/>
      <c r="K96" s="10">
        <v>37.5</v>
      </c>
      <c r="L96" s="10">
        <f t="shared" si="22"/>
        <v>-10.48</v>
      </c>
      <c r="M96" s="10">
        <f t="shared" si="23"/>
        <v>27.02</v>
      </c>
      <c r="N96" s="10"/>
      <c r="O96" s="10"/>
      <c r="P96" s="10">
        <v>0</v>
      </c>
      <c r="Q96" s="10"/>
      <c r="R96" s="10"/>
      <c r="S96" s="10">
        <v>0</v>
      </c>
      <c r="T96" s="10">
        <f t="shared" si="24"/>
        <v>5.4039999999999999</v>
      </c>
      <c r="U96" s="12"/>
      <c r="V96" s="10">
        <f t="shared" si="25"/>
        <v>70.414322723908214</v>
      </c>
      <c r="W96" s="10">
        <f t="shared" si="26"/>
        <v>70.414322723908214</v>
      </c>
      <c r="X96" s="10">
        <v>5.3784000000000001</v>
      </c>
      <c r="Y96" s="10">
        <v>6.8639999999999999</v>
      </c>
      <c r="Z96" s="10">
        <v>3.9003999999999999</v>
      </c>
      <c r="AA96" s="10">
        <v>2.42</v>
      </c>
      <c r="AB96" s="10">
        <v>6.7090000000000014</v>
      </c>
      <c r="AC96" s="10">
        <v>6.706999999999999</v>
      </c>
      <c r="AD96" s="10">
        <v>13.973000000000001</v>
      </c>
      <c r="AE96" s="10">
        <v>18.044</v>
      </c>
      <c r="AF96" s="14" t="s">
        <v>134</v>
      </c>
      <c r="AG96" s="10"/>
      <c r="AH96" s="9"/>
      <c r="AI96" s="9"/>
      <c r="AJ96" s="9"/>
      <c r="AK96" s="9"/>
      <c r="AL96" s="9"/>
      <c r="AM96" s="9"/>
      <c r="AN96" s="9"/>
      <c r="AO96" s="9"/>
      <c r="AP96" s="9"/>
      <c r="AQ96" s="9"/>
    </row>
    <row r="97" spans="1:43" x14ac:dyDescent="0.25">
      <c r="A97" s="9" t="s">
        <v>143</v>
      </c>
      <c r="B97" s="9" t="s">
        <v>41</v>
      </c>
      <c r="C97" s="9">
        <v>83</v>
      </c>
      <c r="D97" s="9">
        <v>34</v>
      </c>
      <c r="E97" s="9">
        <v>46</v>
      </c>
      <c r="F97" s="9">
        <v>42</v>
      </c>
      <c r="G97" s="6">
        <v>0.3</v>
      </c>
      <c r="H97" s="9">
        <v>40</v>
      </c>
      <c r="I97" s="9" t="s">
        <v>37</v>
      </c>
      <c r="J97" s="9"/>
      <c r="K97" s="9">
        <v>207</v>
      </c>
      <c r="L97" s="9">
        <f t="shared" si="22"/>
        <v>-161</v>
      </c>
      <c r="M97" s="9">
        <f t="shared" si="23"/>
        <v>46</v>
      </c>
      <c r="N97" s="9"/>
      <c r="O97" s="9"/>
      <c r="P97" s="9">
        <v>40.299999999999983</v>
      </c>
      <c r="Q97" s="9"/>
      <c r="R97" s="9"/>
      <c r="S97" s="9">
        <v>68.900000000000006</v>
      </c>
      <c r="T97" s="9">
        <f t="shared" si="24"/>
        <v>9.1999999999999993</v>
      </c>
      <c r="U97" s="4"/>
      <c r="V97" s="9">
        <f t="shared" si="25"/>
        <v>16.434782608695652</v>
      </c>
      <c r="W97" s="9">
        <f t="shared" si="26"/>
        <v>16.434782608695652</v>
      </c>
      <c r="X97" s="9">
        <v>15.2</v>
      </c>
      <c r="Y97" s="9">
        <v>23.8</v>
      </c>
      <c r="Z97" s="9">
        <v>25.4</v>
      </c>
      <c r="AA97" s="9">
        <v>17.2</v>
      </c>
      <c r="AB97" s="9">
        <v>20.2</v>
      </c>
      <c r="AC97" s="9">
        <v>22.8</v>
      </c>
      <c r="AD97" s="9">
        <v>24.2</v>
      </c>
      <c r="AE97" s="9">
        <v>18.2</v>
      </c>
      <c r="AF97" s="9"/>
      <c r="AG97" s="9">
        <f>G97*U97</f>
        <v>0</v>
      </c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spans="1:43" x14ac:dyDescent="0.25">
      <c r="A98" s="9" t="s">
        <v>144</v>
      </c>
      <c r="B98" s="9" t="s">
        <v>41</v>
      </c>
      <c r="C98" s="9">
        <v>33</v>
      </c>
      <c r="D98" s="9">
        <v>114</v>
      </c>
      <c r="E98" s="9">
        <v>20</v>
      </c>
      <c r="F98" s="9">
        <v>88</v>
      </c>
      <c r="G98" s="6">
        <v>0.3</v>
      </c>
      <c r="H98" s="9">
        <v>40</v>
      </c>
      <c r="I98" s="9" t="s">
        <v>37</v>
      </c>
      <c r="J98" s="9"/>
      <c r="K98" s="9">
        <v>58</v>
      </c>
      <c r="L98" s="9">
        <f t="shared" si="22"/>
        <v>-38</v>
      </c>
      <c r="M98" s="9">
        <f t="shared" si="23"/>
        <v>20</v>
      </c>
      <c r="N98" s="9"/>
      <c r="O98" s="9"/>
      <c r="P98" s="9">
        <v>0</v>
      </c>
      <c r="Q98" s="9"/>
      <c r="R98" s="9"/>
      <c r="S98" s="9">
        <v>45.999999999999993</v>
      </c>
      <c r="T98" s="9">
        <f t="shared" si="24"/>
        <v>4</v>
      </c>
      <c r="U98" s="4"/>
      <c r="V98" s="9">
        <f t="shared" si="25"/>
        <v>33.5</v>
      </c>
      <c r="W98" s="9">
        <f t="shared" si="26"/>
        <v>33.5</v>
      </c>
      <c r="X98" s="9">
        <v>9.6</v>
      </c>
      <c r="Y98" s="9">
        <v>11</v>
      </c>
      <c r="Z98" s="9">
        <v>12.4</v>
      </c>
      <c r="AA98" s="9">
        <v>6.8</v>
      </c>
      <c r="AB98" s="9">
        <v>6.4</v>
      </c>
      <c r="AC98" s="9">
        <v>1.4</v>
      </c>
      <c r="AD98" s="9">
        <v>2</v>
      </c>
      <c r="AE98" s="9">
        <v>2.4</v>
      </c>
      <c r="AF98" s="9"/>
      <c r="AG98" s="9">
        <f>G98*U98</f>
        <v>0</v>
      </c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spans="1:43" x14ac:dyDescent="0.25">
      <c r="A99" s="9" t="s">
        <v>145</v>
      </c>
      <c r="B99" s="9" t="s">
        <v>41</v>
      </c>
      <c r="C99" s="9">
        <v>119</v>
      </c>
      <c r="D99" s="9">
        <v>250</v>
      </c>
      <c r="E99" s="9">
        <v>145</v>
      </c>
      <c r="F99" s="9">
        <v>195</v>
      </c>
      <c r="G99" s="6">
        <v>7.0000000000000007E-2</v>
      </c>
      <c r="H99" s="9">
        <v>90</v>
      </c>
      <c r="I99" s="9" t="s">
        <v>37</v>
      </c>
      <c r="J99" s="9"/>
      <c r="K99" s="9">
        <v>179</v>
      </c>
      <c r="L99" s="9">
        <f t="shared" si="22"/>
        <v>-34</v>
      </c>
      <c r="M99" s="9">
        <f t="shared" si="23"/>
        <v>145</v>
      </c>
      <c r="N99" s="9"/>
      <c r="O99" s="9"/>
      <c r="P99" s="9">
        <v>90.299999999999955</v>
      </c>
      <c r="Q99" s="9"/>
      <c r="R99" s="9"/>
      <c r="S99" s="9">
        <v>330</v>
      </c>
      <c r="T99" s="9">
        <f t="shared" si="24"/>
        <v>29</v>
      </c>
      <c r="U99" s="4"/>
      <c r="V99" s="9">
        <f t="shared" si="25"/>
        <v>21.217241379310344</v>
      </c>
      <c r="W99" s="9">
        <f t="shared" si="26"/>
        <v>21.217241379310344</v>
      </c>
      <c r="X99" s="9">
        <v>32.4</v>
      </c>
      <c r="Y99" s="9">
        <v>33.4</v>
      </c>
      <c r="Z99" s="9">
        <v>34.799999999999997</v>
      </c>
      <c r="AA99" s="9">
        <v>22.2</v>
      </c>
      <c r="AB99" s="9">
        <v>22.6</v>
      </c>
      <c r="AC99" s="9">
        <v>26.8</v>
      </c>
      <c r="AD99" s="9">
        <v>31.2</v>
      </c>
      <c r="AE99" s="9">
        <v>29.2</v>
      </c>
      <c r="AF99" s="9" t="s">
        <v>146</v>
      </c>
      <c r="AG99" s="9">
        <f>G99*U99</f>
        <v>0</v>
      </c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spans="1:43" x14ac:dyDescent="0.25">
      <c r="A100" s="9" t="s">
        <v>147</v>
      </c>
      <c r="B100" s="9" t="s">
        <v>41</v>
      </c>
      <c r="C100" s="9">
        <v>161</v>
      </c>
      <c r="D100" s="9">
        <v>232</v>
      </c>
      <c r="E100" s="9">
        <v>158</v>
      </c>
      <c r="F100" s="9">
        <v>163</v>
      </c>
      <c r="G100" s="6">
        <v>7.0000000000000007E-2</v>
      </c>
      <c r="H100" s="9">
        <v>90</v>
      </c>
      <c r="I100" s="9" t="s">
        <v>37</v>
      </c>
      <c r="J100" s="9"/>
      <c r="K100" s="9">
        <v>231</v>
      </c>
      <c r="L100" s="9">
        <f t="shared" si="22"/>
        <v>-73</v>
      </c>
      <c r="M100" s="9">
        <f t="shared" si="23"/>
        <v>158</v>
      </c>
      <c r="N100" s="9"/>
      <c r="O100" s="9"/>
      <c r="P100" s="9">
        <v>0</v>
      </c>
      <c r="Q100" s="9"/>
      <c r="R100" s="9"/>
      <c r="S100" s="9">
        <v>390</v>
      </c>
      <c r="T100" s="9">
        <f t="shared" si="24"/>
        <v>31.6</v>
      </c>
      <c r="U100" s="4"/>
      <c r="V100" s="9">
        <f t="shared" si="25"/>
        <v>17.5</v>
      </c>
      <c r="W100" s="9">
        <f t="shared" si="26"/>
        <v>17.5</v>
      </c>
      <c r="X100" s="9">
        <v>28.2</v>
      </c>
      <c r="Y100" s="9">
        <v>29.6</v>
      </c>
      <c r="Z100" s="9">
        <v>31.2</v>
      </c>
      <c r="AA100" s="9">
        <v>22.8</v>
      </c>
      <c r="AB100" s="9">
        <v>26.2</v>
      </c>
      <c r="AC100" s="9">
        <v>20.399999999999999</v>
      </c>
      <c r="AD100" s="9">
        <v>22</v>
      </c>
      <c r="AE100" s="9">
        <v>23.4</v>
      </c>
      <c r="AF100" s="9" t="s">
        <v>146</v>
      </c>
      <c r="AG100" s="9">
        <f>G100*U100</f>
        <v>0</v>
      </c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 x14ac:dyDescent="0.25">
      <c r="A101" s="9" t="s">
        <v>148</v>
      </c>
      <c r="B101" s="9" t="s">
        <v>41</v>
      </c>
      <c r="C101" s="9">
        <v>114</v>
      </c>
      <c r="D101" s="9">
        <v>192</v>
      </c>
      <c r="E101" s="9">
        <v>111</v>
      </c>
      <c r="F101" s="9">
        <v>161</v>
      </c>
      <c r="G101" s="6">
        <v>7.0000000000000007E-2</v>
      </c>
      <c r="H101" s="9">
        <v>90</v>
      </c>
      <c r="I101" s="9" t="s">
        <v>37</v>
      </c>
      <c r="J101" s="9"/>
      <c r="K101" s="9">
        <v>145</v>
      </c>
      <c r="L101" s="9">
        <f t="shared" si="22"/>
        <v>-34</v>
      </c>
      <c r="M101" s="9">
        <f t="shared" si="23"/>
        <v>111</v>
      </c>
      <c r="N101" s="9"/>
      <c r="O101" s="9"/>
      <c r="P101" s="9">
        <v>36.100000000000023</v>
      </c>
      <c r="Q101" s="9"/>
      <c r="R101" s="9"/>
      <c r="S101" s="9">
        <v>320</v>
      </c>
      <c r="T101" s="9">
        <f t="shared" si="24"/>
        <v>22.2</v>
      </c>
      <c r="U101" s="4"/>
      <c r="V101" s="9">
        <f t="shared" si="25"/>
        <v>23.292792792792795</v>
      </c>
      <c r="W101" s="9">
        <f t="shared" si="26"/>
        <v>23.292792792792795</v>
      </c>
      <c r="X101" s="9">
        <v>23.2</v>
      </c>
      <c r="Y101" s="9">
        <v>24.6</v>
      </c>
      <c r="Z101" s="9">
        <v>27.4</v>
      </c>
      <c r="AA101" s="9">
        <v>18.8</v>
      </c>
      <c r="AB101" s="9">
        <v>18.399999999999999</v>
      </c>
      <c r="AC101" s="9">
        <v>20.6</v>
      </c>
      <c r="AD101" s="9">
        <v>22.8</v>
      </c>
      <c r="AE101" s="9">
        <v>20.6</v>
      </c>
      <c r="AF101" s="9" t="s">
        <v>146</v>
      </c>
      <c r="AG101" s="9">
        <f>G101*U101</f>
        <v>0</v>
      </c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spans="1:43" x14ac:dyDescent="0.25">
      <c r="A102" s="10" t="s">
        <v>149</v>
      </c>
      <c r="B102" s="10" t="s">
        <v>41</v>
      </c>
      <c r="C102" s="10">
        <v>53</v>
      </c>
      <c r="D102" s="10">
        <v>4</v>
      </c>
      <c r="E102" s="10">
        <v>46</v>
      </c>
      <c r="F102" s="10">
        <v>6</v>
      </c>
      <c r="G102" s="11">
        <v>0</v>
      </c>
      <c r="H102" s="10">
        <v>90</v>
      </c>
      <c r="I102" s="10" t="s">
        <v>52</v>
      </c>
      <c r="J102" s="10"/>
      <c r="K102" s="10">
        <v>135</v>
      </c>
      <c r="L102" s="10">
        <f t="shared" ref="L102:L133" si="31">E102-K102</f>
        <v>-89</v>
      </c>
      <c r="M102" s="10">
        <f t="shared" ref="M102:M133" si="32">E102-N102</f>
        <v>46</v>
      </c>
      <c r="N102" s="10"/>
      <c r="O102" s="10"/>
      <c r="P102" s="10">
        <v>0</v>
      </c>
      <c r="Q102" s="10"/>
      <c r="R102" s="10"/>
      <c r="S102" s="10">
        <v>0</v>
      </c>
      <c r="T102" s="10">
        <f t="shared" ref="T102:T136" si="33">M102/5</f>
        <v>9.1999999999999993</v>
      </c>
      <c r="U102" s="12"/>
      <c r="V102" s="10">
        <f t="shared" ref="V102:V133" si="34">(F102+O102+P102+Q102+R102+S102+U102)/T102</f>
        <v>0.65217391304347827</v>
      </c>
      <c r="W102" s="10">
        <f t="shared" ref="W102:W136" si="35">(F102+O102+P102+Q102+R102+S102)/T102</f>
        <v>0.65217391304347827</v>
      </c>
      <c r="X102" s="10">
        <v>15.4</v>
      </c>
      <c r="Y102" s="10">
        <v>13.6</v>
      </c>
      <c r="Z102" s="10">
        <v>20.2</v>
      </c>
      <c r="AA102" s="10">
        <v>19</v>
      </c>
      <c r="AB102" s="10">
        <v>9.8000000000000007</v>
      </c>
      <c r="AC102" s="10">
        <v>11</v>
      </c>
      <c r="AD102" s="10">
        <v>12</v>
      </c>
      <c r="AE102" s="10">
        <v>19.8</v>
      </c>
      <c r="AF102" s="10"/>
      <c r="AG102" s="10"/>
      <c r="AH102" s="9"/>
      <c r="AI102" s="9"/>
      <c r="AJ102" s="9"/>
      <c r="AK102" s="9"/>
      <c r="AL102" s="9"/>
      <c r="AM102" s="9"/>
      <c r="AN102" s="9"/>
      <c r="AO102" s="9"/>
      <c r="AP102" s="9"/>
      <c r="AQ102" s="9"/>
    </row>
    <row r="103" spans="1:43" x14ac:dyDescent="0.25">
      <c r="A103" s="9" t="s">
        <v>150</v>
      </c>
      <c r="B103" s="9" t="s">
        <v>41</v>
      </c>
      <c r="C103" s="9">
        <v>10</v>
      </c>
      <c r="D103" s="9"/>
      <c r="E103" s="9">
        <v>3</v>
      </c>
      <c r="F103" s="9">
        <v>7</v>
      </c>
      <c r="G103" s="6">
        <v>0.3</v>
      </c>
      <c r="H103" s="9">
        <v>40</v>
      </c>
      <c r="I103" s="9" t="s">
        <v>37</v>
      </c>
      <c r="J103" s="9"/>
      <c r="K103" s="9">
        <v>5</v>
      </c>
      <c r="L103" s="9">
        <f t="shared" si="31"/>
        <v>-2</v>
      </c>
      <c r="M103" s="9">
        <f t="shared" si="32"/>
        <v>3</v>
      </c>
      <c r="N103" s="9"/>
      <c r="O103" s="9"/>
      <c r="P103" s="9">
        <v>0</v>
      </c>
      <c r="Q103" s="9"/>
      <c r="R103" s="9"/>
      <c r="S103" s="9">
        <v>27.2</v>
      </c>
      <c r="T103" s="9">
        <f t="shared" si="33"/>
        <v>0.6</v>
      </c>
      <c r="U103" s="4"/>
      <c r="V103" s="9">
        <f t="shared" si="34"/>
        <v>57.000000000000007</v>
      </c>
      <c r="W103" s="9">
        <f t="shared" si="35"/>
        <v>57.000000000000007</v>
      </c>
      <c r="X103" s="9">
        <v>4.4000000000000004</v>
      </c>
      <c r="Y103" s="9">
        <v>4.8</v>
      </c>
      <c r="Z103" s="9">
        <v>1.6</v>
      </c>
      <c r="AA103" s="9">
        <v>2.8</v>
      </c>
      <c r="AB103" s="9">
        <v>1.6</v>
      </c>
      <c r="AC103" s="9">
        <v>1.2</v>
      </c>
      <c r="AD103" s="9">
        <v>-0.2</v>
      </c>
      <c r="AE103" s="9">
        <v>-0.4</v>
      </c>
      <c r="AF103" s="9"/>
      <c r="AG103" s="9">
        <f>G103*U103</f>
        <v>0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9"/>
    </row>
    <row r="104" spans="1:43" x14ac:dyDescent="0.25">
      <c r="A104" s="9" t="s">
        <v>151</v>
      </c>
      <c r="B104" s="9" t="s">
        <v>36</v>
      </c>
      <c r="C104" s="9">
        <v>26.312999999999999</v>
      </c>
      <c r="D104" s="9">
        <v>27.521000000000001</v>
      </c>
      <c r="E104" s="9">
        <v>10.593</v>
      </c>
      <c r="F104" s="9">
        <v>41.384999999999998</v>
      </c>
      <c r="G104" s="6">
        <v>1</v>
      </c>
      <c r="H104" s="9">
        <v>55</v>
      </c>
      <c r="I104" s="9" t="s">
        <v>37</v>
      </c>
      <c r="J104" s="9"/>
      <c r="K104" s="9">
        <v>11.4</v>
      </c>
      <c r="L104" s="9">
        <f t="shared" si="31"/>
        <v>-0.80700000000000038</v>
      </c>
      <c r="M104" s="9">
        <f t="shared" si="32"/>
        <v>10.593</v>
      </c>
      <c r="N104" s="9"/>
      <c r="O104" s="9"/>
      <c r="P104" s="9">
        <v>0</v>
      </c>
      <c r="Q104" s="9"/>
      <c r="R104" s="9"/>
      <c r="S104" s="9">
        <v>0</v>
      </c>
      <c r="T104" s="9">
        <f t="shared" si="33"/>
        <v>2.1185999999999998</v>
      </c>
      <c r="U104" s="4"/>
      <c r="V104" s="9">
        <f t="shared" si="34"/>
        <v>19.534126309827244</v>
      </c>
      <c r="W104" s="9">
        <f t="shared" si="35"/>
        <v>19.534126309827244</v>
      </c>
      <c r="X104" s="9">
        <v>2.1888000000000001</v>
      </c>
      <c r="Y104" s="9">
        <v>1.9019999999999999</v>
      </c>
      <c r="Z104" s="9">
        <v>2.5404</v>
      </c>
      <c r="AA104" s="9">
        <v>2.8206000000000002</v>
      </c>
      <c r="AB104" s="9">
        <v>3.2389999999999999</v>
      </c>
      <c r="AC104" s="9">
        <v>3.242</v>
      </c>
      <c r="AD104" s="9">
        <v>2.7948</v>
      </c>
      <c r="AE104" s="9">
        <v>2.4352</v>
      </c>
      <c r="AF104" s="9"/>
      <c r="AG104" s="9">
        <f>G104*U104</f>
        <v>0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9"/>
    </row>
    <row r="105" spans="1:43" x14ac:dyDescent="0.25">
      <c r="A105" s="9" t="s">
        <v>152</v>
      </c>
      <c r="B105" s="9" t="s">
        <v>41</v>
      </c>
      <c r="C105" s="9">
        <v>-8</v>
      </c>
      <c r="D105" s="9"/>
      <c r="E105" s="9"/>
      <c r="F105" s="9">
        <v>-13</v>
      </c>
      <c r="G105" s="6">
        <v>0.11</v>
      </c>
      <c r="H105" s="9">
        <v>30</v>
      </c>
      <c r="I105" s="9" t="s">
        <v>37</v>
      </c>
      <c r="J105" s="9"/>
      <c r="K105" s="9">
        <v>178</v>
      </c>
      <c r="L105" s="9">
        <f t="shared" si="31"/>
        <v>-178</v>
      </c>
      <c r="M105" s="9">
        <f t="shared" si="32"/>
        <v>0</v>
      </c>
      <c r="N105" s="9"/>
      <c r="O105" s="9"/>
      <c r="P105" s="9">
        <v>0</v>
      </c>
      <c r="Q105" s="9"/>
      <c r="R105" s="9"/>
      <c r="S105" s="9">
        <v>315</v>
      </c>
      <c r="T105" s="9">
        <f t="shared" si="33"/>
        <v>0</v>
      </c>
      <c r="U105" s="4"/>
      <c r="V105" s="9" t="e">
        <f t="shared" si="34"/>
        <v>#DIV/0!</v>
      </c>
      <c r="W105" s="9" t="e">
        <f t="shared" si="35"/>
        <v>#DIV/0!</v>
      </c>
      <c r="X105" s="9">
        <v>0</v>
      </c>
      <c r="Y105" s="9">
        <v>0</v>
      </c>
      <c r="Z105" s="9">
        <v>0</v>
      </c>
      <c r="AA105" s="9">
        <v>0</v>
      </c>
      <c r="AB105" s="9">
        <v>0.8</v>
      </c>
      <c r="AC105" s="9">
        <v>0.4</v>
      </c>
      <c r="AD105" s="9">
        <v>0.4</v>
      </c>
      <c r="AE105" s="9">
        <v>0.6</v>
      </c>
      <c r="AF105" s="9" t="s">
        <v>146</v>
      </c>
      <c r="AG105" s="9">
        <f>G105*U105</f>
        <v>0</v>
      </c>
      <c r="AH105" s="9"/>
      <c r="AI105" s="9"/>
      <c r="AJ105" s="9"/>
      <c r="AK105" s="9"/>
      <c r="AL105" s="9"/>
      <c r="AM105" s="9"/>
      <c r="AN105" s="9"/>
      <c r="AO105" s="9"/>
      <c r="AP105" s="9"/>
      <c r="AQ105" s="9"/>
    </row>
    <row r="106" spans="1:43" x14ac:dyDescent="0.25">
      <c r="A106" s="10" t="s">
        <v>153</v>
      </c>
      <c r="B106" s="10" t="s">
        <v>41</v>
      </c>
      <c r="C106" s="10"/>
      <c r="D106" s="10"/>
      <c r="E106" s="10"/>
      <c r="F106" s="10"/>
      <c r="G106" s="11">
        <v>0</v>
      </c>
      <c r="H106" s="10"/>
      <c r="I106" s="10" t="s">
        <v>37</v>
      </c>
      <c r="J106" s="10"/>
      <c r="K106" s="10"/>
      <c r="L106" s="10">
        <f t="shared" si="31"/>
        <v>0</v>
      </c>
      <c r="M106" s="10">
        <f t="shared" si="32"/>
        <v>0</v>
      </c>
      <c r="N106" s="10"/>
      <c r="O106" s="10"/>
      <c r="P106" s="10">
        <v>0</v>
      </c>
      <c r="Q106" s="10"/>
      <c r="R106" s="10"/>
      <c r="S106" s="10">
        <v>0</v>
      </c>
      <c r="T106" s="10">
        <f t="shared" si="33"/>
        <v>0</v>
      </c>
      <c r="U106" s="12"/>
      <c r="V106" s="10" t="e">
        <f t="shared" si="34"/>
        <v>#DIV/0!</v>
      </c>
      <c r="W106" s="10" t="e">
        <f t="shared" si="35"/>
        <v>#DIV/0!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 t="s">
        <v>60</v>
      </c>
      <c r="AG106" s="10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spans="1:43" x14ac:dyDescent="0.25">
      <c r="A107" s="9" t="s">
        <v>154</v>
      </c>
      <c r="B107" s="9" t="s">
        <v>41</v>
      </c>
      <c r="C107" s="9">
        <v>185</v>
      </c>
      <c r="D107" s="9">
        <v>449</v>
      </c>
      <c r="E107" s="9">
        <v>271</v>
      </c>
      <c r="F107" s="9">
        <v>282</v>
      </c>
      <c r="G107" s="6">
        <v>0.08</v>
      </c>
      <c r="H107" s="9">
        <v>45</v>
      </c>
      <c r="I107" s="9" t="s">
        <v>37</v>
      </c>
      <c r="J107" s="9"/>
      <c r="K107" s="9">
        <v>354</v>
      </c>
      <c r="L107" s="9">
        <f t="shared" si="31"/>
        <v>-83</v>
      </c>
      <c r="M107" s="9">
        <f t="shared" si="32"/>
        <v>271</v>
      </c>
      <c r="N107" s="9"/>
      <c r="O107" s="9"/>
      <c r="P107" s="9">
        <v>182.9</v>
      </c>
      <c r="Q107" s="9"/>
      <c r="R107" s="9"/>
      <c r="S107" s="9">
        <v>300</v>
      </c>
      <c r="T107" s="9">
        <f t="shared" si="33"/>
        <v>54.2</v>
      </c>
      <c r="U107" s="4"/>
      <c r="V107" s="9">
        <f t="shared" si="34"/>
        <v>14.112546125461254</v>
      </c>
      <c r="W107" s="9">
        <f t="shared" si="35"/>
        <v>14.112546125461254</v>
      </c>
      <c r="X107" s="9">
        <v>46.4</v>
      </c>
      <c r="Y107" s="9">
        <v>59</v>
      </c>
      <c r="Z107" s="9">
        <v>58.6</v>
      </c>
      <c r="AA107" s="9">
        <v>35.6</v>
      </c>
      <c r="AB107" s="9">
        <v>40.4</v>
      </c>
      <c r="AC107" s="9">
        <v>39</v>
      </c>
      <c r="AD107" s="9">
        <v>49</v>
      </c>
      <c r="AE107" s="9">
        <v>45.4</v>
      </c>
      <c r="AF107" s="9" t="s">
        <v>146</v>
      </c>
      <c r="AG107" s="9">
        <f t="shared" ref="AG107:AG118" si="36">G107*U107</f>
        <v>0</v>
      </c>
      <c r="AH107" s="9"/>
      <c r="AI107" s="9"/>
      <c r="AJ107" s="9"/>
      <c r="AK107" s="9"/>
      <c r="AL107" s="9"/>
      <c r="AM107" s="9"/>
      <c r="AN107" s="9"/>
      <c r="AO107" s="9"/>
      <c r="AP107" s="9"/>
      <c r="AQ107" s="9"/>
    </row>
    <row r="108" spans="1:43" x14ac:dyDescent="0.25">
      <c r="A108" s="9" t="s">
        <v>155</v>
      </c>
      <c r="B108" s="9" t="s">
        <v>41</v>
      </c>
      <c r="C108" s="9">
        <v>47</v>
      </c>
      <c r="D108" s="9">
        <v>15</v>
      </c>
      <c r="E108" s="9">
        <v>22</v>
      </c>
      <c r="F108" s="9">
        <v>36</v>
      </c>
      <c r="G108" s="6">
        <v>0.08</v>
      </c>
      <c r="H108" s="9">
        <v>45</v>
      </c>
      <c r="I108" s="9" t="s">
        <v>37</v>
      </c>
      <c r="J108" s="9"/>
      <c r="K108" s="9">
        <v>217</v>
      </c>
      <c r="L108" s="9">
        <f t="shared" si="31"/>
        <v>-195</v>
      </c>
      <c r="M108" s="9">
        <f t="shared" si="32"/>
        <v>22</v>
      </c>
      <c r="N108" s="9"/>
      <c r="O108" s="9"/>
      <c r="P108" s="9">
        <v>141.80000000000001</v>
      </c>
      <c r="Q108" s="9"/>
      <c r="R108" s="9"/>
      <c r="S108" s="9">
        <v>400</v>
      </c>
      <c r="T108" s="9">
        <f t="shared" si="33"/>
        <v>4.4000000000000004</v>
      </c>
      <c r="U108" s="4"/>
      <c r="V108" s="9">
        <f t="shared" si="34"/>
        <v>131.31818181818178</v>
      </c>
      <c r="W108" s="9">
        <f t="shared" si="35"/>
        <v>131.31818181818178</v>
      </c>
      <c r="X108" s="9">
        <v>25.8</v>
      </c>
      <c r="Y108" s="9">
        <v>24.4</v>
      </c>
      <c r="Z108" s="9">
        <v>2.2000000000000002</v>
      </c>
      <c r="AA108" s="9">
        <v>12.4</v>
      </c>
      <c r="AB108" s="9">
        <v>32</v>
      </c>
      <c r="AC108" s="9">
        <v>30.4</v>
      </c>
      <c r="AD108" s="9">
        <v>36.200000000000003</v>
      </c>
      <c r="AE108" s="9">
        <v>26.6</v>
      </c>
      <c r="AF108" s="9" t="s">
        <v>146</v>
      </c>
      <c r="AG108" s="9">
        <f t="shared" si="36"/>
        <v>0</v>
      </c>
      <c r="AH108" s="9"/>
      <c r="AI108" s="9"/>
      <c r="AJ108" s="9"/>
      <c r="AK108" s="9"/>
      <c r="AL108" s="9"/>
      <c r="AM108" s="9"/>
      <c r="AN108" s="9"/>
      <c r="AO108" s="9"/>
      <c r="AP108" s="9"/>
      <c r="AQ108" s="9"/>
    </row>
    <row r="109" spans="1:43" x14ac:dyDescent="0.25">
      <c r="A109" s="9" t="s">
        <v>156</v>
      </c>
      <c r="B109" s="9" t="s">
        <v>41</v>
      </c>
      <c r="C109" s="9">
        <v>18</v>
      </c>
      <c r="D109" s="9">
        <v>135</v>
      </c>
      <c r="E109" s="9">
        <v>73</v>
      </c>
      <c r="F109" s="9">
        <v>30</v>
      </c>
      <c r="G109" s="6">
        <v>0.17</v>
      </c>
      <c r="H109" s="9">
        <v>30</v>
      </c>
      <c r="I109" s="9" t="s">
        <v>37</v>
      </c>
      <c r="J109" s="9"/>
      <c r="K109" s="9">
        <v>152</v>
      </c>
      <c r="L109" s="9">
        <f t="shared" si="31"/>
        <v>-79</v>
      </c>
      <c r="M109" s="9">
        <f t="shared" si="32"/>
        <v>73</v>
      </c>
      <c r="N109" s="9"/>
      <c r="O109" s="9"/>
      <c r="P109" s="9">
        <v>106.6</v>
      </c>
      <c r="Q109" s="9"/>
      <c r="R109" s="9"/>
      <c r="S109" s="9">
        <v>300</v>
      </c>
      <c r="T109" s="9">
        <f t="shared" si="33"/>
        <v>14.6</v>
      </c>
      <c r="U109" s="4"/>
      <c r="V109" s="9">
        <f t="shared" si="34"/>
        <v>29.904109589041099</v>
      </c>
      <c r="W109" s="9">
        <f t="shared" si="35"/>
        <v>29.904109589041099</v>
      </c>
      <c r="X109" s="9">
        <v>10.8</v>
      </c>
      <c r="Y109" s="9">
        <v>15.6</v>
      </c>
      <c r="Z109" s="9">
        <v>14</v>
      </c>
      <c r="AA109" s="9">
        <v>2.4</v>
      </c>
      <c r="AB109" s="9">
        <v>3.2</v>
      </c>
      <c r="AC109" s="9">
        <v>8</v>
      </c>
      <c r="AD109" s="9">
        <v>9.1999999999999993</v>
      </c>
      <c r="AE109" s="9">
        <v>7.8</v>
      </c>
      <c r="AF109" s="9" t="s">
        <v>146</v>
      </c>
      <c r="AG109" s="9">
        <f t="shared" si="36"/>
        <v>0</v>
      </c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spans="1:43" x14ac:dyDescent="0.25">
      <c r="A110" s="9" t="s">
        <v>157</v>
      </c>
      <c r="B110" s="9" t="s">
        <v>36</v>
      </c>
      <c r="C110" s="9">
        <v>254.39</v>
      </c>
      <c r="D110" s="9">
        <v>268.34800000000001</v>
      </c>
      <c r="E110" s="9">
        <v>182.58199999999999</v>
      </c>
      <c r="F110" s="9">
        <v>310.51600000000002</v>
      </c>
      <c r="G110" s="6">
        <v>1</v>
      </c>
      <c r="H110" s="9">
        <v>40</v>
      </c>
      <c r="I110" s="9" t="s">
        <v>37</v>
      </c>
      <c r="J110" s="9"/>
      <c r="K110" s="9">
        <v>205.5</v>
      </c>
      <c r="L110" s="9">
        <f t="shared" si="31"/>
        <v>-22.918000000000006</v>
      </c>
      <c r="M110" s="9">
        <f t="shared" si="32"/>
        <v>182.58199999999999</v>
      </c>
      <c r="N110" s="9"/>
      <c r="O110" s="9"/>
      <c r="P110" s="9">
        <v>79.633900000000011</v>
      </c>
      <c r="Q110" s="9"/>
      <c r="R110" s="9"/>
      <c r="S110" s="9">
        <v>0</v>
      </c>
      <c r="T110" s="9">
        <f t="shared" si="33"/>
        <v>36.516399999999997</v>
      </c>
      <c r="U110" s="4">
        <f t="shared" ref="U110:U118" si="37">12*T110-S110-R110-Q110-P110-O110-F110</f>
        <v>48.04689999999988</v>
      </c>
      <c r="V110" s="9">
        <f t="shared" si="34"/>
        <v>11.999999999999998</v>
      </c>
      <c r="W110" s="9">
        <f t="shared" si="35"/>
        <v>10.684237767140244</v>
      </c>
      <c r="X110" s="9">
        <v>39.003799999999998</v>
      </c>
      <c r="Y110" s="9">
        <v>47.948999999999998</v>
      </c>
      <c r="Z110" s="9">
        <v>50.321599999999997</v>
      </c>
      <c r="AA110" s="9">
        <v>34.956800000000001</v>
      </c>
      <c r="AB110" s="9">
        <v>41.598399999999998</v>
      </c>
      <c r="AC110" s="9">
        <v>45.939</v>
      </c>
      <c r="AD110" s="9">
        <v>53.251199999999997</v>
      </c>
      <c r="AE110" s="9">
        <v>53.023000000000003</v>
      </c>
      <c r="AF110" s="9"/>
      <c r="AG110" s="9">
        <f t="shared" si="36"/>
        <v>48.04689999999988</v>
      </c>
      <c r="AH110" s="9"/>
      <c r="AI110" s="9"/>
      <c r="AJ110" s="9"/>
      <c r="AK110" s="9"/>
      <c r="AL110" s="9"/>
      <c r="AM110" s="9"/>
      <c r="AN110" s="9"/>
      <c r="AO110" s="9"/>
      <c r="AP110" s="9"/>
      <c r="AQ110" s="9"/>
    </row>
    <row r="111" spans="1:43" x14ac:dyDescent="0.25">
      <c r="A111" s="9" t="s">
        <v>158</v>
      </c>
      <c r="B111" s="9" t="s">
        <v>36</v>
      </c>
      <c r="C111" s="9">
        <v>17.722999999999999</v>
      </c>
      <c r="D111" s="9">
        <v>87.106999999999999</v>
      </c>
      <c r="E111" s="9">
        <v>23.513000000000002</v>
      </c>
      <c r="F111" s="9">
        <v>74.088999999999999</v>
      </c>
      <c r="G111" s="6">
        <v>1</v>
      </c>
      <c r="H111" s="9">
        <v>40</v>
      </c>
      <c r="I111" s="9" t="s">
        <v>37</v>
      </c>
      <c r="J111" s="9"/>
      <c r="K111" s="9">
        <v>39.6</v>
      </c>
      <c r="L111" s="9">
        <f t="shared" si="31"/>
        <v>-16.087</v>
      </c>
      <c r="M111" s="9">
        <f t="shared" si="32"/>
        <v>23.513000000000002</v>
      </c>
      <c r="N111" s="9"/>
      <c r="O111" s="9"/>
      <c r="P111" s="9">
        <v>147.78360000000001</v>
      </c>
      <c r="Q111" s="9"/>
      <c r="R111" s="9"/>
      <c r="S111" s="9">
        <v>0</v>
      </c>
      <c r="T111" s="9">
        <f t="shared" si="33"/>
        <v>4.7026000000000003</v>
      </c>
      <c r="U111" s="4"/>
      <c r="V111" s="9">
        <f t="shared" si="34"/>
        <v>47.180836133202909</v>
      </c>
      <c r="W111" s="9">
        <f t="shared" si="35"/>
        <v>47.180836133202909</v>
      </c>
      <c r="X111" s="9">
        <v>14.215400000000001</v>
      </c>
      <c r="Y111" s="9">
        <v>21.378</v>
      </c>
      <c r="Z111" s="9">
        <v>13.5524</v>
      </c>
      <c r="AA111" s="9">
        <v>5.1452</v>
      </c>
      <c r="AB111" s="9">
        <v>6.1728000000000014</v>
      </c>
      <c r="AC111" s="9">
        <v>6.9261999999999997</v>
      </c>
      <c r="AD111" s="9">
        <v>11.025399999999999</v>
      </c>
      <c r="AE111" s="9">
        <v>19.4436</v>
      </c>
      <c r="AF111" s="9"/>
      <c r="AG111" s="9">
        <f t="shared" si="36"/>
        <v>0</v>
      </c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spans="1:43" x14ac:dyDescent="0.25">
      <c r="A112" s="9" t="s">
        <v>159</v>
      </c>
      <c r="B112" s="9" t="s">
        <v>36</v>
      </c>
      <c r="C112" s="9">
        <v>131.76400000000001</v>
      </c>
      <c r="D112" s="9">
        <v>268.23099999999999</v>
      </c>
      <c r="E112" s="9">
        <v>156.48400000000001</v>
      </c>
      <c r="F112" s="9">
        <v>206.74199999999999</v>
      </c>
      <c r="G112" s="6">
        <v>1</v>
      </c>
      <c r="H112" s="9">
        <v>40</v>
      </c>
      <c r="I112" s="9" t="s">
        <v>37</v>
      </c>
      <c r="J112" s="9"/>
      <c r="K112" s="9">
        <v>182.35599999999999</v>
      </c>
      <c r="L112" s="9">
        <f t="shared" si="31"/>
        <v>-25.871999999999986</v>
      </c>
      <c r="M112" s="9">
        <f t="shared" si="32"/>
        <v>156.48400000000001</v>
      </c>
      <c r="N112" s="9"/>
      <c r="O112" s="9"/>
      <c r="P112" s="9">
        <v>160.9256</v>
      </c>
      <c r="Q112" s="9"/>
      <c r="R112" s="9"/>
      <c r="S112" s="9">
        <v>0</v>
      </c>
      <c r="T112" s="9">
        <f t="shared" si="33"/>
        <v>31.296800000000001</v>
      </c>
      <c r="U112" s="4">
        <f t="shared" si="37"/>
        <v>7.8940000000000055</v>
      </c>
      <c r="V112" s="9">
        <f t="shared" si="34"/>
        <v>12</v>
      </c>
      <c r="W112" s="9">
        <f t="shared" si="35"/>
        <v>11.74776974003732</v>
      </c>
      <c r="X112" s="9">
        <v>35.985399999999998</v>
      </c>
      <c r="Y112" s="9">
        <v>43.4876</v>
      </c>
      <c r="Z112" s="9">
        <v>38.700800000000001</v>
      </c>
      <c r="AA112" s="9">
        <v>22.611000000000001</v>
      </c>
      <c r="AB112" s="9">
        <v>27.788799999999998</v>
      </c>
      <c r="AC112" s="9">
        <v>32.3598</v>
      </c>
      <c r="AD112" s="9">
        <v>36.879600000000003</v>
      </c>
      <c r="AE112" s="9">
        <v>41.132800000000003</v>
      </c>
      <c r="AF112" s="9"/>
      <c r="AG112" s="9">
        <f t="shared" si="36"/>
        <v>7.8940000000000055</v>
      </c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spans="1:43" x14ac:dyDescent="0.25">
      <c r="A113" s="9" t="s">
        <v>160</v>
      </c>
      <c r="B113" s="9" t="s">
        <v>41</v>
      </c>
      <c r="C113" s="9">
        <v>34</v>
      </c>
      <c r="D113" s="9">
        <v>2</v>
      </c>
      <c r="E113" s="9">
        <v>19</v>
      </c>
      <c r="F113" s="9">
        <v>15</v>
      </c>
      <c r="G113" s="6">
        <v>0.3</v>
      </c>
      <c r="H113" s="9">
        <v>45</v>
      </c>
      <c r="I113" s="9" t="s">
        <v>37</v>
      </c>
      <c r="J113" s="9"/>
      <c r="K113" s="9">
        <v>105</v>
      </c>
      <c r="L113" s="9">
        <f t="shared" si="31"/>
        <v>-86</v>
      </c>
      <c r="M113" s="9">
        <f t="shared" si="32"/>
        <v>19</v>
      </c>
      <c r="N113" s="9"/>
      <c r="O113" s="9"/>
      <c r="P113" s="9">
        <v>53.099999999999987</v>
      </c>
      <c r="Q113" s="9"/>
      <c r="R113" s="9"/>
      <c r="S113" s="9">
        <v>0</v>
      </c>
      <c r="T113" s="9">
        <f t="shared" si="33"/>
        <v>3.8</v>
      </c>
      <c r="U113" s="4"/>
      <c r="V113" s="9">
        <f t="shared" si="34"/>
        <v>17.921052631578945</v>
      </c>
      <c r="W113" s="9">
        <f t="shared" si="35"/>
        <v>17.921052631578945</v>
      </c>
      <c r="X113" s="9">
        <v>7.4</v>
      </c>
      <c r="Y113" s="9">
        <v>15.4</v>
      </c>
      <c r="Z113" s="9">
        <v>15.2</v>
      </c>
      <c r="AA113" s="9">
        <v>5.8</v>
      </c>
      <c r="AB113" s="9">
        <v>0.6</v>
      </c>
      <c r="AC113" s="9">
        <v>0.6</v>
      </c>
      <c r="AD113" s="9">
        <v>3.8</v>
      </c>
      <c r="AE113" s="9">
        <v>12.4</v>
      </c>
      <c r="AF113" s="9"/>
      <c r="AG113" s="9">
        <f t="shared" si="36"/>
        <v>0</v>
      </c>
      <c r="AH113" s="9"/>
      <c r="AI113" s="9"/>
      <c r="AJ113" s="9"/>
      <c r="AK113" s="9"/>
      <c r="AL113" s="9"/>
      <c r="AM113" s="9"/>
      <c r="AN113" s="9"/>
      <c r="AO113" s="9"/>
      <c r="AP113" s="9"/>
      <c r="AQ113" s="9"/>
    </row>
    <row r="114" spans="1:43" x14ac:dyDescent="0.25">
      <c r="A114" s="9" t="s">
        <v>161</v>
      </c>
      <c r="B114" s="9" t="s">
        <v>36</v>
      </c>
      <c r="C114" s="9">
        <v>19.007000000000001</v>
      </c>
      <c r="D114" s="9">
        <v>4.17</v>
      </c>
      <c r="E114" s="9"/>
      <c r="F114" s="9">
        <v>0.55600000000000005</v>
      </c>
      <c r="G114" s="6">
        <v>1</v>
      </c>
      <c r="H114" s="9">
        <v>55</v>
      </c>
      <c r="I114" s="9" t="s">
        <v>37</v>
      </c>
      <c r="J114" s="9"/>
      <c r="K114" s="9">
        <v>3.8</v>
      </c>
      <c r="L114" s="9">
        <f t="shared" si="31"/>
        <v>-3.8</v>
      </c>
      <c r="M114" s="9">
        <f t="shared" si="32"/>
        <v>0</v>
      </c>
      <c r="N114" s="9"/>
      <c r="O114" s="9"/>
      <c r="P114" s="9">
        <v>7.1803999999999997</v>
      </c>
      <c r="Q114" s="9"/>
      <c r="R114" s="9"/>
      <c r="S114" s="9">
        <v>4</v>
      </c>
      <c r="T114" s="9">
        <f t="shared" si="33"/>
        <v>0</v>
      </c>
      <c r="U114" s="4"/>
      <c r="V114" s="9" t="e">
        <f t="shared" si="34"/>
        <v>#DIV/0!</v>
      </c>
      <c r="W114" s="9" t="e">
        <f t="shared" si="35"/>
        <v>#DIV/0!</v>
      </c>
      <c r="X114" s="9">
        <v>0.82919999999999994</v>
      </c>
      <c r="Y114" s="9">
        <v>1.1052</v>
      </c>
      <c r="Z114" s="9">
        <v>0.27600000000000002</v>
      </c>
      <c r="AA114" s="9">
        <v>0</v>
      </c>
      <c r="AB114" s="9">
        <v>0.40500000000000003</v>
      </c>
      <c r="AC114" s="9">
        <v>0.40500000000000003</v>
      </c>
      <c r="AD114" s="9">
        <v>1.224</v>
      </c>
      <c r="AE114" s="9">
        <v>0.5544</v>
      </c>
      <c r="AF114" s="9"/>
      <c r="AG114" s="9">
        <f t="shared" si="36"/>
        <v>0</v>
      </c>
      <c r="AH114" s="9"/>
      <c r="AI114" s="9"/>
      <c r="AJ114" s="9"/>
      <c r="AK114" s="9"/>
      <c r="AL114" s="9"/>
      <c r="AM114" s="9"/>
      <c r="AN114" s="9"/>
      <c r="AO114" s="9"/>
      <c r="AP114" s="9"/>
      <c r="AQ114" s="9"/>
    </row>
    <row r="115" spans="1:43" x14ac:dyDescent="0.25">
      <c r="A115" s="9" t="s">
        <v>162</v>
      </c>
      <c r="B115" s="9" t="s">
        <v>41</v>
      </c>
      <c r="C115" s="9">
        <v>227</v>
      </c>
      <c r="D115" s="9">
        <v>570</v>
      </c>
      <c r="E115" s="9">
        <v>342</v>
      </c>
      <c r="F115" s="9">
        <v>345</v>
      </c>
      <c r="G115" s="6">
        <v>0.28000000000000003</v>
      </c>
      <c r="H115" s="9">
        <v>40</v>
      </c>
      <c r="I115" s="9" t="s">
        <v>37</v>
      </c>
      <c r="J115" s="9"/>
      <c r="K115" s="9">
        <v>472</v>
      </c>
      <c r="L115" s="9">
        <f t="shared" si="31"/>
        <v>-130</v>
      </c>
      <c r="M115" s="9">
        <f t="shared" si="32"/>
        <v>342</v>
      </c>
      <c r="N115" s="9"/>
      <c r="O115" s="9"/>
      <c r="P115" s="9">
        <v>0</v>
      </c>
      <c r="Q115" s="9"/>
      <c r="R115" s="9"/>
      <c r="S115" s="9">
        <v>75.004000000000019</v>
      </c>
      <c r="T115" s="9">
        <f t="shared" si="33"/>
        <v>68.400000000000006</v>
      </c>
      <c r="U115" s="4">
        <f t="shared" si="37"/>
        <v>400.79600000000005</v>
      </c>
      <c r="V115" s="9">
        <f t="shared" si="34"/>
        <v>12</v>
      </c>
      <c r="W115" s="9">
        <f t="shared" si="35"/>
        <v>6.1404093567251463</v>
      </c>
      <c r="X115" s="9">
        <v>58.2</v>
      </c>
      <c r="Y115" s="9">
        <v>83.8</v>
      </c>
      <c r="Z115" s="9">
        <v>89</v>
      </c>
      <c r="AA115" s="9">
        <v>60.4</v>
      </c>
      <c r="AB115" s="9">
        <v>51.8</v>
      </c>
      <c r="AC115" s="9">
        <v>57</v>
      </c>
      <c r="AD115" s="9">
        <v>70</v>
      </c>
      <c r="AE115" s="9">
        <v>76.8</v>
      </c>
      <c r="AF115" s="9"/>
      <c r="AG115" s="9">
        <f t="shared" si="36"/>
        <v>112.22288000000002</v>
      </c>
      <c r="AH115" s="9"/>
      <c r="AI115" s="9"/>
      <c r="AJ115" s="9"/>
      <c r="AK115" s="9"/>
      <c r="AL115" s="9"/>
      <c r="AM115" s="9"/>
      <c r="AN115" s="9"/>
      <c r="AO115" s="9"/>
      <c r="AP115" s="9"/>
      <c r="AQ115" s="9"/>
    </row>
    <row r="116" spans="1:43" x14ac:dyDescent="0.25">
      <c r="A116" s="9" t="s">
        <v>163</v>
      </c>
      <c r="B116" s="9" t="s">
        <v>41</v>
      </c>
      <c r="C116" s="9">
        <v>50.725999999999999</v>
      </c>
      <c r="D116" s="9">
        <v>599</v>
      </c>
      <c r="E116" s="9">
        <v>281</v>
      </c>
      <c r="F116" s="9">
        <v>299.726</v>
      </c>
      <c r="G116" s="6">
        <v>0.28000000000000003</v>
      </c>
      <c r="H116" s="9">
        <v>40</v>
      </c>
      <c r="I116" s="9" t="s">
        <v>37</v>
      </c>
      <c r="J116" s="9"/>
      <c r="K116" s="9">
        <v>393</v>
      </c>
      <c r="L116" s="9">
        <f t="shared" si="31"/>
        <v>-112</v>
      </c>
      <c r="M116" s="9">
        <f t="shared" si="32"/>
        <v>281</v>
      </c>
      <c r="N116" s="9"/>
      <c r="O116" s="9"/>
      <c r="P116" s="9">
        <v>0</v>
      </c>
      <c r="Q116" s="9">
        <v>498.42033120000002</v>
      </c>
      <c r="R116" s="9"/>
      <c r="S116" s="9">
        <v>0</v>
      </c>
      <c r="T116" s="9">
        <f t="shared" si="33"/>
        <v>56.2</v>
      </c>
      <c r="U116" s="4"/>
      <c r="V116" s="9">
        <f t="shared" si="34"/>
        <v>14.201892014234875</v>
      </c>
      <c r="W116" s="9">
        <f t="shared" si="35"/>
        <v>14.201892014234875</v>
      </c>
      <c r="X116" s="9">
        <v>63.6</v>
      </c>
      <c r="Y116" s="9">
        <v>109</v>
      </c>
      <c r="Z116" s="9">
        <v>91.4</v>
      </c>
      <c r="AA116" s="9">
        <v>49.0548</v>
      </c>
      <c r="AB116" s="9">
        <v>24.854800000000001</v>
      </c>
      <c r="AC116" s="9">
        <v>32.654800000000002</v>
      </c>
      <c r="AD116" s="9">
        <v>50.4</v>
      </c>
      <c r="AE116" s="9">
        <v>91.8</v>
      </c>
      <c r="AF116" s="9"/>
      <c r="AG116" s="9">
        <f t="shared" si="36"/>
        <v>0</v>
      </c>
      <c r="AH116" s="9"/>
      <c r="AI116" s="9"/>
      <c r="AJ116" s="9"/>
      <c r="AK116" s="9"/>
      <c r="AL116" s="9"/>
      <c r="AM116" s="9"/>
      <c r="AN116" s="9"/>
      <c r="AO116" s="9"/>
      <c r="AP116" s="9"/>
      <c r="AQ116" s="9"/>
    </row>
    <row r="117" spans="1:43" x14ac:dyDescent="0.25">
      <c r="A117" s="9" t="s">
        <v>164</v>
      </c>
      <c r="B117" s="9" t="s">
        <v>41</v>
      </c>
      <c r="C117" s="9">
        <v>332.5</v>
      </c>
      <c r="D117" s="9">
        <v>916</v>
      </c>
      <c r="E117" s="9">
        <v>558</v>
      </c>
      <c r="F117" s="9">
        <v>541.5</v>
      </c>
      <c r="G117" s="6">
        <v>0.28000000000000003</v>
      </c>
      <c r="H117" s="9">
        <v>40</v>
      </c>
      <c r="I117" s="9" t="s">
        <v>37</v>
      </c>
      <c r="J117" s="9"/>
      <c r="K117" s="9">
        <v>694</v>
      </c>
      <c r="L117" s="9">
        <f t="shared" si="31"/>
        <v>-136</v>
      </c>
      <c r="M117" s="9">
        <f t="shared" si="32"/>
        <v>558</v>
      </c>
      <c r="N117" s="9"/>
      <c r="O117" s="9"/>
      <c r="P117" s="9">
        <v>477.19299999999981</v>
      </c>
      <c r="Q117" s="9"/>
      <c r="R117" s="9"/>
      <c r="S117" s="9">
        <v>0</v>
      </c>
      <c r="T117" s="9">
        <f t="shared" si="33"/>
        <v>111.6</v>
      </c>
      <c r="U117" s="4">
        <f t="shared" si="37"/>
        <v>320.50700000000006</v>
      </c>
      <c r="V117" s="9">
        <f t="shared" si="34"/>
        <v>11.999999999999998</v>
      </c>
      <c r="W117" s="9">
        <f t="shared" si="35"/>
        <v>9.1280734767025073</v>
      </c>
      <c r="X117" s="9">
        <v>95.6</v>
      </c>
      <c r="Y117" s="9">
        <v>123.2</v>
      </c>
      <c r="Z117" s="9">
        <v>137</v>
      </c>
      <c r="AA117" s="9">
        <v>87.1</v>
      </c>
      <c r="AB117" s="9">
        <v>78.7</v>
      </c>
      <c r="AC117" s="9">
        <v>78.5</v>
      </c>
      <c r="AD117" s="9">
        <v>103.2</v>
      </c>
      <c r="AE117" s="9">
        <v>101.8</v>
      </c>
      <c r="AF117" s="9"/>
      <c r="AG117" s="9">
        <f t="shared" si="36"/>
        <v>89.74196000000002</v>
      </c>
      <c r="AH117" s="9"/>
      <c r="AI117" s="9"/>
      <c r="AJ117" s="9"/>
      <c r="AK117" s="9"/>
      <c r="AL117" s="9"/>
      <c r="AM117" s="9"/>
      <c r="AN117" s="9"/>
      <c r="AO117" s="9"/>
      <c r="AP117" s="9"/>
      <c r="AQ117" s="9"/>
    </row>
    <row r="118" spans="1:43" x14ac:dyDescent="0.25">
      <c r="A118" s="9" t="s">
        <v>165</v>
      </c>
      <c r="B118" s="9" t="s">
        <v>41</v>
      </c>
      <c r="C118" s="9">
        <v>67</v>
      </c>
      <c r="D118" s="9">
        <v>123</v>
      </c>
      <c r="E118" s="9">
        <v>78</v>
      </c>
      <c r="F118" s="9">
        <v>65</v>
      </c>
      <c r="G118" s="6">
        <v>0.09</v>
      </c>
      <c r="H118" s="9">
        <v>45</v>
      </c>
      <c r="I118" s="9" t="s">
        <v>37</v>
      </c>
      <c r="J118" s="9"/>
      <c r="K118" s="9">
        <v>170</v>
      </c>
      <c r="L118" s="9">
        <f t="shared" si="31"/>
        <v>-92</v>
      </c>
      <c r="M118" s="9">
        <f t="shared" si="32"/>
        <v>78</v>
      </c>
      <c r="N118" s="9"/>
      <c r="O118" s="9"/>
      <c r="P118" s="9">
        <v>14</v>
      </c>
      <c r="Q118" s="9"/>
      <c r="R118" s="9"/>
      <c r="S118" s="9">
        <v>52.02000000000001</v>
      </c>
      <c r="T118" s="9">
        <f t="shared" si="33"/>
        <v>15.6</v>
      </c>
      <c r="U118" s="4">
        <f t="shared" si="37"/>
        <v>56.179999999999978</v>
      </c>
      <c r="V118" s="9">
        <f t="shared" si="34"/>
        <v>12</v>
      </c>
      <c r="W118" s="9">
        <f t="shared" si="35"/>
        <v>8.39871794871795</v>
      </c>
      <c r="X118" s="9">
        <v>14.2</v>
      </c>
      <c r="Y118" s="9">
        <v>12.2</v>
      </c>
      <c r="Z118" s="9">
        <v>13.2</v>
      </c>
      <c r="AA118" s="9">
        <v>5.4</v>
      </c>
      <c r="AB118" s="9">
        <v>9.8000000000000007</v>
      </c>
      <c r="AC118" s="9">
        <v>6.6</v>
      </c>
      <c r="AD118" s="9">
        <v>10</v>
      </c>
      <c r="AE118" s="9">
        <v>8.1999999999999993</v>
      </c>
      <c r="AF118" s="9"/>
      <c r="AG118" s="9">
        <f t="shared" si="36"/>
        <v>5.0561999999999978</v>
      </c>
      <c r="AH118" s="9"/>
      <c r="AI118" s="9"/>
      <c r="AJ118" s="9"/>
      <c r="AK118" s="9"/>
      <c r="AL118" s="9"/>
      <c r="AM118" s="9"/>
      <c r="AN118" s="9"/>
      <c r="AO118" s="9"/>
      <c r="AP118" s="9"/>
      <c r="AQ118" s="9"/>
    </row>
    <row r="119" spans="1:43" x14ac:dyDescent="0.25">
      <c r="A119" s="10" t="s">
        <v>166</v>
      </c>
      <c r="B119" s="10" t="s">
        <v>36</v>
      </c>
      <c r="C119" s="10">
        <v>53.927999999999997</v>
      </c>
      <c r="D119" s="10">
        <v>5.532</v>
      </c>
      <c r="E119" s="10">
        <v>10.927</v>
      </c>
      <c r="F119" s="10">
        <v>43.000999999999998</v>
      </c>
      <c r="G119" s="11">
        <v>0</v>
      </c>
      <c r="H119" s="10">
        <v>55</v>
      </c>
      <c r="I119" s="10" t="s">
        <v>52</v>
      </c>
      <c r="J119" s="10"/>
      <c r="K119" s="10">
        <v>18.5</v>
      </c>
      <c r="L119" s="10">
        <f t="shared" si="31"/>
        <v>-7.5730000000000004</v>
      </c>
      <c r="M119" s="10">
        <f t="shared" si="32"/>
        <v>10.927</v>
      </c>
      <c r="N119" s="10"/>
      <c r="O119" s="10"/>
      <c r="P119" s="10">
        <v>0</v>
      </c>
      <c r="Q119" s="10"/>
      <c r="R119" s="10"/>
      <c r="S119" s="10">
        <v>0</v>
      </c>
      <c r="T119" s="10">
        <f t="shared" si="33"/>
        <v>2.1854</v>
      </c>
      <c r="U119" s="12"/>
      <c r="V119" s="10">
        <f t="shared" si="34"/>
        <v>19.676489429852658</v>
      </c>
      <c r="W119" s="10">
        <f t="shared" si="35"/>
        <v>19.676489429852658</v>
      </c>
      <c r="X119" s="10">
        <v>1.3512</v>
      </c>
      <c r="Y119" s="10">
        <v>2.4342000000000001</v>
      </c>
      <c r="Z119" s="10">
        <v>1.6259999999999999</v>
      </c>
      <c r="AA119" s="10">
        <v>1.085</v>
      </c>
      <c r="AB119" s="10">
        <v>1.8994</v>
      </c>
      <c r="AC119" s="10">
        <v>2.1669999999999998</v>
      </c>
      <c r="AD119" s="10">
        <v>2.1669999999999998</v>
      </c>
      <c r="AE119" s="10">
        <v>0.80959999999999999</v>
      </c>
      <c r="AF119" s="14" t="s">
        <v>134</v>
      </c>
      <c r="AG119" s="10"/>
      <c r="AH119" s="9"/>
      <c r="AI119" s="9"/>
      <c r="AJ119" s="9"/>
      <c r="AK119" s="9"/>
      <c r="AL119" s="9"/>
      <c r="AM119" s="9"/>
      <c r="AN119" s="9"/>
      <c r="AO119" s="9"/>
      <c r="AP119" s="9"/>
      <c r="AQ119" s="9"/>
    </row>
    <row r="120" spans="1:43" x14ac:dyDescent="0.25">
      <c r="A120" s="9" t="s">
        <v>167</v>
      </c>
      <c r="B120" s="9" t="s">
        <v>36</v>
      </c>
      <c r="C120" s="9">
        <v>45.003</v>
      </c>
      <c r="D120" s="9">
        <v>91.668000000000006</v>
      </c>
      <c r="E120" s="9">
        <v>31.373999999999999</v>
      </c>
      <c r="F120" s="9">
        <v>101.86199999999999</v>
      </c>
      <c r="G120" s="6">
        <v>1</v>
      </c>
      <c r="H120" s="9">
        <v>60</v>
      </c>
      <c r="I120" s="9" t="s">
        <v>37</v>
      </c>
      <c r="J120" s="9"/>
      <c r="K120" s="9">
        <v>37.5</v>
      </c>
      <c r="L120" s="9">
        <f t="shared" si="31"/>
        <v>-6.1260000000000012</v>
      </c>
      <c r="M120" s="9">
        <f t="shared" si="32"/>
        <v>31.373999999999999</v>
      </c>
      <c r="N120" s="9"/>
      <c r="O120" s="9"/>
      <c r="P120" s="9">
        <v>60.118000000000031</v>
      </c>
      <c r="Q120" s="9"/>
      <c r="R120" s="9"/>
      <c r="S120" s="9">
        <v>0</v>
      </c>
      <c r="T120" s="9">
        <f t="shared" si="33"/>
        <v>6.2747999999999999</v>
      </c>
      <c r="U120" s="4"/>
      <c r="V120" s="9">
        <f t="shared" si="34"/>
        <v>25.814368585452925</v>
      </c>
      <c r="W120" s="9">
        <f t="shared" si="35"/>
        <v>25.814368585452925</v>
      </c>
      <c r="X120" s="9">
        <v>10.271599999999999</v>
      </c>
      <c r="Y120" s="9">
        <v>16.718</v>
      </c>
      <c r="Z120" s="9">
        <v>14.504</v>
      </c>
      <c r="AA120" s="9">
        <v>5.6520000000000001</v>
      </c>
      <c r="AB120" s="9">
        <v>6.5449999999999999</v>
      </c>
      <c r="AC120" s="9">
        <v>9.0909999999999993</v>
      </c>
      <c r="AD120" s="9">
        <v>11.584199999999999</v>
      </c>
      <c r="AE120" s="9">
        <v>9.4443999999999999</v>
      </c>
      <c r="AF120" s="14" t="s">
        <v>134</v>
      </c>
      <c r="AG120" s="9">
        <f t="shared" ref="AG120:AG135" si="38">G120*U120</f>
        <v>0</v>
      </c>
      <c r="AH120" s="9"/>
      <c r="AI120" s="9"/>
      <c r="AJ120" s="9"/>
      <c r="AK120" s="9"/>
      <c r="AL120" s="9"/>
      <c r="AM120" s="9"/>
      <c r="AN120" s="9"/>
      <c r="AO120" s="9"/>
      <c r="AP120" s="9"/>
      <c r="AQ120" s="9"/>
    </row>
    <row r="121" spans="1:43" x14ac:dyDescent="0.25">
      <c r="A121" s="9" t="s">
        <v>168</v>
      </c>
      <c r="B121" s="9" t="s">
        <v>36</v>
      </c>
      <c r="C121" s="9">
        <v>9.0009999999999994</v>
      </c>
      <c r="D121" s="9">
        <v>76.989999999999995</v>
      </c>
      <c r="E121" s="9">
        <v>24.067</v>
      </c>
      <c r="F121" s="9">
        <v>58.584000000000003</v>
      </c>
      <c r="G121" s="6">
        <v>1</v>
      </c>
      <c r="H121" s="9">
        <v>50</v>
      </c>
      <c r="I121" s="9" t="s">
        <v>37</v>
      </c>
      <c r="J121" s="9"/>
      <c r="K121" s="9">
        <v>27.5</v>
      </c>
      <c r="L121" s="9">
        <f t="shared" si="31"/>
        <v>-3.4329999999999998</v>
      </c>
      <c r="M121" s="9">
        <f t="shared" si="32"/>
        <v>24.067</v>
      </c>
      <c r="N121" s="9"/>
      <c r="O121" s="9"/>
      <c r="P121" s="9">
        <v>0</v>
      </c>
      <c r="Q121" s="9"/>
      <c r="R121" s="9"/>
      <c r="S121" s="9">
        <v>0</v>
      </c>
      <c r="T121" s="9">
        <f t="shared" si="33"/>
        <v>4.8133999999999997</v>
      </c>
      <c r="U121" s="4"/>
      <c r="V121" s="9">
        <f t="shared" si="34"/>
        <v>12.171022562014379</v>
      </c>
      <c r="W121" s="9">
        <f t="shared" si="35"/>
        <v>12.171022562014379</v>
      </c>
      <c r="X121" s="9">
        <v>2.9209999999999998</v>
      </c>
      <c r="Y121" s="9">
        <v>5.9039999999999999</v>
      </c>
      <c r="Z121" s="9">
        <v>10.317399999999999</v>
      </c>
      <c r="AA121" s="9">
        <v>4.4803999999999977</v>
      </c>
      <c r="AB121" s="9">
        <v>3.0777999999999999</v>
      </c>
      <c r="AC121" s="9">
        <v>4.9722</v>
      </c>
      <c r="AD121" s="9">
        <v>7.1712000000000007</v>
      </c>
      <c r="AE121" s="9">
        <v>8.8970000000000002</v>
      </c>
      <c r="AF121" s="9"/>
      <c r="AG121" s="9">
        <f t="shared" si="38"/>
        <v>0</v>
      </c>
      <c r="AH121" s="9"/>
      <c r="AI121" s="9"/>
      <c r="AJ121" s="9"/>
      <c r="AK121" s="9"/>
      <c r="AL121" s="9"/>
      <c r="AM121" s="9"/>
      <c r="AN121" s="9"/>
      <c r="AO121" s="9"/>
      <c r="AP121" s="9"/>
      <c r="AQ121" s="9"/>
    </row>
    <row r="122" spans="1:43" x14ac:dyDescent="0.25">
      <c r="A122" s="9" t="s">
        <v>169</v>
      </c>
      <c r="B122" s="9" t="s">
        <v>41</v>
      </c>
      <c r="C122" s="9">
        <v>68</v>
      </c>
      <c r="D122" s="9">
        <v>110</v>
      </c>
      <c r="E122" s="9">
        <v>97</v>
      </c>
      <c r="F122" s="9">
        <v>50</v>
      </c>
      <c r="G122" s="6">
        <v>0.09</v>
      </c>
      <c r="H122" s="9">
        <v>45</v>
      </c>
      <c r="I122" s="9" t="s">
        <v>37</v>
      </c>
      <c r="J122" s="9"/>
      <c r="K122" s="9">
        <v>135</v>
      </c>
      <c r="L122" s="9">
        <f t="shared" si="31"/>
        <v>-38</v>
      </c>
      <c r="M122" s="9">
        <f t="shared" si="32"/>
        <v>97</v>
      </c>
      <c r="N122" s="9"/>
      <c r="O122" s="9"/>
      <c r="P122" s="9">
        <v>0</v>
      </c>
      <c r="Q122" s="9"/>
      <c r="R122" s="9"/>
      <c r="S122" s="9">
        <v>360</v>
      </c>
      <c r="T122" s="9">
        <f t="shared" si="33"/>
        <v>19.399999999999999</v>
      </c>
      <c r="U122" s="4"/>
      <c r="V122" s="9">
        <f t="shared" si="34"/>
        <v>21.134020618556704</v>
      </c>
      <c r="W122" s="9">
        <f t="shared" si="35"/>
        <v>21.134020618556704</v>
      </c>
      <c r="X122" s="9">
        <v>14.4</v>
      </c>
      <c r="Y122" s="9">
        <v>11.6</v>
      </c>
      <c r="Z122" s="9">
        <v>13.8</v>
      </c>
      <c r="AA122" s="9">
        <v>8.8000000000000007</v>
      </c>
      <c r="AB122" s="9">
        <v>6.4</v>
      </c>
      <c r="AC122" s="9">
        <v>4.8</v>
      </c>
      <c r="AD122" s="9">
        <v>6.4</v>
      </c>
      <c r="AE122" s="9">
        <v>8.1999999999999993</v>
      </c>
      <c r="AF122" s="9" t="s">
        <v>146</v>
      </c>
      <c r="AG122" s="9">
        <f t="shared" si="38"/>
        <v>0</v>
      </c>
      <c r="AH122" s="9"/>
      <c r="AI122" s="9"/>
      <c r="AJ122" s="9"/>
      <c r="AK122" s="9"/>
      <c r="AL122" s="9"/>
      <c r="AM122" s="9"/>
      <c r="AN122" s="9"/>
      <c r="AO122" s="9"/>
      <c r="AP122" s="9"/>
      <c r="AQ122" s="9"/>
    </row>
    <row r="123" spans="1:43" x14ac:dyDescent="0.25">
      <c r="A123" s="9" t="s">
        <v>170</v>
      </c>
      <c r="B123" s="9" t="s">
        <v>41</v>
      </c>
      <c r="C123" s="9">
        <v>63</v>
      </c>
      <c r="D123" s="9">
        <v>127</v>
      </c>
      <c r="E123" s="9">
        <v>81</v>
      </c>
      <c r="F123" s="9">
        <v>92</v>
      </c>
      <c r="G123" s="6">
        <v>0.09</v>
      </c>
      <c r="H123" s="9">
        <v>45</v>
      </c>
      <c r="I123" s="9" t="s">
        <v>37</v>
      </c>
      <c r="J123" s="9"/>
      <c r="K123" s="9">
        <v>99</v>
      </c>
      <c r="L123" s="9">
        <f t="shared" si="31"/>
        <v>-18</v>
      </c>
      <c r="M123" s="9">
        <f t="shared" si="32"/>
        <v>81</v>
      </c>
      <c r="N123" s="9"/>
      <c r="O123" s="9"/>
      <c r="P123" s="9">
        <v>0</v>
      </c>
      <c r="Q123" s="9"/>
      <c r="R123" s="9"/>
      <c r="S123" s="9">
        <v>300</v>
      </c>
      <c r="T123" s="9">
        <f t="shared" si="33"/>
        <v>16.2</v>
      </c>
      <c r="U123" s="4"/>
      <c r="V123" s="9">
        <f t="shared" si="34"/>
        <v>24.197530864197532</v>
      </c>
      <c r="W123" s="9">
        <f t="shared" si="35"/>
        <v>24.197530864197532</v>
      </c>
      <c r="X123" s="9">
        <v>9</v>
      </c>
      <c r="Y123" s="9">
        <v>10.199999999999999</v>
      </c>
      <c r="Z123" s="9">
        <v>17.399999999999999</v>
      </c>
      <c r="AA123" s="9">
        <v>9.8000000000000007</v>
      </c>
      <c r="AB123" s="9">
        <v>1.8</v>
      </c>
      <c r="AC123" s="9">
        <v>1.4</v>
      </c>
      <c r="AD123" s="9">
        <v>0.2</v>
      </c>
      <c r="AE123" s="9">
        <v>6</v>
      </c>
      <c r="AF123" s="9" t="s">
        <v>146</v>
      </c>
      <c r="AG123" s="9">
        <f t="shared" si="38"/>
        <v>0</v>
      </c>
      <c r="AH123" s="9"/>
      <c r="AI123" s="9"/>
      <c r="AJ123" s="9"/>
      <c r="AK123" s="9"/>
      <c r="AL123" s="9"/>
      <c r="AM123" s="9"/>
      <c r="AN123" s="9"/>
      <c r="AO123" s="9"/>
      <c r="AP123" s="9"/>
      <c r="AQ123" s="9"/>
    </row>
    <row r="124" spans="1:43" x14ac:dyDescent="0.25">
      <c r="A124" s="9" t="s">
        <v>171</v>
      </c>
      <c r="B124" s="9" t="s">
        <v>36</v>
      </c>
      <c r="C124" s="9">
        <v>90.576999999999998</v>
      </c>
      <c r="D124" s="9">
        <v>92.938000000000002</v>
      </c>
      <c r="E124" s="9">
        <v>47.186</v>
      </c>
      <c r="F124" s="9">
        <v>133.50899999999999</v>
      </c>
      <c r="G124" s="6">
        <v>1</v>
      </c>
      <c r="H124" s="9">
        <v>60</v>
      </c>
      <c r="I124" s="9" t="s">
        <v>37</v>
      </c>
      <c r="J124" s="9"/>
      <c r="K124" s="9">
        <v>46.033000000000001</v>
      </c>
      <c r="L124" s="9">
        <f t="shared" si="31"/>
        <v>1.1529999999999987</v>
      </c>
      <c r="M124" s="9">
        <f t="shared" si="32"/>
        <v>47.186</v>
      </c>
      <c r="N124" s="9"/>
      <c r="O124" s="9"/>
      <c r="P124" s="9">
        <v>0</v>
      </c>
      <c r="Q124" s="9"/>
      <c r="R124" s="9"/>
      <c r="S124" s="9">
        <v>0</v>
      </c>
      <c r="T124" s="9">
        <f t="shared" si="33"/>
        <v>9.4372000000000007</v>
      </c>
      <c r="U124" s="4"/>
      <c r="V124" s="9">
        <f t="shared" si="34"/>
        <v>14.147098715720762</v>
      </c>
      <c r="W124" s="9">
        <f t="shared" si="35"/>
        <v>14.147098715720762</v>
      </c>
      <c r="X124" s="9">
        <v>6.8977999999999993</v>
      </c>
      <c r="Y124" s="9">
        <v>9.4394000000000009</v>
      </c>
      <c r="Z124" s="9">
        <v>15.491400000000001</v>
      </c>
      <c r="AA124" s="9">
        <v>11.78399999999999</v>
      </c>
      <c r="AB124" s="9">
        <v>8.2132000000000005</v>
      </c>
      <c r="AC124" s="9">
        <v>7.9378000000000002</v>
      </c>
      <c r="AD124" s="9">
        <v>9.9105999999999987</v>
      </c>
      <c r="AE124" s="9">
        <v>11.642799999999999</v>
      </c>
      <c r="AF124" s="9" t="s">
        <v>172</v>
      </c>
      <c r="AG124" s="9">
        <f t="shared" si="38"/>
        <v>0</v>
      </c>
      <c r="AH124" s="9"/>
      <c r="AI124" s="9"/>
      <c r="AJ124" s="9"/>
      <c r="AK124" s="9"/>
      <c r="AL124" s="9"/>
      <c r="AM124" s="9"/>
      <c r="AN124" s="9"/>
      <c r="AO124" s="9"/>
      <c r="AP124" s="9"/>
      <c r="AQ124" s="9"/>
    </row>
    <row r="125" spans="1:43" x14ac:dyDescent="0.25">
      <c r="A125" s="9" t="s">
        <v>173</v>
      </c>
      <c r="B125" s="9" t="s">
        <v>36</v>
      </c>
      <c r="C125" s="9">
        <v>404.66399999999999</v>
      </c>
      <c r="D125" s="9">
        <v>807.11300000000006</v>
      </c>
      <c r="E125" s="9">
        <v>382.57400000000001</v>
      </c>
      <c r="F125" s="9">
        <v>758.01800000000003</v>
      </c>
      <c r="G125" s="6">
        <v>1</v>
      </c>
      <c r="H125" s="9">
        <v>60</v>
      </c>
      <c r="I125" s="9" t="s">
        <v>37</v>
      </c>
      <c r="J125" s="9"/>
      <c r="K125" s="9">
        <v>444.48399999999998</v>
      </c>
      <c r="L125" s="9">
        <f t="shared" si="31"/>
        <v>-61.909999999999968</v>
      </c>
      <c r="M125" s="9">
        <f t="shared" si="32"/>
        <v>382.57400000000001</v>
      </c>
      <c r="N125" s="9"/>
      <c r="O125" s="9"/>
      <c r="P125" s="9">
        <v>387.87812200000008</v>
      </c>
      <c r="Q125" s="9"/>
      <c r="R125" s="9"/>
      <c r="S125" s="9">
        <v>0</v>
      </c>
      <c r="T125" s="9">
        <f t="shared" si="33"/>
        <v>76.514800000000008</v>
      </c>
      <c r="U125" s="4"/>
      <c r="V125" s="9">
        <f t="shared" si="34"/>
        <v>14.97613693037164</v>
      </c>
      <c r="W125" s="9">
        <f t="shared" si="35"/>
        <v>14.97613693037164</v>
      </c>
      <c r="X125" s="9">
        <v>92.683799999999991</v>
      </c>
      <c r="Y125" s="9">
        <v>121.5682</v>
      </c>
      <c r="Z125" s="9">
        <v>123.7212</v>
      </c>
      <c r="AA125" s="9">
        <v>82.874800000000008</v>
      </c>
      <c r="AB125" s="9">
        <v>81.725400000000008</v>
      </c>
      <c r="AC125" s="9">
        <v>95.796599999999998</v>
      </c>
      <c r="AD125" s="9">
        <v>110.8334</v>
      </c>
      <c r="AE125" s="9">
        <v>111.65</v>
      </c>
      <c r="AF125" s="9"/>
      <c r="AG125" s="9">
        <f t="shared" si="38"/>
        <v>0</v>
      </c>
      <c r="AH125" s="9"/>
      <c r="AI125" s="9"/>
      <c r="AJ125" s="9"/>
      <c r="AK125" s="9"/>
      <c r="AL125" s="9"/>
      <c r="AM125" s="9"/>
      <c r="AN125" s="9"/>
      <c r="AO125" s="9"/>
      <c r="AP125" s="9"/>
      <c r="AQ125" s="9"/>
    </row>
    <row r="126" spans="1:43" x14ac:dyDescent="0.25">
      <c r="A126" s="9" t="s">
        <v>174</v>
      </c>
      <c r="B126" s="9" t="s">
        <v>36</v>
      </c>
      <c r="C126" s="9">
        <v>325.58999999999997</v>
      </c>
      <c r="D126" s="9">
        <v>13.925000000000001</v>
      </c>
      <c r="E126" s="9">
        <v>61.923999999999999</v>
      </c>
      <c r="F126" s="9">
        <v>263.70800000000003</v>
      </c>
      <c r="G126" s="6">
        <v>1</v>
      </c>
      <c r="H126" s="9">
        <v>60</v>
      </c>
      <c r="I126" s="9" t="s">
        <v>37</v>
      </c>
      <c r="J126" s="9"/>
      <c r="K126" s="9">
        <v>75.099999999999994</v>
      </c>
      <c r="L126" s="9">
        <f t="shared" si="31"/>
        <v>-13.175999999999995</v>
      </c>
      <c r="M126" s="9">
        <f t="shared" si="32"/>
        <v>61.923999999999999</v>
      </c>
      <c r="N126" s="9"/>
      <c r="O126" s="9"/>
      <c r="P126" s="9">
        <v>0</v>
      </c>
      <c r="Q126" s="9"/>
      <c r="R126" s="9"/>
      <c r="S126" s="9">
        <v>0</v>
      </c>
      <c r="T126" s="9">
        <f t="shared" si="33"/>
        <v>12.3848</v>
      </c>
      <c r="U126" s="4"/>
      <c r="V126" s="9">
        <f t="shared" si="34"/>
        <v>21.292875137265035</v>
      </c>
      <c r="W126" s="9">
        <f t="shared" si="35"/>
        <v>21.292875137265035</v>
      </c>
      <c r="X126" s="9">
        <v>9.4190000000000005</v>
      </c>
      <c r="Y126" s="9">
        <v>12.1662</v>
      </c>
      <c r="Z126" s="9">
        <v>14.089600000000001</v>
      </c>
      <c r="AA126" s="9">
        <v>13.230600000000001</v>
      </c>
      <c r="AB126" s="9">
        <v>9.9158000000000008</v>
      </c>
      <c r="AC126" s="9">
        <v>6.5962000000000014</v>
      </c>
      <c r="AD126" s="9">
        <v>6.8528000000000002</v>
      </c>
      <c r="AE126" s="9">
        <v>7.9191999999999991</v>
      </c>
      <c r="AF126" s="20" t="s">
        <v>187</v>
      </c>
      <c r="AG126" s="9">
        <f t="shared" si="38"/>
        <v>0</v>
      </c>
      <c r="AH126" s="9"/>
      <c r="AI126" s="9"/>
      <c r="AJ126" s="9"/>
      <c r="AK126" s="9"/>
      <c r="AL126" s="9"/>
      <c r="AM126" s="9"/>
      <c r="AN126" s="9"/>
      <c r="AO126" s="9"/>
      <c r="AP126" s="9"/>
      <c r="AQ126" s="9"/>
    </row>
    <row r="127" spans="1:43" x14ac:dyDescent="0.25">
      <c r="A127" s="9" t="s">
        <v>58</v>
      </c>
      <c r="B127" s="9" t="s">
        <v>36</v>
      </c>
      <c r="C127" s="9">
        <v>2469.5419999999999</v>
      </c>
      <c r="D127" s="9">
        <v>724.74800000000005</v>
      </c>
      <c r="E127" s="15">
        <f>854.113+E19</f>
        <v>853.37300000000005</v>
      </c>
      <c r="F127" s="15">
        <f>2225.114+F19</f>
        <v>2220.14</v>
      </c>
      <c r="G127" s="6">
        <v>1</v>
      </c>
      <c r="H127" s="9">
        <v>60</v>
      </c>
      <c r="I127" s="9" t="s">
        <v>37</v>
      </c>
      <c r="J127" s="9"/>
      <c r="K127" s="9">
        <v>974</v>
      </c>
      <c r="L127" s="9">
        <f t="shared" si="31"/>
        <v>-120.62699999999995</v>
      </c>
      <c r="M127" s="9">
        <f t="shared" si="32"/>
        <v>853.37300000000005</v>
      </c>
      <c r="N127" s="9"/>
      <c r="O127" s="9"/>
      <c r="P127" s="9">
        <v>0</v>
      </c>
      <c r="Q127" s="9"/>
      <c r="R127" s="9"/>
      <c r="S127" s="9">
        <v>0</v>
      </c>
      <c r="T127" s="9">
        <f t="shared" si="33"/>
        <v>170.6746</v>
      </c>
      <c r="U127" s="4"/>
      <c r="V127" s="9">
        <f t="shared" si="34"/>
        <v>13.008028142441816</v>
      </c>
      <c r="W127" s="9">
        <f t="shared" si="35"/>
        <v>13.008028142441816</v>
      </c>
      <c r="X127" s="9">
        <v>196.4392</v>
      </c>
      <c r="Y127" s="9">
        <v>182.04040000000001</v>
      </c>
      <c r="Z127" s="9">
        <v>202.87360000000001</v>
      </c>
      <c r="AA127" s="9">
        <v>154.0368</v>
      </c>
      <c r="AB127" s="9">
        <v>145.78739999999999</v>
      </c>
      <c r="AC127" s="9">
        <v>165.05019999999999</v>
      </c>
      <c r="AD127" s="9">
        <v>223.18119999999999</v>
      </c>
      <c r="AE127" s="9">
        <v>152.50559999999999</v>
      </c>
      <c r="AF127" s="9"/>
      <c r="AG127" s="9">
        <f t="shared" si="38"/>
        <v>0</v>
      </c>
      <c r="AH127" s="9"/>
      <c r="AI127" s="9"/>
      <c r="AJ127" s="9"/>
      <c r="AK127" s="9"/>
      <c r="AL127" s="9"/>
      <c r="AM127" s="9"/>
      <c r="AN127" s="9"/>
      <c r="AO127" s="9"/>
      <c r="AP127" s="9"/>
      <c r="AQ127" s="9"/>
    </row>
    <row r="128" spans="1:43" x14ac:dyDescent="0.25">
      <c r="A128" s="9" t="s">
        <v>175</v>
      </c>
      <c r="B128" s="9" t="s">
        <v>41</v>
      </c>
      <c r="C128" s="9">
        <v>204</v>
      </c>
      <c r="D128" s="9">
        <v>1</v>
      </c>
      <c r="E128" s="9">
        <v>93</v>
      </c>
      <c r="F128" s="9">
        <v>111</v>
      </c>
      <c r="G128" s="6">
        <v>0.25</v>
      </c>
      <c r="H128" s="9"/>
      <c r="I128" s="9" t="s">
        <v>37</v>
      </c>
      <c r="J128" s="9"/>
      <c r="K128" s="9">
        <v>94</v>
      </c>
      <c r="L128" s="9">
        <f t="shared" si="31"/>
        <v>-1</v>
      </c>
      <c r="M128" s="9">
        <f t="shared" si="32"/>
        <v>93</v>
      </c>
      <c r="N128" s="9"/>
      <c r="O128" s="9"/>
      <c r="P128" s="9">
        <v>0</v>
      </c>
      <c r="Q128" s="9"/>
      <c r="R128" s="9"/>
      <c r="S128" s="9">
        <v>55.199999999999989</v>
      </c>
      <c r="T128" s="9">
        <f t="shared" si="33"/>
        <v>18.600000000000001</v>
      </c>
      <c r="U128" s="4">
        <f t="shared" ref="U128:U135" si="39">12*T128-S128-R128-Q128-P128-O128-F128</f>
        <v>57.000000000000028</v>
      </c>
      <c r="V128" s="9">
        <f t="shared" si="34"/>
        <v>12</v>
      </c>
      <c r="W128" s="9">
        <f t="shared" si="35"/>
        <v>8.9354838709677402</v>
      </c>
      <c r="X128" s="9">
        <v>16.2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 t="s">
        <v>176</v>
      </c>
      <c r="AG128" s="9">
        <f t="shared" si="38"/>
        <v>14.250000000000007</v>
      </c>
      <c r="AH128" s="9"/>
      <c r="AI128" s="9"/>
      <c r="AJ128" s="9"/>
      <c r="AK128" s="9"/>
      <c r="AL128" s="9"/>
      <c r="AM128" s="9"/>
      <c r="AN128" s="9"/>
      <c r="AO128" s="9"/>
      <c r="AP128" s="9"/>
      <c r="AQ128" s="9"/>
    </row>
    <row r="129" spans="1:43" x14ac:dyDescent="0.25">
      <c r="A129" s="9" t="s">
        <v>177</v>
      </c>
      <c r="B129" s="9" t="s">
        <v>41</v>
      </c>
      <c r="C129" s="9">
        <v>204</v>
      </c>
      <c r="D129" s="9"/>
      <c r="E129" s="9">
        <v>51</v>
      </c>
      <c r="F129" s="15">
        <f>78+F136</f>
        <v>153</v>
      </c>
      <c r="G129" s="6">
        <v>0.32500000000000001</v>
      </c>
      <c r="H129" s="9"/>
      <c r="I129" s="9" t="s">
        <v>37</v>
      </c>
      <c r="J129" s="9"/>
      <c r="K129" s="9">
        <v>51</v>
      </c>
      <c r="L129" s="9">
        <f t="shared" si="31"/>
        <v>0</v>
      </c>
      <c r="M129" s="9">
        <f t="shared" si="32"/>
        <v>51</v>
      </c>
      <c r="N129" s="9"/>
      <c r="O129" s="9"/>
      <c r="P129" s="9">
        <v>0</v>
      </c>
      <c r="Q129" s="9"/>
      <c r="R129" s="9"/>
      <c r="S129" s="9">
        <v>0</v>
      </c>
      <c r="T129" s="9">
        <f t="shared" si="33"/>
        <v>10.199999999999999</v>
      </c>
      <c r="U129" s="4"/>
      <c r="V129" s="9">
        <f t="shared" si="34"/>
        <v>15.000000000000002</v>
      </c>
      <c r="W129" s="9">
        <f t="shared" si="35"/>
        <v>15.000000000000002</v>
      </c>
      <c r="X129" s="9">
        <v>9.8000000000000007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 t="s">
        <v>176</v>
      </c>
      <c r="AG129" s="9">
        <f t="shared" si="38"/>
        <v>0</v>
      </c>
      <c r="AH129" s="9"/>
      <c r="AI129" s="9"/>
      <c r="AJ129" s="9"/>
      <c r="AK129" s="9"/>
      <c r="AL129" s="9"/>
      <c r="AM129" s="9"/>
      <c r="AN129" s="9"/>
      <c r="AO129" s="9"/>
      <c r="AP129" s="9"/>
      <c r="AQ129" s="9"/>
    </row>
    <row r="130" spans="1:43" x14ac:dyDescent="0.25">
      <c r="A130" s="9" t="s">
        <v>178</v>
      </c>
      <c r="B130" s="9" t="s">
        <v>41</v>
      </c>
      <c r="C130" s="9">
        <v>204</v>
      </c>
      <c r="D130" s="9"/>
      <c r="E130" s="9">
        <v>72</v>
      </c>
      <c r="F130" s="9">
        <v>132</v>
      </c>
      <c r="G130" s="6">
        <v>0.25</v>
      </c>
      <c r="H130" s="9"/>
      <c r="I130" s="9" t="s">
        <v>37</v>
      </c>
      <c r="J130" s="9"/>
      <c r="K130" s="9">
        <v>72</v>
      </c>
      <c r="L130" s="9">
        <f t="shared" si="31"/>
        <v>0</v>
      </c>
      <c r="M130" s="9">
        <f t="shared" si="32"/>
        <v>72</v>
      </c>
      <c r="N130" s="9"/>
      <c r="O130" s="9"/>
      <c r="P130" s="9">
        <v>0</v>
      </c>
      <c r="Q130" s="9"/>
      <c r="R130" s="9"/>
      <c r="S130" s="9">
        <v>7.1999999999999886</v>
      </c>
      <c r="T130" s="9">
        <f t="shared" si="33"/>
        <v>14.4</v>
      </c>
      <c r="U130" s="4">
        <f t="shared" si="39"/>
        <v>33.600000000000023</v>
      </c>
      <c r="V130" s="9">
        <f t="shared" si="34"/>
        <v>12</v>
      </c>
      <c r="W130" s="9">
        <f t="shared" si="35"/>
        <v>9.6666666666666661</v>
      </c>
      <c r="X130" s="9">
        <v>13.2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 t="s">
        <v>176</v>
      </c>
      <c r="AG130" s="9">
        <f t="shared" si="38"/>
        <v>8.4000000000000057</v>
      </c>
      <c r="AH130" s="9"/>
      <c r="AI130" s="9"/>
      <c r="AJ130" s="9"/>
      <c r="AK130" s="9"/>
      <c r="AL130" s="9"/>
      <c r="AM130" s="9"/>
      <c r="AN130" s="9"/>
      <c r="AO130" s="9"/>
      <c r="AP130" s="9"/>
      <c r="AQ130" s="9"/>
    </row>
    <row r="131" spans="1:43" x14ac:dyDescent="0.25">
      <c r="A131" s="9" t="s">
        <v>179</v>
      </c>
      <c r="B131" s="9" t="s">
        <v>41</v>
      </c>
      <c r="C131" s="9">
        <v>76</v>
      </c>
      <c r="D131" s="9">
        <v>264</v>
      </c>
      <c r="E131" s="9">
        <v>96</v>
      </c>
      <c r="F131" s="9">
        <v>205</v>
      </c>
      <c r="G131" s="6">
        <v>0.3</v>
      </c>
      <c r="H131" s="9">
        <v>40</v>
      </c>
      <c r="I131" s="9" t="s">
        <v>37</v>
      </c>
      <c r="J131" s="9"/>
      <c r="K131" s="9">
        <v>208</v>
      </c>
      <c r="L131" s="9">
        <f t="shared" si="31"/>
        <v>-112</v>
      </c>
      <c r="M131" s="9">
        <f t="shared" si="32"/>
        <v>96</v>
      </c>
      <c r="N131" s="9"/>
      <c r="O131" s="9"/>
      <c r="P131" s="9">
        <v>105.40600000000011</v>
      </c>
      <c r="Q131" s="9"/>
      <c r="R131" s="9"/>
      <c r="S131" s="9">
        <v>0</v>
      </c>
      <c r="T131" s="9">
        <f t="shared" si="33"/>
        <v>19.2</v>
      </c>
      <c r="U131" s="4"/>
      <c r="V131" s="9">
        <f t="shared" si="34"/>
        <v>16.166979166666675</v>
      </c>
      <c r="W131" s="9">
        <f t="shared" si="35"/>
        <v>16.166979166666675</v>
      </c>
      <c r="X131" s="9">
        <v>19</v>
      </c>
      <c r="Y131" s="9">
        <v>33.6</v>
      </c>
      <c r="Z131" s="9">
        <v>39.4</v>
      </c>
      <c r="AA131" s="9">
        <v>30.6</v>
      </c>
      <c r="AB131" s="9">
        <v>24.4</v>
      </c>
      <c r="AC131" s="9">
        <v>27</v>
      </c>
      <c r="AD131" s="9">
        <v>31.4</v>
      </c>
      <c r="AE131" s="9">
        <v>32.799999999999997</v>
      </c>
      <c r="AF131" s="9"/>
      <c r="AG131" s="9">
        <f t="shared" si="38"/>
        <v>0</v>
      </c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spans="1:43" x14ac:dyDescent="0.25">
      <c r="A132" s="9" t="s">
        <v>180</v>
      </c>
      <c r="B132" s="9" t="s">
        <v>41</v>
      </c>
      <c r="C132" s="9">
        <v>179</v>
      </c>
      <c r="D132" s="9">
        <v>79</v>
      </c>
      <c r="E132" s="9">
        <v>136</v>
      </c>
      <c r="F132" s="9">
        <v>84</v>
      </c>
      <c r="G132" s="6">
        <v>0.3</v>
      </c>
      <c r="H132" s="9">
        <v>40</v>
      </c>
      <c r="I132" s="9" t="s">
        <v>37</v>
      </c>
      <c r="J132" s="9"/>
      <c r="K132" s="9">
        <v>176</v>
      </c>
      <c r="L132" s="9">
        <f t="shared" si="31"/>
        <v>-40</v>
      </c>
      <c r="M132" s="9">
        <f t="shared" si="32"/>
        <v>136</v>
      </c>
      <c r="N132" s="9"/>
      <c r="O132" s="9"/>
      <c r="P132" s="9">
        <v>30.80000000000004</v>
      </c>
      <c r="Q132" s="9"/>
      <c r="R132" s="9"/>
      <c r="S132" s="9">
        <v>119.6</v>
      </c>
      <c r="T132" s="9">
        <f t="shared" si="33"/>
        <v>27.2</v>
      </c>
      <c r="U132" s="4">
        <f t="shared" si="39"/>
        <v>91.999999999999943</v>
      </c>
      <c r="V132" s="9">
        <f t="shared" si="34"/>
        <v>12</v>
      </c>
      <c r="W132" s="9">
        <f t="shared" si="35"/>
        <v>8.6176470588235308</v>
      </c>
      <c r="X132" s="9">
        <v>25.8</v>
      </c>
      <c r="Y132" s="9">
        <v>20.8</v>
      </c>
      <c r="Z132" s="9">
        <v>23.6</v>
      </c>
      <c r="AA132" s="9">
        <v>23.6</v>
      </c>
      <c r="AB132" s="9">
        <v>23</v>
      </c>
      <c r="AC132" s="9">
        <v>22</v>
      </c>
      <c r="AD132" s="9">
        <v>25.8</v>
      </c>
      <c r="AE132" s="9">
        <v>23.2</v>
      </c>
      <c r="AF132" s="9"/>
      <c r="AG132" s="9">
        <f t="shared" si="38"/>
        <v>27.599999999999984</v>
      </c>
      <c r="AH132" s="9"/>
      <c r="AI132" s="9"/>
      <c r="AJ132" s="9"/>
      <c r="AK132" s="9"/>
      <c r="AL132" s="9"/>
      <c r="AM132" s="9"/>
      <c r="AN132" s="9"/>
      <c r="AO132" s="9"/>
      <c r="AP132" s="9"/>
      <c r="AQ132" s="9"/>
    </row>
    <row r="133" spans="1:43" x14ac:dyDescent="0.25">
      <c r="A133" s="9" t="s">
        <v>181</v>
      </c>
      <c r="B133" s="9" t="s">
        <v>36</v>
      </c>
      <c r="C133" s="9">
        <v>51.55</v>
      </c>
      <c r="D133" s="9">
        <v>120.093</v>
      </c>
      <c r="E133" s="9">
        <v>37.753999999999998</v>
      </c>
      <c r="F133" s="9">
        <v>120.426</v>
      </c>
      <c r="G133" s="6">
        <v>1</v>
      </c>
      <c r="H133" s="9">
        <v>50</v>
      </c>
      <c r="I133" s="9" t="s">
        <v>37</v>
      </c>
      <c r="J133" s="9"/>
      <c r="K133" s="9">
        <v>65.2</v>
      </c>
      <c r="L133" s="9">
        <f t="shared" si="31"/>
        <v>-27.446000000000005</v>
      </c>
      <c r="M133" s="9">
        <f t="shared" si="32"/>
        <v>37.753999999999998</v>
      </c>
      <c r="N133" s="9"/>
      <c r="O133" s="9"/>
      <c r="P133" s="9">
        <v>34.629300000000022</v>
      </c>
      <c r="Q133" s="9"/>
      <c r="R133" s="9"/>
      <c r="S133" s="9">
        <v>0</v>
      </c>
      <c r="T133" s="9">
        <f t="shared" si="33"/>
        <v>7.5507999999999997</v>
      </c>
      <c r="U133" s="4"/>
      <c r="V133" s="9">
        <f t="shared" si="34"/>
        <v>20.534949939079304</v>
      </c>
      <c r="W133" s="9">
        <f t="shared" si="35"/>
        <v>20.534949939079304</v>
      </c>
      <c r="X133" s="9">
        <v>9.7211999999999996</v>
      </c>
      <c r="Y133" s="9">
        <v>14.6806</v>
      </c>
      <c r="Z133" s="9">
        <v>16.251000000000001</v>
      </c>
      <c r="AA133" s="9">
        <v>9.7181999999999995</v>
      </c>
      <c r="AB133" s="9">
        <v>8.9572000000000003</v>
      </c>
      <c r="AC133" s="9">
        <v>9.7802000000000007</v>
      </c>
      <c r="AD133" s="9">
        <v>11.72</v>
      </c>
      <c r="AE133" s="9">
        <v>12.3124</v>
      </c>
      <c r="AF133" s="9"/>
      <c r="AG133" s="9">
        <f t="shared" si="38"/>
        <v>0</v>
      </c>
      <c r="AH133" s="9"/>
      <c r="AI133" s="9"/>
      <c r="AJ133" s="9"/>
      <c r="AK133" s="9"/>
      <c r="AL133" s="9"/>
      <c r="AM133" s="9"/>
      <c r="AN133" s="9"/>
      <c r="AO133" s="9"/>
      <c r="AP133" s="9"/>
      <c r="AQ133" s="9"/>
    </row>
    <row r="134" spans="1:43" x14ac:dyDescent="0.25">
      <c r="A134" s="9" t="s">
        <v>182</v>
      </c>
      <c r="B134" s="9" t="s">
        <v>41</v>
      </c>
      <c r="C134" s="9">
        <v>61</v>
      </c>
      <c r="D134" s="9">
        <v>8</v>
      </c>
      <c r="E134" s="9">
        <v>46</v>
      </c>
      <c r="F134" s="9">
        <v>9</v>
      </c>
      <c r="G134" s="6">
        <v>0.3</v>
      </c>
      <c r="H134" s="9">
        <v>40</v>
      </c>
      <c r="I134" s="17" t="s">
        <v>73</v>
      </c>
      <c r="J134" s="9"/>
      <c r="K134" s="9">
        <v>73</v>
      </c>
      <c r="L134" s="9">
        <f t="shared" ref="L134:L136" si="40">E134-K134</f>
        <v>-27</v>
      </c>
      <c r="M134" s="9">
        <f t="shared" ref="M134:M136" si="41">E134-N134</f>
        <v>46</v>
      </c>
      <c r="N134" s="9"/>
      <c r="O134" s="9"/>
      <c r="P134" s="9">
        <v>0</v>
      </c>
      <c r="Q134" s="9"/>
      <c r="R134" s="9"/>
      <c r="S134" s="9">
        <v>20</v>
      </c>
      <c r="T134" s="9">
        <f t="shared" si="33"/>
        <v>9.1999999999999993</v>
      </c>
      <c r="U134" s="18">
        <v>30</v>
      </c>
      <c r="V134" s="9">
        <f t="shared" ref="V134:V136" si="42">(F134+O134+P134+Q134+R134+S134+U134)/T134</f>
        <v>6.4130434782608701</v>
      </c>
      <c r="W134" s="9">
        <f t="shared" si="35"/>
        <v>3.1521739130434785</v>
      </c>
      <c r="X134" s="9">
        <v>12</v>
      </c>
      <c r="Y134" s="9">
        <v>10.6</v>
      </c>
      <c r="Z134" s="9">
        <v>11.8</v>
      </c>
      <c r="AA134" s="9">
        <v>9</v>
      </c>
      <c r="AB134" s="9">
        <v>7.4</v>
      </c>
      <c r="AC134" s="9">
        <v>8.1999999999999993</v>
      </c>
      <c r="AD134" s="9">
        <v>10.4</v>
      </c>
      <c r="AE134" s="9">
        <v>9</v>
      </c>
      <c r="AF134" s="9"/>
      <c r="AG134" s="9">
        <f t="shared" si="38"/>
        <v>9</v>
      </c>
      <c r="AH134" s="9"/>
      <c r="AI134" s="9"/>
      <c r="AJ134" s="9"/>
      <c r="AK134" s="9"/>
      <c r="AL134" s="9"/>
      <c r="AM134" s="9"/>
      <c r="AN134" s="9"/>
      <c r="AO134" s="9"/>
      <c r="AP134" s="9"/>
      <c r="AQ134" s="9"/>
    </row>
    <row r="135" spans="1:43" x14ac:dyDescent="0.25">
      <c r="A135" s="9" t="s">
        <v>183</v>
      </c>
      <c r="B135" s="9" t="s">
        <v>41</v>
      </c>
      <c r="C135" s="9">
        <v>103</v>
      </c>
      <c r="D135" s="9">
        <v>47</v>
      </c>
      <c r="E135" s="9">
        <v>46</v>
      </c>
      <c r="F135" s="9">
        <v>85</v>
      </c>
      <c r="G135" s="6">
        <v>0.12</v>
      </c>
      <c r="H135" s="9">
        <v>45</v>
      </c>
      <c r="I135" s="9" t="s">
        <v>37</v>
      </c>
      <c r="J135" s="9"/>
      <c r="K135" s="9">
        <v>64</v>
      </c>
      <c r="L135" s="9">
        <f t="shared" si="40"/>
        <v>-18</v>
      </c>
      <c r="M135" s="9">
        <f t="shared" si="41"/>
        <v>46</v>
      </c>
      <c r="N135" s="9"/>
      <c r="O135" s="9"/>
      <c r="P135" s="9">
        <v>0</v>
      </c>
      <c r="Q135" s="9"/>
      <c r="R135" s="9"/>
      <c r="S135" s="9">
        <v>0</v>
      </c>
      <c r="T135" s="9">
        <f t="shared" si="33"/>
        <v>9.1999999999999993</v>
      </c>
      <c r="U135" s="4">
        <f t="shared" si="39"/>
        <v>25.399999999999991</v>
      </c>
      <c r="V135" s="9">
        <f t="shared" si="42"/>
        <v>12</v>
      </c>
      <c r="W135" s="9">
        <f t="shared" si="35"/>
        <v>9.2391304347826093</v>
      </c>
      <c r="X135" s="9">
        <v>6.6</v>
      </c>
      <c r="Y135" s="9">
        <v>6</v>
      </c>
      <c r="Z135" s="9">
        <v>11.4</v>
      </c>
      <c r="AA135" s="9">
        <v>10.4</v>
      </c>
      <c r="AB135" s="9">
        <v>2.2000000000000002</v>
      </c>
      <c r="AC135" s="9">
        <v>3.6</v>
      </c>
      <c r="AD135" s="9">
        <v>6.6</v>
      </c>
      <c r="AE135" s="9">
        <v>11.8</v>
      </c>
      <c r="AF135" s="9"/>
      <c r="AG135" s="9">
        <f t="shared" si="38"/>
        <v>3.0479999999999987</v>
      </c>
      <c r="AH135" s="9"/>
      <c r="AI135" s="9"/>
      <c r="AJ135" s="9"/>
      <c r="AK135" s="9"/>
      <c r="AL135" s="9"/>
      <c r="AM135" s="9"/>
      <c r="AN135" s="9"/>
      <c r="AO135" s="9"/>
      <c r="AP135" s="9"/>
      <c r="AQ135" s="9"/>
    </row>
    <row r="136" spans="1:43" x14ac:dyDescent="0.25">
      <c r="A136" s="10" t="s">
        <v>184</v>
      </c>
      <c r="B136" s="10" t="s">
        <v>41</v>
      </c>
      <c r="C136" s="10"/>
      <c r="D136" s="10">
        <v>75</v>
      </c>
      <c r="E136" s="10"/>
      <c r="F136" s="15">
        <v>75</v>
      </c>
      <c r="G136" s="11">
        <v>0</v>
      </c>
      <c r="H136" s="10"/>
      <c r="I136" s="10" t="s">
        <v>185</v>
      </c>
      <c r="J136" s="10" t="s">
        <v>177</v>
      </c>
      <c r="K136" s="10"/>
      <c r="L136" s="10">
        <f t="shared" si="40"/>
        <v>0</v>
      </c>
      <c r="M136" s="10">
        <f t="shared" si="41"/>
        <v>0</v>
      </c>
      <c r="N136" s="10"/>
      <c r="O136" s="10"/>
      <c r="P136" s="10"/>
      <c r="Q136" s="10"/>
      <c r="R136" s="10"/>
      <c r="S136" s="10"/>
      <c r="T136" s="10">
        <f t="shared" si="33"/>
        <v>0</v>
      </c>
      <c r="U136" s="12"/>
      <c r="V136" s="10" t="e">
        <f t="shared" si="42"/>
        <v>#DIV/0!</v>
      </c>
      <c r="W136" s="10" t="e">
        <f t="shared" si="35"/>
        <v>#DIV/0!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/>
      <c r="AG136" s="10"/>
      <c r="AH136" s="9"/>
      <c r="AI136" s="9"/>
      <c r="AJ136" s="9"/>
      <c r="AK136" s="9"/>
      <c r="AL136" s="9"/>
      <c r="AM136" s="9"/>
      <c r="AN136" s="9"/>
      <c r="AO136" s="9"/>
      <c r="AP136" s="9"/>
      <c r="AQ136" s="9"/>
    </row>
    <row r="137" spans="1:43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</row>
    <row r="138" spans="1:43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</row>
    <row r="139" spans="1:43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</row>
    <row r="140" spans="1:43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</row>
    <row r="141" spans="1:43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</row>
    <row r="142" spans="1:43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</row>
    <row r="143" spans="1:43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</row>
    <row r="144" spans="1:43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</row>
    <row r="145" spans="1:43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</row>
    <row r="146" spans="1:43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</row>
    <row r="147" spans="1:43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</row>
    <row r="148" spans="1:43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</row>
    <row r="149" spans="1:43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</row>
    <row r="150" spans="1:43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</row>
    <row r="151" spans="1:43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</row>
    <row r="152" spans="1:43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</row>
    <row r="153" spans="1:43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</row>
    <row r="154" spans="1:43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</row>
    <row r="155" spans="1:43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</row>
    <row r="156" spans="1:43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</row>
    <row r="157" spans="1:43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</row>
    <row r="158" spans="1:43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</row>
    <row r="159" spans="1:43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</row>
    <row r="160" spans="1:43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</row>
    <row r="161" spans="1:43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</row>
    <row r="162" spans="1:43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</row>
    <row r="163" spans="1:43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</row>
    <row r="164" spans="1:43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</row>
    <row r="165" spans="1:43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</row>
    <row r="166" spans="1:43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</row>
    <row r="167" spans="1:43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</row>
    <row r="168" spans="1:43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</row>
    <row r="169" spans="1:43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</row>
    <row r="170" spans="1:43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</row>
    <row r="171" spans="1:43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</row>
    <row r="172" spans="1:43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</row>
    <row r="173" spans="1:43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</row>
    <row r="174" spans="1:43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</row>
    <row r="175" spans="1:43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</row>
    <row r="176" spans="1:43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</row>
    <row r="177" spans="1:43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</row>
    <row r="178" spans="1:43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</row>
    <row r="179" spans="1:43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</row>
    <row r="180" spans="1:43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</row>
    <row r="181" spans="1:43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</row>
    <row r="182" spans="1:43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</row>
    <row r="183" spans="1:43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</row>
    <row r="184" spans="1:43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</row>
    <row r="185" spans="1:43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</row>
    <row r="186" spans="1:43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</row>
    <row r="187" spans="1:43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</row>
    <row r="188" spans="1:43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</row>
    <row r="189" spans="1:43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</row>
    <row r="190" spans="1:43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</row>
    <row r="191" spans="1:43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</row>
    <row r="192" spans="1:43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</row>
    <row r="193" spans="1:43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</row>
    <row r="194" spans="1:43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</row>
    <row r="195" spans="1:43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</row>
    <row r="196" spans="1:43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</row>
    <row r="197" spans="1:43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</row>
    <row r="198" spans="1:43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</row>
    <row r="199" spans="1:43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</row>
    <row r="200" spans="1:43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</row>
    <row r="201" spans="1:43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</row>
    <row r="202" spans="1:43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</row>
    <row r="203" spans="1:43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</row>
    <row r="204" spans="1:43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</row>
    <row r="205" spans="1:43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</row>
    <row r="206" spans="1:43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</row>
    <row r="207" spans="1:43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</row>
    <row r="208" spans="1:43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</row>
    <row r="209" spans="1:43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</row>
    <row r="210" spans="1:43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  <row r="211" spans="1:43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</row>
    <row r="212" spans="1:43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</row>
    <row r="213" spans="1:43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</row>
    <row r="214" spans="1:43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</row>
    <row r="215" spans="1:43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</row>
    <row r="216" spans="1:43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</row>
    <row r="217" spans="1:43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</row>
    <row r="218" spans="1:43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</row>
    <row r="219" spans="1:43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</row>
    <row r="220" spans="1:43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</row>
    <row r="221" spans="1:43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</row>
    <row r="222" spans="1:43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</row>
    <row r="223" spans="1:43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</row>
    <row r="224" spans="1:43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</row>
    <row r="225" spans="1:43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</row>
    <row r="226" spans="1:43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</row>
    <row r="227" spans="1:43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</row>
    <row r="228" spans="1:43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</row>
    <row r="229" spans="1:43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</row>
    <row r="230" spans="1:43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</row>
    <row r="231" spans="1:43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</row>
    <row r="232" spans="1:43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</row>
    <row r="233" spans="1:43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</row>
    <row r="234" spans="1:43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</row>
    <row r="235" spans="1:43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</row>
    <row r="236" spans="1:43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</row>
    <row r="237" spans="1:43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</row>
    <row r="238" spans="1:43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</row>
    <row r="239" spans="1:43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</row>
    <row r="240" spans="1:43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</row>
    <row r="241" spans="1:43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</row>
    <row r="242" spans="1:43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</row>
    <row r="243" spans="1:43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</row>
    <row r="244" spans="1:43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</row>
    <row r="245" spans="1:43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</row>
    <row r="246" spans="1:43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</row>
    <row r="247" spans="1:43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</row>
    <row r="248" spans="1:43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</row>
    <row r="249" spans="1:43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</row>
    <row r="250" spans="1:43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</row>
    <row r="251" spans="1:43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</row>
    <row r="252" spans="1:43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</row>
    <row r="253" spans="1:43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</row>
    <row r="254" spans="1:43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</row>
    <row r="255" spans="1:43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</row>
    <row r="256" spans="1:43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</row>
    <row r="257" spans="1:43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</row>
    <row r="258" spans="1:43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 spans="1:43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</row>
    <row r="260" spans="1:43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</row>
    <row r="261" spans="1:43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</row>
    <row r="262" spans="1:43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</row>
    <row r="263" spans="1:43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</row>
    <row r="264" spans="1:43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</row>
    <row r="265" spans="1:43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</row>
    <row r="266" spans="1:43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</row>
    <row r="267" spans="1:43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</row>
    <row r="268" spans="1:43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 spans="1:43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</row>
    <row r="270" spans="1:43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</row>
    <row r="271" spans="1:43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</row>
    <row r="272" spans="1:43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</row>
    <row r="273" spans="1:43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</row>
    <row r="274" spans="1:43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</row>
    <row r="275" spans="1:43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</row>
    <row r="276" spans="1:43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</row>
    <row r="277" spans="1:43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</row>
    <row r="278" spans="1:43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</row>
    <row r="279" spans="1:43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</row>
    <row r="280" spans="1:43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</row>
    <row r="281" spans="1:43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</row>
    <row r="282" spans="1:43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</row>
    <row r="283" spans="1:43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</row>
    <row r="284" spans="1:43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</row>
    <row r="285" spans="1:43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</row>
    <row r="286" spans="1:43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</row>
    <row r="287" spans="1:43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</row>
    <row r="288" spans="1:43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</row>
    <row r="289" spans="1:43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</row>
    <row r="290" spans="1:43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</row>
    <row r="291" spans="1:43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</row>
    <row r="292" spans="1:43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</row>
    <row r="293" spans="1:43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</row>
    <row r="294" spans="1:43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</row>
    <row r="295" spans="1:43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</row>
    <row r="296" spans="1:43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</row>
    <row r="297" spans="1:43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</row>
    <row r="298" spans="1:43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</row>
    <row r="299" spans="1:43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</row>
    <row r="300" spans="1:43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</row>
    <row r="301" spans="1:43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</row>
    <row r="302" spans="1:43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</row>
    <row r="303" spans="1:43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</row>
    <row r="304" spans="1:43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</row>
    <row r="305" spans="1:43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</row>
    <row r="306" spans="1:43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</row>
    <row r="307" spans="1:43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</row>
    <row r="308" spans="1:43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</row>
    <row r="309" spans="1:43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</row>
    <row r="310" spans="1:43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</row>
    <row r="311" spans="1:43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</row>
    <row r="312" spans="1:43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</row>
    <row r="313" spans="1:43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</row>
    <row r="314" spans="1:43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</row>
    <row r="315" spans="1:43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</row>
    <row r="316" spans="1:43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</row>
    <row r="317" spans="1:43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</row>
    <row r="318" spans="1:43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</row>
    <row r="319" spans="1:43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</row>
    <row r="320" spans="1:43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</row>
    <row r="321" spans="1:43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</row>
    <row r="322" spans="1:43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</row>
    <row r="323" spans="1:43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</row>
    <row r="324" spans="1:43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</row>
    <row r="325" spans="1:43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</row>
    <row r="326" spans="1:43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</row>
    <row r="327" spans="1:43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</row>
    <row r="328" spans="1:43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</row>
    <row r="329" spans="1:43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</row>
    <row r="330" spans="1:43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</row>
    <row r="331" spans="1:43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</row>
    <row r="332" spans="1:43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</row>
    <row r="333" spans="1:43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</row>
    <row r="334" spans="1:43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</row>
    <row r="335" spans="1:43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</row>
    <row r="336" spans="1:43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</row>
    <row r="337" spans="1:43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</row>
    <row r="338" spans="1:43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</row>
    <row r="339" spans="1:43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</row>
    <row r="340" spans="1:43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</row>
    <row r="341" spans="1:43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</row>
    <row r="342" spans="1:43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</row>
    <row r="343" spans="1:43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</row>
    <row r="344" spans="1:43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</row>
    <row r="345" spans="1:43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</row>
    <row r="346" spans="1:43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</row>
    <row r="347" spans="1:43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</row>
    <row r="348" spans="1:43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</row>
    <row r="349" spans="1:43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</row>
    <row r="350" spans="1:43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</row>
    <row r="351" spans="1:43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</row>
    <row r="352" spans="1:43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</row>
    <row r="353" spans="1:43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</row>
    <row r="354" spans="1:43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</row>
    <row r="355" spans="1:43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</row>
    <row r="356" spans="1:43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</row>
    <row r="357" spans="1:43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</row>
    <row r="358" spans="1:43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</row>
    <row r="359" spans="1:43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</row>
    <row r="360" spans="1:43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</row>
    <row r="361" spans="1:43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</row>
    <row r="362" spans="1:43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 spans="1:43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</row>
    <row r="364" spans="1:43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</row>
    <row r="365" spans="1:43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</row>
    <row r="366" spans="1:43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</row>
    <row r="367" spans="1:43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</row>
    <row r="368" spans="1:43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 spans="1:43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</row>
    <row r="370" spans="1:43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</row>
    <row r="371" spans="1:43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</row>
    <row r="372" spans="1:43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</row>
    <row r="373" spans="1:43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</row>
    <row r="374" spans="1:43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</row>
    <row r="375" spans="1:43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</row>
    <row r="376" spans="1:43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</row>
    <row r="377" spans="1:43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</row>
    <row r="378" spans="1:43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</row>
    <row r="379" spans="1:43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</row>
    <row r="380" spans="1:43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</row>
    <row r="381" spans="1:43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</row>
    <row r="382" spans="1:43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</row>
    <row r="383" spans="1:43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</row>
    <row r="384" spans="1:43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</row>
    <row r="385" spans="1:43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</row>
    <row r="386" spans="1:43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</row>
    <row r="387" spans="1:43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</row>
    <row r="388" spans="1:43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</row>
    <row r="389" spans="1:43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</row>
    <row r="390" spans="1:43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</row>
    <row r="391" spans="1:43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</row>
    <row r="392" spans="1:43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</row>
    <row r="393" spans="1:43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</row>
    <row r="394" spans="1:43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</row>
    <row r="395" spans="1:43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</row>
    <row r="396" spans="1:43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</row>
    <row r="397" spans="1:43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</row>
    <row r="398" spans="1:43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</row>
    <row r="399" spans="1:43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</row>
    <row r="400" spans="1:43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</row>
    <row r="401" spans="1:43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</row>
    <row r="402" spans="1:43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</row>
    <row r="403" spans="1:43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</row>
    <row r="404" spans="1:43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</row>
    <row r="405" spans="1:43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</row>
    <row r="406" spans="1:43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</row>
    <row r="407" spans="1:43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</row>
    <row r="408" spans="1:43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</row>
    <row r="409" spans="1:43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</row>
    <row r="410" spans="1:43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</row>
    <row r="411" spans="1:43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</row>
    <row r="412" spans="1:43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</row>
    <row r="413" spans="1:43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</row>
    <row r="414" spans="1:43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</row>
    <row r="415" spans="1:43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</row>
    <row r="416" spans="1:43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</row>
    <row r="417" spans="1:43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</row>
    <row r="418" spans="1:43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</row>
    <row r="419" spans="1:43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</row>
    <row r="420" spans="1:43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</row>
    <row r="421" spans="1:43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</row>
    <row r="422" spans="1:43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</row>
    <row r="423" spans="1:43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</row>
    <row r="424" spans="1:43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</row>
    <row r="425" spans="1:43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</row>
    <row r="426" spans="1:43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</row>
    <row r="427" spans="1:43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</row>
    <row r="428" spans="1:43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</row>
    <row r="429" spans="1:43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</row>
    <row r="430" spans="1:43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</row>
    <row r="431" spans="1:43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</row>
    <row r="432" spans="1:43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</row>
    <row r="433" spans="1:43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</row>
    <row r="434" spans="1:43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</row>
    <row r="435" spans="1:43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</row>
    <row r="436" spans="1:43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</row>
    <row r="437" spans="1:43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</row>
    <row r="438" spans="1:43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</row>
    <row r="439" spans="1:43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</row>
    <row r="440" spans="1:43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</row>
    <row r="441" spans="1:43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</row>
    <row r="442" spans="1:43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</row>
    <row r="443" spans="1:43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</row>
    <row r="444" spans="1:43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</row>
    <row r="445" spans="1:43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</row>
    <row r="446" spans="1:43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</row>
    <row r="447" spans="1:43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</row>
    <row r="448" spans="1:43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</row>
    <row r="449" spans="1:43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</row>
    <row r="450" spans="1:43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</row>
    <row r="451" spans="1:43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</row>
    <row r="452" spans="1:43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</row>
    <row r="453" spans="1:43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</row>
    <row r="454" spans="1:43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</row>
    <row r="455" spans="1:43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</row>
    <row r="456" spans="1:43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</row>
    <row r="457" spans="1:43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</row>
    <row r="458" spans="1:43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</row>
    <row r="459" spans="1:43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</row>
    <row r="460" spans="1:43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</row>
    <row r="461" spans="1:43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</row>
    <row r="462" spans="1:43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</row>
    <row r="463" spans="1:43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</row>
    <row r="464" spans="1:43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</row>
    <row r="465" spans="1:43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</row>
    <row r="466" spans="1:43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</row>
    <row r="467" spans="1:43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</row>
    <row r="468" spans="1:43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</row>
    <row r="469" spans="1:43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</row>
    <row r="470" spans="1:43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</row>
    <row r="471" spans="1:43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</row>
    <row r="472" spans="1:43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</row>
    <row r="473" spans="1:43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</row>
    <row r="474" spans="1:43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</row>
    <row r="475" spans="1:43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</row>
    <row r="476" spans="1:43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</row>
    <row r="477" spans="1:43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</row>
    <row r="478" spans="1:43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</row>
    <row r="479" spans="1:43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</row>
    <row r="480" spans="1:43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</row>
    <row r="481" spans="1:43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</row>
    <row r="482" spans="1:43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</row>
    <row r="483" spans="1:43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</row>
    <row r="484" spans="1:43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</row>
    <row r="485" spans="1:43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</row>
    <row r="486" spans="1:43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</row>
    <row r="487" spans="1:43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</row>
    <row r="488" spans="1:43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</row>
    <row r="489" spans="1:43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</row>
    <row r="490" spans="1:43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</row>
    <row r="491" spans="1:43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</row>
    <row r="492" spans="1:43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</row>
    <row r="493" spans="1:43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</row>
    <row r="494" spans="1:43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</row>
    <row r="495" spans="1:43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</row>
    <row r="496" spans="1:43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</row>
    <row r="497" spans="1:43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</row>
    <row r="498" spans="1:43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</row>
    <row r="499" spans="1:43" x14ac:dyDescent="0.25">
      <c r="A499" s="9"/>
      <c r="B499" s="9"/>
      <c r="C499" s="9"/>
      <c r="D499" s="9"/>
      <c r="E499" s="9"/>
      <c r="F499" s="9"/>
      <c r="G499" s="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</row>
    <row r="500" spans="1:43" x14ac:dyDescent="0.25">
      <c r="A500" s="9"/>
      <c r="B500" s="9"/>
      <c r="C500" s="9"/>
      <c r="D500" s="9"/>
      <c r="E500" s="9"/>
      <c r="F500" s="9"/>
      <c r="G500" s="6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</row>
  </sheetData>
  <autoFilter ref="A3:AG1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2026-08-06T11:07:24Z</dcterms:created>
  <dcterms:modified xsi:type="dcterms:W3CDTF">2026-08-06T12:24:37Z</dcterms:modified>
</cp:coreProperties>
</file>