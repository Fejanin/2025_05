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9DBB7CAA-375B-4B80-9B91-BD0D847537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Sheet!$A$3:$V$127</definedName>
  </definedNames>
  <calcPr calcId="191029"/>
</workbook>
</file>

<file path=xl/calcChain.xml><?xml version="1.0" encoding="utf-8"?>
<calcChain xmlns="http://schemas.openxmlformats.org/spreadsheetml/2006/main">
  <c r="V108" i="1" l="1"/>
  <c r="V107" i="1"/>
  <c r="V90" i="1"/>
  <c r="V79" i="1"/>
  <c r="V40" i="1"/>
  <c r="V38" i="1"/>
  <c r="V37" i="1"/>
  <c r="P127" i="1"/>
  <c r="S127" i="1" s="1"/>
  <c r="L127" i="1"/>
  <c r="P126" i="1"/>
  <c r="S126" i="1" s="1"/>
  <c r="L126" i="1"/>
  <c r="P125" i="1"/>
  <c r="L125" i="1"/>
  <c r="P124" i="1"/>
  <c r="S124" i="1" s="1"/>
  <c r="L124" i="1"/>
  <c r="P123" i="1"/>
  <c r="S123" i="1" s="1"/>
  <c r="L123" i="1"/>
  <c r="P122" i="1"/>
  <c r="S122" i="1" s="1"/>
  <c r="L122" i="1"/>
  <c r="P121" i="1"/>
  <c r="S121" i="1" s="1"/>
  <c r="L121" i="1"/>
  <c r="P120" i="1"/>
  <c r="S120" i="1" s="1"/>
  <c r="L120" i="1"/>
  <c r="P119" i="1"/>
  <c r="S119" i="1" s="1"/>
  <c r="L119" i="1"/>
  <c r="P118" i="1"/>
  <c r="L118" i="1"/>
  <c r="P117" i="1"/>
  <c r="Q117" i="1" s="1"/>
  <c r="L117" i="1"/>
  <c r="P116" i="1"/>
  <c r="S116" i="1" s="1"/>
  <c r="L116" i="1"/>
  <c r="P115" i="1"/>
  <c r="V115" i="1" s="1"/>
  <c r="L115" i="1"/>
  <c r="P114" i="1"/>
  <c r="V114" i="1" s="1"/>
  <c r="L114" i="1"/>
  <c r="P113" i="1"/>
  <c r="S113" i="1" s="1"/>
  <c r="L113" i="1"/>
  <c r="P112" i="1"/>
  <c r="S112" i="1" s="1"/>
  <c r="L112" i="1"/>
  <c r="P111" i="1"/>
  <c r="S111" i="1" s="1"/>
  <c r="L111" i="1"/>
  <c r="P110" i="1"/>
  <c r="V110" i="1" s="1"/>
  <c r="L110" i="1"/>
  <c r="P109" i="1"/>
  <c r="S109" i="1" s="1"/>
  <c r="L109" i="1"/>
  <c r="P108" i="1"/>
  <c r="S108" i="1" s="1"/>
  <c r="L108" i="1"/>
  <c r="P107" i="1"/>
  <c r="S107" i="1" s="1"/>
  <c r="L107" i="1"/>
  <c r="P106" i="1"/>
  <c r="S106" i="1" s="1"/>
  <c r="L106" i="1"/>
  <c r="P105" i="1"/>
  <c r="R105" i="1" s="1"/>
  <c r="L105" i="1"/>
  <c r="P104" i="1"/>
  <c r="S104" i="1" s="1"/>
  <c r="L104" i="1"/>
  <c r="P103" i="1"/>
  <c r="S103" i="1" s="1"/>
  <c r="L103" i="1"/>
  <c r="P102" i="1"/>
  <c r="V102" i="1" s="1"/>
  <c r="L102" i="1"/>
  <c r="P101" i="1"/>
  <c r="L101" i="1"/>
  <c r="P100" i="1"/>
  <c r="S100" i="1" s="1"/>
  <c r="L100" i="1"/>
  <c r="P99" i="1"/>
  <c r="S99" i="1" s="1"/>
  <c r="L99" i="1"/>
  <c r="P98" i="1"/>
  <c r="S98" i="1" s="1"/>
  <c r="L98" i="1"/>
  <c r="P97" i="1"/>
  <c r="S97" i="1" s="1"/>
  <c r="L97" i="1"/>
  <c r="P96" i="1"/>
  <c r="S96" i="1" s="1"/>
  <c r="L96" i="1"/>
  <c r="P95" i="1"/>
  <c r="S95" i="1" s="1"/>
  <c r="L95" i="1"/>
  <c r="P94" i="1"/>
  <c r="S94" i="1" s="1"/>
  <c r="L94" i="1"/>
  <c r="P93" i="1"/>
  <c r="S93" i="1" s="1"/>
  <c r="L93" i="1"/>
  <c r="P92" i="1"/>
  <c r="V92" i="1" s="1"/>
  <c r="L92" i="1"/>
  <c r="P91" i="1"/>
  <c r="S91" i="1" s="1"/>
  <c r="L91" i="1"/>
  <c r="P90" i="1"/>
  <c r="S90" i="1" s="1"/>
  <c r="L90" i="1"/>
  <c r="P89" i="1"/>
  <c r="R89" i="1" s="1"/>
  <c r="L89" i="1"/>
  <c r="P88" i="1"/>
  <c r="L88" i="1"/>
  <c r="P87" i="1"/>
  <c r="S87" i="1" s="1"/>
  <c r="L87" i="1"/>
  <c r="P86" i="1"/>
  <c r="V86" i="1" s="1"/>
  <c r="L86" i="1"/>
  <c r="P85" i="1"/>
  <c r="S85" i="1" s="1"/>
  <c r="L85" i="1"/>
  <c r="P84" i="1"/>
  <c r="S84" i="1" s="1"/>
  <c r="L84" i="1"/>
  <c r="P83" i="1"/>
  <c r="S83" i="1" s="1"/>
  <c r="L83" i="1"/>
  <c r="P82" i="1"/>
  <c r="S82" i="1" s="1"/>
  <c r="L82" i="1"/>
  <c r="P81" i="1"/>
  <c r="R81" i="1" s="1"/>
  <c r="L81" i="1"/>
  <c r="P80" i="1"/>
  <c r="S80" i="1" s="1"/>
  <c r="L80" i="1"/>
  <c r="P79" i="1"/>
  <c r="S79" i="1" s="1"/>
  <c r="L79" i="1"/>
  <c r="P78" i="1"/>
  <c r="S78" i="1" s="1"/>
  <c r="L78" i="1"/>
  <c r="P77" i="1"/>
  <c r="S77" i="1" s="1"/>
  <c r="L77" i="1"/>
  <c r="P76" i="1"/>
  <c r="S76" i="1" s="1"/>
  <c r="L76" i="1"/>
  <c r="P75" i="1"/>
  <c r="L75" i="1"/>
  <c r="P74" i="1"/>
  <c r="S74" i="1" s="1"/>
  <c r="L74" i="1"/>
  <c r="P73" i="1"/>
  <c r="L73" i="1"/>
  <c r="P72" i="1"/>
  <c r="S72" i="1" s="1"/>
  <c r="L72" i="1"/>
  <c r="P71" i="1"/>
  <c r="S71" i="1" s="1"/>
  <c r="L71" i="1"/>
  <c r="P70" i="1"/>
  <c r="V70" i="1" s="1"/>
  <c r="L70" i="1"/>
  <c r="P69" i="1"/>
  <c r="L69" i="1"/>
  <c r="P68" i="1"/>
  <c r="R68" i="1" s="1"/>
  <c r="L68" i="1"/>
  <c r="P67" i="1"/>
  <c r="S67" i="1" s="1"/>
  <c r="L67" i="1"/>
  <c r="P66" i="1"/>
  <c r="S66" i="1" s="1"/>
  <c r="L66" i="1"/>
  <c r="P65" i="1"/>
  <c r="V65" i="1" s="1"/>
  <c r="L65" i="1"/>
  <c r="P64" i="1"/>
  <c r="V64" i="1" s="1"/>
  <c r="L64" i="1"/>
  <c r="P63" i="1"/>
  <c r="S63" i="1" s="1"/>
  <c r="L63" i="1"/>
  <c r="P62" i="1"/>
  <c r="S62" i="1" s="1"/>
  <c r="L62" i="1"/>
  <c r="P61" i="1"/>
  <c r="S61" i="1" s="1"/>
  <c r="L61" i="1"/>
  <c r="P60" i="1"/>
  <c r="V60" i="1" s="1"/>
  <c r="L60" i="1"/>
  <c r="P59" i="1"/>
  <c r="S59" i="1" s="1"/>
  <c r="L59" i="1"/>
  <c r="P58" i="1"/>
  <c r="S58" i="1" s="1"/>
  <c r="L58" i="1"/>
  <c r="P57" i="1"/>
  <c r="S57" i="1" s="1"/>
  <c r="L57" i="1"/>
  <c r="P56" i="1"/>
  <c r="S56" i="1" s="1"/>
  <c r="L56" i="1"/>
  <c r="F55" i="1"/>
  <c r="E55" i="1"/>
  <c r="P55" i="1" s="1"/>
  <c r="V55" i="1" s="1"/>
  <c r="P54" i="1"/>
  <c r="S54" i="1" s="1"/>
  <c r="L54" i="1"/>
  <c r="P53" i="1"/>
  <c r="S53" i="1" s="1"/>
  <c r="L53" i="1"/>
  <c r="P52" i="1"/>
  <c r="S52" i="1" s="1"/>
  <c r="L52" i="1"/>
  <c r="P51" i="1"/>
  <c r="L51" i="1"/>
  <c r="P50" i="1"/>
  <c r="S50" i="1" s="1"/>
  <c r="L50" i="1"/>
  <c r="P49" i="1"/>
  <c r="S49" i="1" s="1"/>
  <c r="L49" i="1"/>
  <c r="P48" i="1"/>
  <c r="S48" i="1" s="1"/>
  <c r="L48" i="1"/>
  <c r="P47" i="1"/>
  <c r="S47" i="1" s="1"/>
  <c r="L47" i="1"/>
  <c r="P46" i="1"/>
  <c r="S46" i="1" s="1"/>
  <c r="L46" i="1"/>
  <c r="P45" i="1"/>
  <c r="S45" i="1" s="1"/>
  <c r="L45" i="1"/>
  <c r="P44" i="1"/>
  <c r="V44" i="1" s="1"/>
  <c r="L44" i="1"/>
  <c r="P43" i="1"/>
  <c r="S43" i="1" s="1"/>
  <c r="L43" i="1"/>
  <c r="P42" i="1"/>
  <c r="L42" i="1"/>
  <c r="P41" i="1"/>
  <c r="S41" i="1" s="1"/>
  <c r="L41" i="1"/>
  <c r="P40" i="1"/>
  <c r="S40" i="1" s="1"/>
  <c r="L40" i="1"/>
  <c r="P39" i="1"/>
  <c r="S39" i="1" s="1"/>
  <c r="L39" i="1"/>
  <c r="P38" i="1"/>
  <c r="S38" i="1" s="1"/>
  <c r="L38" i="1"/>
  <c r="P37" i="1"/>
  <c r="S37" i="1" s="1"/>
  <c r="L37" i="1"/>
  <c r="P36" i="1"/>
  <c r="S36" i="1" s="1"/>
  <c r="L36" i="1"/>
  <c r="P35" i="1"/>
  <c r="S35" i="1" s="1"/>
  <c r="L35" i="1"/>
  <c r="P34" i="1"/>
  <c r="S34" i="1" s="1"/>
  <c r="L34" i="1"/>
  <c r="P33" i="1"/>
  <c r="S33" i="1" s="1"/>
  <c r="L33" i="1"/>
  <c r="P32" i="1"/>
  <c r="S32" i="1" s="1"/>
  <c r="L32" i="1"/>
  <c r="P31" i="1"/>
  <c r="L31" i="1"/>
  <c r="P30" i="1"/>
  <c r="S30" i="1" s="1"/>
  <c r="L30" i="1"/>
  <c r="P29" i="1"/>
  <c r="S29" i="1" s="1"/>
  <c r="L29" i="1"/>
  <c r="P28" i="1"/>
  <c r="S28" i="1" s="1"/>
  <c r="L28" i="1"/>
  <c r="P27" i="1"/>
  <c r="S27" i="1" s="1"/>
  <c r="L27" i="1"/>
  <c r="P26" i="1"/>
  <c r="V26" i="1" s="1"/>
  <c r="L26" i="1"/>
  <c r="P25" i="1"/>
  <c r="R25" i="1" s="1"/>
  <c r="L25" i="1"/>
  <c r="P24" i="1"/>
  <c r="L24" i="1"/>
  <c r="P23" i="1"/>
  <c r="L23" i="1"/>
  <c r="P22" i="1"/>
  <c r="S22" i="1" s="1"/>
  <c r="L22" i="1"/>
  <c r="P21" i="1"/>
  <c r="S21" i="1" s="1"/>
  <c r="L21" i="1"/>
  <c r="P20" i="1"/>
  <c r="S20" i="1" s="1"/>
  <c r="L20" i="1"/>
  <c r="P19" i="1"/>
  <c r="S19" i="1" s="1"/>
  <c r="L19" i="1"/>
  <c r="P18" i="1"/>
  <c r="V18" i="1" s="1"/>
  <c r="L18" i="1"/>
  <c r="P17" i="1"/>
  <c r="Q17" i="1" s="1"/>
  <c r="V17" i="1" s="1"/>
  <c r="L17" i="1"/>
  <c r="P16" i="1"/>
  <c r="S16" i="1" s="1"/>
  <c r="L16" i="1"/>
  <c r="P15" i="1"/>
  <c r="S15" i="1" s="1"/>
  <c r="L15" i="1"/>
  <c r="P14" i="1"/>
  <c r="V14" i="1" s="1"/>
  <c r="L14" i="1"/>
  <c r="P13" i="1"/>
  <c r="S13" i="1" s="1"/>
  <c r="L13" i="1"/>
  <c r="P12" i="1"/>
  <c r="S12" i="1" s="1"/>
  <c r="L12" i="1"/>
  <c r="P11" i="1"/>
  <c r="S11" i="1" s="1"/>
  <c r="L11" i="1"/>
  <c r="P10" i="1"/>
  <c r="S10" i="1" s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T5" i="1"/>
  <c r="O5" i="1"/>
  <c r="N5" i="1"/>
  <c r="M5" i="1"/>
  <c r="K5" i="1"/>
  <c r="F5" i="1"/>
  <c r="Q118" i="1" l="1"/>
  <c r="V118" i="1" s="1"/>
  <c r="Q88" i="1"/>
  <c r="V88" i="1" s="1"/>
  <c r="S117" i="1"/>
  <c r="V95" i="1"/>
  <c r="V116" i="1"/>
  <c r="V117" i="1"/>
  <c r="R117" i="1"/>
  <c r="S44" i="1"/>
  <c r="S92" i="1"/>
  <c r="V57" i="1"/>
  <c r="S65" i="1"/>
  <c r="V58" i="1"/>
  <c r="V59" i="1"/>
  <c r="V78" i="1"/>
  <c r="S86" i="1"/>
  <c r="Q84" i="1"/>
  <c r="V84" i="1" s="1"/>
  <c r="S115" i="1"/>
  <c r="V99" i="1"/>
  <c r="Q6" i="1"/>
  <c r="V6" i="1" s="1"/>
  <c r="Q16" i="1"/>
  <c r="V16" i="1" s="1"/>
  <c r="V121" i="1"/>
  <c r="V67" i="1"/>
  <c r="R67" i="1"/>
  <c r="V63" i="1"/>
  <c r="R63" i="1"/>
  <c r="R85" i="1"/>
  <c r="V39" i="1"/>
  <c r="V80" i="1"/>
  <c r="R42" i="1"/>
  <c r="R125" i="1"/>
  <c r="V19" i="1"/>
  <c r="S55" i="1"/>
  <c r="R79" i="1"/>
  <c r="R118" i="1"/>
  <c r="S125" i="1"/>
  <c r="Q20" i="1"/>
  <c r="V20" i="1" s="1"/>
  <c r="V41" i="1"/>
  <c r="V61" i="1"/>
  <c r="V111" i="1"/>
  <c r="Q21" i="1"/>
  <c r="V21" i="1" s="1"/>
  <c r="V42" i="1"/>
  <c r="V62" i="1"/>
  <c r="V87" i="1"/>
  <c r="V112" i="1"/>
  <c r="V22" i="1"/>
  <c r="Q113" i="1"/>
  <c r="V113" i="1" s="1"/>
  <c r="V23" i="1"/>
  <c r="R17" i="1"/>
  <c r="R107" i="1"/>
  <c r="V24" i="1"/>
  <c r="V45" i="1"/>
  <c r="V46" i="1"/>
  <c r="V66" i="1"/>
  <c r="V93" i="1"/>
  <c r="E5" i="1"/>
  <c r="S31" i="1"/>
  <c r="R44" i="1"/>
  <c r="R114" i="1"/>
  <c r="Q47" i="1"/>
  <c r="V94" i="1"/>
  <c r="R60" i="1"/>
  <c r="R88" i="1"/>
  <c r="V28" i="1"/>
  <c r="Q48" i="1"/>
  <c r="V48" i="1" s="1"/>
  <c r="V69" i="1"/>
  <c r="S51" i="1"/>
  <c r="S75" i="1"/>
  <c r="S88" i="1"/>
  <c r="Q7" i="1"/>
  <c r="V7" i="1" s="1"/>
  <c r="V29" i="1"/>
  <c r="V49" i="1"/>
  <c r="V119" i="1"/>
  <c r="R57" i="1"/>
  <c r="R26" i="1"/>
  <c r="R115" i="1"/>
  <c r="V30" i="1"/>
  <c r="V50" i="1"/>
  <c r="V97" i="1"/>
  <c r="V120" i="1"/>
  <c r="R64" i="1"/>
  <c r="R70" i="1"/>
  <c r="V10" i="1"/>
  <c r="V31" i="1"/>
  <c r="V51" i="1"/>
  <c r="V72" i="1"/>
  <c r="V11" i="1"/>
  <c r="V32" i="1"/>
  <c r="V52" i="1"/>
  <c r="V73" i="1"/>
  <c r="V122" i="1"/>
  <c r="R83" i="1"/>
  <c r="V12" i="1"/>
  <c r="V33" i="1"/>
  <c r="V53" i="1"/>
  <c r="V74" i="1"/>
  <c r="V101" i="1"/>
  <c r="V123" i="1"/>
  <c r="R65" i="1"/>
  <c r="V13" i="1"/>
  <c r="V34" i="1"/>
  <c r="Q54" i="1"/>
  <c r="V54" i="1" s="1"/>
  <c r="V75" i="1"/>
  <c r="V124" i="1"/>
  <c r="R102" i="1"/>
  <c r="V35" i="1"/>
  <c r="V76" i="1"/>
  <c r="V103" i="1"/>
  <c r="V125" i="1"/>
  <c r="R14" i="1"/>
  <c r="V15" i="1"/>
  <c r="Q56" i="1"/>
  <c r="V56" i="1" s="1"/>
  <c r="V77" i="1"/>
  <c r="V104" i="1"/>
  <c r="V126" i="1"/>
  <c r="V8" i="1"/>
  <c r="R110" i="1"/>
  <c r="R18" i="1"/>
  <c r="R92" i="1"/>
  <c r="R86" i="1"/>
  <c r="R28" i="1"/>
  <c r="S23" i="1"/>
  <c r="R39" i="1"/>
  <c r="L55" i="1"/>
  <c r="L5" i="1" s="1"/>
  <c r="R19" i="1"/>
  <c r="R40" i="1"/>
  <c r="R55" i="1"/>
  <c r="R9" i="1"/>
  <c r="R106" i="1"/>
  <c r="R32" i="1"/>
  <c r="P5" i="1"/>
  <c r="R127" i="1"/>
  <c r="S101" i="1"/>
  <c r="S110" i="1"/>
  <c r="S60" i="1"/>
  <c r="S68" i="1"/>
  <c r="S118" i="1"/>
  <c r="R103" i="1"/>
  <c r="R30" i="1"/>
  <c r="R38" i="1"/>
  <c r="R82" i="1"/>
  <c r="R95" i="1"/>
  <c r="S42" i="1"/>
  <c r="R78" i="1"/>
  <c r="R91" i="1"/>
  <c r="S14" i="1"/>
  <c r="S18" i="1"/>
  <c r="R58" i="1"/>
  <c r="R62" i="1"/>
  <c r="S70" i="1"/>
  <c r="R108" i="1"/>
  <c r="R116" i="1"/>
  <c r="R29" i="1"/>
  <c r="R33" i="1"/>
  <c r="R37" i="1"/>
  <c r="R98" i="1"/>
  <c r="S102" i="1"/>
  <c r="S17" i="1"/>
  <c r="S25" i="1"/>
  <c r="S69" i="1"/>
  <c r="S73" i="1"/>
  <c r="S81" i="1"/>
  <c r="S26" i="1"/>
  <c r="S105" i="1"/>
  <c r="R80" i="1"/>
  <c r="S64" i="1"/>
  <c r="S89" i="1"/>
  <c r="S114" i="1"/>
  <c r="R49" i="1"/>
  <c r="R8" i="1"/>
  <c r="S24" i="1"/>
  <c r="R122" i="1"/>
  <c r="R77" i="1"/>
  <c r="R90" i="1"/>
  <c r="R84" i="1" l="1"/>
  <c r="R59" i="1"/>
  <c r="R7" i="1"/>
  <c r="R16" i="1"/>
  <c r="R6" i="1"/>
  <c r="R119" i="1"/>
  <c r="R99" i="1"/>
  <c r="R97" i="1"/>
  <c r="R54" i="1"/>
  <c r="R120" i="1"/>
  <c r="R35" i="1"/>
  <c r="R50" i="1"/>
  <c r="R112" i="1"/>
  <c r="R21" i="1"/>
  <c r="R10" i="1"/>
  <c r="R76" i="1"/>
  <c r="R12" i="1"/>
  <c r="R121" i="1"/>
  <c r="R87" i="1"/>
  <c r="R20" i="1"/>
  <c r="R11" i="1"/>
  <c r="R111" i="1"/>
  <c r="R51" i="1"/>
  <c r="R24" i="1"/>
  <c r="R101" i="1"/>
  <c r="R71" i="1"/>
  <c r="V71" i="1"/>
  <c r="R75" i="1"/>
  <c r="R69" i="1"/>
  <c r="V43" i="1"/>
  <c r="R43" i="1"/>
  <c r="R34" i="1"/>
  <c r="Q5" i="1"/>
  <c r="V109" i="1"/>
  <c r="R109" i="1"/>
  <c r="R104" i="1"/>
  <c r="V36" i="1"/>
  <c r="R36" i="1"/>
  <c r="R113" i="1"/>
  <c r="R56" i="1"/>
  <c r="R47" i="1"/>
  <c r="V47" i="1"/>
  <c r="R13" i="1"/>
  <c r="V27" i="1"/>
  <c r="R27" i="1"/>
  <c r="R72" i="1"/>
  <c r="R61" i="1"/>
  <c r="R46" i="1"/>
  <c r="V100" i="1"/>
  <c r="R100" i="1"/>
  <c r="R15" i="1"/>
  <c r="R126" i="1"/>
  <c r="R93" i="1"/>
  <c r="R94" i="1"/>
  <c r="V96" i="1"/>
  <c r="R96" i="1"/>
  <c r="R66" i="1"/>
  <c r="R53" i="1"/>
  <c r="R74" i="1"/>
  <c r="R124" i="1"/>
  <c r="R45" i="1"/>
  <c r="R123" i="1"/>
  <c r="R73" i="1"/>
  <c r="R41" i="1"/>
  <c r="R22" i="1"/>
  <c r="R52" i="1"/>
  <c r="R48" i="1"/>
  <c r="R31" i="1"/>
  <c r="R23" i="1"/>
  <c r="V5" i="1" l="1"/>
</calcChain>
</file>

<file path=xl/sharedStrings.xml><?xml version="1.0" encoding="utf-8"?>
<sst xmlns="http://schemas.openxmlformats.org/spreadsheetml/2006/main" count="416" uniqueCount="154">
  <si>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</si>
  <si>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</si>
  <si>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</si>
  <si>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</si>
  <si>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</si>
  <si>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</si>
  <si>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</si>
  <si>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</si>
  <si>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</si>
  <si>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</si>
  <si>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</si>
  <si>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</si>
  <si>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</si>
  <si>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</si>
  <si>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</si>
  <si>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</si>
  <si>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</si>
  <si>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</si>
  <si>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</si>
  <si>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</si>
  <si>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</si>
  <si>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</si>
  <si>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</si>
  <si>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24,09,</t>
  </si>
  <si>
    <t>нет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</si>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</sst>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8" sqref="AH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0" width="6" customWidth="1"/>
    <col min="21" max="21" width="33.5703125" customWidth="1"/>
    <col min="22" max="22" width="7" customWidth="1"/>
    <col min="23" max="32" width="3" customWidth="1"/>
  </cols>
  <sheetData>
    <row r="1" spans="1:3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22</v>
      </c>
      <c r="P4" s="1" t="s">
        <v>23</v>
      </c>
      <c r="Q4" s="1"/>
      <c r="R4" s="1"/>
      <c r="S4" s="1"/>
      <c r="T4" s="9" t="s">
        <v>24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/>
      <c r="B5" s="1"/>
      <c r="C5" s="1"/>
      <c r="D5" s="1"/>
      <c r="E5" s="4">
        <f>SUM(E6:E472)</f>
        <v>5860.6889999999994</v>
      </c>
      <c r="F5" s="4">
        <f>SUM(F6:F472)</f>
        <v>6481.4619999999986</v>
      </c>
      <c r="G5" s="7"/>
      <c r="H5" s="1"/>
      <c r="I5" s="1"/>
      <c r="J5" s="1"/>
      <c r="K5" s="4">
        <f t="shared" ref="K5:Q5" si="0">SUM(K6:K472)</f>
        <v>8991.8599999999988</v>
      </c>
      <c r="L5" s="4">
        <f t="shared" si="0"/>
        <v>-3131.1709999999994</v>
      </c>
      <c r="M5" s="4">
        <f t="shared" si="0"/>
        <v>0</v>
      </c>
      <c r="N5" s="4">
        <f t="shared" si="0"/>
        <v>0</v>
      </c>
      <c r="O5" s="4">
        <f t="shared" si="0"/>
        <v>5719.2397073431584</v>
      </c>
      <c r="P5" s="4">
        <f t="shared" si="0"/>
        <v>1172.1378</v>
      </c>
      <c r="Q5" s="4">
        <f t="shared" si="0"/>
        <v>5959.3663623966786</v>
      </c>
      <c r="R5" s="1"/>
      <c r="S5" s="1"/>
      <c r="T5" s="4">
        <f>SUM(T6:T472)</f>
        <v>0</v>
      </c>
      <c r="U5" s="1"/>
      <c r="V5" s="4">
        <f>SUM(V6:V472)</f>
        <v>5011.2121815456103</v>
      </c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25</v>
      </c>
      <c r="B6" s="1" t="s">
        <v>26</v>
      </c>
      <c r="C6" s="1"/>
      <c r="D6" s="1">
        <v>140.25200000000001</v>
      </c>
      <c r="E6" s="1">
        <v>133.946</v>
      </c>
      <c r="F6" s="1">
        <v>0.40100000000000002</v>
      </c>
      <c r="G6" s="7">
        <v>1</v>
      </c>
      <c r="H6" s="1">
        <v>50</v>
      </c>
      <c r="I6" s="1" t="s">
        <v>27</v>
      </c>
      <c r="J6" s="1"/>
      <c r="K6" s="1">
        <v>133.69999999999999</v>
      </c>
      <c r="L6" s="1">
        <f t="shared" ref="L6:L37" si="1">E6-K6</f>
        <v>0.24600000000000932</v>
      </c>
      <c r="M6" s="1"/>
      <c r="N6" s="1"/>
      <c r="O6" s="1">
        <v>0</v>
      </c>
      <c r="P6" s="1">
        <f t="shared" ref="P6:P37" si="2">E6/5</f>
        <v>26.789200000000001</v>
      </c>
      <c r="Q6" s="5">
        <f>12*P6-O6-F6</f>
        <v>321.06940000000003</v>
      </c>
      <c r="R6" s="1">
        <f t="shared" ref="R6:R37" si="3">(F6+O6+Q6)/P6</f>
        <v>12.000000000000002</v>
      </c>
      <c r="S6" s="1">
        <f t="shared" ref="S6:S37" si="4">(F6+O6)/P6</f>
        <v>1.496871873740164E-2</v>
      </c>
      <c r="T6" s="1">
        <v>0</v>
      </c>
      <c r="U6" s="1"/>
      <c r="V6" s="1">
        <f>G6*Q6</f>
        <v>321.06940000000003</v>
      </c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28</v>
      </c>
      <c r="B7" s="1" t="s">
        <v>26</v>
      </c>
      <c r="C7" s="1"/>
      <c r="D7" s="1">
        <v>220.70400000000001</v>
      </c>
      <c r="E7" s="1">
        <v>108.44499999999999</v>
      </c>
      <c r="F7" s="1">
        <v>141.66</v>
      </c>
      <c r="G7" s="7">
        <v>1</v>
      </c>
      <c r="H7" s="1">
        <v>45</v>
      </c>
      <c r="I7" s="1" t="s">
        <v>27</v>
      </c>
      <c r="J7" s="1"/>
      <c r="K7" s="1">
        <v>58.1</v>
      </c>
      <c r="L7" s="1">
        <f t="shared" si="1"/>
        <v>50.344999999999992</v>
      </c>
      <c r="M7" s="1"/>
      <c r="N7" s="1"/>
      <c r="O7" s="1">
        <v>73.584519631732064</v>
      </c>
      <c r="P7" s="1">
        <f t="shared" si="2"/>
        <v>21.689</v>
      </c>
      <c r="Q7" s="5">
        <f t="shared" ref="Q7:Q8" si="5">12*P7-O7-F7</f>
        <v>45.023480368267968</v>
      </c>
      <c r="R7" s="1">
        <f t="shared" si="3"/>
        <v>12.000000000000002</v>
      </c>
      <c r="S7" s="1">
        <f t="shared" si="4"/>
        <v>9.9241329536507941</v>
      </c>
      <c r="T7" s="1">
        <v>0</v>
      </c>
      <c r="U7" s="1"/>
      <c r="V7" s="1">
        <f>G7*Q7</f>
        <v>45.023480368267968</v>
      </c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29</v>
      </c>
      <c r="B8" s="1" t="s">
        <v>26</v>
      </c>
      <c r="C8" s="1"/>
      <c r="D8" s="1">
        <v>312.66000000000003</v>
      </c>
      <c r="E8" s="1">
        <v>105.697</v>
      </c>
      <c r="F8" s="1">
        <v>212.46</v>
      </c>
      <c r="G8" s="7">
        <v>1</v>
      </c>
      <c r="H8" s="1">
        <v>45</v>
      </c>
      <c r="I8" s="1" t="s">
        <v>27</v>
      </c>
      <c r="J8" s="1"/>
      <c r="K8" s="1">
        <v>77.8</v>
      </c>
      <c r="L8" s="1">
        <f t="shared" si="1"/>
        <v>27.897000000000006</v>
      </c>
      <c r="M8" s="1"/>
      <c r="N8" s="1"/>
      <c r="O8" s="1">
        <v>98.832299555938491</v>
      </c>
      <c r="P8" s="1">
        <f t="shared" si="2"/>
        <v>21.139400000000002</v>
      </c>
      <c r="Q8" s="5"/>
      <c r="R8" s="1">
        <f t="shared" si="3"/>
        <v>14.725692288141502</v>
      </c>
      <c r="S8" s="1">
        <f t="shared" si="4"/>
        <v>14.725692288141502</v>
      </c>
      <c r="T8" s="1">
        <v>0</v>
      </c>
      <c r="U8" s="1"/>
      <c r="V8" s="1">
        <f>G8*Q8</f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1" t="s">
        <v>30</v>
      </c>
      <c r="B9" s="11" t="s">
        <v>31</v>
      </c>
      <c r="C9" s="11"/>
      <c r="D9" s="11"/>
      <c r="E9" s="11"/>
      <c r="F9" s="11"/>
      <c r="G9" s="12">
        <v>0</v>
      </c>
      <c r="H9" s="11"/>
      <c r="I9" s="11" t="s">
        <v>27</v>
      </c>
      <c r="J9" s="11"/>
      <c r="K9" s="11"/>
      <c r="L9" s="11">
        <f t="shared" si="1"/>
        <v>0</v>
      </c>
      <c r="M9" s="11"/>
      <c r="N9" s="11"/>
      <c r="O9" s="11"/>
      <c r="P9" s="11">
        <f t="shared" si="2"/>
        <v>0</v>
      </c>
      <c r="Q9" s="13"/>
      <c r="R9" s="11" t="e">
        <f t="shared" si="3"/>
        <v>#DIV/0!</v>
      </c>
      <c r="S9" s="11" t="e">
        <f t="shared" si="4"/>
        <v>#DIV/0!</v>
      </c>
      <c r="T9" s="11">
        <v>0</v>
      </c>
      <c r="U9" s="11" t="s">
        <v>32</v>
      </c>
      <c r="V9" s="1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33</v>
      </c>
      <c r="B10" s="1" t="s">
        <v>31</v>
      </c>
      <c r="C10" s="1"/>
      <c r="D10" s="1">
        <v>120</v>
      </c>
      <c r="E10" s="1">
        <v>-3</v>
      </c>
      <c r="F10" s="1">
        <v>120</v>
      </c>
      <c r="G10" s="7">
        <v>0.45</v>
      </c>
      <c r="H10" s="1">
        <v>45</v>
      </c>
      <c r="I10" s="1" t="s">
        <v>27</v>
      </c>
      <c r="J10" s="1"/>
      <c r="K10" s="1">
        <v>265</v>
      </c>
      <c r="L10" s="1">
        <f t="shared" si="1"/>
        <v>-268</v>
      </c>
      <c r="M10" s="1"/>
      <c r="N10" s="1"/>
      <c r="O10" s="1">
        <v>500</v>
      </c>
      <c r="P10" s="1">
        <f t="shared" si="2"/>
        <v>-0.6</v>
      </c>
      <c r="Q10" s="5"/>
      <c r="R10" s="1">
        <f t="shared" si="3"/>
        <v>-1033.3333333333335</v>
      </c>
      <c r="S10" s="1">
        <f t="shared" si="4"/>
        <v>-1033.3333333333335</v>
      </c>
      <c r="T10" s="1">
        <v>0</v>
      </c>
      <c r="U10" s="1"/>
      <c r="V10" s="1">
        <f t="shared" ref="V10:V24" si="6">G10*Q10</f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34</v>
      </c>
      <c r="B11" s="1" t="s">
        <v>31</v>
      </c>
      <c r="C11" s="1"/>
      <c r="D11" s="1">
        <v>840</v>
      </c>
      <c r="E11" s="1">
        <v>292</v>
      </c>
      <c r="F11" s="1">
        <v>582</v>
      </c>
      <c r="G11" s="7">
        <v>0.45</v>
      </c>
      <c r="H11" s="1">
        <v>45</v>
      </c>
      <c r="I11" s="1" t="s">
        <v>27</v>
      </c>
      <c r="J11" s="1"/>
      <c r="K11" s="1">
        <v>222</v>
      </c>
      <c r="L11" s="1">
        <f t="shared" si="1"/>
        <v>70</v>
      </c>
      <c r="M11" s="1"/>
      <c r="N11" s="1"/>
      <c r="O11" s="1">
        <v>481.9070569366479</v>
      </c>
      <c r="P11" s="1">
        <f t="shared" si="2"/>
        <v>58.4</v>
      </c>
      <c r="Q11" s="5"/>
      <c r="R11" s="1">
        <f t="shared" si="3"/>
        <v>18.217586591380957</v>
      </c>
      <c r="S11" s="1">
        <f t="shared" si="4"/>
        <v>18.217586591380957</v>
      </c>
      <c r="T11" s="1">
        <v>0</v>
      </c>
      <c r="U11" s="1"/>
      <c r="V11" s="1">
        <f t="shared" si="6"/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35</v>
      </c>
      <c r="B12" s="1" t="s">
        <v>31</v>
      </c>
      <c r="C12" s="1"/>
      <c r="D12" s="1">
        <v>17</v>
      </c>
      <c r="E12" s="1">
        <v>24</v>
      </c>
      <c r="F12" s="1">
        <v>2</v>
      </c>
      <c r="G12" s="7">
        <v>0.17</v>
      </c>
      <c r="H12" s="1">
        <v>180</v>
      </c>
      <c r="I12" s="1" t="s">
        <v>27</v>
      </c>
      <c r="J12" s="1"/>
      <c r="K12" s="1">
        <v>37</v>
      </c>
      <c r="L12" s="1">
        <f t="shared" si="1"/>
        <v>-13</v>
      </c>
      <c r="M12" s="1"/>
      <c r="N12" s="1"/>
      <c r="O12" s="1">
        <v>86.1311203319502</v>
      </c>
      <c r="P12" s="1">
        <f t="shared" si="2"/>
        <v>4.8</v>
      </c>
      <c r="Q12" s="5"/>
      <c r="R12" s="1">
        <f t="shared" si="3"/>
        <v>18.360650069156293</v>
      </c>
      <c r="S12" s="1">
        <f t="shared" si="4"/>
        <v>18.360650069156293</v>
      </c>
      <c r="T12" s="1">
        <v>0</v>
      </c>
      <c r="U12" s="1"/>
      <c r="V12" s="1">
        <f t="shared" si="6"/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5" t="s">
        <v>36</v>
      </c>
      <c r="B13" s="1" t="s">
        <v>31</v>
      </c>
      <c r="C13" s="1"/>
      <c r="D13" s="1"/>
      <c r="E13" s="1"/>
      <c r="F13" s="1"/>
      <c r="G13" s="7">
        <v>0.3</v>
      </c>
      <c r="H13" s="1">
        <v>40</v>
      </c>
      <c r="I13" s="10" t="s">
        <v>37</v>
      </c>
      <c r="J13" s="1"/>
      <c r="K13" s="1">
        <v>8</v>
      </c>
      <c r="L13" s="1">
        <f t="shared" si="1"/>
        <v>-8</v>
      </c>
      <c r="M13" s="1"/>
      <c r="N13" s="1"/>
      <c r="O13" s="1">
        <v>18.691099476439788</v>
      </c>
      <c r="P13" s="1">
        <f t="shared" si="2"/>
        <v>0</v>
      </c>
      <c r="Q13" s="5">
        <v>8</v>
      </c>
      <c r="R13" s="1" t="e">
        <f t="shared" si="3"/>
        <v>#DIV/0!</v>
      </c>
      <c r="S13" s="1" t="e">
        <f t="shared" si="4"/>
        <v>#DIV/0!</v>
      </c>
      <c r="T13" s="1">
        <v>0</v>
      </c>
      <c r="U13" s="1"/>
      <c r="V13" s="1">
        <f t="shared" si="6"/>
        <v>2.4</v>
      </c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38</v>
      </c>
      <c r="B14" s="1" t="s">
        <v>31</v>
      </c>
      <c r="C14" s="1"/>
      <c r="D14" s="1">
        <v>287</v>
      </c>
      <c r="E14" s="1">
        <v>64</v>
      </c>
      <c r="F14" s="1">
        <v>226</v>
      </c>
      <c r="G14" s="7">
        <v>0.17</v>
      </c>
      <c r="H14" s="1">
        <v>180</v>
      </c>
      <c r="I14" s="1" t="s">
        <v>27</v>
      </c>
      <c r="J14" s="1"/>
      <c r="K14" s="1">
        <v>50</v>
      </c>
      <c r="L14" s="1">
        <f t="shared" si="1"/>
        <v>14</v>
      </c>
      <c r="M14" s="1"/>
      <c r="N14" s="1"/>
      <c r="O14" s="1">
        <v>0</v>
      </c>
      <c r="P14" s="1">
        <f t="shared" si="2"/>
        <v>12.8</v>
      </c>
      <c r="Q14" s="5"/>
      <c r="R14" s="1">
        <f t="shared" si="3"/>
        <v>17.65625</v>
      </c>
      <c r="S14" s="1">
        <f t="shared" si="4"/>
        <v>17.65625</v>
      </c>
      <c r="T14" s="1">
        <v>0</v>
      </c>
      <c r="U14" s="1"/>
      <c r="V14" s="1">
        <f t="shared" si="6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5" t="s">
        <v>39</v>
      </c>
      <c r="B15" s="1" t="s">
        <v>26</v>
      </c>
      <c r="C15" s="1"/>
      <c r="D15" s="1">
        <v>209.50899999999999</v>
      </c>
      <c r="E15" s="1">
        <v>270.07</v>
      </c>
      <c r="F15" s="1">
        <v>-45.234999999999999</v>
      </c>
      <c r="G15" s="7">
        <v>1</v>
      </c>
      <c r="H15" s="1">
        <v>70</v>
      </c>
      <c r="I15" s="10" t="s">
        <v>37</v>
      </c>
      <c r="J15" s="1"/>
      <c r="K15" s="1">
        <v>213.3</v>
      </c>
      <c r="L15" s="1">
        <f t="shared" si="1"/>
        <v>56.769999999999982</v>
      </c>
      <c r="M15" s="1"/>
      <c r="N15" s="1"/>
      <c r="O15" s="1">
        <v>179.0189117186876</v>
      </c>
      <c r="P15" s="1">
        <f t="shared" si="2"/>
        <v>54.013999999999996</v>
      </c>
      <c r="Q15" s="5">
        <v>300</v>
      </c>
      <c r="R15" s="1">
        <f t="shared" si="3"/>
        <v>8.0309533031933871</v>
      </c>
      <c r="S15" s="1">
        <f t="shared" si="4"/>
        <v>2.4768377035340392</v>
      </c>
      <c r="T15" s="1">
        <v>0</v>
      </c>
      <c r="U15" s="1"/>
      <c r="V15" s="1">
        <f t="shared" si="6"/>
        <v>300</v>
      </c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40</v>
      </c>
      <c r="B16" s="1" t="s">
        <v>26</v>
      </c>
      <c r="C16" s="1"/>
      <c r="D16" s="1">
        <v>1818.71</v>
      </c>
      <c r="E16" s="1">
        <v>651.471</v>
      </c>
      <c r="F16" s="1">
        <v>965.82899999999995</v>
      </c>
      <c r="G16" s="7">
        <v>1</v>
      </c>
      <c r="H16" s="1">
        <v>50</v>
      </c>
      <c r="I16" s="1" t="s">
        <v>27</v>
      </c>
      <c r="J16" s="1"/>
      <c r="K16" s="1">
        <v>797.6</v>
      </c>
      <c r="L16" s="1">
        <f t="shared" si="1"/>
        <v>-146.12900000000002</v>
      </c>
      <c r="M16" s="1"/>
      <c r="N16" s="1"/>
      <c r="O16" s="1">
        <v>500</v>
      </c>
      <c r="P16" s="1">
        <f t="shared" si="2"/>
        <v>130.29419999999999</v>
      </c>
      <c r="Q16" s="5">
        <f t="shared" ref="Q10:Q24" si="7">12*P16-O16-F16</f>
        <v>97.701399999999921</v>
      </c>
      <c r="R16" s="1">
        <f t="shared" si="3"/>
        <v>12</v>
      </c>
      <c r="S16" s="1">
        <f t="shared" si="4"/>
        <v>11.250147742570276</v>
      </c>
      <c r="T16" s="1">
        <v>0</v>
      </c>
      <c r="U16" s="1"/>
      <c r="V16" s="1">
        <f t="shared" si="6"/>
        <v>97.701399999999921</v>
      </c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41</v>
      </c>
      <c r="B17" s="1" t="s">
        <v>26</v>
      </c>
      <c r="C17" s="1"/>
      <c r="D17" s="1">
        <v>121.006</v>
      </c>
      <c r="E17" s="1">
        <v>48.103000000000002</v>
      </c>
      <c r="F17" s="1">
        <v>74.054000000000002</v>
      </c>
      <c r="G17" s="7">
        <v>1</v>
      </c>
      <c r="H17" s="1">
        <v>60</v>
      </c>
      <c r="I17" s="1" t="s">
        <v>27</v>
      </c>
      <c r="J17" s="1"/>
      <c r="K17" s="1">
        <v>30.5</v>
      </c>
      <c r="L17" s="1">
        <f t="shared" si="1"/>
        <v>17.603000000000002</v>
      </c>
      <c r="M17" s="1"/>
      <c r="N17" s="1"/>
      <c r="O17" s="1">
        <v>0</v>
      </c>
      <c r="P17" s="1">
        <f t="shared" si="2"/>
        <v>9.6205999999999996</v>
      </c>
      <c r="Q17" s="5">
        <f t="shared" si="7"/>
        <v>41.393199999999993</v>
      </c>
      <c r="R17" s="1">
        <f t="shared" si="3"/>
        <v>12</v>
      </c>
      <c r="S17" s="1">
        <f t="shared" si="4"/>
        <v>7.6974409080514734</v>
      </c>
      <c r="T17" s="1">
        <v>0</v>
      </c>
      <c r="U17" s="1"/>
      <c r="V17" s="1">
        <f t="shared" si="6"/>
        <v>41.393199999999993</v>
      </c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5" t="s">
        <v>42</v>
      </c>
      <c r="B18" s="1" t="s">
        <v>26</v>
      </c>
      <c r="C18" s="1"/>
      <c r="D18" s="1">
        <v>42.561</v>
      </c>
      <c r="E18" s="1">
        <v>30.262</v>
      </c>
      <c r="F18" s="1">
        <v>8.2520000000000007</v>
      </c>
      <c r="G18" s="7">
        <v>1</v>
      </c>
      <c r="H18" s="1">
        <v>60</v>
      </c>
      <c r="I18" s="10" t="s">
        <v>37</v>
      </c>
      <c r="J18" s="1"/>
      <c r="K18" s="1">
        <v>26.6</v>
      </c>
      <c r="L18" s="1">
        <f t="shared" si="1"/>
        <v>3.661999999999999</v>
      </c>
      <c r="M18" s="1"/>
      <c r="N18" s="1"/>
      <c r="O18" s="1">
        <v>0</v>
      </c>
      <c r="P18" s="1">
        <f t="shared" si="2"/>
        <v>6.0524000000000004</v>
      </c>
      <c r="Q18" s="5">
        <v>40</v>
      </c>
      <c r="R18" s="1">
        <f t="shared" si="3"/>
        <v>7.9723745952019032</v>
      </c>
      <c r="S18" s="1">
        <f t="shared" si="4"/>
        <v>1.3634260789108452</v>
      </c>
      <c r="T18" s="1">
        <v>0</v>
      </c>
      <c r="U18" s="1"/>
      <c r="V18" s="1">
        <f t="shared" si="6"/>
        <v>40</v>
      </c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43</v>
      </c>
      <c r="B19" s="1" t="s">
        <v>26</v>
      </c>
      <c r="C19" s="1"/>
      <c r="D19" s="1">
        <v>35.552999999999997</v>
      </c>
      <c r="E19" s="1">
        <v>2.1640000000000001</v>
      </c>
      <c r="F19" s="1">
        <v>33.39</v>
      </c>
      <c r="G19" s="7">
        <v>1</v>
      </c>
      <c r="H19" s="1">
        <v>180</v>
      </c>
      <c r="I19" s="1" t="s">
        <v>27</v>
      </c>
      <c r="J19" s="1"/>
      <c r="K19" s="1">
        <v>1.93</v>
      </c>
      <c r="L19" s="1">
        <f t="shared" si="1"/>
        <v>0.23400000000000021</v>
      </c>
      <c r="M19" s="1"/>
      <c r="N19" s="1"/>
      <c r="O19" s="1">
        <v>0</v>
      </c>
      <c r="P19" s="1">
        <f t="shared" si="2"/>
        <v>0.43280000000000002</v>
      </c>
      <c r="Q19" s="5"/>
      <c r="R19" s="1">
        <f t="shared" si="3"/>
        <v>77.148798521256936</v>
      </c>
      <c r="S19" s="1">
        <f t="shared" si="4"/>
        <v>77.148798521256936</v>
      </c>
      <c r="T19" s="1">
        <v>0</v>
      </c>
      <c r="U19" s="1"/>
      <c r="V19" s="1">
        <f t="shared" si="6"/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44</v>
      </c>
      <c r="B20" s="1" t="s">
        <v>26</v>
      </c>
      <c r="C20" s="1"/>
      <c r="D20" s="1">
        <v>258.60399999999998</v>
      </c>
      <c r="E20" s="1">
        <v>261.60899999999998</v>
      </c>
      <c r="F20" s="1">
        <v>27.667000000000002</v>
      </c>
      <c r="G20" s="7">
        <v>1</v>
      </c>
      <c r="H20" s="1">
        <v>60</v>
      </c>
      <c r="I20" s="1" t="s">
        <v>27</v>
      </c>
      <c r="J20" s="1"/>
      <c r="K20" s="1">
        <v>172</v>
      </c>
      <c r="L20" s="1">
        <f t="shared" si="1"/>
        <v>89.60899999999998</v>
      </c>
      <c r="M20" s="1"/>
      <c r="N20" s="1"/>
      <c r="O20" s="1">
        <v>178.22202467941159</v>
      </c>
      <c r="P20" s="1">
        <f t="shared" si="2"/>
        <v>52.321799999999996</v>
      </c>
      <c r="Q20" s="5">
        <f t="shared" si="7"/>
        <v>421.97257532058836</v>
      </c>
      <c r="R20" s="1">
        <f t="shared" si="3"/>
        <v>12</v>
      </c>
      <c r="S20" s="1">
        <f t="shared" si="4"/>
        <v>3.9350524003266631</v>
      </c>
      <c r="T20" s="1">
        <v>0</v>
      </c>
      <c r="U20" s="1"/>
      <c r="V20" s="1">
        <f t="shared" si="6"/>
        <v>421.97257532058836</v>
      </c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45</v>
      </c>
      <c r="B21" s="1" t="s">
        <v>26</v>
      </c>
      <c r="C21" s="1"/>
      <c r="D21" s="1">
        <v>27.324000000000002</v>
      </c>
      <c r="E21" s="1">
        <v>24.713000000000001</v>
      </c>
      <c r="F21" s="1">
        <v>1.74</v>
      </c>
      <c r="G21" s="7">
        <v>1</v>
      </c>
      <c r="H21" s="1">
        <v>70</v>
      </c>
      <c r="I21" s="1" t="s">
        <v>27</v>
      </c>
      <c r="J21" s="1"/>
      <c r="K21" s="1">
        <v>54.2</v>
      </c>
      <c r="L21" s="1">
        <f t="shared" si="1"/>
        <v>-29.487000000000002</v>
      </c>
      <c r="M21" s="1"/>
      <c r="N21" s="1"/>
      <c r="O21" s="1">
        <v>20</v>
      </c>
      <c r="P21" s="1">
        <f t="shared" si="2"/>
        <v>4.9426000000000005</v>
      </c>
      <c r="Q21" s="5">
        <f t="shared" si="7"/>
        <v>37.571200000000005</v>
      </c>
      <c r="R21" s="1">
        <f t="shared" si="3"/>
        <v>11.999999999999998</v>
      </c>
      <c r="S21" s="1">
        <f t="shared" si="4"/>
        <v>4.3984947193784638</v>
      </c>
      <c r="T21" s="1">
        <v>0</v>
      </c>
      <c r="U21" s="1"/>
      <c r="V21" s="1">
        <f t="shared" si="6"/>
        <v>37.571200000000005</v>
      </c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5" t="s">
        <v>46</v>
      </c>
      <c r="B22" s="1" t="s">
        <v>26</v>
      </c>
      <c r="C22" s="1"/>
      <c r="D22" s="1">
        <v>140.38499999999999</v>
      </c>
      <c r="E22" s="1">
        <v>114.57</v>
      </c>
      <c r="F22" s="1">
        <v>4.17</v>
      </c>
      <c r="G22" s="7">
        <v>1</v>
      </c>
      <c r="H22" s="1">
        <v>70</v>
      </c>
      <c r="I22" s="10" t="s">
        <v>37</v>
      </c>
      <c r="J22" s="1"/>
      <c r="K22" s="1">
        <v>117.4</v>
      </c>
      <c r="L22" s="1">
        <f t="shared" si="1"/>
        <v>-2.8300000000000125</v>
      </c>
      <c r="M22" s="1"/>
      <c r="N22" s="1"/>
      <c r="O22" s="1">
        <v>0</v>
      </c>
      <c r="P22" s="1">
        <f t="shared" si="2"/>
        <v>22.913999999999998</v>
      </c>
      <c r="Q22" s="5">
        <v>150</v>
      </c>
      <c r="R22" s="1">
        <f t="shared" si="3"/>
        <v>6.7282010997643367</v>
      </c>
      <c r="S22" s="1">
        <f t="shared" si="4"/>
        <v>0.18198481277821421</v>
      </c>
      <c r="T22" s="1">
        <v>0</v>
      </c>
      <c r="U22" s="1" t="s">
        <v>47</v>
      </c>
      <c r="V22" s="1">
        <f t="shared" si="6"/>
        <v>150</v>
      </c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48</v>
      </c>
      <c r="B23" s="1" t="s">
        <v>26</v>
      </c>
      <c r="C23" s="1"/>
      <c r="D23" s="1">
        <v>34.311</v>
      </c>
      <c r="E23" s="1">
        <v>1.7210000000000001</v>
      </c>
      <c r="F23" s="1">
        <v>30.832999999999998</v>
      </c>
      <c r="G23" s="7">
        <v>1</v>
      </c>
      <c r="H23" s="1">
        <v>180</v>
      </c>
      <c r="I23" s="1" t="s">
        <v>27</v>
      </c>
      <c r="J23" s="1"/>
      <c r="K23" s="1">
        <v>1.53</v>
      </c>
      <c r="L23" s="1">
        <f t="shared" si="1"/>
        <v>0.19100000000000006</v>
      </c>
      <c r="M23" s="1"/>
      <c r="N23" s="1"/>
      <c r="O23" s="1">
        <v>0</v>
      </c>
      <c r="P23" s="1">
        <f t="shared" si="2"/>
        <v>0.34420000000000001</v>
      </c>
      <c r="Q23" s="5"/>
      <c r="R23" s="1">
        <f t="shared" si="3"/>
        <v>89.578733294596162</v>
      </c>
      <c r="S23" s="1">
        <f t="shared" si="4"/>
        <v>89.578733294596162</v>
      </c>
      <c r="T23" s="1">
        <v>0</v>
      </c>
      <c r="U23" s="1"/>
      <c r="V23" s="1">
        <f t="shared" si="6"/>
        <v>0</v>
      </c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5" t="s">
        <v>49</v>
      </c>
      <c r="B24" s="1" t="s">
        <v>26</v>
      </c>
      <c r="C24" s="1"/>
      <c r="D24" s="1">
        <v>75.703000000000003</v>
      </c>
      <c r="E24" s="1">
        <v>90.846000000000004</v>
      </c>
      <c r="F24" s="1">
        <v>1.5269999999999999</v>
      </c>
      <c r="G24" s="7">
        <v>1</v>
      </c>
      <c r="H24" s="1">
        <v>70</v>
      </c>
      <c r="I24" s="10" t="s">
        <v>37</v>
      </c>
      <c r="J24" s="1"/>
      <c r="K24" s="1">
        <v>144.1</v>
      </c>
      <c r="L24" s="1">
        <f t="shared" si="1"/>
        <v>-53.253999999999991</v>
      </c>
      <c r="M24" s="1"/>
      <c r="N24" s="1"/>
      <c r="O24" s="1">
        <v>0</v>
      </c>
      <c r="P24" s="1">
        <f t="shared" si="2"/>
        <v>18.1692</v>
      </c>
      <c r="Q24" s="5">
        <v>200</v>
      </c>
      <c r="R24" s="1">
        <f t="shared" si="3"/>
        <v>11.091682627743653</v>
      </c>
      <c r="S24" s="1">
        <f t="shared" si="4"/>
        <v>8.4043326068291388E-2</v>
      </c>
      <c r="T24" s="1">
        <v>0</v>
      </c>
      <c r="U24" s="1" t="s">
        <v>47</v>
      </c>
      <c r="V24" s="1">
        <f t="shared" si="6"/>
        <v>200</v>
      </c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1" t="s">
        <v>50</v>
      </c>
      <c r="B25" s="11" t="s">
        <v>26</v>
      </c>
      <c r="C25" s="11"/>
      <c r="D25" s="11"/>
      <c r="E25" s="11"/>
      <c r="F25" s="11"/>
      <c r="G25" s="12">
        <v>0</v>
      </c>
      <c r="H25" s="11"/>
      <c r="I25" s="11" t="s">
        <v>27</v>
      </c>
      <c r="J25" s="11"/>
      <c r="K25" s="11"/>
      <c r="L25" s="11">
        <f t="shared" si="1"/>
        <v>0</v>
      </c>
      <c r="M25" s="11"/>
      <c r="N25" s="11"/>
      <c r="O25" s="11"/>
      <c r="P25" s="11">
        <f t="shared" si="2"/>
        <v>0</v>
      </c>
      <c r="Q25" s="13"/>
      <c r="R25" s="11" t="e">
        <f t="shared" si="3"/>
        <v>#DIV/0!</v>
      </c>
      <c r="S25" s="11" t="e">
        <f t="shared" si="4"/>
        <v>#DIV/0!</v>
      </c>
      <c r="T25" s="11">
        <v>0</v>
      </c>
      <c r="U25" s="11" t="s">
        <v>32</v>
      </c>
      <c r="V25" s="1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5" t="s">
        <v>51</v>
      </c>
      <c r="B26" s="1" t="s">
        <v>26</v>
      </c>
      <c r="C26" s="1"/>
      <c r="D26" s="1">
        <v>16.323</v>
      </c>
      <c r="E26" s="1">
        <v>6.8259999999999996</v>
      </c>
      <c r="F26" s="1">
        <v>14.98</v>
      </c>
      <c r="G26" s="7">
        <v>1</v>
      </c>
      <c r="H26" s="1"/>
      <c r="I26" s="10" t="s">
        <v>37</v>
      </c>
      <c r="J26" s="1"/>
      <c r="K26" s="1">
        <v>1.3</v>
      </c>
      <c r="L26" s="1">
        <f t="shared" si="1"/>
        <v>5.5259999999999998</v>
      </c>
      <c r="M26" s="1"/>
      <c r="N26" s="1"/>
      <c r="O26" s="1">
        <v>17.848212968935901</v>
      </c>
      <c r="P26" s="1">
        <f t="shared" si="2"/>
        <v>1.3652</v>
      </c>
      <c r="Q26" s="5">
        <v>4</v>
      </c>
      <c r="R26" s="1">
        <f t="shared" si="3"/>
        <v>26.976423211936641</v>
      </c>
      <c r="S26" s="1">
        <f t="shared" si="4"/>
        <v>24.046449581699314</v>
      </c>
      <c r="T26" s="1">
        <v>0</v>
      </c>
      <c r="U26" s="1"/>
      <c r="V26" s="1">
        <f t="shared" ref="V26:V67" si="8">G26*Q26</f>
        <v>4</v>
      </c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5" t="s">
        <v>52</v>
      </c>
      <c r="B27" s="1" t="s">
        <v>26</v>
      </c>
      <c r="C27" s="1"/>
      <c r="D27" s="1"/>
      <c r="E27" s="1"/>
      <c r="F27" s="1"/>
      <c r="G27" s="7">
        <v>1</v>
      </c>
      <c r="H27" s="1">
        <v>40</v>
      </c>
      <c r="I27" s="10" t="s">
        <v>37</v>
      </c>
      <c r="J27" s="1"/>
      <c r="K27" s="1"/>
      <c r="L27" s="1">
        <f t="shared" si="1"/>
        <v>0</v>
      </c>
      <c r="M27" s="1"/>
      <c r="N27" s="1"/>
      <c r="O27" s="1">
        <v>10</v>
      </c>
      <c r="P27" s="1">
        <f t="shared" si="2"/>
        <v>0</v>
      </c>
      <c r="Q27" s="5">
        <v>4</v>
      </c>
      <c r="R27" s="1" t="e">
        <f t="shared" si="3"/>
        <v>#DIV/0!</v>
      </c>
      <c r="S27" s="1" t="e">
        <f t="shared" si="4"/>
        <v>#DIV/0!</v>
      </c>
      <c r="T27" s="1">
        <v>0</v>
      </c>
      <c r="U27" s="1"/>
      <c r="V27" s="1">
        <f t="shared" si="8"/>
        <v>4</v>
      </c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5" t="s">
        <v>53</v>
      </c>
      <c r="B28" s="1" t="s">
        <v>26</v>
      </c>
      <c r="C28" s="1"/>
      <c r="D28" s="1">
        <v>57.13</v>
      </c>
      <c r="E28" s="1">
        <v>6.9</v>
      </c>
      <c r="F28" s="1">
        <v>35.314</v>
      </c>
      <c r="G28" s="7">
        <v>1</v>
      </c>
      <c r="H28" s="1">
        <v>30</v>
      </c>
      <c r="I28" s="10" t="s">
        <v>37</v>
      </c>
      <c r="J28" s="1"/>
      <c r="K28" s="1">
        <v>26</v>
      </c>
      <c r="L28" s="1">
        <f t="shared" si="1"/>
        <v>-19.100000000000001</v>
      </c>
      <c r="M28" s="1"/>
      <c r="N28" s="1"/>
      <c r="O28" s="1">
        <v>0</v>
      </c>
      <c r="P28" s="1">
        <f t="shared" si="2"/>
        <v>1.3800000000000001</v>
      </c>
      <c r="Q28" s="5">
        <v>15</v>
      </c>
      <c r="R28" s="1">
        <f t="shared" si="3"/>
        <v>36.459420289855068</v>
      </c>
      <c r="S28" s="1">
        <f t="shared" si="4"/>
        <v>25.589855072463767</v>
      </c>
      <c r="T28" s="1">
        <v>0</v>
      </c>
      <c r="U28" s="1"/>
      <c r="V28" s="1">
        <f t="shared" si="8"/>
        <v>15</v>
      </c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5" t="s">
        <v>54</v>
      </c>
      <c r="B29" s="1" t="s">
        <v>26</v>
      </c>
      <c r="C29" s="1"/>
      <c r="D29" s="1">
        <v>354.01600000000002</v>
      </c>
      <c r="E29" s="1">
        <v>302.00799999999998</v>
      </c>
      <c r="F29" s="1">
        <v>23.661999999999999</v>
      </c>
      <c r="G29" s="7">
        <v>1</v>
      </c>
      <c r="H29" s="1">
        <v>40</v>
      </c>
      <c r="I29" s="10" t="s">
        <v>37</v>
      </c>
      <c r="J29" s="1"/>
      <c r="K29" s="1">
        <v>428.3</v>
      </c>
      <c r="L29" s="1">
        <f t="shared" si="1"/>
        <v>-126.29200000000003</v>
      </c>
      <c r="M29" s="1"/>
      <c r="N29" s="1"/>
      <c r="O29" s="1">
        <v>0</v>
      </c>
      <c r="P29" s="1">
        <f t="shared" si="2"/>
        <v>60.401599999999995</v>
      </c>
      <c r="Q29" s="5">
        <v>500</v>
      </c>
      <c r="R29" s="1">
        <f t="shared" si="3"/>
        <v>8.6696710020926613</v>
      </c>
      <c r="S29" s="1">
        <f t="shared" si="4"/>
        <v>0.3917445895472968</v>
      </c>
      <c r="T29" s="1">
        <v>0</v>
      </c>
      <c r="U29" s="1"/>
      <c r="V29" s="1">
        <f t="shared" si="8"/>
        <v>500</v>
      </c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5" t="s">
        <v>55</v>
      </c>
      <c r="B30" s="1" t="s">
        <v>26</v>
      </c>
      <c r="C30" s="1"/>
      <c r="D30" s="1"/>
      <c r="E30" s="1"/>
      <c r="F30" s="1"/>
      <c r="G30" s="7">
        <v>1</v>
      </c>
      <c r="H30" s="1">
        <v>40</v>
      </c>
      <c r="I30" s="10" t="s">
        <v>37</v>
      </c>
      <c r="J30" s="1"/>
      <c r="K30" s="1"/>
      <c r="L30" s="1">
        <f t="shared" si="1"/>
        <v>0</v>
      </c>
      <c r="M30" s="1"/>
      <c r="N30" s="1"/>
      <c r="O30" s="1">
        <v>33.232019954732323</v>
      </c>
      <c r="P30" s="1">
        <f t="shared" si="2"/>
        <v>0</v>
      </c>
      <c r="Q30" s="5"/>
      <c r="R30" s="1" t="e">
        <f t="shared" si="3"/>
        <v>#DIV/0!</v>
      </c>
      <c r="S30" s="1" t="e">
        <f t="shared" si="4"/>
        <v>#DIV/0!</v>
      </c>
      <c r="T30" s="1">
        <v>0</v>
      </c>
      <c r="U30" s="1"/>
      <c r="V30" s="1">
        <f t="shared" si="8"/>
        <v>0</v>
      </c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56</v>
      </c>
      <c r="B31" s="1" t="s">
        <v>26</v>
      </c>
      <c r="C31" s="1"/>
      <c r="D31" s="1">
        <v>40.838999999999999</v>
      </c>
      <c r="E31" s="1"/>
      <c r="F31" s="1">
        <v>40.838999999999999</v>
      </c>
      <c r="G31" s="7">
        <v>1</v>
      </c>
      <c r="H31" s="1">
        <v>30</v>
      </c>
      <c r="I31" s="1" t="s">
        <v>27</v>
      </c>
      <c r="J31" s="1"/>
      <c r="K31" s="1">
        <v>1.3</v>
      </c>
      <c r="L31" s="1">
        <f t="shared" si="1"/>
        <v>-1.3</v>
      </c>
      <c r="M31" s="1"/>
      <c r="N31" s="1"/>
      <c r="O31" s="1">
        <v>20</v>
      </c>
      <c r="P31" s="1">
        <f t="shared" si="2"/>
        <v>0</v>
      </c>
      <c r="Q31" s="5"/>
      <c r="R31" s="1" t="e">
        <f t="shared" si="3"/>
        <v>#DIV/0!</v>
      </c>
      <c r="S31" s="1" t="e">
        <f t="shared" si="4"/>
        <v>#DIV/0!</v>
      </c>
      <c r="T31" s="1">
        <v>0</v>
      </c>
      <c r="U31" s="1"/>
      <c r="V31" s="1">
        <f t="shared" si="8"/>
        <v>0</v>
      </c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5" t="s">
        <v>57</v>
      </c>
      <c r="B32" s="1" t="s">
        <v>26</v>
      </c>
      <c r="C32" s="1"/>
      <c r="D32" s="1"/>
      <c r="E32" s="1">
        <v>-0.88200000000000001</v>
      </c>
      <c r="F32" s="1"/>
      <c r="G32" s="7">
        <v>1</v>
      </c>
      <c r="H32" s="1">
        <v>50</v>
      </c>
      <c r="I32" s="10" t="s">
        <v>37</v>
      </c>
      <c r="J32" s="1"/>
      <c r="K32" s="1">
        <v>3.3</v>
      </c>
      <c r="L32" s="1">
        <f t="shared" si="1"/>
        <v>-4.1819999999999995</v>
      </c>
      <c r="M32" s="1"/>
      <c r="N32" s="1"/>
      <c r="O32" s="1">
        <v>0</v>
      </c>
      <c r="P32" s="1">
        <f t="shared" si="2"/>
        <v>-0.1764</v>
      </c>
      <c r="Q32" s="5">
        <v>10</v>
      </c>
      <c r="R32" s="1">
        <f t="shared" si="3"/>
        <v>-56.689342403628117</v>
      </c>
      <c r="S32" s="1">
        <f t="shared" si="4"/>
        <v>0</v>
      </c>
      <c r="T32" s="1">
        <v>0</v>
      </c>
      <c r="U32" s="1" t="s">
        <v>47</v>
      </c>
      <c r="V32" s="1">
        <f t="shared" si="8"/>
        <v>10</v>
      </c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5" t="s">
        <v>58</v>
      </c>
      <c r="B33" s="1" t="s">
        <v>26</v>
      </c>
      <c r="C33" s="1"/>
      <c r="D33" s="1"/>
      <c r="E33" s="1">
        <v>1.8260000000000001</v>
      </c>
      <c r="F33" s="1"/>
      <c r="G33" s="7">
        <v>1</v>
      </c>
      <c r="H33" s="1">
        <v>50</v>
      </c>
      <c r="I33" s="10" t="s">
        <v>37</v>
      </c>
      <c r="J33" s="1"/>
      <c r="K33" s="1">
        <v>7.7</v>
      </c>
      <c r="L33" s="1">
        <f t="shared" si="1"/>
        <v>-5.8740000000000006</v>
      </c>
      <c r="M33" s="1"/>
      <c r="N33" s="1"/>
      <c r="O33" s="1">
        <v>9.6470405530934649</v>
      </c>
      <c r="P33" s="1">
        <f t="shared" si="2"/>
        <v>0.36520000000000002</v>
      </c>
      <c r="Q33" s="5">
        <v>10</v>
      </c>
      <c r="R33" s="1">
        <f t="shared" si="3"/>
        <v>53.798029992041251</v>
      </c>
      <c r="S33" s="1">
        <f t="shared" si="4"/>
        <v>26.415773694122301</v>
      </c>
      <c r="T33" s="1">
        <v>0</v>
      </c>
      <c r="U33" s="1"/>
      <c r="V33" s="1">
        <f t="shared" si="8"/>
        <v>10</v>
      </c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5" t="s">
        <v>59</v>
      </c>
      <c r="B34" s="1" t="s">
        <v>31</v>
      </c>
      <c r="C34" s="1"/>
      <c r="D34" s="1">
        <v>379</v>
      </c>
      <c r="E34" s="1">
        <v>195</v>
      </c>
      <c r="F34" s="1">
        <v>123</v>
      </c>
      <c r="G34" s="7">
        <v>0.4</v>
      </c>
      <c r="H34" s="1">
        <v>45</v>
      </c>
      <c r="I34" s="10" t="s">
        <v>37</v>
      </c>
      <c r="J34" s="1"/>
      <c r="K34" s="1">
        <v>524</v>
      </c>
      <c r="L34" s="1">
        <f t="shared" si="1"/>
        <v>-329</v>
      </c>
      <c r="M34" s="1"/>
      <c r="N34" s="1"/>
      <c r="O34" s="1">
        <v>451.36414048059152</v>
      </c>
      <c r="P34" s="1">
        <f t="shared" si="2"/>
        <v>39</v>
      </c>
      <c r="Q34" s="5">
        <v>150</v>
      </c>
      <c r="R34" s="1">
        <f t="shared" si="3"/>
        <v>18.573439499502346</v>
      </c>
      <c r="S34" s="1">
        <f t="shared" si="4"/>
        <v>14.727285653348499</v>
      </c>
      <c r="T34" s="1">
        <v>0</v>
      </c>
      <c r="U34" s="1"/>
      <c r="V34" s="1">
        <f t="shared" si="8"/>
        <v>60</v>
      </c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60</v>
      </c>
      <c r="B35" s="1" t="s">
        <v>31</v>
      </c>
      <c r="C35" s="1"/>
      <c r="D35" s="1">
        <v>676</v>
      </c>
      <c r="E35" s="1">
        <v>123</v>
      </c>
      <c r="F35" s="1">
        <v>550</v>
      </c>
      <c r="G35" s="7">
        <v>0.45</v>
      </c>
      <c r="H35" s="1">
        <v>50</v>
      </c>
      <c r="I35" s="1" t="s">
        <v>27</v>
      </c>
      <c r="J35" s="1"/>
      <c r="K35" s="1">
        <v>116</v>
      </c>
      <c r="L35" s="1">
        <f t="shared" si="1"/>
        <v>7</v>
      </c>
      <c r="M35" s="1"/>
      <c r="N35" s="1"/>
      <c r="O35" s="1">
        <v>0</v>
      </c>
      <c r="P35" s="1">
        <f t="shared" si="2"/>
        <v>24.6</v>
      </c>
      <c r="Q35" s="5"/>
      <c r="R35" s="1">
        <f t="shared" si="3"/>
        <v>22.35772357723577</v>
      </c>
      <c r="S35" s="1">
        <f t="shared" si="4"/>
        <v>22.35772357723577</v>
      </c>
      <c r="T35" s="1">
        <v>0</v>
      </c>
      <c r="U35" s="1"/>
      <c r="V35" s="1">
        <f t="shared" si="8"/>
        <v>0</v>
      </c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5" t="s">
        <v>61</v>
      </c>
      <c r="B36" s="1" t="s">
        <v>31</v>
      </c>
      <c r="C36" s="1"/>
      <c r="D36" s="1">
        <v>170</v>
      </c>
      <c r="E36" s="1">
        <v>165</v>
      </c>
      <c r="F36" s="1">
        <v>-1</v>
      </c>
      <c r="G36" s="7">
        <v>0.4</v>
      </c>
      <c r="H36" s="1">
        <v>45</v>
      </c>
      <c r="I36" s="10" t="s">
        <v>37</v>
      </c>
      <c r="J36" s="1"/>
      <c r="K36" s="1">
        <v>371</v>
      </c>
      <c r="L36" s="1">
        <f t="shared" si="1"/>
        <v>-206</v>
      </c>
      <c r="M36" s="1"/>
      <c r="N36" s="1"/>
      <c r="O36" s="1">
        <v>100</v>
      </c>
      <c r="P36" s="1">
        <f t="shared" si="2"/>
        <v>33</v>
      </c>
      <c r="Q36" s="5">
        <v>300</v>
      </c>
      <c r="R36" s="1">
        <f t="shared" si="3"/>
        <v>12.090909090909092</v>
      </c>
      <c r="S36" s="1">
        <f t="shared" si="4"/>
        <v>3</v>
      </c>
      <c r="T36" s="1">
        <v>0</v>
      </c>
      <c r="U36" s="1"/>
      <c r="V36" s="1">
        <f t="shared" si="8"/>
        <v>120</v>
      </c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5" t="s">
        <v>62</v>
      </c>
      <c r="B37" s="1" t="s">
        <v>31</v>
      </c>
      <c r="C37" s="1"/>
      <c r="D37" s="1"/>
      <c r="E37" s="1"/>
      <c r="F37" s="1"/>
      <c r="G37" s="7">
        <v>0.4</v>
      </c>
      <c r="H37" s="1">
        <v>40</v>
      </c>
      <c r="I37" s="10" t="s">
        <v>37</v>
      </c>
      <c r="J37" s="1"/>
      <c r="K37" s="1">
        <v>126</v>
      </c>
      <c r="L37" s="1">
        <f t="shared" si="1"/>
        <v>-126</v>
      </c>
      <c r="M37" s="1"/>
      <c r="N37" s="1"/>
      <c r="O37" s="1">
        <v>24.418604651162791</v>
      </c>
      <c r="P37" s="1">
        <f t="shared" si="2"/>
        <v>0</v>
      </c>
      <c r="Q37" s="5">
        <v>80</v>
      </c>
      <c r="R37" s="1" t="e">
        <f t="shared" si="3"/>
        <v>#DIV/0!</v>
      </c>
      <c r="S37" s="1" t="e">
        <f t="shared" si="4"/>
        <v>#DIV/0!</v>
      </c>
      <c r="T37" s="1">
        <v>0</v>
      </c>
      <c r="U37" s="1"/>
      <c r="V37" s="1">
        <f t="shared" si="8"/>
        <v>32</v>
      </c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5" t="s">
        <v>63</v>
      </c>
      <c r="B38" s="1" t="s">
        <v>26</v>
      </c>
      <c r="C38" s="1"/>
      <c r="D38" s="1">
        <v>34.137999999999998</v>
      </c>
      <c r="E38" s="1">
        <v>4.3079999999999998</v>
      </c>
      <c r="F38" s="1">
        <v>34.137999999999998</v>
      </c>
      <c r="G38" s="7">
        <v>1</v>
      </c>
      <c r="H38" s="1">
        <v>45</v>
      </c>
      <c r="I38" s="10" t="s">
        <v>37</v>
      </c>
      <c r="J38" s="1"/>
      <c r="K38" s="1"/>
      <c r="L38" s="1">
        <f t="shared" ref="L38:L69" si="9">E38-K38</f>
        <v>4.3079999999999998</v>
      </c>
      <c r="M38" s="1"/>
      <c r="N38" s="1"/>
      <c r="O38" s="1">
        <v>2.4824768348877129</v>
      </c>
      <c r="P38" s="1">
        <f t="shared" ref="P38:P69" si="10">E38/5</f>
        <v>0.86159999999999992</v>
      </c>
      <c r="Q38" s="5"/>
      <c r="R38" s="1">
        <f t="shared" ref="R38:R69" si="11">(F38+O38+Q38)/P38</f>
        <v>42.502874692302363</v>
      </c>
      <c r="S38" s="1">
        <f t="shared" ref="S38:S69" si="12">(F38+O38)/P38</f>
        <v>42.502874692302363</v>
      </c>
      <c r="T38" s="1">
        <v>0</v>
      </c>
      <c r="U38" s="1" t="s">
        <v>47</v>
      </c>
      <c r="V38" s="1">
        <f t="shared" si="8"/>
        <v>0</v>
      </c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64</v>
      </c>
      <c r="B39" s="1" t="s">
        <v>31</v>
      </c>
      <c r="C39" s="1"/>
      <c r="D39" s="1">
        <v>166</v>
      </c>
      <c r="E39" s="1">
        <v>33</v>
      </c>
      <c r="F39" s="1">
        <v>130</v>
      </c>
      <c r="G39" s="7">
        <v>0.1</v>
      </c>
      <c r="H39" s="1">
        <v>731</v>
      </c>
      <c r="I39" s="1" t="s">
        <v>27</v>
      </c>
      <c r="J39" s="1"/>
      <c r="K39" s="1">
        <v>34</v>
      </c>
      <c r="L39" s="1">
        <f t="shared" si="9"/>
        <v>-1</v>
      </c>
      <c r="M39" s="1"/>
      <c r="N39" s="1"/>
      <c r="O39" s="1">
        <v>61.323671497584563</v>
      </c>
      <c r="P39" s="1">
        <f t="shared" si="10"/>
        <v>6.6</v>
      </c>
      <c r="Q39" s="5"/>
      <c r="R39" s="1">
        <f t="shared" si="11"/>
        <v>28.988435075391603</v>
      </c>
      <c r="S39" s="1">
        <f t="shared" si="12"/>
        <v>28.988435075391603</v>
      </c>
      <c r="T39" s="1">
        <v>0</v>
      </c>
      <c r="U39" s="1" t="s">
        <v>47</v>
      </c>
      <c r="V39" s="1">
        <f t="shared" si="8"/>
        <v>0</v>
      </c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15" t="s">
        <v>65</v>
      </c>
      <c r="B40" s="1" t="s">
        <v>31</v>
      </c>
      <c r="C40" s="1"/>
      <c r="D40" s="1"/>
      <c r="E40" s="1">
        <v>1</v>
      </c>
      <c r="F40" s="1"/>
      <c r="G40" s="7">
        <v>0.35</v>
      </c>
      <c r="H40" s="1">
        <v>40</v>
      </c>
      <c r="I40" s="10" t="s">
        <v>37</v>
      </c>
      <c r="J40" s="1"/>
      <c r="K40" s="1">
        <v>2</v>
      </c>
      <c r="L40" s="1">
        <f t="shared" si="9"/>
        <v>-1</v>
      </c>
      <c r="M40" s="1"/>
      <c r="N40" s="1"/>
      <c r="O40" s="1">
        <v>0</v>
      </c>
      <c r="P40" s="1">
        <f t="shared" si="10"/>
        <v>0.2</v>
      </c>
      <c r="Q40" s="5">
        <v>4</v>
      </c>
      <c r="R40" s="1">
        <f t="shared" si="11"/>
        <v>20</v>
      </c>
      <c r="S40" s="1">
        <f t="shared" si="12"/>
        <v>0</v>
      </c>
      <c r="T40" s="1">
        <v>0</v>
      </c>
      <c r="U40" s="1"/>
      <c r="V40" s="1">
        <f t="shared" si="8"/>
        <v>1.4</v>
      </c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5">
      <c r="A41" s="15" t="s">
        <v>66</v>
      </c>
      <c r="B41" s="1" t="s">
        <v>26</v>
      </c>
      <c r="C41" s="1"/>
      <c r="D41" s="1"/>
      <c r="E41" s="1"/>
      <c r="F41" s="1"/>
      <c r="G41" s="7">
        <v>1</v>
      </c>
      <c r="H41" s="1">
        <v>40</v>
      </c>
      <c r="I41" s="10" t="s">
        <v>37</v>
      </c>
      <c r="J41" s="1"/>
      <c r="K41" s="1">
        <v>34.6</v>
      </c>
      <c r="L41" s="1">
        <f t="shared" si="9"/>
        <v>-34.6</v>
      </c>
      <c r="M41" s="1"/>
      <c r="N41" s="1"/>
      <c r="O41" s="1">
        <v>15.599855395932231</v>
      </c>
      <c r="P41" s="1">
        <f t="shared" si="10"/>
        <v>0</v>
      </c>
      <c r="Q41" s="5">
        <v>40</v>
      </c>
      <c r="R41" s="1" t="e">
        <f t="shared" si="11"/>
        <v>#DIV/0!</v>
      </c>
      <c r="S41" s="1" t="e">
        <f t="shared" si="12"/>
        <v>#DIV/0!</v>
      </c>
      <c r="T41" s="1">
        <v>0</v>
      </c>
      <c r="U41" s="1" t="s">
        <v>47</v>
      </c>
      <c r="V41" s="1">
        <f t="shared" si="8"/>
        <v>40</v>
      </c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A42" s="15" t="s">
        <v>67</v>
      </c>
      <c r="B42" s="1" t="s">
        <v>31</v>
      </c>
      <c r="C42" s="1"/>
      <c r="D42" s="1">
        <v>60</v>
      </c>
      <c r="E42" s="1">
        <v>56</v>
      </c>
      <c r="F42" s="1">
        <v>2</v>
      </c>
      <c r="G42" s="7">
        <v>0.4</v>
      </c>
      <c r="H42" s="1">
        <v>40</v>
      </c>
      <c r="I42" s="10" t="s">
        <v>37</v>
      </c>
      <c r="J42" s="1"/>
      <c r="K42" s="1">
        <v>199</v>
      </c>
      <c r="L42" s="1">
        <f t="shared" si="9"/>
        <v>-143</v>
      </c>
      <c r="M42" s="1"/>
      <c r="N42" s="1"/>
      <c r="O42" s="1">
        <v>84.703832752613238</v>
      </c>
      <c r="P42" s="1">
        <f t="shared" si="10"/>
        <v>11.2</v>
      </c>
      <c r="Q42" s="5">
        <v>150</v>
      </c>
      <c r="R42" s="1">
        <f t="shared" si="11"/>
        <v>21.134270781483327</v>
      </c>
      <c r="S42" s="1">
        <f t="shared" si="12"/>
        <v>7.7414136386261827</v>
      </c>
      <c r="T42" s="1">
        <v>0</v>
      </c>
      <c r="U42" s="1"/>
      <c r="V42" s="1">
        <f t="shared" si="8"/>
        <v>60</v>
      </c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5">
      <c r="A43" s="1" t="s">
        <v>68</v>
      </c>
      <c r="B43" s="1" t="s">
        <v>31</v>
      </c>
      <c r="C43" s="1"/>
      <c r="D43" s="1">
        <v>80</v>
      </c>
      <c r="E43" s="1">
        <v>68</v>
      </c>
      <c r="F43" s="1">
        <v>2</v>
      </c>
      <c r="G43" s="7">
        <v>0.4</v>
      </c>
      <c r="H43" s="1">
        <v>45</v>
      </c>
      <c r="I43" s="1" t="s">
        <v>27</v>
      </c>
      <c r="J43" s="1"/>
      <c r="K43" s="1">
        <v>168</v>
      </c>
      <c r="L43" s="1">
        <f t="shared" si="9"/>
        <v>-100</v>
      </c>
      <c r="M43" s="1"/>
      <c r="N43" s="1"/>
      <c r="O43" s="1">
        <v>174.48979591836741</v>
      </c>
      <c r="P43" s="1">
        <f t="shared" si="10"/>
        <v>13.6</v>
      </c>
      <c r="Q43" s="5">
        <v>30</v>
      </c>
      <c r="R43" s="1">
        <f t="shared" si="11"/>
        <v>15.183073229291722</v>
      </c>
      <c r="S43" s="1">
        <f t="shared" si="12"/>
        <v>12.977190876350544</v>
      </c>
      <c r="T43" s="1">
        <v>0</v>
      </c>
      <c r="U43" s="1"/>
      <c r="V43" s="1">
        <f t="shared" si="8"/>
        <v>12</v>
      </c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5">
      <c r="A44" s="15" t="s">
        <v>69</v>
      </c>
      <c r="B44" s="1" t="s">
        <v>26</v>
      </c>
      <c r="C44" s="1"/>
      <c r="D44" s="1"/>
      <c r="E44" s="1"/>
      <c r="F44" s="1"/>
      <c r="G44" s="7">
        <v>1</v>
      </c>
      <c r="H44" s="1">
        <v>40</v>
      </c>
      <c r="I44" s="10" t="s">
        <v>37</v>
      </c>
      <c r="J44" s="1"/>
      <c r="K44" s="1">
        <v>60.9</v>
      </c>
      <c r="L44" s="1">
        <f t="shared" si="9"/>
        <v>-60.9</v>
      </c>
      <c r="M44" s="1"/>
      <c r="N44" s="1"/>
      <c r="O44" s="1">
        <v>0</v>
      </c>
      <c r="P44" s="1">
        <f t="shared" si="10"/>
        <v>0</v>
      </c>
      <c r="Q44" s="5">
        <v>50</v>
      </c>
      <c r="R44" s="1" t="e">
        <f t="shared" si="11"/>
        <v>#DIV/0!</v>
      </c>
      <c r="S44" s="1" t="e">
        <f t="shared" si="12"/>
        <v>#DIV/0!</v>
      </c>
      <c r="T44" s="1">
        <v>0</v>
      </c>
      <c r="U44" s="1" t="s">
        <v>47</v>
      </c>
      <c r="V44" s="1">
        <f t="shared" si="8"/>
        <v>50</v>
      </c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5">
      <c r="A45" s="15" t="s">
        <v>70</v>
      </c>
      <c r="B45" s="1" t="s">
        <v>31</v>
      </c>
      <c r="C45" s="1"/>
      <c r="D45" s="1"/>
      <c r="E45" s="1">
        <v>1</v>
      </c>
      <c r="F45" s="1"/>
      <c r="G45" s="7">
        <v>0.35</v>
      </c>
      <c r="H45" s="1">
        <v>40</v>
      </c>
      <c r="I45" s="10" t="s">
        <v>37</v>
      </c>
      <c r="J45" s="1"/>
      <c r="K45" s="1">
        <v>38</v>
      </c>
      <c r="L45" s="1">
        <f t="shared" si="9"/>
        <v>-37</v>
      </c>
      <c r="M45" s="1"/>
      <c r="N45" s="1"/>
      <c r="O45" s="1">
        <v>45.484949832775918</v>
      </c>
      <c r="P45" s="1">
        <f t="shared" si="10"/>
        <v>0.2</v>
      </c>
      <c r="Q45" s="5">
        <v>20</v>
      </c>
      <c r="R45" s="1">
        <f t="shared" si="11"/>
        <v>327.4247491638796</v>
      </c>
      <c r="S45" s="1">
        <f t="shared" si="12"/>
        <v>227.42474916387957</v>
      </c>
      <c r="T45" s="1">
        <v>0</v>
      </c>
      <c r="U45" s="1"/>
      <c r="V45" s="1">
        <f t="shared" si="8"/>
        <v>7</v>
      </c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s="15" t="s">
        <v>71</v>
      </c>
      <c r="B46" s="1" t="s">
        <v>31</v>
      </c>
      <c r="C46" s="1"/>
      <c r="D46" s="1">
        <v>494</v>
      </c>
      <c r="E46" s="1">
        <v>108</v>
      </c>
      <c r="F46" s="1">
        <v>346</v>
      </c>
      <c r="G46" s="7">
        <v>0.4</v>
      </c>
      <c r="H46" s="1">
        <v>40</v>
      </c>
      <c r="I46" s="10" t="s">
        <v>37</v>
      </c>
      <c r="J46" s="1"/>
      <c r="K46" s="1">
        <v>135</v>
      </c>
      <c r="L46" s="1">
        <f t="shared" si="9"/>
        <v>-27</v>
      </c>
      <c r="M46" s="1"/>
      <c r="N46" s="1"/>
      <c r="O46" s="1">
        <v>0</v>
      </c>
      <c r="P46" s="1">
        <f t="shared" si="10"/>
        <v>21.6</v>
      </c>
      <c r="Q46" s="5"/>
      <c r="R46" s="1">
        <f t="shared" si="11"/>
        <v>16.018518518518519</v>
      </c>
      <c r="S46" s="1">
        <f t="shared" si="12"/>
        <v>16.018518518518519</v>
      </c>
      <c r="T46" s="1">
        <v>0</v>
      </c>
      <c r="U46" s="1"/>
      <c r="V46" s="1">
        <f t="shared" si="8"/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5">
      <c r="A47" s="1" t="s">
        <v>72</v>
      </c>
      <c r="B47" s="1" t="s">
        <v>26</v>
      </c>
      <c r="C47" s="1"/>
      <c r="D47" s="1">
        <v>32.228000000000002</v>
      </c>
      <c r="E47" s="1">
        <v>51.171999999999997</v>
      </c>
      <c r="F47" s="1">
        <v>-4.0789999999999997</v>
      </c>
      <c r="G47" s="7">
        <v>1</v>
      </c>
      <c r="H47" s="1">
        <v>50</v>
      </c>
      <c r="I47" s="1" t="s">
        <v>27</v>
      </c>
      <c r="J47" s="1"/>
      <c r="K47" s="1">
        <v>50</v>
      </c>
      <c r="L47" s="1">
        <f t="shared" si="9"/>
        <v>1.171999999999997</v>
      </c>
      <c r="M47" s="1"/>
      <c r="N47" s="1"/>
      <c r="O47" s="1">
        <v>21.273088969871559</v>
      </c>
      <c r="P47" s="1">
        <f t="shared" si="10"/>
        <v>10.234399999999999</v>
      </c>
      <c r="Q47" s="5">
        <f t="shared" ref="Q26:Q67" si="13">12*P47-O47-F47</f>
        <v>105.61871103012841</v>
      </c>
      <c r="R47" s="1">
        <f t="shared" si="11"/>
        <v>11.999999999999998</v>
      </c>
      <c r="S47" s="1">
        <f t="shared" si="12"/>
        <v>1.6800290168325998</v>
      </c>
      <c r="T47" s="1">
        <v>0</v>
      </c>
      <c r="U47" s="1"/>
      <c r="V47" s="1">
        <f t="shared" si="8"/>
        <v>105.61871103012841</v>
      </c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5">
      <c r="A48" s="1" t="s">
        <v>73</v>
      </c>
      <c r="B48" s="1" t="s">
        <v>26</v>
      </c>
      <c r="C48" s="1"/>
      <c r="D48" s="1">
        <v>31.942</v>
      </c>
      <c r="E48" s="1">
        <v>18.678000000000001</v>
      </c>
      <c r="F48" s="1">
        <v>-0.08</v>
      </c>
      <c r="G48" s="7">
        <v>1</v>
      </c>
      <c r="H48" s="1">
        <v>50</v>
      </c>
      <c r="I48" s="1" t="s">
        <v>27</v>
      </c>
      <c r="J48" s="1"/>
      <c r="K48" s="1">
        <v>46.1</v>
      </c>
      <c r="L48" s="1">
        <f t="shared" si="9"/>
        <v>-27.422000000000001</v>
      </c>
      <c r="M48" s="1"/>
      <c r="N48" s="1"/>
      <c r="O48" s="1">
        <v>0</v>
      </c>
      <c r="P48" s="1">
        <f t="shared" si="10"/>
        <v>3.7356000000000003</v>
      </c>
      <c r="Q48" s="5">
        <f t="shared" si="13"/>
        <v>44.907200000000003</v>
      </c>
      <c r="R48" s="1">
        <f t="shared" si="11"/>
        <v>12</v>
      </c>
      <c r="S48" s="1">
        <f t="shared" si="12"/>
        <v>-2.1415569118749329E-2</v>
      </c>
      <c r="T48" s="1">
        <v>0</v>
      </c>
      <c r="U48" s="1" t="s">
        <v>47</v>
      </c>
      <c r="V48" s="1">
        <f t="shared" si="8"/>
        <v>44.907200000000003</v>
      </c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5">
      <c r="A49" s="15" t="s">
        <v>74</v>
      </c>
      <c r="B49" s="1" t="s">
        <v>26</v>
      </c>
      <c r="C49" s="1"/>
      <c r="D49" s="1"/>
      <c r="E49" s="1"/>
      <c r="F49" s="1"/>
      <c r="G49" s="7">
        <v>1</v>
      </c>
      <c r="H49" s="1">
        <v>45</v>
      </c>
      <c r="I49" s="10" t="s">
        <v>37</v>
      </c>
      <c r="J49" s="1"/>
      <c r="K49" s="1"/>
      <c r="L49" s="1">
        <f t="shared" si="9"/>
        <v>0</v>
      </c>
      <c r="M49" s="1"/>
      <c r="N49" s="1"/>
      <c r="O49" s="1">
        <v>0</v>
      </c>
      <c r="P49" s="1">
        <f t="shared" si="10"/>
        <v>0</v>
      </c>
      <c r="Q49" s="5">
        <v>8</v>
      </c>
      <c r="R49" s="1" t="e">
        <f t="shared" si="11"/>
        <v>#DIV/0!</v>
      </c>
      <c r="S49" s="1" t="e">
        <f t="shared" si="12"/>
        <v>#DIV/0!</v>
      </c>
      <c r="T49" s="1">
        <v>0</v>
      </c>
      <c r="U49" s="1"/>
      <c r="V49" s="1">
        <f t="shared" si="8"/>
        <v>8</v>
      </c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5">
      <c r="A50" s="1" t="s">
        <v>75</v>
      </c>
      <c r="B50" s="1" t="s">
        <v>31</v>
      </c>
      <c r="C50" s="1"/>
      <c r="D50" s="1">
        <v>220</v>
      </c>
      <c r="E50" s="1">
        <v>48</v>
      </c>
      <c r="F50" s="1">
        <v>161</v>
      </c>
      <c r="G50" s="7">
        <v>0.45</v>
      </c>
      <c r="H50" s="1">
        <v>50</v>
      </c>
      <c r="I50" s="1" t="s">
        <v>27</v>
      </c>
      <c r="J50" s="1"/>
      <c r="K50" s="1">
        <v>53</v>
      </c>
      <c r="L50" s="1">
        <f t="shared" si="9"/>
        <v>-5</v>
      </c>
      <c r="M50" s="1"/>
      <c r="N50" s="1"/>
      <c r="O50" s="1">
        <v>0</v>
      </c>
      <c r="P50" s="1">
        <f t="shared" si="10"/>
        <v>9.6</v>
      </c>
      <c r="Q50" s="5"/>
      <c r="R50" s="1">
        <f t="shared" si="11"/>
        <v>16.770833333333336</v>
      </c>
      <c r="S50" s="1">
        <f t="shared" si="12"/>
        <v>16.770833333333336</v>
      </c>
      <c r="T50" s="1">
        <v>0</v>
      </c>
      <c r="U50" s="1"/>
      <c r="V50" s="1">
        <f t="shared" si="8"/>
        <v>0</v>
      </c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5">
      <c r="A51" s="1" t="s">
        <v>76</v>
      </c>
      <c r="B51" s="1" t="s">
        <v>31</v>
      </c>
      <c r="C51" s="1"/>
      <c r="D51" s="1">
        <v>320</v>
      </c>
      <c r="E51" s="1">
        <v>106</v>
      </c>
      <c r="F51" s="1">
        <v>232</v>
      </c>
      <c r="G51" s="7">
        <v>0.45</v>
      </c>
      <c r="H51" s="1">
        <v>50</v>
      </c>
      <c r="I51" s="1" t="s">
        <v>27</v>
      </c>
      <c r="J51" s="1"/>
      <c r="K51" s="1">
        <v>80</v>
      </c>
      <c r="L51" s="1">
        <f t="shared" si="9"/>
        <v>26</v>
      </c>
      <c r="M51" s="1"/>
      <c r="N51" s="1"/>
      <c r="O51" s="1">
        <v>76.688372093023276</v>
      </c>
      <c r="P51" s="1">
        <f t="shared" si="10"/>
        <v>21.2</v>
      </c>
      <c r="Q51" s="5"/>
      <c r="R51" s="1">
        <f t="shared" si="11"/>
        <v>14.560772268538836</v>
      </c>
      <c r="S51" s="1">
        <f t="shared" si="12"/>
        <v>14.560772268538836</v>
      </c>
      <c r="T51" s="1">
        <v>0</v>
      </c>
      <c r="U51" s="1"/>
      <c r="V51" s="1">
        <f t="shared" si="8"/>
        <v>0</v>
      </c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5">
      <c r="A52" s="15" t="s">
        <v>77</v>
      </c>
      <c r="B52" s="1" t="s">
        <v>31</v>
      </c>
      <c r="C52" s="1"/>
      <c r="D52" s="1"/>
      <c r="E52" s="1"/>
      <c r="F52" s="1"/>
      <c r="G52" s="7">
        <v>0.4</v>
      </c>
      <c r="H52" s="1">
        <v>40</v>
      </c>
      <c r="I52" s="10" t="s">
        <v>37</v>
      </c>
      <c r="J52" s="1"/>
      <c r="K52" s="1">
        <v>4</v>
      </c>
      <c r="L52" s="1">
        <f t="shared" si="9"/>
        <v>-4</v>
      </c>
      <c r="M52" s="1"/>
      <c r="N52" s="1"/>
      <c r="O52" s="1">
        <v>4.7719298245614032</v>
      </c>
      <c r="P52" s="1">
        <f t="shared" si="10"/>
        <v>0</v>
      </c>
      <c r="Q52" s="5">
        <v>8</v>
      </c>
      <c r="R52" s="1" t="e">
        <f t="shared" si="11"/>
        <v>#DIV/0!</v>
      </c>
      <c r="S52" s="1" t="e">
        <f t="shared" si="12"/>
        <v>#DIV/0!</v>
      </c>
      <c r="T52" s="1">
        <v>0</v>
      </c>
      <c r="U52" s="1"/>
      <c r="V52" s="1">
        <f t="shared" si="8"/>
        <v>3.2</v>
      </c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25">
      <c r="A53" s="15" t="s">
        <v>78</v>
      </c>
      <c r="B53" s="1" t="s">
        <v>31</v>
      </c>
      <c r="C53" s="1"/>
      <c r="D53" s="1"/>
      <c r="E53" s="1"/>
      <c r="F53" s="1"/>
      <c r="G53" s="7">
        <v>0.4</v>
      </c>
      <c r="H53" s="1">
        <v>40</v>
      </c>
      <c r="I53" s="10" t="s">
        <v>37</v>
      </c>
      <c r="J53" s="1"/>
      <c r="K53" s="1">
        <v>11</v>
      </c>
      <c r="L53" s="1">
        <f t="shared" si="9"/>
        <v>-11</v>
      </c>
      <c r="M53" s="1"/>
      <c r="N53" s="1"/>
      <c r="O53" s="1">
        <v>13</v>
      </c>
      <c r="P53" s="1">
        <f t="shared" si="10"/>
        <v>0</v>
      </c>
      <c r="Q53" s="5">
        <v>8</v>
      </c>
      <c r="R53" s="1" t="e">
        <f t="shared" si="11"/>
        <v>#DIV/0!</v>
      </c>
      <c r="S53" s="1" t="e">
        <f t="shared" si="12"/>
        <v>#DIV/0!</v>
      </c>
      <c r="T53" s="1">
        <v>0</v>
      </c>
      <c r="U53" s="1"/>
      <c r="V53" s="1">
        <f t="shared" si="8"/>
        <v>3.2</v>
      </c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5">
      <c r="A54" s="1" t="s">
        <v>79</v>
      </c>
      <c r="B54" s="1" t="s">
        <v>26</v>
      </c>
      <c r="C54" s="1"/>
      <c r="D54" s="1">
        <v>32.389000000000003</v>
      </c>
      <c r="E54" s="1">
        <v>35.084000000000003</v>
      </c>
      <c r="F54" s="1">
        <v>4.0590000000000002</v>
      </c>
      <c r="G54" s="7">
        <v>1</v>
      </c>
      <c r="H54" s="1">
        <v>50</v>
      </c>
      <c r="I54" s="1" t="s">
        <v>27</v>
      </c>
      <c r="J54" s="1"/>
      <c r="K54" s="1">
        <v>50.7</v>
      </c>
      <c r="L54" s="1">
        <f t="shared" si="9"/>
        <v>-15.616</v>
      </c>
      <c r="M54" s="1"/>
      <c r="N54" s="1"/>
      <c r="O54" s="1">
        <v>0</v>
      </c>
      <c r="P54" s="1">
        <f t="shared" si="10"/>
        <v>7.0168000000000008</v>
      </c>
      <c r="Q54" s="5">
        <f t="shared" si="13"/>
        <v>80.142600000000016</v>
      </c>
      <c r="R54" s="1">
        <f t="shared" si="11"/>
        <v>12</v>
      </c>
      <c r="S54" s="1">
        <f t="shared" si="12"/>
        <v>0.57846881769467562</v>
      </c>
      <c r="T54" s="1">
        <v>0</v>
      </c>
      <c r="U54" s="1" t="s">
        <v>47</v>
      </c>
      <c r="V54" s="1">
        <f t="shared" si="8"/>
        <v>80.142600000000016</v>
      </c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25">
      <c r="A55" s="1" t="s">
        <v>80</v>
      </c>
      <c r="B55" s="1" t="s">
        <v>31</v>
      </c>
      <c r="C55" s="1"/>
      <c r="D55" s="1">
        <v>206</v>
      </c>
      <c r="E55" s="14">
        <f>16+E127</f>
        <v>29</v>
      </c>
      <c r="F55" s="14">
        <f>179+F127</f>
        <v>165</v>
      </c>
      <c r="G55" s="7">
        <v>0.1</v>
      </c>
      <c r="H55" s="1">
        <v>731</v>
      </c>
      <c r="I55" s="1" t="s">
        <v>27</v>
      </c>
      <c r="J55" s="1"/>
      <c r="K55" s="1">
        <v>25</v>
      </c>
      <c r="L55" s="1">
        <f t="shared" si="9"/>
        <v>4</v>
      </c>
      <c r="M55" s="1"/>
      <c r="N55" s="1"/>
      <c r="O55" s="1">
        <v>51.074947368421057</v>
      </c>
      <c r="P55" s="1">
        <f t="shared" si="10"/>
        <v>5.8</v>
      </c>
      <c r="Q55" s="5"/>
      <c r="R55" s="1">
        <f t="shared" si="11"/>
        <v>37.254301270417422</v>
      </c>
      <c r="S55" s="1">
        <f t="shared" si="12"/>
        <v>37.254301270417422</v>
      </c>
      <c r="T55" s="1">
        <v>0</v>
      </c>
      <c r="U55" s="1" t="s">
        <v>47</v>
      </c>
      <c r="V55" s="1">
        <f t="shared" si="8"/>
        <v>0</v>
      </c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25">
      <c r="A56" s="1" t="s">
        <v>81</v>
      </c>
      <c r="B56" s="1" t="s">
        <v>26</v>
      </c>
      <c r="C56" s="1"/>
      <c r="D56" s="1">
        <v>42.781999999999996</v>
      </c>
      <c r="E56" s="1">
        <v>64.305000000000007</v>
      </c>
      <c r="F56" s="1">
        <v>-3.9390000000000001</v>
      </c>
      <c r="G56" s="7">
        <v>1</v>
      </c>
      <c r="H56" s="1">
        <v>50</v>
      </c>
      <c r="I56" s="1" t="s">
        <v>27</v>
      </c>
      <c r="J56" s="1"/>
      <c r="K56" s="1">
        <v>78.7</v>
      </c>
      <c r="L56" s="1">
        <f t="shared" si="9"/>
        <v>-14.394999999999996</v>
      </c>
      <c r="M56" s="1"/>
      <c r="N56" s="1"/>
      <c r="O56" s="1">
        <v>93.94464965612103</v>
      </c>
      <c r="P56" s="1">
        <f t="shared" si="10"/>
        <v>12.861000000000001</v>
      </c>
      <c r="Q56" s="5">
        <f t="shared" si="13"/>
        <v>64.326350343878971</v>
      </c>
      <c r="R56" s="1">
        <f t="shared" si="11"/>
        <v>11.999999999999998</v>
      </c>
      <c r="S56" s="1">
        <f t="shared" si="12"/>
        <v>6.9983399157235846</v>
      </c>
      <c r="T56" s="1">
        <v>0</v>
      </c>
      <c r="U56" s="1" t="s">
        <v>47</v>
      </c>
      <c r="V56" s="1">
        <f t="shared" si="8"/>
        <v>64.326350343878971</v>
      </c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5">
      <c r="A57" s="15" t="s">
        <v>82</v>
      </c>
      <c r="B57" s="1" t="s">
        <v>26</v>
      </c>
      <c r="C57" s="1"/>
      <c r="D57" s="1"/>
      <c r="E57" s="1">
        <v>2.7170000000000001</v>
      </c>
      <c r="F57" s="1"/>
      <c r="G57" s="7">
        <v>1</v>
      </c>
      <c r="H57" s="1">
        <v>55</v>
      </c>
      <c r="I57" s="1" t="s">
        <v>27</v>
      </c>
      <c r="J57" s="1"/>
      <c r="K57" s="1">
        <v>11.7</v>
      </c>
      <c r="L57" s="1">
        <f t="shared" si="9"/>
        <v>-8.9829999999999988</v>
      </c>
      <c r="M57" s="1"/>
      <c r="N57" s="1"/>
      <c r="O57" s="1">
        <v>15.006689053055741</v>
      </c>
      <c r="P57" s="1">
        <f t="shared" si="10"/>
        <v>0.54339999999999999</v>
      </c>
      <c r="Q57" s="5">
        <v>4</v>
      </c>
      <c r="R57" s="1">
        <f t="shared" si="11"/>
        <v>34.977344595244276</v>
      </c>
      <c r="S57" s="1">
        <f t="shared" si="12"/>
        <v>27.61628460260534</v>
      </c>
      <c r="T57" s="1">
        <v>0</v>
      </c>
      <c r="U57" s="1"/>
      <c r="V57" s="1">
        <f t="shared" si="8"/>
        <v>4</v>
      </c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5">
      <c r="A58" s="15" t="s">
        <v>83</v>
      </c>
      <c r="B58" s="1" t="s">
        <v>31</v>
      </c>
      <c r="C58" s="1"/>
      <c r="D58" s="1">
        <v>248</v>
      </c>
      <c r="E58" s="1">
        <v>16</v>
      </c>
      <c r="F58" s="1">
        <v>219</v>
      </c>
      <c r="G58" s="7">
        <v>0.1</v>
      </c>
      <c r="H58" s="1">
        <v>731</v>
      </c>
      <c r="I58" s="1" t="s">
        <v>27</v>
      </c>
      <c r="J58" s="1"/>
      <c r="K58" s="1">
        <v>27</v>
      </c>
      <c r="L58" s="1">
        <f t="shared" si="9"/>
        <v>-11</v>
      </c>
      <c r="M58" s="1"/>
      <c r="N58" s="1"/>
      <c r="O58" s="1">
        <v>13.332023575638511</v>
      </c>
      <c r="P58" s="1">
        <f t="shared" si="10"/>
        <v>3.2</v>
      </c>
      <c r="Q58" s="5"/>
      <c r="R58" s="1">
        <f t="shared" si="11"/>
        <v>72.603757367387033</v>
      </c>
      <c r="S58" s="1">
        <f t="shared" si="12"/>
        <v>72.603757367387033</v>
      </c>
      <c r="T58" s="1">
        <v>0</v>
      </c>
      <c r="U58" s="1" t="s">
        <v>47</v>
      </c>
      <c r="V58" s="1">
        <f t="shared" si="8"/>
        <v>0</v>
      </c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5">
      <c r="A59" s="15" t="s">
        <v>84</v>
      </c>
      <c r="B59" s="1" t="s">
        <v>31</v>
      </c>
      <c r="C59" s="1"/>
      <c r="D59" s="1"/>
      <c r="E59" s="1"/>
      <c r="F59" s="1"/>
      <c r="G59" s="7">
        <v>0.4</v>
      </c>
      <c r="H59" s="1">
        <v>50</v>
      </c>
      <c r="I59" s="1" t="s">
        <v>27</v>
      </c>
      <c r="J59" s="1"/>
      <c r="K59" s="1">
        <v>4</v>
      </c>
      <c r="L59" s="1">
        <f t="shared" si="9"/>
        <v>-4</v>
      </c>
      <c r="M59" s="1"/>
      <c r="N59" s="1"/>
      <c r="O59" s="1">
        <v>0</v>
      </c>
      <c r="P59" s="1">
        <f t="shared" si="10"/>
        <v>0</v>
      </c>
      <c r="Q59" s="5">
        <v>10</v>
      </c>
      <c r="R59" s="1" t="e">
        <f t="shared" si="11"/>
        <v>#DIV/0!</v>
      </c>
      <c r="S59" s="1" t="e">
        <f t="shared" si="12"/>
        <v>#DIV/0!</v>
      </c>
      <c r="T59" s="1">
        <v>0</v>
      </c>
      <c r="U59" s="1"/>
      <c r="V59" s="1">
        <f t="shared" si="8"/>
        <v>4</v>
      </c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5">
      <c r="A60" s="15" t="s">
        <v>85</v>
      </c>
      <c r="B60" s="1" t="s">
        <v>26</v>
      </c>
      <c r="C60" s="1"/>
      <c r="D60" s="1">
        <v>39.963999999999999</v>
      </c>
      <c r="E60" s="1">
        <v>39.951999999999998</v>
      </c>
      <c r="F60" s="1">
        <v>1.2E-2</v>
      </c>
      <c r="G60" s="7">
        <v>1</v>
      </c>
      <c r="H60" s="1">
        <v>40</v>
      </c>
      <c r="I60" s="10" t="s">
        <v>37</v>
      </c>
      <c r="J60" s="1"/>
      <c r="K60" s="1">
        <v>50</v>
      </c>
      <c r="L60" s="1">
        <f t="shared" si="9"/>
        <v>-10.048000000000002</v>
      </c>
      <c r="M60" s="1"/>
      <c r="N60" s="1"/>
      <c r="O60" s="1">
        <v>19.025626359039741</v>
      </c>
      <c r="P60" s="1">
        <f t="shared" si="10"/>
        <v>7.9903999999999993</v>
      </c>
      <c r="Q60" s="5">
        <v>40</v>
      </c>
      <c r="R60" s="1">
        <f t="shared" si="11"/>
        <v>7.3885695783740175</v>
      </c>
      <c r="S60" s="1">
        <f t="shared" si="12"/>
        <v>2.3825623697236362</v>
      </c>
      <c r="T60" s="1">
        <v>0</v>
      </c>
      <c r="U60" s="1"/>
      <c r="V60" s="1">
        <f t="shared" si="8"/>
        <v>40</v>
      </c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25">
      <c r="A61" s="15" t="s">
        <v>86</v>
      </c>
      <c r="B61" s="1" t="s">
        <v>26</v>
      </c>
      <c r="C61" s="1"/>
      <c r="D61" s="1"/>
      <c r="E61" s="1">
        <v>1.3220000000000001</v>
      </c>
      <c r="F61" s="1"/>
      <c r="G61" s="7">
        <v>1</v>
      </c>
      <c r="H61" s="1">
        <v>40</v>
      </c>
      <c r="I61" s="10" t="s">
        <v>37</v>
      </c>
      <c r="J61" s="1"/>
      <c r="K61" s="1"/>
      <c r="L61" s="1">
        <f t="shared" si="9"/>
        <v>1.3220000000000001</v>
      </c>
      <c r="M61" s="1"/>
      <c r="N61" s="1"/>
      <c r="O61" s="1">
        <v>12.270811380400421</v>
      </c>
      <c r="P61" s="1">
        <f t="shared" si="10"/>
        <v>0.26440000000000002</v>
      </c>
      <c r="Q61" s="5">
        <v>4</v>
      </c>
      <c r="R61" s="1">
        <f t="shared" si="11"/>
        <v>61.538620954615809</v>
      </c>
      <c r="S61" s="1">
        <f t="shared" si="12"/>
        <v>46.410027913768609</v>
      </c>
      <c r="T61" s="1">
        <v>0</v>
      </c>
      <c r="U61" s="1"/>
      <c r="V61" s="1">
        <f t="shared" si="8"/>
        <v>4</v>
      </c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5">
      <c r="A62" s="15" t="s">
        <v>87</v>
      </c>
      <c r="B62" s="1" t="s">
        <v>31</v>
      </c>
      <c r="C62" s="1"/>
      <c r="D62" s="1">
        <v>84</v>
      </c>
      <c r="E62" s="1">
        <v>79</v>
      </c>
      <c r="F62" s="1">
        <v>6</v>
      </c>
      <c r="G62" s="7">
        <v>0.4</v>
      </c>
      <c r="H62" s="1">
        <v>40</v>
      </c>
      <c r="I62" s="10" t="s">
        <v>37</v>
      </c>
      <c r="J62" s="1"/>
      <c r="K62" s="1">
        <v>178</v>
      </c>
      <c r="L62" s="1">
        <f t="shared" si="9"/>
        <v>-99</v>
      </c>
      <c r="M62" s="1"/>
      <c r="N62" s="1"/>
      <c r="O62" s="1">
        <v>35.735080058224163</v>
      </c>
      <c r="P62" s="1">
        <f t="shared" si="10"/>
        <v>15.8</v>
      </c>
      <c r="Q62" s="5">
        <v>150</v>
      </c>
      <c r="R62" s="1">
        <f t="shared" si="11"/>
        <v>12.135131649254692</v>
      </c>
      <c r="S62" s="1">
        <f t="shared" si="12"/>
        <v>2.6414607631787446</v>
      </c>
      <c r="T62" s="1">
        <v>0</v>
      </c>
      <c r="U62" s="1"/>
      <c r="V62" s="1">
        <f t="shared" si="8"/>
        <v>60</v>
      </c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5">
      <c r="A63" s="15" t="s">
        <v>88</v>
      </c>
      <c r="B63" s="1" t="s">
        <v>31</v>
      </c>
      <c r="C63" s="1"/>
      <c r="D63" s="1"/>
      <c r="E63" s="1"/>
      <c r="F63" s="1"/>
      <c r="G63" s="7">
        <v>0.4</v>
      </c>
      <c r="H63" s="1">
        <v>40</v>
      </c>
      <c r="I63" s="1" t="s">
        <v>27</v>
      </c>
      <c r="J63" s="1"/>
      <c r="K63" s="1">
        <v>137</v>
      </c>
      <c r="L63" s="1">
        <f t="shared" si="9"/>
        <v>-137</v>
      </c>
      <c r="M63" s="1"/>
      <c r="N63" s="1"/>
      <c r="O63" s="1">
        <v>59.617321248741192</v>
      </c>
      <c r="P63" s="1">
        <f t="shared" si="10"/>
        <v>0</v>
      </c>
      <c r="Q63" s="5">
        <v>40</v>
      </c>
      <c r="R63" s="1" t="e">
        <f t="shared" si="11"/>
        <v>#DIV/0!</v>
      </c>
      <c r="S63" s="1" t="e">
        <f t="shared" si="12"/>
        <v>#DIV/0!</v>
      </c>
      <c r="T63" s="1">
        <v>0</v>
      </c>
      <c r="U63" s="1"/>
      <c r="V63" s="1">
        <f t="shared" si="8"/>
        <v>16</v>
      </c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5" t="s">
        <v>89</v>
      </c>
      <c r="B64" s="1" t="s">
        <v>26</v>
      </c>
      <c r="C64" s="1"/>
      <c r="D64" s="1">
        <v>38.326000000000001</v>
      </c>
      <c r="E64" s="1">
        <v>26.306000000000001</v>
      </c>
      <c r="F64" s="1">
        <v>6.5410000000000004</v>
      </c>
      <c r="G64" s="7">
        <v>1</v>
      </c>
      <c r="H64" s="1">
        <v>40</v>
      </c>
      <c r="I64" s="10" t="s">
        <v>37</v>
      </c>
      <c r="J64" s="1"/>
      <c r="K64" s="1">
        <v>39.9</v>
      </c>
      <c r="L64" s="1">
        <f t="shared" si="9"/>
        <v>-13.593999999999998</v>
      </c>
      <c r="M64" s="1"/>
      <c r="N64" s="1"/>
      <c r="O64" s="1">
        <v>18.27250411257809</v>
      </c>
      <c r="P64" s="1">
        <f t="shared" si="10"/>
        <v>5.2612000000000005</v>
      </c>
      <c r="Q64" s="5">
        <v>30</v>
      </c>
      <c r="R64" s="1">
        <f t="shared" si="11"/>
        <v>10.418441441606113</v>
      </c>
      <c r="S64" s="1">
        <f t="shared" si="12"/>
        <v>4.7163202525237757</v>
      </c>
      <c r="T64" s="1">
        <v>0</v>
      </c>
      <c r="U64" s="1"/>
      <c r="V64" s="1">
        <f t="shared" si="8"/>
        <v>30</v>
      </c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5" t="s">
        <v>90</v>
      </c>
      <c r="B65" s="1" t="s">
        <v>26</v>
      </c>
      <c r="C65" s="1"/>
      <c r="D65" s="1"/>
      <c r="E65" s="1"/>
      <c r="F65" s="1"/>
      <c r="G65" s="7">
        <v>1</v>
      </c>
      <c r="H65" s="1">
        <v>40</v>
      </c>
      <c r="I65" s="10" t="s">
        <v>37</v>
      </c>
      <c r="J65" s="1"/>
      <c r="K65" s="1">
        <v>1.6</v>
      </c>
      <c r="L65" s="1">
        <f t="shared" si="9"/>
        <v>-1.6</v>
      </c>
      <c r="M65" s="1"/>
      <c r="N65" s="1"/>
      <c r="O65" s="1">
        <v>19.493231364275669</v>
      </c>
      <c r="P65" s="1">
        <f t="shared" si="10"/>
        <v>0</v>
      </c>
      <c r="Q65" s="5"/>
      <c r="R65" s="1" t="e">
        <f t="shared" si="11"/>
        <v>#DIV/0!</v>
      </c>
      <c r="S65" s="1" t="e">
        <f t="shared" si="12"/>
        <v>#DIV/0!</v>
      </c>
      <c r="T65" s="1">
        <v>0</v>
      </c>
      <c r="U65" s="1"/>
      <c r="V65" s="1">
        <f t="shared" si="8"/>
        <v>0</v>
      </c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5" t="s">
        <v>91</v>
      </c>
      <c r="B66" s="1" t="s">
        <v>26</v>
      </c>
      <c r="C66" s="1"/>
      <c r="D66" s="1">
        <v>143.631</v>
      </c>
      <c r="E66" s="1">
        <v>119.164</v>
      </c>
      <c r="F66" s="1">
        <v>6.2809999999999997</v>
      </c>
      <c r="G66" s="7">
        <v>1</v>
      </c>
      <c r="H66" s="1">
        <v>40</v>
      </c>
      <c r="I66" s="10" t="s">
        <v>37</v>
      </c>
      <c r="J66" s="1"/>
      <c r="K66" s="1">
        <v>139.5</v>
      </c>
      <c r="L66" s="1">
        <f t="shared" si="9"/>
        <v>-20.335999999999999</v>
      </c>
      <c r="M66" s="1"/>
      <c r="N66" s="1"/>
      <c r="O66" s="1">
        <v>64.557483857380348</v>
      </c>
      <c r="P66" s="1">
        <f t="shared" si="10"/>
        <v>23.832799999999999</v>
      </c>
      <c r="Q66" s="5">
        <v>150</v>
      </c>
      <c r="R66" s="1">
        <f t="shared" si="11"/>
        <v>9.2661577262168269</v>
      </c>
      <c r="S66" s="1">
        <f t="shared" si="12"/>
        <v>2.9723105911760412</v>
      </c>
      <c r="T66" s="1">
        <v>0</v>
      </c>
      <c r="U66" s="1"/>
      <c r="V66" s="1">
        <f t="shared" si="8"/>
        <v>150</v>
      </c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25">
      <c r="A67" s="15" t="s">
        <v>92</v>
      </c>
      <c r="B67" s="1" t="s">
        <v>26</v>
      </c>
      <c r="C67" s="1"/>
      <c r="D67" s="1"/>
      <c r="E67" s="1"/>
      <c r="F67" s="1"/>
      <c r="G67" s="7">
        <v>1</v>
      </c>
      <c r="H67" s="1">
        <v>40</v>
      </c>
      <c r="I67" s="10" t="s">
        <v>37</v>
      </c>
      <c r="J67" s="1"/>
      <c r="K67" s="1"/>
      <c r="L67" s="1">
        <f t="shared" si="9"/>
        <v>0</v>
      </c>
      <c r="M67" s="1"/>
      <c r="N67" s="1"/>
      <c r="O67" s="1">
        <v>41.768911473925193</v>
      </c>
      <c r="P67" s="1">
        <f t="shared" si="10"/>
        <v>0</v>
      </c>
      <c r="Q67" s="5"/>
      <c r="R67" s="1" t="e">
        <f t="shared" si="11"/>
        <v>#DIV/0!</v>
      </c>
      <c r="S67" s="1" t="e">
        <f t="shared" si="12"/>
        <v>#DIV/0!</v>
      </c>
      <c r="T67" s="1">
        <v>0</v>
      </c>
      <c r="U67" s="1"/>
      <c r="V67" s="1">
        <f t="shared" si="8"/>
        <v>0</v>
      </c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25">
      <c r="A68" s="11" t="s">
        <v>93</v>
      </c>
      <c r="B68" s="11" t="s">
        <v>31</v>
      </c>
      <c r="C68" s="11"/>
      <c r="D68" s="11"/>
      <c r="E68" s="11"/>
      <c r="F68" s="11"/>
      <c r="G68" s="12">
        <v>0</v>
      </c>
      <c r="H68" s="11"/>
      <c r="I68" s="11" t="s">
        <v>27</v>
      </c>
      <c r="J68" s="11"/>
      <c r="K68" s="11"/>
      <c r="L68" s="11">
        <f t="shared" si="9"/>
        <v>0</v>
      </c>
      <c r="M68" s="11"/>
      <c r="N68" s="11"/>
      <c r="O68" s="11"/>
      <c r="P68" s="11">
        <f t="shared" si="10"/>
        <v>0</v>
      </c>
      <c r="Q68" s="13"/>
      <c r="R68" s="11" t="e">
        <f t="shared" si="11"/>
        <v>#DIV/0!</v>
      </c>
      <c r="S68" s="11" t="e">
        <f t="shared" si="12"/>
        <v>#DIV/0!</v>
      </c>
      <c r="T68" s="11">
        <v>0</v>
      </c>
      <c r="U68" s="11" t="s">
        <v>32</v>
      </c>
      <c r="V68" s="1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25">
      <c r="A69" s="15" t="s">
        <v>94</v>
      </c>
      <c r="B69" s="1" t="s">
        <v>26</v>
      </c>
      <c r="C69" s="1"/>
      <c r="D69" s="1">
        <v>23.431999999999999</v>
      </c>
      <c r="E69" s="1">
        <v>22.872</v>
      </c>
      <c r="F69" s="1">
        <v>0.02</v>
      </c>
      <c r="G69" s="7">
        <v>1</v>
      </c>
      <c r="H69" s="1">
        <v>30</v>
      </c>
      <c r="I69" s="10" t="s">
        <v>37</v>
      </c>
      <c r="J69" s="1"/>
      <c r="K69" s="1">
        <v>40.700000000000003</v>
      </c>
      <c r="L69" s="1">
        <f t="shared" si="9"/>
        <v>-17.828000000000003</v>
      </c>
      <c r="M69" s="1"/>
      <c r="N69" s="1"/>
      <c r="O69" s="1">
        <v>6.9587635964735233</v>
      </c>
      <c r="P69" s="1">
        <f t="shared" si="10"/>
        <v>4.5743999999999998</v>
      </c>
      <c r="Q69" s="5">
        <v>40</v>
      </c>
      <c r="R69" s="1">
        <f t="shared" si="11"/>
        <v>10.269929082824747</v>
      </c>
      <c r="S69" s="1">
        <f t="shared" si="12"/>
        <v>1.5256128883511548</v>
      </c>
      <c r="T69" s="1">
        <v>0</v>
      </c>
      <c r="U69" s="1"/>
      <c r="V69" s="1">
        <f t="shared" ref="V69:V80" si="14">G69*Q69</f>
        <v>40</v>
      </c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25">
      <c r="A70" s="15" t="s">
        <v>95</v>
      </c>
      <c r="B70" s="1" t="s">
        <v>31</v>
      </c>
      <c r="C70" s="1"/>
      <c r="D70" s="1">
        <v>204</v>
      </c>
      <c r="E70" s="1">
        <v>35</v>
      </c>
      <c r="F70" s="1">
        <v>179</v>
      </c>
      <c r="G70" s="7">
        <v>0.6</v>
      </c>
      <c r="H70" s="1">
        <v>60</v>
      </c>
      <c r="I70" s="1" t="s">
        <v>27</v>
      </c>
      <c r="J70" s="1"/>
      <c r="K70" s="1">
        <v>18</v>
      </c>
      <c r="L70" s="1">
        <f t="shared" ref="L70:L101" si="15">E70-K70</f>
        <v>17</v>
      </c>
      <c r="M70" s="1"/>
      <c r="N70" s="1"/>
      <c r="O70" s="1">
        <v>148.90212765957449</v>
      </c>
      <c r="P70" s="1">
        <f t="shared" ref="P70:P101" si="16">E70/5</f>
        <v>7</v>
      </c>
      <c r="Q70" s="5"/>
      <c r="R70" s="1">
        <f t="shared" ref="R70:R101" si="17">(F70+O70+Q70)/P70</f>
        <v>46.843161094224925</v>
      </c>
      <c r="S70" s="1">
        <f t="shared" ref="S70:S101" si="18">(F70+O70)/P70</f>
        <v>46.843161094224925</v>
      </c>
      <c r="T70" s="1">
        <v>0</v>
      </c>
      <c r="U70" s="1"/>
      <c r="V70" s="1">
        <f t="shared" si="14"/>
        <v>0</v>
      </c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25">
      <c r="A71" s="15" t="s">
        <v>96</v>
      </c>
      <c r="B71" s="1" t="s">
        <v>31</v>
      </c>
      <c r="C71" s="1"/>
      <c r="D71" s="1">
        <v>148</v>
      </c>
      <c r="E71" s="1">
        <v>53</v>
      </c>
      <c r="F71" s="1">
        <v>105</v>
      </c>
      <c r="G71" s="7">
        <v>0.6</v>
      </c>
      <c r="H71" s="1">
        <v>60</v>
      </c>
      <c r="I71" s="1" t="s">
        <v>27</v>
      </c>
      <c r="J71" s="1"/>
      <c r="K71" s="1">
        <v>36</v>
      </c>
      <c r="L71" s="1">
        <f t="shared" si="15"/>
        <v>17</v>
      </c>
      <c r="M71" s="1"/>
      <c r="N71" s="1"/>
      <c r="O71" s="1">
        <v>175.2630136986302</v>
      </c>
      <c r="P71" s="1">
        <f t="shared" si="16"/>
        <v>10.6</v>
      </c>
      <c r="Q71" s="5"/>
      <c r="R71" s="1">
        <f t="shared" si="17"/>
        <v>26.439906952700962</v>
      </c>
      <c r="S71" s="1">
        <f t="shared" si="18"/>
        <v>26.439906952700962</v>
      </c>
      <c r="T71" s="1">
        <v>0</v>
      </c>
      <c r="U71" s="1"/>
      <c r="V71" s="1">
        <f t="shared" si="14"/>
        <v>0</v>
      </c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25">
      <c r="A72" s="15" t="s">
        <v>97</v>
      </c>
      <c r="B72" s="1" t="s">
        <v>31</v>
      </c>
      <c r="C72" s="1"/>
      <c r="D72" s="1">
        <v>16</v>
      </c>
      <c r="E72" s="1">
        <v>27</v>
      </c>
      <c r="F72" s="1"/>
      <c r="G72" s="7">
        <v>0.4</v>
      </c>
      <c r="H72" s="1">
        <v>90</v>
      </c>
      <c r="I72" s="10" t="s">
        <v>37</v>
      </c>
      <c r="J72" s="1"/>
      <c r="K72" s="1">
        <v>37</v>
      </c>
      <c r="L72" s="1">
        <f t="shared" si="15"/>
        <v>-10</v>
      </c>
      <c r="M72" s="1"/>
      <c r="N72" s="1"/>
      <c r="O72" s="1">
        <v>19.781818181818181</v>
      </c>
      <c r="P72" s="1">
        <f t="shared" si="16"/>
        <v>5.4</v>
      </c>
      <c r="Q72" s="5">
        <v>30</v>
      </c>
      <c r="R72" s="1">
        <f t="shared" si="17"/>
        <v>9.218855218855218</v>
      </c>
      <c r="S72" s="1">
        <f t="shared" si="18"/>
        <v>3.6632996632996631</v>
      </c>
      <c r="T72" s="1">
        <v>0</v>
      </c>
      <c r="U72" s="1"/>
      <c r="V72" s="1">
        <f t="shared" si="14"/>
        <v>12</v>
      </c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25">
      <c r="A73" s="15" t="s">
        <v>98</v>
      </c>
      <c r="B73" s="1" t="s">
        <v>31</v>
      </c>
      <c r="C73" s="1"/>
      <c r="D73" s="1">
        <v>48</v>
      </c>
      <c r="E73" s="1">
        <v>36</v>
      </c>
      <c r="F73" s="1">
        <v>-3</v>
      </c>
      <c r="G73" s="7">
        <v>0.33</v>
      </c>
      <c r="H73" s="1">
        <v>60</v>
      </c>
      <c r="I73" s="10" t="s">
        <v>37</v>
      </c>
      <c r="J73" s="1"/>
      <c r="K73" s="1">
        <v>64</v>
      </c>
      <c r="L73" s="1">
        <f t="shared" si="15"/>
        <v>-28</v>
      </c>
      <c r="M73" s="1"/>
      <c r="N73" s="1"/>
      <c r="O73" s="1">
        <v>34.416326530612253</v>
      </c>
      <c r="P73" s="1">
        <f t="shared" si="16"/>
        <v>7.2</v>
      </c>
      <c r="Q73" s="5">
        <v>50</v>
      </c>
      <c r="R73" s="1">
        <f t="shared" si="17"/>
        <v>11.307823129251702</v>
      </c>
      <c r="S73" s="1">
        <f t="shared" si="18"/>
        <v>4.3633786848072571</v>
      </c>
      <c r="T73" s="1">
        <v>0</v>
      </c>
      <c r="U73" s="1"/>
      <c r="V73" s="1">
        <f t="shared" si="14"/>
        <v>16.5</v>
      </c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25">
      <c r="A74" s="15" t="s">
        <v>99</v>
      </c>
      <c r="B74" s="1" t="s">
        <v>31</v>
      </c>
      <c r="C74" s="1"/>
      <c r="D74" s="1">
        <v>24</v>
      </c>
      <c r="E74" s="1">
        <v>29</v>
      </c>
      <c r="F74" s="1"/>
      <c r="G74" s="7">
        <v>0.35</v>
      </c>
      <c r="H74" s="1">
        <v>90</v>
      </c>
      <c r="I74" s="10" t="s">
        <v>37</v>
      </c>
      <c r="J74" s="1"/>
      <c r="K74" s="1">
        <v>51</v>
      </c>
      <c r="L74" s="1">
        <f t="shared" si="15"/>
        <v>-22</v>
      </c>
      <c r="M74" s="1"/>
      <c r="N74" s="1"/>
      <c r="O74" s="1">
        <v>40.832535885167466</v>
      </c>
      <c r="P74" s="1">
        <f t="shared" si="16"/>
        <v>5.8</v>
      </c>
      <c r="Q74" s="5">
        <v>30</v>
      </c>
      <c r="R74" s="1">
        <f t="shared" si="17"/>
        <v>12.212506187097839</v>
      </c>
      <c r="S74" s="1">
        <f t="shared" si="18"/>
        <v>7.0400923939943914</v>
      </c>
      <c r="T74" s="1">
        <v>0</v>
      </c>
      <c r="U74" s="1"/>
      <c r="V74" s="1">
        <f t="shared" si="14"/>
        <v>10.5</v>
      </c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25">
      <c r="A75" s="15" t="s">
        <v>100</v>
      </c>
      <c r="B75" s="1" t="s">
        <v>31</v>
      </c>
      <c r="C75" s="1"/>
      <c r="D75" s="1"/>
      <c r="E75" s="1"/>
      <c r="F75" s="1"/>
      <c r="G75" s="7">
        <v>0.37</v>
      </c>
      <c r="H75" s="1"/>
      <c r="I75" s="1" t="s">
        <v>27</v>
      </c>
      <c r="J75" s="1"/>
      <c r="K75" s="1">
        <v>4</v>
      </c>
      <c r="L75" s="1">
        <f t="shared" si="15"/>
        <v>-4</v>
      </c>
      <c r="M75" s="1"/>
      <c r="N75" s="1"/>
      <c r="O75" s="1">
        <v>0</v>
      </c>
      <c r="P75" s="1">
        <f t="shared" si="16"/>
        <v>0</v>
      </c>
      <c r="Q75" s="5">
        <v>10</v>
      </c>
      <c r="R75" s="1" t="e">
        <f t="shared" si="17"/>
        <v>#DIV/0!</v>
      </c>
      <c r="S75" s="1" t="e">
        <f t="shared" si="18"/>
        <v>#DIV/0!</v>
      </c>
      <c r="T75" s="1">
        <v>0</v>
      </c>
      <c r="U75" s="1"/>
      <c r="V75" s="1">
        <f t="shared" si="14"/>
        <v>3.7</v>
      </c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25">
      <c r="A76" s="15" t="s">
        <v>101</v>
      </c>
      <c r="B76" s="1" t="s">
        <v>31</v>
      </c>
      <c r="C76" s="1"/>
      <c r="D76" s="1">
        <v>139.19999999999999</v>
      </c>
      <c r="E76" s="1">
        <v>38</v>
      </c>
      <c r="F76" s="1">
        <v>109.2</v>
      </c>
      <c r="G76" s="7">
        <v>0.6</v>
      </c>
      <c r="H76" s="1">
        <v>70</v>
      </c>
      <c r="I76" s="1" t="s">
        <v>27</v>
      </c>
      <c r="J76" s="1"/>
      <c r="K76" s="1">
        <v>21</v>
      </c>
      <c r="L76" s="1">
        <f t="shared" si="15"/>
        <v>17</v>
      </c>
      <c r="M76" s="1"/>
      <c r="N76" s="1"/>
      <c r="O76" s="1">
        <v>151.29803921568629</v>
      </c>
      <c r="P76" s="1">
        <f t="shared" si="16"/>
        <v>7.6</v>
      </c>
      <c r="Q76" s="5"/>
      <c r="R76" s="1">
        <f t="shared" si="17"/>
        <v>34.276057791537667</v>
      </c>
      <c r="S76" s="1">
        <f t="shared" si="18"/>
        <v>34.276057791537667</v>
      </c>
      <c r="T76" s="1">
        <v>0</v>
      </c>
      <c r="U76" s="1"/>
      <c r="V76" s="1">
        <f t="shared" si="14"/>
        <v>0</v>
      </c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25">
      <c r="A77" s="15" t="s">
        <v>102</v>
      </c>
      <c r="B77" s="1" t="s">
        <v>31</v>
      </c>
      <c r="C77" s="1"/>
      <c r="D77" s="1"/>
      <c r="E77" s="1">
        <v>-3</v>
      </c>
      <c r="F77" s="1"/>
      <c r="G77" s="7">
        <v>0.33</v>
      </c>
      <c r="H77" s="1">
        <v>40</v>
      </c>
      <c r="I77" s="1" t="s">
        <v>27</v>
      </c>
      <c r="J77" s="1"/>
      <c r="K77" s="1">
        <v>24</v>
      </c>
      <c r="L77" s="1">
        <f t="shared" si="15"/>
        <v>-27</v>
      </c>
      <c r="M77" s="1"/>
      <c r="N77" s="1"/>
      <c r="O77" s="1">
        <v>10.21834061135371</v>
      </c>
      <c r="P77" s="1">
        <f t="shared" si="16"/>
        <v>-0.6</v>
      </c>
      <c r="Q77" s="5">
        <v>16</v>
      </c>
      <c r="R77" s="1">
        <f t="shared" si="17"/>
        <v>-43.697234352256189</v>
      </c>
      <c r="S77" s="1">
        <f t="shared" si="18"/>
        <v>-17.030567685589517</v>
      </c>
      <c r="T77" s="1">
        <v>0</v>
      </c>
      <c r="U77" s="1"/>
      <c r="V77" s="1">
        <f t="shared" si="14"/>
        <v>5.28</v>
      </c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25">
      <c r="A78" s="15" t="s">
        <v>103</v>
      </c>
      <c r="B78" s="1" t="s">
        <v>31</v>
      </c>
      <c r="C78" s="1"/>
      <c r="D78" s="1">
        <v>24</v>
      </c>
      <c r="E78" s="1">
        <v>3</v>
      </c>
      <c r="F78" s="1">
        <v>21</v>
      </c>
      <c r="G78" s="7">
        <v>0.4</v>
      </c>
      <c r="H78" s="1">
        <v>55</v>
      </c>
      <c r="I78" s="1" t="s">
        <v>27</v>
      </c>
      <c r="J78" s="1"/>
      <c r="K78" s="1">
        <v>1</v>
      </c>
      <c r="L78" s="1">
        <f t="shared" si="15"/>
        <v>2</v>
      </c>
      <c r="M78" s="1"/>
      <c r="N78" s="1"/>
      <c r="O78" s="1">
        <v>0</v>
      </c>
      <c r="P78" s="1">
        <f t="shared" si="16"/>
        <v>0.6</v>
      </c>
      <c r="Q78" s="5"/>
      <c r="R78" s="1">
        <f t="shared" si="17"/>
        <v>35</v>
      </c>
      <c r="S78" s="1">
        <f t="shared" si="18"/>
        <v>35</v>
      </c>
      <c r="T78" s="1">
        <v>0</v>
      </c>
      <c r="U78" s="1"/>
      <c r="V78" s="1">
        <f t="shared" si="14"/>
        <v>0</v>
      </c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25">
      <c r="A79" s="15" t="s">
        <v>104</v>
      </c>
      <c r="B79" s="1" t="s">
        <v>31</v>
      </c>
      <c r="C79" s="1"/>
      <c r="D79" s="1"/>
      <c r="E79" s="1">
        <v>2</v>
      </c>
      <c r="F79" s="1">
        <v>-2</v>
      </c>
      <c r="G79" s="7">
        <v>0.35</v>
      </c>
      <c r="H79" s="1">
        <v>40</v>
      </c>
      <c r="I79" s="10" t="s">
        <v>37</v>
      </c>
      <c r="J79" s="1"/>
      <c r="K79" s="1">
        <v>6</v>
      </c>
      <c r="L79" s="1">
        <f t="shared" si="15"/>
        <v>-4</v>
      </c>
      <c r="M79" s="1"/>
      <c r="N79" s="1"/>
      <c r="O79" s="1">
        <v>0</v>
      </c>
      <c r="P79" s="1">
        <f t="shared" si="16"/>
        <v>0.4</v>
      </c>
      <c r="Q79" s="5">
        <v>8</v>
      </c>
      <c r="R79" s="1">
        <f t="shared" si="17"/>
        <v>15</v>
      </c>
      <c r="S79" s="1">
        <f t="shared" si="18"/>
        <v>-5</v>
      </c>
      <c r="T79" s="1">
        <v>0</v>
      </c>
      <c r="U79" s="1"/>
      <c r="V79" s="1">
        <f t="shared" si="14"/>
        <v>2.8</v>
      </c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25">
      <c r="A80" s="15" t="s">
        <v>105</v>
      </c>
      <c r="B80" s="1" t="s">
        <v>31</v>
      </c>
      <c r="C80" s="1"/>
      <c r="D80" s="1"/>
      <c r="E80" s="1">
        <v>-2</v>
      </c>
      <c r="F80" s="1"/>
      <c r="G80" s="7">
        <v>0.35</v>
      </c>
      <c r="H80" s="1">
        <v>45</v>
      </c>
      <c r="I80" s="10" t="s">
        <v>37</v>
      </c>
      <c r="J80" s="1"/>
      <c r="K80" s="1">
        <v>29</v>
      </c>
      <c r="L80" s="1">
        <f t="shared" si="15"/>
        <v>-31</v>
      </c>
      <c r="M80" s="1"/>
      <c r="N80" s="1"/>
      <c r="O80" s="1">
        <v>18.251082251082249</v>
      </c>
      <c r="P80" s="1">
        <f t="shared" si="16"/>
        <v>-0.4</v>
      </c>
      <c r="Q80" s="5">
        <v>10</v>
      </c>
      <c r="R80" s="1">
        <f t="shared" si="17"/>
        <v>-70.627705627705623</v>
      </c>
      <c r="S80" s="1">
        <f t="shared" si="18"/>
        <v>-45.627705627705616</v>
      </c>
      <c r="T80" s="1">
        <v>0</v>
      </c>
      <c r="U80" s="1"/>
      <c r="V80" s="1">
        <f t="shared" si="14"/>
        <v>3.5</v>
      </c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25">
      <c r="A81" s="11" t="s">
        <v>106</v>
      </c>
      <c r="B81" s="11" t="s">
        <v>31</v>
      </c>
      <c r="C81" s="11"/>
      <c r="D81" s="11"/>
      <c r="E81" s="11"/>
      <c r="F81" s="11"/>
      <c r="G81" s="12">
        <v>0</v>
      </c>
      <c r="H81" s="11"/>
      <c r="I81" s="11" t="s">
        <v>27</v>
      </c>
      <c r="J81" s="11"/>
      <c r="K81" s="11"/>
      <c r="L81" s="11">
        <f t="shared" si="15"/>
        <v>0</v>
      </c>
      <c r="M81" s="11"/>
      <c r="N81" s="11"/>
      <c r="O81" s="11"/>
      <c r="P81" s="11">
        <f t="shared" si="16"/>
        <v>0</v>
      </c>
      <c r="Q81" s="13"/>
      <c r="R81" s="11" t="e">
        <f t="shared" si="17"/>
        <v>#DIV/0!</v>
      </c>
      <c r="S81" s="11" t="e">
        <f t="shared" si="18"/>
        <v>#DIV/0!</v>
      </c>
      <c r="T81" s="11">
        <v>0</v>
      </c>
      <c r="U81" s="11" t="s">
        <v>32</v>
      </c>
      <c r="V81" s="1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25">
      <c r="A82" s="11" t="s">
        <v>107</v>
      </c>
      <c r="B82" s="11" t="s">
        <v>26</v>
      </c>
      <c r="C82" s="11"/>
      <c r="D82" s="11"/>
      <c r="E82" s="11"/>
      <c r="F82" s="11"/>
      <c r="G82" s="12">
        <v>0</v>
      </c>
      <c r="H82" s="11"/>
      <c r="I82" s="11" t="s">
        <v>27</v>
      </c>
      <c r="J82" s="11"/>
      <c r="K82" s="11"/>
      <c r="L82" s="11">
        <f t="shared" si="15"/>
        <v>0</v>
      </c>
      <c r="M82" s="11"/>
      <c r="N82" s="11"/>
      <c r="O82" s="11"/>
      <c r="P82" s="11">
        <f t="shared" si="16"/>
        <v>0</v>
      </c>
      <c r="Q82" s="13"/>
      <c r="R82" s="11" t="e">
        <f t="shared" si="17"/>
        <v>#DIV/0!</v>
      </c>
      <c r="S82" s="11" t="e">
        <f t="shared" si="18"/>
        <v>#DIV/0!</v>
      </c>
      <c r="T82" s="11">
        <v>0</v>
      </c>
      <c r="U82" s="11" t="s">
        <v>32</v>
      </c>
      <c r="V82" s="1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25">
      <c r="A83" s="11" t="s">
        <v>108</v>
      </c>
      <c r="B83" s="11" t="s">
        <v>26</v>
      </c>
      <c r="C83" s="11"/>
      <c r="D83" s="11"/>
      <c r="E83" s="11"/>
      <c r="F83" s="11"/>
      <c r="G83" s="12">
        <v>0</v>
      </c>
      <c r="H83" s="11"/>
      <c r="I83" s="11" t="s">
        <v>27</v>
      </c>
      <c r="J83" s="11"/>
      <c r="K83" s="11"/>
      <c r="L83" s="11">
        <f t="shared" si="15"/>
        <v>0</v>
      </c>
      <c r="M83" s="11"/>
      <c r="N83" s="11"/>
      <c r="O83" s="11"/>
      <c r="P83" s="11">
        <f t="shared" si="16"/>
        <v>0</v>
      </c>
      <c r="Q83" s="13"/>
      <c r="R83" s="11" t="e">
        <f t="shared" si="17"/>
        <v>#DIV/0!</v>
      </c>
      <c r="S83" s="11" t="e">
        <f t="shared" si="18"/>
        <v>#DIV/0!</v>
      </c>
      <c r="T83" s="11">
        <v>0</v>
      </c>
      <c r="U83" s="11" t="s">
        <v>32</v>
      </c>
      <c r="V83" s="1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25">
      <c r="A84" s="1" t="s">
        <v>109</v>
      </c>
      <c r="B84" s="1" t="s">
        <v>26</v>
      </c>
      <c r="C84" s="1"/>
      <c r="D84" s="1">
        <v>83.471000000000004</v>
      </c>
      <c r="E84" s="1">
        <v>97.584999999999994</v>
      </c>
      <c r="F84" s="1">
        <v>1.0429999999999999</v>
      </c>
      <c r="G84" s="7">
        <v>1</v>
      </c>
      <c r="H84" s="1">
        <v>60</v>
      </c>
      <c r="I84" s="1" t="s">
        <v>27</v>
      </c>
      <c r="J84" s="1"/>
      <c r="K84" s="1">
        <v>105.8</v>
      </c>
      <c r="L84" s="1">
        <f t="shared" si="15"/>
        <v>-8.2150000000000034</v>
      </c>
      <c r="M84" s="1"/>
      <c r="N84" s="1"/>
      <c r="O84" s="1">
        <v>63.058645274866727</v>
      </c>
      <c r="P84" s="1">
        <f t="shared" si="16"/>
        <v>19.516999999999999</v>
      </c>
      <c r="Q84" s="5">
        <f>12*P84-O84-F84</f>
        <v>170.10235472513327</v>
      </c>
      <c r="R84" s="1">
        <f t="shared" si="17"/>
        <v>12</v>
      </c>
      <c r="S84" s="1">
        <f t="shared" si="18"/>
        <v>3.2844005367047564</v>
      </c>
      <c r="T84" s="1">
        <v>0</v>
      </c>
      <c r="U84" s="1"/>
      <c r="V84" s="1">
        <f>G84*Q84</f>
        <v>170.10235472513327</v>
      </c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25">
      <c r="A85" s="11" t="s">
        <v>110</v>
      </c>
      <c r="B85" s="11" t="s">
        <v>31</v>
      </c>
      <c r="C85" s="11"/>
      <c r="D85" s="11"/>
      <c r="E85" s="11"/>
      <c r="F85" s="11"/>
      <c r="G85" s="12">
        <v>0</v>
      </c>
      <c r="H85" s="11"/>
      <c r="I85" s="11" t="s">
        <v>27</v>
      </c>
      <c r="J85" s="11"/>
      <c r="K85" s="11"/>
      <c r="L85" s="11">
        <f t="shared" si="15"/>
        <v>0</v>
      </c>
      <c r="M85" s="11"/>
      <c r="N85" s="11"/>
      <c r="O85" s="11"/>
      <c r="P85" s="11">
        <f t="shared" si="16"/>
        <v>0</v>
      </c>
      <c r="Q85" s="13"/>
      <c r="R85" s="11" t="e">
        <f t="shared" si="17"/>
        <v>#DIV/0!</v>
      </c>
      <c r="S85" s="11" t="e">
        <f t="shared" si="18"/>
        <v>#DIV/0!</v>
      </c>
      <c r="T85" s="11">
        <v>0</v>
      </c>
      <c r="U85" s="11" t="s">
        <v>32</v>
      </c>
      <c r="V85" s="1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25">
      <c r="A86" s="1" t="s">
        <v>111</v>
      </c>
      <c r="B86" s="1" t="s">
        <v>26</v>
      </c>
      <c r="C86" s="1"/>
      <c r="D86" s="1">
        <v>1030.604</v>
      </c>
      <c r="E86" s="1">
        <v>339.839</v>
      </c>
      <c r="F86" s="1">
        <v>627.51499999999999</v>
      </c>
      <c r="G86" s="7">
        <v>1</v>
      </c>
      <c r="H86" s="1">
        <v>60</v>
      </c>
      <c r="I86" s="1" t="s">
        <v>27</v>
      </c>
      <c r="J86" s="1"/>
      <c r="K86" s="1">
        <v>340</v>
      </c>
      <c r="L86" s="1">
        <f t="shared" si="15"/>
        <v>-0.16100000000000136</v>
      </c>
      <c r="M86" s="1"/>
      <c r="N86" s="1"/>
      <c r="O86" s="1">
        <v>173.17776939927509</v>
      </c>
      <c r="P86" s="1">
        <f t="shared" si="16"/>
        <v>67.967799999999997</v>
      </c>
      <c r="Q86" s="5"/>
      <c r="R86" s="1">
        <f t="shared" si="17"/>
        <v>11.780472067644901</v>
      </c>
      <c r="S86" s="1">
        <f t="shared" si="18"/>
        <v>11.780472067644901</v>
      </c>
      <c r="T86" s="1">
        <v>0</v>
      </c>
      <c r="U86" s="1"/>
      <c r="V86" s="1">
        <f>G86*Q86</f>
        <v>0</v>
      </c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25">
      <c r="A87" s="15" t="s">
        <v>112</v>
      </c>
      <c r="B87" s="1" t="s">
        <v>26</v>
      </c>
      <c r="C87" s="1"/>
      <c r="D87" s="1">
        <v>135.69999999999999</v>
      </c>
      <c r="E87" s="1">
        <v>130.43299999999999</v>
      </c>
      <c r="F87" s="1">
        <v>14.818</v>
      </c>
      <c r="G87" s="7">
        <v>1</v>
      </c>
      <c r="H87" s="1">
        <v>60</v>
      </c>
      <c r="I87" s="1" t="s">
        <v>27</v>
      </c>
      <c r="J87" s="1"/>
      <c r="K87" s="1">
        <v>215</v>
      </c>
      <c r="L87" s="1">
        <f t="shared" si="15"/>
        <v>-84.567000000000007</v>
      </c>
      <c r="M87" s="1"/>
      <c r="N87" s="1"/>
      <c r="O87" s="1">
        <v>325.01202334177719</v>
      </c>
      <c r="P87" s="1">
        <f t="shared" si="16"/>
        <v>26.086599999999997</v>
      </c>
      <c r="Q87" s="5"/>
      <c r="R87" s="1">
        <f t="shared" si="17"/>
        <v>13.026995597041287</v>
      </c>
      <c r="S87" s="1">
        <f t="shared" si="18"/>
        <v>13.026995597041287</v>
      </c>
      <c r="T87" s="1">
        <v>0</v>
      </c>
      <c r="U87" s="1"/>
      <c r="V87" s="1">
        <f>G87*Q87</f>
        <v>0</v>
      </c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25">
      <c r="A88" s="1" t="s">
        <v>113</v>
      </c>
      <c r="B88" s="1" t="s">
        <v>26</v>
      </c>
      <c r="C88" s="1"/>
      <c r="D88" s="1">
        <v>830.702</v>
      </c>
      <c r="E88" s="1">
        <v>547.06200000000001</v>
      </c>
      <c r="F88" s="1">
        <v>20.850999999999999</v>
      </c>
      <c r="G88" s="7">
        <v>1</v>
      </c>
      <c r="H88" s="1">
        <v>60</v>
      </c>
      <c r="I88" s="1" t="s">
        <v>27</v>
      </c>
      <c r="J88" s="1"/>
      <c r="K88" s="1">
        <v>995</v>
      </c>
      <c r="L88" s="1">
        <f t="shared" si="15"/>
        <v>-447.93799999999999</v>
      </c>
      <c r="M88" s="1"/>
      <c r="N88" s="1"/>
      <c r="O88" s="1">
        <v>67.546547689190845</v>
      </c>
      <c r="P88" s="1">
        <f t="shared" si="16"/>
        <v>109.41240000000001</v>
      </c>
      <c r="Q88" s="5">
        <f>8*P88-O88-F88</f>
        <v>786.90165231080925</v>
      </c>
      <c r="R88" s="1">
        <f t="shared" si="17"/>
        <v>8.0000000000000018</v>
      </c>
      <c r="S88" s="1">
        <f t="shared" si="18"/>
        <v>0.80792988444811409</v>
      </c>
      <c r="T88" s="1">
        <v>0</v>
      </c>
      <c r="U88" s="1"/>
      <c r="V88" s="1">
        <f>G88*Q88</f>
        <v>786.90165231080925</v>
      </c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25">
      <c r="A89" s="11" t="s">
        <v>114</v>
      </c>
      <c r="B89" s="11" t="s">
        <v>26</v>
      </c>
      <c r="C89" s="11"/>
      <c r="D89" s="11"/>
      <c r="E89" s="11"/>
      <c r="F89" s="11"/>
      <c r="G89" s="12">
        <v>0</v>
      </c>
      <c r="H89" s="11"/>
      <c r="I89" s="11" t="s">
        <v>27</v>
      </c>
      <c r="J89" s="11"/>
      <c r="K89" s="11"/>
      <c r="L89" s="11">
        <f t="shared" si="15"/>
        <v>0</v>
      </c>
      <c r="M89" s="11"/>
      <c r="N89" s="11"/>
      <c r="O89" s="11"/>
      <c r="P89" s="11">
        <f t="shared" si="16"/>
        <v>0</v>
      </c>
      <c r="Q89" s="13"/>
      <c r="R89" s="11" t="e">
        <f t="shared" si="17"/>
        <v>#DIV/0!</v>
      </c>
      <c r="S89" s="11" t="e">
        <f t="shared" si="18"/>
        <v>#DIV/0!</v>
      </c>
      <c r="T89" s="11">
        <v>0</v>
      </c>
      <c r="U89" s="11" t="s">
        <v>32</v>
      </c>
      <c r="V89" s="1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25">
      <c r="A90" s="15" t="s">
        <v>115</v>
      </c>
      <c r="B90" s="1" t="s">
        <v>31</v>
      </c>
      <c r="C90" s="1"/>
      <c r="D90" s="1"/>
      <c r="E90" s="1"/>
      <c r="F90" s="1"/>
      <c r="G90" s="7">
        <v>0.3</v>
      </c>
      <c r="H90" s="1">
        <v>40</v>
      </c>
      <c r="I90" s="10" t="s">
        <v>37</v>
      </c>
      <c r="J90" s="1"/>
      <c r="K90" s="1">
        <v>1</v>
      </c>
      <c r="L90" s="1">
        <f t="shared" si="15"/>
        <v>-1</v>
      </c>
      <c r="M90" s="1"/>
      <c r="N90" s="1"/>
      <c r="O90" s="1">
        <v>0</v>
      </c>
      <c r="P90" s="1">
        <f t="shared" si="16"/>
        <v>0</v>
      </c>
      <c r="Q90" s="5">
        <v>8</v>
      </c>
      <c r="R90" s="1" t="e">
        <f t="shared" si="17"/>
        <v>#DIV/0!</v>
      </c>
      <c r="S90" s="1" t="e">
        <f t="shared" si="18"/>
        <v>#DIV/0!</v>
      </c>
      <c r="T90" s="1">
        <v>0</v>
      </c>
      <c r="U90" s="1"/>
      <c r="V90" s="1">
        <f>G90*Q90</f>
        <v>2.4</v>
      </c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25">
      <c r="A91" s="11" t="s">
        <v>116</v>
      </c>
      <c r="B91" s="11" t="s">
        <v>31</v>
      </c>
      <c r="C91" s="11"/>
      <c r="D91" s="11"/>
      <c r="E91" s="11"/>
      <c r="F91" s="11"/>
      <c r="G91" s="12">
        <v>0</v>
      </c>
      <c r="H91" s="11"/>
      <c r="I91" s="11" t="s">
        <v>27</v>
      </c>
      <c r="J91" s="11"/>
      <c r="K91" s="11"/>
      <c r="L91" s="11">
        <f t="shared" si="15"/>
        <v>0</v>
      </c>
      <c r="M91" s="11"/>
      <c r="N91" s="11"/>
      <c r="O91" s="11"/>
      <c r="P91" s="11">
        <f t="shared" si="16"/>
        <v>0</v>
      </c>
      <c r="Q91" s="13"/>
      <c r="R91" s="11" t="e">
        <f t="shared" si="17"/>
        <v>#DIV/0!</v>
      </c>
      <c r="S91" s="11" t="e">
        <f t="shared" si="18"/>
        <v>#DIV/0!</v>
      </c>
      <c r="T91" s="11">
        <v>0</v>
      </c>
      <c r="U91" s="11" t="s">
        <v>32</v>
      </c>
      <c r="V91" s="1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25">
      <c r="A92" s="15" t="s">
        <v>117</v>
      </c>
      <c r="B92" s="1" t="s">
        <v>31</v>
      </c>
      <c r="C92" s="1"/>
      <c r="D92" s="1"/>
      <c r="E92" s="1"/>
      <c r="F92" s="1"/>
      <c r="G92" s="7">
        <v>7.0000000000000007E-2</v>
      </c>
      <c r="H92" s="1">
        <v>90</v>
      </c>
      <c r="I92" s="10" t="s">
        <v>37</v>
      </c>
      <c r="J92" s="1"/>
      <c r="K92" s="1">
        <v>12</v>
      </c>
      <c r="L92" s="1">
        <f t="shared" si="15"/>
        <v>-12</v>
      </c>
      <c r="M92" s="1"/>
      <c r="N92" s="1"/>
      <c r="O92" s="1">
        <v>14.34375</v>
      </c>
      <c r="P92" s="1">
        <f t="shared" si="16"/>
        <v>0</v>
      </c>
      <c r="Q92" s="5">
        <v>10</v>
      </c>
      <c r="R92" s="1" t="e">
        <f t="shared" si="17"/>
        <v>#DIV/0!</v>
      </c>
      <c r="S92" s="1" t="e">
        <f t="shared" si="18"/>
        <v>#DIV/0!</v>
      </c>
      <c r="T92" s="1">
        <v>0</v>
      </c>
      <c r="U92" s="1"/>
      <c r="V92" s="1">
        <f t="shared" ref="V92:V97" si="19">G92*Q92</f>
        <v>0.70000000000000007</v>
      </c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25">
      <c r="A93" s="15" t="s">
        <v>118</v>
      </c>
      <c r="B93" s="1" t="s">
        <v>31</v>
      </c>
      <c r="C93" s="1"/>
      <c r="D93" s="1"/>
      <c r="E93" s="1"/>
      <c r="F93" s="1"/>
      <c r="G93" s="7">
        <v>7.0000000000000007E-2</v>
      </c>
      <c r="H93" s="1">
        <v>90</v>
      </c>
      <c r="I93" s="10" t="s">
        <v>37</v>
      </c>
      <c r="J93" s="1"/>
      <c r="K93" s="1">
        <v>19</v>
      </c>
      <c r="L93" s="1">
        <f t="shared" si="15"/>
        <v>-19</v>
      </c>
      <c r="M93" s="1"/>
      <c r="N93" s="1"/>
      <c r="O93" s="1">
        <v>10.279069767441859</v>
      </c>
      <c r="P93" s="1">
        <f t="shared" si="16"/>
        <v>0</v>
      </c>
      <c r="Q93" s="5">
        <v>20</v>
      </c>
      <c r="R93" s="1" t="e">
        <f t="shared" si="17"/>
        <v>#DIV/0!</v>
      </c>
      <c r="S93" s="1" t="e">
        <f t="shared" si="18"/>
        <v>#DIV/0!</v>
      </c>
      <c r="T93" s="1">
        <v>0</v>
      </c>
      <c r="U93" s="1"/>
      <c r="V93" s="1">
        <f t="shared" si="19"/>
        <v>1.4000000000000001</v>
      </c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25">
      <c r="A94" s="15" t="s">
        <v>119</v>
      </c>
      <c r="B94" s="1" t="s">
        <v>31</v>
      </c>
      <c r="C94" s="1"/>
      <c r="D94" s="1"/>
      <c r="E94" s="1">
        <v>4</v>
      </c>
      <c r="F94" s="1"/>
      <c r="G94" s="7">
        <v>7.0000000000000007E-2</v>
      </c>
      <c r="H94" s="1">
        <v>90</v>
      </c>
      <c r="I94" s="10" t="s">
        <v>37</v>
      </c>
      <c r="J94" s="1"/>
      <c r="K94" s="1">
        <v>11</v>
      </c>
      <c r="L94" s="1">
        <f t="shared" si="15"/>
        <v>-7</v>
      </c>
      <c r="M94" s="1"/>
      <c r="N94" s="1"/>
      <c r="O94" s="1">
        <v>11.281105990783409</v>
      </c>
      <c r="P94" s="1">
        <f t="shared" si="16"/>
        <v>0.8</v>
      </c>
      <c r="Q94" s="5">
        <v>20</v>
      </c>
      <c r="R94" s="1">
        <f t="shared" si="17"/>
        <v>39.10138248847926</v>
      </c>
      <c r="S94" s="1">
        <f t="shared" si="18"/>
        <v>14.101382488479262</v>
      </c>
      <c r="T94" s="1">
        <v>0</v>
      </c>
      <c r="U94" s="1"/>
      <c r="V94" s="1">
        <f t="shared" si="19"/>
        <v>1.4000000000000001</v>
      </c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25">
      <c r="A95" s="15" t="s">
        <v>120</v>
      </c>
      <c r="B95" s="1" t="s">
        <v>31</v>
      </c>
      <c r="C95" s="1"/>
      <c r="D95" s="1">
        <v>60</v>
      </c>
      <c r="E95" s="1"/>
      <c r="F95" s="1">
        <v>51</v>
      </c>
      <c r="G95" s="7">
        <v>0.3</v>
      </c>
      <c r="H95" s="1"/>
      <c r="I95" s="1" t="s">
        <v>27</v>
      </c>
      <c r="J95" s="1"/>
      <c r="K95" s="1"/>
      <c r="L95" s="1">
        <f t="shared" si="15"/>
        <v>0</v>
      </c>
      <c r="M95" s="1"/>
      <c r="N95" s="1"/>
      <c r="O95" s="1">
        <v>10</v>
      </c>
      <c r="P95" s="1">
        <f t="shared" si="16"/>
        <v>0</v>
      </c>
      <c r="Q95" s="5"/>
      <c r="R95" s="1" t="e">
        <f t="shared" si="17"/>
        <v>#DIV/0!</v>
      </c>
      <c r="S95" s="1" t="e">
        <f t="shared" si="18"/>
        <v>#DIV/0!</v>
      </c>
      <c r="T95" s="1">
        <v>0</v>
      </c>
      <c r="U95" s="1"/>
      <c r="V95" s="1">
        <f t="shared" si="19"/>
        <v>0</v>
      </c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25">
      <c r="A96" s="15" t="s">
        <v>121</v>
      </c>
      <c r="B96" s="1" t="s">
        <v>26</v>
      </c>
      <c r="C96" s="1"/>
      <c r="D96" s="1">
        <v>24.245000000000001</v>
      </c>
      <c r="E96" s="1">
        <v>2.004</v>
      </c>
      <c r="F96" s="1">
        <v>22.241</v>
      </c>
      <c r="G96" s="7">
        <v>1</v>
      </c>
      <c r="H96" s="1">
        <v>55</v>
      </c>
      <c r="I96" s="10" t="s">
        <v>37</v>
      </c>
      <c r="J96" s="1"/>
      <c r="K96" s="1">
        <v>2.6</v>
      </c>
      <c r="L96" s="1">
        <f t="shared" si="15"/>
        <v>-0.59600000000000009</v>
      </c>
      <c r="M96" s="1"/>
      <c r="N96" s="1"/>
      <c r="O96" s="1">
        <v>13</v>
      </c>
      <c r="P96" s="1">
        <f t="shared" si="16"/>
        <v>0.40079999999999999</v>
      </c>
      <c r="Q96" s="5"/>
      <c r="R96" s="1">
        <f t="shared" si="17"/>
        <v>87.926646706586823</v>
      </c>
      <c r="S96" s="1">
        <f t="shared" si="18"/>
        <v>87.926646706586823</v>
      </c>
      <c r="T96" s="1">
        <v>0</v>
      </c>
      <c r="U96" s="1"/>
      <c r="V96" s="1">
        <f t="shared" si="19"/>
        <v>0</v>
      </c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25">
      <c r="A97" s="15" t="s">
        <v>122</v>
      </c>
      <c r="B97" s="1" t="s">
        <v>31</v>
      </c>
      <c r="C97" s="1"/>
      <c r="D97" s="1">
        <v>106</v>
      </c>
      <c r="E97" s="1">
        <v>10</v>
      </c>
      <c r="F97" s="1">
        <v>96</v>
      </c>
      <c r="G97" s="7">
        <v>0.11</v>
      </c>
      <c r="H97" s="1">
        <v>30</v>
      </c>
      <c r="I97" s="1" t="s">
        <v>27</v>
      </c>
      <c r="J97" s="1"/>
      <c r="K97" s="1">
        <v>51</v>
      </c>
      <c r="L97" s="1">
        <f t="shared" si="15"/>
        <v>-41</v>
      </c>
      <c r="M97" s="1"/>
      <c r="N97" s="1"/>
      <c r="O97" s="1">
        <v>0</v>
      </c>
      <c r="P97" s="1">
        <f t="shared" si="16"/>
        <v>2</v>
      </c>
      <c r="Q97" s="5"/>
      <c r="R97" s="1">
        <f t="shared" si="17"/>
        <v>48</v>
      </c>
      <c r="S97" s="1">
        <f t="shared" si="18"/>
        <v>48</v>
      </c>
      <c r="T97" s="1">
        <v>0</v>
      </c>
      <c r="U97" s="1"/>
      <c r="V97" s="1">
        <f t="shared" si="19"/>
        <v>0</v>
      </c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25">
      <c r="A98" s="11" t="s">
        <v>123</v>
      </c>
      <c r="B98" s="11" t="s">
        <v>31</v>
      </c>
      <c r="C98" s="11"/>
      <c r="D98" s="11"/>
      <c r="E98" s="11"/>
      <c r="F98" s="11"/>
      <c r="G98" s="12">
        <v>0</v>
      </c>
      <c r="H98" s="11"/>
      <c r="I98" s="11" t="s">
        <v>27</v>
      </c>
      <c r="J98" s="11"/>
      <c r="K98" s="11"/>
      <c r="L98" s="11">
        <f t="shared" si="15"/>
        <v>0</v>
      </c>
      <c r="M98" s="11"/>
      <c r="N98" s="11"/>
      <c r="O98" s="11"/>
      <c r="P98" s="11">
        <f t="shared" si="16"/>
        <v>0</v>
      </c>
      <c r="Q98" s="13"/>
      <c r="R98" s="11" t="e">
        <f t="shared" si="17"/>
        <v>#DIV/0!</v>
      </c>
      <c r="S98" s="11" t="e">
        <f t="shared" si="18"/>
        <v>#DIV/0!</v>
      </c>
      <c r="T98" s="11">
        <v>0</v>
      </c>
      <c r="U98" s="11" t="s">
        <v>32</v>
      </c>
      <c r="V98" s="1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25">
      <c r="A99" s="15" t="s">
        <v>124</v>
      </c>
      <c r="B99" s="1" t="s">
        <v>31</v>
      </c>
      <c r="C99" s="1"/>
      <c r="D99" s="1"/>
      <c r="E99" s="1">
        <v>-1</v>
      </c>
      <c r="F99" s="1"/>
      <c r="G99" s="7">
        <v>0.08</v>
      </c>
      <c r="H99" s="1">
        <v>45</v>
      </c>
      <c r="I99" s="1" t="s">
        <v>27</v>
      </c>
      <c r="J99" s="1"/>
      <c r="K99" s="1">
        <v>51</v>
      </c>
      <c r="L99" s="1">
        <f t="shared" si="15"/>
        <v>-52</v>
      </c>
      <c r="M99" s="1"/>
      <c r="N99" s="1"/>
      <c r="O99" s="1">
        <v>33.014051522248259</v>
      </c>
      <c r="P99" s="1">
        <f t="shared" si="16"/>
        <v>-0.2</v>
      </c>
      <c r="Q99" s="5">
        <v>30</v>
      </c>
      <c r="R99" s="1">
        <f t="shared" si="17"/>
        <v>-315.07025761124129</v>
      </c>
      <c r="S99" s="1">
        <f t="shared" si="18"/>
        <v>-165.07025761124129</v>
      </c>
      <c r="T99" s="1">
        <v>0</v>
      </c>
      <c r="U99" s="1"/>
      <c r="V99" s="1">
        <f t="shared" ref="V99:V104" si="20">G99*Q99</f>
        <v>2.4</v>
      </c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25">
      <c r="A100" s="15" t="s">
        <v>125</v>
      </c>
      <c r="B100" s="1" t="s">
        <v>31</v>
      </c>
      <c r="C100" s="1"/>
      <c r="D100" s="1">
        <v>40</v>
      </c>
      <c r="E100" s="1">
        <v>5</v>
      </c>
      <c r="F100" s="1">
        <v>28</v>
      </c>
      <c r="G100" s="7">
        <v>0.08</v>
      </c>
      <c r="H100" s="1">
        <v>45</v>
      </c>
      <c r="I100" s="1" t="s">
        <v>27</v>
      </c>
      <c r="J100" s="1"/>
      <c r="K100" s="1">
        <v>29</v>
      </c>
      <c r="L100" s="1">
        <f t="shared" si="15"/>
        <v>-24</v>
      </c>
      <c r="M100" s="1"/>
      <c r="N100" s="1"/>
      <c r="O100" s="1">
        <v>24.82431610942249</v>
      </c>
      <c r="P100" s="1">
        <f t="shared" si="16"/>
        <v>1</v>
      </c>
      <c r="Q100" s="5">
        <v>10</v>
      </c>
      <c r="R100" s="1">
        <f t="shared" si="17"/>
        <v>62.82431610942249</v>
      </c>
      <c r="S100" s="1">
        <f t="shared" si="18"/>
        <v>52.82431610942249</v>
      </c>
      <c r="T100" s="1">
        <v>0</v>
      </c>
      <c r="U100" s="1"/>
      <c r="V100" s="1">
        <f t="shared" si="20"/>
        <v>0.8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25">
      <c r="A101" s="15" t="s">
        <v>126</v>
      </c>
      <c r="B101" s="1" t="s">
        <v>31</v>
      </c>
      <c r="C101" s="1"/>
      <c r="D101" s="1"/>
      <c r="E101" s="1"/>
      <c r="F101" s="1"/>
      <c r="G101" s="7">
        <v>0.17</v>
      </c>
      <c r="H101" s="1">
        <v>30</v>
      </c>
      <c r="I101" s="1" t="s">
        <v>27</v>
      </c>
      <c r="J101" s="1"/>
      <c r="K101" s="1">
        <v>10</v>
      </c>
      <c r="L101" s="1">
        <f t="shared" si="15"/>
        <v>-10</v>
      </c>
      <c r="M101" s="1"/>
      <c r="N101" s="1"/>
      <c r="O101" s="1">
        <v>20</v>
      </c>
      <c r="P101" s="1">
        <f t="shared" si="16"/>
        <v>0</v>
      </c>
      <c r="Q101" s="5">
        <v>10</v>
      </c>
      <c r="R101" s="1" t="e">
        <f t="shared" si="17"/>
        <v>#DIV/0!</v>
      </c>
      <c r="S101" s="1" t="e">
        <f t="shared" si="18"/>
        <v>#DIV/0!</v>
      </c>
      <c r="T101" s="1">
        <v>0</v>
      </c>
      <c r="U101" s="1"/>
      <c r="V101" s="1">
        <f t="shared" si="20"/>
        <v>1.7000000000000002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x14ac:dyDescent="0.25">
      <c r="A102" s="15" t="s">
        <v>127</v>
      </c>
      <c r="B102" s="1" t="s">
        <v>26</v>
      </c>
      <c r="C102" s="1"/>
      <c r="D102" s="1"/>
      <c r="E102" s="1"/>
      <c r="F102" s="1"/>
      <c r="G102" s="7">
        <v>1</v>
      </c>
      <c r="H102" s="1">
        <v>40</v>
      </c>
      <c r="I102" s="10" t="s">
        <v>37</v>
      </c>
      <c r="J102" s="1"/>
      <c r="K102" s="1">
        <v>25.2</v>
      </c>
      <c r="L102" s="1">
        <f t="shared" ref="L102:L133" si="21">E102-K102</f>
        <v>-25.2</v>
      </c>
      <c r="M102" s="1"/>
      <c r="N102" s="1"/>
      <c r="O102" s="1">
        <v>23.76225260242148</v>
      </c>
      <c r="P102" s="1">
        <f t="shared" ref="P102:P127" si="22">E102/5</f>
        <v>0</v>
      </c>
      <c r="Q102" s="5">
        <v>15</v>
      </c>
      <c r="R102" s="1" t="e">
        <f t="shared" ref="R102:R133" si="23">(F102+O102+Q102)/P102</f>
        <v>#DIV/0!</v>
      </c>
      <c r="S102" s="1" t="e">
        <f t="shared" ref="S102:S127" si="24">(F102+O102)/P102</f>
        <v>#DIV/0!</v>
      </c>
      <c r="T102" s="1">
        <v>0</v>
      </c>
      <c r="U102" s="1"/>
      <c r="V102" s="1">
        <f t="shared" si="20"/>
        <v>15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25">
      <c r="A103" s="15" t="s">
        <v>128</v>
      </c>
      <c r="B103" s="1" t="s">
        <v>26</v>
      </c>
      <c r="C103" s="1"/>
      <c r="D103" s="1"/>
      <c r="E103" s="1"/>
      <c r="F103" s="1"/>
      <c r="G103" s="7">
        <v>1</v>
      </c>
      <c r="H103" s="1">
        <v>40</v>
      </c>
      <c r="I103" s="10" t="s">
        <v>37</v>
      </c>
      <c r="J103" s="1"/>
      <c r="K103" s="1">
        <v>4.0999999999999996</v>
      </c>
      <c r="L103" s="1">
        <f t="shared" si="21"/>
        <v>-4.0999999999999996</v>
      </c>
      <c r="M103" s="1"/>
      <c r="N103" s="1"/>
      <c r="O103" s="1">
        <v>10.95701306120533</v>
      </c>
      <c r="P103" s="1">
        <f t="shared" si="22"/>
        <v>0</v>
      </c>
      <c r="Q103" s="5">
        <v>4</v>
      </c>
      <c r="R103" s="1" t="e">
        <f t="shared" si="23"/>
        <v>#DIV/0!</v>
      </c>
      <c r="S103" s="1" t="e">
        <f t="shared" si="24"/>
        <v>#DIV/0!</v>
      </c>
      <c r="T103" s="1">
        <v>0</v>
      </c>
      <c r="U103" s="1"/>
      <c r="V103" s="1">
        <f t="shared" si="20"/>
        <v>4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25">
      <c r="A104" s="15" t="s">
        <v>129</v>
      </c>
      <c r="B104" s="1" t="s">
        <v>26</v>
      </c>
      <c r="C104" s="1"/>
      <c r="D104" s="1"/>
      <c r="E104" s="1">
        <v>-0.72</v>
      </c>
      <c r="F104" s="1"/>
      <c r="G104" s="7">
        <v>1</v>
      </c>
      <c r="H104" s="1">
        <v>40</v>
      </c>
      <c r="I104" s="10" t="s">
        <v>37</v>
      </c>
      <c r="J104" s="1"/>
      <c r="K104" s="1">
        <v>2.2000000000000002</v>
      </c>
      <c r="L104" s="1">
        <f t="shared" si="21"/>
        <v>-2.92</v>
      </c>
      <c r="M104" s="1"/>
      <c r="N104" s="1"/>
      <c r="O104" s="1">
        <v>11.824383352850431</v>
      </c>
      <c r="P104" s="1">
        <f t="shared" si="22"/>
        <v>-0.14399999999999999</v>
      </c>
      <c r="Q104" s="5">
        <v>4</v>
      </c>
      <c r="R104" s="1">
        <f t="shared" si="23"/>
        <v>-109.89155106146133</v>
      </c>
      <c r="S104" s="1">
        <f t="shared" si="24"/>
        <v>-82.113773283683557</v>
      </c>
      <c r="T104" s="1">
        <v>0</v>
      </c>
      <c r="U104" s="1"/>
      <c r="V104" s="1">
        <f t="shared" si="20"/>
        <v>4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25">
      <c r="A105" s="11" t="s">
        <v>130</v>
      </c>
      <c r="B105" s="11" t="s">
        <v>31</v>
      </c>
      <c r="C105" s="11"/>
      <c r="D105" s="11"/>
      <c r="E105" s="11"/>
      <c r="F105" s="11"/>
      <c r="G105" s="12">
        <v>0</v>
      </c>
      <c r="H105" s="11"/>
      <c r="I105" s="11" t="s">
        <v>27</v>
      </c>
      <c r="J105" s="11"/>
      <c r="K105" s="11"/>
      <c r="L105" s="11">
        <f t="shared" si="21"/>
        <v>0</v>
      </c>
      <c r="M105" s="11"/>
      <c r="N105" s="11"/>
      <c r="O105" s="11"/>
      <c r="P105" s="11">
        <f t="shared" si="22"/>
        <v>0</v>
      </c>
      <c r="Q105" s="13"/>
      <c r="R105" s="11" t="e">
        <f t="shared" si="23"/>
        <v>#DIV/0!</v>
      </c>
      <c r="S105" s="11" t="e">
        <f t="shared" si="24"/>
        <v>#DIV/0!</v>
      </c>
      <c r="T105" s="11">
        <v>0</v>
      </c>
      <c r="U105" s="11" t="s">
        <v>32</v>
      </c>
      <c r="V105" s="1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25">
      <c r="A106" s="11" t="s">
        <v>131</v>
      </c>
      <c r="B106" s="11" t="s">
        <v>26</v>
      </c>
      <c r="C106" s="11"/>
      <c r="D106" s="11"/>
      <c r="E106" s="11"/>
      <c r="F106" s="11"/>
      <c r="G106" s="12">
        <v>0</v>
      </c>
      <c r="H106" s="11"/>
      <c r="I106" s="11" t="s">
        <v>27</v>
      </c>
      <c r="J106" s="11"/>
      <c r="K106" s="11"/>
      <c r="L106" s="11">
        <f t="shared" si="21"/>
        <v>0</v>
      </c>
      <c r="M106" s="11"/>
      <c r="N106" s="11"/>
      <c r="O106" s="11"/>
      <c r="P106" s="11">
        <f t="shared" si="22"/>
        <v>0</v>
      </c>
      <c r="Q106" s="13"/>
      <c r="R106" s="11" t="e">
        <f t="shared" si="23"/>
        <v>#DIV/0!</v>
      </c>
      <c r="S106" s="11" t="e">
        <f t="shared" si="24"/>
        <v>#DIV/0!</v>
      </c>
      <c r="T106" s="11">
        <v>0</v>
      </c>
      <c r="U106" s="11" t="s">
        <v>32</v>
      </c>
      <c r="V106" s="1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25">
      <c r="A107" s="15" t="s">
        <v>132</v>
      </c>
      <c r="B107" s="1" t="s">
        <v>31</v>
      </c>
      <c r="C107" s="1"/>
      <c r="D107" s="1"/>
      <c r="E107" s="1">
        <v>-2</v>
      </c>
      <c r="F107" s="1"/>
      <c r="G107" s="7">
        <v>0.28000000000000003</v>
      </c>
      <c r="H107" s="1">
        <v>40</v>
      </c>
      <c r="I107" s="10" t="s">
        <v>37</v>
      </c>
      <c r="J107" s="1"/>
      <c r="K107" s="1">
        <v>81</v>
      </c>
      <c r="L107" s="1">
        <f t="shared" si="21"/>
        <v>-83</v>
      </c>
      <c r="M107" s="1"/>
      <c r="N107" s="1"/>
      <c r="O107" s="1">
        <v>74.605714285714285</v>
      </c>
      <c r="P107" s="1">
        <f t="shared" si="22"/>
        <v>-0.4</v>
      </c>
      <c r="Q107" s="5">
        <v>40</v>
      </c>
      <c r="R107" s="1">
        <f t="shared" si="23"/>
        <v>-286.51428571428568</v>
      </c>
      <c r="S107" s="1">
        <f t="shared" si="24"/>
        <v>-186.51428571428571</v>
      </c>
      <c r="T107" s="1">
        <v>0</v>
      </c>
      <c r="U107" s="1"/>
      <c r="V107" s="1">
        <f t="shared" ref="V107:V126" si="25">G107*Q107</f>
        <v>11.200000000000001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25">
      <c r="A108" s="15" t="s">
        <v>133</v>
      </c>
      <c r="B108" s="1" t="s">
        <v>31</v>
      </c>
      <c r="C108" s="1"/>
      <c r="D108" s="1"/>
      <c r="E108" s="1"/>
      <c r="F108" s="1"/>
      <c r="G108" s="7">
        <v>0.28000000000000003</v>
      </c>
      <c r="H108" s="1">
        <v>40</v>
      </c>
      <c r="I108" s="10" t="s">
        <v>37</v>
      </c>
      <c r="J108" s="1"/>
      <c r="K108" s="1">
        <v>105</v>
      </c>
      <c r="L108" s="1">
        <f t="shared" si="21"/>
        <v>-105</v>
      </c>
      <c r="M108" s="1"/>
      <c r="N108" s="1"/>
      <c r="O108" s="1">
        <v>0</v>
      </c>
      <c r="P108" s="1">
        <f t="shared" si="22"/>
        <v>0</v>
      </c>
      <c r="Q108" s="5">
        <v>80</v>
      </c>
      <c r="R108" s="1" t="e">
        <f t="shared" si="23"/>
        <v>#DIV/0!</v>
      </c>
      <c r="S108" s="1" t="e">
        <f t="shared" si="24"/>
        <v>#DIV/0!</v>
      </c>
      <c r="T108" s="1">
        <v>0</v>
      </c>
      <c r="U108" s="1"/>
      <c r="V108" s="1">
        <f t="shared" si="25"/>
        <v>22.400000000000002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25">
      <c r="A109" s="15" t="s">
        <v>134</v>
      </c>
      <c r="B109" s="1" t="s">
        <v>31</v>
      </c>
      <c r="C109" s="1"/>
      <c r="D109" s="1"/>
      <c r="E109" s="1"/>
      <c r="F109" s="1"/>
      <c r="G109" s="7">
        <v>0.28000000000000003</v>
      </c>
      <c r="H109" s="1">
        <v>40</v>
      </c>
      <c r="I109" s="10" t="s">
        <v>37</v>
      </c>
      <c r="J109" s="1"/>
      <c r="K109" s="1">
        <v>82</v>
      </c>
      <c r="L109" s="1">
        <f t="shared" si="21"/>
        <v>-82</v>
      </c>
      <c r="M109" s="1"/>
      <c r="N109" s="1"/>
      <c r="O109" s="1">
        <v>36.61538461538462</v>
      </c>
      <c r="P109" s="1">
        <f t="shared" si="22"/>
        <v>0</v>
      </c>
      <c r="Q109" s="5">
        <v>40</v>
      </c>
      <c r="R109" s="1" t="e">
        <f t="shared" si="23"/>
        <v>#DIV/0!</v>
      </c>
      <c r="S109" s="1" t="e">
        <f t="shared" si="24"/>
        <v>#DIV/0!</v>
      </c>
      <c r="T109" s="1">
        <v>0</v>
      </c>
      <c r="U109" s="1"/>
      <c r="V109" s="1">
        <f t="shared" si="25"/>
        <v>11.200000000000001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25">
      <c r="A110" s="15" t="s">
        <v>135</v>
      </c>
      <c r="B110" s="1" t="s">
        <v>31</v>
      </c>
      <c r="C110" s="1"/>
      <c r="D110" s="1">
        <v>30</v>
      </c>
      <c r="E110" s="1">
        <v>4</v>
      </c>
      <c r="F110" s="1">
        <v>28</v>
      </c>
      <c r="G110" s="7">
        <v>0.09</v>
      </c>
      <c r="H110" s="1">
        <v>45</v>
      </c>
      <c r="I110" s="1" t="s">
        <v>27</v>
      </c>
      <c r="J110" s="1"/>
      <c r="K110" s="1">
        <v>2</v>
      </c>
      <c r="L110" s="1">
        <f t="shared" si="21"/>
        <v>2</v>
      </c>
      <c r="M110" s="1"/>
      <c r="N110" s="1"/>
      <c r="O110" s="1">
        <v>5.9665271966527156</v>
      </c>
      <c r="P110" s="1">
        <f t="shared" si="22"/>
        <v>0.8</v>
      </c>
      <c r="Q110" s="5"/>
      <c r="R110" s="1">
        <f t="shared" si="23"/>
        <v>42.458158995815886</v>
      </c>
      <c r="S110" s="1">
        <f t="shared" si="24"/>
        <v>42.458158995815886</v>
      </c>
      <c r="T110" s="1">
        <v>0</v>
      </c>
      <c r="U110" s="1"/>
      <c r="V110" s="1">
        <f t="shared" si="25"/>
        <v>0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25">
      <c r="A111" s="15" t="s">
        <v>136</v>
      </c>
      <c r="B111" s="1" t="s">
        <v>26</v>
      </c>
      <c r="C111" s="1"/>
      <c r="D111" s="1"/>
      <c r="E111" s="1"/>
      <c r="F111" s="1"/>
      <c r="G111" s="7">
        <v>1</v>
      </c>
      <c r="H111" s="1">
        <v>60</v>
      </c>
      <c r="I111" s="1" t="s">
        <v>27</v>
      </c>
      <c r="J111" s="1"/>
      <c r="K111" s="1">
        <v>25</v>
      </c>
      <c r="L111" s="1">
        <f t="shared" si="21"/>
        <v>-25</v>
      </c>
      <c r="M111" s="1"/>
      <c r="N111" s="1"/>
      <c r="O111" s="1">
        <v>0</v>
      </c>
      <c r="P111" s="1">
        <f t="shared" si="22"/>
        <v>0</v>
      </c>
      <c r="Q111" s="5">
        <v>30</v>
      </c>
      <c r="R111" s="1" t="e">
        <f t="shared" si="23"/>
        <v>#DIV/0!</v>
      </c>
      <c r="S111" s="1" t="e">
        <f t="shared" si="24"/>
        <v>#DIV/0!</v>
      </c>
      <c r="T111" s="1">
        <v>0</v>
      </c>
      <c r="U111" s="1"/>
      <c r="V111" s="1">
        <f t="shared" si="25"/>
        <v>30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25">
      <c r="A112" s="15" t="s">
        <v>137</v>
      </c>
      <c r="B112" s="1" t="s">
        <v>26</v>
      </c>
      <c r="C112" s="1"/>
      <c r="D112" s="1"/>
      <c r="E112" s="1"/>
      <c r="F112" s="1"/>
      <c r="G112" s="7">
        <v>1</v>
      </c>
      <c r="H112" s="1">
        <v>50</v>
      </c>
      <c r="I112" s="1" t="s">
        <v>27</v>
      </c>
      <c r="J112" s="1"/>
      <c r="K112" s="1">
        <v>2.5</v>
      </c>
      <c r="L112" s="1">
        <f t="shared" si="21"/>
        <v>-2.5</v>
      </c>
      <c r="M112" s="1"/>
      <c r="N112" s="1"/>
      <c r="O112" s="1">
        <v>0</v>
      </c>
      <c r="P112" s="1">
        <f t="shared" si="22"/>
        <v>0</v>
      </c>
      <c r="Q112" s="5">
        <v>10</v>
      </c>
      <c r="R112" s="1" t="e">
        <f t="shared" si="23"/>
        <v>#DIV/0!</v>
      </c>
      <c r="S112" s="1" t="e">
        <f t="shared" si="24"/>
        <v>#DIV/0!</v>
      </c>
      <c r="T112" s="1">
        <v>0</v>
      </c>
      <c r="U112" s="1"/>
      <c r="V112" s="1">
        <f t="shared" si="25"/>
        <v>10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25">
      <c r="A113" s="1" t="s">
        <v>138</v>
      </c>
      <c r="B113" s="1" t="s">
        <v>31</v>
      </c>
      <c r="C113" s="1"/>
      <c r="D113" s="1">
        <v>30</v>
      </c>
      <c r="E113" s="1">
        <v>23</v>
      </c>
      <c r="F113" s="1">
        <v>9</v>
      </c>
      <c r="G113" s="7">
        <v>0.09</v>
      </c>
      <c r="H113" s="1">
        <v>45</v>
      </c>
      <c r="I113" s="1" t="s">
        <v>27</v>
      </c>
      <c r="J113" s="1"/>
      <c r="K113" s="1">
        <v>21</v>
      </c>
      <c r="L113" s="1">
        <f t="shared" si="21"/>
        <v>2</v>
      </c>
      <c r="M113" s="1"/>
      <c r="N113" s="1"/>
      <c r="O113" s="1">
        <v>9.2393617021276633</v>
      </c>
      <c r="P113" s="1">
        <f t="shared" si="22"/>
        <v>4.5999999999999996</v>
      </c>
      <c r="Q113" s="5">
        <f t="shared" ref="Q107:Q126" si="26">12*P113-O113-F113</f>
        <v>36.960638297872336</v>
      </c>
      <c r="R113" s="1">
        <f t="shared" si="23"/>
        <v>12.000000000000002</v>
      </c>
      <c r="S113" s="1">
        <f t="shared" si="24"/>
        <v>3.9650786308973185</v>
      </c>
      <c r="T113" s="1">
        <v>0</v>
      </c>
      <c r="U113" s="1"/>
      <c r="V113" s="1">
        <f t="shared" si="25"/>
        <v>3.3264574468085102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x14ac:dyDescent="0.25">
      <c r="A114" s="15" t="s">
        <v>139</v>
      </c>
      <c r="B114" s="1" t="s">
        <v>31</v>
      </c>
      <c r="C114" s="1"/>
      <c r="D114" s="1">
        <v>30</v>
      </c>
      <c r="E114" s="1">
        <v>3</v>
      </c>
      <c r="F114" s="1">
        <v>29</v>
      </c>
      <c r="G114" s="7">
        <v>0.09</v>
      </c>
      <c r="H114" s="1">
        <v>45</v>
      </c>
      <c r="I114" s="1" t="s">
        <v>27</v>
      </c>
      <c r="J114" s="1"/>
      <c r="K114" s="1">
        <v>1</v>
      </c>
      <c r="L114" s="1">
        <f t="shared" si="21"/>
        <v>2</v>
      </c>
      <c r="M114" s="1"/>
      <c r="N114" s="1"/>
      <c r="O114" s="1">
        <v>5.5317073170731712</v>
      </c>
      <c r="P114" s="1">
        <f t="shared" si="22"/>
        <v>0.6</v>
      </c>
      <c r="Q114" s="5"/>
      <c r="R114" s="1">
        <f t="shared" si="23"/>
        <v>57.552845528455286</v>
      </c>
      <c r="S114" s="1">
        <f t="shared" si="24"/>
        <v>57.552845528455286</v>
      </c>
      <c r="T114" s="1">
        <v>0</v>
      </c>
      <c r="U114" s="1"/>
      <c r="V114" s="1">
        <f t="shared" si="25"/>
        <v>0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x14ac:dyDescent="0.25">
      <c r="A115" s="15" t="s">
        <v>140</v>
      </c>
      <c r="B115" s="1" t="s">
        <v>26</v>
      </c>
      <c r="C115" s="1"/>
      <c r="D115" s="1">
        <v>41.22</v>
      </c>
      <c r="E115" s="1">
        <v>14.879</v>
      </c>
      <c r="F115" s="1">
        <v>27.521999999999998</v>
      </c>
      <c r="G115" s="7">
        <v>1</v>
      </c>
      <c r="H115" s="1">
        <v>60</v>
      </c>
      <c r="I115" s="1" t="s">
        <v>27</v>
      </c>
      <c r="J115" s="1"/>
      <c r="K115" s="1">
        <v>14.3</v>
      </c>
      <c r="L115" s="1">
        <f t="shared" si="21"/>
        <v>0.57899999999999885</v>
      </c>
      <c r="M115" s="1"/>
      <c r="N115" s="1"/>
      <c r="O115" s="1">
        <v>19.292426544190839</v>
      </c>
      <c r="P115" s="1">
        <f t="shared" si="22"/>
        <v>2.9758</v>
      </c>
      <c r="Q115" s="5"/>
      <c r="R115" s="1">
        <f t="shared" si="23"/>
        <v>15.731711319373224</v>
      </c>
      <c r="S115" s="1">
        <f t="shared" si="24"/>
        <v>15.731711319373224</v>
      </c>
      <c r="T115" s="1">
        <v>0</v>
      </c>
      <c r="U115" s="1"/>
      <c r="V115" s="1">
        <f t="shared" si="25"/>
        <v>0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25">
      <c r="A116" s="15" t="s">
        <v>141</v>
      </c>
      <c r="B116" s="1" t="s">
        <v>26</v>
      </c>
      <c r="C116" s="1"/>
      <c r="D116" s="1">
        <v>166.393</v>
      </c>
      <c r="E116" s="1">
        <v>8.1259999999999994</v>
      </c>
      <c r="F116" s="1">
        <v>141.60300000000001</v>
      </c>
      <c r="G116" s="7">
        <v>1</v>
      </c>
      <c r="H116" s="1">
        <v>60</v>
      </c>
      <c r="I116" s="1" t="s">
        <v>27</v>
      </c>
      <c r="J116" s="1"/>
      <c r="K116" s="1">
        <v>29.9</v>
      </c>
      <c r="L116" s="1">
        <f t="shared" si="21"/>
        <v>-21.774000000000001</v>
      </c>
      <c r="M116" s="1"/>
      <c r="N116" s="1"/>
      <c r="O116" s="1">
        <v>50</v>
      </c>
      <c r="P116" s="1">
        <f t="shared" si="22"/>
        <v>1.6252</v>
      </c>
      <c r="Q116" s="5"/>
      <c r="R116" s="1">
        <f t="shared" si="23"/>
        <v>117.89502830420872</v>
      </c>
      <c r="S116" s="1">
        <f t="shared" si="24"/>
        <v>117.89502830420872</v>
      </c>
      <c r="T116" s="1">
        <v>0</v>
      </c>
      <c r="U116" s="1"/>
      <c r="V116" s="1">
        <f t="shared" si="25"/>
        <v>0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25">
      <c r="A117" s="1" t="s">
        <v>142</v>
      </c>
      <c r="B117" s="1" t="s">
        <v>26</v>
      </c>
      <c r="C117" s="1"/>
      <c r="D117" s="1">
        <v>16.323</v>
      </c>
      <c r="E117" s="1">
        <v>9.5549999999999997</v>
      </c>
      <c r="F117" s="1">
        <v>6.7679999999999998</v>
      </c>
      <c r="G117" s="7">
        <v>1</v>
      </c>
      <c r="H117" s="1">
        <v>60</v>
      </c>
      <c r="I117" s="1" t="s">
        <v>27</v>
      </c>
      <c r="J117" s="1"/>
      <c r="K117" s="1">
        <v>10.4</v>
      </c>
      <c r="L117" s="1">
        <f t="shared" si="21"/>
        <v>-0.84500000000000064</v>
      </c>
      <c r="M117" s="1"/>
      <c r="N117" s="1"/>
      <c r="O117" s="1">
        <v>0</v>
      </c>
      <c r="P117" s="1">
        <f t="shared" si="22"/>
        <v>1.911</v>
      </c>
      <c r="Q117" s="5">
        <f t="shared" si="26"/>
        <v>16.164000000000001</v>
      </c>
      <c r="R117" s="1">
        <f t="shared" si="23"/>
        <v>12.000000000000002</v>
      </c>
      <c r="S117" s="1">
        <f t="shared" si="24"/>
        <v>3.5416012558869698</v>
      </c>
      <c r="T117" s="1">
        <v>0</v>
      </c>
      <c r="U117" s="1"/>
      <c r="V117" s="1">
        <f t="shared" si="25"/>
        <v>16.164000000000001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25">
      <c r="A118" s="1" t="s">
        <v>143</v>
      </c>
      <c r="B118" s="1" t="s">
        <v>26</v>
      </c>
      <c r="C118" s="1"/>
      <c r="D118" s="1">
        <v>727.12800000000004</v>
      </c>
      <c r="E118" s="1">
        <v>453.28699999999998</v>
      </c>
      <c r="F118" s="1">
        <v>12.404999999999999</v>
      </c>
      <c r="G118" s="7">
        <v>1</v>
      </c>
      <c r="H118" s="1">
        <v>60</v>
      </c>
      <c r="I118" s="1" t="s">
        <v>27</v>
      </c>
      <c r="J118" s="1"/>
      <c r="K118" s="1">
        <v>665.1</v>
      </c>
      <c r="L118" s="1">
        <f t="shared" si="21"/>
        <v>-211.81300000000005</v>
      </c>
      <c r="M118" s="1"/>
      <c r="N118" s="1"/>
      <c r="O118" s="1">
        <v>200</v>
      </c>
      <c r="P118" s="1">
        <f t="shared" si="22"/>
        <v>90.657399999999996</v>
      </c>
      <c r="Q118" s="5">
        <f>9*P118-O118-F118</f>
        <v>603.51160000000004</v>
      </c>
      <c r="R118" s="1">
        <f t="shared" si="23"/>
        <v>9</v>
      </c>
      <c r="S118" s="1">
        <f t="shared" si="24"/>
        <v>2.3429416683028634</v>
      </c>
      <c r="T118" s="1">
        <v>0</v>
      </c>
      <c r="U118" s="1"/>
      <c r="V118" s="1">
        <f t="shared" si="25"/>
        <v>603.51160000000004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25">
      <c r="A119" s="15" t="s">
        <v>144</v>
      </c>
      <c r="B119" s="1" t="s">
        <v>31</v>
      </c>
      <c r="C119" s="1"/>
      <c r="D119" s="1">
        <v>228</v>
      </c>
      <c r="E119" s="1">
        <v>3</v>
      </c>
      <c r="F119" s="1">
        <v>228</v>
      </c>
      <c r="G119" s="7">
        <v>0.25</v>
      </c>
      <c r="H119" s="1">
        <v>1096</v>
      </c>
      <c r="I119" s="1" t="s">
        <v>27</v>
      </c>
      <c r="J119" s="1"/>
      <c r="K119" s="1">
        <v>10</v>
      </c>
      <c r="L119" s="1">
        <f t="shared" si="21"/>
        <v>-7</v>
      </c>
      <c r="M119" s="1"/>
      <c r="N119" s="1"/>
      <c r="O119" s="1">
        <v>50</v>
      </c>
      <c r="P119" s="1">
        <f t="shared" si="22"/>
        <v>0.6</v>
      </c>
      <c r="Q119" s="5"/>
      <c r="R119" s="1">
        <f t="shared" si="23"/>
        <v>463.33333333333337</v>
      </c>
      <c r="S119" s="1">
        <f t="shared" si="24"/>
        <v>463.33333333333337</v>
      </c>
      <c r="T119" s="1">
        <v>0</v>
      </c>
      <c r="U119" s="1"/>
      <c r="V119" s="1">
        <f t="shared" si="25"/>
        <v>0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25">
      <c r="A120" s="15" t="s">
        <v>145</v>
      </c>
      <c r="B120" s="1" t="s">
        <v>31</v>
      </c>
      <c r="C120" s="1"/>
      <c r="D120" s="1">
        <v>144</v>
      </c>
      <c r="E120" s="1">
        <v>17</v>
      </c>
      <c r="F120" s="1">
        <v>129</v>
      </c>
      <c r="G120" s="7">
        <v>0.32500000000000001</v>
      </c>
      <c r="H120" s="1">
        <v>1096</v>
      </c>
      <c r="I120" s="1" t="s">
        <v>27</v>
      </c>
      <c r="J120" s="1"/>
      <c r="K120" s="1">
        <v>15</v>
      </c>
      <c r="L120" s="1">
        <f t="shared" si="21"/>
        <v>2</v>
      </c>
      <c r="M120" s="1"/>
      <c r="N120" s="1"/>
      <c r="O120" s="1">
        <v>0</v>
      </c>
      <c r="P120" s="1">
        <f t="shared" si="22"/>
        <v>3.4</v>
      </c>
      <c r="Q120" s="5"/>
      <c r="R120" s="1">
        <f t="shared" si="23"/>
        <v>37.941176470588239</v>
      </c>
      <c r="S120" s="1">
        <f t="shared" si="24"/>
        <v>37.941176470588239</v>
      </c>
      <c r="T120" s="1">
        <v>0</v>
      </c>
      <c r="U120" s="1"/>
      <c r="V120" s="1">
        <f t="shared" si="25"/>
        <v>0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25">
      <c r="A121" s="15" t="s">
        <v>146</v>
      </c>
      <c r="B121" s="1" t="s">
        <v>31</v>
      </c>
      <c r="C121" s="1"/>
      <c r="D121" s="1">
        <v>144</v>
      </c>
      <c r="E121" s="1">
        <v>12</v>
      </c>
      <c r="F121" s="1">
        <v>134</v>
      </c>
      <c r="G121" s="7">
        <v>0.25</v>
      </c>
      <c r="H121" s="1">
        <v>1096</v>
      </c>
      <c r="I121" s="1" t="s">
        <v>27</v>
      </c>
      <c r="J121" s="1"/>
      <c r="K121" s="1">
        <v>10</v>
      </c>
      <c r="L121" s="1">
        <f t="shared" si="21"/>
        <v>2</v>
      </c>
      <c r="M121" s="1"/>
      <c r="N121" s="1"/>
      <c r="O121" s="1">
        <v>0</v>
      </c>
      <c r="P121" s="1">
        <f t="shared" si="22"/>
        <v>2.4</v>
      </c>
      <c r="Q121" s="5"/>
      <c r="R121" s="1">
        <f t="shared" si="23"/>
        <v>55.833333333333336</v>
      </c>
      <c r="S121" s="1">
        <f t="shared" si="24"/>
        <v>55.833333333333336</v>
      </c>
      <c r="T121" s="1">
        <v>0</v>
      </c>
      <c r="U121" s="1"/>
      <c r="V121" s="1">
        <f t="shared" si="25"/>
        <v>0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25">
      <c r="A122" s="15" t="s">
        <v>147</v>
      </c>
      <c r="B122" s="1" t="s">
        <v>31</v>
      </c>
      <c r="C122" s="1"/>
      <c r="D122" s="1"/>
      <c r="E122" s="1">
        <v>-1</v>
      </c>
      <c r="F122" s="1"/>
      <c r="G122" s="7">
        <v>0.3</v>
      </c>
      <c r="H122" s="1">
        <v>40</v>
      </c>
      <c r="I122" s="10" t="s">
        <v>37</v>
      </c>
      <c r="J122" s="1"/>
      <c r="K122" s="1">
        <v>1</v>
      </c>
      <c r="L122" s="1">
        <f t="shared" si="21"/>
        <v>-2</v>
      </c>
      <c r="M122" s="1"/>
      <c r="N122" s="1"/>
      <c r="O122" s="1">
        <v>20.332225913621262</v>
      </c>
      <c r="P122" s="1">
        <f t="shared" si="22"/>
        <v>-0.2</v>
      </c>
      <c r="Q122" s="5">
        <v>8</v>
      </c>
      <c r="R122" s="1">
        <f t="shared" si="23"/>
        <v>-141.6611295681063</v>
      </c>
      <c r="S122" s="1">
        <f t="shared" si="24"/>
        <v>-101.6611295681063</v>
      </c>
      <c r="T122" s="1">
        <v>0</v>
      </c>
      <c r="U122" s="1"/>
      <c r="V122" s="1">
        <f t="shared" si="25"/>
        <v>2.4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25">
      <c r="A123" s="15" t="s">
        <v>148</v>
      </c>
      <c r="B123" s="1" t="s">
        <v>31</v>
      </c>
      <c r="C123" s="1"/>
      <c r="D123" s="1"/>
      <c r="E123" s="1"/>
      <c r="F123" s="1"/>
      <c r="G123" s="7">
        <v>0.3</v>
      </c>
      <c r="H123" s="1">
        <v>40</v>
      </c>
      <c r="I123" s="10" t="s">
        <v>37</v>
      </c>
      <c r="J123" s="1"/>
      <c r="K123" s="1">
        <v>1</v>
      </c>
      <c r="L123" s="1">
        <f t="shared" si="21"/>
        <v>-1</v>
      </c>
      <c r="M123" s="1"/>
      <c r="N123" s="1"/>
      <c r="O123" s="1">
        <v>35.172413793103452</v>
      </c>
      <c r="P123" s="1">
        <f t="shared" si="22"/>
        <v>0</v>
      </c>
      <c r="Q123" s="5">
        <v>8</v>
      </c>
      <c r="R123" s="1" t="e">
        <f t="shared" si="23"/>
        <v>#DIV/0!</v>
      </c>
      <c r="S123" s="1" t="e">
        <f t="shared" si="24"/>
        <v>#DIV/0!</v>
      </c>
      <c r="T123" s="1">
        <v>0</v>
      </c>
      <c r="U123" s="1"/>
      <c r="V123" s="1">
        <f t="shared" si="25"/>
        <v>2.4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x14ac:dyDescent="0.25">
      <c r="A124" s="15" t="s">
        <v>149</v>
      </c>
      <c r="B124" s="1" t="s">
        <v>26</v>
      </c>
      <c r="C124" s="1"/>
      <c r="D124" s="1"/>
      <c r="E124" s="1">
        <v>-0.53600000000000003</v>
      </c>
      <c r="F124" s="1"/>
      <c r="G124" s="7">
        <v>1</v>
      </c>
      <c r="H124" s="1">
        <v>50</v>
      </c>
      <c r="I124" s="1" t="s">
        <v>27</v>
      </c>
      <c r="J124" s="1"/>
      <c r="K124" s="1">
        <v>11.7</v>
      </c>
      <c r="L124" s="1">
        <f t="shared" si="21"/>
        <v>-12.235999999999999</v>
      </c>
      <c r="M124" s="1"/>
      <c r="N124" s="1"/>
      <c r="O124" s="1">
        <v>10</v>
      </c>
      <c r="P124" s="1">
        <f t="shared" si="22"/>
        <v>-0.1072</v>
      </c>
      <c r="Q124" s="5">
        <v>10</v>
      </c>
      <c r="R124" s="1">
        <f t="shared" si="23"/>
        <v>-186.56716417910448</v>
      </c>
      <c r="S124" s="1">
        <f t="shared" si="24"/>
        <v>-93.28358208955224</v>
      </c>
      <c r="T124" s="1">
        <v>0</v>
      </c>
      <c r="U124" s="1"/>
      <c r="V124" s="1">
        <f t="shared" si="25"/>
        <v>10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x14ac:dyDescent="0.25">
      <c r="A125" s="15" t="s">
        <v>150</v>
      </c>
      <c r="B125" s="1" t="s">
        <v>31</v>
      </c>
      <c r="C125" s="1"/>
      <c r="D125" s="1"/>
      <c r="E125" s="1"/>
      <c r="F125" s="1"/>
      <c r="G125" s="7">
        <v>0.3</v>
      </c>
      <c r="H125" s="1">
        <v>40</v>
      </c>
      <c r="I125" s="10" t="s">
        <v>37</v>
      </c>
      <c r="J125" s="1"/>
      <c r="K125" s="1"/>
      <c r="L125" s="1">
        <f t="shared" si="21"/>
        <v>0</v>
      </c>
      <c r="M125" s="1"/>
      <c r="N125" s="1"/>
      <c r="O125" s="1">
        <v>25</v>
      </c>
      <c r="P125" s="1">
        <f t="shared" si="22"/>
        <v>0</v>
      </c>
      <c r="Q125" s="5">
        <v>8</v>
      </c>
      <c r="R125" s="1" t="e">
        <f t="shared" si="23"/>
        <v>#DIV/0!</v>
      </c>
      <c r="S125" s="1" t="e">
        <f t="shared" si="24"/>
        <v>#DIV/0!</v>
      </c>
      <c r="T125" s="1">
        <v>0</v>
      </c>
      <c r="U125" s="1"/>
      <c r="V125" s="1">
        <f t="shared" si="25"/>
        <v>2.4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x14ac:dyDescent="0.25">
      <c r="A126" s="15" t="s">
        <v>151</v>
      </c>
      <c r="B126" s="1" t="s">
        <v>31</v>
      </c>
      <c r="C126" s="1"/>
      <c r="D126" s="1"/>
      <c r="E126" s="1"/>
      <c r="F126" s="1"/>
      <c r="G126" s="7">
        <v>0.12</v>
      </c>
      <c r="H126" s="1">
        <v>45</v>
      </c>
      <c r="I126" s="10" t="s">
        <v>37</v>
      </c>
      <c r="J126" s="1"/>
      <c r="K126" s="1">
        <v>7</v>
      </c>
      <c r="L126" s="1">
        <f t="shared" si="21"/>
        <v>-7</v>
      </c>
      <c r="M126" s="1"/>
      <c r="N126" s="1"/>
      <c r="O126" s="1">
        <v>12.66666666666667</v>
      </c>
      <c r="P126" s="1">
        <f t="shared" si="22"/>
        <v>0</v>
      </c>
      <c r="Q126" s="5">
        <v>10</v>
      </c>
      <c r="R126" s="1" t="e">
        <f t="shared" si="23"/>
        <v>#DIV/0!</v>
      </c>
      <c r="S126" s="1" t="e">
        <f t="shared" si="24"/>
        <v>#DIV/0!</v>
      </c>
      <c r="T126" s="1">
        <v>0</v>
      </c>
      <c r="U126" s="1"/>
      <c r="V126" s="1">
        <f t="shared" si="25"/>
        <v>1.2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25">
      <c r="A127" s="11" t="s">
        <v>152</v>
      </c>
      <c r="B127" s="11" t="s">
        <v>31</v>
      </c>
      <c r="C127" s="11"/>
      <c r="D127" s="11">
        <v>4</v>
      </c>
      <c r="E127" s="14">
        <v>13</v>
      </c>
      <c r="F127" s="14">
        <v>-14</v>
      </c>
      <c r="G127" s="12">
        <v>0</v>
      </c>
      <c r="H127" s="11"/>
      <c r="I127" s="11" t="s">
        <v>153</v>
      </c>
      <c r="J127" s="11" t="s">
        <v>80</v>
      </c>
      <c r="K127" s="11">
        <v>17</v>
      </c>
      <c r="L127" s="11">
        <f t="shared" si="21"/>
        <v>-4</v>
      </c>
      <c r="M127" s="11"/>
      <c r="N127" s="11"/>
      <c r="O127" s="11"/>
      <c r="P127" s="11">
        <f t="shared" si="22"/>
        <v>2.6</v>
      </c>
      <c r="Q127" s="13"/>
      <c r="R127" s="11">
        <f t="shared" si="23"/>
        <v>-5.3846153846153841</v>
      </c>
      <c r="S127" s="11">
        <f t="shared" si="24"/>
        <v>-5.3846153846153841</v>
      </c>
      <c r="T127" s="11">
        <v>0</v>
      </c>
      <c r="U127" s="11"/>
      <c r="V127" s="1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25">
      <c r="A128" s="15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</sheetData>
  <autoFilter ref="A3:V1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2026-09-24T16:42:52Z</dcterms:created>
  <dcterms:modified xsi:type="dcterms:W3CDTF">2026-09-24T17:01:13Z</dcterms:modified>
</cp:coreProperties>
</file>