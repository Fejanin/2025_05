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C3814DAC-DDF6-4BC0-9D32-E9FA78E255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Sheet!$A$3:$AI$130</definedName>
  </definedNames>
  <calcPr calcId="191029"/>
</workbook>
</file>

<file path=xl/calcChain.xml><?xml version="1.0" encoding="utf-8"?>
<calcChain xmlns="http://schemas.openxmlformats.org/spreadsheetml/2006/main">
  <c r="AI125" i="1" l="1"/>
  <c r="AI92" i="1"/>
  <c r="AI77" i="1"/>
  <c r="AI55" i="1"/>
  <c r="T130" i="1"/>
  <c r="W130" i="1" s="1"/>
  <c r="L130" i="1"/>
  <c r="T129" i="1"/>
  <c r="V129" i="1" s="1"/>
  <c r="L129" i="1"/>
  <c r="T128" i="1"/>
  <c r="W128" i="1" s="1"/>
  <c r="L128" i="1"/>
  <c r="T127" i="1"/>
  <c r="W127" i="1" s="1"/>
  <c r="L127" i="1"/>
  <c r="T126" i="1"/>
  <c r="L126" i="1"/>
  <c r="T125" i="1"/>
  <c r="W125" i="1" s="1"/>
  <c r="L125" i="1"/>
  <c r="T124" i="1"/>
  <c r="W124" i="1" s="1"/>
  <c r="L124" i="1"/>
  <c r="T123" i="1"/>
  <c r="W123" i="1" s="1"/>
  <c r="L123" i="1"/>
  <c r="T122" i="1"/>
  <c r="W122" i="1" s="1"/>
  <c r="L122" i="1"/>
  <c r="T121" i="1"/>
  <c r="W121" i="1" s="1"/>
  <c r="L121" i="1"/>
  <c r="T120" i="1"/>
  <c r="W120" i="1" s="1"/>
  <c r="L120" i="1"/>
  <c r="T119" i="1"/>
  <c r="AI119" i="1" s="1"/>
  <c r="L119" i="1"/>
  <c r="F119" i="1"/>
  <c r="T118" i="1"/>
  <c r="W118" i="1" s="1"/>
  <c r="L118" i="1"/>
  <c r="T117" i="1"/>
  <c r="AI117" i="1" s="1"/>
  <c r="L117" i="1"/>
  <c r="T116" i="1"/>
  <c r="L116" i="1"/>
  <c r="T115" i="1"/>
  <c r="L115" i="1"/>
  <c r="T114" i="1"/>
  <c r="L114" i="1"/>
  <c r="T113" i="1"/>
  <c r="W113" i="1" s="1"/>
  <c r="L113" i="1"/>
  <c r="T112" i="1"/>
  <c r="W112" i="1" s="1"/>
  <c r="L112" i="1"/>
  <c r="T111" i="1"/>
  <c r="W111" i="1" s="1"/>
  <c r="L111" i="1"/>
  <c r="T110" i="1"/>
  <c r="W110" i="1" s="1"/>
  <c r="L110" i="1"/>
  <c r="T109" i="1"/>
  <c r="V109" i="1" s="1"/>
  <c r="L109" i="1"/>
  <c r="T108" i="1"/>
  <c r="L108" i="1"/>
  <c r="T107" i="1"/>
  <c r="W107" i="1" s="1"/>
  <c r="L107" i="1"/>
  <c r="T106" i="1"/>
  <c r="U106" i="1" s="1"/>
  <c r="AI106" i="1" s="1"/>
  <c r="L106" i="1"/>
  <c r="T105" i="1"/>
  <c r="V105" i="1" s="1"/>
  <c r="L105" i="1"/>
  <c r="T104" i="1"/>
  <c r="W104" i="1" s="1"/>
  <c r="L104" i="1"/>
  <c r="T103" i="1"/>
  <c r="W103" i="1" s="1"/>
  <c r="L103" i="1"/>
  <c r="T102" i="1"/>
  <c r="W102" i="1" s="1"/>
  <c r="L102" i="1"/>
  <c r="T101" i="1"/>
  <c r="W101" i="1" s="1"/>
  <c r="L101" i="1"/>
  <c r="T100" i="1"/>
  <c r="W100" i="1" s="1"/>
  <c r="L100" i="1"/>
  <c r="T99" i="1"/>
  <c r="W99" i="1" s="1"/>
  <c r="L99" i="1"/>
  <c r="T98" i="1"/>
  <c r="V98" i="1" s="1"/>
  <c r="L98" i="1"/>
  <c r="T97" i="1"/>
  <c r="W97" i="1" s="1"/>
  <c r="L97" i="1"/>
  <c r="T96" i="1"/>
  <c r="L96" i="1"/>
  <c r="T95" i="1"/>
  <c r="U95" i="1" s="1"/>
  <c r="AI95" i="1" s="1"/>
  <c r="L95" i="1"/>
  <c r="T94" i="1"/>
  <c r="W94" i="1" s="1"/>
  <c r="L94" i="1"/>
  <c r="T93" i="1"/>
  <c r="W93" i="1" s="1"/>
  <c r="L93" i="1"/>
  <c r="T92" i="1"/>
  <c r="L92" i="1"/>
  <c r="T91" i="1"/>
  <c r="W91" i="1" s="1"/>
  <c r="L91" i="1"/>
  <c r="T90" i="1"/>
  <c r="W90" i="1" s="1"/>
  <c r="L90" i="1"/>
  <c r="T89" i="1"/>
  <c r="L89" i="1"/>
  <c r="T88" i="1"/>
  <c r="W88" i="1" s="1"/>
  <c r="L88" i="1"/>
  <c r="T87" i="1"/>
  <c r="L87" i="1"/>
  <c r="T86" i="1"/>
  <c r="W86" i="1" s="1"/>
  <c r="L86" i="1"/>
  <c r="T85" i="1"/>
  <c r="W85" i="1" s="1"/>
  <c r="L85" i="1"/>
  <c r="T84" i="1"/>
  <c r="W84" i="1" s="1"/>
  <c r="L84" i="1"/>
  <c r="T83" i="1"/>
  <c r="W83" i="1" s="1"/>
  <c r="L83" i="1"/>
  <c r="T82" i="1"/>
  <c r="V82" i="1" s="1"/>
  <c r="L82" i="1"/>
  <c r="T81" i="1"/>
  <c r="U81" i="1" s="1"/>
  <c r="AI81" i="1" s="1"/>
  <c r="L81" i="1"/>
  <c r="T80" i="1"/>
  <c r="W80" i="1" s="1"/>
  <c r="L80" i="1"/>
  <c r="T79" i="1"/>
  <c r="L79" i="1"/>
  <c r="T78" i="1"/>
  <c r="U78" i="1" s="1"/>
  <c r="AI78" i="1" s="1"/>
  <c r="L78" i="1"/>
  <c r="T77" i="1"/>
  <c r="W77" i="1" s="1"/>
  <c r="L77" i="1"/>
  <c r="T76" i="1"/>
  <c r="L76" i="1"/>
  <c r="T75" i="1"/>
  <c r="L75" i="1"/>
  <c r="T74" i="1"/>
  <c r="L74" i="1"/>
  <c r="T73" i="1"/>
  <c r="L73" i="1"/>
  <c r="T72" i="1"/>
  <c r="U72" i="1" s="1"/>
  <c r="AI72" i="1" s="1"/>
  <c r="L72" i="1"/>
  <c r="T71" i="1"/>
  <c r="W71" i="1" s="1"/>
  <c r="L71" i="1"/>
  <c r="T70" i="1"/>
  <c r="W70" i="1" s="1"/>
  <c r="L70" i="1"/>
  <c r="T69" i="1"/>
  <c r="W69" i="1" s="1"/>
  <c r="L69" i="1"/>
  <c r="T68" i="1"/>
  <c r="L68" i="1"/>
  <c r="T67" i="1"/>
  <c r="W67" i="1" s="1"/>
  <c r="L67" i="1"/>
  <c r="T66" i="1"/>
  <c r="L66" i="1"/>
  <c r="T65" i="1"/>
  <c r="W65" i="1" s="1"/>
  <c r="L65" i="1"/>
  <c r="T64" i="1"/>
  <c r="U64" i="1" s="1"/>
  <c r="AI64" i="1" s="1"/>
  <c r="L64" i="1"/>
  <c r="T63" i="1"/>
  <c r="W63" i="1" s="1"/>
  <c r="L63" i="1"/>
  <c r="T62" i="1"/>
  <c r="AI62" i="1" s="1"/>
  <c r="L62" i="1"/>
  <c r="T61" i="1"/>
  <c r="W61" i="1" s="1"/>
  <c r="L61" i="1"/>
  <c r="T60" i="1"/>
  <c r="L60" i="1"/>
  <c r="T59" i="1"/>
  <c r="L59" i="1"/>
  <c r="T58" i="1"/>
  <c r="U58" i="1" s="1"/>
  <c r="AI58" i="1" s="1"/>
  <c r="L58" i="1"/>
  <c r="T57" i="1"/>
  <c r="W57" i="1" s="1"/>
  <c r="L57" i="1"/>
  <c r="F56" i="1"/>
  <c r="E56" i="1"/>
  <c r="L56" i="1" s="1"/>
  <c r="T55" i="1"/>
  <c r="L55" i="1"/>
  <c r="T54" i="1"/>
  <c r="W54" i="1" s="1"/>
  <c r="L54" i="1"/>
  <c r="T53" i="1"/>
  <c r="L53" i="1"/>
  <c r="T52" i="1"/>
  <c r="W52" i="1" s="1"/>
  <c r="L52" i="1"/>
  <c r="T51" i="1"/>
  <c r="U51" i="1" s="1"/>
  <c r="AI51" i="1" s="1"/>
  <c r="L51" i="1"/>
  <c r="T50" i="1"/>
  <c r="U50" i="1" s="1"/>
  <c r="L50" i="1"/>
  <c r="T49" i="1"/>
  <c r="U49" i="1" s="1"/>
  <c r="L49" i="1"/>
  <c r="T48" i="1"/>
  <c r="L48" i="1"/>
  <c r="T47" i="1"/>
  <c r="L47" i="1"/>
  <c r="T46" i="1"/>
  <c r="L46" i="1"/>
  <c r="T45" i="1"/>
  <c r="AI45" i="1" s="1"/>
  <c r="L45" i="1"/>
  <c r="T44" i="1"/>
  <c r="W44" i="1" s="1"/>
  <c r="L44" i="1"/>
  <c r="T43" i="1"/>
  <c r="U43" i="1" s="1"/>
  <c r="AI43" i="1" s="1"/>
  <c r="L43" i="1"/>
  <c r="T42" i="1"/>
  <c r="AI42" i="1" s="1"/>
  <c r="L42" i="1"/>
  <c r="T41" i="1"/>
  <c r="W41" i="1" s="1"/>
  <c r="L41" i="1"/>
  <c r="T40" i="1"/>
  <c r="W40" i="1" s="1"/>
  <c r="L40" i="1"/>
  <c r="T39" i="1"/>
  <c r="U39" i="1" s="1"/>
  <c r="AI39" i="1" s="1"/>
  <c r="L39" i="1"/>
  <c r="T38" i="1"/>
  <c r="AI38" i="1" s="1"/>
  <c r="L38" i="1"/>
  <c r="T37" i="1"/>
  <c r="AI37" i="1" s="1"/>
  <c r="L37" i="1"/>
  <c r="T36" i="1"/>
  <c r="L36" i="1"/>
  <c r="T35" i="1"/>
  <c r="U35" i="1" s="1"/>
  <c r="L35" i="1"/>
  <c r="T34" i="1"/>
  <c r="L34" i="1"/>
  <c r="T33" i="1"/>
  <c r="W33" i="1" s="1"/>
  <c r="L33" i="1"/>
  <c r="T32" i="1"/>
  <c r="AI32" i="1" s="1"/>
  <c r="L32" i="1"/>
  <c r="T31" i="1"/>
  <c r="L31" i="1"/>
  <c r="T30" i="1"/>
  <c r="L30" i="1"/>
  <c r="T29" i="1"/>
  <c r="V29" i="1" s="1"/>
  <c r="L29" i="1"/>
  <c r="T28" i="1"/>
  <c r="W28" i="1" s="1"/>
  <c r="L28" i="1"/>
  <c r="T27" i="1"/>
  <c r="W27" i="1" s="1"/>
  <c r="L27" i="1"/>
  <c r="T26" i="1"/>
  <c r="W26" i="1" s="1"/>
  <c r="L26" i="1"/>
  <c r="T25" i="1"/>
  <c r="W25" i="1" s="1"/>
  <c r="L25" i="1"/>
  <c r="T24" i="1"/>
  <c r="W24" i="1" s="1"/>
  <c r="L24" i="1"/>
  <c r="T23" i="1"/>
  <c r="W23" i="1" s="1"/>
  <c r="L23" i="1"/>
  <c r="T22" i="1"/>
  <c r="L22" i="1"/>
  <c r="T21" i="1"/>
  <c r="W21" i="1" s="1"/>
  <c r="L21" i="1"/>
  <c r="T20" i="1"/>
  <c r="L20" i="1"/>
  <c r="T19" i="1"/>
  <c r="W19" i="1" s="1"/>
  <c r="L19" i="1"/>
  <c r="T18" i="1"/>
  <c r="AI18" i="1" s="1"/>
  <c r="L18" i="1"/>
  <c r="T17" i="1"/>
  <c r="W17" i="1" s="1"/>
  <c r="L17" i="1"/>
  <c r="T16" i="1"/>
  <c r="U16" i="1" s="1"/>
  <c r="AI16" i="1" s="1"/>
  <c r="L16" i="1"/>
  <c r="T15" i="1"/>
  <c r="W15" i="1" s="1"/>
  <c r="L15" i="1"/>
  <c r="T14" i="1"/>
  <c r="U14" i="1" s="1"/>
  <c r="AI14" i="1" s="1"/>
  <c r="L14" i="1"/>
  <c r="T13" i="1"/>
  <c r="W13" i="1" s="1"/>
  <c r="L13" i="1"/>
  <c r="T12" i="1"/>
  <c r="W12" i="1" s="1"/>
  <c r="L12" i="1"/>
  <c r="T11" i="1"/>
  <c r="L11" i="1"/>
  <c r="T10" i="1"/>
  <c r="W10" i="1" s="1"/>
  <c r="L10" i="1"/>
  <c r="T9" i="1"/>
  <c r="W9" i="1" s="1"/>
  <c r="L9" i="1"/>
  <c r="T8" i="1"/>
  <c r="W8" i="1" s="1"/>
  <c r="L8" i="1"/>
  <c r="T7" i="1"/>
  <c r="W7" i="1" s="1"/>
  <c r="L7" i="1"/>
  <c r="T6" i="1"/>
  <c r="W6" i="1" s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F5" i="1" l="1"/>
  <c r="V83" i="1"/>
  <c r="U52" i="1"/>
  <c r="AI52" i="1" s="1"/>
  <c r="U70" i="1"/>
  <c r="AI70" i="1" s="1"/>
  <c r="U79" i="1"/>
  <c r="AI79" i="1" s="1"/>
  <c r="U36" i="1"/>
  <c r="AI36" i="1" s="1"/>
  <c r="AI35" i="1"/>
  <c r="U27" i="1"/>
  <c r="AI27" i="1" s="1"/>
  <c r="W29" i="1"/>
  <c r="W78" i="1"/>
  <c r="V128" i="1"/>
  <c r="V113" i="1"/>
  <c r="W95" i="1"/>
  <c r="U104" i="1"/>
  <c r="AI104" i="1" s="1"/>
  <c r="U123" i="1"/>
  <c r="AI123" i="1" s="1"/>
  <c r="W98" i="1"/>
  <c r="W117" i="1"/>
  <c r="W73" i="1"/>
  <c r="V114" i="1"/>
  <c r="U15" i="1"/>
  <c r="AI15" i="1" s="1"/>
  <c r="U57" i="1"/>
  <c r="AI57" i="1" s="1"/>
  <c r="U107" i="1"/>
  <c r="AI107" i="1" s="1"/>
  <c r="V87" i="1"/>
  <c r="U80" i="1"/>
  <c r="AI80" i="1" s="1"/>
  <c r="AI108" i="1"/>
  <c r="V53" i="1"/>
  <c r="AI17" i="1"/>
  <c r="AI59" i="1"/>
  <c r="AI110" i="1"/>
  <c r="W53" i="1"/>
  <c r="AI40" i="1"/>
  <c r="U60" i="1"/>
  <c r="AI60" i="1" s="1"/>
  <c r="U84" i="1"/>
  <c r="AI84" i="1" s="1"/>
  <c r="AI111" i="1"/>
  <c r="V81" i="1"/>
  <c r="AI19" i="1"/>
  <c r="AI41" i="1"/>
  <c r="AI61" i="1"/>
  <c r="AI85" i="1"/>
  <c r="W81" i="1"/>
  <c r="V95" i="1"/>
  <c r="U20" i="1"/>
  <c r="AI20" i="1" s="1"/>
  <c r="AI87" i="1"/>
  <c r="AI114" i="1"/>
  <c r="U21" i="1"/>
  <c r="AI21" i="1" s="1"/>
  <c r="U63" i="1"/>
  <c r="AI63" i="1" s="1"/>
  <c r="AI88" i="1"/>
  <c r="AI115" i="1"/>
  <c r="V42" i="1"/>
  <c r="W116" i="1"/>
  <c r="U22" i="1"/>
  <c r="AI22" i="1" s="1"/>
  <c r="U44" i="1"/>
  <c r="AI44" i="1" s="1"/>
  <c r="U89" i="1"/>
  <c r="AI89" i="1" s="1"/>
  <c r="U116" i="1"/>
  <c r="AI116" i="1" s="1"/>
  <c r="V54" i="1"/>
  <c r="AI23" i="1"/>
  <c r="U65" i="1"/>
  <c r="AI65" i="1" s="1"/>
  <c r="U91" i="1"/>
  <c r="V16" i="1"/>
  <c r="V62" i="1"/>
  <c r="U24" i="1"/>
  <c r="AI24" i="1" s="1"/>
  <c r="AI46" i="1"/>
  <c r="AI66" i="1"/>
  <c r="AI118" i="1"/>
  <c r="V48" i="1"/>
  <c r="V43" i="1"/>
  <c r="W49" i="1"/>
  <c r="W96" i="1"/>
  <c r="V117" i="1"/>
  <c r="AI26" i="1"/>
  <c r="AI47" i="1"/>
  <c r="U67" i="1"/>
  <c r="AI67" i="1" s="1"/>
  <c r="AI93" i="1"/>
  <c r="V39" i="1"/>
  <c r="V37" i="1"/>
  <c r="AI48" i="1"/>
  <c r="U68" i="1"/>
  <c r="AI68" i="1" s="1"/>
  <c r="AI94" i="1"/>
  <c r="AI120" i="1"/>
  <c r="U6" i="1"/>
  <c r="AI6" i="1" s="1"/>
  <c r="U28" i="1"/>
  <c r="AI28" i="1" s="1"/>
  <c r="AI49" i="1"/>
  <c r="AI7" i="1"/>
  <c r="U30" i="1"/>
  <c r="AI30" i="1" s="1"/>
  <c r="AI50" i="1"/>
  <c r="U96" i="1"/>
  <c r="AI96" i="1" s="1"/>
  <c r="U124" i="1"/>
  <c r="V31" i="1"/>
  <c r="V38" i="1"/>
  <c r="U8" i="1"/>
  <c r="AI8" i="1" s="1"/>
  <c r="AI31" i="1"/>
  <c r="U73" i="1"/>
  <c r="AI73" i="1" s="1"/>
  <c r="AI99" i="1"/>
  <c r="V18" i="1"/>
  <c r="W38" i="1"/>
  <c r="V64" i="1"/>
  <c r="U74" i="1"/>
  <c r="AI74" i="1" s="1"/>
  <c r="U100" i="1"/>
  <c r="AI100" i="1" s="1"/>
  <c r="U126" i="1"/>
  <c r="AI126" i="1" s="1"/>
  <c r="V45" i="1"/>
  <c r="V51" i="1"/>
  <c r="V72" i="1"/>
  <c r="V92" i="1"/>
  <c r="W119" i="1"/>
  <c r="V125" i="1"/>
  <c r="AI10" i="1"/>
  <c r="U33" i="1"/>
  <c r="AI33" i="1" s="1"/>
  <c r="AI53" i="1"/>
  <c r="U75" i="1"/>
  <c r="AI75" i="1" s="1"/>
  <c r="U102" i="1"/>
  <c r="AI102" i="1" s="1"/>
  <c r="AI127" i="1"/>
  <c r="V32" i="1"/>
  <c r="W45" i="1"/>
  <c r="V58" i="1"/>
  <c r="U11" i="1"/>
  <c r="AI11" i="1" s="1"/>
  <c r="U34" i="1"/>
  <c r="AI34" i="1" s="1"/>
  <c r="AI54" i="1"/>
  <c r="U76" i="1"/>
  <c r="AI76" i="1" s="1"/>
  <c r="U103" i="1"/>
  <c r="AI103" i="1" s="1"/>
  <c r="AI130" i="1"/>
  <c r="V36" i="1"/>
  <c r="V55" i="1"/>
  <c r="V77" i="1"/>
  <c r="AI13" i="1"/>
  <c r="V78" i="1"/>
  <c r="V14" i="1"/>
  <c r="V106" i="1"/>
  <c r="V35" i="1"/>
  <c r="V86" i="1"/>
  <c r="W92" i="1"/>
  <c r="V120" i="1"/>
  <c r="W35" i="1"/>
  <c r="W51" i="1"/>
  <c r="W75" i="1"/>
  <c r="W115" i="1"/>
  <c r="W30" i="1"/>
  <c r="W46" i="1"/>
  <c r="W126" i="1"/>
  <c r="V111" i="1"/>
  <c r="V121" i="1"/>
  <c r="L5" i="1"/>
  <c r="W31" i="1"/>
  <c r="W47" i="1"/>
  <c r="V71" i="1"/>
  <c r="W42" i="1"/>
  <c r="W82" i="1"/>
  <c r="V94" i="1"/>
  <c r="V99" i="1"/>
  <c r="W37" i="1"/>
  <c r="V27" i="1"/>
  <c r="W43" i="1"/>
  <c r="W129" i="1"/>
  <c r="W39" i="1"/>
  <c r="W55" i="1"/>
  <c r="W79" i="1"/>
  <c r="W34" i="1"/>
  <c r="W50" i="1"/>
  <c r="W74" i="1"/>
  <c r="W109" i="1"/>
  <c r="W59" i="1"/>
  <c r="W48" i="1"/>
  <c r="W76" i="1"/>
  <c r="W105" i="1"/>
  <c r="W36" i="1"/>
  <c r="W72" i="1"/>
  <c r="W114" i="1"/>
  <c r="V127" i="1"/>
  <c r="V23" i="1"/>
  <c r="V84" i="1"/>
  <c r="V122" i="1"/>
  <c r="W32" i="1"/>
  <c r="T56" i="1"/>
  <c r="V8" i="1"/>
  <c r="V12" i="1"/>
  <c r="W16" i="1"/>
  <c r="W20" i="1"/>
  <c r="W60" i="1"/>
  <c r="W64" i="1"/>
  <c r="W68" i="1"/>
  <c r="W89" i="1"/>
  <c r="W106" i="1"/>
  <c r="V118" i="1"/>
  <c r="V93" i="1"/>
  <c r="V110" i="1"/>
  <c r="V119" i="1"/>
  <c r="E5" i="1"/>
  <c r="V13" i="1"/>
  <c r="V25" i="1"/>
  <c r="V57" i="1"/>
  <c r="V69" i="1"/>
  <c r="V90" i="1"/>
  <c r="W11" i="1"/>
  <c r="V101" i="1"/>
  <c r="V40" i="1"/>
  <c r="V97" i="1"/>
  <c r="V10" i="1"/>
  <c r="W14" i="1"/>
  <c r="W18" i="1"/>
  <c r="W22" i="1"/>
  <c r="W58" i="1"/>
  <c r="W62" i="1"/>
  <c r="W66" i="1"/>
  <c r="W87" i="1"/>
  <c r="V104" i="1"/>
  <c r="W108" i="1"/>
  <c r="V15" i="1" l="1"/>
  <c r="V65" i="1"/>
  <c r="V79" i="1"/>
  <c r="V102" i="1"/>
  <c r="V107" i="1"/>
  <c r="V123" i="1"/>
  <c r="V63" i="1"/>
  <c r="V20" i="1"/>
  <c r="V70" i="1"/>
  <c r="V34" i="1"/>
  <c r="V100" i="1"/>
  <c r="V21" i="1"/>
  <c r="V28" i="1"/>
  <c r="V6" i="1"/>
  <c r="V108" i="1"/>
  <c r="V26" i="1"/>
  <c r="V11" i="1"/>
  <c r="V50" i="1"/>
  <c r="T5" i="1"/>
  <c r="AI112" i="1"/>
  <c r="V112" i="1"/>
  <c r="V89" i="1"/>
  <c r="V130" i="1"/>
  <c r="V22" i="1"/>
  <c r="AI124" i="1"/>
  <c r="V124" i="1"/>
  <c r="AI9" i="1"/>
  <c r="V9" i="1"/>
  <c r="V96" i="1"/>
  <c r="V115" i="1"/>
  <c r="V80" i="1"/>
  <c r="V76" i="1"/>
  <c r="V74" i="1"/>
  <c r="V66" i="1"/>
  <c r="V61" i="1"/>
  <c r="V52" i="1"/>
  <c r="V103" i="1"/>
  <c r="V116" i="1"/>
  <c r="V60" i="1"/>
  <c r="V59" i="1"/>
  <c r="V67" i="1"/>
  <c r="V49" i="1"/>
  <c r="V75" i="1"/>
  <c r="V46" i="1"/>
  <c r="V68" i="1"/>
  <c r="V47" i="1"/>
  <c r="V33" i="1"/>
  <c r="V85" i="1"/>
  <c r="V7" i="1"/>
  <c r="V19" i="1"/>
  <c r="V30" i="1"/>
  <c r="AI91" i="1"/>
  <c r="V91" i="1"/>
  <c r="V41" i="1"/>
  <c r="V17" i="1"/>
  <c r="V88" i="1"/>
  <c r="V126" i="1"/>
  <c r="V24" i="1"/>
  <c r="V44" i="1"/>
  <c r="V73" i="1"/>
  <c r="W56" i="1"/>
  <c r="AI56" i="1" l="1"/>
  <c r="AI5" i="1" s="1"/>
  <c r="V56" i="1"/>
  <c r="U5" i="1"/>
</calcChain>
</file>

<file path=xl/sharedStrings.xml><?xml version="1.0" encoding="utf-8"?>
<sst xmlns="http://schemas.openxmlformats.org/spreadsheetml/2006/main" count="459" uniqueCount="181">
  <si>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</si>
  <si>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</si>
  <si>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</si>
  <si>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</si>
  <si>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</si>
  <si>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</si>
  <si>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</si>
  <si>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</si>
  <si>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</si>
  <si>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</si>
  <si>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</si>
  <si>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</si>
  <si>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</si>
  <si>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</si>
  <si>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</si>
  <si>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</si>
  <si>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</si>
  <si>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</si>
  <si>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</si>
  <si>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</si>
  <si>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</si>
  <si>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</si>
  <si>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</si>
  <si>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25,10,(2)</t>
  </si>
  <si>
    <t>26,10,</t>
  </si>
  <si>
    <t>26,10,доз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</si>
  <si>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</si>
  <si>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</si>
  <si>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</si>
  <si>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</si>
  <si>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</si>
  <si>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</si>
  <si>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</si>
  <si>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</si>
  <si>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</si>
  <si>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</si>
  <si>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</si>
  <si>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</si>
  <si>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</si>
  <si>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</si>
  <si>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</si>
  <si>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</si>
  <si>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</si>
  <si>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</si>
  <si>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</si>
  <si>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</si>
  <si>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</si>
  <si>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</si>
  <si>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</si>
  <si>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</si>
  <si>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</si>
  <si>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</si>
  <si>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</si>
  <si>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</si>
  <si>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</si>
  <si>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</si>
  <si>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</si>
  <si>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</si>
  <si>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</si>
  <si>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</si>
  <si>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</si>
  <si>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</si>
  <si>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</si>
  <si>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</si>
  <si>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</si>
  <si>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</si>
  <si>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</si>
  <si>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</si>
  <si>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</si>
  <si>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</si>
  <si>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</si>
  <si>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</si>
  <si>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</si>
  <si>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</si>
  <si>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</si>
  <si>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</si>
  <si>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</si>
  <si>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</si>
  <si>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</si>
  <si>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</si>
  <si>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</si>
  <si>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</si>
  <si>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</si>
  <si>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</si>
  <si>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</si>
  <si>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</si>
  <si>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</si>
  <si>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</si>
  <si>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</si>
  <si>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</si>
  <si>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</si>
  <si>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</si>
  <si>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</si>
  <si>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</si>
  <si>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</si>
  <si>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</si>
  <si>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</si>
  <si>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</si>
  <si>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</si>
  <si>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</si>
  <si>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</si>
  <si>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</si>
  <si>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</si>
  <si>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</si>
  <si>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</si>
  <si>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</si>
  <si>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</si>
  <si>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</si>
  <si>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</si>
  <si>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</si>
  <si>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</si>
  <si>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</si>
  <si>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</si>
  <si>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</si>
  <si>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</si>
  <si>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</si>
  <si>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</si>
  <si>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</si>
  <si>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</si>
  <si>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</si>
  <si>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</si>
  <si>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</si>
  <si>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</si>
  <si>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</si>
  <si>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</si>
  <si>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</si>
  <si>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</si>
  <si>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</si>
  <si>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</si>
  <si>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</si>
  <si>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</si>
  <si>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</si>
  <si>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</si>
  <si>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</si>
  <si>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</si>
  <si>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</si>
  <si>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</si>
  <si>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</si>
  <si>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</si>
  <si>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</si>
  <si>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</si>
  <si>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</si>
  <si>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</si>
  <si>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</si>
  <si>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</si>
  <si>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</si>
  <si>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</si>
  <si>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</si>
  <si>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</si>
  <si>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</si>
  <si>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</si>
  <si>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</si>
  <si>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</si>
  <si>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</si>
  <si>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</si>
  <si>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</si>
  <si>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</si>
  <si>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</si>
  <si>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</si>
  <si>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</si>
  <si>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</si>
  <si>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</si>
  <si>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</si>
  <si>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</si>
  <si>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</si>
  <si>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</si>
  <si>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</si>
  <si>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</si>
  <si>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</si>
  <si>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</si>
  <si>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</si>
  <si>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</si>
  <si>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</si>
  <si>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</si>
  <si>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</si>
  <si>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</si>
  <si>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</si>
  <si>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</si>
  <si>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</si>
  <si>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</si>
  <si>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нужно увеличить продажи / заказываем с 21,10,26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</si>
</sst>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5.7109375" customWidth="1"/>
    <col min="35" max="35" width="7" customWidth="1"/>
    <col min="36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SUM(E6:E498)</f>
        <v>24979.970000000005</v>
      </c>
      <c r="F5" s="4">
        <f>SUM(F6:F498)</f>
        <v>26410.007000000001</v>
      </c>
      <c r="G5" s="7"/>
      <c r="H5" s="1"/>
      <c r="I5" s="1"/>
      <c r="J5" s="1"/>
      <c r="K5" s="4">
        <f t="shared" ref="K5:U5" si="0">SUM(K6:K498)</f>
        <v>28352.792999999994</v>
      </c>
      <c r="L5" s="4">
        <f t="shared" si="0"/>
        <v>-3372.8229999999999</v>
      </c>
      <c r="M5" s="4">
        <f t="shared" si="0"/>
        <v>0</v>
      </c>
      <c r="N5" s="4">
        <f t="shared" si="0"/>
        <v>0</v>
      </c>
      <c r="O5" s="4">
        <f t="shared" si="0"/>
        <v>12320.541978898997</v>
      </c>
      <c r="P5" s="4">
        <f t="shared" si="0"/>
        <v>6140.971911100999</v>
      </c>
      <c r="Q5" s="4">
        <f t="shared" si="0"/>
        <v>7560.0951527999996</v>
      </c>
      <c r="R5" s="4">
        <f t="shared" si="0"/>
        <v>1920</v>
      </c>
      <c r="S5" s="4">
        <f t="shared" si="0"/>
        <v>1000</v>
      </c>
      <c r="T5" s="4">
        <f t="shared" si="0"/>
        <v>4995.9940000000024</v>
      </c>
      <c r="U5" s="4">
        <f t="shared" si="0"/>
        <v>12763.402877600003</v>
      </c>
      <c r="V5" s="1"/>
      <c r="W5" s="1"/>
      <c r="X5" s="4">
        <f t="shared" ref="X5:AG5" si="1">SUM(X6:X498)</f>
        <v>4474.2772000000014</v>
      </c>
      <c r="Y5" s="4">
        <f t="shared" si="1"/>
        <v>4638.0991999999978</v>
      </c>
      <c r="Z5" s="4">
        <f t="shared" si="1"/>
        <v>4737.6146000000026</v>
      </c>
      <c r="AA5" s="4">
        <f t="shared" si="1"/>
        <v>4522.8595999999998</v>
      </c>
      <c r="AB5" s="4">
        <f t="shared" si="1"/>
        <v>4525.7226000000001</v>
      </c>
      <c r="AC5" s="4">
        <f t="shared" si="1"/>
        <v>3707.9130000000014</v>
      </c>
      <c r="AD5" s="4">
        <f t="shared" si="1"/>
        <v>3031.0155999999997</v>
      </c>
      <c r="AE5" s="4">
        <f t="shared" si="1"/>
        <v>4350.671199999998</v>
      </c>
      <c r="AF5" s="4">
        <f t="shared" si="1"/>
        <v>4904.365200000002</v>
      </c>
      <c r="AG5" s="4">
        <f t="shared" si="1"/>
        <v>3851.2469999999998</v>
      </c>
      <c r="AH5" s="1"/>
      <c r="AI5" s="4">
        <f>SUM(AI6:AI498)</f>
        <v>9269.6589575999988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37</v>
      </c>
      <c r="B6" s="1" t="s">
        <v>38</v>
      </c>
      <c r="C6" s="1">
        <v>28.596</v>
      </c>
      <c r="D6" s="1">
        <v>685.94299999999998</v>
      </c>
      <c r="E6" s="1">
        <v>176.83699999999999</v>
      </c>
      <c r="F6" s="1">
        <v>382.61200000000002</v>
      </c>
      <c r="G6" s="7">
        <v>1</v>
      </c>
      <c r="H6" s="1">
        <v>50</v>
      </c>
      <c r="I6" s="1" t="s">
        <v>39</v>
      </c>
      <c r="J6" s="1"/>
      <c r="K6" s="1">
        <v>255.8</v>
      </c>
      <c r="L6" s="1">
        <f t="shared" ref="L6:L37" si="2">E6-K6</f>
        <v>-78.963000000000022</v>
      </c>
      <c r="M6" s="1"/>
      <c r="N6" s="1"/>
      <c r="O6" s="1">
        <v>0</v>
      </c>
      <c r="P6" s="1"/>
      <c r="Q6" s="1">
        <v>0</v>
      </c>
      <c r="R6" s="1"/>
      <c r="S6" s="1"/>
      <c r="T6" s="1">
        <f t="shared" ref="T6:T37" si="3">E6/5</f>
        <v>35.367399999999996</v>
      </c>
      <c r="U6" s="5">
        <f>11*T6-S6-R6-Q6-P6-O6-F6</f>
        <v>6.4293999999999301</v>
      </c>
      <c r="V6" s="1">
        <f t="shared" ref="V6:V37" si="4">(F6+O6+P6+Q6+R6+S6+U6)/T6</f>
        <v>11</v>
      </c>
      <c r="W6" s="1">
        <f t="shared" ref="W6:W37" si="5">(F6+O6+P6+Q6+R6+S6)/T6</f>
        <v>10.818211120975816</v>
      </c>
      <c r="X6" s="1">
        <v>33.685600000000001</v>
      </c>
      <c r="Y6" s="1">
        <v>45.9054</v>
      </c>
      <c r="Z6" s="1">
        <v>57.410400000000003</v>
      </c>
      <c r="AA6" s="1">
        <v>53.832000000000008</v>
      </c>
      <c r="AB6" s="1">
        <v>41.213000000000001</v>
      </c>
      <c r="AC6" s="1">
        <v>33.127000000000002</v>
      </c>
      <c r="AD6" s="1">
        <v>41.628599999999999</v>
      </c>
      <c r="AE6" s="1">
        <v>51.911800000000007</v>
      </c>
      <c r="AF6" s="1">
        <v>45.526799999999987</v>
      </c>
      <c r="AG6" s="1">
        <v>48.9602</v>
      </c>
      <c r="AH6" s="1"/>
      <c r="AI6" s="1">
        <f t="shared" ref="AI6:AI11" si="6">G6*U6</f>
        <v>6.4293999999999301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40</v>
      </c>
      <c r="B7" s="1" t="s">
        <v>38</v>
      </c>
      <c r="C7" s="1">
        <v>23.620999999999999</v>
      </c>
      <c r="D7" s="1">
        <v>1375.797</v>
      </c>
      <c r="E7" s="1">
        <v>337.21</v>
      </c>
      <c r="F7" s="1">
        <v>679.53200000000004</v>
      </c>
      <c r="G7" s="7">
        <v>1</v>
      </c>
      <c r="H7" s="1">
        <v>45</v>
      </c>
      <c r="I7" s="1" t="s">
        <v>39</v>
      </c>
      <c r="J7" s="1"/>
      <c r="K7" s="1">
        <v>471.95100000000002</v>
      </c>
      <c r="L7" s="1">
        <f t="shared" si="2"/>
        <v>-134.74100000000004</v>
      </c>
      <c r="M7" s="1"/>
      <c r="N7" s="1"/>
      <c r="O7" s="1">
        <v>665.51162348799994</v>
      </c>
      <c r="P7" s="1">
        <v>363.577016512</v>
      </c>
      <c r="Q7" s="1">
        <v>0</v>
      </c>
      <c r="R7" s="1"/>
      <c r="S7" s="1"/>
      <c r="T7" s="1">
        <f t="shared" si="3"/>
        <v>67.441999999999993</v>
      </c>
      <c r="U7" s="5"/>
      <c r="V7" s="1">
        <f t="shared" si="4"/>
        <v>25.334667417929481</v>
      </c>
      <c r="W7" s="1">
        <f t="shared" si="5"/>
        <v>25.334667417929481</v>
      </c>
      <c r="X7" s="1">
        <v>98.415199999999999</v>
      </c>
      <c r="Y7" s="1">
        <v>157.95359999999999</v>
      </c>
      <c r="Z7" s="1">
        <v>151.01939999999999</v>
      </c>
      <c r="AA7" s="1">
        <v>118.3934</v>
      </c>
      <c r="AB7" s="1">
        <v>105.9102</v>
      </c>
      <c r="AC7" s="1">
        <v>100.71339999999999</v>
      </c>
      <c r="AD7" s="1">
        <v>105.5562</v>
      </c>
      <c r="AE7" s="1">
        <v>133.8338</v>
      </c>
      <c r="AF7" s="1">
        <v>135.83600000000001</v>
      </c>
      <c r="AG7" s="1">
        <v>156.815</v>
      </c>
      <c r="AH7" s="1"/>
      <c r="AI7" s="1">
        <f t="shared" si="6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41</v>
      </c>
      <c r="B8" s="1" t="s">
        <v>38</v>
      </c>
      <c r="C8" s="1">
        <v>425.58499999999998</v>
      </c>
      <c r="D8" s="1">
        <v>1203.7750000000001</v>
      </c>
      <c r="E8" s="1">
        <v>642.93399999999997</v>
      </c>
      <c r="F8" s="1">
        <v>565.22799999999995</v>
      </c>
      <c r="G8" s="7">
        <v>1</v>
      </c>
      <c r="H8" s="1">
        <v>45</v>
      </c>
      <c r="I8" s="1" t="s">
        <v>39</v>
      </c>
      <c r="J8" s="1"/>
      <c r="K8" s="1">
        <v>680.25</v>
      </c>
      <c r="L8" s="1">
        <f t="shared" si="2"/>
        <v>-37.316000000000031</v>
      </c>
      <c r="M8" s="1"/>
      <c r="N8" s="1"/>
      <c r="O8" s="1">
        <v>0</v>
      </c>
      <c r="P8" s="1"/>
      <c r="Q8" s="1">
        <v>190.00467200000031</v>
      </c>
      <c r="R8" s="1"/>
      <c r="S8" s="1">
        <v>100</v>
      </c>
      <c r="T8" s="1">
        <f t="shared" si="3"/>
        <v>128.58679999999998</v>
      </c>
      <c r="U8" s="5">
        <f t="shared" ref="U7:U11" si="7">11*T8-S8-R8-Q8-P8-O8-F8</f>
        <v>559.22212799999954</v>
      </c>
      <c r="V8" s="1">
        <f t="shared" si="4"/>
        <v>11.000000000000002</v>
      </c>
      <c r="W8" s="1">
        <f t="shared" si="5"/>
        <v>6.6510145053769163</v>
      </c>
      <c r="X8" s="1">
        <v>111.86239999999999</v>
      </c>
      <c r="Y8" s="1">
        <v>108.61660000000001</v>
      </c>
      <c r="Z8" s="1">
        <v>135.95779999999999</v>
      </c>
      <c r="AA8" s="1">
        <v>119.3532</v>
      </c>
      <c r="AB8" s="1">
        <v>114.3492</v>
      </c>
      <c r="AC8" s="1">
        <v>109.2606</v>
      </c>
      <c r="AD8" s="1">
        <v>102.4</v>
      </c>
      <c r="AE8" s="1">
        <v>131.2944</v>
      </c>
      <c r="AF8" s="1">
        <v>141.90940000000001</v>
      </c>
      <c r="AG8" s="1">
        <v>146.2636</v>
      </c>
      <c r="AH8" s="1"/>
      <c r="AI8" s="1">
        <f t="shared" si="6"/>
        <v>559.22212799999954</v>
      </c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42</v>
      </c>
      <c r="B9" s="1" t="s">
        <v>43</v>
      </c>
      <c r="C9" s="1">
        <v>12</v>
      </c>
      <c r="D9" s="1">
        <v>138</v>
      </c>
      <c r="E9" s="1">
        <v>58</v>
      </c>
      <c r="F9" s="1">
        <v>56</v>
      </c>
      <c r="G9" s="7">
        <v>0.4</v>
      </c>
      <c r="H9" s="1">
        <v>50</v>
      </c>
      <c r="I9" s="1" t="s">
        <v>39</v>
      </c>
      <c r="J9" s="1"/>
      <c r="K9" s="1">
        <v>66</v>
      </c>
      <c r="L9" s="1">
        <f t="shared" si="2"/>
        <v>-8</v>
      </c>
      <c r="M9" s="1"/>
      <c r="N9" s="1"/>
      <c r="O9" s="1">
        <v>35.39999999999997</v>
      </c>
      <c r="P9" s="1"/>
      <c r="Q9" s="1">
        <v>55.109999999999992</v>
      </c>
      <c r="R9" s="1"/>
      <c r="S9" s="1"/>
      <c r="T9" s="1">
        <f t="shared" si="3"/>
        <v>11.6</v>
      </c>
      <c r="U9" s="5"/>
      <c r="V9" s="1">
        <f t="shared" si="4"/>
        <v>12.630172413793101</v>
      </c>
      <c r="W9" s="1">
        <f t="shared" si="5"/>
        <v>12.630172413793101</v>
      </c>
      <c r="X9" s="1">
        <v>13</v>
      </c>
      <c r="Y9" s="1">
        <v>13</v>
      </c>
      <c r="Z9" s="1">
        <v>10.8</v>
      </c>
      <c r="AA9" s="1">
        <v>8</v>
      </c>
      <c r="AB9" s="1">
        <v>10.6</v>
      </c>
      <c r="AC9" s="1">
        <v>9</v>
      </c>
      <c r="AD9" s="1">
        <v>2.4</v>
      </c>
      <c r="AE9" s="1">
        <v>4.8</v>
      </c>
      <c r="AF9" s="1">
        <v>11</v>
      </c>
      <c r="AG9" s="1">
        <v>12.4</v>
      </c>
      <c r="AH9" s="1" t="s">
        <v>44</v>
      </c>
      <c r="AI9" s="1">
        <f t="shared" si="6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45</v>
      </c>
      <c r="B10" s="1" t="s">
        <v>43</v>
      </c>
      <c r="C10" s="1">
        <v>157</v>
      </c>
      <c r="D10" s="1">
        <v>624</v>
      </c>
      <c r="E10" s="1">
        <v>280</v>
      </c>
      <c r="F10" s="1">
        <v>276</v>
      </c>
      <c r="G10" s="7">
        <v>0.45</v>
      </c>
      <c r="H10" s="1">
        <v>45</v>
      </c>
      <c r="I10" s="1" t="s">
        <v>39</v>
      </c>
      <c r="J10" s="1"/>
      <c r="K10" s="1">
        <v>441</v>
      </c>
      <c r="L10" s="1">
        <f t="shared" si="2"/>
        <v>-161</v>
      </c>
      <c r="M10" s="1"/>
      <c r="N10" s="1"/>
      <c r="O10" s="1">
        <v>359.27418499999999</v>
      </c>
      <c r="P10" s="1">
        <v>196.27581499999999</v>
      </c>
      <c r="Q10" s="1">
        <v>0</v>
      </c>
      <c r="R10" s="1"/>
      <c r="S10" s="1"/>
      <c r="T10" s="1">
        <f t="shared" si="3"/>
        <v>56</v>
      </c>
      <c r="U10" s="5"/>
      <c r="V10" s="1">
        <f t="shared" si="4"/>
        <v>14.849107142857141</v>
      </c>
      <c r="W10" s="1">
        <f t="shared" si="5"/>
        <v>14.849107142857141</v>
      </c>
      <c r="X10" s="1">
        <v>71.2</v>
      </c>
      <c r="Y10" s="1">
        <v>87.6</v>
      </c>
      <c r="Z10" s="1">
        <v>64.599999999999994</v>
      </c>
      <c r="AA10" s="1">
        <v>59.8</v>
      </c>
      <c r="AB10" s="1">
        <v>65.8</v>
      </c>
      <c r="AC10" s="1">
        <v>36.799999999999997</v>
      </c>
      <c r="AD10" s="1">
        <v>32.4</v>
      </c>
      <c r="AE10" s="1">
        <v>56.8</v>
      </c>
      <c r="AF10" s="1">
        <v>83.4</v>
      </c>
      <c r="AG10" s="1">
        <v>47.4</v>
      </c>
      <c r="AH10" s="1"/>
      <c r="AI10" s="1">
        <f t="shared" si="6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46</v>
      </c>
      <c r="B11" s="1" t="s">
        <v>43</v>
      </c>
      <c r="C11" s="1">
        <v>123</v>
      </c>
      <c r="D11" s="1">
        <v>736</v>
      </c>
      <c r="E11" s="1">
        <v>447</v>
      </c>
      <c r="F11" s="1">
        <v>191</v>
      </c>
      <c r="G11" s="7">
        <v>0.45</v>
      </c>
      <c r="H11" s="1">
        <v>45</v>
      </c>
      <c r="I11" s="1" t="s">
        <v>39</v>
      </c>
      <c r="J11" s="1"/>
      <c r="K11" s="1">
        <v>467</v>
      </c>
      <c r="L11" s="1">
        <f t="shared" si="2"/>
        <v>-20</v>
      </c>
      <c r="M11" s="1"/>
      <c r="N11" s="1"/>
      <c r="O11" s="1">
        <v>347.15502700000008</v>
      </c>
      <c r="P11" s="1">
        <v>189.6549730000001</v>
      </c>
      <c r="Q11" s="1">
        <v>92.833999999999776</v>
      </c>
      <c r="R11" s="1"/>
      <c r="S11" s="1"/>
      <c r="T11" s="1">
        <f t="shared" si="3"/>
        <v>89.4</v>
      </c>
      <c r="U11" s="5">
        <f t="shared" si="7"/>
        <v>162.75600000000003</v>
      </c>
      <c r="V11" s="1">
        <f t="shared" si="4"/>
        <v>11</v>
      </c>
      <c r="W11" s="1">
        <f t="shared" si="5"/>
        <v>9.1794630872483225</v>
      </c>
      <c r="X11" s="1">
        <v>80</v>
      </c>
      <c r="Y11" s="1">
        <v>90</v>
      </c>
      <c r="Z11" s="1">
        <v>70.599999999999994</v>
      </c>
      <c r="AA11" s="1">
        <v>66.8</v>
      </c>
      <c r="AB11" s="1">
        <v>75.400000000000006</v>
      </c>
      <c r="AC11" s="1">
        <v>50.2</v>
      </c>
      <c r="AD11" s="1">
        <v>48.6</v>
      </c>
      <c r="AE11" s="1">
        <v>72</v>
      </c>
      <c r="AF11" s="1">
        <v>91.4</v>
      </c>
      <c r="AG11" s="1">
        <v>49.8</v>
      </c>
      <c r="AH11" s="1"/>
      <c r="AI11" s="1">
        <f t="shared" si="6"/>
        <v>73.240200000000016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/>
      <c r="S12" s="10"/>
      <c r="T12" s="10">
        <f t="shared" si="3"/>
        <v>0</v>
      </c>
      <c r="U12" s="12"/>
      <c r="V12" s="10" t="e">
        <f t="shared" si="4"/>
        <v>#DIV/0!</v>
      </c>
      <c r="W12" s="10" t="e">
        <f t="shared" si="5"/>
        <v>#DIV/0!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 t="s">
        <v>48</v>
      </c>
      <c r="AI12" s="10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49</v>
      </c>
      <c r="B13" s="1" t="s">
        <v>43</v>
      </c>
      <c r="C13" s="1"/>
      <c r="D13" s="1">
        <v>25</v>
      </c>
      <c r="E13" s="1"/>
      <c r="F13" s="1"/>
      <c r="G13" s="7">
        <v>0.3</v>
      </c>
      <c r="H13" s="1">
        <v>40</v>
      </c>
      <c r="I13" s="9" t="s">
        <v>50</v>
      </c>
      <c r="J13" s="1"/>
      <c r="K13" s="1">
        <v>14</v>
      </c>
      <c r="L13" s="1">
        <f t="shared" si="2"/>
        <v>-14</v>
      </c>
      <c r="M13" s="1"/>
      <c r="N13" s="1"/>
      <c r="O13" s="1">
        <v>50</v>
      </c>
      <c r="P13" s="1"/>
      <c r="Q13" s="1">
        <v>50</v>
      </c>
      <c r="R13" s="1"/>
      <c r="S13" s="1"/>
      <c r="T13" s="1">
        <f t="shared" si="3"/>
        <v>0</v>
      </c>
      <c r="U13" s="5"/>
      <c r="V13" s="1" t="e">
        <f t="shared" si="4"/>
        <v>#DIV/0!</v>
      </c>
      <c r="W13" s="1" t="e">
        <f t="shared" si="5"/>
        <v>#DIV/0!</v>
      </c>
      <c r="X13" s="1">
        <v>-0.2</v>
      </c>
      <c r="Y13" s="1">
        <v>-0.4</v>
      </c>
      <c r="Z13" s="1">
        <v>3.6</v>
      </c>
      <c r="AA13" s="1">
        <v>15.2</v>
      </c>
      <c r="AB13" s="1">
        <v>28.4</v>
      </c>
      <c r="AC13" s="1">
        <v>23.8</v>
      </c>
      <c r="AD13" s="1">
        <v>10.4</v>
      </c>
      <c r="AE13" s="1">
        <v>6.6</v>
      </c>
      <c r="AF13" s="1">
        <v>9.4</v>
      </c>
      <c r="AG13" s="1">
        <v>18</v>
      </c>
      <c r="AH13" s="1"/>
      <c r="AI13" s="1">
        <f t="shared" ref="AI13:AI24" si="8">G13*U13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51</v>
      </c>
      <c r="B14" s="1" t="s">
        <v>43</v>
      </c>
      <c r="C14" s="1">
        <v>165</v>
      </c>
      <c r="D14" s="1">
        <v>282</v>
      </c>
      <c r="E14" s="1">
        <v>174</v>
      </c>
      <c r="F14" s="1">
        <v>228</v>
      </c>
      <c r="G14" s="7">
        <v>0.17</v>
      </c>
      <c r="H14" s="1">
        <v>180</v>
      </c>
      <c r="I14" s="1" t="s">
        <v>39</v>
      </c>
      <c r="J14" s="1"/>
      <c r="K14" s="1">
        <v>164</v>
      </c>
      <c r="L14" s="1">
        <f t="shared" si="2"/>
        <v>10</v>
      </c>
      <c r="M14" s="1"/>
      <c r="N14" s="1"/>
      <c r="O14" s="1">
        <v>0</v>
      </c>
      <c r="P14" s="1"/>
      <c r="Q14" s="1">
        <v>59</v>
      </c>
      <c r="R14" s="1"/>
      <c r="S14" s="1"/>
      <c r="T14" s="1">
        <f t="shared" si="3"/>
        <v>34.799999999999997</v>
      </c>
      <c r="U14" s="5">
        <f t="shared" ref="U13:U24" si="9">11*T14-S14-R14-Q14-P14-O14-F14</f>
        <v>95.799999999999955</v>
      </c>
      <c r="V14" s="1">
        <f t="shared" si="4"/>
        <v>11</v>
      </c>
      <c r="W14" s="1">
        <f t="shared" si="5"/>
        <v>8.2471264367816097</v>
      </c>
      <c r="X14" s="1">
        <v>31</v>
      </c>
      <c r="Y14" s="1">
        <v>21.2</v>
      </c>
      <c r="Z14" s="1">
        <v>20.2</v>
      </c>
      <c r="AA14" s="1">
        <v>27.4</v>
      </c>
      <c r="AB14" s="1">
        <v>31.4</v>
      </c>
      <c r="AC14" s="1">
        <v>28</v>
      </c>
      <c r="AD14" s="1">
        <v>18.399999999999999</v>
      </c>
      <c r="AE14" s="1">
        <v>21.4</v>
      </c>
      <c r="AF14" s="1">
        <v>23.8</v>
      </c>
      <c r="AG14" s="1">
        <v>21.8</v>
      </c>
      <c r="AH14" s="1"/>
      <c r="AI14" s="1">
        <f t="shared" si="8"/>
        <v>16.285999999999994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52</v>
      </c>
      <c r="B15" s="1" t="s">
        <v>38</v>
      </c>
      <c r="C15" s="1">
        <v>431.84199999999998</v>
      </c>
      <c r="D15" s="1">
        <v>633.65499999999997</v>
      </c>
      <c r="E15" s="1">
        <v>495.065</v>
      </c>
      <c r="F15" s="1">
        <v>458.93200000000002</v>
      </c>
      <c r="G15" s="7">
        <v>1</v>
      </c>
      <c r="H15" s="1">
        <v>70</v>
      </c>
      <c r="I15" s="1" t="s">
        <v>39</v>
      </c>
      <c r="J15" s="1"/>
      <c r="K15" s="1">
        <v>460.6</v>
      </c>
      <c r="L15" s="1">
        <f t="shared" si="2"/>
        <v>34.464999999999975</v>
      </c>
      <c r="M15" s="1"/>
      <c r="N15" s="1"/>
      <c r="O15" s="1">
        <v>0</v>
      </c>
      <c r="P15" s="1"/>
      <c r="Q15" s="1">
        <v>386.79465599999992</v>
      </c>
      <c r="R15" s="1"/>
      <c r="S15" s="1">
        <v>105</v>
      </c>
      <c r="T15" s="1">
        <f t="shared" si="3"/>
        <v>99.013000000000005</v>
      </c>
      <c r="U15" s="5">
        <f t="shared" si="9"/>
        <v>138.41634400000009</v>
      </c>
      <c r="V15" s="1">
        <f t="shared" si="4"/>
        <v>11</v>
      </c>
      <c r="W15" s="1">
        <f t="shared" si="5"/>
        <v>9.6020386817892582</v>
      </c>
      <c r="X15" s="1">
        <v>110.2642</v>
      </c>
      <c r="Y15" s="1">
        <v>72.1036</v>
      </c>
      <c r="Z15" s="1">
        <v>70.689599999999999</v>
      </c>
      <c r="AA15" s="1">
        <v>97.368799999999993</v>
      </c>
      <c r="AB15" s="1">
        <v>94.670199999999994</v>
      </c>
      <c r="AC15" s="1">
        <v>89.588999999999999</v>
      </c>
      <c r="AD15" s="1">
        <v>90.510599999999997</v>
      </c>
      <c r="AE15" s="1">
        <v>100.626</v>
      </c>
      <c r="AF15" s="1">
        <v>92.771199999999993</v>
      </c>
      <c r="AG15" s="1">
        <v>95.892600000000002</v>
      </c>
      <c r="AH15" s="1"/>
      <c r="AI15" s="1">
        <f t="shared" si="8"/>
        <v>138.41634400000009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53</v>
      </c>
      <c r="B16" s="1" t="s">
        <v>38</v>
      </c>
      <c r="C16" s="1">
        <v>1643.3109999999999</v>
      </c>
      <c r="D16" s="1">
        <v>3873.8980000000001</v>
      </c>
      <c r="E16" s="1">
        <v>1943.404</v>
      </c>
      <c r="F16" s="1">
        <v>1777.6849999999999</v>
      </c>
      <c r="G16" s="7">
        <v>1</v>
      </c>
      <c r="H16" s="1">
        <v>50</v>
      </c>
      <c r="I16" s="1" t="s">
        <v>39</v>
      </c>
      <c r="J16" s="1"/>
      <c r="K16" s="1">
        <v>2040.5</v>
      </c>
      <c r="L16" s="1">
        <f t="shared" si="2"/>
        <v>-97.096000000000004</v>
      </c>
      <c r="M16" s="1"/>
      <c r="N16" s="1"/>
      <c r="O16" s="1">
        <v>0</v>
      </c>
      <c r="P16" s="1"/>
      <c r="Q16" s="1">
        <v>944.89388399999962</v>
      </c>
      <c r="R16" s="1">
        <v>510</v>
      </c>
      <c r="S16" s="1">
        <v>390</v>
      </c>
      <c r="T16" s="1">
        <f t="shared" si="3"/>
        <v>388.68079999999998</v>
      </c>
      <c r="U16" s="5">
        <f t="shared" si="9"/>
        <v>652.90991600000052</v>
      </c>
      <c r="V16" s="1">
        <f t="shared" si="4"/>
        <v>11</v>
      </c>
      <c r="W16" s="1">
        <f t="shared" si="5"/>
        <v>9.3201899450654615</v>
      </c>
      <c r="X16" s="1">
        <v>390.00380000000001</v>
      </c>
      <c r="Y16" s="1">
        <v>360.80880000000002</v>
      </c>
      <c r="Z16" s="1">
        <v>399.93380000000002</v>
      </c>
      <c r="AA16" s="1">
        <v>420.62419999999997</v>
      </c>
      <c r="AB16" s="1">
        <v>363.17439999999999</v>
      </c>
      <c r="AC16" s="1">
        <v>291.7568</v>
      </c>
      <c r="AD16" s="1">
        <v>277.7518</v>
      </c>
      <c r="AE16" s="1">
        <v>456.89760000000001</v>
      </c>
      <c r="AF16" s="1">
        <v>478.92079999999999</v>
      </c>
      <c r="AG16" s="1">
        <v>258.6986</v>
      </c>
      <c r="AH16" s="1"/>
      <c r="AI16" s="1">
        <f t="shared" si="8"/>
        <v>652.90991600000052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54</v>
      </c>
      <c r="B17" s="1" t="s">
        <v>38</v>
      </c>
      <c r="C17" s="1">
        <v>83.537999999999997</v>
      </c>
      <c r="D17" s="1">
        <v>154.90600000000001</v>
      </c>
      <c r="E17" s="1">
        <v>50.593000000000004</v>
      </c>
      <c r="F17" s="1">
        <v>133.26400000000001</v>
      </c>
      <c r="G17" s="7">
        <v>1</v>
      </c>
      <c r="H17" s="1">
        <v>60</v>
      </c>
      <c r="I17" s="1" t="s">
        <v>39</v>
      </c>
      <c r="J17" s="1"/>
      <c r="K17" s="1">
        <v>45.18</v>
      </c>
      <c r="L17" s="1">
        <f t="shared" si="2"/>
        <v>5.4130000000000038</v>
      </c>
      <c r="M17" s="1"/>
      <c r="N17" s="1"/>
      <c r="O17" s="1">
        <v>0</v>
      </c>
      <c r="P17" s="1"/>
      <c r="Q17" s="1">
        <v>0</v>
      </c>
      <c r="R17" s="1"/>
      <c r="S17" s="1"/>
      <c r="T17" s="1">
        <f t="shared" si="3"/>
        <v>10.118600000000001</v>
      </c>
      <c r="U17" s="5"/>
      <c r="V17" s="1">
        <f t="shared" si="4"/>
        <v>13.170201411262427</v>
      </c>
      <c r="W17" s="1">
        <f t="shared" si="5"/>
        <v>13.170201411262427</v>
      </c>
      <c r="X17" s="1">
        <v>11.471399999999999</v>
      </c>
      <c r="Y17" s="1">
        <v>8.7602000000000011</v>
      </c>
      <c r="Z17" s="1">
        <v>11.5122</v>
      </c>
      <c r="AA17" s="1">
        <v>18.504799999999999</v>
      </c>
      <c r="AB17" s="1">
        <v>19.042400000000001</v>
      </c>
      <c r="AC17" s="1">
        <v>14.878399999999999</v>
      </c>
      <c r="AD17" s="1">
        <v>11.510199999999999</v>
      </c>
      <c r="AE17" s="1">
        <v>12.4178</v>
      </c>
      <c r="AF17" s="1">
        <v>14.5106</v>
      </c>
      <c r="AG17" s="1">
        <v>12.775399999999999</v>
      </c>
      <c r="AH17" s="1"/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55</v>
      </c>
      <c r="B18" s="1" t="s">
        <v>38</v>
      </c>
      <c r="C18" s="1">
        <v>47.533000000000001</v>
      </c>
      <c r="D18" s="1">
        <v>125.601</v>
      </c>
      <c r="E18" s="1">
        <v>31.745999999999999</v>
      </c>
      <c r="F18" s="1">
        <v>133.381</v>
      </c>
      <c r="G18" s="7">
        <v>1</v>
      </c>
      <c r="H18" s="1">
        <v>60</v>
      </c>
      <c r="I18" s="1" t="s">
        <v>39</v>
      </c>
      <c r="J18" s="1"/>
      <c r="K18" s="1">
        <v>28.28</v>
      </c>
      <c r="L18" s="1">
        <f t="shared" si="2"/>
        <v>3.4659999999999975</v>
      </c>
      <c r="M18" s="1"/>
      <c r="N18" s="1"/>
      <c r="O18" s="1">
        <v>0</v>
      </c>
      <c r="P18" s="1"/>
      <c r="Q18" s="1">
        <v>0</v>
      </c>
      <c r="R18" s="1"/>
      <c r="S18" s="1"/>
      <c r="T18" s="1">
        <f t="shared" si="3"/>
        <v>6.3491999999999997</v>
      </c>
      <c r="U18" s="5"/>
      <c r="V18" s="1">
        <f t="shared" si="4"/>
        <v>21.007528507528509</v>
      </c>
      <c r="W18" s="1">
        <f t="shared" si="5"/>
        <v>21.007528507528509</v>
      </c>
      <c r="X18" s="1">
        <v>6.1588000000000003</v>
      </c>
      <c r="Y18" s="1">
        <v>4.0432000000000006</v>
      </c>
      <c r="Z18" s="1">
        <v>3.8719999999999999</v>
      </c>
      <c r="AA18" s="1">
        <v>8.979000000000001</v>
      </c>
      <c r="AB18" s="1">
        <v>8.0944000000000003</v>
      </c>
      <c r="AC18" s="1">
        <v>5.9447999999999999</v>
      </c>
      <c r="AD18" s="1">
        <v>8.2210000000000001</v>
      </c>
      <c r="AE18" s="1">
        <v>7.7796000000000003</v>
      </c>
      <c r="AF18" s="1">
        <v>6.7598000000000003</v>
      </c>
      <c r="AG18" s="1">
        <v>6.5474000000000014</v>
      </c>
      <c r="AH18" s="16" t="s">
        <v>128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56</v>
      </c>
      <c r="B19" s="1" t="s">
        <v>38</v>
      </c>
      <c r="C19" s="1">
        <v>5.569</v>
      </c>
      <c r="D19" s="1">
        <v>117.19799999999999</v>
      </c>
      <c r="E19" s="1">
        <v>21.716999999999999</v>
      </c>
      <c r="F19" s="1">
        <v>90.358000000000004</v>
      </c>
      <c r="G19" s="7">
        <v>1</v>
      </c>
      <c r="H19" s="1">
        <v>180</v>
      </c>
      <c r="I19" s="1" t="s">
        <v>39</v>
      </c>
      <c r="J19" s="1"/>
      <c r="K19" s="1">
        <v>22.48</v>
      </c>
      <c r="L19" s="1">
        <f t="shared" si="2"/>
        <v>-0.76300000000000168</v>
      </c>
      <c r="M19" s="1"/>
      <c r="N19" s="1"/>
      <c r="O19" s="1">
        <v>0</v>
      </c>
      <c r="P19" s="1"/>
      <c r="Q19" s="1">
        <v>0</v>
      </c>
      <c r="R19" s="1"/>
      <c r="S19" s="1"/>
      <c r="T19" s="1">
        <f t="shared" si="3"/>
        <v>4.3433999999999999</v>
      </c>
      <c r="U19" s="5"/>
      <c r="V19" s="1">
        <f t="shared" si="4"/>
        <v>20.803517981304971</v>
      </c>
      <c r="W19" s="1">
        <f t="shared" si="5"/>
        <v>20.803517981304971</v>
      </c>
      <c r="X19" s="1">
        <v>2.1812</v>
      </c>
      <c r="Y19" s="1">
        <v>3.7816000000000001</v>
      </c>
      <c r="Z19" s="1">
        <v>4.8881999999999994</v>
      </c>
      <c r="AA19" s="1">
        <v>4.0566000000000004</v>
      </c>
      <c r="AB19" s="1">
        <v>4.6651999999999996</v>
      </c>
      <c r="AC19" s="1">
        <v>3.0566</v>
      </c>
      <c r="AD19" s="1">
        <v>2.3746</v>
      </c>
      <c r="AE19" s="1">
        <v>4.1432000000000002</v>
      </c>
      <c r="AF19" s="1">
        <v>3.944</v>
      </c>
      <c r="AG19" s="1">
        <v>3.7222</v>
      </c>
      <c r="AH19" s="1"/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57</v>
      </c>
      <c r="B20" s="1" t="s">
        <v>38</v>
      </c>
      <c r="C20" s="1">
        <v>293.67399999999998</v>
      </c>
      <c r="D20" s="1">
        <v>1079.9100000000001</v>
      </c>
      <c r="E20" s="1">
        <v>543.27</v>
      </c>
      <c r="F20" s="1">
        <v>412.06400000000002</v>
      </c>
      <c r="G20" s="7">
        <v>1</v>
      </c>
      <c r="H20" s="1">
        <v>60</v>
      </c>
      <c r="I20" s="1" t="s">
        <v>39</v>
      </c>
      <c r="J20" s="1"/>
      <c r="K20" s="1">
        <v>511.4</v>
      </c>
      <c r="L20" s="1">
        <f t="shared" si="2"/>
        <v>31.870000000000005</v>
      </c>
      <c r="M20" s="1"/>
      <c r="N20" s="1"/>
      <c r="O20" s="1">
        <v>257.2862968300002</v>
      </c>
      <c r="P20" s="1">
        <v>140.55860317000011</v>
      </c>
      <c r="Q20" s="1">
        <v>188.31815039999981</v>
      </c>
      <c r="R20" s="1"/>
      <c r="S20" s="1"/>
      <c r="T20" s="1">
        <f t="shared" si="3"/>
        <v>108.654</v>
      </c>
      <c r="U20" s="5">
        <f t="shared" si="9"/>
        <v>196.96694959999985</v>
      </c>
      <c r="V20" s="1">
        <f t="shared" si="4"/>
        <v>11</v>
      </c>
      <c r="W20" s="1">
        <f t="shared" si="5"/>
        <v>9.1872094023229707</v>
      </c>
      <c r="X20" s="1">
        <v>116.11360000000001</v>
      </c>
      <c r="Y20" s="1">
        <v>108.0064</v>
      </c>
      <c r="Z20" s="1">
        <v>116.05880000000001</v>
      </c>
      <c r="AA20" s="1">
        <v>109.3682</v>
      </c>
      <c r="AB20" s="1">
        <v>106.7038</v>
      </c>
      <c r="AC20" s="1">
        <v>93.757199999999997</v>
      </c>
      <c r="AD20" s="1">
        <v>83.564999999999998</v>
      </c>
      <c r="AE20" s="1">
        <v>101.2552</v>
      </c>
      <c r="AF20" s="1">
        <v>100.88</v>
      </c>
      <c r="AG20" s="1">
        <v>96.459800000000001</v>
      </c>
      <c r="AH20" s="1"/>
      <c r="AI20" s="1">
        <f t="shared" si="8"/>
        <v>196.96694959999985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58</v>
      </c>
      <c r="B21" s="1" t="s">
        <v>38</v>
      </c>
      <c r="C21" s="1">
        <v>74.248999999999995</v>
      </c>
      <c r="D21" s="1">
        <v>299.392</v>
      </c>
      <c r="E21" s="1">
        <v>102.40900000000001</v>
      </c>
      <c r="F21" s="1">
        <v>187.322</v>
      </c>
      <c r="G21" s="7">
        <v>1</v>
      </c>
      <c r="H21" s="1">
        <v>70</v>
      </c>
      <c r="I21" s="1" t="s">
        <v>39</v>
      </c>
      <c r="J21" s="1"/>
      <c r="K21" s="1">
        <v>124.98</v>
      </c>
      <c r="L21" s="1">
        <f t="shared" si="2"/>
        <v>-22.570999999999998</v>
      </c>
      <c r="M21" s="1"/>
      <c r="N21" s="1"/>
      <c r="O21" s="1">
        <v>0</v>
      </c>
      <c r="P21" s="1"/>
      <c r="Q21" s="1">
        <v>0</v>
      </c>
      <c r="R21" s="1"/>
      <c r="S21" s="1"/>
      <c r="T21" s="1">
        <f t="shared" si="3"/>
        <v>20.4818</v>
      </c>
      <c r="U21" s="5">
        <f t="shared" si="9"/>
        <v>37.977800000000002</v>
      </c>
      <c r="V21" s="1">
        <f t="shared" si="4"/>
        <v>11</v>
      </c>
      <c r="W21" s="1">
        <f t="shared" si="5"/>
        <v>9.1457782030876196</v>
      </c>
      <c r="X21" s="1">
        <v>15.7544</v>
      </c>
      <c r="Y21" s="1">
        <v>16.4846</v>
      </c>
      <c r="Z21" s="1">
        <v>22.352799999999998</v>
      </c>
      <c r="AA21" s="1">
        <v>24.495999999999999</v>
      </c>
      <c r="AB21" s="1">
        <v>22.382200000000001</v>
      </c>
      <c r="AC21" s="1">
        <v>17.047799999999999</v>
      </c>
      <c r="AD21" s="1">
        <v>9.0492000000000008</v>
      </c>
      <c r="AE21" s="1">
        <v>3.8969999999999998</v>
      </c>
      <c r="AF21" s="1">
        <v>14.3156</v>
      </c>
      <c r="AG21" s="1">
        <v>26.117000000000001</v>
      </c>
      <c r="AH21" s="1"/>
      <c r="AI21" s="1">
        <f t="shared" si="8"/>
        <v>37.977800000000002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59</v>
      </c>
      <c r="B22" s="1" t="s">
        <v>38</v>
      </c>
      <c r="C22" s="1">
        <v>262.28699999999998</v>
      </c>
      <c r="D22" s="1">
        <v>238.91900000000001</v>
      </c>
      <c r="E22" s="1">
        <v>349.40800000000002</v>
      </c>
      <c r="F22" s="1">
        <v>78.757999999999996</v>
      </c>
      <c r="G22" s="7">
        <v>1</v>
      </c>
      <c r="H22" s="1">
        <v>70</v>
      </c>
      <c r="I22" s="1" t="s">
        <v>39</v>
      </c>
      <c r="J22" s="1"/>
      <c r="K22" s="1">
        <v>360.92</v>
      </c>
      <c r="L22" s="1">
        <f t="shared" si="2"/>
        <v>-11.512</v>
      </c>
      <c r="M22" s="1"/>
      <c r="N22" s="1"/>
      <c r="O22" s="1">
        <v>97.004999999999995</v>
      </c>
      <c r="P22" s="1">
        <v>52.994999999999997</v>
      </c>
      <c r="Q22" s="1">
        <v>324.56785600000012</v>
      </c>
      <c r="R22" s="1"/>
      <c r="S22" s="1"/>
      <c r="T22" s="1">
        <f t="shared" si="3"/>
        <v>69.881600000000006</v>
      </c>
      <c r="U22" s="5">
        <f t="shared" si="9"/>
        <v>215.37174399999998</v>
      </c>
      <c r="V22" s="1">
        <f t="shared" si="4"/>
        <v>11.000000000000002</v>
      </c>
      <c r="W22" s="1">
        <f t="shared" si="5"/>
        <v>7.9180478981591733</v>
      </c>
      <c r="X22" s="1">
        <v>62.258200000000002</v>
      </c>
      <c r="Y22" s="1">
        <v>39.357399999999998</v>
      </c>
      <c r="Z22" s="1">
        <v>11.5404</v>
      </c>
      <c r="AA22" s="1">
        <v>28.758400000000002</v>
      </c>
      <c r="AB22" s="1">
        <v>53.684199999999997</v>
      </c>
      <c r="AC22" s="1">
        <v>41.608600000000003</v>
      </c>
      <c r="AD22" s="1">
        <v>49.029400000000003</v>
      </c>
      <c r="AE22" s="1">
        <v>62.423000000000002</v>
      </c>
      <c r="AF22" s="1">
        <v>34.194200000000002</v>
      </c>
      <c r="AG22" s="1">
        <v>23.361799999999999</v>
      </c>
      <c r="AH22" s="1"/>
      <c r="AI22" s="1">
        <f t="shared" si="8"/>
        <v>215.37174399999998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60</v>
      </c>
      <c r="B23" s="1" t="s">
        <v>38</v>
      </c>
      <c r="C23" s="1">
        <v>3.7330000000000001</v>
      </c>
      <c r="D23" s="1">
        <v>118.517</v>
      </c>
      <c r="E23" s="1">
        <v>21.369</v>
      </c>
      <c r="F23" s="1">
        <v>81.733999999999995</v>
      </c>
      <c r="G23" s="7">
        <v>1</v>
      </c>
      <c r="H23" s="1">
        <v>180</v>
      </c>
      <c r="I23" s="1" t="s">
        <v>39</v>
      </c>
      <c r="J23" s="1"/>
      <c r="K23" s="1">
        <v>23.64</v>
      </c>
      <c r="L23" s="1">
        <f t="shared" si="2"/>
        <v>-2.2710000000000008</v>
      </c>
      <c r="M23" s="1"/>
      <c r="N23" s="1"/>
      <c r="O23" s="1">
        <v>0</v>
      </c>
      <c r="P23" s="1"/>
      <c r="Q23" s="1">
        <v>0</v>
      </c>
      <c r="R23" s="1"/>
      <c r="S23" s="1"/>
      <c r="T23" s="1">
        <f t="shared" si="3"/>
        <v>4.2737999999999996</v>
      </c>
      <c r="U23" s="5"/>
      <c r="V23" s="1">
        <f t="shared" si="4"/>
        <v>19.124432589264824</v>
      </c>
      <c r="W23" s="1">
        <f t="shared" si="5"/>
        <v>19.124432589264824</v>
      </c>
      <c r="X23" s="1">
        <v>2.9735999999999998</v>
      </c>
      <c r="Y23" s="1">
        <v>5.8298000000000014</v>
      </c>
      <c r="Z23" s="1">
        <v>7.3730000000000002</v>
      </c>
      <c r="AA23" s="1">
        <v>6.6054000000000004</v>
      </c>
      <c r="AB23" s="1">
        <v>5.7629999999999999</v>
      </c>
      <c r="AC23" s="1">
        <v>3.7181999999999999</v>
      </c>
      <c r="AD23" s="1">
        <v>3.5988000000000002</v>
      </c>
      <c r="AE23" s="1">
        <v>5.1424000000000003</v>
      </c>
      <c r="AF23" s="1">
        <v>4.5293999999999999</v>
      </c>
      <c r="AG23" s="1">
        <v>3.9744000000000002</v>
      </c>
      <c r="AH23" s="1"/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61</v>
      </c>
      <c r="B24" s="1" t="s">
        <v>38</v>
      </c>
      <c r="C24" s="1">
        <v>361.084</v>
      </c>
      <c r="D24" s="1">
        <v>628.51800000000003</v>
      </c>
      <c r="E24" s="1">
        <v>310.72300000000001</v>
      </c>
      <c r="F24" s="1">
        <v>549.04100000000005</v>
      </c>
      <c r="G24" s="7">
        <v>1</v>
      </c>
      <c r="H24" s="1">
        <v>70</v>
      </c>
      <c r="I24" s="1" t="s">
        <v>39</v>
      </c>
      <c r="J24" s="1"/>
      <c r="K24" s="1">
        <v>302.95999999999998</v>
      </c>
      <c r="L24" s="1">
        <f t="shared" si="2"/>
        <v>7.7630000000000337</v>
      </c>
      <c r="M24" s="1"/>
      <c r="N24" s="1"/>
      <c r="O24" s="1">
        <v>0</v>
      </c>
      <c r="P24" s="1"/>
      <c r="Q24" s="1">
        <v>0</v>
      </c>
      <c r="R24" s="1"/>
      <c r="S24" s="1"/>
      <c r="T24" s="1">
        <f t="shared" si="3"/>
        <v>62.144600000000004</v>
      </c>
      <c r="U24" s="5">
        <f t="shared" si="9"/>
        <v>134.54959999999994</v>
      </c>
      <c r="V24" s="1">
        <f t="shared" si="4"/>
        <v>11</v>
      </c>
      <c r="W24" s="1">
        <f t="shared" si="5"/>
        <v>8.8348947454807014</v>
      </c>
      <c r="X24" s="1">
        <v>33.175600000000003</v>
      </c>
      <c r="Y24" s="1">
        <v>9.6808000000000014</v>
      </c>
      <c r="Z24" s="1">
        <v>38.4602</v>
      </c>
      <c r="AA24" s="1">
        <v>59.980400000000003</v>
      </c>
      <c r="AB24" s="1">
        <v>59.779200000000003</v>
      </c>
      <c r="AC24" s="1">
        <v>49.711799999999997</v>
      </c>
      <c r="AD24" s="1">
        <v>20.7958</v>
      </c>
      <c r="AE24" s="1">
        <v>15.2098</v>
      </c>
      <c r="AF24" s="1">
        <v>26.774000000000001</v>
      </c>
      <c r="AG24" s="1">
        <v>43.232399999999998</v>
      </c>
      <c r="AH24" s="1"/>
      <c r="AI24" s="1">
        <f t="shared" si="8"/>
        <v>134.54959999999994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0" t="s">
        <v>62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/>
      <c r="S25" s="10"/>
      <c r="T25" s="10">
        <f t="shared" si="3"/>
        <v>0</v>
      </c>
      <c r="U25" s="12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48</v>
      </c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63</v>
      </c>
      <c r="B26" s="1" t="s">
        <v>38</v>
      </c>
      <c r="C26" s="1">
        <v>10.207000000000001</v>
      </c>
      <c r="D26" s="1">
        <v>244.64699999999999</v>
      </c>
      <c r="E26" s="1">
        <v>21.472999999999999</v>
      </c>
      <c r="F26" s="1">
        <v>179.648</v>
      </c>
      <c r="G26" s="7">
        <v>1</v>
      </c>
      <c r="H26" s="1">
        <v>30</v>
      </c>
      <c r="I26" s="1" t="s">
        <v>39</v>
      </c>
      <c r="J26" s="1"/>
      <c r="K26" s="1">
        <v>67.3</v>
      </c>
      <c r="L26" s="1">
        <f t="shared" si="2"/>
        <v>-45.826999999999998</v>
      </c>
      <c r="M26" s="1"/>
      <c r="N26" s="1"/>
      <c r="O26" s="1">
        <v>123.517216672</v>
      </c>
      <c r="P26" s="1">
        <v>67.478943328000014</v>
      </c>
      <c r="Q26" s="1">
        <v>0</v>
      </c>
      <c r="R26" s="1"/>
      <c r="S26" s="1"/>
      <c r="T26" s="1">
        <f t="shared" si="3"/>
        <v>4.2946</v>
      </c>
      <c r="U26" s="5"/>
      <c r="V26" s="1">
        <f t="shared" si="4"/>
        <v>86.304698924230436</v>
      </c>
      <c r="W26" s="1">
        <f t="shared" si="5"/>
        <v>86.304698924230436</v>
      </c>
      <c r="X26" s="1">
        <v>19.465599999999998</v>
      </c>
      <c r="Y26" s="1">
        <v>37.365200000000002</v>
      </c>
      <c r="Z26" s="1">
        <v>37.8568</v>
      </c>
      <c r="AA26" s="1">
        <v>32.292400000000001</v>
      </c>
      <c r="AB26" s="1">
        <v>32.898400000000002</v>
      </c>
      <c r="AC26" s="1">
        <v>27.629000000000001</v>
      </c>
      <c r="AD26" s="1">
        <v>6.3411999999999997</v>
      </c>
      <c r="AE26" s="1">
        <v>10.604200000000001</v>
      </c>
      <c r="AF26" s="1">
        <v>23.606999999999999</v>
      </c>
      <c r="AG26" s="1">
        <v>42.3446</v>
      </c>
      <c r="AH26" s="1" t="s">
        <v>64</v>
      </c>
      <c r="AI26" s="1">
        <f>G26*U26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65</v>
      </c>
      <c r="B27" s="1" t="s">
        <v>38</v>
      </c>
      <c r="C27" s="1">
        <v>-1.601</v>
      </c>
      <c r="D27" s="1">
        <v>239.03</v>
      </c>
      <c r="E27" s="1">
        <v>146.14599999999999</v>
      </c>
      <c r="F27" s="1">
        <v>37.604999999999997</v>
      </c>
      <c r="G27" s="7">
        <v>1</v>
      </c>
      <c r="H27" s="1">
        <v>40</v>
      </c>
      <c r="I27" s="9" t="s">
        <v>50</v>
      </c>
      <c r="J27" s="1"/>
      <c r="K27" s="1">
        <v>128.85</v>
      </c>
      <c r="L27" s="1">
        <f t="shared" si="2"/>
        <v>17.295999999999992</v>
      </c>
      <c r="M27" s="1"/>
      <c r="N27" s="1"/>
      <c r="O27" s="1">
        <v>0</v>
      </c>
      <c r="P27" s="1"/>
      <c r="Q27" s="1">
        <v>0</v>
      </c>
      <c r="R27" s="1"/>
      <c r="S27" s="1"/>
      <c r="T27" s="1">
        <f t="shared" si="3"/>
        <v>29.229199999999999</v>
      </c>
      <c r="U27" s="5">
        <f>7*T27-S27-R27-Q27-P27-O27-F27</f>
        <v>166.99940000000001</v>
      </c>
      <c r="V27" s="1">
        <f t="shared" si="4"/>
        <v>7</v>
      </c>
      <c r="W27" s="1">
        <f t="shared" si="5"/>
        <v>1.286555909843581</v>
      </c>
      <c r="X27" s="1">
        <v>6.2622</v>
      </c>
      <c r="Y27" s="1">
        <v>7.4394000000000009</v>
      </c>
      <c r="Z27" s="1">
        <v>13.057</v>
      </c>
      <c r="AA27" s="1">
        <v>16.609400000000001</v>
      </c>
      <c r="AB27" s="1">
        <v>17.7974</v>
      </c>
      <c r="AC27" s="1">
        <v>8.8981999999999992</v>
      </c>
      <c r="AD27" s="1">
        <v>0</v>
      </c>
      <c r="AE27" s="1">
        <v>0</v>
      </c>
      <c r="AF27" s="1">
        <v>7.3483999999999998</v>
      </c>
      <c r="AG27" s="1">
        <v>12.615399999999999</v>
      </c>
      <c r="AH27" s="1"/>
      <c r="AI27" s="1">
        <f>G27*U27</f>
        <v>166.99940000000001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66</v>
      </c>
      <c r="B28" s="1" t="s">
        <v>38</v>
      </c>
      <c r="C28" s="1">
        <v>387.77600000000001</v>
      </c>
      <c r="D28" s="1">
        <v>559.18299999999999</v>
      </c>
      <c r="E28" s="1">
        <v>454.49099999999999</v>
      </c>
      <c r="F28" s="1">
        <v>274.88499999999999</v>
      </c>
      <c r="G28" s="7">
        <v>1</v>
      </c>
      <c r="H28" s="1">
        <v>30</v>
      </c>
      <c r="I28" s="1" t="s">
        <v>39</v>
      </c>
      <c r="J28" s="1"/>
      <c r="K28" s="1">
        <v>460.41300000000001</v>
      </c>
      <c r="L28" s="1">
        <f t="shared" si="2"/>
        <v>-5.9220000000000255</v>
      </c>
      <c r="M28" s="1"/>
      <c r="N28" s="1"/>
      <c r="O28" s="1">
        <v>0</v>
      </c>
      <c r="P28" s="1"/>
      <c r="Q28" s="1">
        <v>206.161316</v>
      </c>
      <c r="R28" s="1"/>
      <c r="S28" s="1"/>
      <c r="T28" s="1">
        <f t="shared" si="3"/>
        <v>90.898200000000003</v>
      </c>
      <c r="U28" s="5">
        <f t="shared" ref="U26:U28" si="10">11*T28-S28-R28-Q28-P28-O28-F28</f>
        <v>518.83388400000013</v>
      </c>
      <c r="V28" s="1">
        <f t="shared" si="4"/>
        <v>11</v>
      </c>
      <c r="W28" s="1">
        <f t="shared" si="5"/>
        <v>5.2921434747882792</v>
      </c>
      <c r="X28" s="1">
        <v>66.527200000000008</v>
      </c>
      <c r="Y28" s="1">
        <v>40.445</v>
      </c>
      <c r="Z28" s="1">
        <v>57.122799999999998</v>
      </c>
      <c r="AA28" s="1">
        <v>66.4786</v>
      </c>
      <c r="AB28" s="1">
        <v>64.301599999999993</v>
      </c>
      <c r="AC28" s="1">
        <v>64.790199999999999</v>
      </c>
      <c r="AD28" s="1">
        <v>41.290999999999997</v>
      </c>
      <c r="AE28" s="1">
        <v>19.9512</v>
      </c>
      <c r="AF28" s="1">
        <v>38.483400000000003</v>
      </c>
      <c r="AG28" s="1">
        <v>61.430199999999999</v>
      </c>
      <c r="AH28" s="1"/>
      <c r="AI28" s="1">
        <f>G28*U28</f>
        <v>518.83388400000013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0" t="s">
        <v>67</v>
      </c>
      <c r="B29" s="10" t="s">
        <v>38</v>
      </c>
      <c r="C29" s="10"/>
      <c r="D29" s="10"/>
      <c r="E29" s="10"/>
      <c r="F29" s="10"/>
      <c r="G29" s="11">
        <v>0</v>
      </c>
      <c r="H29" s="10"/>
      <c r="I29" s="10" t="s">
        <v>39</v>
      </c>
      <c r="J29" s="10"/>
      <c r="K29" s="10"/>
      <c r="L29" s="10">
        <f t="shared" si="2"/>
        <v>0</v>
      </c>
      <c r="M29" s="10"/>
      <c r="N29" s="10"/>
      <c r="O29" s="10">
        <v>0</v>
      </c>
      <c r="P29" s="10"/>
      <c r="Q29" s="10">
        <v>0</v>
      </c>
      <c r="R29" s="10"/>
      <c r="S29" s="10"/>
      <c r="T29" s="10">
        <f t="shared" si="3"/>
        <v>0</v>
      </c>
      <c r="U29" s="12"/>
      <c r="V29" s="10" t="e">
        <f t="shared" si="4"/>
        <v>#DIV/0!</v>
      </c>
      <c r="W29" s="10" t="e">
        <f t="shared" si="5"/>
        <v>#DIV/0!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 t="s">
        <v>48</v>
      </c>
      <c r="AI29" s="10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68</v>
      </c>
      <c r="B30" s="1" t="s">
        <v>38</v>
      </c>
      <c r="C30" s="1">
        <v>728.745</v>
      </c>
      <c r="D30" s="1">
        <v>641.42399999999998</v>
      </c>
      <c r="E30" s="1">
        <v>564.03300000000002</v>
      </c>
      <c r="F30" s="1">
        <v>517.43299999999999</v>
      </c>
      <c r="G30" s="7">
        <v>1</v>
      </c>
      <c r="H30" s="1">
        <v>40</v>
      </c>
      <c r="I30" s="1" t="s">
        <v>39</v>
      </c>
      <c r="J30" s="1"/>
      <c r="K30" s="1">
        <v>540.4</v>
      </c>
      <c r="L30" s="1">
        <f t="shared" si="2"/>
        <v>23.633000000000038</v>
      </c>
      <c r="M30" s="1"/>
      <c r="N30" s="1"/>
      <c r="O30" s="1">
        <v>303.3908396970001</v>
      </c>
      <c r="P30" s="1">
        <v>165.7460703030001</v>
      </c>
      <c r="Q30" s="1">
        <v>81.223000000000241</v>
      </c>
      <c r="R30" s="1"/>
      <c r="S30" s="1"/>
      <c r="T30" s="1">
        <f t="shared" si="3"/>
        <v>112.8066</v>
      </c>
      <c r="U30" s="5">
        <f t="shared" ref="U30:U68" si="11">11*T30-S30-R30-Q30-P30-O30-F30</f>
        <v>173.0796899999998</v>
      </c>
      <c r="V30" s="1">
        <f t="shared" si="4"/>
        <v>11.000000000000002</v>
      </c>
      <c r="W30" s="1">
        <f t="shared" si="5"/>
        <v>9.4656953582503185</v>
      </c>
      <c r="X30" s="1">
        <v>116.53619999999999</v>
      </c>
      <c r="Y30" s="1">
        <v>126.351</v>
      </c>
      <c r="Z30" s="1">
        <v>140.11259999999999</v>
      </c>
      <c r="AA30" s="1">
        <v>119.8394</v>
      </c>
      <c r="AB30" s="1">
        <v>111.0528</v>
      </c>
      <c r="AC30" s="1">
        <v>94.69</v>
      </c>
      <c r="AD30" s="1">
        <v>89.814400000000006</v>
      </c>
      <c r="AE30" s="1">
        <v>149.56479999999999</v>
      </c>
      <c r="AF30" s="1">
        <v>192.89240000000001</v>
      </c>
      <c r="AG30" s="1">
        <v>98.930399999999992</v>
      </c>
      <c r="AH30" s="1"/>
      <c r="AI30" s="1">
        <f t="shared" ref="AI30:AI68" si="12">G30*U30</f>
        <v>173.0796899999998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69</v>
      </c>
      <c r="B31" s="1" t="s">
        <v>38</v>
      </c>
      <c r="C31" s="1">
        <v>4.4480000000000004</v>
      </c>
      <c r="D31" s="1">
        <v>61.154000000000003</v>
      </c>
      <c r="E31" s="1">
        <v>11.948</v>
      </c>
      <c r="F31" s="1">
        <v>30.513000000000002</v>
      </c>
      <c r="G31" s="7">
        <v>1</v>
      </c>
      <c r="H31" s="1">
        <v>40</v>
      </c>
      <c r="I31" s="1" t="s">
        <v>39</v>
      </c>
      <c r="J31" s="1"/>
      <c r="K31" s="1">
        <v>12.9</v>
      </c>
      <c r="L31" s="1">
        <f t="shared" si="2"/>
        <v>-0.95199999999999996</v>
      </c>
      <c r="M31" s="1"/>
      <c r="N31" s="1"/>
      <c r="O31" s="1">
        <v>19.62751999999999</v>
      </c>
      <c r="P31" s="1"/>
      <c r="Q31" s="1">
        <v>0</v>
      </c>
      <c r="R31" s="1"/>
      <c r="S31" s="1"/>
      <c r="T31" s="1">
        <f t="shared" si="3"/>
        <v>2.3896000000000002</v>
      </c>
      <c r="U31" s="5"/>
      <c r="V31" s="1">
        <f t="shared" si="4"/>
        <v>20.982808838299292</v>
      </c>
      <c r="W31" s="1">
        <f t="shared" si="5"/>
        <v>20.982808838299292</v>
      </c>
      <c r="X31" s="1">
        <v>3.7946</v>
      </c>
      <c r="Y31" s="1">
        <v>6.1124000000000001</v>
      </c>
      <c r="Z31" s="1">
        <v>4.9554</v>
      </c>
      <c r="AA31" s="1">
        <v>5.2368000000000006</v>
      </c>
      <c r="AB31" s="1">
        <v>3.7707999999999999</v>
      </c>
      <c r="AC31" s="1">
        <v>0</v>
      </c>
      <c r="AD31" s="1">
        <v>-0.13400000000000001</v>
      </c>
      <c r="AE31" s="1">
        <v>3.38</v>
      </c>
      <c r="AF31" s="1">
        <v>3.5139999999999998</v>
      </c>
      <c r="AG31" s="1">
        <v>0.9071999999999999</v>
      </c>
      <c r="AH31" s="1"/>
      <c r="AI31" s="1">
        <f t="shared" si="12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70</v>
      </c>
      <c r="B32" s="1" t="s">
        <v>38</v>
      </c>
      <c r="C32" s="1">
        <v>53.747999999999998</v>
      </c>
      <c r="D32" s="1">
        <v>61.673000000000002</v>
      </c>
      <c r="E32" s="1">
        <v>67.915999999999997</v>
      </c>
      <c r="F32" s="1">
        <v>16.298999999999999</v>
      </c>
      <c r="G32" s="7">
        <v>1</v>
      </c>
      <c r="H32" s="1">
        <v>30</v>
      </c>
      <c r="I32" s="1" t="s">
        <v>39</v>
      </c>
      <c r="J32" s="1"/>
      <c r="K32" s="1">
        <v>66.349999999999994</v>
      </c>
      <c r="L32" s="1">
        <f t="shared" si="2"/>
        <v>1.5660000000000025</v>
      </c>
      <c r="M32" s="1"/>
      <c r="N32" s="1"/>
      <c r="O32" s="1">
        <v>78.062600000000032</v>
      </c>
      <c r="P32" s="1"/>
      <c r="Q32" s="1">
        <v>82.345999999999975</v>
      </c>
      <c r="R32" s="1"/>
      <c r="S32" s="1"/>
      <c r="T32" s="1">
        <f t="shared" si="3"/>
        <v>13.5832</v>
      </c>
      <c r="U32" s="5"/>
      <c r="V32" s="1">
        <f t="shared" si="4"/>
        <v>13.009276164674011</v>
      </c>
      <c r="W32" s="1">
        <f t="shared" si="5"/>
        <v>13.009276164674011</v>
      </c>
      <c r="X32" s="1">
        <v>16.429600000000001</v>
      </c>
      <c r="Y32" s="1">
        <v>15.0852</v>
      </c>
      <c r="Z32" s="1">
        <v>9.6898</v>
      </c>
      <c r="AA32" s="1">
        <v>1.4954000000000001</v>
      </c>
      <c r="AB32" s="1">
        <v>-0.752</v>
      </c>
      <c r="AC32" s="1">
        <v>-0.97</v>
      </c>
      <c r="AD32" s="1">
        <v>-0.218</v>
      </c>
      <c r="AE32" s="1">
        <v>10.932600000000001</v>
      </c>
      <c r="AF32" s="1">
        <v>12.9648</v>
      </c>
      <c r="AG32" s="1">
        <v>-4.0000000000000002E-4</v>
      </c>
      <c r="AH32" s="1"/>
      <c r="AI32" s="1">
        <f t="shared" si="12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71</v>
      </c>
      <c r="B33" s="1" t="s">
        <v>38</v>
      </c>
      <c r="C33" s="1">
        <v>193.047</v>
      </c>
      <c r="D33" s="1">
        <v>87.66</v>
      </c>
      <c r="E33" s="1">
        <v>97.844999999999999</v>
      </c>
      <c r="F33" s="1">
        <v>170.14500000000001</v>
      </c>
      <c r="G33" s="7">
        <v>1</v>
      </c>
      <c r="H33" s="1">
        <v>50</v>
      </c>
      <c r="I33" s="1" t="s">
        <v>39</v>
      </c>
      <c r="J33" s="1"/>
      <c r="K33" s="1">
        <v>87.6</v>
      </c>
      <c r="L33" s="1">
        <f t="shared" si="2"/>
        <v>10.245000000000005</v>
      </c>
      <c r="M33" s="1"/>
      <c r="N33" s="1"/>
      <c r="O33" s="1">
        <v>0</v>
      </c>
      <c r="P33" s="1"/>
      <c r="Q33" s="1">
        <v>30.50660000000002</v>
      </c>
      <c r="R33" s="1"/>
      <c r="S33" s="1"/>
      <c r="T33" s="1">
        <f t="shared" si="3"/>
        <v>19.568999999999999</v>
      </c>
      <c r="U33" s="5">
        <f t="shared" si="11"/>
        <v>14.607399999999956</v>
      </c>
      <c r="V33" s="1">
        <f t="shared" si="4"/>
        <v>11</v>
      </c>
      <c r="W33" s="1">
        <f t="shared" si="5"/>
        <v>10.253543870407279</v>
      </c>
      <c r="X33" s="1">
        <v>19.8338</v>
      </c>
      <c r="Y33" s="1">
        <v>12.243600000000001</v>
      </c>
      <c r="Z33" s="1">
        <v>6.5584000000000007</v>
      </c>
      <c r="AA33" s="1">
        <v>10.5198</v>
      </c>
      <c r="AB33" s="1">
        <v>18.317599999999999</v>
      </c>
      <c r="AC33" s="1">
        <v>15.9734</v>
      </c>
      <c r="AD33" s="1">
        <v>13.6462</v>
      </c>
      <c r="AE33" s="1">
        <v>19.478000000000002</v>
      </c>
      <c r="AF33" s="1">
        <v>10.740600000000001</v>
      </c>
      <c r="AG33" s="1">
        <v>3.1267999999999998</v>
      </c>
      <c r="AH33" s="1"/>
      <c r="AI33" s="1">
        <f t="shared" si="12"/>
        <v>14.607399999999956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72</v>
      </c>
      <c r="B34" s="1" t="s">
        <v>38</v>
      </c>
      <c r="C34" s="1">
        <v>101.075</v>
      </c>
      <c r="D34" s="1">
        <v>116.66200000000001</v>
      </c>
      <c r="E34" s="1">
        <v>79.289000000000001</v>
      </c>
      <c r="F34" s="1">
        <v>115.312</v>
      </c>
      <c r="G34" s="7">
        <v>1</v>
      </c>
      <c r="H34" s="1">
        <v>50</v>
      </c>
      <c r="I34" s="1" t="s">
        <v>39</v>
      </c>
      <c r="J34" s="1"/>
      <c r="K34" s="1">
        <v>69.3</v>
      </c>
      <c r="L34" s="1">
        <f t="shared" si="2"/>
        <v>9.9890000000000043</v>
      </c>
      <c r="M34" s="1"/>
      <c r="N34" s="1"/>
      <c r="O34" s="1">
        <v>0</v>
      </c>
      <c r="P34" s="1"/>
      <c r="Q34" s="1">
        <v>0</v>
      </c>
      <c r="R34" s="1"/>
      <c r="S34" s="1"/>
      <c r="T34" s="1">
        <f t="shared" si="3"/>
        <v>15.857800000000001</v>
      </c>
      <c r="U34" s="5">
        <f t="shared" si="11"/>
        <v>59.123800000000003</v>
      </c>
      <c r="V34" s="1">
        <f t="shared" si="4"/>
        <v>11</v>
      </c>
      <c r="W34" s="1">
        <f t="shared" si="5"/>
        <v>7.2716265812407768</v>
      </c>
      <c r="X34" s="1">
        <v>8.0152000000000001</v>
      </c>
      <c r="Y34" s="1">
        <v>-0.1784</v>
      </c>
      <c r="Z34" s="1">
        <v>0.92579999999999996</v>
      </c>
      <c r="AA34" s="1">
        <v>6.6242000000000001</v>
      </c>
      <c r="AB34" s="1">
        <v>13.944000000000001</v>
      </c>
      <c r="AC34" s="1">
        <v>10.803599999999999</v>
      </c>
      <c r="AD34" s="1">
        <v>4.2084000000000001</v>
      </c>
      <c r="AE34" s="1">
        <v>2.0131999999999999</v>
      </c>
      <c r="AF34" s="1">
        <v>5.2670000000000003</v>
      </c>
      <c r="AG34" s="1">
        <v>7.9817999999999998</v>
      </c>
      <c r="AH34" s="1"/>
      <c r="AI34" s="1">
        <f t="shared" si="12"/>
        <v>59.123800000000003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73</v>
      </c>
      <c r="B35" s="1" t="s">
        <v>43</v>
      </c>
      <c r="C35" s="1">
        <v>128</v>
      </c>
      <c r="D35" s="1">
        <v>2143</v>
      </c>
      <c r="E35" s="1">
        <v>1105</v>
      </c>
      <c r="F35" s="1">
        <v>725</v>
      </c>
      <c r="G35" s="7">
        <v>0.4</v>
      </c>
      <c r="H35" s="1">
        <v>45</v>
      </c>
      <c r="I35" s="1" t="s">
        <v>39</v>
      </c>
      <c r="J35" s="1"/>
      <c r="K35" s="1">
        <v>1195</v>
      </c>
      <c r="L35" s="1">
        <f t="shared" si="2"/>
        <v>-90</v>
      </c>
      <c r="M35" s="1"/>
      <c r="N35" s="1"/>
      <c r="O35" s="1">
        <v>0</v>
      </c>
      <c r="P35" s="1"/>
      <c r="Q35" s="1">
        <v>0</v>
      </c>
      <c r="R35" s="1"/>
      <c r="S35" s="1"/>
      <c r="T35" s="1">
        <f t="shared" si="3"/>
        <v>221</v>
      </c>
      <c r="U35" s="5">
        <f>9*T35-S35-R35-Q35-P35-O35-F35</f>
        <v>1264</v>
      </c>
      <c r="V35" s="1">
        <f t="shared" si="4"/>
        <v>9</v>
      </c>
      <c r="W35" s="1">
        <f t="shared" si="5"/>
        <v>3.2805429864253393</v>
      </c>
      <c r="X35" s="1">
        <v>107.6</v>
      </c>
      <c r="Y35" s="1">
        <v>64.8</v>
      </c>
      <c r="Z35" s="1">
        <v>103.2</v>
      </c>
      <c r="AA35" s="1">
        <v>168.4</v>
      </c>
      <c r="AB35" s="1">
        <v>133</v>
      </c>
      <c r="AC35" s="1">
        <v>89.8</v>
      </c>
      <c r="AD35" s="1">
        <v>51</v>
      </c>
      <c r="AE35" s="1">
        <v>40.799999999999997</v>
      </c>
      <c r="AF35" s="1">
        <v>105.6</v>
      </c>
      <c r="AG35" s="1">
        <v>80.8</v>
      </c>
      <c r="AH35" s="1"/>
      <c r="AI35" s="1">
        <f t="shared" si="12"/>
        <v>505.6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74</v>
      </c>
      <c r="B36" s="1" t="s">
        <v>43</v>
      </c>
      <c r="C36" s="1">
        <v>6</v>
      </c>
      <c r="D36" s="1">
        <v>768</v>
      </c>
      <c r="E36" s="1">
        <v>368</v>
      </c>
      <c r="F36" s="1">
        <v>83</v>
      </c>
      <c r="G36" s="7">
        <v>0.45</v>
      </c>
      <c r="H36" s="1">
        <v>50</v>
      </c>
      <c r="I36" s="1" t="s">
        <v>39</v>
      </c>
      <c r="J36" s="1"/>
      <c r="K36" s="1">
        <v>473</v>
      </c>
      <c r="L36" s="1">
        <f t="shared" si="2"/>
        <v>-105</v>
      </c>
      <c r="M36" s="1"/>
      <c r="N36" s="1"/>
      <c r="O36" s="1">
        <v>100</v>
      </c>
      <c r="P36" s="1"/>
      <c r="Q36" s="1">
        <v>30.95999999999994</v>
      </c>
      <c r="R36" s="1"/>
      <c r="S36" s="1"/>
      <c r="T36" s="1">
        <f t="shared" si="3"/>
        <v>73.599999999999994</v>
      </c>
      <c r="U36" s="5">
        <f>9*T36-S36-R36-Q36-P36-O36-F36</f>
        <v>448.44000000000005</v>
      </c>
      <c r="V36" s="1">
        <f t="shared" si="4"/>
        <v>9</v>
      </c>
      <c r="W36" s="1">
        <f t="shared" si="5"/>
        <v>2.9070652173913039</v>
      </c>
      <c r="X36" s="1">
        <v>20.399999999999999</v>
      </c>
      <c r="Y36" s="1">
        <v>32.6</v>
      </c>
      <c r="Z36" s="1">
        <v>41.6</v>
      </c>
      <c r="AA36" s="1">
        <v>38.6</v>
      </c>
      <c r="AB36" s="1">
        <v>52.6</v>
      </c>
      <c r="AC36" s="1">
        <v>25.8</v>
      </c>
      <c r="AD36" s="1">
        <v>12.8</v>
      </c>
      <c r="AE36" s="1">
        <v>24</v>
      </c>
      <c r="AF36" s="1">
        <v>29.4</v>
      </c>
      <c r="AG36" s="1">
        <v>42.2</v>
      </c>
      <c r="AH36" s="1"/>
      <c r="AI36" s="1">
        <f t="shared" si="12"/>
        <v>201.79800000000003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75</v>
      </c>
      <c r="B37" s="1" t="s">
        <v>43</v>
      </c>
      <c r="C37" s="1">
        <v>-20</v>
      </c>
      <c r="D37" s="1">
        <v>1160</v>
      </c>
      <c r="E37" s="1">
        <v>295</v>
      </c>
      <c r="F37" s="1">
        <v>690</v>
      </c>
      <c r="G37" s="7">
        <v>0.4</v>
      </c>
      <c r="H37" s="1">
        <v>45</v>
      </c>
      <c r="I37" s="9" t="s">
        <v>50</v>
      </c>
      <c r="J37" s="1"/>
      <c r="K37" s="1">
        <v>397</v>
      </c>
      <c r="L37" s="1">
        <f t="shared" si="2"/>
        <v>-102</v>
      </c>
      <c r="M37" s="1"/>
      <c r="N37" s="1"/>
      <c r="O37" s="1">
        <v>0</v>
      </c>
      <c r="P37" s="1"/>
      <c r="Q37" s="1">
        <v>0</v>
      </c>
      <c r="R37" s="1"/>
      <c r="S37" s="1"/>
      <c r="T37" s="1">
        <f t="shared" si="3"/>
        <v>59</v>
      </c>
      <c r="U37" s="5"/>
      <c r="V37" s="1">
        <f t="shared" si="4"/>
        <v>11.694915254237289</v>
      </c>
      <c r="W37" s="1">
        <f t="shared" si="5"/>
        <v>11.694915254237289</v>
      </c>
      <c r="X37" s="1">
        <v>27.6</v>
      </c>
      <c r="Y37" s="1">
        <v>66.8</v>
      </c>
      <c r="Z37" s="1">
        <v>104.6</v>
      </c>
      <c r="AA37" s="1">
        <v>81</v>
      </c>
      <c r="AB37" s="1">
        <v>54.2</v>
      </c>
      <c r="AC37" s="1">
        <v>14.8</v>
      </c>
      <c r="AD37" s="1">
        <v>11.2</v>
      </c>
      <c r="AE37" s="1">
        <v>27.4</v>
      </c>
      <c r="AF37" s="1">
        <v>58.2</v>
      </c>
      <c r="AG37" s="1">
        <v>44.4</v>
      </c>
      <c r="AH37" s="1"/>
      <c r="AI37" s="1">
        <f t="shared" si="12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76</v>
      </c>
      <c r="B38" s="1" t="s">
        <v>43</v>
      </c>
      <c r="C38" s="1">
        <v>30</v>
      </c>
      <c r="D38" s="1">
        <v>66</v>
      </c>
      <c r="E38" s="1">
        <v>41</v>
      </c>
      <c r="F38" s="1">
        <v>31</v>
      </c>
      <c r="G38" s="7">
        <v>0.4</v>
      </c>
      <c r="H38" s="1">
        <v>40</v>
      </c>
      <c r="I38" s="1" t="s">
        <v>39</v>
      </c>
      <c r="J38" s="1"/>
      <c r="K38" s="1">
        <v>40</v>
      </c>
      <c r="L38" s="1">
        <f t="shared" ref="L38:L69" si="13">E38-K38</f>
        <v>1</v>
      </c>
      <c r="M38" s="1"/>
      <c r="N38" s="1"/>
      <c r="O38" s="1">
        <v>0</v>
      </c>
      <c r="P38" s="1"/>
      <c r="Q38" s="1">
        <v>55</v>
      </c>
      <c r="R38" s="1"/>
      <c r="S38" s="1"/>
      <c r="T38" s="1">
        <f t="shared" ref="T38:T69" si="14">E38/5</f>
        <v>8.1999999999999993</v>
      </c>
      <c r="U38" s="5">
        <v>6</v>
      </c>
      <c r="V38" s="1">
        <f t="shared" ref="V38:V69" si="15">(F38+O38+P38+Q38+R38+S38+U38)/T38</f>
        <v>11.219512195121952</v>
      </c>
      <c r="W38" s="1">
        <f t="shared" ref="W38:W69" si="16">(F38+O38+P38+Q38+R38+S38)/T38</f>
        <v>10.487804878048781</v>
      </c>
      <c r="X38" s="1">
        <v>8</v>
      </c>
      <c r="Y38" s="1">
        <v>6</v>
      </c>
      <c r="Z38" s="1">
        <v>3</v>
      </c>
      <c r="AA38" s="1">
        <v>2</v>
      </c>
      <c r="AB38" s="1">
        <v>8.1999999999999993</v>
      </c>
      <c r="AC38" s="1">
        <v>8.1999999999999993</v>
      </c>
      <c r="AD38" s="1">
        <v>3.2</v>
      </c>
      <c r="AE38" s="1">
        <v>3</v>
      </c>
      <c r="AF38" s="1">
        <v>0</v>
      </c>
      <c r="AG38" s="1">
        <v>0</v>
      </c>
      <c r="AH38" s="1"/>
      <c r="AI38" s="1">
        <f t="shared" si="12"/>
        <v>2.4000000000000004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77</v>
      </c>
      <c r="B39" s="1" t="s">
        <v>38</v>
      </c>
      <c r="C39" s="1">
        <v>40.890999999999998</v>
      </c>
      <c r="D39" s="1">
        <v>97.725999999999999</v>
      </c>
      <c r="E39" s="1">
        <v>37.192999999999998</v>
      </c>
      <c r="F39" s="1">
        <v>62.759</v>
      </c>
      <c r="G39" s="7">
        <v>1</v>
      </c>
      <c r="H39" s="1">
        <v>45</v>
      </c>
      <c r="I39" s="1" t="s">
        <v>39</v>
      </c>
      <c r="J39" s="1"/>
      <c r="K39" s="1">
        <v>37.85</v>
      </c>
      <c r="L39" s="1">
        <f t="shared" si="13"/>
        <v>-0.65700000000000358</v>
      </c>
      <c r="M39" s="1"/>
      <c r="N39" s="1"/>
      <c r="O39" s="1">
        <v>0</v>
      </c>
      <c r="P39" s="1"/>
      <c r="Q39" s="1">
        <v>0</v>
      </c>
      <c r="R39" s="1"/>
      <c r="S39" s="1"/>
      <c r="T39" s="1">
        <f t="shared" si="14"/>
        <v>7.4385999999999992</v>
      </c>
      <c r="U39" s="5">
        <f t="shared" si="11"/>
        <v>19.065599999999989</v>
      </c>
      <c r="V39" s="1">
        <f t="shared" si="15"/>
        <v>11</v>
      </c>
      <c r="W39" s="1">
        <f t="shared" si="16"/>
        <v>8.4369370580485583</v>
      </c>
      <c r="X39" s="1">
        <v>3.0493999999999999</v>
      </c>
      <c r="Y39" s="1">
        <v>6.3457999999999997</v>
      </c>
      <c r="Z39" s="1">
        <v>9.2354000000000003</v>
      </c>
      <c r="AA39" s="1">
        <v>5.1078000000000001</v>
      </c>
      <c r="AB39" s="1">
        <v>5.5014000000000003</v>
      </c>
      <c r="AC39" s="1">
        <v>5.5655999999999999</v>
      </c>
      <c r="AD39" s="1">
        <v>6.1146000000000003</v>
      </c>
      <c r="AE39" s="1">
        <v>8.9586000000000006</v>
      </c>
      <c r="AF39" s="1">
        <v>5.7417999999999996</v>
      </c>
      <c r="AG39" s="1">
        <v>7.9707999999999997</v>
      </c>
      <c r="AH39" s="1"/>
      <c r="AI39" s="1">
        <f t="shared" si="12"/>
        <v>19.065599999999989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78</v>
      </c>
      <c r="B40" s="1" t="s">
        <v>43</v>
      </c>
      <c r="C40" s="1">
        <v>6</v>
      </c>
      <c r="D40" s="1">
        <v>1699</v>
      </c>
      <c r="E40" s="1">
        <v>230</v>
      </c>
      <c r="F40" s="1">
        <v>874</v>
      </c>
      <c r="G40" s="7">
        <v>0.1</v>
      </c>
      <c r="H40" s="1">
        <v>731</v>
      </c>
      <c r="I40" s="1" t="s">
        <v>39</v>
      </c>
      <c r="J40" s="1"/>
      <c r="K40" s="1">
        <v>365</v>
      </c>
      <c r="L40" s="1">
        <f t="shared" si="13"/>
        <v>-135</v>
      </c>
      <c r="M40" s="1"/>
      <c r="N40" s="1"/>
      <c r="O40" s="1">
        <v>970.05</v>
      </c>
      <c r="P40" s="1">
        <v>529.95000000000005</v>
      </c>
      <c r="Q40" s="1">
        <v>0</v>
      </c>
      <c r="R40" s="1"/>
      <c r="S40" s="1"/>
      <c r="T40" s="1">
        <f t="shared" si="14"/>
        <v>46</v>
      </c>
      <c r="U40" s="5"/>
      <c r="V40" s="1">
        <f t="shared" si="15"/>
        <v>51.608695652173914</v>
      </c>
      <c r="W40" s="1">
        <f t="shared" si="16"/>
        <v>51.608695652173914</v>
      </c>
      <c r="X40" s="1">
        <v>75.400000000000006</v>
      </c>
      <c r="Y40" s="1">
        <v>154.4</v>
      </c>
      <c r="Z40" s="1">
        <v>147.6</v>
      </c>
      <c r="AA40" s="1">
        <v>101.6</v>
      </c>
      <c r="AB40" s="1">
        <v>90.2</v>
      </c>
      <c r="AC40" s="1">
        <v>82.6</v>
      </c>
      <c r="AD40" s="1">
        <v>90.4</v>
      </c>
      <c r="AE40" s="1">
        <v>95.8</v>
      </c>
      <c r="AF40" s="1">
        <v>118.6</v>
      </c>
      <c r="AG40" s="1">
        <v>125.2</v>
      </c>
      <c r="AH40" s="1"/>
      <c r="AI40" s="1">
        <f t="shared" si="12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79</v>
      </c>
      <c r="B41" s="1" t="s">
        <v>43</v>
      </c>
      <c r="C41" s="1">
        <v>71</v>
      </c>
      <c r="D41" s="1">
        <v>11</v>
      </c>
      <c r="E41" s="1">
        <v>72</v>
      </c>
      <c r="F41" s="1"/>
      <c r="G41" s="7">
        <v>0.35</v>
      </c>
      <c r="H41" s="1">
        <v>40</v>
      </c>
      <c r="I41" s="9" t="s">
        <v>50</v>
      </c>
      <c r="J41" s="1"/>
      <c r="K41" s="1">
        <v>103</v>
      </c>
      <c r="L41" s="1">
        <f t="shared" si="13"/>
        <v>-31</v>
      </c>
      <c r="M41" s="1"/>
      <c r="N41" s="1"/>
      <c r="O41" s="1">
        <v>107.61087999999999</v>
      </c>
      <c r="P41" s="1">
        <v>58.78911999999999</v>
      </c>
      <c r="Q41" s="1">
        <v>240.8</v>
      </c>
      <c r="R41" s="1"/>
      <c r="S41" s="1"/>
      <c r="T41" s="1">
        <f t="shared" si="14"/>
        <v>14.4</v>
      </c>
      <c r="U41" s="5"/>
      <c r="V41" s="1">
        <f t="shared" si="15"/>
        <v>28.277777777777775</v>
      </c>
      <c r="W41" s="1">
        <f t="shared" si="16"/>
        <v>28.277777777777775</v>
      </c>
      <c r="X41" s="1">
        <v>40</v>
      </c>
      <c r="Y41" s="1">
        <v>30.4</v>
      </c>
      <c r="Z41" s="1">
        <v>6.4</v>
      </c>
      <c r="AA41" s="1">
        <v>1.6</v>
      </c>
      <c r="AB41" s="1">
        <v>-0.4</v>
      </c>
      <c r="AC41" s="1">
        <v>-0.4</v>
      </c>
      <c r="AD41" s="1">
        <v>-0.2</v>
      </c>
      <c r="AE41" s="1">
        <v>-0.2</v>
      </c>
      <c r="AF41" s="1">
        <v>4.8</v>
      </c>
      <c r="AG41" s="1">
        <v>9.8000000000000007</v>
      </c>
      <c r="AH41" s="1"/>
      <c r="AI41" s="1">
        <f t="shared" si="12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80</v>
      </c>
      <c r="B42" s="1" t="s">
        <v>38</v>
      </c>
      <c r="C42" s="1">
        <v>135.66300000000001</v>
      </c>
      <c r="D42" s="1">
        <v>496.76900000000001</v>
      </c>
      <c r="E42" s="1">
        <v>162.72499999999999</v>
      </c>
      <c r="F42" s="1">
        <v>372.81700000000001</v>
      </c>
      <c r="G42" s="7">
        <v>1</v>
      </c>
      <c r="H42" s="1">
        <v>40</v>
      </c>
      <c r="I42" s="1" t="s">
        <v>39</v>
      </c>
      <c r="J42" s="1"/>
      <c r="K42" s="1">
        <v>178.2</v>
      </c>
      <c r="L42" s="1">
        <f t="shared" si="13"/>
        <v>-15.474999999999994</v>
      </c>
      <c r="M42" s="1"/>
      <c r="N42" s="1"/>
      <c r="O42" s="1">
        <v>0</v>
      </c>
      <c r="P42" s="1"/>
      <c r="Q42" s="1">
        <v>0</v>
      </c>
      <c r="R42" s="1"/>
      <c r="S42" s="1"/>
      <c r="T42" s="1">
        <f t="shared" si="14"/>
        <v>32.545000000000002</v>
      </c>
      <c r="U42" s="5"/>
      <c r="V42" s="1">
        <f t="shared" si="15"/>
        <v>11.45543094177293</v>
      </c>
      <c r="W42" s="1">
        <f t="shared" si="16"/>
        <v>11.45543094177293</v>
      </c>
      <c r="X42" s="1">
        <v>16.0428</v>
      </c>
      <c r="Y42" s="1">
        <v>11.0534</v>
      </c>
      <c r="Z42" s="1">
        <v>39.805599999999998</v>
      </c>
      <c r="AA42" s="1">
        <v>42.555999999999997</v>
      </c>
      <c r="AB42" s="1">
        <v>35.138599999999997</v>
      </c>
      <c r="AC42" s="1">
        <v>27.880199999999999</v>
      </c>
      <c r="AD42" s="1">
        <v>5.6612</v>
      </c>
      <c r="AE42" s="1">
        <v>4.0103999999999997</v>
      </c>
      <c r="AF42" s="1">
        <v>14.308199999999999</v>
      </c>
      <c r="AG42" s="1">
        <v>28.140599999999999</v>
      </c>
      <c r="AH42" s="1"/>
      <c r="AI42" s="1">
        <f t="shared" si="12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81</v>
      </c>
      <c r="B43" s="1" t="s">
        <v>43</v>
      </c>
      <c r="C43" s="1">
        <v>41</v>
      </c>
      <c r="D43" s="1">
        <v>328</v>
      </c>
      <c r="E43" s="1">
        <v>123</v>
      </c>
      <c r="F43" s="1">
        <v>118</v>
      </c>
      <c r="G43" s="7">
        <v>0.4</v>
      </c>
      <c r="H43" s="1">
        <v>40</v>
      </c>
      <c r="I43" s="1" t="s">
        <v>39</v>
      </c>
      <c r="J43" s="1"/>
      <c r="K43" s="1">
        <v>170</v>
      </c>
      <c r="L43" s="1">
        <f t="shared" si="13"/>
        <v>-47</v>
      </c>
      <c r="M43" s="1"/>
      <c r="N43" s="1"/>
      <c r="O43" s="1">
        <v>20</v>
      </c>
      <c r="P43" s="1"/>
      <c r="Q43" s="1">
        <v>23.63</v>
      </c>
      <c r="R43" s="1"/>
      <c r="S43" s="1"/>
      <c r="T43" s="1">
        <f t="shared" si="14"/>
        <v>24.6</v>
      </c>
      <c r="U43" s="5">
        <f t="shared" si="11"/>
        <v>108.97000000000003</v>
      </c>
      <c r="V43" s="1">
        <f t="shared" si="15"/>
        <v>11</v>
      </c>
      <c r="W43" s="1">
        <f t="shared" si="16"/>
        <v>6.5703252032520316</v>
      </c>
      <c r="X43" s="1">
        <v>15</v>
      </c>
      <c r="Y43" s="1">
        <v>23.2</v>
      </c>
      <c r="Z43" s="1">
        <v>23.8</v>
      </c>
      <c r="AA43" s="1">
        <v>13</v>
      </c>
      <c r="AB43" s="1">
        <v>20</v>
      </c>
      <c r="AC43" s="1">
        <v>15</v>
      </c>
      <c r="AD43" s="1">
        <v>8.4</v>
      </c>
      <c r="AE43" s="1">
        <v>20.6</v>
      </c>
      <c r="AF43" s="1">
        <v>18.8</v>
      </c>
      <c r="AG43" s="1">
        <v>8</v>
      </c>
      <c r="AH43" s="1"/>
      <c r="AI43" s="1">
        <f t="shared" si="12"/>
        <v>43.588000000000015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82</v>
      </c>
      <c r="B44" s="1" t="s">
        <v>43</v>
      </c>
      <c r="C44" s="1">
        <v>156</v>
      </c>
      <c r="D44" s="1">
        <v>88</v>
      </c>
      <c r="E44" s="1">
        <v>155</v>
      </c>
      <c r="F44" s="1"/>
      <c r="G44" s="7">
        <v>0.4</v>
      </c>
      <c r="H44" s="1">
        <v>45</v>
      </c>
      <c r="I44" s="1" t="s">
        <v>39</v>
      </c>
      <c r="J44" s="1"/>
      <c r="K44" s="1">
        <v>208</v>
      </c>
      <c r="L44" s="1">
        <f t="shared" si="13"/>
        <v>-53</v>
      </c>
      <c r="M44" s="1"/>
      <c r="N44" s="1"/>
      <c r="O44" s="1">
        <v>9</v>
      </c>
      <c r="P44" s="1"/>
      <c r="Q44" s="1">
        <v>175.696</v>
      </c>
      <c r="R44" s="1"/>
      <c r="S44" s="1"/>
      <c r="T44" s="1">
        <f t="shared" si="14"/>
        <v>31</v>
      </c>
      <c r="U44" s="5">
        <f t="shared" si="11"/>
        <v>156.304</v>
      </c>
      <c r="V44" s="1">
        <f t="shared" si="15"/>
        <v>11</v>
      </c>
      <c r="W44" s="1">
        <f t="shared" si="16"/>
        <v>5.9579354838709673</v>
      </c>
      <c r="X44" s="1">
        <v>31.2</v>
      </c>
      <c r="Y44" s="1">
        <v>15</v>
      </c>
      <c r="Z44" s="1">
        <v>2.8</v>
      </c>
      <c r="AA44" s="1">
        <v>6.8</v>
      </c>
      <c r="AB44" s="1">
        <v>17.2</v>
      </c>
      <c r="AC44" s="1">
        <v>18.600000000000001</v>
      </c>
      <c r="AD44" s="1">
        <v>11.8</v>
      </c>
      <c r="AE44" s="1">
        <v>21.6</v>
      </c>
      <c r="AF44" s="1">
        <v>17.399999999999999</v>
      </c>
      <c r="AG44" s="1">
        <v>19</v>
      </c>
      <c r="AH44" s="1"/>
      <c r="AI44" s="1">
        <f t="shared" si="12"/>
        <v>62.521600000000007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83</v>
      </c>
      <c r="B45" s="1" t="s">
        <v>38</v>
      </c>
      <c r="C45" s="1">
        <v>-3.6999999999999998E-2</v>
      </c>
      <c r="D45" s="1">
        <v>636.48699999999997</v>
      </c>
      <c r="E45" s="1">
        <v>102.526</v>
      </c>
      <c r="F45" s="1">
        <v>440.92200000000003</v>
      </c>
      <c r="G45" s="7">
        <v>1</v>
      </c>
      <c r="H45" s="1">
        <v>40</v>
      </c>
      <c r="I45" s="1" t="s">
        <v>39</v>
      </c>
      <c r="J45" s="1"/>
      <c r="K45" s="1">
        <v>113.3</v>
      </c>
      <c r="L45" s="1">
        <f t="shared" si="13"/>
        <v>-10.774000000000001</v>
      </c>
      <c r="M45" s="1"/>
      <c r="N45" s="1"/>
      <c r="O45" s="1">
        <v>0</v>
      </c>
      <c r="P45" s="1"/>
      <c r="Q45" s="1">
        <v>0</v>
      </c>
      <c r="R45" s="1"/>
      <c r="S45" s="1"/>
      <c r="T45" s="1">
        <f t="shared" si="14"/>
        <v>20.505199999999999</v>
      </c>
      <c r="U45" s="5"/>
      <c r="V45" s="1">
        <f t="shared" si="15"/>
        <v>21.502935840664811</v>
      </c>
      <c r="W45" s="1">
        <f t="shared" si="16"/>
        <v>21.502935840664811</v>
      </c>
      <c r="X45" s="1">
        <v>2.6221999999999999</v>
      </c>
      <c r="Y45" s="1">
        <v>18.23</v>
      </c>
      <c r="Z45" s="1">
        <v>44.752000000000002</v>
      </c>
      <c r="AA45" s="1">
        <v>35.374600000000001</v>
      </c>
      <c r="AB45" s="1">
        <v>11.3222</v>
      </c>
      <c r="AC45" s="1">
        <v>2.0312000000000001</v>
      </c>
      <c r="AD45" s="1">
        <v>-0.43519999999999998</v>
      </c>
      <c r="AE45" s="1">
        <v>8.0980000000000008</v>
      </c>
      <c r="AF45" s="1">
        <v>18.626799999999999</v>
      </c>
      <c r="AG45" s="1">
        <v>12.271599999999999</v>
      </c>
      <c r="AH45" s="1"/>
      <c r="AI45" s="1">
        <f t="shared" si="12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84</v>
      </c>
      <c r="B46" s="1" t="s">
        <v>43</v>
      </c>
      <c r="C46" s="1">
        <v>-7</v>
      </c>
      <c r="D46" s="1">
        <v>593</v>
      </c>
      <c r="E46" s="1">
        <v>6</v>
      </c>
      <c r="F46" s="1">
        <v>516</v>
      </c>
      <c r="G46" s="7">
        <v>0.35</v>
      </c>
      <c r="H46" s="1">
        <v>40</v>
      </c>
      <c r="I46" s="9" t="s">
        <v>50</v>
      </c>
      <c r="J46" s="1"/>
      <c r="K46" s="1">
        <v>14</v>
      </c>
      <c r="L46" s="1">
        <f t="shared" si="13"/>
        <v>-8</v>
      </c>
      <c r="M46" s="1"/>
      <c r="N46" s="1"/>
      <c r="O46" s="1">
        <v>90.537999999999997</v>
      </c>
      <c r="P46" s="1">
        <v>49.462000000000003</v>
      </c>
      <c r="Q46" s="1">
        <v>0</v>
      </c>
      <c r="R46" s="1"/>
      <c r="S46" s="1"/>
      <c r="T46" s="1">
        <f t="shared" si="14"/>
        <v>1.2</v>
      </c>
      <c r="U46" s="5"/>
      <c r="V46" s="1">
        <f t="shared" si="15"/>
        <v>546.66666666666674</v>
      </c>
      <c r="W46" s="1">
        <f t="shared" si="16"/>
        <v>546.66666666666674</v>
      </c>
      <c r="X46" s="1">
        <v>1</v>
      </c>
      <c r="Y46" s="1">
        <v>13</v>
      </c>
      <c r="Z46" s="1">
        <v>40</v>
      </c>
      <c r="AA46" s="1">
        <v>62.8</v>
      </c>
      <c r="AB46" s="1">
        <v>48.4</v>
      </c>
      <c r="AC46" s="1">
        <v>13.8</v>
      </c>
      <c r="AD46" s="1">
        <v>2</v>
      </c>
      <c r="AE46" s="1">
        <v>2</v>
      </c>
      <c r="AF46" s="1">
        <v>32</v>
      </c>
      <c r="AG46" s="1">
        <v>47.4</v>
      </c>
      <c r="AH46" s="1"/>
      <c r="AI46" s="1">
        <f t="shared" si="12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85</v>
      </c>
      <c r="B47" s="1" t="s">
        <v>43</v>
      </c>
      <c r="C47" s="1"/>
      <c r="D47" s="1">
        <v>436</v>
      </c>
      <c r="E47" s="1">
        <v>19</v>
      </c>
      <c r="F47" s="1">
        <v>353</v>
      </c>
      <c r="G47" s="7">
        <v>0.4</v>
      </c>
      <c r="H47" s="1">
        <v>40</v>
      </c>
      <c r="I47" s="1" t="s">
        <v>39</v>
      </c>
      <c r="J47" s="1"/>
      <c r="K47" s="1">
        <v>50</v>
      </c>
      <c r="L47" s="1">
        <f t="shared" si="13"/>
        <v>-31</v>
      </c>
      <c r="M47" s="1"/>
      <c r="N47" s="1"/>
      <c r="O47" s="1">
        <v>337.26698399999998</v>
      </c>
      <c r="P47" s="1">
        <v>184.253016</v>
      </c>
      <c r="Q47" s="1">
        <v>0</v>
      </c>
      <c r="R47" s="1"/>
      <c r="S47" s="1"/>
      <c r="T47" s="1">
        <f t="shared" si="14"/>
        <v>3.8</v>
      </c>
      <c r="U47" s="5"/>
      <c r="V47" s="1">
        <f t="shared" si="15"/>
        <v>230.13684210526316</v>
      </c>
      <c r="W47" s="1">
        <f t="shared" si="16"/>
        <v>230.13684210526316</v>
      </c>
      <c r="X47" s="1">
        <v>35.799999999999997</v>
      </c>
      <c r="Y47" s="1">
        <v>92.6</v>
      </c>
      <c r="Z47" s="1">
        <v>67.2</v>
      </c>
      <c r="AA47" s="1">
        <v>16</v>
      </c>
      <c r="AB47" s="1">
        <v>13.8</v>
      </c>
      <c r="AC47" s="1">
        <v>7.6</v>
      </c>
      <c r="AD47" s="1">
        <v>21.8</v>
      </c>
      <c r="AE47" s="1">
        <v>56.4</v>
      </c>
      <c r="AF47" s="1">
        <v>58.2</v>
      </c>
      <c r="AG47" s="1">
        <v>23.2</v>
      </c>
      <c r="AH47" s="1"/>
      <c r="AI47" s="1">
        <f t="shared" si="12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86</v>
      </c>
      <c r="B48" s="1" t="s">
        <v>38</v>
      </c>
      <c r="C48" s="1">
        <v>-1.2470000000000001</v>
      </c>
      <c r="D48" s="1">
        <v>253.29599999999999</v>
      </c>
      <c r="E48" s="1">
        <v>61.783000000000001</v>
      </c>
      <c r="F48" s="1">
        <v>146.27199999999999</v>
      </c>
      <c r="G48" s="7">
        <v>1</v>
      </c>
      <c r="H48" s="1">
        <v>50</v>
      </c>
      <c r="I48" s="1" t="s">
        <v>39</v>
      </c>
      <c r="J48" s="1"/>
      <c r="K48" s="1">
        <v>54.55</v>
      </c>
      <c r="L48" s="1">
        <f t="shared" si="13"/>
        <v>7.2330000000000041</v>
      </c>
      <c r="M48" s="1"/>
      <c r="N48" s="1"/>
      <c r="O48" s="1">
        <v>0</v>
      </c>
      <c r="P48" s="1"/>
      <c r="Q48" s="1">
        <v>0</v>
      </c>
      <c r="R48" s="1"/>
      <c r="S48" s="1"/>
      <c r="T48" s="1">
        <f t="shared" si="14"/>
        <v>12.3566</v>
      </c>
      <c r="U48" s="5"/>
      <c r="V48" s="1">
        <f t="shared" si="15"/>
        <v>11.837560493987018</v>
      </c>
      <c r="W48" s="1">
        <f t="shared" si="16"/>
        <v>11.837560493987018</v>
      </c>
      <c r="X48" s="1">
        <v>4.4988000000000001</v>
      </c>
      <c r="Y48" s="1">
        <v>5.0128000000000004</v>
      </c>
      <c r="Z48" s="1">
        <v>13.6998</v>
      </c>
      <c r="AA48" s="1">
        <v>15.008599999999999</v>
      </c>
      <c r="AB48" s="1">
        <v>11.4558</v>
      </c>
      <c r="AC48" s="1">
        <v>8.1006</v>
      </c>
      <c r="AD48" s="1">
        <v>5.1276000000000002</v>
      </c>
      <c r="AE48" s="1">
        <v>4.0519999999999996</v>
      </c>
      <c r="AF48" s="1">
        <v>8.6585999999999999</v>
      </c>
      <c r="AG48" s="1">
        <v>12.7052</v>
      </c>
      <c r="AH48" s="1"/>
      <c r="AI48" s="1">
        <f t="shared" si="12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87</v>
      </c>
      <c r="B49" s="1" t="s">
        <v>38</v>
      </c>
      <c r="C49" s="1">
        <v>251.023</v>
      </c>
      <c r="D49" s="1">
        <v>140.41499999999999</v>
      </c>
      <c r="E49" s="1">
        <v>198.64500000000001</v>
      </c>
      <c r="F49" s="1">
        <v>137.922</v>
      </c>
      <c r="G49" s="7">
        <v>1</v>
      </c>
      <c r="H49" s="1">
        <v>50</v>
      </c>
      <c r="I49" s="1" t="s">
        <v>39</v>
      </c>
      <c r="J49" s="1"/>
      <c r="K49" s="1">
        <v>195.9</v>
      </c>
      <c r="L49" s="1">
        <f t="shared" si="13"/>
        <v>2.7450000000000045</v>
      </c>
      <c r="M49" s="1"/>
      <c r="N49" s="1"/>
      <c r="O49" s="1">
        <v>0</v>
      </c>
      <c r="P49" s="1"/>
      <c r="Q49" s="1">
        <v>0</v>
      </c>
      <c r="R49" s="1"/>
      <c r="S49" s="1"/>
      <c r="T49" s="1">
        <f t="shared" si="14"/>
        <v>39.728999999999999</v>
      </c>
      <c r="U49" s="5">
        <f t="shared" ref="U49:U50" si="17">9*T49-S49-R49-Q49-P49-O49-F49</f>
        <v>219.63899999999998</v>
      </c>
      <c r="V49" s="1">
        <f t="shared" si="15"/>
        <v>9</v>
      </c>
      <c r="W49" s="1">
        <f t="shared" si="16"/>
        <v>3.4715698859774977</v>
      </c>
      <c r="X49" s="1">
        <v>19.158999999999999</v>
      </c>
      <c r="Y49" s="1">
        <v>8.3406000000000002</v>
      </c>
      <c r="Z49" s="1">
        <v>18.558800000000002</v>
      </c>
      <c r="AA49" s="1">
        <v>26.272600000000001</v>
      </c>
      <c r="AB49" s="1">
        <v>32.82</v>
      </c>
      <c r="AC49" s="1">
        <v>28.619399999999999</v>
      </c>
      <c r="AD49" s="1">
        <v>16.1906</v>
      </c>
      <c r="AE49" s="1">
        <v>24.096800000000002</v>
      </c>
      <c r="AF49" s="1">
        <v>23.748799999999999</v>
      </c>
      <c r="AG49" s="1">
        <v>26.533999999999999</v>
      </c>
      <c r="AH49" s="1"/>
      <c r="AI49" s="1">
        <f t="shared" si="12"/>
        <v>219.63899999999998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88</v>
      </c>
      <c r="B50" s="1" t="s">
        <v>38</v>
      </c>
      <c r="C50" s="1">
        <v>89.796000000000006</v>
      </c>
      <c r="D50" s="1">
        <v>1.804</v>
      </c>
      <c r="E50" s="1">
        <v>86.745000000000005</v>
      </c>
      <c r="F50" s="1">
        <v>-7.4999999999999997E-2</v>
      </c>
      <c r="G50" s="7">
        <v>1</v>
      </c>
      <c r="H50" s="1">
        <v>45</v>
      </c>
      <c r="I50" s="1" t="s">
        <v>39</v>
      </c>
      <c r="J50" s="1"/>
      <c r="K50" s="1">
        <v>74.7</v>
      </c>
      <c r="L50" s="1">
        <f t="shared" si="13"/>
        <v>12.045000000000002</v>
      </c>
      <c r="M50" s="1"/>
      <c r="N50" s="1"/>
      <c r="O50" s="1">
        <v>0</v>
      </c>
      <c r="P50" s="1"/>
      <c r="Q50" s="1">
        <v>44.610600000000012</v>
      </c>
      <c r="R50" s="1"/>
      <c r="S50" s="1"/>
      <c r="T50" s="1">
        <f t="shared" si="14"/>
        <v>17.349</v>
      </c>
      <c r="U50" s="5">
        <f t="shared" si="17"/>
        <v>111.60539999999999</v>
      </c>
      <c r="V50" s="1">
        <f t="shared" si="15"/>
        <v>9</v>
      </c>
      <c r="W50" s="1">
        <f t="shared" si="16"/>
        <v>2.5670413280304345</v>
      </c>
      <c r="X50" s="1">
        <v>7.3858000000000006</v>
      </c>
      <c r="Y50" s="1">
        <v>0</v>
      </c>
      <c r="Z50" s="1">
        <v>0</v>
      </c>
      <c r="AA50" s="1">
        <v>0</v>
      </c>
      <c r="AB50" s="1">
        <v>1.2236</v>
      </c>
      <c r="AC50" s="1">
        <v>7.2441999999999993</v>
      </c>
      <c r="AD50" s="1">
        <v>6.0206</v>
      </c>
      <c r="AE50" s="1">
        <v>0</v>
      </c>
      <c r="AF50" s="1">
        <v>0</v>
      </c>
      <c r="AG50" s="1">
        <v>0</v>
      </c>
      <c r="AH50" s="1"/>
      <c r="AI50" s="1">
        <f t="shared" si="12"/>
        <v>111.60539999999999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89</v>
      </c>
      <c r="B51" s="1" t="s">
        <v>43</v>
      </c>
      <c r="C51" s="1"/>
      <c r="D51" s="1">
        <v>505</v>
      </c>
      <c r="E51" s="1">
        <v>226</v>
      </c>
      <c r="F51" s="1">
        <v>229</v>
      </c>
      <c r="G51" s="7">
        <v>0.45</v>
      </c>
      <c r="H51" s="1">
        <v>50</v>
      </c>
      <c r="I51" s="1" t="s">
        <v>39</v>
      </c>
      <c r="J51" s="1"/>
      <c r="K51" s="1">
        <v>286</v>
      </c>
      <c r="L51" s="1">
        <f t="shared" si="13"/>
        <v>-60</v>
      </c>
      <c r="M51" s="1"/>
      <c r="N51" s="1"/>
      <c r="O51" s="1">
        <v>97.004999999999995</v>
      </c>
      <c r="P51" s="1">
        <v>52.994999999999997</v>
      </c>
      <c r="Q51" s="1">
        <v>0</v>
      </c>
      <c r="R51" s="1"/>
      <c r="S51" s="1"/>
      <c r="T51" s="1">
        <f t="shared" si="14"/>
        <v>45.2</v>
      </c>
      <c r="U51" s="5">
        <f t="shared" si="11"/>
        <v>118.20000000000005</v>
      </c>
      <c r="V51" s="1">
        <f t="shared" si="15"/>
        <v>11</v>
      </c>
      <c r="W51" s="1">
        <f t="shared" si="16"/>
        <v>8.3849557522123881</v>
      </c>
      <c r="X51" s="1">
        <v>9.1999999999999993</v>
      </c>
      <c r="Y51" s="1">
        <v>31.6</v>
      </c>
      <c r="Z51" s="1">
        <v>40</v>
      </c>
      <c r="AA51" s="1">
        <v>31.4</v>
      </c>
      <c r="AB51" s="1">
        <v>33</v>
      </c>
      <c r="AC51" s="1">
        <v>16.2</v>
      </c>
      <c r="AD51" s="1">
        <v>12.4</v>
      </c>
      <c r="AE51" s="1">
        <v>16.399999999999999</v>
      </c>
      <c r="AF51" s="1">
        <v>16.8</v>
      </c>
      <c r="AG51" s="1">
        <v>30.2</v>
      </c>
      <c r="AH51" s="1"/>
      <c r="AI51" s="1">
        <f t="shared" si="12"/>
        <v>53.190000000000019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90</v>
      </c>
      <c r="B52" s="1" t="s">
        <v>43</v>
      </c>
      <c r="C52" s="1"/>
      <c r="D52" s="1">
        <v>550</v>
      </c>
      <c r="E52" s="1">
        <v>357</v>
      </c>
      <c r="F52" s="1">
        <v>154</v>
      </c>
      <c r="G52" s="7">
        <v>0.45</v>
      </c>
      <c r="H52" s="1">
        <v>50</v>
      </c>
      <c r="I52" s="1" t="s">
        <v>39</v>
      </c>
      <c r="J52" s="1"/>
      <c r="K52" s="1">
        <v>371</v>
      </c>
      <c r="L52" s="1">
        <f t="shared" si="13"/>
        <v>-14</v>
      </c>
      <c r="M52" s="1"/>
      <c r="N52" s="1"/>
      <c r="O52" s="1">
        <v>100</v>
      </c>
      <c r="P52" s="1"/>
      <c r="Q52" s="1">
        <v>0</v>
      </c>
      <c r="R52" s="1"/>
      <c r="S52" s="1"/>
      <c r="T52" s="1">
        <f t="shared" si="14"/>
        <v>71.400000000000006</v>
      </c>
      <c r="U52" s="5">
        <f>10*T52-S52-R52-Q52-P52-O52-F52</f>
        <v>460</v>
      </c>
      <c r="V52" s="1">
        <f t="shared" si="15"/>
        <v>10</v>
      </c>
      <c r="W52" s="1">
        <f t="shared" si="16"/>
        <v>3.5574229691876749</v>
      </c>
      <c r="X52" s="1">
        <v>8.4</v>
      </c>
      <c r="Y52" s="1">
        <v>36.4</v>
      </c>
      <c r="Z52" s="1">
        <v>44.6</v>
      </c>
      <c r="AA52" s="1">
        <v>40.200000000000003</v>
      </c>
      <c r="AB52" s="1">
        <v>48.6</v>
      </c>
      <c r="AC52" s="1">
        <v>21.8</v>
      </c>
      <c r="AD52" s="1">
        <v>18.600000000000001</v>
      </c>
      <c r="AE52" s="1">
        <v>27.6</v>
      </c>
      <c r="AF52" s="1">
        <v>28</v>
      </c>
      <c r="AG52" s="1">
        <v>43.8</v>
      </c>
      <c r="AH52" s="1"/>
      <c r="AI52" s="1">
        <f t="shared" si="12"/>
        <v>207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91</v>
      </c>
      <c r="B53" s="1" t="s">
        <v>43</v>
      </c>
      <c r="C53" s="1">
        <v>1</v>
      </c>
      <c r="D53" s="1">
        <v>181</v>
      </c>
      <c r="E53" s="1">
        <v>-3</v>
      </c>
      <c r="F53" s="1">
        <v>174</v>
      </c>
      <c r="G53" s="7">
        <v>0.4</v>
      </c>
      <c r="H53" s="1">
        <v>40</v>
      </c>
      <c r="I53" s="1" t="s">
        <v>39</v>
      </c>
      <c r="J53" s="1"/>
      <c r="K53" s="1">
        <v>9</v>
      </c>
      <c r="L53" s="1">
        <f t="shared" si="13"/>
        <v>-12</v>
      </c>
      <c r="M53" s="1"/>
      <c r="N53" s="1"/>
      <c r="O53" s="1">
        <v>75.680000000000007</v>
      </c>
      <c r="P53" s="1"/>
      <c r="Q53" s="1">
        <v>0</v>
      </c>
      <c r="R53" s="1"/>
      <c r="S53" s="1"/>
      <c r="T53" s="1">
        <f t="shared" si="14"/>
        <v>-0.6</v>
      </c>
      <c r="U53" s="5"/>
      <c r="V53" s="1">
        <f t="shared" si="15"/>
        <v>-416.13333333333338</v>
      </c>
      <c r="W53" s="1">
        <f t="shared" si="16"/>
        <v>-416.13333333333338</v>
      </c>
      <c r="X53" s="1">
        <v>-1</v>
      </c>
      <c r="Y53" s="1">
        <v>23</v>
      </c>
      <c r="Z53" s="1">
        <v>24.8</v>
      </c>
      <c r="AA53" s="1">
        <v>1.6</v>
      </c>
      <c r="AB53" s="1">
        <v>0.8</v>
      </c>
      <c r="AC53" s="1">
        <v>2.6</v>
      </c>
      <c r="AD53" s="1">
        <v>2.6</v>
      </c>
      <c r="AE53" s="1">
        <v>13.6</v>
      </c>
      <c r="AF53" s="1">
        <v>18</v>
      </c>
      <c r="AG53" s="1">
        <v>5.2</v>
      </c>
      <c r="AH53" s="1"/>
      <c r="AI53" s="1">
        <f t="shared" si="12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92</v>
      </c>
      <c r="B54" s="1" t="s">
        <v>43</v>
      </c>
      <c r="C54" s="1">
        <v>5</v>
      </c>
      <c r="D54" s="1">
        <v>400</v>
      </c>
      <c r="E54" s="1">
        <v>17</v>
      </c>
      <c r="F54" s="1">
        <v>203</v>
      </c>
      <c r="G54" s="7">
        <v>0.4</v>
      </c>
      <c r="H54" s="1">
        <v>40</v>
      </c>
      <c r="I54" s="1" t="s">
        <v>39</v>
      </c>
      <c r="J54" s="1"/>
      <c r="K54" s="1">
        <v>54</v>
      </c>
      <c r="L54" s="1">
        <f t="shared" si="13"/>
        <v>-37</v>
      </c>
      <c r="M54" s="1"/>
      <c r="N54" s="1"/>
      <c r="O54" s="1">
        <v>88.138742999999948</v>
      </c>
      <c r="P54" s="1">
        <v>48.15125699999998</v>
      </c>
      <c r="Q54" s="1">
        <v>0</v>
      </c>
      <c r="R54" s="1"/>
      <c r="S54" s="1"/>
      <c r="T54" s="1">
        <f t="shared" si="14"/>
        <v>3.4</v>
      </c>
      <c r="U54" s="5"/>
      <c r="V54" s="1">
        <f t="shared" si="15"/>
        <v>99.791176470588226</v>
      </c>
      <c r="W54" s="1">
        <f t="shared" si="16"/>
        <v>99.791176470588226</v>
      </c>
      <c r="X54" s="1">
        <v>6.4</v>
      </c>
      <c r="Y54" s="1">
        <v>32.799999999999997</v>
      </c>
      <c r="Z54" s="1">
        <v>31.4</v>
      </c>
      <c r="AA54" s="1">
        <v>12.8</v>
      </c>
      <c r="AB54" s="1">
        <v>16.600000000000001</v>
      </c>
      <c r="AC54" s="1">
        <v>10.199999999999999</v>
      </c>
      <c r="AD54" s="1">
        <v>5.8</v>
      </c>
      <c r="AE54" s="1">
        <v>21.8</v>
      </c>
      <c r="AF54" s="1">
        <v>21.6</v>
      </c>
      <c r="AG54" s="1">
        <v>10.199999999999999</v>
      </c>
      <c r="AH54" s="1"/>
      <c r="AI54" s="1">
        <f t="shared" si="12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93</v>
      </c>
      <c r="B55" s="1" t="s">
        <v>38</v>
      </c>
      <c r="C55" s="1">
        <v>82.914000000000001</v>
      </c>
      <c r="D55" s="1">
        <v>208.28800000000001</v>
      </c>
      <c r="E55" s="1">
        <v>62.917999999999999</v>
      </c>
      <c r="F55" s="1">
        <v>196.345</v>
      </c>
      <c r="G55" s="7">
        <v>1</v>
      </c>
      <c r="H55" s="1">
        <v>50</v>
      </c>
      <c r="I55" s="1" t="s">
        <v>39</v>
      </c>
      <c r="J55" s="1"/>
      <c r="K55" s="1">
        <v>59.95</v>
      </c>
      <c r="L55" s="1">
        <f t="shared" si="13"/>
        <v>2.9679999999999964</v>
      </c>
      <c r="M55" s="1"/>
      <c r="N55" s="1"/>
      <c r="O55" s="1">
        <v>0</v>
      </c>
      <c r="P55" s="1"/>
      <c r="Q55" s="1">
        <v>0</v>
      </c>
      <c r="R55" s="1"/>
      <c r="S55" s="1"/>
      <c r="T55" s="1">
        <f t="shared" si="14"/>
        <v>12.583600000000001</v>
      </c>
      <c r="U55" s="5"/>
      <c r="V55" s="1">
        <f t="shared" si="15"/>
        <v>15.603245494135223</v>
      </c>
      <c r="W55" s="1">
        <f t="shared" si="16"/>
        <v>15.603245494135223</v>
      </c>
      <c r="X55" s="1">
        <v>14.076599999999999</v>
      </c>
      <c r="Y55" s="1">
        <v>9.4445999999999994</v>
      </c>
      <c r="Z55" s="1">
        <v>5.6942000000000004</v>
      </c>
      <c r="AA55" s="1">
        <v>13.5944</v>
      </c>
      <c r="AB55" s="1">
        <v>20.284400000000002</v>
      </c>
      <c r="AC55" s="1">
        <v>13.1692</v>
      </c>
      <c r="AD55" s="1">
        <v>12.071400000000001</v>
      </c>
      <c r="AE55" s="1">
        <v>14.194000000000001</v>
      </c>
      <c r="AF55" s="1">
        <v>12.063599999999999</v>
      </c>
      <c r="AG55" s="1">
        <v>14.1008</v>
      </c>
      <c r="AH55" s="1"/>
      <c r="AI55" s="1">
        <f t="shared" si="12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94</v>
      </c>
      <c r="B56" s="1" t="s">
        <v>43</v>
      </c>
      <c r="C56" s="1">
        <v>-9</v>
      </c>
      <c r="D56" s="1">
        <v>1509</v>
      </c>
      <c r="E56" s="14">
        <f>12+E128</f>
        <v>23</v>
      </c>
      <c r="F56" s="14">
        <f>1239+F128</f>
        <v>1412</v>
      </c>
      <c r="G56" s="7">
        <v>0.1</v>
      </c>
      <c r="H56" s="1">
        <v>731</v>
      </c>
      <c r="I56" s="1" t="s">
        <v>39</v>
      </c>
      <c r="J56" s="1"/>
      <c r="K56" s="1">
        <v>24</v>
      </c>
      <c r="L56" s="1">
        <f t="shared" si="13"/>
        <v>-1</v>
      </c>
      <c r="M56" s="1"/>
      <c r="N56" s="1"/>
      <c r="O56" s="1">
        <v>646.70000000000005</v>
      </c>
      <c r="P56" s="1">
        <v>353.3</v>
      </c>
      <c r="Q56" s="1">
        <v>0</v>
      </c>
      <c r="R56" s="1"/>
      <c r="S56" s="1"/>
      <c r="T56" s="1">
        <f t="shared" si="14"/>
        <v>4.5999999999999996</v>
      </c>
      <c r="U56" s="5"/>
      <c r="V56" s="1">
        <f t="shared" si="15"/>
        <v>524.34782608695662</v>
      </c>
      <c r="W56" s="1">
        <f t="shared" si="16"/>
        <v>524.34782608695662</v>
      </c>
      <c r="X56" s="1">
        <v>32.6</v>
      </c>
      <c r="Y56" s="1">
        <v>124</v>
      </c>
      <c r="Z56" s="1">
        <v>140.6</v>
      </c>
      <c r="AA56" s="1">
        <v>71</v>
      </c>
      <c r="AB56" s="1">
        <v>53.4</v>
      </c>
      <c r="AC56" s="1">
        <v>52.8</v>
      </c>
      <c r="AD56" s="1">
        <v>55.6</v>
      </c>
      <c r="AE56" s="1">
        <v>75.400000000000006</v>
      </c>
      <c r="AF56" s="1">
        <v>102</v>
      </c>
      <c r="AG56" s="1">
        <v>110.4</v>
      </c>
      <c r="AH56" s="1"/>
      <c r="AI56" s="1">
        <f t="shared" si="12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95</v>
      </c>
      <c r="B57" s="1" t="s">
        <v>38</v>
      </c>
      <c r="C57" s="1">
        <v>174.875</v>
      </c>
      <c r="D57" s="1">
        <v>155.04900000000001</v>
      </c>
      <c r="E57" s="1">
        <v>133.77000000000001</v>
      </c>
      <c r="F57" s="1">
        <v>163.12</v>
      </c>
      <c r="G57" s="7">
        <v>1</v>
      </c>
      <c r="H57" s="1">
        <v>50</v>
      </c>
      <c r="I57" s="1" t="s">
        <v>39</v>
      </c>
      <c r="J57" s="1"/>
      <c r="K57" s="1">
        <v>132.05000000000001</v>
      </c>
      <c r="L57" s="1">
        <f t="shared" si="13"/>
        <v>1.7199999999999989</v>
      </c>
      <c r="M57" s="1"/>
      <c r="N57" s="1"/>
      <c r="O57" s="1">
        <v>0</v>
      </c>
      <c r="P57" s="1"/>
      <c r="Q57" s="1">
        <v>5.8543999999999983</v>
      </c>
      <c r="R57" s="1"/>
      <c r="S57" s="1"/>
      <c r="T57" s="1">
        <f t="shared" si="14"/>
        <v>26.754000000000001</v>
      </c>
      <c r="U57" s="5">
        <f t="shared" si="11"/>
        <v>125.31960000000004</v>
      </c>
      <c r="V57" s="1">
        <f t="shared" si="15"/>
        <v>11.000000000000002</v>
      </c>
      <c r="W57" s="1">
        <f t="shared" si="16"/>
        <v>6.31585557299843</v>
      </c>
      <c r="X57" s="1">
        <v>18.8142</v>
      </c>
      <c r="Y57" s="1">
        <v>15.722799999999999</v>
      </c>
      <c r="Z57" s="1">
        <v>17.816400000000002</v>
      </c>
      <c r="AA57" s="1">
        <v>17.171199999999999</v>
      </c>
      <c r="AB57" s="1">
        <v>25.500599999999999</v>
      </c>
      <c r="AC57" s="1">
        <v>22.254799999999999</v>
      </c>
      <c r="AD57" s="1">
        <v>15.750999999999999</v>
      </c>
      <c r="AE57" s="1">
        <v>20.5718</v>
      </c>
      <c r="AF57" s="1">
        <v>20.8672</v>
      </c>
      <c r="AG57" s="1">
        <v>22.484000000000002</v>
      </c>
      <c r="AH57" s="1"/>
      <c r="AI57" s="1">
        <f t="shared" si="12"/>
        <v>125.31960000000004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96</v>
      </c>
      <c r="B58" s="1" t="s">
        <v>38</v>
      </c>
      <c r="C58" s="1">
        <v>57.002000000000002</v>
      </c>
      <c r="D58" s="1">
        <v>16.010000000000002</v>
      </c>
      <c r="E58" s="1">
        <v>39.082000000000001</v>
      </c>
      <c r="F58" s="1">
        <v>25.654</v>
      </c>
      <c r="G58" s="7">
        <v>1</v>
      </c>
      <c r="H58" s="1">
        <v>55</v>
      </c>
      <c r="I58" s="1" t="s">
        <v>39</v>
      </c>
      <c r="J58" s="1"/>
      <c r="K58" s="1">
        <v>34.799999999999997</v>
      </c>
      <c r="L58" s="1">
        <f t="shared" si="13"/>
        <v>4.2820000000000036</v>
      </c>
      <c r="M58" s="1"/>
      <c r="N58" s="1"/>
      <c r="O58" s="1">
        <v>0</v>
      </c>
      <c r="P58" s="1"/>
      <c r="Q58" s="1">
        <v>55.933599999999991</v>
      </c>
      <c r="R58" s="1"/>
      <c r="S58" s="1"/>
      <c r="T58" s="1">
        <f t="shared" si="14"/>
        <v>7.8163999999999998</v>
      </c>
      <c r="U58" s="5">
        <f t="shared" si="11"/>
        <v>4.3928000000000118</v>
      </c>
      <c r="V58" s="1">
        <f t="shared" si="15"/>
        <v>11</v>
      </c>
      <c r="W58" s="1">
        <f t="shared" si="16"/>
        <v>10.438002149327055</v>
      </c>
      <c r="X58" s="1">
        <v>7.5448000000000004</v>
      </c>
      <c r="Y58" s="1">
        <v>5.4295999999999998</v>
      </c>
      <c r="Z58" s="1">
        <v>5.7375999999999996</v>
      </c>
      <c r="AA58" s="1">
        <v>5.17</v>
      </c>
      <c r="AB58" s="1">
        <v>7.0688000000000004</v>
      </c>
      <c r="AC58" s="1">
        <v>6.5191999999999997</v>
      </c>
      <c r="AD58" s="1">
        <v>1.8912</v>
      </c>
      <c r="AE58" s="1">
        <v>1.9228000000000001</v>
      </c>
      <c r="AF58" s="1">
        <v>7.3528000000000002</v>
      </c>
      <c r="AG58" s="1">
        <v>10.632199999999999</v>
      </c>
      <c r="AH58" s="1"/>
      <c r="AI58" s="1">
        <f t="shared" si="12"/>
        <v>4.3928000000000118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97</v>
      </c>
      <c r="B59" s="1" t="s">
        <v>43</v>
      </c>
      <c r="C59" s="1">
        <v>20</v>
      </c>
      <c r="D59" s="1">
        <v>1570</v>
      </c>
      <c r="E59" s="1">
        <v>349</v>
      </c>
      <c r="F59" s="1">
        <v>1092</v>
      </c>
      <c r="G59" s="7">
        <v>0.1</v>
      </c>
      <c r="H59" s="1">
        <v>731</v>
      </c>
      <c r="I59" s="1" t="s">
        <v>39</v>
      </c>
      <c r="J59" s="1"/>
      <c r="K59" s="1">
        <v>343</v>
      </c>
      <c r="L59" s="1">
        <f t="shared" si="13"/>
        <v>6</v>
      </c>
      <c r="M59" s="1"/>
      <c r="N59" s="1"/>
      <c r="O59" s="1">
        <v>388.02</v>
      </c>
      <c r="P59" s="1">
        <v>211.98</v>
      </c>
      <c r="Q59" s="1">
        <v>0</v>
      </c>
      <c r="R59" s="1"/>
      <c r="S59" s="1"/>
      <c r="T59" s="1">
        <f t="shared" si="14"/>
        <v>69.8</v>
      </c>
      <c r="U59" s="5"/>
      <c r="V59" s="1">
        <f t="shared" si="15"/>
        <v>24.240687679083095</v>
      </c>
      <c r="W59" s="1">
        <f t="shared" si="16"/>
        <v>24.240687679083095</v>
      </c>
      <c r="X59" s="1">
        <v>18</v>
      </c>
      <c r="Y59" s="1">
        <v>59.4</v>
      </c>
      <c r="Z59" s="1">
        <v>97</v>
      </c>
      <c r="AA59" s="1">
        <v>77.400000000000006</v>
      </c>
      <c r="AB59" s="1">
        <v>61.4</v>
      </c>
      <c r="AC59" s="1">
        <v>38.799999999999997</v>
      </c>
      <c r="AD59" s="1">
        <v>44.6</v>
      </c>
      <c r="AE59" s="1">
        <v>58</v>
      </c>
      <c r="AF59" s="1">
        <v>67.400000000000006</v>
      </c>
      <c r="AG59" s="1">
        <v>77.8</v>
      </c>
      <c r="AH59" s="1"/>
      <c r="AI59" s="1">
        <f t="shared" si="12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98</v>
      </c>
      <c r="B60" s="1" t="s">
        <v>43</v>
      </c>
      <c r="C60" s="1">
        <v>9</v>
      </c>
      <c r="D60" s="1">
        <v>43</v>
      </c>
      <c r="E60" s="1">
        <v>44</v>
      </c>
      <c r="F60" s="1">
        <v>1</v>
      </c>
      <c r="G60" s="7">
        <v>0.4</v>
      </c>
      <c r="H60" s="1">
        <v>50</v>
      </c>
      <c r="I60" s="1" t="s">
        <v>39</v>
      </c>
      <c r="J60" s="1"/>
      <c r="K60" s="1">
        <v>52</v>
      </c>
      <c r="L60" s="1">
        <f t="shared" si="13"/>
        <v>-8</v>
      </c>
      <c r="M60" s="1"/>
      <c r="N60" s="1"/>
      <c r="O60" s="1">
        <v>0</v>
      </c>
      <c r="P60" s="1"/>
      <c r="Q60" s="1">
        <v>53</v>
      </c>
      <c r="R60" s="1"/>
      <c r="S60" s="1"/>
      <c r="T60" s="1">
        <f t="shared" si="14"/>
        <v>8.8000000000000007</v>
      </c>
      <c r="U60" s="5">
        <f t="shared" si="11"/>
        <v>42.800000000000011</v>
      </c>
      <c r="V60" s="1">
        <f t="shared" si="15"/>
        <v>11</v>
      </c>
      <c r="W60" s="1">
        <f t="shared" si="16"/>
        <v>6.1363636363636358</v>
      </c>
      <c r="X60" s="1">
        <v>8</v>
      </c>
      <c r="Y60" s="1">
        <v>4.2</v>
      </c>
      <c r="Z60" s="1">
        <v>4</v>
      </c>
      <c r="AA60" s="1">
        <v>4.4000000000000004</v>
      </c>
      <c r="AB60" s="1">
        <v>5.6</v>
      </c>
      <c r="AC60" s="1">
        <v>4</v>
      </c>
      <c r="AD60" s="1">
        <v>3.4</v>
      </c>
      <c r="AE60" s="1">
        <v>3.6</v>
      </c>
      <c r="AF60" s="1">
        <v>2.4</v>
      </c>
      <c r="AG60" s="1">
        <v>2.6</v>
      </c>
      <c r="AH60" s="1"/>
      <c r="AI60" s="1">
        <f t="shared" si="12"/>
        <v>17.120000000000005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99</v>
      </c>
      <c r="B61" s="1" t="s">
        <v>38</v>
      </c>
      <c r="C61" s="1">
        <v>81.497</v>
      </c>
      <c r="D61" s="1">
        <v>53.988</v>
      </c>
      <c r="E61" s="1">
        <v>86.378</v>
      </c>
      <c r="F61" s="1">
        <v>17.579000000000001</v>
      </c>
      <c r="G61" s="7">
        <v>1</v>
      </c>
      <c r="H61" s="1">
        <v>40</v>
      </c>
      <c r="I61" s="1" t="s">
        <v>39</v>
      </c>
      <c r="J61" s="1"/>
      <c r="K61" s="1">
        <v>117.3</v>
      </c>
      <c r="L61" s="1">
        <f t="shared" si="13"/>
        <v>-30.921999999999997</v>
      </c>
      <c r="M61" s="1"/>
      <c r="N61" s="1"/>
      <c r="O61" s="1">
        <v>93.497687219999989</v>
      </c>
      <c r="P61" s="1">
        <v>51.078912780000003</v>
      </c>
      <c r="Q61" s="1">
        <v>133.12610400000011</v>
      </c>
      <c r="R61" s="1"/>
      <c r="S61" s="1"/>
      <c r="T61" s="1">
        <f t="shared" si="14"/>
        <v>17.275600000000001</v>
      </c>
      <c r="U61" s="5"/>
      <c r="V61" s="1">
        <f t="shared" si="15"/>
        <v>17.092413809071761</v>
      </c>
      <c r="W61" s="1">
        <f t="shared" si="16"/>
        <v>17.092413809071761</v>
      </c>
      <c r="X61" s="1">
        <v>27.678799999999999</v>
      </c>
      <c r="Y61" s="1">
        <v>25.0624</v>
      </c>
      <c r="Z61" s="1">
        <v>15.049200000000001</v>
      </c>
      <c r="AA61" s="1">
        <v>12.201599999999999</v>
      </c>
      <c r="AB61" s="1">
        <v>18.538799999999998</v>
      </c>
      <c r="AC61" s="1">
        <v>17.831600000000002</v>
      </c>
      <c r="AD61" s="1">
        <v>21.148399999999999</v>
      </c>
      <c r="AE61" s="1">
        <v>25.391999999999999</v>
      </c>
      <c r="AF61" s="1">
        <v>18.513999999999999</v>
      </c>
      <c r="AG61" s="1">
        <v>18.356999999999999</v>
      </c>
      <c r="AH61" s="1"/>
      <c r="AI61" s="1">
        <f t="shared" si="12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100</v>
      </c>
      <c r="B62" s="1" t="s">
        <v>38</v>
      </c>
      <c r="C62" s="1">
        <v>123.083</v>
      </c>
      <c r="D62" s="1">
        <v>132.59899999999999</v>
      </c>
      <c r="E62" s="1">
        <v>146.91200000000001</v>
      </c>
      <c r="F62" s="1">
        <v>41.991999999999997</v>
      </c>
      <c r="G62" s="7">
        <v>1</v>
      </c>
      <c r="H62" s="1">
        <v>40</v>
      </c>
      <c r="I62" s="1" t="s">
        <v>39</v>
      </c>
      <c r="J62" s="1"/>
      <c r="K62" s="1">
        <v>240.15</v>
      </c>
      <c r="L62" s="1">
        <f t="shared" si="13"/>
        <v>-93.238</v>
      </c>
      <c r="M62" s="1"/>
      <c r="N62" s="1"/>
      <c r="O62" s="1">
        <v>126.98779689200001</v>
      </c>
      <c r="P62" s="1">
        <v>69.374963108000017</v>
      </c>
      <c r="Q62" s="1">
        <v>138.71060000000011</v>
      </c>
      <c r="R62" s="1"/>
      <c r="S62" s="1"/>
      <c r="T62" s="1">
        <f t="shared" si="14"/>
        <v>29.382400000000001</v>
      </c>
      <c r="U62" s="5"/>
      <c r="V62" s="1">
        <f t="shared" si="15"/>
        <v>12.833034741886303</v>
      </c>
      <c r="W62" s="1">
        <f t="shared" si="16"/>
        <v>12.833034741886303</v>
      </c>
      <c r="X62" s="1">
        <v>38.575000000000003</v>
      </c>
      <c r="Y62" s="1">
        <v>35.729399999999998</v>
      </c>
      <c r="Z62" s="1">
        <v>26.42</v>
      </c>
      <c r="AA62" s="1">
        <v>21.918600000000001</v>
      </c>
      <c r="AB62" s="1">
        <v>25.319600000000001</v>
      </c>
      <c r="AC62" s="1">
        <v>25.4392</v>
      </c>
      <c r="AD62" s="1">
        <v>25.886600000000001</v>
      </c>
      <c r="AE62" s="1">
        <v>33.364400000000003</v>
      </c>
      <c r="AF62" s="1">
        <v>30.392399999999999</v>
      </c>
      <c r="AG62" s="1">
        <v>17.517199999999999</v>
      </c>
      <c r="AH62" s="1"/>
      <c r="AI62" s="1">
        <f t="shared" si="12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101</v>
      </c>
      <c r="B63" s="1" t="s">
        <v>43</v>
      </c>
      <c r="C63" s="1">
        <v>778</v>
      </c>
      <c r="D63" s="1">
        <v>445</v>
      </c>
      <c r="E63" s="1">
        <v>678</v>
      </c>
      <c r="F63" s="1">
        <v>50</v>
      </c>
      <c r="G63" s="7">
        <v>0.4</v>
      </c>
      <c r="H63" s="1">
        <v>40</v>
      </c>
      <c r="I63" s="1" t="s">
        <v>39</v>
      </c>
      <c r="J63" s="1"/>
      <c r="K63" s="1">
        <v>759</v>
      </c>
      <c r="L63" s="1">
        <f t="shared" si="13"/>
        <v>-81</v>
      </c>
      <c r="M63" s="1"/>
      <c r="N63" s="1"/>
      <c r="O63" s="1">
        <v>323.35000000000002</v>
      </c>
      <c r="P63" s="1">
        <v>176.65</v>
      </c>
      <c r="Q63" s="1">
        <v>197.39200000000019</v>
      </c>
      <c r="R63" s="1"/>
      <c r="S63" s="1"/>
      <c r="T63" s="1">
        <f t="shared" si="14"/>
        <v>135.6</v>
      </c>
      <c r="U63" s="5">
        <f t="shared" si="11"/>
        <v>744.20799999999952</v>
      </c>
      <c r="V63" s="1">
        <f t="shared" si="15"/>
        <v>10.999999999999998</v>
      </c>
      <c r="W63" s="1">
        <f t="shared" si="16"/>
        <v>5.5117404129793526</v>
      </c>
      <c r="X63" s="1">
        <v>87.4</v>
      </c>
      <c r="Y63" s="1">
        <v>33.200000000000003</v>
      </c>
      <c r="Z63" s="1">
        <v>31</v>
      </c>
      <c r="AA63" s="1">
        <v>15.8</v>
      </c>
      <c r="AB63" s="1">
        <v>65.599999999999994</v>
      </c>
      <c r="AC63" s="1">
        <v>92.6</v>
      </c>
      <c r="AD63" s="1">
        <v>30.4</v>
      </c>
      <c r="AE63" s="1">
        <v>50.8</v>
      </c>
      <c r="AF63" s="1">
        <v>50.2</v>
      </c>
      <c r="AG63" s="1">
        <v>31.2</v>
      </c>
      <c r="AH63" s="1"/>
      <c r="AI63" s="1">
        <f t="shared" si="12"/>
        <v>297.68319999999983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102</v>
      </c>
      <c r="B64" s="1" t="s">
        <v>43</v>
      </c>
      <c r="C64" s="1">
        <v>135</v>
      </c>
      <c r="D64" s="1">
        <v>1085</v>
      </c>
      <c r="E64" s="1">
        <v>535</v>
      </c>
      <c r="F64" s="1">
        <v>533</v>
      </c>
      <c r="G64" s="7">
        <v>0.4</v>
      </c>
      <c r="H64" s="1">
        <v>40</v>
      </c>
      <c r="I64" s="1" t="s">
        <v>39</v>
      </c>
      <c r="J64" s="1"/>
      <c r="K64" s="1">
        <v>624</v>
      </c>
      <c r="L64" s="1">
        <f t="shared" si="13"/>
        <v>-89</v>
      </c>
      <c r="M64" s="1"/>
      <c r="N64" s="1"/>
      <c r="O64" s="1">
        <v>0</v>
      </c>
      <c r="P64" s="1"/>
      <c r="Q64" s="1">
        <v>44.781999999999933</v>
      </c>
      <c r="R64" s="1"/>
      <c r="S64" s="1"/>
      <c r="T64" s="1">
        <f t="shared" si="14"/>
        <v>107</v>
      </c>
      <c r="U64" s="5">
        <f t="shared" si="11"/>
        <v>599.21800000000007</v>
      </c>
      <c r="V64" s="1">
        <f t="shared" si="15"/>
        <v>11</v>
      </c>
      <c r="W64" s="1">
        <f t="shared" si="16"/>
        <v>5.3998317757009335</v>
      </c>
      <c r="X64" s="1">
        <v>63</v>
      </c>
      <c r="Y64" s="1">
        <v>71.599999999999994</v>
      </c>
      <c r="Z64" s="1">
        <v>105.6</v>
      </c>
      <c r="AA64" s="1">
        <v>90</v>
      </c>
      <c r="AB64" s="1">
        <v>86.6</v>
      </c>
      <c r="AC64" s="1">
        <v>60.4</v>
      </c>
      <c r="AD64" s="1">
        <v>48.4</v>
      </c>
      <c r="AE64" s="1">
        <v>73.400000000000006</v>
      </c>
      <c r="AF64" s="1">
        <v>82.2</v>
      </c>
      <c r="AG64" s="1">
        <v>73.2</v>
      </c>
      <c r="AH64" s="1"/>
      <c r="AI64" s="1">
        <f t="shared" si="12"/>
        <v>239.68720000000005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103</v>
      </c>
      <c r="B65" s="1" t="s">
        <v>38</v>
      </c>
      <c r="C65" s="1">
        <v>234.755</v>
      </c>
      <c r="D65" s="1">
        <v>79.069999999999993</v>
      </c>
      <c r="E65" s="1">
        <v>234.083</v>
      </c>
      <c r="F65" s="1">
        <v>0.97799999999999998</v>
      </c>
      <c r="G65" s="7">
        <v>1</v>
      </c>
      <c r="H65" s="1">
        <v>40</v>
      </c>
      <c r="I65" s="1" t="s">
        <v>39</v>
      </c>
      <c r="J65" s="1"/>
      <c r="K65" s="1">
        <v>206.5</v>
      </c>
      <c r="L65" s="1">
        <f t="shared" si="13"/>
        <v>27.582999999999998</v>
      </c>
      <c r="M65" s="1"/>
      <c r="N65" s="1"/>
      <c r="O65" s="1">
        <v>29.794800000000009</v>
      </c>
      <c r="P65" s="1"/>
      <c r="Q65" s="1">
        <v>274.64055999999999</v>
      </c>
      <c r="R65" s="1"/>
      <c r="S65" s="1"/>
      <c r="T65" s="1">
        <f t="shared" si="14"/>
        <v>46.816600000000001</v>
      </c>
      <c r="U65" s="5">
        <f t="shared" si="11"/>
        <v>209.56924000000004</v>
      </c>
      <c r="V65" s="1">
        <f t="shared" si="15"/>
        <v>11</v>
      </c>
      <c r="W65" s="1">
        <f t="shared" si="16"/>
        <v>6.5236125647740328</v>
      </c>
      <c r="X65" s="1">
        <v>46.192</v>
      </c>
      <c r="Y65" s="1">
        <v>23.884799999999998</v>
      </c>
      <c r="Z65" s="1">
        <v>2.0099999999999998</v>
      </c>
      <c r="AA65" s="1">
        <v>-0.17960000000000001</v>
      </c>
      <c r="AB65" s="1">
        <v>17.416</v>
      </c>
      <c r="AC65" s="1">
        <v>29.5578</v>
      </c>
      <c r="AD65" s="1">
        <v>16.490200000000002</v>
      </c>
      <c r="AE65" s="1">
        <v>4.1694000000000004</v>
      </c>
      <c r="AF65" s="1">
        <v>-0.17899999999999999</v>
      </c>
      <c r="AG65" s="1">
        <v>9.9154</v>
      </c>
      <c r="AH65" s="1"/>
      <c r="AI65" s="1">
        <f t="shared" si="12"/>
        <v>209.56924000000004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104</v>
      </c>
      <c r="B66" s="1" t="s">
        <v>38</v>
      </c>
      <c r="C66" s="1">
        <v>143.11199999999999</v>
      </c>
      <c r="D66" s="1">
        <v>12.705</v>
      </c>
      <c r="E66" s="1">
        <v>141.33699999999999</v>
      </c>
      <c r="F66" s="1"/>
      <c r="G66" s="7">
        <v>1</v>
      </c>
      <c r="H66" s="1">
        <v>40</v>
      </c>
      <c r="I66" s="1" t="s">
        <v>39</v>
      </c>
      <c r="J66" s="1"/>
      <c r="K66" s="1">
        <v>143.9</v>
      </c>
      <c r="L66" s="1">
        <f t="shared" si="13"/>
        <v>-2.5630000000000166</v>
      </c>
      <c r="M66" s="1"/>
      <c r="N66" s="1"/>
      <c r="O66" s="1">
        <v>76.323145979999993</v>
      </c>
      <c r="P66" s="1">
        <v>41.696254019999998</v>
      </c>
      <c r="Q66" s="1">
        <v>244.735736</v>
      </c>
      <c r="R66" s="1"/>
      <c r="S66" s="1">
        <v>55</v>
      </c>
      <c r="T66" s="1">
        <f t="shared" si="14"/>
        <v>28.267399999999999</v>
      </c>
      <c r="U66" s="5"/>
      <c r="V66" s="1">
        <f t="shared" si="15"/>
        <v>14.778689798142031</v>
      </c>
      <c r="W66" s="1">
        <f t="shared" si="16"/>
        <v>14.778689798142031</v>
      </c>
      <c r="X66" s="1">
        <v>45.904200000000003</v>
      </c>
      <c r="Y66" s="1">
        <v>23.0824</v>
      </c>
      <c r="Z66" s="1">
        <v>2.1776</v>
      </c>
      <c r="AA66" s="1">
        <v>5.6093999999999999</v>
      </c>
      <c r="AB66" s="1">
        <v>15.3596</v>
      </c>
      <c r="AC66" s="1">
        <v>19.2516</v>
      </c>
      <c r="AD66" s="1">
        <v>15.604200000000001</v>
      </c>
      <c r="AE66" s="1">
        <v>5.9226000000000001</v>
      </c>
      <c r="AF66" s="1">
        <v>0</v>
      </c>
      <c r="AG66" s="1">
        <v>-0.1804</v>
      </c>
      <c r="AH66" s="1"/>
      <c r="AI66" s="1">
        <f t="shared" si="12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105</v>
      </c>
      <c r="B67" s="1" t="s">
        <v>38</v>
      </c>
      <c r="C67" s="1">
        <v>2.637</v>
      </c>
      <c r="D67" s="1">
        <v>257.08100000000002</v>
      </c>
      <c r="E67" s="1">
        <v>124.967</v>
      </c>
      <c r="F67" s="1">
        <v>6.3150000000000004</v>
      </c>
      <c r="G67" s="7">
        <v>1</v>
      </c>
      <c r="H67" s="1">
        <v>40</v>
      </c>
      <c r="I67" s="1" t="s">
        <v>39</v>
      </c>
      <c r="J67" s="1"/>
      <c r="K67" s="1">
        <v>139.30000000000001</v>
      </c>
      <c r="L67" s="1">
        <f t="shared" si="13"/>
        <v>-14.333000000000013</v>
      </c>
      <c r="M67" s="1"/>
      <c r="N67" s="1"/>
      <c r="O67" s="1">
        <v>97.004999999999995</v>
      </c>
      <c r="P67" s="1">
        <v>52.994999999999997</v>
      </c>
      <c r="Q67" s="1">
        <v>0</v>
      </c>
      <c r="R67" s="1"/>
      <c r="S67" s="1"/>
      <c r="T67" s="1">
        <f t="shared" si="14"/>
        <v>24.993400000000001</v>
      </c>
      <c r="U67" s="5">
        <f t="shared" si="11"/>
        <v>118.61240000000004</v>
      </c>
      <c r="V67" s="1">
        <f t="shared" si="15"/>
        <v>11</v>
      </c>
      <c r="W67" s="1">
        <f t="shared" si="16"/>
        <v>6.254251122296286</v>
      </c>
      <c r="X67" s="1">
        <v>13.122400000000001</v>
      </c>
      <c r="Y67" s="1">
        <v>8.4071999999999996</v>
      </c>
      <c r="Z67" s="1">
        <v>-4.0000000000000002E-4</v>
      </c>
      <c r="AA67" s="1">
        <v>2.7374000000000001</v>
      </c>
      <c r="AB67" s="1">
        <v>13.338800000000001</v>
      </c>
      <c r="AC67" s="1">
        <v>10.784000000000001</v>
      </c>
      <c r="AD67" s="1">
        <v>-0.50700000000000001</v>
      </c>
      <c r="AE67" s="1">
        <v>12.529400000000001</v>
      </c>
      <c r="AF67" s="1">
        <v>13.0364</v>
      </c>
      <c r="AG67" s="1">
        <v>-0.42159999999999997</v>
      </c>
      <c r="AH67" s="1"/>
      <c r="AI67" s="1">
        <f t="shared" si="12"/>
        <v>118.61240000000004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106</v>
      </c>
      <c r="B68" s="1" t="s">
        <v>38</v>
      </c>
      <c r="C68" s="1">
        <v>-2.8109999999999999</v>
      </c>
      <c r="D68" s="1">
        <v>370.63200000000001</v>
      </c>
      <c r="E68" s="1">
        <v>143.113</v>
      </c>
      <c r="F68" s="1">
        <v>165.922</v>
      </c>
      <c r="G68" s="7">
        <v>1</v>
      </c>
      <c r="H68" s="1">
        <v>40</v>
      </c>
      <c r="I68" s="1" t="s">
        <v>39</v>
      </c>
      <c r="J68" s="1"/>
      <c r="K68" s="1">
        <v>177.5</v>
      </c>
      <c r="L68" s="1">
        <f t="shared" si="13"/>
        <v>-34.387</v>
      </c>
      <c r="M68" s="1"/>
      <c r="N68" s="1"/>
      <c r="O68" s="1">
        <v>100</v>
      </c>
      <c r="P68" s="1"/>
      <c r="Q68" s="1">
        <v>0</v>
      </c>
      <c r="R68" s="1"/>
      <c r="S68" s="1"/>
      <c r="T68" s="1">
        <f t="shared" si="14"/>
        <v>28.622599999999998</v>
      </c>
      <c r="U68" s="5">
        <f t="shared" si="11"/>
        <v>48.926599999999979</v>
      </c>
      <c r="V68" s="1">
        <f t="shared" si="15"/>
        <v>11.000000000000002</v>
      </c>
      <c r="W68" s="1">
        <f t="shared" si="16"/>
        <v>9.290630480808872</v>
      </c>
      <c r="X68" s="1">
        <v>4.1406000000000001</v>
      </c>
      <c r="Y68" s="1">
        <v>0</v>
      </c>
      <c r="Z68" s="1">
        <v>2.1753999999999998</v>
      </c>
      <c r="AA68" s="1">
        <v>18.389600000000002</v>
      </c>
      <c r="AB68" s="1">
        <v>20.5762</v>
      </c>
      <c r="AC68" s="1">
        <v>4.3620000000000001</v>
      </c>
      <c r="AD68" s="1">
        <v>0</v>
      </c>
      <c r="AE68" s="1">
        <v>-0.18459999999999999</v>
      </c>
      <c r="AF68" s="1">
        <v>-0.18459999999999999</v>
      </c>
      <c r="AG68" s="1">
        <v>9.6046000000000014</v>
      </c>
      <c r="AH68" s="1"/>
      <c r="AI68" s="1">
        <f t="shared" si="12"/>
        <v>48.926599999999979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0" t="s">
        <v>107</v>
      </c>
      <c r="B69" s="10" t="s">
        <v>43</v>
      </c>
      <c r="C69" s="10">
        <v>42</v>
      </c>
      <c r="D69" s="10">
        <v>1</v>
      </c>
      <c r="E69" s="10">
        <v>7</v>
      </c>
      <c r="F69" s="10">
        <v>19</v>
      </c>
      <c r="G69" s="11">
        <v>0</v>
      </c>
      <c r="H69" s="10">
        <v>70</v>
      </c>
      <c r="I69" s="10" t="s">
        <v>108</v>
      </c>
      <c r="J69" s="10"/>
      <c r="K69" s="10">
        <v>7</v>
      </c>
      <c r="L69" s="10">
        <f t="shared" si="13"/>
        <v>0</v>
      </c>
      <c r="M69" s="10"/>
      <c r="N69" s="10"/>
      <c r="O69" s="10">
        <v>0</v>
      </c>
      <c r="P69" s="10"/>
      <c r="Q69" s="10">
        <v>0</v>
      </c>
      <c r="R69" s="10"/>
      <c r="S69" s="10"/>
      <c r="T69" s="10">
        <f t="shared" si="14"/>
        <v>1.4</v>
      </c>
      <c r="U69" s="12"/>
      <c r="V69" s="10">
        <f t="shared" si="15"/>
        <v>13.571428571428573</v>
      </c>
      <c r="W69" s="10">
        <f t="shared" si="16"/>
        <v>13.571428571428573</v>
      </c>
      <c r="X69" s="10">
        <v>1</v>
      </c>
      <c r="Y69" s="10">
        <v>1.4</v>
      </c>
      <c r="Z69" s="10">
        <v>2.2000000000000002</v>
      </c>
      <c r="AA69" s="10">
        <v>3.4</v>
      </c>
      <c r="AB69" s="10">
        <v>2.8</v>
      </c>
      <c r="AC69" s="10">
        <v>1.4</v>
      </c>
      <c r="AD69" s="10">
        <v>2</v>
      </c>
      <c r="AE69" s="10">
        <v>5.4</v>
      </c>
      <c r="AF69" s="10">
        <v>5.2</v>
      </c>
      <c r="AG69" s="10">
        <v>1.2</v>
      </c>
      <c r="AH69" s="13" t="s">
        <v>109</v>
      </c>
      <c r="AI69" s="10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110</v>
      </c>
      <c r="B70" s="1" t="s">
        <v>38</v>
      </c>
      <c r="C70" s="1">
        <v>207.11600000000001</v>
      </c>
      <c r="D70" s="1">
        <v>27.042999999999999</v>
      </c>
      <c r="E70" s="1">
        <v>199.80600000000001</v>
      </c>
      <c r="F70" s="1"/>
      <c r="G70" s="7">
        <v>1</v>
      </c>
      <c r="H70" s="1">
        <v>30</v>
      </c>
      <c r="I70" s="9" t="s">
        <v>50</v>
      </c>
      <c r="J70" s="1"/>
      <c r="K70" s="1">
        <v>234.75</v>
      </c>
      <c r="L70" s="1">
        <f t="shared" ref="L70:L101" si="18">E70-K70</f>
        <v>-34.943999999999988</v>
      </c>
      <c r="M70" s="1"/>
      <c r="N70" s="1"/>
      <c r="O70" s="1">
        <v>0</v>
      </c>
      <c r="P70" s="1"/>
      <c r="Q70" s="1">
        <v>141.75152</v>
      </c>
      <c r="R70" s="1"/>
      <c r="S70" s="1"/>
      <c r="T70" s="1">
        <f t="shared" ref="T70:T101" si="19">E70/5</f>
        <v>39.961200000000005</v>
      </c>
      <c r="U70" s="5">
        <f>10*T70-S70-R70-Q70-P70-O70-F70</f>
        <v>257.86048000000005</v>
      </c>
      <c r="V70" s="1">
        <f t="shared" ref="V70:V101" si="20">(F70+O70+P70+Q70+R70+S70+U70)/T70</f>
        <v>10</v>
      </c>
      <c r="W70" s="1">
        <f t="shared" ref="W70:W101" si="21">(F70+O70+P70+Q70+R70+S70)/T70</f>
        <v>3.5472288119475888</v>
      </c>
      <c r="X70" s="1">
        <v>23.869</v>
      </c>
      <c r="Y70" s="1">
        <v>4.2948000000000004</v>
      </c>
      <c r="Z70" s="1">
        <v>8.5107999999999997</v>
      </c>
      <c r="AA70" s="1">
        <v>6.101</v>
      </c>
      <c r="AB70" s="1">
        <v>20.2256</v>
      </c>
      <c r="AC70" s="1">
        <v>33.010000000000012</v>
      </c>
      <c r="AD70" s="1">
        <v>46.162199999999999</v>
      </c>
      <c r="AE70" s="1">
        <v>67.846599999999995</v>
      </c>
      <c r="AF70" s="1">
        <v>64.872</v>
      </c>
      <c r="AG70" s="1">
        <v>28.677600000000002</v>
      </c>
      <c r="AH70" s="1" t="s">
        <v>111</v>
      </c>
      <c r="AI70" s="1">
        <f>G70*U70</f>
        <v>257.86048000000005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0" t="s">
        <v>112</v>
      </c>
      <c r="B71" s="10" t="s">
        <v>43</v>
      </c>
      <c r="C71" s="10">
        <v>64</v>
      </c>
      <c r="D71" s="10"/>
      <c r="E71" s="10">
        <v>5</v>
      </c>
      <c r="F71" s="10">
        <v>58</v>
      </c>
      <c r="G71" s="11">
        <v>0</v>
      </c>
      <c r="H71" s="10"/>
      <c r="I71" s="10" t="s">
        <v>39</v>
      </c>
      <c r="J71" s="10"/>
      <c r="K71" s="10">
        <v>5</v>
      </c>
      <c r="L71" s="10">
        <f t="shared" si="18"/>
        <v>0</v>
      </c>
      <c r="M71" s="10"/>
      <c r="N71" s="10"/>
      <c r="O71" s="10">
        <v>0</v>
      </c>
      <c r="P71" s="10"/>
      <c r="Q71" s="10">
        <v>0</v>
      </c>
      <c r="R71" s="10"/>
      <c r="S71" s="10"/>
      <c r="T71" s="10">
        <f t="shared" si="19"/>
        <v>1</v>
      </c>
      <c r="U71" s="12"/>
      <c r="V71" s="10">
        <f t="shared" si="20"/>
        <v>58</v>
      </c>
      <c r="W71" s="10">
        <f t="shared" si="21"/>
        <v>58</v>
      </c>
      <c r="X71" s="10">
        <v>5.6</v>
      </c>
      <c r="Y71" s="10">
        <v>6.4</v>
      </c>
      <c r="Z71" s="10">
        <v>0.8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 t="s">
        <v>48</v>
      </c>
      <c r="AI71" s="10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113</v>
      </c>
      <c r="B72" s="1" t="s">
        <v>43</v>
      </c>
      <c r="C72" s="1">
        <v>45</v>
      </c>
      <c r="D72" s="1">
        <v>348</v>
      </c>
      <c r="E72" s="1">
        <v>145</v>
      </c>
      <c r="F72" s="1">
        <v>87</v>
      </c>
      <c r="G72" s="7">
        <v>0.6</v>
      </c>
      <c r="H72" s="1">
        <v>60</v>
      </c>
      <c r="I72" s="1" t="s">
        <v>39</v>
      </c>
      <c r="J72" s="1"/>
      <c r="K72" s="1">
        <v>156</v>
      </c>
      <c r="L72" s="1">
        <f t="shared" si="18"/>
        <v>-11</v>
      </c>
      <c r="M72" s="1"/>
      <c r="N72" s="1"/>
      <c r="O72" s="1">
        <v>68.783012000000028</v>
      </c>
      <c r="P72" s="1">
        <v>37.576988000000007</v>
      </c>
      <c r="Q72" s="1">
        <v>55.600000000000023</v>
      </c>
      <c r="R72" s="1"/>
      <c r="S72" s="1"/>
      <c r="T72" s="1">
        <f t="shared" si="19"/>
        <v>29</v>
      </c>
      <c r="U72" s="5">
        <f t="shared" ref="U72:U81" si="22">11*T72-S72-R72-Q72-P72-O72-F72</f>
        <v>70.039999999999964</v>
      </c>
      <c r="V72" s="1">
        <f t="shared" si="20"/>
        <v>11</v>
      </c>
      <c r="W72" s="1">
        <f t="shared" si="21"/>
        <v>8.5848275862068988</v>
      </c>
      <c r="X72" s="1">
        <v>21</v>
      </c>
      <c r="Y72" s="1">
        <v>30.6</v>
      </c>
      <c r="Z72" s="1">
        <v>18.2</v>
      </c>
      <c r="AA72" s="1">
        <v>16.399999999999999</v>
      </c>
      <c r="AB72" s="1">
        <v>19.600000000000001</v>
      </c>
      <c r="AC72" s="1">
        <v>4.8</v>
      </c>
      <c r="AD72" s="1">
        <v>2.6</v>
      </c>
      <c r="AE72" s="1">
        <v>6.4</v>
      </c>
      <c r="AF72" s="1">
        <v>4.4000000000000004</v>
      </c>
      <c r="AG72" s="1">
        <v>12.2</v>
      </c>
      <c r="AH72" s="1"/>
      <c r="AI72" s="1">
        <f t="shared" ref="AI72:AI81" si="23">G72*U72</f>
        <v>42.02399999999998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 t="s">
        <v>114</v>
      </c>
      <c r="B73" s="1" t="s">
        <v>43</v>
      </c>
      <c r="C73" s="1">
        <v>84</v>
      </c>
      <c r="D73" s="1">
        <v>130</v>
      </c>
      <c r="E73" s="1">
        <v>88</v>
      </c>
      <c r="F73" s="1">
        <v>82</v>
      </c>
      <c r="G73" s="7">
        <v>0.4</v>
      </c>
      <c r="H73" s="1">
        <v>90</v>
      </c>
      <c r="I73" s="9" t="s">
        <v>50</v>
      </c>
      <c r="J73" s="1"/>
      <c r="K73" s="1">
        <v>105</v>
      </c>
      <c r="L73" s="1">
        <f t="shared" si="18"/>
        <v>-17</v>
      </c>
      <c r="M73" s="1"/>
      <c r="N73" s="1"/>
      <c r="O73" s="1">
        <v>0</v>
      </c>
      <c r="P73" s="1"/>
      <c r="Q73" s="1">
        <v>79.199999999999989</v>
      </c>
      <c r="R73" s="1"/>
      <c r="S73" s="1"/>
      <c r="T73" s="1">
        <f t="shared" si="19"/>
        <v>17.600000000000001</v>
      </c>
      <c r="U73" s="5">
        <f t="shared" si="22"/>
        <v>32.400000000000034</v>
      </c>
      <c r="V73" s="1">
        <f t="shared" si="20"/>
        <v>11</v>
      </c>
      <c r="W73" s="1">
        <f t="shared" si="21"/>
        <v>9.1590909090909083</v>
      </c>
      <c r="X73" s="1">
        <v>15.4</v>
      </c>
      <c r="Y73" s="1">
        <v>11.8</v>
      </c>
      <c r="Z73" s="1">
        <v>15.8</v>
      </c>
      <c r="AA73" s="1">
        <v>14</v>
      </c>
      <c r="AB73" s="1">
        <v>12.4</v>
      </c>
      <c r="AC73" s="1">
        <v>11.4</v>
      </c>
      <c r="AD73" s="1">
        <v>7.4</v>
      </c>
      <c r="AE73" s="1">
        <v>9.6</v>
      </c>
      <c r="AF73" s="1">
        <v>19.2</v>
      </c>
      <c r="AG73" s="1">
        <v>22</v>
      </c>
      <c r="AH73" s="1"/>
      <c r="AI73" s="1">
        <f t="shared" si="23"/>
        <v>12.960000000000015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115</v>
      </c>
      <c r="B74" s="1" t="s">
        <v>43</v>
      </c>
      <c r="C74" s="1">
        <v>191</v>
      </c>
      <c r="D74" s="1">
        <v>243</v>
      </c>
      <c r="E74" s="1">
        <v>188</v>
      </c>
      <c r="F74" s="1">
        <v>145</v>
      </c>
      <c r="G74" s="7">
        <v>0.33</v>
      </c>
      <c r="H74" s="1">
        <v>60</v>
      </c>
      <c r="I74" s="1" t="s">
        <v>39</v>
      </c>
      <c r="J74" s="1"/>
      <c r="K74" s="1">
        <v>177</v>
      </c>
      <c r="L74" s="1">
        <f t="shared" si="18"/>
        <v>11</v>
      </c>
      <c r="M74" s="1"/>
      <c r="N74" s="1"/>
      <c r="O74" s="1">
        <v>0</v>
      </c>
      <c r="P74" s="1"/>
      <c r="Q74" s="1">
        <v>185.8480000000001</v>
      </c>
      <c r="R74" s="1"/>
      <c r="S74" s="1"/>
      <c r="T74" s="1">
        <f t="shared" si="19"/>
        <v>37.6</v>
      </c>
      <c r="U74" s="5">
        <f t="shared" si="22"/>
        <v>82.751999999999924</v>
      </c>
      <c r="V74" s="1">
        <f t="shared" si="20"/>
        <v>11</v>
      </c>
      <c r="W74" s="1">
        <f t="shared" si="21"/>
        <v>8.799148936170214</v>
      </c>
      <c r="X74" s="1">
        <v>34.6</v>
      </c>
      <c r="Y74" s="1">
        <v>23.4</v>
      </c>
      <c r="Z74" s="1">
        <v>29.2</v>
      </c>
      <c r="AA74" s="1">
        <v>29.8</v>
      </c>
      <c r="AB74" s="1">
        <v>30.6</v>
      </c>
      <c r="AC74" s="1">
        <v>31.6</v>
      </c>
      <c r="AD74" s="1">
        <v>20.6</v>
      </c>
      <c r="AE74" s="1">
        <v>5.4</v>
      </c>
      <c r="AF74" s="1">
        <v>20.8</v>
      </c>
      <c r="AG74" s="1">
        <v>42.2</v>
      </c>
      <c r="AH74" s="1"/>
      <c r="AI74" s="1">
        <f t="shared" si="23"/>
        <v>27.308159999999976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116</v>
      </c>
      <c r="B75" s="1" t="s">
        <v>43</v>
      </c>
      <c r="C75" s="1">
        <v>83</v>
      </c>
      <c r="D75" s="1">
        <v>160</v>
      </c>
      <c r="E75" s="1">
        <v>95</v>
      </c>
      <c r="F75" s="1">
        <v>116</v>
      </c>
      <c r="G75" s="7">
        <v>0.35</v>
      </c>
      <c r="H75" s="1">
        <v>90</v>
      </c>
      <c r="I75" s="1" t="s">
        <v>39</v>
      </c>
      <c r="J75" s="1"/>
      <c r="K75" s="1">
        <v>104</v>
      </c>
      <c r="L75" s="1">
        <f t="shared" si="18"/>
        <v>-9</v>
      </c>
      <c r="M75" s="1"/>
      <c r="N75" s="1"/>
      <c r="O75" s="1">
        <v>0</v>
      </c>
      <c r="P75" s="1"/>
      <c r="Q75" s="1">
        <v>53.20000000000001</v>
      </c>
      <c r="R75" s="1"/>
      <c r="S75" s="1"/>
      <c r="T75" s="1">
        <f t="shared" si="19"/>
        <v>19</v>
      </c>
      <c r="U75" s="5">
        <f t="shared" si="22"/>
        <v>39.799999999999983</v>
      </c>
      <c r="V75" s="1">
        <f t="shared" si="20"/>
        <v>11</v>
      </c>
      <c r="W75" s="1">
        <f t="shared" si="21"/>
        <v>8.905263157894737</v>
      </c>
      <c r="X75" s="1">
        <v>16</v>
      </c>
      <c r="Y75" s="1">
        <v>14.2</v>
      </c>
      <c r="Z75" s="1">
        <v>19.399999999999999</v>
      </c>
      <c r="AA75" s="1">
        <v>18.600000000000001</v>
      </c>
      <c r="AB75" s="1">
        <v>14.6</v>
      </c>
      <c r="AC75" s="1">
        <v>12</v>
      </c>
      <c r="AD75" s="1">
        <v>18.2</v>
      </c>
      <c r="AE75" s="1">
        <v>18</v>
      </c>
      <c r="AF75" s="1">
        <v>19.399999999999999</v>
      </c>
      <c r="AG75" s="1">
        <v>18.600000000000001</v>
      </c>
      <c r="AH75" s="1"/>
      <c r="AI75" s="1">
        <f t="shared" si="23"/>
        <v>13.929999999999993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117</v>
      </c>
      <c r="B76" s="1" t="s">
        <v>43</v>
      </c>
      <c r="C76" s="1">
        <v>117</v>
      </c>
      <c r="D76" s="1">
        <v>41</v>
      </c>
      <c r="E76" s="1">
        <v>108</v>
      </c>
      <c r="F76" s="1">
        <v>10</v>
      </c>
      <c r="G76" s="7">
        <v>0.37</v>
      </c>
      <c r="H76" s="1">
        <v>50</v>
      </c>
      <c r="I76" s="1" t="s">
        <v>39</v>
      </c>
      <c r="J76" s="1"/>
      <c r="K76" s="1">
        <v>220</v>
      </c>
      <c r="L76" s="1">
        <f t="shared" si="18"/>
        <v>-112</v>
      </c>
      <c r="M76" s="1"/>
      <c r="N76" s="1"/>
      <c r="O76" s="1">
        <v>0</v>
      </c>
      <c r="P76" s="1"/>
      <c r="Q76" s="1">
        <v>146.91999999999999</v>
      </c>
      <c r="R76" s="1"/>
      <c r="S76" s="1"/>
      <c r="T76" s="1">
        <f t="shared" si="19"/>
        <v>21.6</v>
      </c>
      <c r="U76" s="5">
        <f t="shared" si="22"/>
        <v>80.680000000000035</v>
      </c>
      <c r="V76" s="1">
        <f t="shared" si="20"/>
        <v>11</v>
      </c>
      <c r="W76" s="1">
        <f t="shared" si="21"/>
        <v>7.2648148148148142</v>
      </c>
      <c r="X76" s="1">
        <v>24</v>
      </c>
      <c r="Y76" s="1">
        <v>6.6</v>
      </c>
      <c r="Z76" s="1">
        <v>0</v>
      </c>
      <c r="AA76" s="1">
        <v>0</v>
      </c>
      <c r="AB76" s="1">
        <v>11.8</v>
      </c>
      <c r="AC76" s="1">
        <v>14.4</v>
      </c>
      <c r="AD76" s="1">
        <v>9.8000000000000007</v>
      </c>
      <c r="AE76" s="1">
        <v>15.8</v>
      </c>
      <c r="AF76" s="1">
        <v>15</v>
      </c>
      <c r="AG76" s="1">
        <v>26</v>
      </c>
      <c r="AH76" s="1" t="s">
        <v>118</v>
      </c>
      <c r="AI76" s="1">
        <f t="shared" si="23"/>
        <v>29.851600000000012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119</v>
      </c>
      <c r="B77" s="1" t="s">
        <v>43</v>
      </c>
      <c r="C77" s="1">
        <v>26</v>
      </c>
      <c r="D77" s="1"/>
      <c r="E77" s="1">
        <v>9</v>
      </c>
      <c r="F77" s="1">
        <v>14</v>
      </c>
      <c r="G77" s="7">
        <v>0.6</v>
      </c>
      <c r="H77" s="1"/>
      <c r="I77" s="1" t="s">
        <v>39</v>
      </c>
      <c r="J77" s="1"/>
      <c r="K77" s="1">
        <v>9</v>
      </c>
      <c r="L77" s="1">
        <f t="shared" si="18"/>
        <v>0</v>
      </c>
      <c r="M77" s="1"/>
      <c r="N77" s="1"/>
      <c r="O77" s="1">
        <v>40</v>
      </c>
      <c r="P77" s="1"/>
      <c r="Q77" s="1">
        <v>5.4000000000000057</v>
      </c>
      <c r="R77" s="1"/>
      <c r="S77" s="1"/>
      <c r="T77" s="1">
        <f t="shared" si="19"/>
        <v>1.8</v>
      </c>
      <c r="U77" s="5"/>
      <c r="V77" s="1">
        <f t="shared" si="20"/>
        <v>33</v>
      </c>
      <c r="W77" s="1">
        <f t="shared" si="21"/>
        <v>33</v>
      </c>
      <c r="X77" s="1">
        <v>5.2</v>
      </c>
      <c r="Y77" s="1">
        <v>6</v>
      </c>
      <c r="Z77" s="1">
        <v>0.8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6" t="s">
        <v>180</v>
      </c>
      <c r="AI77" s="1">
        <f t="shared" si="23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120</v>
      </c>
      <c r="B78" s="1" t="s">
        <v>43</v>
      </c>
      <c r="C78" s="1">
        <v>71</v>
      </c>
      <c r="D78" s="1">
        <v>209</v>
      </c>
      <c r="E78" s="1">
        <v>124</v>
      </c>
      <c r="F78" s="1">
        <v>86</v>
      </c>
      <c r="G78" s="7">
        <v>0.33</v>
      </c>
      <c r="H78" s="1">
        <v>40</v>
      </c>
      <c r="I78" s="1" t="s">
        <v>39</v>
      </c>
      <c r="J78" s="1"/>
      <c r="K78" s="1">
        <v>143</v>
      </c>
      <c r="L78" s="1">
        <f t="shared" si="18"/>
        <v>-19</v>
      </c>
      <c r="M78" s="1"/>
      <c r="N78" s="1"/>
      <c r="O78" s="1">
        <v>0</v>
      </c>
      <c r="P78" s="1"/>
      <c r="Q78" s="1">
        <v>53</v>
      </c>
      <c r="R78" s="1"/>
      <c r="S78" s="1"/>
      <c r="T78" s="1">
        <f t="shared" si="19"/>
        <v>24.8</v>
      </c>
      <c r="U78" s="5">
        <f t="shared" si="22"/>
        <v>133.80000000000001</v>
      </c>
      <c r="V78" s="1">
        <f t="shared" si="20"/>
        <v>11</v>
      </c>
      <c r="W78" s="1">
        <f t="shared" si="21"/>
        <v>5.604838709677419</v>
      </c>
      <c r="X78" s="1">
        <v>17</v>
      </c>
      <c r="Y78" s="1">
        <v>15.6</v>
      </c>
      <c r="Z78" s="1">
        <v>20</v>
      </c>
      <c r="AA78" s="1">
        <v>23.8</v>
      </c>
      <c r="AB78" s="1">
        <v>26.8</v>
      </c>
      <c r="AC78" s="1">
        <v>17.600000000000001</v>
      </c>
      <c r="AD78" s="1">
        <v>13</v>
      </c>
      <c r="AE78" s="1">
        <v>15.2</v>
      </c>
      <c r="AF78" s="1">
        <v>20.8</v>
      </c>
      <c r="AG78" s="1">
        <v>14.8</v>
      </c>
      <c r="AH78" s="1"/>
      <c r="AI78" s="1">
        <f t="shared" si="23"/>
        <v>44.154000000000003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121</v>
      </c>
      <c r="B79" s="1" t="s">
        <v>43</v>
      </c>
      <c r="C79" s="1">
        <v>8</v>
      </c>
      <c r="D79" s="1">
        <v>396</v>
      </c>
      <c r="E79" s="1">
        <v>176</v>
      </c>
      <c r="F79" s="1">
        <v>53</v>
      </c>
      <c r="G79" s="7">
        <v>0.4</v>
      </c>
      <c r="H79" s="1">
        <v>55</v>
      </c>
      <c r="I79" s="1" t="s">
        <v>39</v>
      </c>
      <c r="J79" s="1"/>
      <c r="K79" s="1">
        <v>239</v>
      </c>
      <c r="L79" s="1">
        <f t="shared" si="18"/>
        <v>-63</v>
      </c>
      <c r="M79" s="1"/>
      <c r="N79" s="1"/>
      <c r="O79" s="1">
        <v>0</v>
      </c>
      <c r="P79" s="1"/>
      <c r="Q79" s="1">
        <v>72.480000000000032</v>
      </c>
      <c r="R79" s="1"/>
      <c r="S79" s="1"/>
      <c r="T79" s="1">
        <f t="shared" si="19"/>
        <v>35.200000000000003</v>
      </c>
      <c r="U79" s="5">
        <f>10*T79-S79-R79-Q79-P79-O79-F79</f>
        <v>226.51999999999998</v>
      </c>
      <c r="V79" s="1">
        <f t="shared" si="20"/>
        <v>10</v>
      </c>
      <c r="W79" s="1">
        <f t="shared" si="21"/>
        <v>3.5647727272727279</v>
      </c>
      <c r="X79" s="1">
        <v>11</v>
      </c>
      <c r="Y79" s="1">
        <v>2</v>
      </c>
      <c r="Z79" s="1">
        <v>2.8</v>
      </c>
      <c r="AA79" s="1">
        <v>17.2</v>
      </c>
      <c r="AB79" s="1">
        <v>25</v>
      </c>
      <c r="AC79" s="1">
        <v>9.4</v>
      </c>
      <c r="AD79" s="1">
        <v>0.6</v>
      </c>
      <c r="AE79" s="1">
        <v>0.2</v>
      </c>
      <c r="AF79" s="1">
        <v>0.2</v>
      </c>
      <c r="AG79" s="1">
        <v>12.6</v>
      </c>
      <c r="AH79" s="1" t="s">
        <v>122</v>
      </c>
      <c r="AI79" s="1">
        <f t="shared" si="23"/>
        <v>90.608000000000004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123</v>
      </c>
      <c r="B80" s="1" t="s">
        <v>43</v>
      </c>
      <c r="C80" s="1">
        <v>48</v>
      </c>
      <c r="D80" s="1">
        <v>40</v>
      </c>
      <c r="E80" s="1">
        <v>40</v>
      </c>
      <c r="F80" s="1">
        <v>34</v>
      </c>
      <c r="G80" s="7">
        <v>0.35</v>
      </c>
      <c r="H80" s="1">
        <v>40</v>
      </c>
      <c r="I80" s="1" t="s">
        <v>39</v>
      </c>
      <c r="J80" s="1"/>
      <c r="K80" s="1">
        <v>43</v>
      </c>
      <c r="L80" s="1">
        <f t="shared" si="18"/>
        <v>-3</v>
      </c>
      <c r="M80" s="1"/>
      <c r="N80" s="1"/>
      <c r="O80" s="1">
        <v>0</v>
      </c>
      <c r="P80" s="1"/>
      <c r="Q80" s="1">
        <v>39</v>
      </c>
      <c r="R80" s="1"/>
      <c r="S80" s="1"/>
      <c r="T80" s="1">
        <f t="shared" si="19"/>
        <v>8</v>
      </c>
      <c r="U80" s="5">
        <f t="shared" si="22"/>
        <v>15</v>
      </c>
      <c r="V80" s="1">
        <f t="shared" si="20"/>
        <v>11</v>
      </c>
      <c r="W80" s="1">
        <f t="shared" si="21"/>
        <v>9.125</v>
      </c>
      <c r="X80" s="1">
        <v>6</v>
      </c>
      <c r="Y80" s="1">
        <v>1.2</v>
      </c>
      <c r="Z80" s="1">
        <v>2.6</v>
      </c>
      <c r="AA80" s="1">
        <v>3.6</v>
      </c>
      <c r="AB80" s="1">
        <v>5.6</v>
      </c>
      <c r="AC80" s="1">
        <v>6</v>
      </c>
      <c r="AD80" s="1">
        <v>2.6</v>
      </c>
      <c r="AE80" s="1">
        <v>0</v>
      </c>
      <c r="AF80" s="1">
        <v>0</v>
      </c>
      <c r="AG80" s="1">
        <v>-0.2</v>
      </c>
      <c r="AH80" s="1"/>
      <c r="AI80" s="1">
        <f t="shared" si="23"/>
        <v>5.25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124</v>
      </c>
      <c r="B81" s="1" t="s">
        <v>43</v>
      </c>
      <c r="C81" s="1">
        <v>55</v>
      </c>
      <c r="D81" s="1">
        <v>33</v>
      </c>
      <c r="E81" s="1">
        <v>31</v>
      </c>
      <c r="F81" s="1">
        <v>33</v>
      </c>
      <c r="G81" s="7">
        <v>0.35</v>
      </c>
      <c r="H81" s="1">
        <v>45</v>
      </c>
      <c r="I81" s="1" t="s">
        <v>39</v>
      </c>
      <c r="J81" s="1"/>
      <c r="K81" s="1">
        <v>34</v>
      </c>
      <c r="L81" s="1">
        <f t="shared" si="18"/>
        <v>-3</v>
      </c>
      <c r="M81" s="1"/>
      <c r="N81" s="1"/>
      <c r="O81" s="1">
        <v>0</v>
      </c>
      <c r="P81" s="1"/>
      <c r="Q81" s="1">
        <v>25.800000000000011</v>
      </c>
      <c r="R81" s="1"/>
      <c r="S81" s="1"/>
      <c r="T81" s="1">
        <f t="shared" si="19"/>
        <v>6.2</v>
      </c>
      <c r="U81" s="5">
        <f t="shared" si="22"/>
        <v>9.3999999999999915</v>
      </c>
      <c r="V81" s="1">
        <f t="shared" si="20"/>
        <v>11</v>
      </c>
      <c r="W81" s="1">
        <f t="shared" si="21"/>
        <v>9.4838709677419377</v>
      </c>
      <c r="X81" s="1">
        <v>5.2</v>
      </c>
      <c r="Y81" s="1">
        <v>4.4000000000000004</v>
      </c>
      <c r="Z81" s="1">
        <v>5.8</v>
      </c>
      <c r="AA81" s="1">
        <v>4.2</v>
      </c>
      <c r="AB81" s="1">
        <v>5.2</v>
      </c>
      <c r="AC81" s="1">
        <v>5.8</v>
      </c>
      <c r="AD81" s="1">
        <v>2.8</v>
      </c>
      <c r="AE81" s="1">
        <v>3.6</v>
      </c>
      <c r="AF81" s="1">
        <v>8</v>
      </c>
      <c r="AG81" s="1">
        <v>7.8</v>
      </c>
      <c r="AH81" s="1"/>
      <c r="AI81" s="1">
        <f t="shared" si="23"/>
        <v>3.2899999999999969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0" t="s">
        <v>125</v>
      </c>
      <c r="B82" s="10" t="s">
        <v>43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8"/>
        <v>0</v>
      </c>
      <c r="M82" s="10"/>
      <c r="N82" s="10"/>
      <c r="O82" s="10">
        <v>0</v>
      </c>
      <c r="P82" s="10"/>
      <c r="Q82" s="10">
        <v>0</v>
      </c>
      <c r="R82" s="10"/>
      <c r="S82" s="10"/>
      <c r="T82" s="10">
        <f t="shared" si="19"/>
        <v>0</v>
      </c>
      <c r="U82" s="12"/>
      <c r="V82" s="10" t="e">
        <f t="shared" si="20"/>
        <v>#DIV/0!</v>
      </c>
      <c r="W82" s="10" t="e">
        <f t="shared" si="21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48</v>
      </c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0" t="s">
        <v>126</v>
      </c>
      <c r="B83" s="10" t="s">
        <v>38</v>
      </c>
      <c r="C83" s="10"/>
      <c r="D83" s="10"/>
      <c r="E83" s="10"/>
      <c r="F83" s="10"/>
      <c r="G83" s="11">
        <v>0</v>
      </c>
      <c r="H83" s="10"/>
      <c r="I83" s="10" t="s">
        <v>39</v>
      </c>
      <c r="J83" s="10"/>
      <c r="K83" s="10"/>
      <c r="L83" s="10">
        <f t="shared" si="18"/>
        <v>0</v>
      </c>
      <c r="M83" s="10"/>
      <c r="N83" s="10"/>
      <c r="O83" s="10">
        <v>0</v>
      </c>
      <c r="P83" s="10"/>
      <c r="Q83" s="10">
        <v>0</v>
      </c>
      <c r="R83" s="10"/>
      <c r="S83" s="10"/>
      <c r="T83" s="10">
        <f t="shared" si="19"/>
        <v>0</v>
      </c>
      <c r="U83" s="12"/>
      <c r="V83" s="10" t="e">
        <f t="shared" si="20"/>
        <v>#DIV/0!</v>
      </c>
      <c r="W83" s="10" t="e">
        <f t="shared" si="21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48</v>
      </c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127</v>
      </c>
      <c r="B84" s="1" t="s">
        <v>38</v>
      </c>
      <c r="C84" s="1">
        <v>33.06</v>
      </c>
      <c r="D84" s="1">
        <v>1.4570000000000001</v>
      </c>
      <c r="E84" s="1">
        <v>11.542</v>
      </c>
      <c r="F84" s="1">
        <v>18.632999999999999</v>
      </c>
      <c r="G84" s="7">
        <v>1</v>
      </c>
      <c r="H84" s="1">
        <v>55</v>
      </c>
      <c r="I84" s="1" t="s">
        <v>39</v>
      </c>
      <c r="J84" s="1"/>
      <c r="K84" s="1">
        <v>9.8000000000000007</v>
      </c>
      <c r="L84" s="1">
        <f t="shared" si="18"/>
        <v>1.7419999999999991</v>
      </c>
      <c r="M84" s="1"/>
      <c r="N84" s="1"/>
      <c r="O84" s="1">
        <v>0</v>
      </c>
      <c r="P84" s="1"/>
      <c r="Q84" s="1">
        <v>0</v>
      </c>
      <c r="R84" s="1"/>
      <c r="S84" s="1"/>
      <c r="T84" s="1">
        <f t="shared" si="19"/>
        <v>2.3083999999999998</v>
      </c>
      <c r="U84" s="5">
        <f t="shared" ref="U84:U85" si="24">11*T84-S84-R84-Q84-P84-O84-F84</f>
        <v>6.7593999999999994</v>
      </c>
      <c r="V84" s="1">
        <f t="shared" si="20"/>
        <v>11</v>
      </c>
      <c r="W84" s="1">
        <f t="shared" si="21"/>
        <v>8.071824640443598</v>
      </c>
      <c r="X84" s="1">
        <v>2.0219999999999998</v>
      </c>
      <c r="Y84" s="1">
        <v>1.1521999999999999</v>
      </c>
      <c r="Z84" s="1">
        <v>0.57720000000000005</v>
      </c>
      <c r="AA84" s="1">
        <v>0.28799999999999998</v>
      </c>
      <c r="AB84" s="1">
        <v>2.8824000000000001</v>
      </c>
      <c r="AC84" s="1">
        <v>2.8820000000000001</v>
      </c>
      <c r="AD84" s="1">
        <v>1.3373999999999999</v>
      </c>
      <c r="AE84" s="1">
        <v>2.1970000000000001</v>
      </c>
      <c r="AF84" s="1">
        <v>2.008</v>
      </c>
      <c r="AG84" s="1">
        <v>1.1468</v>
      </c>
      <c r="AH84" s="1"/>
      <c r="AI84" s="1">
        <f>G84*U84</f>
        <v>6.7593999999999994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 t="s">
        <v>129</v>
      </c>
      <c r="B85" s="1" t="s">
        <v>38</v>
      </c>
      <c r="C85" s="1">
        <v>100.22799999999999</v>
      </c>
      <c r="D85" s="1">
        <v>553.87900000000002</v>
      </c>
      <c r="E85" s="1">
        <v>121.71599999999999</v>
      </c>
      <c r="F85" s="1">
        <v>437.30900000000003</v>
      </c>
      <c r="G85" s="7">
        <v>1</v>
      </c>
      <c r="H85" s="1">
        <v>60</v>
      </c>
      <c r="I85" s="1" t="s">
        <v>39</v>
      </c>
      <c r="J85" s="1"/>
      <c r="K85" s="1">
        <v>168.78</v>
      </c>
      <c r="L85" s="1">
        <f t="shared" si="18"/>
        <v>-47.064000000000007</v>
      </c>
      <c r="M85" s="1"/>
      <c r="N85" s="1"/>
      <c r="O85" s="1">
        <v>161.67500000000001</v>
      </c>
      <c r="P85" s="1">
        <v>88.325000000000003</v>
      </c>
      <c r="Q85" s="1">
        <v>0</v>
      </c>
      <c r="R85" s="1"/>
      <c r="S85" s="1"/>
      <c r="T85" s="1">
        <f t="shared" si="19"/>
        <v>24.3432</v>
      </c>
      <c r="U85" s="5"/>
      <c r="V85" s="1">
        <f t="shared" si="20"/>
        <v>28.234126984126988</v>
      </c>
      <c r="W85" s="1">
        <f t="shared" si="21"/>
        <v>28.234126984126988</v>
      </c>
      <c r="X85" s="1">
        <v>44.222000000000001</v>
      </c>
      <c r="Y85" s="1">
        <v>55.803199999999997</v>
      </c>
      <c r="Z85" s="1">
        <v>60.8352</v>
      </c>
      <c r="AA85" s="1">
        <v>49.9208</v>
      </c>
      <c r="AB85" s="1">
        <v>30.628799999999998</v>
      </c>
      <c r="AC85" s="1">
        <v>20.229199999999999</v>
      </c>
      <c r="AD85" s="1">
        <v>34.7806</v>
      </c>
      <c r="AE85" s="1">
        <v>52.466999999999999</v>
      </c>
      <c r="AF85" s="1">
        <v>56.910799999999988</v>
      </c>
      <c r="AG85" s="1">
        <v>48.402000000000001</v>
      </c>
      <c r="AH85" s="1"/>
      <c r="AI85" s="1">
        <f>G85*U85</f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0" t="s">
        <v>130</v>
      </c>
      <c r="B86" s="10" t="s">
        <v>43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8"/>
        <v>0</v>
      </c>
      <c r="M86" s="10"/>
      <c r="N86" s="10"/>
      <c r="O86" s="10">
        <v>0</v>
      </c>
      <c r="P86" s="10"/>
      <c r="Q86" s="10">
        <v>0</v>
      </c>
      <c r="R86" s="10"/>
      <c r="S86" s="10"/>
      <c r="T86" s="10">
        <f t="shared" si="19"/>
        <v>0</v>
      </c>
      <c r="U86" s="12"/>
      <c r="V86" s="10" t="e">
        <f t="shared" si="20"/>
        <v>#DIV/0!</v>
      </c>
      <c r="W86" s="10" t="e">
        <f t="shared" si="21"/>
        <v>#DIV/0!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 t="s">
        <v>48</v>
      </c>
      <c r="AI86" s="10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131</v>
      </c>
      <c r="B87" s="1" t="s">
        <v>38</v>
      </c>
      <c r="C87" s="1">
        <v>223.02099999999999</v>
      </c>
      <c r="D87" s="1">
        <v>4943.4470000000001</v>
      </c>
      <c r="E87" s="1">
        <v>1305.9480000000001</v>
      </c>
      <c r="F87" s="1">
        <v>2003.6949999999999</v>
      </c>
      <c r="G87" s="7">
        <v>1</v>
      </c>
      <c r="H87" s="1">
        <v>60</v>
      </c>
      <c r="I87" s="1" t="s">
        <v>39</v>
      </c>
      <c r="J87" s="1"/>
      <c r="K87" s="1">
        <v>1685</v>
      </c>
      <c r="L87" s="1">
        <f t="shared" si="18"/>
        <v>-379.05199999999991</v>
      </c>
      <c r="M87" s="1"/>
      <c r="N87" s="1"/>
      <c r="O87" s="1">
        <v>984.95422328600011</v>
      </c>
      <c r="P87" s="1">
        <v>538.09235671400006</v>
      </c>
      <c r="Q87" s="1">
        <v>0</v>
      </c>
      <c r="R87" s="1"/>
      <c r="S87" s="1"/>
      <c r="T87" s="1">
        <f t="shared" si="19"/>
        <v>261.18960000000004</v>
      </c>
      <c r="U87" s="5"/>
      <c r="V87" s="1">
        <f t="shared" si="20"/>
        <v>13.502611053426321</v>
      </c>
      <c r="W87" s="1">
        <f t="shared" si="21"/>
        <v>13.502611053426321</v>
      </c>
      <c r="X87" s="1">
        <v>293.19060000000002</v>
      </c>
      <c r="Y87" s="1">
        <v>393.64659999999998</v>
      </c>
      <c r="Z87" s="1">
        <v>413.71640000000002</v>
      </c>
      <c r="AA87" s="1">
        <v>388.93459999999999</v>
      </c>
      <c r="AB87" s="1">
        <v>339.1968</v>
      </c>
      <c r="AC87" s="1">
        <v>286.21859999999998</v>
      </c>
      <c r="AD87" s="1">
        <v>236.22059999999999</v>
      </c>
      <c r="AE87" s="1">
        <v>396.76139999999998</v>
      </c>
      <c r="AF87" s="1">
        <v>420.71499999999997</v>
      </c>
      <c r="AG87" s="1">
        <v>308.27960000000002</v>
      </c>
      <c r="AH87" s="1"/>
      <c r="AI87" s="1">
        <f>G87*U87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132</v>
      </c>
      <c r="B88" s="1" t="s">
        <v>38</v>
      </c>
      <c r="C88" s="1">
        <v>1441.5530000000001</v>
      </c>
      <c r="D88" s="1">
        <v>3554.2820000000002</v>
      </c>
      <c r="E88" s="1">
        <v>1832.9259999999999</v>
      </c>
      <c r="F88" s="1">
        <v>2052.8609999999999</v>
      </c>
      <c r="G88" s="7">
        <v>1</v>
      </c>
      <c r="H88" s="1">
        <v>60</v>
      </c>
      <c r="I88" s="1" t="s">
        <v>39</v>
      </c>
      <c r="J88" s="1"/>
      <c r="K88" s="1">
        <v>1847</v>
      </c>
      <c r="L88" s="1">
        <f t="shared" si="18"/>
        <v>-14.074000000000069</v>
      </c>
      <c r="M88" s="1"/>
      <c r="N88" s="1"/>
      <c r="O88" s="1">
        <v>879.82655487999978</v>
      </c>
      <c r="P88" s="1">
        <v>480.65984511999977</v>
      </c>
      <c r="Q88" s="1">
        <v>939.85276599999906</v>
      </c>
      <c r="R88" s="1">
        <v>600</v>
      </c>
      <c r="S88" s="1">
        <v>300</v>
      </c>
      <c r="T88" s="1">
        <f t="shared" si="19"/>
        <v>366.58519999999999</v>
      </c>
      <c r="U88" s="5"/>
      <c r="V88" s="1">
        <f t="shared" si="20"/>
        <v>14.33009342984932</v>
      </c>
      <c r="W88" s="1">
        <f t="shared" si="21"/>
        <v>14.33009342984932</v>
      </c>
      <c r="X88" s="1">
        <v>353.1354</v>
      </c>
      <c r="Y88" s="1">
        <v>293.41199999999998</v>
      </c>
      <c r="Z88" s="1">
        <v>260.69920000000002</v>
      </c>
      <c r="AA88" s="1">
        <v>280.9298</v>
      </c>
      <c r="AB88" s="1">
        <v>353.3408</v>
      </c>
      <c r="AC88" s="1">
        <v>302.86380000000003</v>
      </c>
      <c r="AD88" s="1">
        <v>260.61439999999999</v>
      </c>
      <c r="AE88" s="1">
        <v>367.82960000000003</v>
      </c>
      <c r="AF88" s="1">
        <v>400.35739999999998</v>
      </c>
      <c r="AG88" s="1">
        <v>226.09520000000001</v>
      </c>
      <c r="AH88" s="1"/>
      <c r="AI88" s="1">
        <f>G88*U88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" t="s">
        <v>133</v>
      </c>
      <c r="B89" s="1" t="s">
        <v>38</v>
      </c>
      <c r="C89" s="1">
        <v>732.03099999999995</v>
      </c>
      <c r="D89" s="1">
        <v>3869.5639999999999</v>
      </c>
      <c r="E89" s="1">
        <v>2779.3130000000001</v>
      </c>
      <c r="F89" s="1">
        <v>292.92399999999998</v>
      </c>
      <c r="G89" s="7">
        <v>1</v>
      </c>
      <c r="H89" s="1">
        <v>60</v>
      </c>
      <c r="I89" s="1" t="s">
        <v>39</v>
      </c>
      <c r="J89" s="1"/>
      <c r="K89" s="1">
        <v>2996.5</v>
      </c>
      <c r="L89" s="1">
        <f t="shared" si="18"/>
        <v>-217.1869999999999</v>
      </c>
      <c r="M89" s="1"/>
      <c r="N89" s="1"/>
      <c r="O89" s="1">
        <v>1692.671247798</v>
      </c>
      <c r="P89" s="1">
        <v>924.72669220200032</v>
      </c>
      <c r="Q89" s="1">
        <v>0</v>
      </c>
      <c r="R89" s="1">
        <v>810</v>
      </c>
      <c r="S89" s="1"/>
      <c r="T89" s="1">
        <f t="shared" si="19"/>
        <v>555.86260000000004</v>
      </c>
      <c r="U89" s="5">
        <f t="shared" ref="U87:U89" si="25">11*T89-S89-R89-Q89-P89-O89-F89</f>
        <v>2394.1666599999999</v>
      </c>
      <c r="V89" s="1">
        <f t="shared" si="20"/>
        <v>11</v>
      </c>
      <c r="W89" s="1">
        <f t="shared" si="21"/>
        <v>6.692880470821386</v>
      </c>
      <c r="X89" s="1">
        <v>533.61320000000001</v>
      </c>
      <c r="Y89" s="1">
        <v>588.14440000000002</v>
      </c>
      <c r="Z89" s="1">
        <v>602.5548</v>
      </c>
      <c r="AA89" s="1">
        <v>562.23620000000005</v>
      </c>
      <c r="AB89" s="1">
        <v>529.54259999999999</v>
      </c>
      <c r="AC89" s="1">
        <v>466.50040000000001</v>
      </c>
      <c r="AD89" s="1">
        <v>384.19439999999997</v>
      </c>
      <c r="AE89" s="1">
        <v>552.39200000000005</v>
      </c>
      <c r="AF89" s="1">
        <v>575.57240000000002</v>
      </c>
      <c r="AG89" s="1">
        <v>383.57479999999998</v>
      </c>
      <c r="AH89" s="1"/>
      <c r="AI89" s="1">
        <f>G89*U89</f>
        <v>2394.1666599999999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0" t="s">
        <v>134</v>
      </c>
      <c r="B90" s="10" t="s">
        <v>38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8"/>
        <v>0</v>
      </c>
      <c r="M90" s="10"/>
      <c r="N90" s="10"/>
      <c r="O90" s="10">
        <v>0</v>
      </c>
      <c r="P90" s="10"/>
      <c r="Q90" s="10">
        <v>0</v>
      </c>
      <c r="R90" s="10"/>
      <c r="S90" s="10"/>
      <c r="T90" s="10">
        <f t="shared" si="19"/>
        <v>0</v>
      </c>
      <c r="U90" s="12"/>
      <c r="V90" s="10" t="e">
        <f t="shared" si="20"/>
        <v>#DIV/0!</v>
      </c>
      <c r="W90" s="10" t="e">
        <f t="shared" si="21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48</v>
      </c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135</v>
      </c>
      <c r="B91" s="1" t="s">
        <v>43</v>
      </c>
      <c r="C91" s="1"/>
      <c r="D91" s="1">
        <v>215</v>
      </c>
      <c r="E91" s="1">
        <v>101</v>
      </c>
      <c r="F91" s="1">
        <v>67</v>
      </c>
      <c r="G91" s="7">
        <v>0.3</v>
      </c>
      <c r="H91" s="1">
        <v>40</v>
      </c>
      <c r="I91" s="1" t="s">
        <v>39</v>
      </c>
      <c r="J91" s="1"/>
      <c r="K91" s="1">
        <v>146</v>
      </c>
      <c r="L91" s="1">
        <f t="shared" si="18"/>
        <v>-45</v>
      </c>
      <c r="M91" s="1"/>
      <c r="N91" s="1"/>
      <c r="O91" s="1">
        <v>97.004999999999995</v>
      </c>
      <c r="P91" s="1">
        <v>52.994999999999997</v>
      </c>
      <c r="Q91" s="1">
        <v>0</v>
      </c>
      <c r="R91" s="1"/>
      <c r="S91" s="1"/>
      <c r="T91" s="1">
        <f t="shared" si="19"/>
        <v>20.2</v>
      </c>
      <c r="U91" s="5">
        <f t="shared" ref="U91:U96" si="26">11*T91-S91-R91-Q91-P91-O91-F91</f>
        <v>5.1999999999999886</v>
      </c>
      <c r="V91" s="1">
        <f t="shared" si="20"/>
        <v>11</v>
      </c>
      <c r="W91" s="1">
        <f t="shared" si="21"/>
        <v>10.742574257425742</v>
      </c>
      <c r="X91" s="1">
        <v>15.4</v>
      </c>
      <c r="Y91" s="1">
        <v>13</v>
      </c>
      <c r="Z91" s="1">
        <v>4</v>
      </c>
      <c r="AA91" s="1">
        <v>1</v>
      </c>
      <c r="AB91" s="1">
        <v>-0.6</v>
      </c>
      <c r="AC91" s="1">
        <v>-0.6</v>
      </c>
      <c r="AD91" s="1">
        <v>0</v>
      </c>
      <c r="AE91" s="1">
        <v>0</v>
      </c>
      <c r="AF91" s="1">
        <v>-0.2</v>
      </c>
      <c r="AG91" s="1">
        <v>-0.4</v>
      </c>
      <c r="AH91" s="1"/>
      <c r="AI91" s="1">
        <f t="shared" ref="AI91:AI96" si="27">G91*U91</f>
        <v>1.5599999999999965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136</v>
      </c>
      <c r="B92" s="1" t="s">
        <v>43</v>
      </c>
      <c r="C92" s="1">
        <v>1</v>
      </c>
      <c r="D92" s="1">
        <v>10</v>
      </c>
      <c r="E92" s="1">
        <v>-2</v>
      </c>
      <c r="F92" s="1"/>
      <c r="G92" s="7">
        <v>0.3</v>
      </c>
      <c r="H92" s="1"/>
      <c r="I92" s="9" t="s">
        <v>50</v>
      </c>
      <c r="J92" s="1"/>
      <c r="K92" s="1">
        <v>14</v>
      </c>
      <c r="L92" s="1">
        <f t="shared" si="18"/>
        <v>-16</v>
      </c>
      <c r="M92" s="1"/>
      <c r="N92" s="1"/>
      <c r="O92" s="1">
        <v>0</v>
      </c>
      <c r="P92" s="1"/>
      <c r="Q92" s="1">
        <v>0</v>
      </c>
      <c r="R92" s="1"/>
      <c r="S92" s="1"/>
      <c r="T92" s="1">
        <f t="shared" si="19"/>
        <v>-0.4</v>
      </c>
      <c r="U92" s="5"/>
      <c r="V92" s="1">
        <f t="shared" si="20"/>
        <v>0</v>
      </c>
      <c r="W92" s="1">
        <f t="shared" si="21"/>
        <v>0</v>
      </c>
      <c r="X92" s="1">
        <v>-0.8</v>
      </c>
      <c r="Y92" s="1">
        <v>-1</v>
      </c>
      <c r="Z92" s="1">
        <v>1.8</v>
      </c>
      <c r="AA92" s="1">
        <v>11.4</v>
      </c>
      <c r="AB92" s="1">
        <v>19.399999999999999</v>
      </c>
      <c r="AC92" s="1">
        <v>18</v>
      </c>
      <c r="AD92" s="1">
        <v>14</v>
      </c>
      <c r="AE92" s="1">
        <v>16.600000000000001</v>
      </c>
      <c r="AF92" s="1">
        <v>10.8</v>
      </c>
      <c r="AG92" s="1">
        <v>0.6</v>
      </c>
      <c r="AH92" s="1"/>
      <c r="AI92" s="1">
        <f t="shared" si="27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137</v>
      </c>
      <c r="B93" s="1" t="s">
        <v>43</v>
      </c>
      <c r="C93" s="1">
        <v>1</v>
      </c>
      <c r="D93" s="1">
        <v>180</v>
      </c>
      <c r="E93" s="1">
        <v>43</v>
      </c>
      <c r="F93" s="1">
        <v>120</v>
      </c>
      <c r="G93" s="7">
        <v>7.0000000000000007E-2</v>
      </c>
      <c r="H93" s="1">
        <v>90</v>
      </c>
      <c r="I93" s="1" t="s">
        <v>39</v>
      </c>
      <c r="J93" s="1"/>
      <c r="K93" s="1">
        <v>52</v>
      </c>
      <c r="L93" s="1">
        <f t="shared" si="18"/>
        <v>-9</v>
      </c>
      <c r="M93" s="1"/>
      <c r="N93" s="1"/>
      <c r="O93" s="1">
        <v>0</v>
      </c>
      <c r="P93" s="1"/>
      <c r="Q93" s="1">
        <v>0</v>
      </c>
      <c r="R93" s="1"/>
      <c r="S93" s="1"/>
      <c r="T93" s="1">
        <f t="shared" si="19"/>
        <v>8.6</v>
      </c>
      <c r="U93" s="5"/>
      <c r="V93" s="1">
        <f t="shared" si="20"/>
        <v>13.953488372093023</v>
      </c>
      <c r="W93" s="1">
        <f t="shared" si="21"/>
        <v>13.953488372093023</v>
      </c>
      <c r="X93" s="1">
        <v>1</v>
      </c>
      <c r="Y93" s="1">
        <v>-0.4</v>
      </c>
      <c r="Z93" s="1">
        <v>0.6</v>
      </c>
      <c r="AA93" s="1">
        <v>6</v>
      </c>
      <c r="AB93" s="1">
        <v>11.8</v>
      </c>
      <c r="AC93" s="1">
        <v>6.6</v>
      </c>
      <c r="AD93" s="1">
        <v>1.4</v>
      </c>
      <c r="AE93" s="1">
        <v>6.2</v>
      </c>
      <c r="AF93" s="1">
        <v>10.8</v>
      </c>
      <c r="AG93" s="1">
        <v>6</v>
      </c>
      <c r="AH93" s="1"/>
      <c r="AI93" s="1">
        <f t="shared" si="27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138</v>
      </c>
      <c r="B94" s="1" t="s">
        <v>43</v>
      </c>
      <c r="C94" s="1"/>
      <c r="D94" s="1">
        <v>73</v>
      </c>
      <c r="E94" s="1">
        <v>-1</v>
      </c>
      <c r="F94" s="1">
        <v>61</v>
      </c>
      <c r="G94" s="7">
        <v>7.0000000000000007E-2</v>
      </c>
      <c r="H94" s="1">
        <v>90</v>
      </c>
      <c r="I94" s="1" t="s">
        <v>39</v>
      </c>
      <c r="J94" s="1"/>
      <c r="K94" s="1">
        <v>5</v>
      </c>
      <c r="L94" s="1">
        <f t="shared" si="18"/>
        <v>-6</v>
      </c>
      <c r="M94" s="1"/>
      <c r="N94" s="1"/>
      <c r="O94" s="1">
        <v>0</v>
      </c>
      <c r="P94" s="1"/>
      <c r="Q94" s="1">
        <v>40</v>
      </c>
      <c r="R94" s="1"/>
      <c r="S94" s="1"/>
      <c r="T94" s="1">
        <f t="shared" si="19"/>
        <v>-0.2</v>
      </c>
      <c r="U94" s="5"/>
      <c r="V94" s="1">
        <f t="shared" si="20"/>
        <v>-505</v>
      </c>
      <c r="W94" s="1">
        <f t="shared" si="21"/>
        <v>-505</v>
      </c>
      <c r="X94" s="1">
        <v>-0.2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1.6</v>
      </c>
      <c r="AE94" s="1">
        <v>7.6</v>
      </c>
      <c r="AF94" s="1">
        <v>9.6</v>
      </c>
      <c r="AG94" s="1">
        <v>4.5999999999999996</v>
      </c>
      <c r="AH94" s="1"/>
      <c r="AI94" s="1">
        <f t="shared" si="27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139</v>
      </c>
      <c r="B95" s="1" t="s">
        <v>43</v>
      </c>
      <c r="C95" s="1">
        <v>89</v>
      </c>
      <c r="D95" s="1">
        <v>110</v>
      </c>
      <c r="E95" s="1">
        <v>88</v>
      </c>
      <c r="F95" s="1">
        <v>67</v>
      </c>
      <c r="G95" s="7">
        <v>7.0000000000000007E-2</v>
      </c>
      <c r="H95" s="1">
        <v>90</v>
      </c>
      <c r="I95" s="1" t="s">
        <v>39</v>
      </c>
      <c r="J95" s="1"/>
      <c r="K95" s="1">
        <v>98</v>
      </c>
      <c r="L95" s="1">
        <f t="shared" si="18"/>
        <v>-10</v>
      </c>
      <c r="M95" s="1"/>
      <c r="N95" s="1"/>
      <c r="O95" s="1">
        <v>0</v>
      </c>
      <c r="P95" s="1"/>
      <c r="Q95" s="1">
        <v>89.791999999999987</v>
      </c>
      <c r="R95" s="1"/>
      <c r="S95" s="1"/>
      <c r="T95" s="1">
        <f t="shared" si="19"/>
        <v>17.600000000000001</v>
      </c>
      <c r="U95" s="5">
        <f t="shared" si="26"/>
        <v>36.808000000000035</v>
      </c>
      <c r="V95" s="1">
        <f t="shared" si="20"/>
        <v>11</v>
      </c>
      <c r="W95" s="1">
        <f t="shared" si="21"/>
        <v>8.9086363636363615</v>
      </c>
      <c r="X95" s="1">
        <v>17.399999999999999</v>
      </c>
      <c r="Y95" s="1">
        <v>14.8</v>
      </c>
      <c r="Z95" s="1">
        <v>9.1999999999999993</v>
      </c>
      <c r="AA95" s="1">
        <v>5.6</v>
      </c>
      <c r="AB95" s="1">
        <v>14.4</v>
      </c>
      <c r="AC95" s="1">
        <v>12</v>
      </c>
      <c r="AD95" s="1">
        <v>5.6</v>
      </c>
      <c r="AE95" s="1">
        <v>12.2</v>
      </c>
      <c r="AF95" s="1">
        <v>13.8</v>
      </c>
      <c r="AG95" s="1">
        <v>10</v>
      </c>
      <c r="AH95" s="1"/>
      <c r="AI95" s="1">
        <f t="shared" si="27"/>
        <v>2.5765600000000028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" t="s">
        <v>140</v>
      </c>
      <c r="B96" s="1" t="s">
        <v>43</v>
      </c>
      <c r="C96" s="1">
        <v>71</v>
      </c>
      <c r="D96" s="1">
        <v>157</v>
      </c>
      <c r="E96" s="1">
        <v>71</v>
      </c>
      <c r="F96" s="1">
        <v>104</v>
      </c>
      <c r="G96" s="7">
        <v>0.3</v>
      </c>
      <c r="H96" s="1"/>
      <c r="I96" s="1" t="s">
        <v>39</v>
      </c>
      <c r="J96" s="1"/>
      <c r="K96" s="1">
        <v>73</v>
      </c>
      <c r="L96" s="1">
        <f t="shared" si="18"/>
        <v>-2</v>
      </c>
      <c r="M96" s="1"/>
      <c r="N96" s="1"/>
      <c r="O96" s="1">
        <v>0</v>
      </c>
      <c r="P96" s="1"/>
      <c r="Q96" s="1">
        <v>14.42600000000002</v>
      </c>
      <c r="R96" s="1"/>
      <c r="S96" s="1"/>
      <c r="T96" s="1">
        <f t="shared" si="19"/>
        <v>14.2</v>
      </c>
      <c r="U96" s="5">
        <f t="shared" si="26"/>
        <v>37.773999999999972</v>
      </c>
      <c r="V96" s="1">
        <f t="shared" si="20"/>
        <v>11</v>
      </c>
      <c r="W96" s="1">
        <f t="shared" si="21"/>
        <v>8.3398591549295791</v>
      </c>
      <c r="X96" s="1">
        <v>12</v>
      </c>
      <c r="Y96" s="1">
        <v>3</v>
      </c>
      <c r="Z96" s="1">
        <v>8.1999999999999993</v>
      </c>
      <c r="AA96" s="1">
        <v>15</v>
      </c>
      <c r="AB96" s="1">
        <v>16.8</v>
      </c>
      <c r="AC96" s="1">
        <v>11.8</v>
      </c>
      <c r="AD96" s="1">
        <v>9</v>
      </c>
      <c r="AE96" s="1">
        <v>18.600000000000001</v>
      </c>
      <c r="AF96" s="1">
        <v>14.6</v>
      </c>
      <c r="AG96" s="1">
        <v>1.4</v>
      </c>
      <c r="AH96" s="1"/>
      <c r="AI96" s="1">
        <f t="shared" si="27"/>
        <v>11.332199999999991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0" t="s">
        <v>141</v>
      </c>
      <c r="B97" s="10" t="s">
        <v>43</v>
      </c>
      <c r="C97" s="10">
        <v>1</v>
      </c>
      <c r="D97" s="10"/>
      <c r="E97" s="10">
        <v>-5</v>
      </c>
      <c r="F97" s="10"/>
      <c r="G97" s="11">
        <v>0</v>
      </c>
      <c r="H97" s="10"/>
      <c r="I97" s="10" t="s">
        <v>39</v>
      </c>
      <c r="J97" s="10"/>
      <c r="K97" s="10">
        <v>4</v>
      </c>
      <c r="L97" s="10">
        <f t="shared" si="18"/>
        <v>-9</v>
      </c>
      <c r="M97" s="10"/>
      <c r="N97" s="10"/>
      <c r="O97" s="10">
        <v>0</v>
      </c>
      <c r="P97" s="10"/>
      <c r="Q97" s="10">
        <v>0</v>
      </c>
      <c r="R97" s="10"/>
      <c r="S97" s="10"/>
      <c r="T97" s="10">
        <f t="shared" si="19"/>
        <v>-1</v>
      </c>
      <c r="U97" s="12"/>
      <c r="V97" s="10">
        <f t="shared" si="20"/>
        <v>0</v>
      </c>
      <c r="W97" s="10">
        <f t="shared" si="21"/>
        <v>0</v>
      </c>
      <c r="X97" s="10">
        <v>3.8</v>
      </c>
      <c r="Y97" s="10">
        <v>4.5999999999999996</v>
      </c>
      <c r="Z97" s="10">
        <v>1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48</v>
      </c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0" t="s">
        <v>142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39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/>
      <c r="Q98" s="10">
        <v>0</v>
      </c>
      <c r="R98" s="10"/>
      <c r="S98" s="10"/>
      <c r="T98" s="10">
        <f t="shared" si="19"/>
        <v>0</v>
      </c>
      <c r="U98" s="12"/>
      <c r="V98" s="10" t="e">
        <f t="shared" si="20"/>
        <v>#DIV/0!</v>
      </c>
      <c r="W98" s="10" t="e">
        <f t="shared" si="21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48</v>
      </c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143</v>
      </c>
      <c r="B99" s="1" t="s">
        <v>43</v>
      </c>
      <c r="C99" s="1">
        <v>39</v>
      </c>
      <c r="D99" s="1">
        <v>384</v>
      </c>
      <c r="E99" s="1">
        <v>100</v>
      </c>
      <c r="F99" s="1">
        <v>244</v>
      </c>
      <c r="G99" s="7">
        <v>0.08</v>
      </c>
      <c r="H99" s="1">
        <v>45</v>
      </c>
      <c r="I99" s="1" t="s">
        <v>39</v>
      </c>
      <c r="J99" s="1"/>
      <c r="K99" s="1">
        <v>107</v>
      </c>
      <c r="L99" s="1">
        <f t="shared" si="18"/>
        <v>-7</v>
      </c>
      <c r="M99" s="1"/>
      <c r="N99" s="1"/>
      <c r="O99" s="1">
        <v>0</v>
      </c>
      <c r="P99" s="1"/>
      <c r="Q99" s="1">
        <v>0</v>
      </c>
      <c r="R99" s="1"/>
      <c r="S99" s="1"/>
      <c r="T99" s="1">
        <f t="shared" si="19"/>
        <v>20</v>
      </c>
      <c r="U99" s="5"/>
      <c r="V99" s="1">
        <f t="shared" si="20"/>
        <v>12.2</v>
      </c>
      <c r="W99" s="1">
        <f t="shared" si="21"/>
        <v>12.2</v>
      </c>
      <c r="X99" s="1">
        <v>19</v>
      </c>
      <c r="Y99" s="1">
        <v>13.6</v>
      </c>
      <c r="Z99" s="1">
        <v>22.2</v>
      </c>
      <c r="AA99" s="1">
        <v>22.8</v>
      </c>
      <c r="AB99" s="1">
        <v>20</v>
      </c>
      <c r="AC99" s="1">
        <v>15.4</v>
      </c>
      <c r="AD99" s="1">
        <v>10</v>
      </c>
      <c r="AE99" s="1">
        <v>16</v>
      </c>
      <c r="AF99" s="1">
        <v>14.8</v>
      </c>
      <c r="AG99" s="1">
        <v>10.4</v>
      </c>
      <c r="AH99" s="1"/>
      <c r="AI99" s="1">
        <f>G99*U99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144</v>
      </c>
      <c r="B100" s="1" t="s">
        <v>43</v>
      </c>
      <c r="C100" s="1">
        <v>125</v>
      </c>
      <c r="D100" s="1">
        <v>309</v>
      </c>
      <c r="E100" s="1">
        <v>201</v>
      </c>
      <c r="F100" s="1">
        <v>188</v>
      </c>
      <c r="G100" s="7">
        <v>0.08</v>
      </c>
      <c r="H100" s="1">
        <v>45</v>
      </c>
      <c r="I100" s="1" t="s">
        <v>39</v>
      </c>
      <c r="J100" s="1"/>
      <c r="K100" s="1">
        <v>217</v>
      </c>
      <c r="L100" s="1">
        <f t="shared" si="18"/>
        <v>-16</v>
      </c>
      <c r="M100" s="1"/>
      <c r="N100" s="1"/>
      <c r="O100" s="1">
        <v>0</v>
      </c>
      <c r="P100" s="1"/>
      <c r="Q100" s="1">
        <v>24.200000000000049</v>
      </c>
      <c r="R100" s="1"/>
      <c r="S100" s="1"/>
      <c r="T100" s="1">
        <f t="shared" si="19"/>
        <v>40.200000000000003</v>
      </c>
      <c r="U100" s="5">
        <f t="shared" ref="U99:U100" si="28">11*T100-S100-R100-Q100-P100-O100-F100</f>
        <v>230</v>
      </c>
      <c r="V100" s="1">
        <f t="shared" si="20"/>
        <v>11</v>
      </c>
      <c r="W100" s="1">
        <f t="shared" si="21"/>
        <v>5.2786069651741299</v>
      </c>
      <c r="X100" s="1">
        <v>24.6</v>
      </c>
      <c r="Y100" s="1">
        <v>11.2</v>
      </c>
      <c r="Z100" s="1">
        <v>21.6</v>
      </c>
      <c r="AA100" s="1">
        <v>20.6</v>
      </c>
      <c r="AB100" s="1">
        <v>24.4</v>
      </c>
      <c r="AC100" s="1">
        <v>19.600000000000001</v>
      </c>
      <c r="AD100" s="1">
        <v>13.6</v>
      </c>
      <c r="AE100" s="1">
        <v>22.6</v>
      </c>
      <c r="AF100" s="1">
        <v>19.8</v>
      </c>
      <c r="AG100" s="1">
        <v>14.4</v>
      </c>
      <c r="AH100" s="1"/>
      <c r="AI100" s="1">
        <f>G100*U100</f>
        <v>18.400000000000002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0" t="s">
        <v>145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8"/>
        <v>0</v>
      </c>
      <c r="M101" s="10"/>
      <c r="N101" s="10"/>
      <c r="O101" s="10">
        <v>0</v>
      </c>
      <c r="P101" s="10"/>
      <c r="Q101" s="10">
        <v>0</v>
      </c>
      <c r="R101" s="10"/>
      <c r="S101" s="10"/>
      <c r="T101" s="10">
        <f t="shared" si="19"/>
        <v>0</v>
      </c>
      <c r="U101" s="12"/>
      <c r="V101" s="10" t="e">
        <f t="shared" si="20"/>
        <v>#DIV/0!</v>
      </c>
      <c r="W101" s="10" t="e">
        <f t="shared" si="21"/>
        <v>#DIV/0!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 t="s">
        <v>48</v>
      </c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 t="s">
        <v>146</v>
      </c>
      <c r="B102" s="1" t="s">
        <v>38</v>
      </c>
      <c r="C102" s="1">
        <v>-1.3</v>
      </c>
      <c r="D102" s="1">
        <v>667.50199999999995</v>
      </c>
      <c r="E102" s="1">
        <v>303.34899999999999</v>
      </c>
      <c r="F102" s="1">
        <v>194.267</v>
      </c>
      <c r="G102" s="7">
        <v>1</v>
      </c>
      <c r="H102" s="1">
        <v>40</v>
      </c>
      <c r="I102" s="1" t="s">
        <v>39</v>
      </c>
      <c r="J102" s="1"/>
      <c r="K102" s="1">
        <v>320.10000000000002</v>
      </c>
      <c r="L102" s="1">
        <f t="shared" ref="L102:L133" si="29">E102-K102</f>
        <v>-16.751000000000033</v>
      </c>
      <c r="M102" s="1"/>
      <c r="N102" s="1"/>
      <c r="O102" s="1">
        <v>100</v>
      </c>
      <c r="P102" s="1"/>
      <c r="Q102" s="1">
        <v>0</v>
      </c>
      <c r="R102" s="1"/>
      <c r="S102" s="1"/>
      <c r="T102" s="1">
        <f t="shared" ref="T102:T130" si="30">E102/5</f>
        <v>60.669799999999995</v>
      </c>
      <c r="U102" s="5">
        <f t="shared" ref="U102:U104" si="31">11*T102-S102-R102-Q102-P102-O102-F102</f>
        <v>373.10079999999999</v>
      </c>
      <c r="V102" s="1">
        <f t="shared" ref="V102:V133" si="32">(F102+O102+P102+Q102+R102+S102+U102)/T102</f>
        <v>11</v>
      </c>
      <c r="W102" s="1">
        <f t="shared" ref="W102:W130" si="33">(F102+O102+P102+Q102+R102+S102)/T102</f>
        <v>4.8503044348258939</v>
      </c>
      <c r="X102" s="1">
        <v>16.82</v>
      </c>
      <c r="Y102" s="1">
        <v>20.16</v>
      </c>
      <c r="Z102" s="1">
        <v>35.839799999999997</v>
      </c>
      <c r="AA102" s="1">
        <v>45.436199999999999</v>
      </c>
      <c r="AB102" s="1">
        <v>34.459000000000003</v>
      </c>
      <c r="AC102" s="1">
        <v>16.585999999999999</v>
      </c>
      <c r="AD102" s="1">
        <v>0</v>
      </c>
      <c r="AE102" s="1">
        <v>20.5106</v>
      </c>
      <c r="AF102" s="1">
        <v>20.366599999999998</v>
      </c>
      <c r="AG102" s="1">
        <v>-0.28820000000000001</v>
      </c>
      <c r="AH102" s="1"/>
      <c r="AI102" s="1">
        <f>G102*U102</f>
        <v>373.10079999999999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" t="s">
        <v>147</v>
      </c>
      <c r="B103" s="1" t="s">
        <v>38</v>
      </c>
      <c r="C103" s="1">
        <v>65.069999999999993</v>
      </c>
      <c r="D103" s="1">
        <v>283.17</v>
      </c>
      <c r="E103" s="1">
        <v>236.94900000000001</v>
      </c>
      <c r="F103" s="1">
        <v>0.71699999999999997</v>
      </c>
      <c r="G103" s="7">
        <v>1</v>
      </c>
      <c r="H103" s="1">
        <v>40</v>
      </c>
      <c r="I103" s="1" t="s">
        <v>39</v>
      </c>
      <c r="J103" s="1"/>
      <c r="K103" s="1">
        <v>321.56</v>
      </c>
      <c r="L103" s="1">
        <f t="shared" si="29"/>
        <v>-84.61099999999999</v>
      </c>
      <c r="M103" s="1"/>
      <c r="N103" s="1"/>
      <c r="O103" s="1">
        <v>100</v>
      </c>
      <c r="P103" s="1"/>
      <c r="Q103" s="1">
        <v>226.62187200000011</v>
      </c>
      <c r="R103" s="1"/>
      <c r="S103" s="1"/>
      <c r="T103" s="1">
        <f t="shared" si="30"/>
        <v>47.389800000000001</v>
      </c>
      <c r="U103" s="5">
        <f t="shared" si="31"/>
        <v>193.94892799999994</v>
      </c>
      <c r="V103" s="1">
        <f t="shared" si="32"/>
        <v>11.000000000000002</v>
      </c>
      <c r="W103" s="1">
        <f t="shared" si="33"/>
        <v>6.9073697715542179</v>
      </c>
      <c r="X103" s="1">
        <v>37.918400000000013</v>
      </c>
      <c r="Y103" s="1">
        <v>27.995999999999999</v>
      </c>
      <c r="Z103" s="1">
        <v>6.5793999999999997</v>
      </c>
      <c r="AA103" s="1">
        <v>-0.29099999999999998</v>
      </c>
      <c r="AB103" s="1">
        <v>0.28179999999999999</v>
      </c>
      <c r="AC103" s="1">
        <v>12.805999999999999</v>
      </c>
      <c r="AD103" s="1">
        <v>12.2332</v>
      </c>
      <c r="AE103" s="1">
        <v>15.862399999999999</v>
      </c>
      <c r="AF103" s="1">
        <v>15.4284</v>
      </c>
      <c r="AG103" s="1">
        <v>11.6716</v>
      </c>
      <c r="AH103" s="1"/>
      <c r="AI103" s="1">
        <f>G103*U103</f>
        <v>193.94892799999994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148</v>
      </c>
      <c r="B104" s="1" t="s">
        <v>38</v>
      </c>
      <c r="C104" s="1">
        <v>132.69399999999999</v>
      </c>
      <c r="D104" s="1">
        <v>263.24099999999999</v>
      </c>
      <c r="E104" s="1">
        <v>287.57400000000001</v>
      </c>
      <c r="F104" s="1">
        <v>4.9930000000000003</v>
      </c>
      <c r="G104" s="7">
        <v>1</v>
      </c>
      <c r="H104" s="1">
        <v>40</v>
      </c>
      <c r="I104" s="9" t="s">
        <v>50</v>
      </c>
      <c r="J104" s="1"/>
      <c r="K104" s="1">
        <v>381.68</v>
      </c>
      <c r="L104" s="1">
        <f t="shared" si="29"/>
        <v>-94.105999999999995</v>
      </c>
      <c r="M104" s="1"/>
      <c r="N104" s="1"/>
      <c r="O104" s="1">
        <v>116.40600000000001</v>
      </c>
      <c r="P104" s="1">
        <v>63.594000000000001</v>
      </c>
      <c r="Q104" s="1">
        <v>269.64875200000012</v>
      </c>
      <c r="R104" s="1"/>
      <c r="S104" s="1">
        <v>50</v>
      </c>
      <c r="T104" s="1">
        <f t="shared" si="30"/>
        <v>57.514800000000001</v>
      </c>
      <c r="U104" s="5">
        <f t="shared" si="31"/>
        <v>128.02104799999995</v>
      </c>
      <c r="V104" s="1">
        <f t="shared" si="32"/>
        <v>11</v>
      </c>
      <c r="W104" s="1">
        <f t="shared" si="33"/>
        <v>8.7741199134831405</v>
      </c>
      <c r="X104" s="1">
        <v>52.259400000000007</v>
      </c>
      <c r="Y104" s="1">
        <v>25.209599999999998</v>
      </c>
      <c r="Z104" s="1">
        <v>9.3978000000000002</v>
      </c>
      <c r="AA104" s="1">
        <v>0.58120000000000005</v>
      </c>
      <c r="AB104" s="1">
        <v>17.0002</v>
      </c>
      <c r="AC104" s="1">
        <v>17.857399999999998</v>
      </c>
      <c r="AD104" s="1">
        <v>0</v>
      </c>
      <c r="AE104" s="1">
        <v>0</v>
      </c>
      <c r="AF104" s="1">
        <v>-0.14299999999999999</v>
      </c>
      <c r="AG104" s="1">
        <v>-0.28339999999999999</v>
      </c>
      <c r="AH104" s="1"/>
      <c r="AI104" s="1">
        <f>G104*U104</f>
        <v>128.02104799999995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0" t="s">
        <v>149</v>
      </c>
      <c r="B105" s="10" t="s">
        <v>43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29"/>
        <v>0</v>
      </c>
      <c r="M105" s="10"/>
      <c r="N105" s="10"/>
      <c r="O105" s="10">
        <v>0</v>
      </c>
      <c r="P105" s="10"/>
      <c r="Q105" s="10">
        <v>0</v>
      </c>
      <c r="R105" s="10"/>
      <c r="S105" s="10"/>
      <c r="T105" s="10">
        <f t="shared" si="30"/>
        <v>0</v>
      </c>
      <c r="U105" s="12"/>
      <c r="V105" s="10" t="e">
        <f t="shared" si="32"/>
        <v>#DIV/0!</v>
      </c>
      <c r="W105" s="10" t="e">
        <f t="shared" si="33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150</v>
      </c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151</v>
      </c>
      <c r="B106" s="1" t="s">
        <v>43</v>
      </c>
      <c r="C106" s="1"/>
      <c r="D106" s="1">
        <v>105</v>
      </c>
      <c r="E106" s="1">
        <v>26</v>
      </c>
      <c r="F106" s="1">
        <v>12</v>
      </c>
      <c r="G106" s="7">
        <v>0.28000000000000003</v>
      </c>
      <c r="H106" s="1">
        <v>40</v>
      </c>
      <c r="I106" s="9" t="s">
        <v>50</v>
      </c>
      <c r="J106" s="1"/>
      <c r="K106" s="1">
        <v>50</v>
      </c>
      <c r="L106" s="1">
        <f t="shared" si="29"/>
        <v>-24</v>
      </c>
      <c r="M106" s="1"/>
      <c r="N106" s="1"/>
      <c r="O106" s="1">
        <v>40</v>
      </c>
      <c r="P106" s="1"/>
      <c r="Q106" s="1">
        <v>0</v>
      </c>
      <c r="R106" s="1"/>
      <c r="S106" s="1"/>
      <c r="T106" s="1">
        <f t="shared" si="30"/>
        <v>5.2</v>
      </c>
      <c r="U106" s="5">
        <f t="shared" ref="U106:U108" si="34">11*T106-S106-R106-Q106-P106-O106-F106</f>
        <v>5.2000000000000028</v>
      </c>
      <c r="V106" s="1">
        <f t="shared" si="32"/>
        <v>11</v>
      </c>
      <c r="W106" s="1">
        <f t="shared" si="33"/>
        <v>10</v>
      </c>
      <c r="X106" s="1">
        <v>18</v>
      </c>
      <c r="Y106" s="1">
        <v>39.6</v>
      </c>
      <c r="Z106" s="1">
        <v>48.6</v>
      </c>
      <c r="AA106" s="1">
        <v>43.6</v>
      </c>
      <c r="AB106" s="1">
        <v>34.4</v>
      </c>
      <c r="AC106" s="1">
        <v>17.399999999999999</v>
      </c>
      <c r="AD106" s="1">
        <v>-1</v>
      </c>
      <c r="AE106" s="1">
        <v>-0.6</v>
      </c>
      <c r="AF106" s="1">
        <v>28.2</v>
      </c>
      <c r="AG106" s="1">
        <v>28.6</v>
      </c>
      <c r="AH106" s="1"/>
      <c r="AI106" s="1">
        <f>G106*U106</f>
        <v>1.4560000000000008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" t="s">
        <v>152</v>
      </c>
      <c r="B107" s="1" t="s">
        <v>43</v>
      </c>
      <c r="C107" s="1">
        <v>222</v>
      </c>
      <c r="D107" s="1">
        <v>95</v>
      </c>
      <c r="E107" s="1">
        <v>233</v>
      </c>
      <c r="F107" s="1">
        <v>34</v>
      </c>
      <c r="G107" s="7">
        <v>0.28000000000000003</v>
      </c>
      <c r="H107" s="1">
        <v>40</v>
      </c>
      <c r="I107" s="9" t="s">
        <v>50</v>
      </c>
      <c r="J107" s="1"/>
      <c r="K107" s="1">
        <v>280</v>
      </c>
      <c r="L107" s="1">
        <f t="shared" si="29"/>
        <v>-47</v>
      </c>
      <c r="M107" s="1"/>
      <c r="N107" s="1"/>
      <c r="O107" s="1">
        <v>25.399999999999981</v>
      </c>
      <c r="P107" s="1"/>
      <c r="Q107" s="1">
        <v>413.68799999999999</v>
      </c>
      <c r="R107" s="1"/>
      <c r="S107" s="1"/>
      <c r="T107" s="1">
        <f t="shared" si="30"/>
        <v>46.6</v>
      </c>
      <c r="U107" s="5">
        <f t="shared" si="34"/>
        <v>39.512000000000057</v>
      </c>
      <c r="V107" s="1">
        <f t="shared" si="32"/>
        <v>11</v>
      </c>
      <c r="W107" s="1">
        <f t="shared" si="33"/>
        <v>10.152103004291844</v>
      </c>
      <c r="X107" s="1">
        <v>73.599999999999994</v>
      </c>
      <c r="Y107" s="1">
        <v>38.4</v>
      </c>
      <c r="Z107" s="1">
        <v>12.6</v>
      </c>
      <c r="AA107" s="1">
        <v>5.8</v>
      </c>
      <c r="AB107" s="1">
        <v>1</v>
      </c>
      <c r="AC107" s="1">
        <v>33.6</v>
      </c>
      <c r="AD107" s="1">
        <v>47.8</v>
      </c>
      <c r="AE107" s="1">
        <v>45.6</v>
      </c>
      <c r="AF107" s="1">
        <v>29.2</v>
      </c>
      <c r="AG107" s="1">
        <v>-1</v>
      </c>
      <c r="AH107" s="1"/>
      <c r="AI107" s="1">
        <f>G107*U107</f>
        <v>11.063360000000017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153</v>
      </c>
      <c r="B108" s="1" t="s">
        <v>43</v>
      </c>
      <c r="C108" s="1">
        <v>2</v>
      </c>
      <c r="D108" s="1">
        <v>93</v>
      </c>
      <c r="E108" s="1">
        <v>13</v>
      </c>
      <c r="F108" s="1">
        <v>3</v>
      </c>
      <c r="G108" s="7">
        <v>0.28000000000000003</v>
      </c>
      <c r="H108" s="1">
        <v>40</v>
      </c>
      <c r="I108" s="9" t="s">
        <v>50</v>
      </c>
      <c r="J108" s="1"/>
      <c r="K108" s="1">
        <v>69</v>
      </c>
      <c r="L108" s="1">
        <f t="shared" si="29"/>
        <v>-56</v>
      </c>
      <c r="M108" s="1"/>
      <c r="N108" s="1"/>
      <c r="O108" s="1">
        <v>156.37206</v>
      </c>
      <c r="P108" s="1">
        <v>85.427939999999978</v>
      </c>
      <c r="Q108" s="1">
        <v>39.80000000000004</v>
      </c>
      <c r="R108" s="1"/>
      <c r="S108" s="1"/>
      <c r="T108" s="1">
        <f t="shared" si="30"/>
        <v>2.6</v>
      </c>
      <c r="U108" s="5"/>
      <c r="V108" s="1">
        <f t="shared" si="32"/>
        <v>109.46153846153847</v>
      </c>
      <c r="W108" s="1">
        <f t="shared" si="33"/>
        <v>109.46153846153847</v>
      </c>
      <c r="X108" s="1">
        <v>27.8</v>
      </c>
      <c r="Y108" s="1">
        <v>35.799999999999997</v>
      </c>
      <c r="Z108" s="1">
        <v>6</v>
      </c>
      <c r="AA108" s="1">
        <v>-0.4</v>
      </c>
      <c r="AB108" s="1">
        <v>-0.2</v>
      </c>
      <c r="AC108" s="1">
        <v>-0.2</v>
      </c>
      <c r="AD108" s="1">
        <v>-0.2</v>
      </c>
      <c r="AE108" s="1">
        <v>19.600000000000001</v>
      </c>
      <c r="AF108" s="1">
        <v>49.2</v>
      </c>
      <c r="AG108" s="1">
        <v>29.4</v>
      </c>
      <c r="AH108" s="1"/>
      <c r="AI108" s="1">
        <f>G108*U108</f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0" t="s">
        <v>154</v>
      </c>
      <c r="B109" s="10" t="s">
        <v>43</v>
      </c>
      <c r="C109" s="10"/>
      <c r="D109" s="10"/>
      <c r="E109" s="10"/>
      <c r="F109" s="10"/>
      <c r="G109" s="11">
        <v>0</v>
      </c>
      <c r="H109" s="10"/>
      <c r="I109" s="10" t="s">
        <v>39</v>
      </c>
      <c r="J109" s="10"/>
      <c r="K109" s="10"/>
      <c r="L109" s="10">
        <f t="shared" si="29"/>
        <v>0</v>
      </c>
      <c r="M109" s="10"/>
      <c r="N109" s="10"/>
      <c r="O109" s="10">
        <v>0</v>
      </c>
      <c r="P109" s="10"/>
      <c r="Q109" s="10">
        <v>0</v>
      </c>
      <c r="R109" s="10"/>
      <c r="S109" s="10"/>
      <c r="T109" s="10">
        <f t="shared" si="30"/>
        <v>0</v>
      </c>
      <c r="U109" s="12"/>
      <c r="V109" s="10" t="e">
        <f t="shared" si="32"/>
        <v>#DIV/0!</v>
      </c>
      <c r="W109" s="10" t="e">
        <f t="shared" si="33"/>
        <v>#DIV/0!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 t="s">
        <v>48</v>
      </c>
      <c r="AI109" s="10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155</v>
      </c>
      <c r="B110" s="1" t="s">
        <v>38</v>
      </c>
      <c r="C110" s="1">
        <v>102.187</v>
      </c>
      <c r="D110" s="1">
        <v>5.0000000000000001E-3</v>
      </c>
      <c r="E110" s="1">
        <v>22.22</v>
      </c>
      <c r="F110" s="1">
        <v>71.724999999999994</v>
      </c>
      <c r="G110" s="7">
        <v>1</v>
      </c>
      <c r="H110" s="1">
        <v>60</v>
      </c>
      <c r="I110" s="1" t="s">
        <v>39</v>
      </c>
      <c r="J110" s="1"/>
      <c r="K110" s="1">
        <v>22.5</v>
      </c>
      <c r="L110" s="1">
        <f t="shared" si="29"/>
        <v>-0.28000000000000114</v>
      </c>
      <c r="M110" s="1"/>
      <c r="N110" s="1"/>
      <c r="O110" s="1">
        <v>0</v>
      </c>
      <c r="P110" s="1"/>
      <c r="Q110" s="1">
        <v>0</v>
      </c>
      <c r="R110" s="1"/>
      <c r="S110" s="1"/>
      <c r="T110" s="1">
        <f t="shared" si="30"/>
        <v>4.444</v>
      </c>
      <c r="U110" s="5"/>
      <c r="V110" s="1">
        <f t="shared" si="32"/>
        <v>16.139738973897387</v>
      </c>
      <c r="W110" s="1">
        <f t="shared" si="33"/>
        <v>16.139738973897387</v>
      </c>
      <c r="X110" s="1">
        <v>3.464</v>
      </c>
      <c r="Y110" s="1">
        <v>2.4792000000000001</v>
      </c>
      <c r="Z110" s="1">
        <v>2.9740000000000002</v>
      </c>
      <c r="AA110" s="1">
        <v>4.4543999999999997</v>
      </c>
      <c r="AB110" s="1">
        <v>6.4551999999999996</v>
      </c>
      <c r="AC110" s="1">
        <v>4.9847999999999999</v>
      </c>
      <c r="AD110" s="1">
        <v>1.3324</v>
      </c>
      <c r="AE110" s="1">
        <v>0.84160000000000001</v>
      </c>
      <c r="AF110" s="1">
        <v>5.0156000000000001</v>
      </c>
      <c r="AG110" s="1">
        <v>13.5182</v>
      </c>
      <c r="AH110" s="13" t="s">
        <v>109</v>
      </c>
      <c r="AI110" s="1">
        <f>G110*U110</f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156</v>
      </c>
      <c r="B111" s="1" t="s">
        <v>38</v>
      </c>
      <c r="C111" s="1">
        <v>33.043999999999997</v>
      </c>
      <c r="D111" s="1">
        <v>72.662000000000006</v>
      </c>
      <c r="E111" s="1">
        <v>17.506</v>
      </c>
      <c r="F111" s="1">
        <v>72.447000000000003</v>
      </c>
      <c r="G111" s="7">
        <v>1</v>
      </c>
      <c r="H111" s="1">
        <v>50</v>
      </c>
      <c r="I111" s="1" t="s">
        <v>39</v>
      </c>
      <c r="J111" s="1"/>
      <c r="K111" s="1">
        <v>17.5</v>
      </c>
      <c r="L111" s="1">
        <f t="shared" si="29"/>
        <v>6.0000000000002274E-3</v>
      </c>
      <c r="M111" s="1"/>
      <c r="N111" s="1"/>
      <c r="O111" s="1">
        <v>0</v>
      </c>
      <c r="P111" s="1"/>
      <c r="Q111" s="1">
        <v>0</v>
      </c>
      <c r="R111" s="1"/>
      <c r="S111" s="1"/>
      <c r="T111" s="1">
        <f t="shared" si="30"/>
        <v>3.5011999999999999</v>
      </c>
      <c r="U111" s="5"/>
      <c r="V111" s="1">
        <f t="shared" si="32"/>
        <v>20.692048440534677</v>
      </c>
      <c r="W111" s="1">
        <f t="shared" si="33"/>
        <v>20.692048440534677</v>
      </c>
      <c r="X111" s="1">
        <v>5.0267999999999997</v>
      </c>
      <c r="Y111" s="1">
        <v>4.0392000000000001</v>
      </c>
      <c r="Z111" s="1">
        <v>3.0364</v>
      </c>
      <c r="AA111" s="1">
        <v>5.5724</v>
      </c>
      <c r="AB111" s="1">
        <v>9.1123999999999992</v>
      </c>
      <c r="AC111" s="1">
        <v>6.056</v>
      </c>
      <c r="AD111" s="1">
        <v>3.4940000000000002</v>
      </c>
      <c r="AE111" s="1">
        <v>4.9979999999999993</v>
      </c>
      <c r="AF111" s="1">
        <v>5.8792</v>
      </c>
      <c r="AG111" s="1">
        <v>11.348599999999999</v>
      </c>
      <c r="AH111" s="16" t="s">
        <v>128</v>
      </c>
      <c r="AI111" s="1">
        <f>G111*U111</f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157</v>
      </c>
      <c r="B112" s="1" t="s">
        <v>43</v>
      </c>
      <c r="C112" s="1">
        <v>36</v>
      </c>
      <c r="D112" s="1">
        <v>69</v>
      </c>
      <c r="E112" s="1">
        <v>48</v>
      </c>
      <c r="F112" s="1">
        <v>38</v>
      </c>
      <c r="G112" s="7">
        <v>0.09</v>
      </c>
      <c r="H112" s="1"/>
      <c r="I112" s="1" t="s">
        <v>39</v>
      </c>
      <c r="J112" s="1"/>
      <c r="K112" s="1">
        <v>59</v>
      </c>
      <c r="L112" s="1">
        <f t="shared" si="29"/>
        <v>-11</v>
      </c>
      <c r="M112" s="1"/>
      <c r="N112" s="1"/>
      <c r="O112" s="1">
        <v>6.8000000000000114</v>
      </c>
      <c r="P112" s="1"/>
      <c r="Q112" s="1">
        <v>89</v>
      </c>
      <c r="R112" s="1"/>
      <c r="S112" s="1"/>
      <c r="T112" s="1">
        <f t="shared" si="30"/>
        <v>9.6</v>
      </c>
      <c r="U112" s="5"/>
      <c r="V112" s="1">
        <f t="shared" si="32"/>
        <v>13.937500000000002</v>
      </c>
      <c r="W112" s="1">
        <f t="shared" si="33"/>
        <v>13.937500000000002</v>
      </c>
      <c r="X112" s="1">
        <v>12.4</v>
      </c>
      <c r="Y112" s="1">
        <v>9.1999999999999993</v>
      </c>
      <c r="Z112" s="1">
        <v>7</v>
      </c>
      <c r="AA112" s="1">
        <v>8.8000000000000007</v>
      </c>
      <c r="AB112" s="1">
        <v>11.6</v>
      </c>
      <c r="AC112" s="1">
        <v>9.8000000000000007</v>
      </c>
      <c r="AD112" s="1">
        <v>6.6</v>
      </c>
      <c r="AE112" s="1">
        <v>5</v>
      </c>
      <c r="AF112" s="1">
        <v>2.8</v>
      </c>
      <c r="AG112" s="1">
        <v>0.4</v>
      </c>
      <c r="AH112" s="1"/>
      <c r="AI112" s="1">
        <f>G112*U112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0" t="s">
        <v>158</v>
      </c>
      <c r="B113" s="10" t="s">
        <v>43</v>
      </c>
      <c r="C113" s="10"/>
      <c r="D113" s="10"/>
      <c r="E113" s="10"/>
      <c r="F113" s="10"/>
      <c r="G113" s="11">
        <v>0</v>
      </c>
      <c r="H113" s="10"/>
      <c r="I113" s="10" t="s">
        <v>39</v>
      </c>
      <c r="J113" s="10"/>
      <c r="K113" s="10"/>
      <c r="L113" s="10">
        <f t="shared" si="29"/>
        <v>0</v>
      </c>
      <c r="M113" s="10"/>
      <c r="N113" s="10"/>
      <c r="O113" s="10">
        <v>0</v>
      </c>
      <c r="P113" s="10"/>
      <c r="Q113" s="10">
        <v>0</v>
      </c>
      <c r="R113" s="10"/>
      <c r="S113" s="10"/>
      <c r="T113" s="10">
        <f t="shared" si="30"/>
        <v>0</v>
      </c>
      <c r="U113" s="12"/>
      <c r="V113" s="10" t="e">
        <f t="shared" si="32"/>
        <v>#DIV/0!</v>
      </c>
      <c r="W113" s="10" t="e">
        <f t="shared" si="33"/>
        <v>#DIV/0!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 t="s">
        <v>48</v>
      </c>
      <c r="AI113" s="10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159</v>
      </c>
      <c r="B114" s="1" t="s">
        <v>38</v>
      </c>
      <c r="C114" s="1">
        <v>53.634</v>
      </c>
      <c r="D114" s="1">
        <v>532.77300000000002</v>
      </c>
      <c r="E114" s="1">
        <v>165.54499999999999</v>
      </c>
      <c r="F114" s="1">
        <v>314.44299999999998</v>
      </c>
      <c r="G114" s="7">
        <v>1</v>
      </c>
      <c r="H114" s="1">
        <v>60</v>
      </c>
      <c r="I114" s="1" t="s">
        <v>39</v>
      </c>
      <c r="J114" s="1"/>
      <c r="K114" s="1">
        <v>166.75</v>
      </c>
      <c r="L114" s="1">
        <f t="shared" si="29"/>
        <v>-1.2050000000000125</v>
      </c>
      <c r="M114" s="1"/>
      <c r="N114" s="1"/>
      <c r="O114" s="1">
        <v>100</v>
      </c>
      <c r="P114" s="1"/>
      <c r="Q114" s="1">
        <v>0</v>
      </c>
      <c r="R114" s="1"/>
      <c r="S114" s="1"/>
      <c r="T114" s="1">
        <f t="shared" si="30"/>
        <v>33.108999999999995</v>
      </c>
      <c r="U114" s="5"/>
      <c r="V114" s="1">
        <f t="shared" si="32"/>
        <v>12.517532997070285</v>
      </c>
      <c r="W114" s="1">
        <f t="shared" si="33"/>
        <v>12.517532997070285</v>
      </c>
      <c r="X114" s="1">
        <v>26.819800000000001</v>
      </c>
      <c r="Y114" s="1">
        <v>25.8444</v>
      </c>
      <c r="Z114" s="1">
        <v>34.096800000000002</v>
      </c>
      <c r="AA114" s="1">
        <v>33.693600000000004</v>
      </c>
      <c r="AB114" s="1">
        <v>28.686</v>
      </c>
      <c r="AC114" s="1">
        <v>22.612400000000001</v>
      </c>
      <c r="AD114" s="1">
        <v>22.637599999999999</v>
      </c>
      <c r="AE114" s="1">
        <v>27.105399999999999</v>
      </c>
      <c r="AF114" s="1">
        <v>27.293199999999999</v>
      </c>
      <c r="AG114" s="1">
        <v>31.0916</v>
      </c>
      <c r="AH114" s="1"/>
      <c r="AI114" s="1">
        <f t="shared" ref="AI114:AI120" si="35">G114*U114</f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160</v>
      </c>
      <c r="B115" s="1" t="s">
        <v>38</v>
      </c>
      <c r="C115" s="1">
        <v>72.337999999999994</v>
      </c>
      <c r="D115" s="1">
        <v>711.471</v>
      </c>
      <c r="E115" s="1">
        <v>179.703</v>
      </c>
      <c r="F115" s="1">
        <v>447.59800000000001</v>
      </c>
      <c r="G115" s="7">
        <v>1</v>
      </c>
      <c r="H115" s="1">
        <v>60</v>
      </c>
      <c r="I115" s="1" t="s">
        <v>39</v>
      </c>
      <c r="J115" s="1"/>
      <c r="K115" s="1">
        <v>179.01900000000001</v>
      </c>
      <c r="L115" s="1">
        <f t="shared" si="29"/>
        <v>0.6839999999999975</v>
      </c>
      <c r="M115" s="1"/>
      <c r="N115" s="1"/>
      <c r="O115" s="1">
        <v>50</v>
      </c>
      <c r="P115" s="1"/>
      <c r="Q115" s="1">
        <v>0</v>
      </c>
      <c r="R115" s="1"/>
      <c r="S115" s="1"/>
      <c r="T115" s="1">
        <f t="shared" si="30"/>
        <v>35.940600000000003</v>
      </c>
      <c r="U115" s="5"/>
      <c r="V115" s="1">
        <f t="shared" si="32"/>
        <v>13.845010934708936</v>
      </c>
      <c r="W115" s="1">
        <f t="shared" si="33"/>
        <v>13.845010934708936</v>
      </c>
      <c r="X115" s="1">
        <v>31.773800000000001</v>
      </c>
      <c r="Y115" s="1">
        <v>16.175000000000001</v>
      </c>
      <c r="Z115" s="1">
        <v>30.338000000000001</v>
      </c>
      <c r="AA115" s="1">
        <v>45.3508</v>
      </c>
      <c r="AB115" s="1">
        <v>34.774000000000001</v>
      </c>
      <c r="AC115" s="1">
        <v>25.2286</v>
      </c>
      <c r="AD115" s="1">
        <v>23.5992</v>
      </c>
      <c r="AE115" s="1">
        <v>31.338799999999999</v>
      </c>
      <c r="AF115" s="1">
        <v>29.66</v>
      </c>
      <c r="AG115" s="1">
        <v>32.9238</v>
      </c>
      <c r="AH115" s="1"/>
      <c r="AI115" s="1">
        <f t="shared" si="35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161</v>
      </c>
      <c r="B116" s="1" t="s">
        <v>38</v>
      </c>
      <c r="C116" s="1">
        <v>50.94</v>
      </c>
      <c r="D116" s="1">
        <v>81.801000000000002</v>
      </c>
      <c r="E116" s="1">
        <v>57.091999999999999</v>
      </c>
      <c r="F116" s="1">
        <v>47.752000000000002</v>
      </c>
      <c r="G116" s="7">
        <v>1</v>
      </c>
      <c r="H116" s="1">
        <v>60</v>
      </c>
      <c r="I116" s="1" t="s">
        <v>39</v>
      </c>
      <c r="J116" s="1"/>
      <c r="K116" s="1">
        <v>50.8</v>
      </c>
      <c r="L116" s="1">
        <f t="shared" si="29"/>
        <v>6.2920000000000016</v>
      </c>
      <c r="M116" s="1"/>
      <c r="N116" s="1"/>
      <c r="O116" s="1">
        <v>0</v>
      </c>
      <c r="P116" s="1"/>
      <c r="Q116" s="1">
        <v>48.705534000000007</v>
      </c>
      <c r="R116" s="1"/>
      <c r="S116" s="1"/>
      <c r="T116" s="1">
        <f t="shared" si="30"/>
        <v>11.4184</v>
      </c>
      <c r="U116" s="5">
        <f t="shared" ref="U114:U120" si="36">11*T116-S116-R116-Q116-P116-O116-F116</f>
        <v>29.144865999999986</v>
      </c>
      <c r="V116" s="1">
        <f t="shared" si="32"/>
        <v>10.999999999999998</v>
      </c>
      <c r="W116" s="1">
        <f t="shared" si="33"/>
        <v>8.447552546766623</v>
      </c>
      <c r="X116" s="1">
        <v>9.444799999999999</v>
      </c>
      <c r="Y116" s="1">
        <v>6.6574</v>
      </c>
      <c r="Z116" s="1">
        <v>8.7114000000000011</v>
      </c>
      <c r="AA116" s="1">
        <v>7.2957999999999998</v>
      </c>
      <c r="AB116" s="1">
        <v>9.3412000000000006</v>
      </c>
      <c r="AC116" s="1">
        <v>6.0305999999999997</v>
      </c>
      <c r="AD116" s="1">
        <v>2.9855999999999998</v>
      </c>
      <c r="AE116" s="1">
        <v>10.257199999999999</v>
      </c>
      <c r="AF116" s="1">
        <v>11.1214</v>
      </c>
      <c r="AG116" s="1">
        <v>6.5174000000000003</v>
      </c>
      <c r="AH116" s="1"/>
      <c r="AI116" s="1">
        <f t="shared" si="35"/>
        <v>29.144865999999986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162</v>
      </c>
      <c r="B117" s="1" t="s">
        <v>38</v>
      </c>
      <c r="C117" s="1">
        <v>375.04899999999998</v>
      </c>
      <c r="D117" s="1">
        <v>2000.3789999999999</v>
      </c>
      <c r="E117" s="1">
        <v>989.81</v>
      </c>
      <c r="F117" s="1">
        <v>616.87099999999998</v>
      </c>
      <c r="G117" s="7">
        <v>1</v>
      </c>
      <c r="H117" s="1">
        <v>60</v>
      </c>
      <c r="I117" s="1" t="s">
        <v>39</v>
      </c>
      <c r="J117" s="1"/>
      <c r="K117" s="1">
        <v>1367.5</v>
      </c>
      <c r="L117" s="1">
        <f t="shared" si="29"/>
        <v>-377.69000000000005</v>
      </c>
      <c r="M117" s="1"/>
      <c r="N117" s="1"/>
      <c r="O117" s="1">
        <v>1092.109891156</v>
      </c>
      <c r="P117" s="1">
        <v>596.63278884399983</v>
      </c>
      <c r="Q117" s="1">
        <v>12.736974399999131</v>
      </c>
      <c r="R117" s="1"/>
      <c r="S117" s="1"/>
      <c r="T117" s="1">
        <f t="shared" si="30"/>
        <v>197.96199999999999</v>
      </c>
      <c r="U117" s="5"/>
      <c r="V117" s="1">
        <f t="shared" si="32"/>
        <v>11.711089271678398</v>
      </c>
      <c r="W117" s="1">
        <f t="shared" si="33"/>
        <v>11.711089271678398</v>
      </c>
      <c r="X117" s="1">
        <v>252.74039999999999</v>
      </c>
      <c r="Y117" s="1">
        <v>257.10599999999999</v>
      </c>
      <c r="Z117" s="1">
        <v>200.36799999999999</v>
      </c>
      <c r="AA117" s="1">
        <v>217.51920000000001</v>
      </c>
      <c r="AB117" s="1">
        <v>206.75880000000001</v>
      </c>
      <c r="AC117" s="1">
        <v>144.517</v>
      </c>
      <c r="AD117" s="1">
        <v>123.8562</v>
      </c>
      <c r="AE117" s="1">
        <v>248.13579999999999</v>
      </c>
      <c r="AF117" s="1">
        <v>262.48399999999998</v>
      </c>
      <c r="AG117" s="1">
        <v>125.1674</v>
      </c>
      <c r="AH117" s="1"/>
      <c r="AI117" s="1">
        <f t="shared" si="35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163</v>
      </c>
      <c r="B118" s="1" t="s">
        <v>43</v>
      </c>
      <c r="C118" s="1">
        <v>333</v>
      </c>
      <c r="D118" s="1">
        <v>3</v>
      </c>
      <c r="E118" s="1">
        <v>67</v>
      </c>
      <c r="F118" s="1">
        <v>256</v>
      </c>
      <c r="G118" s="7">
        <v>0.25</v>
      </c>
      <c r="H118" s="1">
        <v>1096</v>
      </c>
      <c r="I118" s="1" t="s">
        <v>39</v>
      </c>
      <c r="J118" s="1"/>
      <c r="K118" s="1">
        <v>73</v>
      </c>
      <c r="L118" s="1">
        <f t="shared" si="29"/>
        <v>-6</v>
      </c>
      <c r="M118" s="1"/>
      <c r="N118" s="1"/>
      <c r="O118" s="1">
        <v>0</v>
      </c>
      <c r="P118" s="1"/>
      <c r="Q118" s="1">
        <v>0</v>
      </c>
      <c r="R118" s="1"/>
      <c r="S118" s="1"/>
      <c r="T118" s="1">
        <f t="shared" si="30"/>
        <v>13.4</v>
      </c>
      <c r="U118" s="5"/>
      <c r="V118" s="1">
        <f t="shared" si="32"/>
        <v>19.104477611940297</v>
      </c>
      <c r="W118" s="1">
        <f t="shared" si="33"/>
        <v>19.104477611940297</v>
      </c>
      <c r="X118" s="1">
        <v>4.5999999999999996</v>
      </c>
      <c r="Y118" s="1">
        <v>3.6</v>
      </c>
      <c r="Z118" s="1">
        <v>6.2</v>
      </c>
      <c r="AA118" s="1">
        <v>3.8</v>
      </c>
      <c r="AB118" s="1">
        <v>7.2</v>
      </c>
      <c r="AC118" s="1">
        <v>10.6</v>
      </c>
      <c r="AD118" s="1">
        <v>7.2</v>
      </c>
      <c r="AE118" s="1">
        <v>8</v>
      </c>
      <c r="AF118" s="1">
        <v>11</v>
      </c>
      <c r="AG118" s="1">
        <v>16.600000000000001</v>
      </c>
      <c r="AH118" s="16" t="s">
        <v>128</v>
      </c>
      <c r="AI118" s="1">
        <f t="shared" si="35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164</v>
      </c>
      <c r="B119" s="1" t="s">
        <v>43</v>
      </c>
      <c r="C119" s="1">
        <v>337</v>
      </c>
      <c r="D119" s="1">
        <v>1</v>
      </c>
      <c r="E119" s="1">
        <v>14</v>
      </c>
      <c r="F119" s="14">
        <f>314+F129</f>
        <v>364</v>
      </c>
      <c r="G119" s="7">
        <v>0.32500000000000001</v>
      </c>
      <c r="H119" s="1">
        <v>1096</v>
      </c>
      <c r="I119" s="1" t="s">
        <v>39</v>
      </c>
      <c r="J119" s="1"/>
      <c r="K119" s="1">
        <v>24</v>
      </c>
      <c r="L119" s="1">
        <f t="shared" si="29"/>
        <v>-10</v>
      </c>
      <c r="M119" s="1"/>
      <c r="N119" s="1"/>
      <c r="O119" s="1">
        <v>0</v>
      </c>
      <c r="P119" s="1"/>
      <c r="Q119" s="1">
        <v>0</v>
      </c>
      <c r="R119" s="1"/>
      <c r="S119" s="1"/>
      <c r="T119" s="1">
        <f t="shared" si="30"/>
        <v>2.8</v>
      </c>
      <c r="U119" s="5"/>
      <c r="V119" s="1">
        <f t="shared" si="32"/>
        <v>130</v>
      </c>
      <c r="W119" s="1">
        <f t="shared" si="33"/>
        <v>130</v>
      </c>
      <c r="X119" s="1">
        <v>0.6</v>
      </c>
      <c r="Y119" s="1">
        <v>2.2000000000000002</v>
      </c>
      <c r="Z119" s="1">
        <v>4.8</v>
      </c>
      <c r="AA119" s="1">
        <v>4</v>
      </c>
      <c r="AB119" s="1">
        <v>4.5999999999999996</v>
      </c>
      <c r="AC119" s="1">
        <v>5.4</v>
      </c>
      <c r="AD119" s="1">
        <v>3.6</v>
      </c>
      <c r="AE119" s="1">
        <v>3.6</v>
      </c>
      <c r="AF119" s="1">
        <v>7</v>
      </c>
      <c r="AG119" s="1">
        <v>11.6</v>
      </c>
      <c r="AH119" s="13" t="s">
        <v>109</v>
      </c>
      <c r="AI119" s="1">
        <f t="shared" si="35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 t="s">
        <v>165</v>
      </c>
      <c r="B120" s="1" t="s">
        <v>43</v>
      </c>
      <c r="C120" s="1">
        <v>432</v>
      </c>
      <c r="D120" s="1"/>
      <c r="E120" s="1">
        <v>48</v>
      </c>
      <c r="F120" s="1">
        <v>379</v>
      </c>
      <c r="G120" s="7">
        <v>0.25</v>
      </c>
      <c r="H120" s="1">
        <v>1096</v>
      </c>
      <c r="I120" s="1" t="s">
        <v>39</v>
      </c>
      <c r="J120" s="1"/>
      <c r="K120" s="1">
        <v>53</v>
      </c>
      <c r="L120" s="1">
        <f t="shared" si="29"/>
        <v>-5</v>
      </c>
      <c r="M120" s="1"/>
      <c r="N120" s="1"/>
      <c r="O120" s="1">
        <v>0</v>
      </c>
      <c r="P120" s="1"/>
      <c r="Q120" s="1">
        <v>0</v>
      </c>
      <c r="R120" s="1"/>
      <c r="S120" s="1"/>
      <c r="T120" s="1">
        <f t="shared" si="30"/>
        <v>9.6</v>
      </c>
      <c r="U120" s="5"/>
      <c r="V120" s="1">
        <f t="shared" si="32"/>
        <v>39.479166666666671</v>
      </c>
      <c r="W120" s="1">
        <f t="shared" si="33"/>
        <v>39.479166666666671</v>
      </c>
      <c r="X120" s="1">
        <v>3</v>
      </c>
      <c r="Y120" s="1">
        <v>5.6</v>
      </c>
      <c r="Z120" s="1">
        <v>10</v>
      </c>
      <c r="AA120" s="1">
        <v>7.8</v>
      </c>
      <c r="AB120" s="1">
        <v>9.4</v>
      </c>
      <c r="AC120" s="1">
        <v>10.4</v>
      </c>
      <c r="AD120" s="1">
        <v>4.8</v>
      </c>
      <c r="AE120" s="1">
        <v>2.4</v>
      </c>
      <c r="AF120" s="1">
        <v>13</v>
      </c>
      <c r="AG120" s="1">
        <v>19.8</v>
      </c>
      <c r="AH120" s="13" t="s">
        <v>109</v>
      </c>
      <c r="AI120" s="1">
        <f t="shared" si="35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0" t="s">
        <v>166</v>
      </c>
      <c r="B121" s="10" t="s">
        <v>38</v>
      </c>
      <c r="C121" s="10">
        <v>-3.0000000000000001E-3</v>
      </c>
      <c r="D121" s="10">
        <v>5.8979999999999997</v>
      </c>
      <c r="E121" s="10"/>
      <c r="F121" s="10"/>
      <c r="G121" s="11">
        <v>0</v>
      </c>
      <c r="H121" s="10"/>
      <c r="I121" s="10" t="s">
        <v>167</v>
      </c>
      <c r="J121" s="10"/>
      <c r="K121" s="10"/>
      <c r="L121" s="10">
        <f t="shared" si="29"/>
        <v>0</v>
      </c>
      <c r="M121" s="10"/>
      <c r="N121" s="10"/>
      <c r="O121" s="10">
        <v>0</v>
      </c>
      <c r="P121" s="10"/>
      <c r="Q121" s="10">
        <v>0</v>
      </c>
      <c r="R121" s="10"/>
      <c r="S121" s="10"/>
      <c r="T121" s="10">
        <f t="shared" si="30"/>
        <v>0</v>
      </c>
      <c r="U121" s="12"/>
      <c r="V121" s="10" t="e">
        <f t="shared" si="32"/>
        <v>#DIV/0!</v>
      </c>
      <c r="W121" s="10" t="e">
        <f t="shared" si="33"/>
        <v>#DIV/0!</v>
      </c>
      <c r="X121" s="10">
        <v>1.9807999999999999</v>
      </c>
      <c r="Y121" s="10">
        <v>2.3776000000000002</v>
      </c>
      <c r="Z121" s="10">
        <v>0.39679999999999999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/>
      <c r="AI121" s="10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0" t="s">
        <v>168</v>
      </c>
      <c r="B122" s="10" t="s">
        <v>38</v>
      </c>
      <c r="C122" s="10"/>
      <c r="D122" s="10"/>
      <c r="E122" s="10"/>
      <c r="F122" s="10"/>
      <c r="G122" s="11">
        <v>0</v>
      </c>
      <c r="H122" s="10"/>
      <c r="I122" s="10" t="s">
        <v>39</v>
      </c>
      <c r="J122" s="10"/>
      <c r="K122" s="10"/>
      <c r="L122" s="10">
        <f t="shared" si="29"/>
        <v>0</v>
      </c>
      <c r="M122" s="10"/>
      <c r="N122" s="10"/>
      <c r="O122" s="10">
        <v>0</v>
      </c>
      <c r="P122" s="10"/>
      <c r="Q122" s="10">
        <v>0</v>
      </c>
      <c r="R122" s="10"/>
      <c r="S122" s="10"/>
      <c r="T122" s="10">
        <f t="shared" si="30"/>
        <v>0</v>
      </c>
      <c r="U122" s="12"/>
      <c r="V122" s="10" t="e">
        <f t="shared" si="32"/>
        <v>#DIV/0!</v>
      </c>
      <c r="W122" s="10" t="e">
        <f t="shared" si="33"/>
        <v>#DIV/0!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 t="s">
        <v>48</v>
      </c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169</v>
      </c>
      <c r="B123" s="1" t="s">
        <v>43</v>
      </c>
      <c r="C123" s="1">
        <v>-2</v>
      </c>
      <c r="D123" s="1">
        <v>236</v>
      </c>
      <c r="E123" s="1">
        <v>153</v>
      </c>
      <c r="F123" s="1">
        <v>65</v>
      </c>
      <c r="G123" s="7">
        <v>0.3</v>
      </c>
      <c r="H123" s="1">
        <v>40</v>
      </c>
      <c r="I123" s="1" t="s">
        <v>39</v>
      </c>
      <c r="J123" s="1"/>
      <c r="K123" s="1">
        <v>170</v>
      </c>
      <c r="L123" s="1">
        <f t="shared" si="29"/>
        <v>-17</v>
      </c>
      <c r="M123" s="1"/>
      <c r="N123" s="1"/>
      <c r="O123" s="1">
        <v>97.004999999999995</v>
      </c>
      <c r="P123" s="1">
        <v>52.994999999999997</v>
      </c>
      <c r="Q123" s="1">
        <v>0</v>
      </c>
      <c r="R123" s="1"/>
      <c r="S123" s="1"/>
      <c r="T123" s="1">
        <f t="shared" si="30"/>
        <v>30.6</v>
      </c>
      <c r="U123" s="5">
        <f t="shared" ref="U123:U127" si="37">11*T123-S123-R123-Q123-P123-O123-F123</f>
        <v>121.60000000000002</v>
      </c>
      <c r="V123" s="1">
        <f t="shared" si="32"/>
        <v>11</v>
      </c>
      <c r="W123" s="1">
        <f t="shared" si="33"/>
        <v>7.0261437908496731</v>
      </c>
      <c r="X123" s="1">
        <v>20.2</v>
      </c>
      <c r="Y123" s="1">
        <v>16</v>
      </c>
      <c r="Z123" s="1">
        <v>2.6</v>
      </c>
      <c r="AA123" s="1">
        <v>0</v>
      </c>
      <c r="AB123" s="1">
        <v>-0.6</v>
      </c>
      <c r="AC123" s="1">
        <v>-0.6</v>
      </c>
      <c r="AD123" s="1">
        <v>0</v>
      </c>
      <c r="AE123" s="1">
        <v>0</v>
      </c>
      <c r="AF123" s="1">
        <v>0</v>
      </c>
      <c r="AG123" s="1">
        <v>0</v>
      </c>
      <c r="AH123" s="1"/>
      <c r="AI123" s="1">
        <f>G123*U123</f>
        <v>36.480000000000004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170</v>
      </c>
      <c r="B124" s="1" t="s">
        <v>43</v>
      </c>
      <c r="C124" s="1">
        <v>-2</v>
      </c>
      <c r="D124" s="1">
        <v>209</v>
      </c>
      <c r="E124" s="1">
        <v>153</v>
      </c>
      <c r="F124" s="1">
        <v>34</v>
      </c>
      <c r="G124" s="7">
        <v>0.3</v>
      </c>
      <c r="H124" s="1">
        <v>40</v>
      </c>
      <c r="I124" s="1" t="s">
        <v>39</v>
      </c>
      <c r="J124" s="1"/>
      <c r="K124" s="1">
        <v>155</v>
      </c>
      <c r="L124" s="1">
        <f t="shared" si="29"/>
        <v>-2</v>
      </c>
      <c r="M124" s="1"/>
      <c r="N124" s="1"/>
      <c r="O124" s="1">
        <v>97.004999999999995</v>
      </c>
      <c r="P124" s="1">
        <v>52.994999999999997</v>
      </c>
      <c r="Q124" s="1">
        <v>0</v>
      </c>
      <c r="R124" s="1"/>
      <c r="S124" s="1"/>
      <c r="T124" s="1">
        <f t="shared" si="30"/>
        <v>30.6</v>
      </c>
      <c r="U124" s="5">
        <f t="shared" si="37"/>
        <v>152.60000000000002</v>
      </c>
      <c r="V124" s="1">
        <f t="shared" si="32"/>
        <v>11</v>
      </c>
      <c r="W124" s="1">
        <f t="shared" si="33"/>
        <v>6.0130718954248366</v>
      </c>
      <c r="X124" s="1">
        <v>16.600000000000001</v>
      </c>
      <c r="Y124" s="1">
        <v>19.2</v>
      </c>
      <c r="Z124" s="1">
        <v>6</v>
      </c>
      <c r="AA124" s="1">
        <v>0.4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 t="s">
        <v>171</v>
      </c>
      <c r="AI124" s="1">
        <f>G124*U124</f>
        <v>45.780000000000008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172</v>
      </c>
      <c r="B125" s="1" t="s">
        <v>38</v>
      </c>
      <c r="C125" s="1">
        <v>50.643999999999998</v>
      </c>
      <c r="D125" s="1">
        <v>40.447000000000003</v>
      </c>
      <c r="E125" s="1">
        <v>10.968</v>
      </c>
      <c r="F125" s="1">
        <v>70.498999999999995</v>
      </c>
      <c r="G125" s="7">
        <v>1</v>
      </c>
      <c r="H125" s="1">
        <v>50</v>
      </c>
      <c r="I125" s="9" t="s">
        <v>50</v>
      </c>
      <c r="J125" s="1"/>
      <c r="K125" s="1">
        <v>9.5500000000000007</v>
      </c>
      <c r="L125" s="1">
        <f t="shared" si="29"/>
        <v>1.4179999999999993</v>
      </c>
      <c r="M125" s="1"/>
      <c r="N125" s="1"/>
      <c r="O125" s="1">
        <v>0</v>
      </c>
      <c r="P125" s="1"/>
      <c r="Q125" s="1">
        <v>0</v>
      </c>
      <c r="R125" s="1"/>
      <c r="S125" s="1"/>
      <c r="T125" s="1">
        <f t="shared" si="30"/>
        <v>2.1936</v>
      </c>
      <c r="U125" s="5"/>
      <c r="V125" s="1">
        <f t="shared" si="32"/>
        <v>32.138493800145874</v>
      </c>
      <c r="W125" s="1">
        <f t="shared" si="33"/>
        <v>32.138493800145874</v>
      </c>
      <c r="X125" s="1">
        <v>2.1878000000000002</v>
      </c>
      <c r="Y125" s="1">
        <v>1.6604000000000001</v>
      </c>
      <c r="Z125" s="1">
        <v>2.5038</v>
      </c>
      <c r="AA125" s="1">
        <v>2.488</v>
      </c>
      <c r="AB125" s="1">
        <v>6.0106000000000002</v>
      </c>
      <c r="AC125" s="1">
        <v>5.7350000000000003</v>
      </c>
      <c r="AD125" s="1">
        <v>3.012</v>
      </c>
      <c r="AE125" s="1">
        <v>2.4746000000000001</v>
      </c>
      <c r="AF125" s="1">
        <v>1.3877999999999999</v>
      </c>
      <c r="AG125" s="1">
        <v>2.2162000000000002</v>
      </c>
      <c r="AH125" s="13" t="s">
        <v>109</v>
      </c>
      <c r="AI125" s="1">
        <f>G125*U125</f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173</v>
      </c>
      <c r="B126" s="1" t="s">
        <v>43</v>
      </c>
      <c r="C126" s="1">
        <v>5</v>
      </c>
      <c r="D126" s="1">
        <v>290</v>
      </c>
      <c r="E126" s="1">
        <v>190</v>
      </c>
      <c r="F126" s="1">
        <v>95</v>
      </c>
      <c r="G126" s="7">
        <v>0.3</v>
      </c>
      <c r="H126" s="1">
        <v>40</v>
      </c>
      <c r="I126" s="1" t="s">
        <v>39</v>
      </c>
      <c r="J126" s="1"/>
      <c r="K126" s="1">
        <v>218</v>
      </c>
      <c r="L126" s="1">
        <f t="shared" si="29"/>
        <v>-28</v>
      </c>
      <c r="M126" s="1"/>
      <c r="N126" s="1"/>
      <c r="O126" s="1">
        <v>129.34</v>
      </c>
      <c r="P126" s="1">
        <v>70.66</v>
      </c>
      <c r="Q126" s="1">
        <v>0</v>
      </c>
      <c r="R126" s="1"/>
      <c r="S126" s="1"/>
      <c r="T126" s="1">
        <f t="shared" si="30"/>
        <v>38</v>
      </c>
      <c r="U126" s="5">
        <f t="shared" si="37"/>
        <v>123.00000000000003</v>
      </c>
      <c r="V126" s="1">
        <f t="shared" si="32"/>
        <v>11</v>
      </c>
      <c r="W126" s="1">
        <f t="shared" si="33"/>
        <v>7.7631578947368425</v>
      </c>
      <c r="X126" s="1">
        <v>19</v>
      </c>
      <c r="Y126" s="1">
        <v>14.4</v>
      </c>
      <c r="Z126" s="1">
        <v>-0.4</v>
      </c>
      <c r="AA126" s="1">
        <v>-0.2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/>
      <c r="AI126" s="1">
        <f>G126*U126</f>
        <v>36.900000000000006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174</v>
      </c>
      <c r="B127" s="1" t="s">
        <v>43</v>
      </c>
      <c r="C127" s="1">
        <v>35</v>
      </c>
      <c r="D127" s="1">
        <v>102</v>
      </c>
      <c r="E127" s="1">
        <v>59</v>
      </c>
      <c r="F127" s="1">
        <v>33</v>
      </c>
      <c r="G127" s="7">
        <v>0.12</v>
      </c>
      <c r="H127" s="1">
        <v>45</v>
      </c>
      <c r="I127" s="1" t="s">
        <v>39</v>
      </c>
      <c r="J127" s="1"/>
      <c r="K127" s="1">
        <v>69</v>
      </c>
      <c r="L127" s="1">
        <f t="shared" si="29"/>
        <v>-10</v>
      </c>
      <c r="M127" s="1"/>
      <c r="N127" s="1"/>
      <c r="O127" s="1">
        <v>71.990644000000003</v>
      </c>
      <c r="P127" s="1">
        <v>39.329356000000011</v>
      </c>
      <c r="Q127" s="1">
        <v>82.791999999999931</v>
      </c>
      <c r="R127" s="1"/>
      <c r="S127" s="1"/>
      <c r="T127" s="1">
        <f t="shared" si="30"/>
        <v>11.8</v>
      </c>
      <c r="U127" s="5"/>
      <c r="V127" s="1">
        <f t="shared" si="32"/>
        <v>19.246779661016944</v>
      </c>
      <c r="W127" s="1">
        <f t="shared" si="33"/>
        <v>19.246779661016944</v>
      </c>
      <c r="X127" s="1">
        <v>21.4</v>
      </c>
      <c r="Y127" s="1">
        <v>19.8</v>
      </c>
      <c r="Z127" s="1">
        <v>10.4</v>
      </c>
      <c r="AA127" s="1">
        <v>5.8</v>
      </c>
      <c r="AB127" s="1">
        <v>12.2</v>
      </c>
      <c r="AC127" s="1">
        <v>10.4</v>
      </c>
      <c r="AD127" s="1">
        <v>4.4000000000000004</v>
      </c>
      <c r="AE127" s="1">
        <v>7.4</v>
      </c>
      <c r="AF127" s="1">
        <v>10.199999999999999</v>
      </c>
      <c r="AG127" s="1">
        <v>5.8</v>
      </c>
      <c r="AH127" s="1"/>
      <c r="AI127" s="1">
        <f>G127*U127</f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0" t="s">
        <v>175</v>
      </c>
      <c r="B128" s="10" t="s">
        <v>43</v>
      </c>
      <c r="C128" s="10">
        <v>35</v>
      </c>
      <c r="D128" s="10">
        <v>200</v>
      </c>
      <c r="E128" s="14">
        <v>11</v>
      </c>
      <c r="F128" s="14">
        <v>173</v>
      </c>
      <c r="G128" s="11">
        <v>0</v>
      </c>
      <c r="H128" s="10"/>
      <c r="I128" s="10" t="s">
        <v>176</v>
      </c>
      <c r="J128" s="10" t="s">
        <v>94</v>
      </c>
      <c r="K128" s="10">
        <v>39</v>
      </c>
      <c r="L128" s="10">
        <f t="shared" si="29"/>
        <v>-28</v>
      </c>
      <c r="M128" s="10"/>
      <c r="N128" s="10"/>
      <c r="O128" s="10">
        <v>0</v>
      </c>
      <c r="P128" s="10"/>
      <c r="Q128" s="10">
        <v>0</v>
      </c>
      <c r="R128" s="10"/>
      <c r="S128" s="10"/>
      <c r="T128" s="10">
        <f t="shared" si="30"/>
        <v>2.2000000000000002</v>
      </c>
      <c r="U128" s="12"/>
      <c r="V128" s="10">
        <f t="shared" si="32"/>
        <v>78.636363636363626</v>
      </c>
      <c r="W128" s="10">
        <f t="shared" si="33"/>
        <v>78.636363636363626</v>
      </c>
      <c r="X128" s="10">
        <v>3.4</v>
      </c>
      <c r="Y128" s="10">
        <v>17.399999999999999</v>
      </c>
      <c r="Z128" s="10">
        <v>23</v>
      </c>
      <c r="AA128" s="10">
        <v>15.6</v>
      </c>
      <c r="AB128" s="10">
        <v>14.8</v>
      </c>
      <c r="AC128" s="10">
        <v>12.2</v>
      </c>
      <c r="AD128" s="10">
        <v>12.2</v>
      </c>
      <c r="AE128" s="10">
        <v>15.8</v>
      </c>
      <c r="AF128" s="10">
        <v>28.6</v>
      </c>
      <c r="AG128" s="10">
        <v>32</v>
      </c>
      <c r="AH128" s="10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0" t="s">
        <v>177</v>
      </c>
      <c r="B129" s="10" t="s">
        <v>43</v>
      </c>
      <c r="C129" s="10">
        <v>50</v>
      </c>
      <c r="D129" s="10"/>
      <c r="E129" s="10"/>
      <c r="F129" s="14">
        <v>50</v>
      </c>
      <c r="G129" s="11">
        <v>0</v>
      </c>
      <c r="H129" s="10"/>
      <c r="I129" s="10" t="s">
        <v>176</v>
      </c>
      <c r="J129" s="10" t="s">
        <v>164</v>
      </c>
      <c r="K129" s="10"/>
      <c r="L129" s="10">
        <f t="shared" si="29"/>
        <v>0</v>
      </c>
      <c r="M129" s="10"/>
      <c r="N129" s="10"/>
      <c r="O129" s="10">
        <v>0</v>
      </c>
      <c r="P129" s="10"/>
      <c r="Q129" s="10">
        <v>0</v>
      </c>
      <c r="R129" s="10"/>
      <c r="S129" s="10"/>
      <c r="T129" s="10">
        <f t="shared" si="30"/>
        <v>0</v>
      </c>
      <c r="U129" s="12"/>
      <c r="V129" s="10" t="e">
        <f t="shared" si="32"/>
        <v>#DIV/0!</v>
      </c>
      <c r="W129" s="10" t="e">
        <f t="shared" si="33"/>
        <v>#DIV/0!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5" t="s">
        <v>178</v>
      </c>
      <c r="B130" s="1" t="s">
        <v>38</v>
      </c>
      <c r="C130" s="1"/>
      <c r="D130" s="1"/>
      <c r="E130" s="1"/>
      <c r="F130" s="1"/>
      <c r="G130" s="7">
        <v>1</v>
      </c>
      <c r="H130" s="1"/>
      <c r="I130" s="1" t="s">
        <v>39</v>
      </c>
      <c r="J130" s="1"/>
      <c r="K130" s="1"/>
      <c r="L130" s="1">
        <f t="shared" si="29"/>
        <v>0</v>
      </c>
      <c r="M130" s="1"/>
      <c r="N130" s="1"/>
      <c r="O130" s="1">
        <v>0</v>
      </c>
      <c r="P130" s="1"/>
      <c r="Q130" s="1">
        <v>0</v>
      </c>
      <c r="R130" s="1"/>
      <c r="S130" s="1"/>
      <c r="T130" s="1">
        <f t="shared" si="30"/>
        <v>0</v>
      </c>
      <c r="U130" s="5"/>
      <c r="V130" s="1" t="e">
        <f t="shared" si="32"/>
        <v>#DIV/0!</v>
      </c>
      <c r="W130" s="1" t="e">
        <f t="shared" si="33"/>
        <v>#DIV/0!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 t="s">
        <v>179</v>
      </c>
      <c r="AI130" s="1">
        <f>G130*U130</f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</sheetData>
  <autoFilter ref="A3:AI13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2026-10-27T15:28:25Z</dcterms:created>
  <dcterms:modified xsi:type="dcterms:W3CDTF">2026-10-27T15:42:16Z</dcterms:modified>
</cp:coreProperties>
</file>