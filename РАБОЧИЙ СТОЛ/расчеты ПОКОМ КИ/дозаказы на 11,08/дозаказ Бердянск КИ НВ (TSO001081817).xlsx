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D9ACDB0-D380-4273-9111-231A21C8B09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N500" i="2"/>
  <c r="BM500" i="2"/>
  <c r="Y500" i="2"/>
  <c r="Z500" i="2" s="1"/>
  <c r="P500" i="2"/>
  <c r="BO499" i="2"/>
  <c r="BM499" i="2"/>
  <c r="Y499" i="2"/>
  <c r="P499" i="2"/>
  <c r="X495" i="2"/>
  <c r="X494" i="2"/>
  <c r="BO493" i="2"/>
  <c r="BN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Z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N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N426" i="2"/>
  <c r="BM426" i="2"/>
  <c r="Y426" i="2"/>
  <c r="P426" i="2"/>
  <c r="X422" i="2"/>
  <c r="X421" i="2"/>
  <c r="BO420" i="2"/>
  <c r="BM420" i="2"/>
  <c r="Y420" i="2"/>
  <c r="P420" i="2"/>
  <c r="BO419" i="2"/>
  <c r="BN419" i="2"/>
  <c r="BM419" i="2"/>
  <c r="Y419" i="2"/>
  <c r="BP419" i="2" s="1"/>
  <c r="P419" i="2"/>
  <c r="BP418" i="2"/>
  <c r="BO418" i="2"/>
  <c r="BN418" i="2"/>
  <c r="BM418" i="2"/>
  <c r="Z418" i="2"/>
  <c r="Y418" i="2"/>
  <c r="Y421" i="2" s="1"/>
  <c r="P418" i="2"/>
  <c r="X415" i="2"/>
  <c r="X414" i="2"/>
  <c r="BO413" i="2"/>
  <c r="BM413" i="2"/>
  <c r="Y413" i="2"/>
  <c r="BP413" i="2" s="1"/>
  <c r="BO412" i="2"/>
  <c r="BN412" i="2"/>
  <c r="BM412" i="2"/>
  <c r="Y412" i="2"/>
  <c r="X409" i="2"/>
  <c r="X408" i="2"/>
  <c r="BO407" i="2"/>
  <c r="BN407" i="2"/>
  <c r="BM407" i="2"/>
  <c r="Y407" i="2"/>
  <c r="BP407" i="2" s="1"/>
  <c r="P407" i="2"/>
  <c r="BP406" i="2"/>
  <c r="BO406" i="2"/>
  <c r="BN406" i="2"/>
  <c r="BM406" i="2"/>
  <c r="Z406" i="2"/>
  <c r="Y406" i="2"/>
  <c r="P406" i="2"/>
  <c r="BO405" i="2"/>
  <c r="BM405" i="2"/>
  <c r="Y405" i="2"/>
  <c r="Y409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Z388" i="2"/>
  <c r="Y388" i="2"/>
  <c r="BP388" i="2" s="1"/>
  <c r="P388" i="2"/>
  <c r="BO387" i="2"/>
  <c r="BM387" i="2"/>
  <c r="Z387" i="2"/>
  <c r="Y387" i="2"/>
  <c r="BP387" i="2" s="1"/>
  <c r="P387" i="2"/>
  <c r="BP386" i="2"/>
  <c r="BO386" i="2"/>
  <c r="BM386" i="2"/>
  <c r="Z386" i="2"/>
  <c r="Z389" i="2" s="1"/>
  <c r="Y386" i="2"/>
  <c r="Y389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P365" i="2"/>
  <c r="BO365" i="2"/>
  <c r="BM365" i="2"/>
  <c r="Z365" i="2"/>
  <c r="Y365" i="2"/>
  <c r="BN365" i="2" s="1"/>
  <c r="P365" i="2"/>
  <c r="BP364" i="2"/>
  <c r="BO364" i="2"/>
  <c r="BM364" i="2"/>
  <c r="Z364" i="2"/>
  <c r="Y364" i="2"/>
  <c r="BN364" i="2" s="1"/>
  <c r="P364" i="2"/>
  <c r="BO363" i="2"/>
  <c r="BM363" i="2"/>
  <c r="Z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Y358" i="2"/>
  <c r="X358" i="2"/>
  <c r="X357" i="2"/>
  <c r="BO356" i="2"/>
  <c r="BM356" i="2"/>
  <c r="Z356" i="2"/>
  <c r="Y356" i="2"/>
  <c r="BN356" i="2" s="1"/>
  <c r="P356" i="2"/>
  <c r="BP355" i="2"/>
  <c r="BO355" i="2"/>
  <c r="BM355" i="2"/>
  <c r="Y355" i="2"/>
  <c r="BN355" i="2" s="1"/>
  <c r="P355" i="2"/>
  <c r="BP354" i="2"/>
  <c r="BO354" i="2"/>
  <c r="BM354" i="2"/>
  <c r="Z354" i="2"/>
  <c r="Y354" i="2"/>
  <c r="S56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Z344" i="2"/>
  <c r="Y344" i="2"/>
  <c r="BP344" i="2" s="1"/>
  <c r="P344" i="2"/>
  <c r="BO343" i="2"/>
  <c r="BM343" i="2"/>
  <c r="Z343" i="2"/>
  <c r="Y343" i="2"/>
  <c r="BN343" i="2" s="1"/>
  <c r="P343" i="2"/>
  <c r="BP342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P335" i="2"/>
  <c r="BO335" i="2"/>
  <c r="BM335" i="2"/>
  <c r="Z335" i="2"/>
  <c r="Y335" i="2"/>
  <c r="BN335" i="2" s="1"/>
  <c r="P335" i="2"/>
  <c r="BO334" i="2"/>
  <c r="BN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Y320" i="2"/>
  <c r="X320" i="2"/>
  <c r="BP319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Y311" i="2"/>
  <c r="X311" i="2"/>
  <c r="Y310" i="2"/>
  <c r="X310" i="2"/>
  <c r="BO309" i="2"/>
  <c r="BM309" i="2"/>
  <c r="Z309" i="2"/>
  <c r="Z310" i="2" s="1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Z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P280" i="2"/>
  <c r="BO280" i="2"/>
  <c r="BM280" i="2"/>
  <c r="Z280" i="2"/>
  <c r="Y280" i="2"/>
  <c r="BN280" i="2" s="1"/>
  <c r="P280" i="2"/>
  <c r="BO279" i="2"/>
  <c r="BN279" i="2"/>
  <c r="BM279" i="2"/>
  <c r="Y279" i="2"/>
  <c r="P279" i="2"/>
  <c r="BO278" i="2"/>
  <c r="BM278" i="2"/>
  <c r="Y278" i="2"/>
  <c r="P278" i="2"/>
  <c r="X276" i="2"/>
  <c r="X275" i="2"/>
  <c r="BP274" i="2"/>
  <c r="BO274" i="2"/>
  <c r="BM274" i="2"/>
  <c r="Z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Y254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P241" i="2"/>
  <c r="BO241" i="2"/>
  <c r="BM241" i="2"/>
  <c r="Z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N238" i="2"/>
  <c r="BM238" i="2"/>
  <c r="Y238" i="2"/>
  <c r="BP238" i="2" s="1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BN233" i="2" s="1"/>
  <c r="P233" i="2"/>
  <c r="BP232" i="2"/>
  <c r="BO232" i="2"/>
  <c r="BM232" i="2"/>
  <c r="Z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P217" i="2"/>
  <c r="BO217" i="2"/>
  <c r="BM217" i="2"/>
  <c r="Z217" i="2"/>
  <c r="Z218" i="2" s="1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N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Z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P176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Z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BP154" i="2" s="1"/>
  <c r="P154" i="2"/>
  <c r="BP153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N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I564" i="2" s="1"/>
  <c r="P149" i="2"/>
  <c r="X146" i="2"/>
  <c r="X145" i="2"/>
  <c r="BP144" i="2"/>
  <c r="BO144" i="2"/>
  <c r="BM144" i="2"/>
  <c r="Z144" i="2"/>
  <c r="Y144" i="2"/>
  <c r="BN144" i="2" s="1"/>
  <c r="P144" i="2"/>
  <c r="BO143" i="2"/>
  <c r="BM143" i="2"/>
  <c r="Y143" i="2"/>
  <c r="P143" i="2"/>
  <c r="BP142" i="2"/>
  <c r="BO142" i="2"/>
  <c r="BM142" i="2"/>
  <c r="Z142" i="2"/>
  <c r="Y142" i="2"/>
  <c r="BN142" i="2" s="1"/>
  <c r="P142" i="2"/>
  <c r="X140" i="2"/>
  <c r="X139" i="2"/>
  <c r="BP138" i="2"/>
  <c r="BO138" i="2"/>
  <c r="BM138" i="2"/>
  <c r="Z138" i="2"/>
  <c r="Y138" i="2"/>
  <c r="BN138" i="2" s="1"/>
  <c r="P138" i="2"/>
  <c r="BO137" i="2"/>
  <c r="BN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P119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N117" i="2"/>
  <c r="BM117" i="2"/>
  <c r="Y117" i="2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N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P78" i="2"/>
  <c r="BO78" i="2"/>
  <c r="BN78" i="2"/>
  <c r="BM78" i="2"/>
  <c r="Z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P38" i="2"/>
  <c r="BO38" i="2"/>
  <c r="BN38" i="2"/>
  <c r="BM38" i="2"/>
  <c r="Z38" i="2"/>
  <c r="Y38" i="2"/>
  <c r="P38" i="2"/>
  <c r="BO37" i="2"/>
  <c r="BN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P102" i="2" l="1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X557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Z186" i="2" s="1"/>
  <c r="BN240" i="2"/>
  <c r="Z27" i="2"/>
  <c r="Z32" i="2" s="1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4" i="2" s="1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06" i="2" s="1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Y554" i="2" l="1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559" i="2"/>
  <c r="Z350" i="2"/>
  <c r="Z524" i="2"/>
  <c r="Y557" i="2" l="1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<sst xmlns="http://schemas.openxmlformats.org/spreadsheetml/2006/main" count="4262" uniqueCount="913">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</sst>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500</v>
      </c>
      <c r="Y428" s="55">
        <f t="shared" si="53"/>
        <v>510</v>
      </c>
      <c r="Z428" s="41">
        <f>IFERROR(IF(Y428=0,"",ROUNDUP(Y428/H428,0)*0.02175),"")</f>
        <v>0.73949999999999994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515.66666666666663</v>
      </c>
      <c r="BN428" s="78">
        <f t="shared" si="55"/>
        <v>525.98</v>
      </c>
      <c r="BO428" s="78">
        <f t="shared" si="56"/>
        <v>0.69444444444444442</v>
      </c>
      <c r="BP428" s="78">
        <f t="shared" si="57"/>
        <v>0.70833333333333326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1000</v>
      </c>
      <c r="Y429" s="55">
        <f t="shared" si="53"/>
        <v>1005</v>
      </c>
      <c r="Z429" s="41">
        <f>IFERROR(IF(Y429=0,"",ROUNDUP(Y429/H429,0)*0.02175),"")</f>
        <v>1.4572499999999999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1031.3333333333333</v>
      </c>
      <c r="BN429" s="78">
        <f t="shared" si="55"/>
        <v>1036.49</v>
      </c>
      <c r="BO429" s="78">
        <f t="shared" si="56"/>
        <v>1.3888888888888888</v>
      </c>
      <c r="BP429" s="78">
        <f t="shared" si="57"/>
        <v>1.3958333333333333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100</v>
      </c>
      <c r="Y434" s="43">
        <f>IFERROR(Y426/H426,"0")+IFERROR(Y427/H427,"0")+IFERROR(Y428/H428,"0")+IFERROR(Y429/H429,"0")+IFERROR(Y430/H430,"0")+IFERROR(Y431/H431,"0")+IFERROR(Y432/H432,"0")+IFERROR(Y433/H433,"0")</f>
        <v>101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2.1967499999999998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1500</v>
      </c>
      <c r="Y435" s="43">
        <f>IFERROR(SUM(Y426:Y433),"0")</f>
        <v>1515</v>
      </c>
      <c r="Z435" s="42"/>
      <c r="AA435" s="67"/>
      <c r="AB435" s="67"/>
      <c r="AC435" s="67"/>
    </row>
    <row r="436" spans="1:68" ht="14.25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1500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1515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1547</v>
      </c>
      <c r="Y555" s="43">
        <f>IFERROR(SUM(BN22:BN551),"0")</f>
        <v>1562.47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3</v>
      </c>
      <c r="Y556" s="44">
        <f>ROUNDUP(SUM(BP22:BP551),0)</f>
        <v>3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1622</v>
      </c>
      <c r="Y557" s="43">
        <f>GrossWeightTotalR+PalletQtyTotalR*25</f>
        <v>1637.47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100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101</v>
      </c>
      <c r="Z558" s="42"/>
      <c r="AA558" s="67"/>
      <c r="AB558" s="67"/>
      <c r="AC558" s="67"/>
    </row>
    <row r="559" spans="1:68" ht="14.25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2.1967499999999998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1515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1166</vt:i4>
      </vt:variant>
    </vt:vector>
  </HeadingPairs>
  <TitlesOfParts>
    <vt:vector size="11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2026-08-11T13:42:43Z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