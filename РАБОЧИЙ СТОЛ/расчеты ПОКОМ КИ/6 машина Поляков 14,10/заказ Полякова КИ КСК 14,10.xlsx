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9,09 Поляков КИ КСК доставка на 09,10\"/>
    </mc:Choice>
  </mc:AlternateContent>
  <xr:revisionPtr revIDLastSave="0" documentId="13_ncr:1_{B4D1534E-89E7-456A-8BD0-6CD7C5FFDEC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I569" i="2" s="1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Z387" i="2" l="1"/>
  <c r="BP276" i="2"/>
  <c r="BP478" i="2"/>
  <c r="Z90" i="2"/>
  <c r="BN90" i="2"/>
  <c r="BP233" i="2"/>
  <c r="Z309" i="2"/>
  <c r="BN309" i="2"/>
  <c r="BP330" i="2"/>
  <c r="BP418" i="2"/>
  <c r="Z534" i="2"/>
  <c r="Z535" i="2" s="1"/>
  <c r="Z246" i="2"/>
  <c r="Z288" i="2"/>
  <c r="BN288" i="2"/>
  <c r="BP291" i="2"/>
  <c r="Z397" i="2"/>
  <c r="BN397" i="2"/>
  <c r="Z436" i="2"/>
  <c r="BN436" i="2"/>
  <c r="BP542" i="2"/>
  <c r="Z48" i="2"/>
  <c r="BN48" i="2"/>
  <c r="Z50" i="2"/>
  <c r="BN50" i="2"/>
  <c r="Z68" i="2"/>
  <c r="BN68" i="2"/>
  <c r="Y84" i="2"/>
  <c r="Z111" i="2"/>
  <c r="BN111" i="2"/>
  <c r="BP128" i="2"/>
  <c r="BP152" i="2"/>
  <c r="BP229" i="2"/>
  <c r="BP266" i="2"/>
  <c r="BP285" i="2"/>
  <c r="BP306" i="2"/>
  <c r="Z347" i="2"/>
  <c r="BN347" i="2"/>
  <c r="BP365" i="2"/>
  <c r="Z378" i="2"/>
  <c r="BN378" i="2"/>
  <c r="BP385" i="2"/>
  <c r="Y402" i="2"/>
  <c r="BP412" i="2"/>
  <c r="Z450" i="2"/>
  <c r="Z487" i="2"/>
  <c r="BN487" i="2"/>
  <c r="BP496" i="2"/>
  <c r="BN534" i="2"/>
  <c r="X563" i="2"/>
  <c r="BP38" i="2"/>
  <c r="BN116" i="2"/>
  <c r="BN199" i="2"/>
  <c r="BN223" i="2"/>
  <c r="BN278" i="2"/>
  <c r="BN298" i="2"/>
  <c r="BN417" i="2"/>
  <c r="BN424" i="2"/>
  <c r="BN437" i="2"/>
  <c r="BP512" i="2"/>
  <c r="BN524" i="2"/>
  <c r="BN546" i="2"/>
  <c r="BN39" i="2"/>
  <c r="BN57" i="2"/>
  <c r="BN122" i="2"/>
  <c r="BN151" i="2"/>
  <c r="BN178" i="2"/>
  <c r="Y201" i="2"/>
  <c r="BN227" i="2"/>
  <c r="BN232" i="2"/>
  <c r="BN234" i="2"/>
  <c r="BN368" i="2"/>
  <c r="BN391" i="2"/>
  <c r="BN400" i="2"/>
  <c r="BN406" i="2"/>
  <c r="BN432" i="2"/>
  <c r="BN28" i="2"/>
  <c r="Z38" i="2"/>
  <c r="BP63" i="2"/>
  <c r="BN80" i="2"/>
  <c r="Z82" i="2"/>
  <c r="Z89" i="2"/>
  <c r="BP96" i="2"/>
  <c r="BN103" i="2"/>
  <c r="Z105" i="2"/>
  <c r="BN105" i="2"/>
  <c r="BN106" i="2"/>
  <c r="BP107" i="2"/>
  <c r="Z134" i="2"/>
  <c r="BN134" i="2"/>
  <c r="BP164" i="2"/>
  <c r="BP184" i="2"/>
  <c r="BN189" i="2"/>
  <c r="Z207" i="2"/>
  <c r="BN207" i="2"/>
  <c r="BP208" i="2"/>
  <c r="BN211" i="2"/>
  <c r="BN224" i="2"/>
  <c r="BN238" i="2"/>
  <c r="BP239" i="2"/>
  <c r="BP243" i="2"/>
  <c r="BP252" i="2"/>
  <c r="BP275" i="2"/>
  <c r="BP286" i="2"/>
  <c r="BN293" i="2"/>
  <c r="BP307" i="2"/>
  <c r="BN321" i="2"/>
  <c r="BP329" i="2"/>
  <c r="Z336" i="2"/>
  <c r="BN336" i="2"/>
  <c r="BP376" i="2"/>
  <c r="BP386" i="2"/>
  <c r="BN410" i="2"/>
  <c r="BN425" i="2"/>
  <c r="BN442" i="2"/>
  <c r="BP448" i="2"/>
  <c r="Z460" i="2"/>
  <c r="BP479" i="2"/>
  <c r="Y483" i="2"/>
  <c r="Z498" i="2"/>
  <c r="Z506" i="2"/>
  <c r="BN511" i="2"/>
  <c r="Z512" i="2"/>
  <c r="Z522" i="2"/>
  <c r="BN522" i="2"/>
  <c r="BN526" i="2"/>
  <c r="BP527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Z488" i="2" s="1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Z451" i="2" s="1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60" i="2"/>
  <c r="Z70" i="2"/>
  <c r="BP95" i="2"/>
  <c r="Z104" i="2"/>
  <c r="Z124" i="2"/>
  <c r="Y129" i="2"/>
  <c r="BP139" i="2"/>
  <c r="BP163" i="2"/>
  <c r="Z171" i="2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Z92" i="2" l="1"/>
  <c r="Z51" i="2"/>
  <c r="Z394" i="2"/>
  <c r="Z192" i="2"/>
  <c r="Z172" i="2"/>
  <c r="Z125" i="2"/>
  <c r="Z42" i="2"/>
  <c r="Z381" i="2"/>
  <c r="Z83" i="2"/>
  <c r="Z140" i="2"/>
  <c r="Z263" i="2"/>
  <c r="Z253" i="2"/>
  <c r="Z353" i="2"/>
  <c r="Z472" i="2"/>
  <c r="Z135" i="2"/>
  <c r="X562" i="2"/>
  <c r="Z247" i="2"/>
  <c r="Z529" i="2"/>
  <c r="Z299" i="2"/>
  <c r="Z426" i="2"/>
  <c r="Z348" i="2"/>
  <c r="Z72" i="2"/>
  <c r="Z388" i="2"/>
  <c r="Z371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<sst xmlns="http://schemas.openxmlformats.org/spreadsheetml/2006/main" count="4286" uniqueCount="892">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</sst>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46293</v>
      </c>
      <c r="R5" s="659"/>
      <c r="T5" s="660" t="s">
        <v>3</v>
      </c>
      <c r="U5" s="661"/>
      <c r="V5" s="662" t="s">
        <v>873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874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4.1666666666666664E-2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23.148148148148145</v>
      </c>
      <c r="Y51" s="43">
        <f>IFERROR(Y47/H47,"0")+IFERROR(Y48/H48,"0")+IFERROR(Y49/H49,"0")+IFERROR(Y50/H50,"0")</f>
        <v>24.000000000000004</v>
      </c>
      <c r="Z51" s="43">
        <f>IFERROR(IF(Z47="",0,Z47),"0")+IFERROR(IF(Z48="",0,Z48),"0")+IFERROR(IF(Z49="",0,Z49),"0")+IFERROR(IF(Z50="",0,Z50),"0")</f>
        <v>0.45552000000000004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250</v>
      </c>
      <c r="Y52" s="43">
        <f>IFERROR(SUM(Y47:Y50),"0")</f>
        <v>259.20000000000005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300</v>
      </c>
      <c r="Y56" s="55">
        <f t="shared" si="0"/>
        <v>302.40000000000003</v>
      </c>
      <c r="Z56" s="41">
        <f>IFERROR(IF(Y56=0,"",ROUNDUP(Y56/H56,0)*0.01898),"")</f>
        <v>0.53144000000000002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311.38888888888891</v>
      </c>
      <c r="BN56" s="78">
        <f t="shared" si="2"/>
        <v>313.88</v>
      </c>
      <c r="BO56" s="78">
        <f t="shared" si="3"/>
        <v>0.43402777777777773</v>
      </c>
      <c r="BP56" s="78">
        <f t="shared" si="4"/>
        <v>0.4375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171</v>
      </c>
      <c r="Y62" s="55">
        <f t="shared" si="0"/>
        <v>171</v>
      </c>
      <c r="Z62" s="41">
        <f>IFERROR(IF(Y62=0,"",ROUNDUP(Y62/H62,0)*0.00902),"")</f>
        <v>0.34276000000000001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178.22000000000003</v>
      </c>
      <c r="BN62" s="78">
        <f t="shared" si="2"/>
        <v>178.22000000000003</v>
      </c>
      <c r="BO62" s="78">
        <f t="shared" si="3"/>
        <v>0.2878787878787879</v>
      </c>
      <c r="BP62" s="78">
        <f t="shared" si="4"/>
        <v>0.2878787878787879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65.777777777777771</v>
      </c>
      <c r="Y64" s="43">
        <f>IFERROR(Y55/H55,"0")+IFERROR(Y56/H56,"0")+IFERROR(Y57/H57,"0")+IFERROR(Y58/H58,"0")+IFERROR(Y59/H59,"0")+IFERROR(Y60/H60,"0")+IFERROR(Y61/H61,"0")+IFERROR(Y62/H62,"0")+IFERROR(Y63/H63,"0")</f>
        <v>66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0.87420000000000009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471</v>
      </c>
      <c r="Y65" s="43">
        <f>IFERROR(SUM(Y55:Y63),"0")</f>
        <v>473.40000000000003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100</v>
      </c>
      <c r="Y67" s="55">
        <f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103.79629629629629</v>
      </c>
      <c r="BN67" s="78">
        <f>IFERROR(Y67*I67/H67,"0")</f>
        <v>112.1</v>
      </c>
      <c r="BO67" s="78">
        <f>IFERROR(1/J67*(X67/H67),"0")</f>
        <v>0.14467592592592593</v>
      </c>
      <c r="BP67" s="78">
        <f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31"/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1"/>
      <c r="N72" s="731"/>
      <c r="O72" s="732"/>
      <c r="P72" s="728" t="s">
        <v>40</v>
      </c>
      <c r="Q72" s="729"/>
      <c r="R72" s="729"/>
      <c r="S72" s="729"/>
      <c r="T72" s="729"/>
      <c r="U72" s="729"/>
      <c r="V72" s="730"/>
      <c r="W72" s="42" t="s">
        <v>39</v>
      </c>
      <c r="X72" s="43">
        <f>IFERROR(X67/H67,"0")+IFERROR(X68/H68,"0")+IFERROR(X69/H69,"0")+IFERROR(X70/H70,"0")+IFERROR(X71/H71,"0")</f>
        <v>9.2592592592592595</v>
      </c>
      <c r="Y72" s="43">
        <f>IFERROR(Y67/H67,"0")+IFERROR(Y68/H68,"0")+IFERROR(Y69/H69,"0")+IFERROR(Y70/H70,"0")+IFERROR(Y71/H71,"0")</f>
        <v>10</v>
      </c>
      <c r="Z72" s="43">
        <f>IFERROR(IF(Z67="",0,Z67),"0")+IFERROR(IF(Z68="",0,Z68),"0")+IFERROR(IF(Z69="",0,Z69),"0")+IFERROR(IF(Z70="",0,Z70),"0")+IFERROR(IF(Z71="",0,Z71),"0")</f>
        <v>0.1898</v>
      </c>
      <c r="AA72" s="67"/>
      <c r="AB72" s="67"/>
      <c r="AC72" s="67"/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0</v>
      </c>
      <c r="X73" s="43">
        <f>IFERROR(SUM(X67:X71),"0")</f>
        <v>100</v>
      </c>
      <c r="Y73" s="43">
        <f>IFERROR(SUM(Y67:Y71),"0")</f>
        <v>108</v>
      </c>
      <c r="Z73" s="42"/>
      <c r="AA73" s="67"/>
      <c r="AB73" s="67"/>
      <c r="AC73" s="67"/>
    </row>
    <row r="74" spans="1:68" ht="14.25" hidden="1" customHeight="1" x14ac:dyDescent="0.25">
      <c r="A74" s="722" t="s">
        <v>86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2"/>
      <c r="P74" s="722"/>
      <c r="Q74" s="722"/>
      <c r="R74" s="722"/>
      <c r="S74" s="722"/>
      <c r="T74" s="722"/>
      <c r="U74" s="722"/>
      <c r="V74" s="722"/>
      <c r="W74" s="722"/>
      <c r="X74" s="722"/>
      <c r="Y74" s="722"/>
      <c r="Z74" s="722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3">
        <v>4680115884311</v>
      </c>
      <c r="E75" s="723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5"/>
      <c r="R75" s="725"/>
      <c r="S75" s="725"/>
      <c r="T75" s="72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3">
        <v>4680115884403</v>
      </c>
      <c r="E76" s="7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1"/>
      <c r="B77" s="731"/>
      <c r="C77" s="731"/>
      <c r="D77" s="731"/>
      <c r="E77" s="731"/>
      <c r="F77" s="731"/>
      <c r="G77" s="731"/>
      <c r="H77" s="731"/>
      <c r="I77" s="731"/>
      <c r="J77" s="731"/>
      <c r="K77" s="731"/>
      <c r="L77" s="731"/>
      <c r="M77" s="731"/>
      <c r="N77" s="731"/>
      <c r="O77" s="732"/>
      <c r="P77" s="728" t="s">
        <v>40</v>
      </c>
      <c r="Q77" s="729"/>
      <c r="R77" s="729"/>
      <c r="S77" s="729"/>
      <c r="T77" s="729"/>
      <c r="U77" s="729"/>
      <c r="V77" s="730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2" t="s">
        <v>178</v>
      </c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2"/>
      <c r="P79" s="722"/>
      <c r="Q79" s="722"/>
      <c r="R79" s="722"/>
      <c r="S79" s="722"/>
      <c r="T79" s="722"/>
      <c r="U79" s="722"/>
      <c r="V79" s="722"/>
      <c r="W79" s="722"/>
      <c r="X79" s="722"/>
      <c r="Y79" s="722"/>
      <c r="Z79" s="722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3">
        <v>4680115881532</v>
      </c>
      <c r="E80" s="7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3">
        <v>4680115881464</v>
      </c>
      <c r="E82" s="72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1"/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2"/>
      <c r="P83" s="728" t="s">
        <v>40</v>
      </c>
      <c r="Q83" s="729"/>
      <c r="R83" s="729"/>
      <c r="S83" s="729"/>
      <c r="T83" s="729"/>
      <c r="U83" s="729"/>
      <c r="V83" s="730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1" t="s">
        <v>186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65"/>
      <c r="AB85" s="65"/>
      <c r="AC85" s="79"/>
    </row>
    <row r="86" spans="1:68" ht="14.25" hidden="1" customHeight="1" x14ac:dyDescent="0.25">
      <c r="A86" s="722" t="s">
        <v>122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2"/>
      <c r="P86" s="722"/>
      <c r="Q86" s="722"/>
      <c r="R86" s="722"/>
      <c r="S86" s="722"/>
      <c r="T86" s="722"/>
      <c r="U86" s="722"/>
      <c r="V86" s="722"/>
      <c r="W86" s="722"/>
      <c r="X86" s="722"/>
      <c r="Y86" s="722"/>
      <c r="Z86" s="722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3">
        <v>4680115881327</v>
      </c>
      <c r="E87" s="72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200</v>
      </c>
      <c r="Y87" s="55">
        <f>IFERROR(IF(X87="",0,CEILING((X87/$H87),1)*$H87),"")</f>
        <v>205.20000000000002</v>
      </c>
      <c r="Z87" s="41">
        <f>IFERROR(IF(Y87=0,"",ROUNDUP(Y87/H87,0)*0.01898),"")</f>
        <v>0.36062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207.59259259259258</v>
      </c>
      <c r="BN87" s="78">
        <f>IFERROR(Y87*I87/H87,"0")</f>
        <v>212.99</v>
      </c>
      <c r="BO87" s="78">
        <f>IFERROR(1/J87*(X87/H87),"0")</f>
        <v>0.28935185185185186</v>
      </c>
      <c r="BP87" s="78">
        <f>IFERROR(1/J87*(Y87/H87),"0")</f>
        <v>0.296875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723">
        <v>4680115887732</v>
      </c>
      <c r="E88" s="723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76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723">
        <v>4680115881518</v>
      </c>
      <c r="E89" s="72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723">
        <v>4680115881303</v>
      </c>
      <c r="E91" s="72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31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2"/>
      <c r="P92" s="728" t="s">
        <v>40</v>
      </c>
      <c r="Q92" s="729"/>
      <c r="R92" s="729"/>
      <c r="S92" s="729"/>
      <c r="T92" s="729"/>
      <c r="U92" s="729"/>
      <c r="V92" s="730"/>
      <c r="W92" s="42" t="s">
        <v>39</v>
      </c>
      <c r="X92" s="43">
        <f>IFERROR(X87/H87,"0")+IFERROR(X88/H88,"0")+IFERROR(X89/H89,"0")+IFERROR(X90/H90,"0")+IFERROR(X91/H91,"0")</f>
        <v>18.518518518518519</v>
      </c>
      <c r="Y92" s="43">
        <f>IFERROR(Y87/H87,"0")+IFERROR(Y88/H88,"0")+IFERROR(Y89/H89,"0")+IFERROR(Y90/H90,"0")+IFERROR(Y91/H91,"0")</f>
        <v>19</v>
      </c>
      <c r="Z92" s="43">
        <f>IFERROR(IF(Z87="",0,Z87),"0")+IFERROR(IF(Z88="",0,Z88),"0")+IFERROR(IF(Z89="",0,Z89),"0")+IFERROR(IF(Z90="",0,Z90),"0")+IFERROR(IF(Z91="",0,Z91),"0")</f>
        <v>0.36062</v>
      </c>
      <c r="AA92" s="67"/>
      <c r="AB92" s="67"/>
      <c r="AC92" s="67"/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0</v>
      </c>
      <c r="X93" s="43">
        <f>IFERROR(SUM(X87:X91),"0")</f>
        <v>200</v>
      </c>
      <c r="Y93" s="43">
        <f>IFERROR(SUM(Y87:Y91),"0")</f>
        <v>205.20000000000002</v>
      </c>
      <c r="Z93" s="42"/>
      <c r="AA93" s="67"/>
      <c r="AB93" s="67"/>
      <c r="AC93" s="67"/>
    </row>
    <row r="94" spans="1:68" ht="14.25" hidden="1" customHeight="1" x14ac:dyDescent="0.25">
      <c r="A94" s="722" t="s">
        <v>86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722"/>
      <c r="O94" s="722"/>
      <c r="P94" s="722"/>
      <c r="Q94" s="722"/>
      <c r="R94" s="722"/>
      <c r="S94" s="722"/>
      <c r="T94" s="722"/>
      <c r="U94" s="722"/>
      <c r="V94" s="722"/>
      <c r="W94" s="722"/>
      <c r="X94" s="722"/>
      <c r="Y94" s="722"/>
      <c r="Z94" s="722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723">
        <v>4607091386967</v>
      </c>
      <c r="E95" s="72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77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400</v>
      </c>
      <c r="Y95" s="55">
        <f>IFERROR(IF(X95="",0,CEILING((X95/$H95),1)*$H95),"")</f>
        <v>405</v>
      </c>
      <c r="Z95" s="41">
        <f>IFERROR(IF(Y95=0,"",ROUNDUP(Y95/H95,0)*0.01898),"")</f>
        <v>0.94900000000000007</v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424.39506172839509</v>
      </c>
      <c r="BN95" s="78">
        <f>IFERROR(Y95*I95/H95,"0")</f>
        <v>429.7</v>
      </c>
      <c r="BO95" s="78">
        <f>IFERROR(1/J95*(X95/H95),"0")</f>
        <v>0.77160493827160492</v>
      </c>
      <c r="BP95" s="78">
        <f>IFERROR(1/J95*(Y95/H95),"0")</f>
        <v>0.78125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723">
        <v>4680115884953</v>
      </c>
      <c r="E96" s="72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IFERROR(X95/H95,"0")+IFERROR(X96/H96,"0")+IFERROR(X97/H97,"0")+IFERROR(X98/H98,"0")</f>
        <v>49.382716049382715</v>
      </c>
      <c r="Y99" s="43">
        <f>IFERROR(Y95/H95,"0")+IFERROR(Y96/H96,"0")+IFERROR(Y97/H97,"0")+IFERROR(Y98/H98,"0")</f>
        <v>50</v>
      </c>
      <c r="Z99" s="43">
        <f>IFERROR(IF(Z95="",0,Z95),"0")+IFERROR(IF(Z96="",0,Z96),"0")+IFERROR(IF(Z97="",0,Z97),"0")+IFERROR(IF(Z98="",0,Z98),"0")</f>
        <v>0.94900000000000007</v>
      </c>
      <c r="AA99" s="67"/>
      <c r="AB99" s="67"/>
      <c r="AC99" s="67"/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IFERROR(SUM(X95:X98),"0")</f>
        <v>400</v>
      </c>
      <c r="Y100" s="43">
        <f>IFERROR(SUM(Y95:Y98),"0")</f>
        <v>405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100</v>
      </c>
      <c r="Y103" s="55">
        <f t="shared" ref="Y103:Y111" si="5">IFERROR(IF(X103="",0,CEILING((X103/$H103),1)*$H103),"")</f>
        <v>108</v>
      </c>
      <c r="Z103" s="41">
        <f>IFERROR(IF(Y103=0,"",ROUNDUP(Y103/H103,0)*0.01898),"")</f>
        <v>0.1898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103.79629629629629</v>
      </c>
      <c r="BN103" s="78">
        <f t="shared" ref="BN103:BN111" si="7">IFERROR(Y103*I103/H103,"0")</f>
        <v>112.1</v>
      </c>
      <c r="BO103" s="78">
        <f t="shared" ref="BO103:BO111" si="8">IFERROR(1/J103*(X103/H103),"0")</f>
        <v>0.14467592592592593</v>
      </c>
      <c r="BP103" s="78">
        <f t="shared" ref="BP103:BP111" si="9">IFERROR(1/J103*(Y103/H103),"0")</f>
        <v>0.15625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723">
        <v>4680115887718</v>
      </c>
      <c r="E105" s="723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723">
        <v>4680115880269</v>
      </c>
      <c r="E106" s="72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113</v>
      </c>
      <c r="Y108" s="55">
        <f t="shared" si="5"/>
        <v>117</v>
      </c>
      <c r="Z108" s="41">
        <f>IFERROR(IF(Y108=0,"",ROUNDUP(Y108/H108,0)*0.00902),"")</f>
        <v>0.23452000000000001</v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117.77111111111111</v>
      </c>
      <c r="BN108" s="78">
        <f t="shared" si="7"/>
        <v>121.94</v>
      </c>
      <c r="BO108" s="78">
        <f t="shared" si="8"/>
        <v>0.19023569023569023</v>
      </c>
      <c r="BP108" s="78">
        <f t="shared" si="9"/>
        <v>0.19696969696969696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723">
        <v>4680115881457</v>
      </c>
      <c r="E109" s="723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8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723">
        <v>4680115889477</v>
      </c>
      <c r="E111" s="72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78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34.370370370370367</v>
      </c>
      <c r="Y112" s="43">
        <f>IFERROR(Y103/H103,"0")+IFERROR(Y104/H104,"0")+IFERROR(Y105/H105,"0")+IFERROR(Y106/H106,"0")+IFERROR(Y107/H107,"0")+IFERROR(Y108/H108,"0")+IFERROR(Y109/H109,"0")+IFERROR(Y110/H110,"0")+IFERROR(Y111/H111,"0")</f>
        <v>36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0.42432000000000003</v>
      </c>
      <c r="AA112" s="67"/>
      <c r="AB112" s="67"/>
      <c r="AC112" s="67"/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0</v>
      </c>
      <c r="X113" s="43">
        <f>IFERROR(SUM(X103:X111),"0")</f>
        <v>213</v>
      </c>
      <c r="Y113" s="43">
        <f>IFERROR(SUM(Y103:Y111),"0")</f>
        <v>225</v>
      </c>
      <c r="Z113" s="42"/>
      <c r="AA113" s="67"/>
      <c r="AB113" s="67"/>
      <c r="AC113" s="67"/>
    </row>
    <row r="114" spans="1:68" ht="14.25" hidden="1" customHeight="1" x14ac:dyDescent="0.25">
      <c r="A114" s="722" t="s">
        <v>159</v>
      </c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2"/>
      <c r="P114" s="722"/>
      <c r="Q114" s="722"/>
      <c r="R114" s="722"/>
      <c r="S114" s="722"/>
      <c r="T114" s="722"/>
      <c r="U114" s="722"/>
      <c r="V114" s="722"/>
      <c r="W114" s="722"/>
      <c r="X114" s="722"/>
      <c r="Y114" s="722"/>
      <c r="Z114" s="722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23">
        <v>4680115881488</v>
      </c>
      <c r="E115" s="72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723">
        <v>4680115882775</v>
      </c>
      <c r="E116" s="72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234</v>
      </c>
      <c r="B117" s="63" t="s">
        <v>235</v>
      </c>
      <c r="C117" s="36">
        <v>4301020392</v>
      </c>
      <c r="D117" s="723">
        <v>4680115880658</v>
      </c>
      <c r="E117" s="72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32</v>
      </c>
      <c r="Y117" s="55">
        <f>IFERROR(IF(X117="",0,CEILING((X117/$H117),1)*$H117),"")</f>
        <v>33.6</v>
      </c>
      <c r="Z117" s="41">
        <f>IFERROR(IF(Y117=0,"",ROUNDUP(Y117/H117,0)*0.00651),"")</f>
        <v>9.1139999999999999E-2</v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34.400000000000006</v>
      </c>
      <c r="BN117" s="78">
        <f>IFERROR(Y117*I117/H117,"0")</f>
        <v>36.120000000000005</v>
      </c>
      <c r="BO117" s="78">
        <f>IFERROR(1/J117*(X117/H117),"0")</f>
        <v>7.3260073260073263E-2</v>
      </c>
      <c r="BP117" s="78">
        <f>IFERROR(1/J117*(Y117/H117),"0")</f>
        <v>7.6923076923076941E-2</v>
      </c>
    </row>
    <row r="118" spans="1:68" x14ac:dyDescent="0.2">
      <c r="A118" s="731"/>
      <c r="B118" s="731"/>
      <c r="C118" s="731"/>
      <c r="D118" s="731"/>
      <c r="E118" s="731"/>
      <c r="F118" s="731"/>
      <c r="G118" s="731"/>
      <c r="H118" s="731"/>
      <c r="I118" s="731"/>
      <c r="J118" s="731"/>
      <c r="K118" s="731"/>
      <c r="L118" s="731"/>
      <c r="M118" s="731"/>
      <c r="N118" s="731"/>
      <c r="O118" s="732"/>
      <c r="P118" s="728" t="s">
        <v>40</v>
      </c>
      <c r="Q118" s="729"/>
      <c r="R118" s="729"/>
      <c r="S118" s="729"/>
      <c r="T118" s="729"/>
      <c r="U118" s="729"/>
      <c r="V118" s="730"/>
      <c r="W118" s="42" t="s">
        <v>39</v>
      </c>
      <c r="X118" s="43">
        <f>IFERROR(X115/H115,"0")+IFERROR(X116/H116,"0")+IFERROR(X117/H117,"0")</f>
        <v>13.333333333333334</v>
      </c>
      <c r="Y118" s="43">
        <f>IFERROR(Y115/H115,"0")+IFERROR(Y116/H116,"0")+IFERROR(Y117/H117,"0")</f>
        <v>14.000000000000002</v>
      </c>
      <c r="Z118" s="43">
        <f>IFERROR(IF(Z115="",0,Z115),"0")+IFERROR(IF(Z116="",0,Z116),"0")+IFERROR(IF(Z117="",0,Z117),"0")</f>
        <v>9.1139999999999999E-2</v>
      </c>
      <c r="AA118" s="67"/>
      <c r="AB118" s="67"/>
      <c r="AC118" s="67"/>
    </row>
    <row r="119" spans="1:68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0</v>
      </c>
      <c r="X119" s="43">
        <f>IFERROR(SUM(X115:X117),"0")</f>
        <v>32</v>
      </c>
      <c r="Y119" s="43">
        <f>IFERROR(SUM(Y115:Y117),"0")</f>
        <v>33.6</v>
      </c>
      <c r="Z119" s="42"/>
      <c r="AA119" s="67"/>
      <c r="AB119" s="67"/>
      <c r="AC119" s="67"/>
    </row>
    <row r="120" spans="1:68" ht="14.25" hidden="1" customHeight="1" x14ac:dyDescent="0.25">
      <c r="A120" s="722" t="s">
        <v>86</v>
      </c>
      <c r="B120" s="722"/>
      <c r="C120" s="722"/>
      <c r="D120" s="722"/>
      <c r="E120" s="722"/>
      <c r="F120" s="722"/>
      <c r="G120" s="722"/>
      <c r="H120" s="722"/>
      <c r="I120" s="722"/>
      <c r="J120" s="722"/>
      <c r="K120" s="722"/>
      <c r="L120" s="722"/>
      <c r="M120" s="722"/>
      <c r="N120" s="722"/>
      <c r="O120" s="722"/>
      <c r="P120" s="722"/>
      <c r="Q120" s="722"/>
      <c r="R120" s="722"/>
      <c r="S120" s="722"/>
      <c r="T120" s="722"/>
      <c r="U120" s="722"/>
      <c r="V120" s="722"/>
      <c r="W120" s="722"/>
      <c r="X120" s="722"/>
      <c r="Y120" s="722"/>
      <c r="Z120" s="722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723">
        <v>4607091385168</v>
      </c>
      <c r="E121" s="72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5"/>
      <c r="R121" s="725"/>
      <c r="S121" s="725"/>
      <c r="T121" s="726"/>
      <c r="U121" s="39" t="s">
        <v>46</v>
      </c>
      <c r="V121" s="39" t="s">
        <v>46</v>
      </c>
      <c r="W121" s="40" t="s">
        <v>0</v>
      </c>
      <c r="X121" s="58">
        <v>1000</v>
      </c>
      <c r="Y121" s="55">
        <f>IFERROR(IF(X121="",0,CEILING((X121/$H121),1)*$H121),"")</f>
        <v>1004.4</v>
      </c>
      <c r="Z121" s="41">
        <f>IFERROR(IF(Y121=0,"",ROUNDUP(Y121/H121,0)*0.01898),"")</f>
        <v>2.3535200000000001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1060.2469135802469</v>
      </c>
      <c r="BN121" s="78">
        <f>IFERROR(Y121*I121/H121,"0")</f>
        <v>1064.9119999999998</v>
      </c>
      <c r="BO121" s="78">
        <f>IFERROR(1/J121*(X121/H121),"0")</f>
        <v>1.9290123456790125</v>
      </c>
      <c r="BP121" s="78">
        <f>IFERROR(1/J121*(Y121/H121),"0")</f>
        <v>1.9375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723">
        <v>4607091383256</v>
      </c>
      <c r="E122" s="72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723">
        <v>4607091385748</v>
      </c>
      <c r="E123" s="72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723">
        <v>4680115884533</v>
      </c>
      <c r="E124" s="72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31"/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1"/>
      <c r="O125" s="732"/>
      <c r="P125" s="728" t="s">
        <v>40</v>
      </c>
      <c r="Q125" s="729"/>
      <c r="R125" s="729"/>
      <c r="S125" s="729"/>
      <c r="T125" s="729"/>
      <c r="U125" s="729"/>
      <c r="V125" s="730"/>
      <c r="W125" s="42" t="s">
        <v>39</v>
      </c>
      <c r="X125" s="43">
        <f>IFERROR(X121/H121,"0")+IFERROR(X122/H122,"0")+IFERROR(X123/H123,"0")+IFERROR(X124/H124,"0")</f>
        <v>123.4567901234568</v>
      </c>
      <c r="Y125" s="43">
        <f>IFERROR(Y121/H121,"0")+IFERROR(Y122/H122,"0")+IFERROR(Y123/H123,"0")+IFERROR(Y124/H124,"0")</f>
        <v>124</v>
      </c>
      <c r="Z125" s="43">
        <f>IFERROR(IF(Z121="",0,Z121),"0")+IFERROR(IF(Z122="",0,Z122),"0")+IFERROR(IF(Z123="",0,Z123),"0")+IFERROR(IF(Z124="",0,Z124),"0")</f>
        <v>2.3535200000000001</v>
      </c>
      <c r="AA125" s="67"/>
      <c r="AB125" s="67"/>
      <c r="AC125" s="67"/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0</v>
      </c>
      <c r="X126" s="43">
        <f>IFERROR(SUM(X121:X124),"0")</f>
        <v>1000</v>
      </c>
      <c r="Y126" s="43">
        <f>IFERROR(SUM(Y121:Y124),"0")</f>
        <v>1004.4</v>
      </c>
      <c r="Z126" s="42"/>
      <c r="AA126" s="67"/>
      <c r="AB126" s="67"/>
      <c r="AC126" s="67"/>
    </row>
    <row r="127" spans="1:68" ht="14.25" hidden="1" customHeight="1" x14ac:dyDescent="0.25">
      <c r="A127" s="722" t="s">
        <v>178</v>
      </c>
      <c r="B127" s="722"/>
      <c r="C127" s="722"/>
      <c r="D127" s="722"/>
      <c r="E127" s="722"/>
      <c r="F127" s="722"/>
      <c r="G127" s="722"/>
      <c r="H127" s="722"/>
      <c r="I127" s="722"/>
      <c r="J127" s="722"/>
      <c r="K127" s="722"/>
      <c r="L127" s="722"/>
      <c r="M127" s="722"/>
      <c r="N127" s="722"/>
      <c r="O127" s="722"/>
      <c r="P127" s="722"/>
      <c r="Q127" s="722"/>
      <c r="R127" s="722"/>
      <c r="S127" s="722"/>
      <c r="T127" s="722"/>
      <c r="U127" s="722"/>
      <c r="V127" s="722"/>
      <c r="W127" s="722"/>
      <c r="X127" s="722"/>
      <c r="Y127" s="722"/>
      <c r="Z127" s="722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723">
        <v>4680115880238</v>
      </c>
      <c r="E128" s="72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721" t="s">
        <v>249</v>
      </c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1"/>
      <c r="P131" s="721"/>
      <c r="Q131" s="721"/>
      <c r="R131" s="721"/>
      <c r="S131" s="721"/>
      <c r="T131" s="721"/>
      <c r="U131" s="721"/>
      <c r="V131" s="721"/>
      <c r="W131" s="721"/>
      <c r="X131" s="721"/>
      <c r="Y131" s="721"/>
      <c r="Z131" s="721"/>
      <c r="AA131" s="65"/>
      <c r="AB131" s="65"/>
      <c r="AC131" s="79"/>
    </row>
    <row r="132" spans="1:68" ht="14.25" hidden="1" customHeight="1" x14ac:dyDescent="0.25">
      <c r="A132" s="722" t="s">
        <v>122</v>
      </c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2"/>
      <c r="P132" s="722"/>
      <c r="Q132" s="722"/>
      <c r="R132" s="722"/>
      <c r="S132" s="722"/>
      <c r="T132" s="722"/>
      <c r="U132" s="722"/>
      <c r="V132" s="722"/>
      <c r="W132" s="722"/>
      <c r="X132" s="722"/>
      <c r="Y132" s="722"/>
      <c r="Z132" s="722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723">
        <v>4680115882577</v>
      </c>
      <c r="E133" s="72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722" t="s">
        <v>77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723">
        <v>4680115883444</v>
      </c>
      <c r="E138" s="72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86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723">
        <v>4680115882584</v>
      </c>
      <c r="E143" s="72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21" t="s">
        <v>262</v>
      </c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1"/>
      <c r="P147" s="721"/>
      <c r="Q147" s="721"/>
      <c r="R147" s="721"/>
      <c r="S147" s="721"/>
      <c r="T147" s="721"/>
      <c r="U147" s="721"/>
      <c r="V147" s="721"/>
      <c r="W147" s="721"/>
      <c r="X147" s="721"/>
      <c r="Y147" s="721"/>
      <c r="Z147" s="721"/>
      <c r="AA147" s="65"/>
      <c r="AB147" s="65"/>
      <c r="AC147" s="79"/>
    </row>
    <row r="148" spans="1:68" ht="14.25" hidden="1" customHeight="1" x14ac:dyDescent="0.25">
      <c r="A148" s="722" t="s">
        <v>86</v>
      </c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2"/>
      <c r="P148" s="722"/>
      <c r="Q148" s="722"/>
      <c r="R148" s="722"/>
      <c r="S148" s="722"/>
      <c r="T148" s="722"/>
      <c r="U148" s="722"/>
      <c r="V148" s="722"/>
      <c r="W148" s="722"/>
      <c r="X148" s="722"/>
      <c r="Y148" s="722"/>
      <c r="Z148" s="722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723">
        <v>4680115888203</v>
      </c>
      <c r="E149" s="72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723">
        <v>4680115888180</v>
      </c>
      <c r="E150" s="72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723">
        <v>4680115888180</v>
      </c>
      <c r="E151" s="72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723">
        <v>4680115888197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723">
        <v>4680115888210</v>
      </c>
      <c r="E153" s="72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723">
        <v>4680115888210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731"/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2"/>
      <c r="P155" s="728" t="s">
        <v>40</v>
      </c>
      <c r="Q155" s="729"/>
      <c r="R155" s="729"/>
      <c r="S155" s="729"/>
      <c r="T155" s="729"/>
      <c r="U155" s="729"/>
      <c r="V155" s="730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22" t="s">
        <v>277</v>
      </c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2"/>
      <c r="P157" s="722"/>
      <c r="Q157" s="722"/>
      <c r="R157" s="722"/>
      <c r="S157" s="722"/>
      <c r="T157" s="722"/>
      <c r="U157" s="722"/>
      <c r="V157" s="722"/>
      <c r="W157" s="722"/>
      <c r="X157" s="722"/>
      <c r="Y157" s="722"/>
      <c r="Z157" s="722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723">
        <v>4680115889132</v>
      </c>
      <c r="E158" s="72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31"/>
      <c r="B159" s="731"/>
      <c r="C159" s="731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2"/>
      <c r="P159" s="728" t="s">
        <v>40</v>
      </c>
      <c r="Q159" s="729"/>
      <c r="R159" s="729"/>
      <c r="S159" s="729"/>
      <c r="T159" s="729"/>
      <c r="U159" s="729"/>
      <c r="V159" s="7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21" t="s">
        <v>120</v>
      </c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1"/>
      <c r="P161" s="721"/>
      <c r="Q161" s="721"/>
      <c r="R161" s="721"/>
      <c r="S161" s="721"/>
      <c r="T161" s="721"/>
      <c r="U161" s="721"/>
      <c r="V161" s="721"/>
      <c r="W161" s="721"/>
      <c r="X161" s="721"/>
      <c r="Y161" s="721"/>
      <c r="Z161" s="721"/>
      <c r="AA161" s="65"/>
      <c r="AB161" s="65"/>
      <c r="AC161" s="79"/>
    </row>
    <row r="162" spans="1:68" ht="14.25" hidden="1" customHeight="1" x14ac:dyDescent="0.25">
      <c r="A162" s="722" t="s">
        <v>122</v>
      </c>
      <c r="B162" s="722"/>
      <c r="C162" s="722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2"/>
      <c r="X162" s="722"/>
      <c r="Y162" s="722"/>
      <c r="Z162" s="722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723">
        <v>4680115887374</v>
      </c>
      <c r="E163" s="72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5"/>
      <c r="R163" s="725"/>
      <c r="S163" s="725"/>
      <c r="T163" s="72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723">
        <v>4607091384604</v>
      </c>
      <c r="E164" s="72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723">
        <v>4680115888876</v>
      </c>
      <c r="E166" s="72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31"/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1"/>
      <c r="O167" s="732"/>
      <c r="P167" s="728" t="s">
        <v>40</v>
      </c>
      <c r="Q167" s="729"/>
      <c r="R167" s="729"/>
      <c r="S167" s="729"/>
      <c r="T167" s="729"/>
      <c r="U167" s="729"/>
      <c r="V167" s="73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22" t="s">
        <v>159</v>
      </c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2"/>
      <c r="P169" s="722"/>
      <c r="Q169" s="722"/>
      <c r="R169" s="722"/>
      <c r="S169" s="722"/>
      <c r="T169" s="722"/>
      <c r="U169" s="722"/>
      <c r="V169" s="722"/>
      <c r="W169" s="722"/>
      <c r="X169" s="722"/>
      <c r="Y169" s="722"/>
      <c r="Z169" s="722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723">
        <v>4680115887695</v>
      </c>
      <c r="E170" s="72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723">
        <v>4680115889491</v>
      </c>
      <c r="E171" s="72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77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4301031496</v>
      </c>
      <c r="D175" s="723">
        <v>4680115887428</v>
      </c>
      <c r="E175" s="72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100</v>
      </c>
      <c r="Y175" s="55">
        <f t="shared" ref="Y175:Y185" si="16">IFERROR(IF(X175="",0,CEILING((X175/$H175),1)*$H175),"")</f>
        <v>101.5</v>
      </c>
      <c r="Z175" s="41">
        <f>IFERROR(IF(Y175=0,"",ROUNDUP(Y175/H175,0)*0.00902),"")</f>
        <v>0.26158000000000003</v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105.42857142857143</v>
      </c>
      <c r="BN175" s="78">
        <f t="shared" ref="BN175:BN185" si="18">IFERROR(Y175*I175/H175,"0")</f>
        <v>107.00999999999999</v>
      </c>
      <c r="BO175" s="78">
        <f t="shared" ref="BO175:BO185" si="19">IFERROR(1/J175*(X175/H175),"0")</f>
        <v>0.21645021645021648</v>
      </c>
      <c r="BP175" s="78">
        <f t="shared" ref="BP175:BP185" si="20">IFERROR(1/J175*(Y175/H175),"0")</f>
        <v>0.2196969696969697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723">
        <v>4680115889170</v>
      </c>
      <c r="E176" s="72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723">
        <v>4680115887398</v>
      </c>
      <c r="E177" s="72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723">
        <v>4680115887336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723">
        <v>4680115887787</v>
      </c>
      <c r="E179" s="72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723">
        <v>4680115887503</v>
      </c>
      <c r="E181" s="72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723">
        <v>4680115887763</v>
      </c>
      <c r="E182" s="723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723">
        <v>4680115887480</v>
      </c>
      <c r="E183" s="72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723">
        <v>4680115888067</v>
      </c>
      <c r="E184" s="72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723">
        <v>4680115887435</v>
      </c>
      <c r="E185" s="72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31"/>
      <c r="B186" s="731"/>
      <c r="C186" s="731"/>
      <c r="D186" s="731"/>
      <c r="E186" s="731"/>
      <c r="F186" s="731"/>
      <c r="G186" s="731"/>
      <c r="H186" s="731"/>
      <c r="I186" s="731"/>
      <c r="J186" s="731"/>
      <c r="K186" s="731"/>
      <c r="L186" s="731"/>
      <c r="M186" s="731"/>
      <c r="N186" s="731"/>
      <c r="O186" s="732"/>
      <c r="P186" s="728" t="s">
        <v>40</v>
      </c>
      <c r="Q186" s="729"/>
      <c r="R186" s="729"/>
      <c r="S186" s="729"/>
      <c r="T186" s="729"/>
      <c r="U186" s="729"/>
      <c r="V186" s="73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28.571428571428573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29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0.26158000000000003</v>
      </c>
      <c r="AA186" s="67"/>
      <c r="AB186" s="67"/>
      <c r="AC186" s="67"/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0</v>
      </c>
      <c r="X187" s="43">
        <f>IFERROR(SUM(X175:X185),"0")</f>
        <v>100</v>
      </c>
      <c r="Y187" s="43">
        <f>IFERROR(SUM(Y175:Y185),"0")</f>
        <v>101.5</v>
      </c>
      <c r="Z187" s="42"/>
      <c r="AA187" s="67"/>
      <c r="AB187" s="67"/>
      <c r="AC187" s="67"/>
    </row>
    <row r="188" spans="1:68" ht="14.25" hidden="1" customHeight="1" x14ac:dyDescent="0.25">
      <c r="A188" s="722" t="s">
        <v>86</v>
      </c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2"/>
      <c r="P188" s="722"/>
      <c r="Q188" s="722"/>
      <c r="R188" s="722"/>
      <c r="S188" s="722"/>
      <c r="T188" s="722"/>
      <c r="U188" s="722"/>
      <c r="V188" s="722"/>
      <c r="W188" s="722"/>
      <c r="X188" s="722"/>
      <c r="Y188" s="722"/>
      <c r="Z188" s="722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723">
        <v>4680115888395</v>
      </c>
      <c r="E189" s="72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723">
        <v>4680115888371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723">
        <v>4680115887459</v>
      </c>
      <c r="E191" s="72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277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723">
        <v>4680115889026</v>
      </c>
      <c r="E195" s="72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31"/>
      <c r="B196" s="731"/>
      <c r="C196" s="731"/>
      <c r="D196" s="731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28" t="s">
        <v>40</v>
      </c>
      <c r="Q196" s="729"/>
      <c r="R196" s="729"/>
      <c r="S196" s="729"/>
      <c r="T196" s="729"/>
      <c r="U196" s="729"/>
      <c r="V196" s="730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22" t="s">
        <v>341</v>
      </c>
      <c r="B198" s="722"/>
      <c r="C198" s="722"/>
      <c r="D198" s="722"/>
      <c r="E198" s="722"/>
      <c r="F198" s="722"/>
      <c r="G198" s="722"/>
      <c r="H198" s="722"/>
      <c r="I198" s="722"/>
      <c r="J198" s="722"/>
      <c r="K198" s="722"/>
      <c r="L198" s="722"/>
      <c r="M198" s="722"/>
      <c r="N198" s="722"/>
      <c r="O198" s="722"/>
      <c r="P198" s="722"/>
      <c r="Q198" s="722"/>
      <c r="R198" s="722"/>
      <c r="S198" s="722"/>
      <c r="T198" s="722"/>
      <c r="U198" s="722"/>
      <c r="V198" s="722"/>
      <c r="W198" s="722"/>
      <c r="X198" s="722"/>
      <c r="Y198" s="722"/>
      <c r="Z198" s="722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723">
        <v>4680115889033</v>
      </c>
      <c r="E199" s="723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5"/>
      <c r="R199" s="725"/>
      <c r="S199" s="725"/>
      <c r="T199" s="72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31"/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2"/>
      <c r="P200" s="728" t="s">
        <v>40</v>
      </c>
      <c r="Q200" s="729"/>
      <c r="R200" s="729"/>
      <c r="S200" s="729"/>
      <c r="T200" s="729"/>
      <c r="U200" s="729"/>
      <c r="V200" s="730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20" t="s">
        <v>345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54"/>
      <c r="AB202" s="54"/>
      <c r="AC202" s="54"/>
    </row>
    <row r="203" spans="1:68" ht="16.5" hidden="1" customHeight="1" x14ac:dyDescent="0.25">
      <c r="A203" s="721" t="s">
        <v>346</v>
      </c>
      <c r="B203" s="721"/>
      <c r="C203" s="721"/>
      <c r="D203" s="721"/>
      <c r="E203" s="721"/>
      <c r="F203" s="721"/>
      <c r="G203" s="721"/>
      <c r="H203" s="721"/>
      <c r="I203" s="721"/>
      <c r="J203" s="721"/>
      <c r="K203" s="721"/>
      <c r="L203" s="721"/>
      <c r="M203" s="721"/>
      <c r="N203" s="721"/>
      <c r="O203" s="721"/>
      <c r="P203" s="721"/>
      <c r="Q203" s="721"/>
      <c r="R203" s="721"/>
      <c r="S203" s="721"/>
      <c r="T203" s="721"/>
      <c r="U203" s="721"/>
      <c r="V203" s="721"/>
      <c r="W203" s="721"/>
      <c r="X203" s="721"/>
      <c r="Y203" s="721"/>
      <c r="Z203" s="721"/>
      <c r="AA203" s="65"/>
      <c r="AB203" s="65"/>
      <c r="AC203" s="79"/>
    </row>
    <row r="204" spans="1:68" ht="14.25" hidden="1" customHeight="1" x14ac:dyDescent="0.25">
      <c r="A204" s="722" t="s">
        <v>122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723">
        <v>4607091383423</v>
      </c>
      <c r="E205" s="723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723">
        <v>4680115888760</v>
      </c>
      <c r="E206" s="72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723">
        <v>4680115888807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723">
        <v>4680115888852</v>
      </c>
      <c r="E208" s="723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723">
        <v>4680115886957</v>
      </c>
      <c r="E209" s="723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723">
        <v>4680115885660</v>
      </c>
      <c r="E210" s="723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723">
        <v>4680115886773</v>
      </c>
      <c r="E211" s="723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731"/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2"/>
      <c r="P212" s="728" t="s">
        <v>40</v>
      </c>
      <c r="Q212" s="729"/>
      <c r="R212" s="729"/>
      <c r="S212" s="729"/>
      <c r="T212" s="729"/>
      <c r="U212" s="729"/>
      <c r="V212" s="730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21" t="s">
        <v>367</v>
      </c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1"/>
      <c r="P214" s="721"/>
      <c r="Q214" s="721"/>
      <c r="R214" s="721"/>
      <c r="S214" s="721"/>
      <c r="T214" s="721"/>
      <c r="U214" s="721"/>
      <c r="V214" s="721"/>
      <c r="W214" s="721"/>
      <c r="X214" s="721"/>
      <c r="Y214" s="721"/>
      <c r="Z214" s="721"/>
      <c r="AA214" s="65"/>
      <c r="AB214" s="65"/>
      <c r="AC214" s="79"/>
    </row>
    <row r="215" spans="1:68" ht="14.25" hidden="1" customHeight="1" x14ac:dyDescent="0.25">
      <c r="A215" s="722" t="s">
        <v>159</v>
      </c>
      <c r="B215" s="722"/>
      <c r="C215" s="722"/>
      <c r="D215" s="722"/>
      <c r="E215" s="722"/>
      <c r="F215" s="722"/>
      <c r="G215" s="722"/>
      <c r="H215" s="722"/>
      <c r="I215" s="722"/>
      <c r="J215" s="722"/>
      <c r="K215" s="722"/>
      <c r="L215" s="722"/>
      <c r="M215" s="722"/>
      <c r="N215" s="722"/>
      <c r="O215" s="722"/>
      <c r="P215" s="722"/>
      <c r="Q215" s="722"/>
      <c r="R215" s="722"/>
      <c r="S215" s="722"/>
      <c r="T215" s="722"/>
      <c r="U215" s="722"/>
      <c r="V215" s="722"/>
      <c r="W215" s="722"/>
      <c r="X215" s="722"/>
      <c r="Y215" s="722"/>
      <c r="Z215" s="722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723">
        <v>4680115886223</v>
      </c>
      <c r="E216" s="723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31"/>
      <c r="B217" s="731"/>
      <c r="C217" s="731"/>
      <c r="D217" s="731"/>
      <c r="E217" s="731"/>
      <c r="F217" s="731"/>
      <c r="G217" s="731"/>
      <c r="H217" s="731"/>
      <c r="I217" s="731"/>
      <c r="J217" s="731"/>
      <c r="K217" s="731"/>
      <c r="L217" s="731"/>
      <c r="M217" s="731"/>
      <c r="N217" s="731"/>
      <c r="O217" s="732"/>
      <c r="P217" s="728" t="s">
        <v>40</v>
      </c>
      <c r="Q217" s="729"/>
      <c r="R217" s="729"/>
      <c r="S217" s="729"/>
      <c r="T217" s="729"/>
      <c r="U217" s="729"/>
      <c r="V217" s="730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22" t="s">
        <v>77</v>
      </c>
      <c r="B219" s="722"/>
      <c r="C219" s="722"/>
      <c r="D219" s="722"/>
      <c r="E219" s="722"/>
      <c r="F219" s="722"/>
      <c r="G219" s="722"/>
      <c r="H219" s="722"/>
      <c r="I219" s="722"/>
      <c r="J219" s="722"/>
      <c r="K219" s="722"/>
      <c r="L219" s="722"/>
      <c r="M219" s="722"/>
      <c r="N219" s="722"/>
      <c r="O219" s="722"/>
      <c r="P219" s="722"/>
      <c r="Q219" s="722"/>
      <c r="R219" s="722"/>
      <c r="S219" s="722"/>
      <c r="T219" s="722"/>
      <c r="U219" s="722"/>
      <c r="V219" s="722"/>
      <c r="W219" s="722"/>
      <c r="X219" s="722"/>
      <c r="Y219" s="722"/>
      <c r="Z219" s="722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723">
        <v>4680115880993</v>
      </c>
      <c r="E220" s="72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5"/>
      <c r="R220" s="725"/>
      <c r="S220" s="725"/>
      <c r="T220" s="726"/>
      <c r="U220" s="39" t="s">
        <v>46</v>
      </c>
      <c r="V220" s="39" t="s">
        <v>46</v>
      </c>
      <c r="W220" s="40" t="s">
        <v>0</v>
      </c>
      <c r="X220" s="58">
        <v>150</v>
      </c>
      <c r="Y220" s="55">
        <f t="shared" ref="Y220:Y234" si="27">IFERROR(IF(X220="",0,CEILING((X220/$H220),1)*$H220),"")</f>
        <v>151.20000000000002</v>
      </c>
      <c r="Z220" s="41">
        <f>IFERROR(IF(Y220=0,"",ROUNDUP(Y220/H220,0)*0.00902),"")</f>
        <v>0.32472000000000001</v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158.92857142857142</v>
      </c>
      <c r="BN220" s="78">
        <f t="shared" ref="BN220:BN234" si="29">IFERROR(Y220*I220/H220,"0")</f>
        <v>160.20000000000002</v>
      </c>
      <c r="BO220" s="78">
        <f t="shared" ref="BO220:BO234" si="30">IFERROR(1/J220*(X220/H220),"0")</f>
        <v>0.27056277056277056</v>
      </c>
      <c r="BP220" s="78">
        <f t="shared" ref="BP220:BP234" si="31">IFERROR(1/J220*(Y220/H220),"0")</f>
        <v>0.27272727272727271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723">
        <v>4680115881761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723">
        <v>4680115881563</v>
      </c>
      <c r="E222" s="723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723">
        <v>4680115887565</v>
      </c>
      <c r="E223" s="723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723">
        <v>4680115880986</v>
      </c>
      <c r="E224" s="72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723">
        <v>4680115887213</v>
      </c>
      <c r="E225" s="723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723">
        <v>4680115881785</v>
      </c>
      <c r="E226" s="723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723">
        <v>4680115888432</v>
      </c>
      <c r="E227" s="72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723">
        <v>4680115888104</v>
      </c>
      <c r="E228" s="723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723">
        <v>4680115886537</v>
      </c>
      <c r="E229" s="723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723">
        <v>4680115887596</v>
      </c>
      <c r="E230" s="723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723">
        <v>4680115881679</v>
      </c>
      <c r="E231" s="723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723">
        <v>4680115880191</v>
      </c>
      <c r="E232" s="7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723">
        <v>4680115883963</v>
      </c>
      <c r="E234" s="72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31"/>
      <c r="B235" s="731"/>
      <c r="C235" s="731"/>
      <c r="D235" s="731"/>
      <c r="E235" s="731"/>
      <c r="F235" s="731"/>
      <c r="G235" s="731"/>
      <c r="H235" s="731"/>
      <c r="I235" s="731"/>
      <c r="J235" s="731"/>
      <c r="K235" s="731"/>
      <c r="L235" s="731"/>
      <c r="M235" s="731"/>
      <c r="N235" s="731"/>
      <c r="O235" s="732"/>
      <c r="P235" s="728" t="s">
        <v>40</v>
      </c>
      <c r="Q235" s="729"/>
      <c r="R235" s="729"/>
      <c r="S235" s="729"/>
      <c r="T235" s="729"/>
      <c r="U235" s="729"/>
      <c r="V235" s="730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35.714285714285715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36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0.32472000000000001</v>
      </c>
      <c r="AA235" s="67"/>
      <c r="AB235" s="67"/>
      <c r="AC235" s="67"/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0</v>
      </c>
      <c r="X236" s="43">
        <f>IFERROR(SUM(X220:X234),"0")</f>
        <v>150</v>
      </c>
      <c r="Y236" s="43">
        <f>IFERROR(SUM(Y220:Y234),"0")</f>
        <v>151.20000000000002</v>
      </c>
      <c r="Z236" s="42"/>
      <c r="AA236" s="67"/>
      <c r="AB236" s="67"/>
      <c r="AC236" s="67"/>
    </row>
    <row r="237" spans="1:68" ht="14.25" hidden="1" customHeight="1" x14ac:dyDescent="0.25">
      <c r="A237" s="722" t="s">
        <v>86</v>
      </c>
      <c r="B237" s="722"/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723">
        <v>4680115888692</v>
      </c>
      <c r="E238" s="72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723">
        <v>4680115888722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723">
        <v>4680115888951</v>
      </c>
      <c r="E242" s="72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723">
        <v>4680115888975</v>
      </c>
      <c r="E244" s="723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723">
        <v>4680115888982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731"/>
      <c r="B247" s="731"/>
      <c r="C247" s="731"/>
      <c r="D247" s="731"/>
      <c r="E247" s="731"/>
      <c r="F247" s="731"/>
      <c r="G247" s="731"/>
      <c r="H247" s="731"/>
      <c r="I247" s="731"/>
      <c r="J247" s="731"/>
      <c r="K247" s="731"/>
      <c r="L247" s="731"/>
      <c r="M247" s="731"/>
      <c r="N247" s="731"/>
      <c r="O247" s="732"/>
      <c r="P247" s="728" t="s">
        <v>40</v>
      </c>
      <c r="Q247" s="729"/>
      <c r="R247" s="729"/>
      <c r="S247" s="729"/>
      <c r="T247" s="729"/>
      <c r="U247" s="729"/>
      <c r="V247" s="730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22" t="s">
        <v>277</v>
      </c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2"/>
      <c r="P249" s="722"/>
      <c r="Q249" s="722"/>
      <c r="R249" s="722"/>
      <c r="S249" s="722"/>
      <c r="T249" s="722"/>
      <c r="U249" s="722"/>
      <c r="V249" s="722"/>
      <c r="W249" s="722"/>
      <c r="X249" s="722"/>
      <c r="Y249" s="722"/>
      <c r="Z249" s="722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723">
        <v>4680115886780</v>
      </c>
      <c r="E250" s="72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5"/>
      <c r="R250" s="725"/>
      <c r="S250" s="725"/>
      <c r="T250" s="72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723">
        <v>4680115886742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723">
        <v>4680115886766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31"/>
      <c r="B253" s="731"/>
      <c r="C253" s="731"/>
      <c r="D253" s="731"/>
      <c r="E253" s="731"/>
      <c r="F253" s="731"/>
      <c r="G253" s="731"/>
      <c r="H253" s="731"/>
      <c r="I253" s="731"/>
      <c r="J253" s="731"/>
      <c r="K253" s="731"/>
      <c r="L253" s="731"/>
      <c r="M253" s="731"/>
      <c r="N253" s="731"/>
      <c r="O253" s="732"/>
      <c r="P253" s="728" t="s">
        <v>40</v>
      </c>
      <c r="Q253" s="729"/>
      <c r="R253" s="729"/>
      <c r="S253" s="729"/>
      <c r="T253" s="729"/>
      <c r="U253" s="729"/>
      <c r="V253" s="730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722" t="s">
        <v>438</v>
      </c>
      <c r="B255" s="722"/>
      <c r="C255" s="722"/>
      <c r="D255" s="722"/>
      <c r="E255" s="722"/>
      <c r="F255" s="722"/>
      <c r="G255" s="722"/>
      <c r="H255" s="722"/>
      <c r="I255" s="722"/>
      <c r="J255" s="722"/>
      <c r="K255" s="722"/>
      <c r="L255" s="722"/>
      <c r="M255" s="722"/>
      <c r="N255" s="722"/>
      <c r="O255" s="722"/>
      <c r="P255" s="722"/>
      <c r="Q255" s="722"/>
      <c r="R255" s="722"/>
      <c r="S255" s="722"/>
      <c r="T255" s="722"/>
      <c r="U255" s="722"/>
      <c r="V255" s="722"/>
      <c r="W255" s="722"/>
      <c r="X255" s="722"/>
      <c r="Y255" s="722"/>
      <c r="Z255" s="722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723">
        <v>4680115886797</v>
      </c>
      <c r="E256" s="72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5"/>
      <c r="R256" s="725"/>
      <c r="S256" s="725"/>
      <c r="T256" s="72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31"/>
      <c r="B257" s="731"/>
      <c r="C257" s="731"/>
      <c r="D257" s="731"/>
      <c r="E257" s="731"/>
      <c r="F257" s="731"/>
      <c r="G257" s="731"/>
      <c r="H257" s="731"/>
      <c r="I257" s="731"/>
      <c r="J257" s="731"/>
      <c r="K257" s="731"/>
      <c r="L257" s="731"/>
      <c r="M257" s="731"/>
      <c r="N257" s="731"/>
      <c r="O257" s="732"/>
      <c r="P257" s="728" t="s">
        <v>40</v>
      </c>
      <c r="Q257" s="729"/>
      <c r="R257" s="729"/>
      <c r="S257" s="729"/>
      <c r="T257" s="729"/>
      <c r="U257" s="729"/>
      <c r="V257" s="73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721" t="s">
        <v>441</v>
      </c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1"/>
      <c r="P259" s="721"/>
      <c r="Q259" s="721"/>
      <c r="R259" s="721"/>
      <c r="S259" s="721"/>
      <c r="T259" s="721"/>
      <c r="U259" s="721"/>
      <c r="V259" s="721"/>
      <c r="W259" s="721"/>
      <c r="X259" s="721"/>
      <c r="Y259" s="721"/>
      <c r="Z259" s="721"/>
      <c r="AA259" s="65"/>
      <c r="AB259" s="65"/>
      <c r="AC259" s="79"/>
    </row>
    <row r="260" spans="1:68" ht="14.25" hidden="1" customHeight="1" x14ac:dyDescent="0.25">
      <c r="A260" s="722" t="s">
        <v>122</v>
      </c>
      <c r="B260" s="722"/>
      <c r="C260" s="722"/>
      <c r="D260" s="722"/>
      <c r="E260" s="722"/>
      <c r="F260" s="722"/>
      <c r="G260" s="722"/>
      <c r="H260" s="722"/>
      <c r="I260" s="722"/>
      <c r="J260" s="722"/>
      <c r="K260" s="722"/>
      <c r="L260" s="722"/>
      <c r="M260" s="722"/>
      <c r="N260" s="722"/>
      <c r="O260" s="722"/>
      <c r="P260" s="722"/>
      <c r="Q260" s="722"/>
      <c r="R260" s="722"/>
      <c r="S260" s="722"/>
      <c r="T260" s="722"/>
      <c r="U260" s="722"/>
      <c r="V260" s="722"/>
      <c r="W260" s="722"/>
      <c r="X260" s="722"/>
      <c r="Y260" s="722"/>
      <c r="Z260" s="722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723">
        <v>4680115881402</v>
      </c>
      <c r="E261" s="7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5"/>
      <c r="R261" s="725"/>
      <c r="S261" s="725"/>
      <c r="T261" s="72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723">
        <v>4680115881396</v>
      </c>
      <c r="E262" s="723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31"/>
      <c r="B263" s="731"/>
      <c r="C263" s="731"/>
      <c r="D263" s="731"/>
      <c r="E263" s="731"/>
      <c r="F263" s="731"/>
      <c r="G263" s="731"/>
      <c r="H263" s="731"/>
      <c r="I263" s="731"/>
      <c r="J263" s="731"/>
      <c r="K263" s="731"/>
      <c r="L263" s="731"/>
      <c r="M263" s="731"/>
      <c r="N263" s="731"/>
      <c r="O263" s="732"/>
      <c r="P263" s="728" t="s">
        <v>40</v>
      </c>
      <c r="Q263" s="729"/>
      <c r="R263" s="729"/>
      <c r="S263" s="729"/>
      <c r="T263" s="729"/>
      <c r="U263" s="729"/>
      <c r="V263" s="73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22" t="s">
        <v>159</v>
      </c>
      <c r="B265" s="722"/>
      <c r="C265" s="722"/>
      <c r="D265" s="722"/>
      <c r="E265" s="722"/>
      <c r="F265" s="722"/>
      <c r="G265" s="722"/>
      <c r="H265" s="722"/>
      <c r="I265" s="722"/>
      <c r="J265" s="722"/>
      <c r="K265" s="722"/>
      <c r="L265" s="722"/>
      <c r="M265" s="722"/>
      <c r="N265" s="722"/>
      <c r="O265" s="722"/>
      <c r="P265" s="722"/>
      <c r="Q265" s="722"/>
      <c r="R265" s="722"/>
      <c r="S265" s="722"/>
      <c r="T265" s="722"/>
      <c r="U265" s="722"/>
      <c r="V265" s="722"/>
      <c r="W265" s="722"/>
      <c r="X265" s="722"/>
      <c r="Y265" s="722"/>
      <c r="Z265" s="722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723">
        <v>4680115882935</v>
      </c>
      <c r="E266" s="7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5"/>
      <c r="R266" s="725"/>
      <c r="S266" s="725"/>
      <c r="T266" s="72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723">
        <v>4680115880764</v>
      </c>
      <c r="E267" s="723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31"/>
      <c r="B268" s="731"/>
      <c r="C268" s="731"/>
      <c r="D268" s="731"/>
      <c r="E268" s="731"/>
      <c r="F268" s="731"/>
      <c r="G268" s="731"/>
      <c r="H268" s="731"/>
      <c r="I268" s="731"/>
      <c r="J268" s="731"/>
      <c r="K268" s="731"/>
      <c r="L268" s="731"/>
      <c r="M268" s="731"/>
      <c r="N268" s="731"/>
      <c r="O268" s="732"/>
      <c r="P268" s="728" t="s">
        <v>40</v>
      </c>
      <c r="Q268" s="729"/>
      <c r="R268" s="729"/>
      <c r="S268" s="729"/>
      <c r="T268" s="729"/>
      <c r="U268" s="729"/>
      <c r="V268" s="73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22" t="s">
        <v>77</v>
      </c>
      <c r="B270" s="722"/>
      <c r="C270" s="722"/>
      <c r="D270" s="722"/>
      <c r="E270" s="722"/>
      <c r="F270" s="722"/>
      <c r="G270" s="722"/>
      <c r="H270" s="722"/>
      <c r="I270" s="722"/>
      <c r="J270" s="722"/>
      <c r="K270" s="722"/>
      <c r="L270" s="722"/>
      <c r="M270" s="722"/>
      <c r="N270" s="722"/>
      <c r="O270" s="722"/>
      <c r="P270" s="722"/>
      <c r="Q270" s="722"/>
      <c r="R270" s="722"/>
      <c r="S270" s="722"/>
      <c r="T270" s="722"/>
      <c r="U270" s="722"/>
      <c r="V270" s="722"/>
      <c r="W270" s="722"/>
      <c r="X270" s="722"/>
      <c r="Y270" s="722"/>
      <c r="Z270" s="722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723">
        <v>4680115882683</v>
      </c>
      <c r="E271" s="72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5"/>
      <c r="R271" s="725"/>
      <c r="S271" s="725"/>
      <c r="T271" s="726"/>
      <c r="U271" s="39" t="s">
        <v>46</v>
      </c>
      <c r="V271" s="39" t="s">
        <v>46</v>
      </c>
      <c r="W271" s="40" t="s">
        <v>0</v>
      </c>
      <c r="X271" s="58">
        <v>150</v>
      </c>
      <c r="Y271" s="55">
        <f t="shared" ref="Y271:Y278" si="38">IFERROR(IF(X271="",0,CEILING((X271/$H271),1)*$H271),"")</f>
        <v>151.20000000000002</v>
      </c>
      <c r="Z271" s="41">
        <f>IFERROR(IF(Y271=0,"",ROUNDUP(Y271/H271,0)*0.00902),"")</f>
        <v>0.25256000000000001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155.27777777777777</v>
      </c>
      <c r="BN271" s="78">
        <f t="shared" ref="BN271:BN278" si="40">IFERROR(Y271*I271/H271,"0")</f>
        <v>156.52000000000001</v>
      </c>
      <c r="BO271" s="78">
        <f t="shared" ref="BO271:BO278" si="41">IFERROR(1/J271*(X271/H271),"0")</f>
        <v>0.21043771043771042</v>
      </c>
      <c r="BP271" s="78">
        <f t="shared" ref="BP271:BP278" si="42">IFERROR(1/J271*(Y271/H271),"0")</f>
        <v>0.21212121212121213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723">
        <v>4680115882690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si="38"/>
        <v>253.8</v>
      </c>
      <c r="Z272" s="41">
        <f>IFERROR(IF(Y272=0,"",ROUNDUP(Y272/H272,0)*0.00902),"")</f>
        <v>0.42393999999999998</v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258.7962962962963</v>
      </c>
      <c r="BN272" s="78">
        <f t="shared" si="40"/>
        <v>262.72999999999996</v>
      </c>
      <c r="BO272" s="78">
        <f t="shared" si="41"/>
        <v>0.35072951739618402</v>
      </c>
      <c r="BP272" s="78">
        <f t="shared" si="42"/>
        <v>0.35606060606060608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723">
        <v>4680115882669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250</v>
      </c>
      <c r="Y273" s="55">
        <f t="shared" si="38"/>
        <v>253.8</v>
      </c>
      <c r="Z273" s="41">
        <f>IFERROR(IF(Y273=0,"",ROUNDUP(Y273/H273,0)*0.00902),"")</f>
        <v>0.42393999999999998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258.7962962962963</v>
      </c>
      <c r="BN273" s="78">
        <f t="shared" si="40"/>
        <v>262.72999999999996</v>
      </c>
      <c r="BO273" s="78">
        <f t="shared" si="41"/>
        <v>0.35072951739618402</v>
      </c>
      <c r="BP273" s="78">
        <f t="shared" si="42"/>
        <v>0.35606060606060608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723">
        <v>4680115882676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723">
        <v>4680115884014</v>
      </c>
      <c r="E275" s="723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723">
        <v>4680115884007</v>
      </c>
      <c r="E276" s="72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723">
        <v>4680115884038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723">
        <v>4680115884021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731"/>
      <c r="B279" s="731"/>
      <c r="C279" s="731"/>
      <c r="D279" s="731"/>
      <c r="E279" s="731"/>
      <c r="F279" s="731"/>
      <c r="G279" s="731"/>
      <c r="H279" s="731"/>
      <c r="I279" s="731"/>
      <c r="J279" s="731"/>
      <c r="K279" s="731"/>
      <c r="L279" s="731"/>
      <c r="M279" s="731"/>
      <c r="N279" s="731"/>
      <c r="O279" s="732"/>
      <c r="P279" s="728" t="s">
        <v>40</v>
      </c>
      <c r="Q279" s="729"/>
      <c r="R279" s="729"/>
      <c r="S279" s="729"/>
      <c r="T279" s="729"/>
      <c r="U279" s="729"/>
      <c r="V279" s="730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120.37037037037035</v>
      </c>
      <c r="Y279" s="43">
        <f>IFERROR(Y271/H271,"0")+IFERROR(Y272/H272,"0")+IFERROR(Y273/H273,"0")+IFERROR(Y274/H274,"0")+IFERROR(Y275/H275,"0")+IFERROR(Y276/H276,"0")+IFERROR(Y277/H277,"0")+IFERROR(Y278/H278,"0")</f>
        <v>122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1.1004399999999999</v>
      </c>
      <c r="AA279" s="67"/>
      <c r="AB279" s="67"/>
      <c r="AC279" s="67"/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0</v>
      </c>
      <c r="X280" s="43">
        <f>IFERROR(SUM(X271:X278),"0")</f>
        <v>650</v>
      </c>
      <c r="Y280" s="43">
        <f>IFERROR(SUM(Y271:Y278),"0")</f>
        <v>658.8</v>
      </c>
      <c r="Z280" s="42"/>
      <c r="AA280" s="67"/>
      <c r="AB280" s="67"/>
      <c r="AC280" s="67"/>
    </row>
    <row r="281" spans="1:68" ht="14.25" hidden="1" customHeight="1" x14ac:dyDescent="0.25">
      <c r="A281" s="722" t="s">
        <v>86</v>
      </c>
      <c r="B281" s="722"/>
      <c r="C281" s="722"/>
      <c r="D281" s="722"/>
      <c r="E281" s="722"/>
      <c r="F281" s="722"/>
      <c r="G281" s="722"/>
      <c r="H281" s="722"/>
      <c r="I281" s="722"/>
      <c r="J281" s="722"/>
      <c r="K281" s="722"/>
      <c r="L281" s="722"/>
      <c r="M281" s="722"/>
      <c r="N281" s="722"/>
      <c r="O281" s="722"/>
      <c r="P281" s="722"/>
      <c r="Q281" s="722"/>
      <c r="R281" s="722"/>
      <c r="S281" s="722"/>
      <c r="T281" s="722"/>
      <c r="U281" s="722"/>
      <c r="V281" s="722"/>
      <c r="W281" s="722"/>
      <c r="X281" s="722"/>
      <c r="Y281" s="722"/>
      <c r="Z281" s="722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723">
        <v>4680115881594</v>
      </c>
      <c r="E282" s="723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5"/>
      <c r="R282" s="725"/>
      <c r="S282" s="725"/>
      <c r="T282" s="72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723">
        <v>4680115881617</v>
      </c>
      <c r="E283" s="723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723">
        <v>4680115880573</v>
      </c>
      <c r="E284" s="723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723">
        <v>4680115882195</v>
      </c>
      <c r="E285" s="723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723">
        <v>4680115882607</v>
      </c>
      <c r="E286" s="723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723">
        <v>4680115880092</v>
      </c>
      <c r="E288" s="72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723">
        <v>4680115889064</v>
      </c>
      <c r="E289" s="723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723">
        <v>4680115880221</v>
      </c>
      <c r="E290" s="72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723">
        <v>4680115880504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723">
        <v>4680115882164</v>
      </c>
      <c r="E292" s="723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723">
        <v>4680115888340</v>
      </c>
      <c r="E293" s="72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731"/>
      <c r="B294" s="731"/>
      <c r="C294" s="731"/>
      <c r="D294" s="731"/>
      <c r="E294" s="731"/>
      <c r="F294" s="731"/>
      <c r="G294" s="731"/>
      <c r="H294" s="731"/>
      <c r="I294" s="731"/>
      <c r="J294" s="731"/>
      <c r="K294" s="731"/>
      <c r="L294" s="731"/>
      <c r="M294" s="731"/>
      <c r="N294" s="731"/>
      <c r="O294" s="732"/>
      <c r="P294" s="728" t="s">
        <v>40</v>
      </c>
      <c r="Q294" s="729"/>
      <c r="R294" s="729"/>
      <c r="S294" s="729"/>
      <c r="T294" s="729"/>
      <c r="U294" s="729"/>
      <c r="V294" s="730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722" t="s">
        <v>178</v>
      </c>
      <c r="B296" s="722"/>
      <c r="C296" s="722"/>
      <c r="D296" s="722"/>
      <c r="E296" s="722"/>
      <c r="F296" s="722"/>
      <c r="G296" s="722"/>
      <c r="H296" s="722"/>
      <c r="I296" s="722"/>
      <c r="J296" s="722"/>
      <c r="K296" s="722"/>
      <c r="L296" s="722"/>
      <c r="M296" s="722"/>
      <c r="N296" s="722"/>
      <c r="O296" s="722"/>
      <c r="P296" s="722"/>
      <c r="Q296" s="722"/>
      <c r="R296" s="722"/>
      <c r="S296" s="722"/>
      <c r="T296" s="722"/>
      <c r="U296" s="722"/>
      <c r="V296" s="722"/>
      <c r="W296" s="722"/>
      <c r="X296" s="722"/>
      <c r="Y296" s="722"/>
      <c r="Z296" s="722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723">
        <v>4680115880818</v>
      </c>
      <c r="E297" s="723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5"/>
      <c r="R297" s="725"/>
      <c r="S297" s="725"/>
      <c r="T297" s="72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723">
        <v>4680115880801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731"/>
      <c r="B299" s="731"/>
      <c r="C299" s="731"/>
      <c r="D299" s="731"/>
      <c r="E299" s="731"/>
      <c r="F299" s="731"/>
      <c r="G299" s="731"/>
      <c r="H299" s="731"/>
      <c r="I299" s="731"/>
      <c r="J299" s="731"/>
      <c r="K299" s="731"/>
      <c r="L299" s="731"/>
      <c r="M299" s="731"/>
      <c r="N299" s="731"/>
      <c r="O299" s="732"/>
      <c r="P299" s="728" t="s">
        <v>40</v>
      </c>
      <c r="Q299" s="729"/>
      <c r="R299" s="729"/>
      <c r="S299" s="729"/>
      <c r="T299" s="729"/>
      <c r="U299" s="729"/>
      <c r="V299" s="730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721" t="s">
        <v>509</v>
      </c>
      <c r="B301" s="721"/>
      <c r="C301" s="721"/>
      <c r="D301" s="721"/>
      <c r="E301" s="721"/>
      <c r="F301" s="721"/>
      <c r="G301" s="721"/>
      <c r="H301" s="721"/>
      <c r="I301" s="721"/>
      <c r="J301" s="721"/>
      <c r="K301" s="721"/>
      <c r="L301" s="721"/>
      <c r="M301" s="721"/>
      <c r="N301" s="721"/>
      <c r="O301" s="721"/>
      <c r="P301" s="721"/>
      <c r="Q301" s="721"/>
      <c r="R301" s="721"/>
      <c r="S301" s="721"/>
      <c r="T301" s="721"/>
      <c r="U301" s="721"/>
      <c r="V301" s="721"/>
      <c r="W301" s="721"/>
      <c r="X301" s="721"/>
      <c r="Y301" s="721"/>
      <c r="Z301" s="721"/>
      <c r="AA301" s="65"/>
      <c r="AB301" s="65"/>
      <c r="AC301" s="79"/>
    </row>
    <row r="302" spans="1:68" ht="14.25" hidden="1" customHeight="1" x14ac:dyDescent="0.25">
      <c r="A302" s="722" t="s">
        <v>122</v>
      </c>
      <c r="B302" s="722"/>
      <c r="C302" s="722"/>
      <c r="D302" s="722"/>
      <c r="E302" s="722"/>
      <c r="F302" s="722"/>
      <c r="G302" s="722"/>
      <c r="H302" s="722"/>
      <c r="I302" s="722"/>
      <c r="J302" s="722"/>
      <c r="K302" s="722"/>
      <c r="L302" s="722"/>
      <c r="M302" s="722"/>
      <c r="N302" s="722"/>
      <c r="O302" s="722"/>
      <c r="P302" s="722"/>
      <c r="Q302" s="722"/>
      <c r="R302" s="722"/>
      <c r="S302" s="722"/>
      <c r="T302" s="722"/>
      <c r="U302" s="722"/>
      <c r="V302" s="722"/>
      <c r="W302" s="722"/>
      <c r="X302" s="722"/>
      <c r="Y302" s="722"/>
      <c r="Z302" s="722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723">
        <v>4680115884137</v>
      </c>
      <c r="E303" s="72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5"/>
      <c r="R303" s="725"/>
      <c r="S303" s="725"/>
      <c r="T303" s="72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723">
        <v>4680115884236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723">
        <v>4680115884175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723">
        <v>4680115884144</v>
      </c>
      <c r="E306" s="723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723">
        <v>4680115886551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723">
        <v>4680115887282</v>
      </c>
      <c r="E308" s="723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723">
        <v>4680115884205</v>
      </c>
      <c r="E309" s="723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731"/>
      <c r="B310" s="731"/>
      <c r="C310" s="731"/>
      <c r="D310" s="731"/>
      <c r="E310" s="731"/>
      <c r="F310" s="731"/>
      <c r="G310" s="731"/>
      <c r="H310" s="731"/>
      <c r="I310" s="731"/>
      <c r="J310" s="731"/>
      <c r="K310" s="731"/>
      <c r="L310" s="731"/>
      <c r="M310" s="731"/>
      <c r="N310" s="731"/>
      <c r="O310" s="732"/>
      <c r="P310" s="728" t="s">
        <v>40</v>
      </c>
      <c r="Q310" s="729"/>
      <c r="R310" s="729"/>
      <c r="S310" s="729"/>
      <c r="T310" s="729"/>
      <c r="U310" s="729"/>
      <c r="V310" s="730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22" t="s">
        <v>159</v>
      </c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2"/>
      <c r="P312" s="722"/>
      <c r="Q312" s="722"/>
      <c r="R312" s="722"/>
      <c r="S312" s="722"/>
      <c r="T312" s="722"/>
      <c r="U312" s="722"/>
      <c r="V312" s="722"/>
      <c r="W312" s="722"/>
      <c r="X312" s="722"/>
      <c r="Y312" s="722"/>
      <c r="Z312" s="722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723">
        <v>4680115885981</v>
      </c>
      <c r="E313" s="723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5"/>
      <c r="R313" s="725"/>
      <c r="S313" s="725"/>
      <c r="T313" s="72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31"/>
      <c r="B314" s="731"/>
      <c r="C314" s="731"/>
      <c r="D314" s="731"/>
      <c r="E314" s="731"/>
      <c r="F314" s="731"/>
      <c r="G314" s="731"/>
      <c r="H314" s="731"/>
      <c r="I314" s="731"/>
      <c r="J314" s="731"/>
      <c r="K314" s="731"/>
      <c r="L314" s="731"/>
      <c r="M314" s="731"/>
      <c r="N314" s="731"/>
      <c r="O314" s="732"/>
      <c r="P314" s="728" t="s">
        <v>40</v>
      </c>
      <c r="Q314" s="729"/>
      <c r="R314" s="729"/>
      <c r="S314" s="729"/>
      <c r="T314" s="729"/>
      <c r="U314" s="729"/>
      <c r="V314" s="73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22" t="s">
        <v>531</v>
      </c>
      <c r="B316" s="722"/>
      <c r="C316" s="722"/>
      <c r="D316" s="722"/>
      <c r="E316" s="722"/>
      <c r="F316" s="722"/>
      <c r="G316" s="722"/>
      <c r="H316" s="722"/>
      <c r="I316" s="722"/>
      <c r="J316" s="722"/>
      <c r="K316" s="722"/>
      <c r="L316" s="722"/>
      <c r="M316" s="722"/>
      <c r="N316" s="722"/>
      <c r="O316" s="722"/>
      <c r="P316" s="722"/>
      <c r="Q316" s="722"/>
      <c r="R316" s="722"/>
      <c r="S316" s="722"/>
      <c r="T316" s="722"/>
      <c r="U316" s="722"/>
      <c r="V316" s="722"/>
      <c r="W316" s="722"/>
      <c r="X316" s="722"/>
      <c r="Y316" s="722"/>
      <c r="Z316" s="722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723">
        <v>4680115886803</v>
      </c>
      <c r="E317" s="723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5"/>
      <c r="R317" s="725"/>
      <c r="S317" s="725"/>
      <c r="T317" s="72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31"/>
      <c r="B318" s="731"/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732"/>
      <c r="P318" s="728" t="s">
        <v>40</v>
      </c>
      <c r="Q318" s="729"/>
      <c r="R318" s="729"/>
      <c r="S318" s="729"/>
      <c r="T318" s="729"/>
      <c r="U318" s="729"/>
      <c r="V318" s="730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722" t="s">
        <v>341</v>
      </c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2"/>
      <c r="P320" s="722"/>
      <c r="Q320" s="722"/>
      <c r="R320" s="722"/>
      <c r="S320" s="722"/>
      <c r="T320" s="722"/>
      <c r="U320" s="722"/>
      <c r="V320" s="722"/>
      <c r="W320" s="722"/>
      <c r="X320" s="722"/>
      <c r="Y320" s="722"/>
      <c r="Z320" s="722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723">
        <v>4680115886681</v>
      </c>
      <c r="E321" s="723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5"/>
      <c r="R321" s="725"/>
      <c r="S321" s="725"/>
      <c r="T321" s="72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31"/>
      <c r="B322" s="731"/>
      <c r="C322" s="731"/>
      <c r="D322" s="731"/>
      <c r="E322" s="731"/>
      <c r="F322" s="731"/>
      <c r="G322" s="731"/>
      <c r="H322" s="731"/>
      <c r="I322" s="731"/>
      <c r="J322" s="731"/>
      <c r="K322" s="731"/>
      <c r="L322" s="731"/>
      <c r="M322" s="731"/>
      <c r="N322" s="731"/>
      <c r="O322" s="732"/>
      <c r="P322" s="728" t="s">
        <v>40</v>
      </c>
      <c r="Q322" s="729"/>
      <c r="R322" s="729"/>
      <c r="S322" s="729"/>
      <c r="T322" s="729"/>
      <c r="U322" s="729"/>
      <c r="V322" s="730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21" t="s">
        <v>538</v>
      </c>
      <c r="B324" s="721"/>
      <c r="C324" s="721"/>
      <c r="D324" s="721"/>
      <c r="E324" s="721"/>
      <c r="F324" s="721"/>
      <c r="G324" s="721"/>
      <c r="H324" s="721"/>
      <c r="I324" s="721"/>
      <c r="J324" s="721"/>
      <c r="K324" s="721"/>
      <c r="L324" s="721"/>
      <c r="M324" s="721"/>
      <c r="N324" s="721"/>
      <c r="O324" s="721"/>
      <c r="P324" s="721"/>
      <c r="Q324" s="721"/>
      <c r="R324" s="721"/>
      <c r="S324" s="721"/>
      <c r="T324" s="721"/>
      <c r="U324" s="721"/>
      <c r="V324" s="721"/>
      <c r="W324" s="721"/>
      <c r="X324" s="721"/>
      <c r="Y324" s="721"/>
      <c r="Z324" s="721"/>
      <c r="AA324" s="65"/>
      <c r="AB324" s="65"/>
      <c r="AC324" s="79"/>
    </row>
    <row r="325" spans="1:68" ht="14.25" hidden="1" customHeight="1" x14ac:dyDescent="0.25">
      <c r="A325" s="722" t="s">
        <v>122</v>
      </c>
      <c r="B325" s="722"/>
      <c r="C325" s="722"/>
      <c r="D325" s="722"/>
      <c r="E325" s="722"/>
      <c r="F325" s="722"/>
      <c r="G325" s="722"/>
      <c r="H325" s="722"/>
      <c r="I325" s="722"/>
      <c r="J325" s="722"/>
      <c r="K325" s="722"/>
      <c r="L325" s="722"/>
      <c r="M325" s="722"/>
      <c r="N325" s="722"/>
      <c r="O325" s="722"/>
      <c r="P325" s="722"/>
      <c r="Q325" s="722"/>
      <c r="R325" s="722"/>
      <c r="S325" s="722"/>
      <c r="T325" s="722"/>
      <c r="U325" s="722"/>
      <c r="V325" s="722"/>
      <c r="W325" s="722"/>
      <c r="X325" s="722"/>
      <c r="Y325" s="722"/>
      <c r="Z325" s="722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723">
        <v>4680115889637</v>
      </c>
      <c r="E326" s="72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5"/>
      <c r="R326" s="725"/>
      <c r="S326" s="725"/>
      <c r="T326" s="72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723">
        <v>4680115885837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723">
        <v>4680115887237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723">
        <v>4680115885806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723">
        <v>4680115885844</v>
      </c>
      <c r="E330" s="72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723">
        <v>4680115885820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731"/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2"/>
      <c r="P332" s="728" t="s">
        <v>40</v>
      </c>
      <c r="Q332" s="729"/>
      <c r="R332" s="729"/>
      <c r="S332" s="729"/>
      <c r="T332" s="729"/>
      <c r="U332" s="729"/>
      <c r="V332" s="730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721" t="s">
        <v>558</v>
      </c>
      <c r="B334" s="721"/>
      <c r="C334" s="721"/>
      <c r="D334" s="721"/>
      <c r="E334" s="721"/>
      <c r="F334" s="721"/>
      <c r="G334" s="721"/>
      <c r="H334" s="721"/>
      <c r="I334" s="721"/>
      <c r="J334" s="721"/>
      <c r="K334" s="721"/>
      <c r="L334" s="721"/>
      <c r="M334" s="721"/>
      <c r="N334" s="721"/>
      <c r="O334" s="721"/>
      <c r="P334" s="721"/>
      <c r="Q334" s="721"/>
      <c r="R334" s="721"/>
      <c r="S334" s="721"/>
      <c r="T334" s="721"/>
      <c r="U334" s="721"/>
      <c r="V334" s="721"/>
      <c r="W334" s="721"/>
      <c r="X334" s="721"/>
      <c r="Y334" s="721"/>
      <c r="Z334" s="721"/>
      <c r="AA334" s="65"/>
      <c r="AB334" s="65"/>
      <c r="AC334" s="79"/>
    </row>
    <row r="335" spans="1:68" ht="14.25" hidden="1" customHeight="1" x14ac:dyDescent="0.25">
      <c r="A335" s="722" t="s">
        <v>86</v>
      </c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2"/>
      <c r="P335" s="722"/>
      <c r="Q335" s="722"/>
      <c r="R335" s="722"/>
      <c r="S335" s="722"/>
      <c r="T335" s="722"/>
      <c r="U335" s="722"/>
      <c r="V335" s="722"/>
      <c r="W335" s="722"/>
      <c r="X335" s="722"/>
      <c r="Y335" s="722"/>
      <c r="Z335" s="722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723">
        <v>4680115886186</v>
      </c>
      <c r="E336" s="723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5"/>
      <c r="R336" s="725"/>
      <c r="S336" s="725"/>
      <c r="T336" s="72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723">
        <v>4680115881228</v>
      </c>
      <c r="E337" s="723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9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723">
        <v>4680115881211</v>
      </c>
      <c r="E338" s="723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731"/>
      <c r="B339" s="731"/>
      <c r="C339" s="731"/>
      <c r="D339" s="731"/>
      <c r="E339" s="731"/>
      <c r="F339" s="731"/>
      <c r="G339" s="731"/>
      <c r="H339" s="731"/>
      <c r="I339" s="731"/>
      <c r="J339" s="731"/>
      <c r="K339" s="731"/>
      <c r="L339" s="731"/>
      <c r="M339" s="731"/>
      <c r="N339" s="731"/>
      <c r="O339" s="732"/>
      <c r="P339" s="728" t="s">
        <v>40</v>
      </c>
      <c r="Q339" s="729"/>
      <c r="R339" s="729"/>
      <c r="S339" s="729"/>
      <c r="T339" s="729"/>
      <c r="U339" s="729"/>
      <c r="V339" s="730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721" t="s">
        <v>567</v>
      </c>
      <c r="B341" s="721"/>
      <c r="C341" s="721"/>
      <c r="D341" s="721"/>
      <c r="E341" s="721"/>
      <c r="F341" s="721"/>
      <c r="G341" s="721"/>
      <c r="H341" s="721"/>
      <c r="I341" s="721"/>
      <c r="J341" s="721"/>
      <c r="K341" s="721"/>
      <c r="L341" s="721"/>
      <c r="M341" s="721"/>
      <c r="N341" s="721"/>
      <c r="O341" s="721"/>
      <c r="P341" s="721"/>
      <c r="Q341" s="721"/>
      <c r="R341" s="721"/>
      <c r="S341" s="721"/>
      <c r="T341" s="721"/>
      <c r="U341" s="721"/>
      <c r="V341" s="721"/>
      <c r="W341" s="721"/>
      <c r="X341" s="721"/>
      <c r="Y341" s="721"/>
      <c r="Z341" s="721"/>
      <c r="AA341" s="65"/>
      <c r="AB341" s="65"/>
      <c r="AC341" s="79"/>
    </row>
    <row r="342" spans="1:68" ht="14.25" hidden="1" customHeight="1" x14ac:dyDescent="0.25">
      <c r="A342" s="722" t="s">
        <v>77</v>
      </c>
      <c r="B342" s="722"/>
      <c r="C342" s="722"/>
      <c r="D342" s="722"/>
      <c r="E342" s="722"/>
      <c r="F342" s="722"/>
      <c r="G342" s="722"/>
      <c r="H342" s="722"/>
      <c r="I342" s="722"/>
      <c r="J342" s="722"/>
      <c r="K342" s="722"/>
      <c r="L342" s="722"/>
      <c r="M342" s="722"/>
      <c r="N342" s="722"/>
      <c r="O342" s="722"/>
      <c r="P342" s="722"/>
      <c r="Q342" s="722"/>
      <c r="R342" s="722"/>
      <c r="S342" s="722"/>
      <c r="T342" s="722"/>
      <c r="U342" s="722"/>
      <c r="V342" s="722"/>
      <c r="W342" s="722"/>
      <c r="X342" s="722"/>
      <c r="Y342" s="722"/>
      <c r="Z342" s="722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723">
        <v>4680115888319</v>
      </c>
      <c r="E343" s="723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9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5"/>
      <c r="R343" s="725"/>
      <c r="S343" s="725"/>
      <c r="T343" s="72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723">
        <v>4680115884700</v>
      </c>
      <c r="E344" s="723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723">
        <v>4680115880344</v>
      </c>
      <c r="E345" s="723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723">
        <v>4680115886919</v>
      </c>
      <c r="E346" s="723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723">
        <v>4680115883970</v>
      </c>
      <c r="E347" s="723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31"/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2"/>
      <c r="P348" s="728" t="s">
        <v>40</v>
      </c>
      <c r="Q348" s="729"/>
      <c r="R348" s="729"/>
      <c r="S348" s="729"/>
      <c r="T348" s="729"/>
      <c r="U348" s="729"/>
      <c r="V348" s="730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722" t="s">
        <v>86</v>
      </c>
      <c r="B350" s="722"/>
      <c r="C350" s="722"/>
      <c r="D350" s="722"/>
      <c r="E350" s="722"/>
      <c r="F350" s="722"/>
      <c r="G350" s="722"/>
      <c r="H350" s="722"/>
      <c r="I350" s="722"/>
      <c r="J350" s="722"/>
      <c r="K350" s="722"/>
      <c r="L350" s="722"/>
      <c r="M350" s="722"/>
      <c r="N350" s="722"/>
      <c r="O350" s="722"/>
      <c r="P350" s="722"/>
      <c r="Q350" s="722"/>
      <c r="R350" s="722"/>
      <c r="S350" s="722"/>
      <c r="T350" s="722"/>
      <c r="U350" s="722"/>
      <c r="V350" s="722"/>
      <c r="W350" s="722"/>
      <c r="X350" s="722"/>
      <c r="Y350" s="722"/>
      <c r="Z350" s="722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723">
        <v>4680115884618</v>
      </c>
      <c r="E351" s="723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5"/>
      <c r="R351" s="725"/>
      <c r="S351" s="725"/>
      <c r="T351" s="72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723">
        <v>4680115887114</v>
      </c>
      <c r="E352" s="723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731"/>
      <c r="B353" s="731"/>
      <c r="C353" s="731"/>
      <c r="D353" s="731"/>
      <c r="E353" s="731"/>
      <c r="F353" s="731"/>
      <c r="G353" s="731"/>
      <c r="H353" s="731"/>
      <c r="I353" s="731"/>
      <c r="J353" s="731"/>
      <c r="K353" s="731"/>
      <c r="L353" s="731"/>
      <c r="M353" s="731"/>
      <c r="N353" s="731"/>
      <c r="O353" s="732"/>
      <c r="P353" s="728" t="s">
        <v>40</v>
      </c>
      <c r="Q353" s="729"/>
      <c r="R353" s="729"/>
      <c r="S353" s="729"/>
      <c r="T353" s="729"/>
      <c r="U353" s="729"/>
      <c r="V353" s="730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721" t="s">
        <v>588</v>
      </c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1"/>
      <c r="P355" s="721"/>
      <c r="Q355" s="721"/>
      <c r="R355" s="721"/>
      <c r="S355" s="721"/>
      <c r="T355" s="721"/>
      <c r="U355" s="721"/>
      <c r="V355" s="721"/>
      <c r="W355" s="721"/>
      <c r="X355" s="721"/>
      <c r="Y355" s="721"/>
      <c r="Z355" s="721"/>
      <c r="AA355" s="65"/>
      <c r="AB355" s="65"/>
      <c r="AC355" s="79"/>
    </row>
    <row r="356" spans="1:68" ht="14.25" hidden="1" customHeight="1" x14ac:dyDescent="0.25">
      <c r="A356" s="722" t="s">
        <v>122</v>
      </c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2"/>
      <c r="P356" s="722"/>
      <c r="Q356" s="722"/>
      <c r="R356" s="722"/>
      <c r="S356" s="722"/>
      <c r="T356" s="722"/>
      <c r="U356" s="722"/>
      <c r="V356" s="722"/>
      <c r="W356" s="722"/>
      <c r="X356" s="722"/>
      <c r="Y356" s="722"/>
      <c r="Z356" s="722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723">
        <v>4680115887947</v>
      </c>
      <c r="E357" s="72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5"/>
      <c r="R357" s="725"/>
      <c r="S357" s="725"/>
      <c r="T357" s="72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723">
        <v>4680115887978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723">
        <v>4680115887992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31"/>
      <c r="B360" s="731"/>
      <c r="C360" s="731"/>
      <c r="D360" s="731"/>
      <c r="E360" s="731"/>
      <c r="F360" s="731"/>
      <c r="G360" s="731"/>
      <c r="H360" s="731"/>
      <c r="I360" s="731"/>
      <c r="J360" s="731"/>
      <c r="K360" s="731"/>
      <c r="L360" s="731"/>
      <c r="M360" s="731"/>
      <c r="N360" s="731"/>
      <c r="O360" s="732"/>
      <c r="P360" s="728" t="s">
        <v>40</v>
      </c>
      <c r="Q360" s="729"/>
      <c r="R360" s="729"/>
      <c r="S360" s="729"/>
      <c r="T360" s="729"/>
      <c r="U360" s="729"/>
      <c r="V360" s="730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21" t="s">
        <v>597</v>
      </c>
      <c r="B362" s="721"/>
      <c r="C362" s="721"/>
      <c r="D362" s="721"/>
      <c r="E362" s="721"/>
      <c r="F362" s="721"/>
      <c r="G362" s="721"/>
      <c r="H362" s="721"/>
      <c r="I362" s="721"/>
      <c r="J362" s="721"/>
      <c r="K362" s="721"/>
      <c r="L362" s="721"/>
      <c r="M362" s="721"/>
      <c r="N362" s="721"/>
      <c r="O362" s="721"/>
      <c r="P362" s="721"/>
      <c r="Q362" s="721"/>
      <c r="R362" s="721"/>
      <c r="S362" s="721"/>
      <c r="T362" s="721"/>
      <c r="U362" s="721"/>
      <c r="V362" s="721"/>
      <c r="W362" s="721"/>
      <c r="X362" s="721"/>
      <c r="Y362" s="721"/>
      <c r="Z362" s="721"/>
      <c r="AA362" s="65"/>
      <c r="AB362" s="65"/>
      <c r="AC362" s="79"/>
    </row>
    <row r="363" spans="1:68" ht="14.25" hidden="1" customHeight="1" x14ac:dyDescent="0.25">
      <c r="A363" s="722" t="s">
        <v>122</v>
      </c>
      <c r="B363" s="722"/>
      <c r="C363" s="722"/>
      <c r="D363" s="722"/>
      <c r="E363" s="722"/>
      <c r="F363" s="722"/>
      <c r="G363" s="722"/>
      <c r="H363" s="722"/>
      <c r="I363" s="722"/>
      <c r="J363" s="722"/>
      <c r="K363" s="722"/>
      <c r="L363" s="722"/>
      <c r="M363" s="722"/>
      <c r="N363" s="722"/>
      <c r="O363" s="722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723">
        <v>4680115889880</v>
      </c>
      <c r="E364" s="72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5"/>
      <c r="R364" s="725"/>
      <c r="S364" s="725"/>
      <c r="T364" s="72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723">
        <v>4680115889293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150</v>
      </c>
      <c r="Y374" s="55">
        <f t="shared" ref="Y374:Y380" si="63">IFERROR(IF(X374="",0,CEILING((X374/$H374),1)*$H374),"")</f>
        <v>151.20000000000002</v>
      </c>
      <c r="Z374" s="41">
        <f>IFERROR(IF(Y374=0,"",ROUNDUP(Y374/H374,0)*0.00902),"")</f>
        <v>0.32472000000000001</v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158.92857142857142</v>
      </c>
      <c r="BN374" s="78">
        <f t="shared" ref="BN374:BN380" si="65">IFERROR(Y374*I374/H374,"0")</f>
        <v>160.20000000000002</v>
      </c>
      <c r="BO374" s="78">
        <f t="shared" ref="BO374:BO380" si="66">IFERROR(1/J374*(X374/H374),"0")</f>
        <v>0.27056277056277056</v>
      </c>
      <c r="BP374" s="78">
        <f t="shared" ref="BP374:BP380" si="67">IFERROR(1/J374*(Y374/H374),"0")</f>
        <v>0.27272727272727271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100</v>
      </c>
      <c r="Y375" s="55">
        <f t="shared" si="63"/>
        <v>100.80000000000001</v>
      </c>
      <c r="Z375" s="41">
        <f>IFERROR(IF(Y375=0,"",ROUNDUP(Y375/H375,0)*0.00902),"")</f>
        <v>0.21648000000000001</v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105.95238095238095</v>
      </c>
      <c r="BN375" s="78">
        <f t="shared" si="65"/>
        <v>106.80000000000001</v>
      </c>
      <c r="BO375" s="78">
        <f t="shared" si="66"/>
        <v>0.18037518037518038</v>
      </c>
      <c r="BP375" s="78">
        <f t="shared" si="67"/>
        <v>0.18181818181818182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59.523809523809526</v>
      </c>
      <c r="Y381" s="43">
        <f>IFERROR(Y374/H374,"0")+IFERROR(Y375/H375,"0")+IFERROR(Y376/H376,"0")+IFERROR(Y377/H377,"0")+IFERROR(Y378/H378,"0")+IFERROR(Y379/H379,"0")+IFERROR(Y380/H380,"0")</f>
        <v>60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0.54120000000000001</v>
      </c>
      <c r="AA381" s="67"/>
      <c r="AB381" s="67"/>
      <c r="AC381" s="67"/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250</v>
      </c>
      <c r="Y382" s="43">
        <f>IFERROR(SUM(Y374:Y380),"0")</f>
        <v>252.00000000000003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178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722" t="s">
        <v>277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27</v>
      </c>
      <c r="Y400" s="55">
        <f>IFERROR(IF(X400="",0,CEILING((X400/$H400),1)*$H400),"")</f>
        <v>28.049999999999997</v>
      </c>
      <c r="Z400" s="41">
        <f>IFERROR(IF(Y400=0,"",ROUNDUP(Y400/H400,0)*0.00651),"")</f>
        <v>7.1610000000000007E-2</v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30.494117647058822</v>
      </c>
      <c r="BN400" s="78">
        <f>IFERROR(Y400*I400/H400,"0")</f>
        <v>31.68</v>
      </c>
      <c r="BO400" s="78">
        <f>IFERROR(1/J400*(X400/H400),"0")</f>
        <v>5.8177117000646428E-2</v>
      </c>
      <c r="BP400" s="78">
        <f>IFERROR(1/J400*(Y400/H400),"0")</f>
        <v>6.0439560439560447E-2</v>
      </c>
    </row>
    <row r="401" spans="1:68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10.588235294117649</v>
      </c>
      <c r="Y401" s="43">
        <f>IFERROR(Y397/H397,"0")+IFERROR(Y398/H398,"0")+IFERROR(Y399/H399,"0")+IFERROR(Y400/H400,"0")</f>
        <v>11</v>
      </c>
      <c r="Z401" s="43">
        <f>IFERROR(IF(Z397="",0,Z397),"0")+IFERROR(IF(Z398="",0,Z398),"0")+IFERROR(IF(Z399="",0,Z399),"0")+IFERROR(IF(Z400="",0,Z400),"0")</f>
        <v>7.1610000000000007E-2</v>
      </c>
      <c r="AA401" s="67"/>
      <c r="AB401" s="67"/>
      <c r="AC401" s="67"/>
    </row>
    <row r="402" spans="1:68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27</v>
      </c>
      <c r="Y402" s="43">
        <f>IFERROR(SUM(Y397:Y400),"0")</f>
        <v>28.049999999999997</v>
      </c>
      <c r="Z402" s="42"/>
      <c r="AA402" s="67"/>
      <c r="AB402" s="67"/>
      <c r="AC402" s="67"/>
    </row>
    <row r="403" spans="1:68" ht="14.25" hidden="1" customHeight="1" x14ac:dyDescent="0.25">
      <c r="A403" s="722" t="s">
        <v>665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674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683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690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700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701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200</v>
      </c>
      <c r="Y431" s="55">
        <f t="shared" ref="Y431:Y438" si="68">IFERROR(IF(X431="",0,CEILING((X431/$H431),1)*$H431),"")</f>
        <v>210</v>
      </c>
      <c r="Z431" s="41">
        <f>IFERROR(IF(Y431=0,"",ROUNDUP(Y431/H431,0)*0.02175),"")</f>
        <v>0.30449999999999999</v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206.26666666666668</v>
      </c>
      <c r="BN431" s="78">
        <f t="shared" ref="BN431:BN438" si="70">IFERROR(Y431*I431/H431,"0")</f>
        <v>216.58</v>
      </c>
      <c r="BO431" s="78">
        <f t="shared" ref="BO431:BO438" si="71">IFERROR(1/J431*(X431/H431),"0")</f>
        <v>0.27777777777777779</v>
      </c>
      <c r="BP431" s="78">
        <f t="shared" ref="BP431:BP438" si="72">IFERROR(1/J431*(Y431/H431),"0")</f>
        <v>0.29166666666666663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2000</v>
      </c>
      <c r="Y432" s="55">
        <f t="shared" si="68"/>
        <v>2010</v>
      </c>
      <c r="Z432" s="41">
        <f>IFERROR(IF(Y432=0,"",ROUNDUP(Y432/H432,0)*0.02175),"")</f>
        <v>2.9144999999999999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2062.6666666666665</v>
      </c>
      <c r="BN432" s="78">
        <f t="shared" si="70"/>
        <v>2072.98</v>
      </c>
      <c r="BO432" s="78">
        <f t="shared" si="71"/>
        <v>2.7777777777777777</v>
      </c>
      <c r="BP432" s="78">
        <f t="shared" si="72"/>
        <v>2.7916666666666665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1500</v>
      </c>
      <c r="Y433" s="55">
        <f t="shared" si="68"/>
        <v>1500</v>
      </c>
      <c r="Z433" s="41">
        <f>IFERROR(IF(Y433=0,"",ROUNDUP(Y433/H433,0)*0.02175),"")</f>
        <v>2.1749999999999998</v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1547</v>
      </c>
      <c r="BN433" s="78">
        <f t="shared" si="70"/>
        <v>1547</v>
      </c>
      <c r="BO433" s="78">
        <f t="shared" si="71"/>
        <v>2.083333333333333</v>
      </c>
      <c r="BP433" s="78">
        <f t="shared" si="72"/>
        <v>2.083333333333333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2000</v>
      </c>
      <c r="Y434" s="55">
        <f t="shared" si="68"/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2062.6666666666665</v>
      </c>
      <c r="BN434" s="78">
        <f t="shared" si="70"/>
        <v>2072.98</v>
      </c>
      <c r="BO434" s="78">
        <f t="shared" si="71"/>
        <v>2.7777777777777777</v>
      </c>
      <c r="BP434" s="78">
        <f t="shared" si="72"/>
        <v>2.7916666666666665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380</v>
      </c>
      <c r="Y439" s="43">
        <f>IFERROR(Y431/H431,"0")+IFERROR(Y432/H432,"0")+IFERROR(Y433/H433,"0")+IFERROR(Y434/H434,"0")+IFERROR(Y435/H435,"0")+IFERROR(Y436/H436,"0")+IFERROR(Y437/H437,"0")+IFERROR(Y438/H438,"0")</f>
        <v>382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8.3085000000000004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5700</v>
      </c>
      <c r="Y440" s="43">
        <f>IFERROR(SUM(Y431:Y438),"0")</f>
        <v>5730</v>
      </c>
      <c r="Z440" s="42"/>
      <c r="AA440" s="67"/>
      <c r="AB440" s="67"/>
      <c r="AC440" s="67"/>
    </row>
    <row r="441" spans="1:68" ht="14.25" hidden="1" customHeight="1" x14ac:dyDescent="0.25">
      <c r="A441" s="722" t="s">
        <v>159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2500</v>
      </c>
      <c r="Y442" s="55">
        <f>IFERROR(IF(X442="",0,CEILING((X442/$H442),1)*$H442),"")</f>
        <v>2505</v>
      </c>
      <c r="Z442" s="41">
        <f>IFERROR(IF(Y442=0,"",ROUNDUP(Y442/H442,0)*0.02175),"")</f>
        <v>3.6322499999999995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2578.3333333333335</v>
      </c>
      <c r="BN442" s="78">
        <f>IFERROR(Y442*I442/H442,"0")</f>
        <v>2583.4899999999998</v>
      </c>
      <c r="BO442" s="78">
        <f>IFERROR(1/J442*(X442/H442),"0")</f>
        <v>3.4722222222222219</v>
      </c>
      <c r="BP442" s="78">
        <f>IFERROR(1/J442*(Y442/H442),"0")</f>
        <v>3.4791666666666665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166.66666666666666</v>
      </c>
      <c r="Y445" s="43">
        <f>IFERROR(Y442/H442,"0")+IFERROR(Y443/H443,"0")+IFERROR(Y444/H444,"0")</f>
        <v>167</v>
      </c>
      <c r="Z445" s="43">
        <f>IFERROR(IF(Z442="",0,Z442),"0")+IFERROR(IF(Z443="",0,Z443),"0")+IFERROR(IF(Z444="",0,Z444),"0")</f>
        <v>3.6322499999999995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2500</v>
      </c>
      <c r="Y446" s="43">
        <f>IFERROR(SUM(Y442:Y444),"0")</f>
        <v>2505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500</v>
      </c>
      <c r="Y449" s="55">
        <f>IFERROR(IF(X449="",0,CEILING((X449/$H449),1)*$H449),"")</f>
        <v>504</v>
      </c>
      <c r="Z449" s="41">
        <f>IFERROR(IF(Y449=0,"",ROUNDUP(Y449/H449,0)*0.01898),"")</f>
        <v>1.06288</v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527.44444444444446</v>
      </c>
      <c r="BN449" s="78">
        <f>IFERROR(Y449*I449/H449,"0")</f>
        <v>531.66399999999999</v>
      </c>
      <c r="BO449" s="78">
        <f>IFERROR(1/J449*(X449/H449),"0")</f>
        <v>0.86805555555555558</v>
      </c>
      <c r="BP449" s="78">
        <f>IFERROR(1/J449*(Y449/H449),"0")</f>
        <v>0.875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55.555555555555557</v>
      </c>
      <c r="Y451" s="43">
        <f>IFERROR(Y448/H448,"0")+IFERROR(Y449/H449,"0")+IFERROR(Y450/H450,"0")</f>
        <v>56</v>
      </c>
      <c r="Z451" s="43">
        <f>IFERROR(IF(Z448="",0,Z448),"0")+IFERROR(IF(Z449="",0,Z449),"0")+IFERROR(IF(Z450="",0,Z450),"0")</f>
        <v>1.06288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500</v>
      </c>
      <c r="Y452" s="43">
        <f>IFERROR(SUM(Y448:Y450),"0")</f>
        <v>504</v>
      </c>
      <c r="Z452" s="42"/>
      <c r="AA452" s="67"/>
      <c r="AB452" s="67"/>
      <c r="AC452" s="67"/>
    </row>
    <row r="453" spans="1:68" ht="14.25" hidden="1" customHeight="1" x14ac:dyDescent="0.25">
      <c r="A453" s="722" t="s">
        <v>178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750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customHeight="1" x14ac:dyDescent="0.25">
      <c r="A469" s="63" t="s">
        <v>759</v>
      </c>
      <c r="B469" s="63" t="s">
        <v>760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800</v>
      </c>
      <c r="Y469" s="55">
        <f>IFERROR(IF(X469="",0,CEILING((X469/$H469),1)*$H469),"")</f>
        <v>801</v>
      </c>
      <c r="Z469" s="41">
        <f>IFERROR(IF(Y469=0,"",ROUNDUP(Y469/H469,0)*0.01898),"")</f>
        <v>1.6892199999999999</v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843.91111111111104</v>
      </c>
      <c r="BN469" s="78">
        <f>IFERROR(Y469*I469/H469,"0")</f>
        <v>844.96599999999989</v>
      </c>
      <c r="BO469" s="78">
        <f>IFERROR(1/J469*(X469/H469),"0")</f>
        <v>1.3888888888888888</v>
      </c>
      <c r="BP469" s="78">
        <f>IFERROR(1/J469*(Y469/H469),"0")</f>
        <v>1.390625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88.888888888888886</v>
      </c>
      <c r="Y472" s="43">
        <f>IFERROR(Y469/H469,"0")+IFERROR(Y470/H470,"0")+IFERROR(Y471/H471,"0")</f>
        <v>89</v>
      </c>
      <c r="Z472" s="43">
        <f>IFERROR(IF(Z469="",0,Z469),"0")+IFERROR(IF(Z470="",0,Z470),"0")+IFERROR(IF(Z471="",0,Z471),"0")</f>
        <v>1.6892199999999999</v>
      </c>
      <c r="AA472" s="67"/>
      <c r="AB472" s="67"/>
      <c r="AC472" s="67"/>
    </row>
    <row r="473" spans="1:68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800</v>
      </c>
      <c r="Y473" s="43">
        <f>IFERROR(SUM(Y469:Y471),"0")</f>
        <v>801</v>
      </c>
      <c r="Z473" s="42"/>
      <c r="AA473" s="67"/>
      <c r="AB473" s="67"/>
      <c r="AC473" s="67"/>
    </row>
    <row r="474" spans="1:68" ht="27.75" hidden="1" customHeight="1" x14ac:dyDescent="0.2">
      <c r="A474" s="720" t="s">
        <v>766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767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300</v>
      </c>
      <c r="Y477" s="55">
        <f t="shared" ref="Y477:Y482" si="73">IFERROR(IF(X477="",0,CEILING((X477/$H477),1)*$H477),"")</f>
        <v>302.40000000000003</v>
      </c>
      <c r="Z477" s="41">
        <f>IFERROR(IF(Y477=0,"",ROUNDUP(Y477/H477,0)*0.00902),"")</f>
        <v>0.50512000000000001</v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310.55555555555554</v>
      </c>
      <c r="BN477" s="78">
        <f t="shared" ref="BN477:BN482" si="75">IFERROR(Y477*I477/H477,"0")</f>
        <v>313.04000000000002</v>
      </c>
      <c r="BO477" s="78">
        <f t="shared" ref="BO477:BO482" si="76">IFERROR(1/J477*(X477/H477),"0")</f>
        <v>0.42087542087542085</v>
      </c>
      <c r="BP477" s="78">
        <f t="shared" ref="BP477:BP482" si="77">IFERROR(1/J477*(Y477/H477),"0")</f>
        <v>0.42424242424242425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250</v>
      </c>
      <c r="Y478" s="55">
        <f t="shared" si="73"/>
        <v>253.8</v>
      </c>
      <c r="Z478" s="41">
        <f>IFERROR(IF(Y478=0,"",ROUNDUP(Y478/H478,0)*0.00902),"")</f>
        <v>0.42393999999999998</v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258.7962962962963</v>
      </c>
      <c r="BN478" s="78">
        <f t="shared" si="75"/>
        <v>262.72999999999996</v>
      </c>
      <c r="BO478" s="78">
        <f t="shared" si="76"/>
        <v>0.35072951739618402</v>
      </c>
      <c r="BP478" s="78">
        <f t="shared" si="77"/>
        <v>0.35606060606060608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101.85185185185185</v>
      </c>
      <c r="Y483" s="43">
        <f>IFERROR(Y477/H477,"0")+IFERROR(Y478/H478,"0")+IFERROR(Y479/H479,"0")+IFERROR(Y480/H480,"0")+IFERROR(Y481/H481,"0")+IFERROR(Y482/H482,"0")</f>
        <v>103</v>
      </c>
      <c r="Z483" s="43">
        <f>IFERROR(IF(Z477="",0,Z477),"0")+IFERROR(IF(Z478="",0,Z478),"0")+IFERROR(IF(Z479="",0,Z479),"0")+IFERROR(IF(Z480="",0,Z480),"0")+IFERROR(IF(Z481="",0,Z481),"0")+IFERROR(IF(Z482="",0,Z482),"0")</f>
        <v>0.92906</v>
      </c>
      <c r="AA483" s="67"/>
      <c r="AB483" s="67"/>
      <c r="AC483" s="67"/>
    </row>
    <row r="484" spans="1:68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550</v>
      </c>
      <c r="Y484" s="43">
        <f>IFERROR(SUM(Y477:Y482),"0")</f>
        <v>556.20000000000005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790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159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500</v>
      </c>
      <c r="Y496" s="55">
        <f>IFERROR(IF(X496="",0,CEILING((X496/$H496),1)*$H496),"")</f>
        <v>502.20000000000005</v>
      </c>
      <c r="Z496" s="41">
        <f>IFERROR(IF(Y496=0,"",ROUNDUP(Y496/H496,0)*0.00902),"")</f>
        <v>0.83886000000000005</v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517.59259259259261</v>
      </c>
      <c r="BN496" s="78">
        <f>IFERROR(Y496*I496/H496,"0")</f>
        <v>519.87</v>
      </c>
      <c r="BO496" s="78">
        <f>IFERROR(1/J496*(X496/H496),"0")</f>
        <v>0.70145903479236804</v>
      </c>
      <c r="BP496" s="78">
        <f>IFERROR(1/J496*(Y496/H496),"0")</f>
        <v>0.70454545454545459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92.592592592592581</v>
      </c>
      <c r="Y499" s="43">
        <f>IFERROR(Y496/H496,"0")+IFERROR(Y497/H497,"0")+IFERROR(Y498/H498,"0")</f>
        <v>93</v>
      </c>
      <c r="Z499" s="43">
        <f>IFERROR(IF(Z496="",0,Z496),"0")+IFERROR(IF(Z497="",0,Z497),"0")+IFERROR(IF(Z498="",0,Z498),"0")</f>
        <v>0.83886000000000005</v>
      </c>
      <c r="AA499" s="67"/>
      <c r="AB499" s="67"/>
      <c r="AC499" s="67"/>
    </row>
    <row r="500" spans="1:68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500</v>
      </c>
      <c r="Y500" s="43">
        <f>IFERROR(SUM(Y496:Y498),"0")</f>
        <v>502.20000000000005</v>
      </c>
      <c r="Z500" s="42"/>
      <c r="AA500" s="67"/>
      <c r="AB500" s="67"/>
      <c r="AC500" s="67"/>
    </row>
    <row r="501" spans="1:68" ht="27.75" hidden="1" customHeight="1" x14ac:dyDescent="0.2">
      <c r="A501" s="720" t="s">
        <v>802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802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300</v>
      </c>
      <c r="Y507" s="55">
        <f t="shared" si="78"/>
        <v>300.96000000000004</v>
      </c>
      <c r="Z507" s="41">
        <f t="shared" si="79"/>
        <v>0.68171999999999999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319.88636363636363</v>
      </c>
      <c r="BN507" s="78">
        <f t="shared" si="81"/>
        <v>320.91000000000003</v>
      </c>
      <c r="BO507" s="78">
        <f t="shared" si="82"/>
        <v>0.54632867132867136</v>
      </c>
      <c r="BP507" s="78">
        <f t="shared" si="83"/>
        <v>0.54807692307692313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650</v>
      </c>
      <c r="Y509" s="55">
        <f t="shared" si="78"/>
        <v>654.72</v>
      </c>
      <c r="Z509" s="41">
        <f t="shared" si="79"/>
        <v>1.4830399999999999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693.08712121212113</v>
      </c>
      <c r="BN509" s="78">
        <f t="shared" si="81"/>
        <v>698.12</v>
      </c>
      <c r="BO509" s="78">
        <f t="shared" si="82"/>
        <v>1.1837121212121211</v>
      </c>
      <c r="BP509" s="78">
        <f t="shared" si="83"/>
        <v>1.1923076923076923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179.92424242424241</v>
      </c>
      <c r="Y513" s="43">
        <f>IFERROR(Y504/H504,"0")+IFERROR(Y505/H505,"0")+IFERROR(Y506/H506,"0")+IFERROR(Y507/H507,"0")+IFERROR(Y508/H508,"0")+IFERROR(Y509/H509,"0")+IFERROR(Y510/H510,"0")+IFERROR(Y511/H511,"0")+IFERROR(Y512/H512,"0")</f>
        <v>181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2.1647599999999998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950</v>
      </c>
      <c r="Y514" s="43">
        <f>IFERROR(SUM(Y504:Y512),"0")</f>
        <v>955.68000000000006</v>
      </c>
      <c r="Z514" s="42"/>
      <c r="AA514" s="67"/>
      <c r="AB514" s="67"/>
      <c r="AC514" s="67"/>
    </row>
    <row r="515" spans="1:68" ht="14.25" hidden="1" customHeight="1" x14ac:dyDescent="0.25">
      <c r="A515" s="722" t="s">
        <v>159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600</v>
      </c>
      <c r="Y516" s="55">
        <f>IFERROR(IF(X516="",0,CEILING((X516/$H516),1)*$H516),"")</f>
        <v>601.92000000000007</v>
      </c>
      <c r="Z516" s="41">
        <f>IFERROR(IF(Y516=0,"",ROUNDUP(Y516/H516,0)*0.01196),"")</f>
        <v>1.36344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639.77272727272725</v>
      </c>
      <c r="BN516" s="78">
        <f>IFERROR(Y516*I516/H516,"0")</f>
        <v>641.82000000000005</v>
      </c>
      <c r="BO516" s="78">
        <f>IFERROR(1/J516*(X516/H516),"0")</f>
        <v>1.0926573426573427</v>
      </c>
      <c r="BP516" s="78">
        <f>IFERROR(1/J516*(Y516/H516),"0")</f>
        <v>1.0961538461538463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113.63636363636363</v>
      </c>
      <c r="Y519" s="43">
        <f>IFERROR(Y516/H516,"0")+IFERROR(Y517/H517,"0")+IFERROR(Y518/H518,"0")</f>
        <v>114.00000000000001</v>
      </c>
      <c r="Z519" s="43">
        <f>IFERROR(IF(Z516="",0,Z516),"0")+IFERROR(IF(Z517="",0,Z517),"0")+IFERROR(IF(Z518="",0,Z518),"0")</f>
        <v>1.36344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600</v>
      </c>
      <c r="Y520" s="43">
        <f>IFERROR(SUM(Y516:Y518),"0")</f>
        <v>601.92000000000007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250</v>
      </c>
      <c r="Y522" s="55">
        <f t="shared" ref="Y522:Y528" si="84">IFERROR(IF(X522="",0,CEILING((X522/$H522),1)*$H522),"")</f>
        <v>253.44</v>
      </c>
      <c r="Z522" s="41">
        <f>IFERROR(IF(Y522=0,"",ROUNDUP(Y522/H522,0)*0.01196),"")</f>
        <v>0.57408000000000003</v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266.57196969696969</v>
      </c>
      <c r="BN522" s="78">
        <f t="shared" ref="BN522:BN528" si="86">IFERROR(Y522*I522/H522,"0")</f>
        <v>270.23999999999995</v>
      </c>
      <c r="BO522" s="78">
        <f t="shared" ref="BO522:BO528" si="87">IFERROR(1/J522*(X522/H522),"0")</f>
        <v>0.45527389277389274</v>
      </c>
      <c r="BP522" s="78">
        <f t="shared" ref="BP522:BP528" si="88">IFERROR(1/J522*(Y522/H522),"0")</f>
        <v>0.46153846153846156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250</v>
      </c>
      <c r="Y523" s="55">
        <f t="shared" si="84"/>
        <v>253.44</v>
      </c>
      <c r="Z523" s="41">
        <f>IFERROR(IF(Y523=0,"",ROUNDUP(Y523/H523,0)*0.01196),"")</f>
        <v>0.57408000000000003</v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266.57196969696969</v>
      </c>
      <c r="BN523" s="78">
        <f t="shared" si="86"/>
        <v>270.23999999999995</v>
      </c>
      <c r="BO523" s="78">
        <f t="shared" si="87"/>
        <v>0.45527389277389274</v>
      </c>
      <c r="BP523" s="78">
        <f t="shared" si="88"/>
        <v>0.46153846153846156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150</v>
      </c>
      <c r="Y524" s="55">
        <f t="shared" si="84"/>
        <v>153.12</v>
      </c>
      <c r="Z524" s="41">
        <f>IFERROR(IF(Y524=0,"",ROUNDUP(Y524/H524,0)*0.01196),"")</f>
        <v>0.34683999999999998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159.94318181818181</v>
      </c>
      <c r="BN524" s="78">
        <f t="shared" si="86"/>
        <v>163.26999999999998</v>
      </c>
      <c r="BO524" s="78">
        <f t="shared" si="87"/>
        <v>0.27316433566433568</v>
      </c>
      <c r="BP524" s="78">
        <f t="shared" si="88"/>
        <v>0.27884615384615385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123.10606060606059</v>
      </c>
      <c r="Y529" s="43">
        <f>IFERROR(Y522/H522,"0")+IFERROR(Y523/H523,"0")+IFERROR(Y524/H524,"0")+IFERROR(Y525/H525,"0")+IFERROR(Y526/H526,"0")+IFERROR(Y527/H527,"0")+IFERROR(Y528/H528,"0")</f>
        <v>125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1.4950000000000001</v>
      </c>
      <c r="AA529" s="67"/>
      <c r="AB529" s="67"/>
      <c r="AC529" s="67"/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650</v>
      </c>
      <c r="Y530" s="43">
        <f>IFERROR(SUM(Y522:Y528),"0")</f>
        <v>660</v>
      </c>
      <c r="Z530" s="42"/>
      <c r="AA530" s="67"/>
      <c r="AB530" s="67"/>
      <c r="AC530" s="67"/>
    </row>
    <row r="531" spans="1:68" ht="27.75" hidden="1" customHeight="1" x14ac:dyDescent="0.2">
      <c r="A531" s="720" t="s">
        <v>849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849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159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723">
        <v>4680115889781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300</v>
      </c>
      <c r="Y542" s="55">
        <f>IFERROR(IF(X542="",0,CEILING((X542/$H542),1)*$H542),"")</f>
        <v>302.40000000000003</v>
      </c>
      <c r="Z542" s="41">
        <f>IFERROR(IF(Y542=0,"",ROUNDUP(Y542/H542,0)*0.00902),"")</f>
        <v>0.64944000000000002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317.85714285714283</v>
      </c>
      <c r="BN542" s="78">
        <f>IFERROR(Y542*I542/H542,"0")</f>
        <v>320.40000000000003</v>
      </c>
      <c r="BO542" s="78">
        <f>IFERROR(1/J542*(X542/H542),"0")</f>
        <v>0.54112554112554112</v>
      </c>
      <c r="BP542" s="78">
        <f>IFERROR(1/J542*(Y542/H542),"0")</f>
        <v>0.54545454545454541</v>
      </c>
    </row>
    <row r="543" spans="1:68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71.428571428571431</v>
      </c>
      <c r="Y543" s="43">
        <f>IFERROR(Y542/H542,"0")</f>
        <v>72</v>
      </c>
      <c r="Z543" s="43">
        <f>IFERROR(IF(Z542="",0,Z542),"0")</f>
        <v>0.64944000000000002</v>
      </c>
      <c r="AA543" s="67"/>
      <c r="AB543" s="67"/>
      <c r="AC543" s="67"/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300</v>
      </c>
      <c r="Y544" s="43">
        <f>IFERROR(SUM(Y542:Y542),"0")</f>
        <v>302.40000000000003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178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867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159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723">
        <v>4680115889798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16893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17023.750000000004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17612.624294013895</v>
      </c>
      <c r="Y560" s="43">
        <f>IFERROR(SUM(BN22:BN556),"0")</f>
        <v>17749.172000000006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27</v>
      </c>
      <c r="Y561" s="44">
        <f>ROUNDUP(SUM(BP22:BP556),0)</f>
        <v>27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18287.624294013895</v>
      </c>
      <c r="Y562" s="43">
        <f>GrossWeightTotalR+PalletQtyTotalR*25</f>
        <v>18424.172000000006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1965.6658367050525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1983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30.131080000000001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345</v>
      </c>
      <c r="L566" s="1010" t="s">
        <v>345</v>
      </c>
      <c r="M566" s="1010" t="s">
        <v>345</v>
      </c>
      <c r="N566" s="1019"/>
      <c r="O566" s="1010" t="s">
        <v>345</v>
      </c>
      <c r="P566" s="1010" t="s">
        <v>345</v>
      </c>
      <c r="Q566" s="1010" t="s">
        <v>345</v>
      </c>
      <c r="R566" s="1010" t="s">
        <v>345</v>
      </c>
      <c r="S566" s="1010" t="s">
        <v>345</v>
      </c>
      <c r="T566" s="1010" t="s">
        <v>345</v>
      </c>
      <c r="U566" s="1010" t="s">
        <v>345</v>
      </c>
      <c r="V566" s="1010" t="s">
        <v>345</v>
      </c>
      <c r="W566" s="1010" t="s">
        <v>700</v>
      </c>
      <c r="X566" s="1010" t="s">
        <v>700</v>
      </c>
      <c r="Y566" s="1010" t="s">
        <v>766</v>
      </c>
      <c r="Z566" s="1010" t="s">
        <v>766</v>
      </c>
      <c r="AA566" s="85" t="s">
        <v>802</v>
      </c>
      <c r="AB566" s="1010" t="s">
        <v>849</v>
      </c>
      <c r="AC566" s="1010" t="s">
        <v>849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186</v>
      </c>
      <c r="G567" s="1010" t="s">
        <v>209</v>
      </c>
      <c r="H567" s="1010" t="s">
        <v>249</v>
      </c>
      <c r="I567" s="1010" t="s">
        <v>262</v>
      </c>
      <c r="J567" s="1010" t="s">
        <v>120</v>
      </c>
      <c r="K567" s="1010" t="s">
        <v>346</v>
      </c>
      <c r="L567" s="1010" t="s">
        <v>367</v>
      </c>
      <c r="M567" s="1010" t="s">
        <v>441</v>
      </c>
      <c r="N567" s="1"/>
      <c r="O567" s="1010" t="s">
        <v>509</v>
      </c>
      <c r="P567" s="1010" t="s">
        <v>538</v>
      </c>
      <c r="Q567" s="1010" t="s">
        <v>558</v>
      </c>
      <c r="R567" s="1010" t="s">
        <v>567</v>
      </c>
      <c r="S567" s="1010" t="s">
        <v>588</v>
      </c>
      <c r="T567" s="1010" t="s">
        <v>597</v>
      </c>
      <c r="U567" s="1010" t="s">
        <v>683</v>
      </c>
      <c r="V567" s="1010" t="s">
        <v>690</v>
      </c>
      <c r="W567" s="1010" t="s">
        <v>701</v>
      </c>
      <c r="X567" s="1010" t="s">
        <v>750</v>
      </c>
      <c r="Y567" s="1010" t="s">
        <v>767</v>
      </c>
      <c r="Z567" s="1010" t="s">
        <v>790</v>
      </c>
      <c r="AA567" s="1010" t="s">
        <v>802</v>
      </c>
      <c r="AB567" s="1010" t="s">
        <v>849</v>
      </c>
      <c r="AC567" s="1010" t="s">
        <v>867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259.20000000000005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581.40000000000009</v>
      </c>
      <c r="F569" s="52">
        <f>IFERROR(Y87*1,"0")+IFERROR(Y88*1,"0")+IFERROR(Y89*1,"0")+IFERROR(Y90*1,"0")+IFERROR(Y91*1,"0")+IFERROR(Y95*1,"0")+IFERROR(Y96*1,"0")+IFERROR(Y97*1,"0")+IFERROR(Y98*1,"0")</f>
        <v>610.20000000000005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1263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101.5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151.20000000000002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658.8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280.05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8739</v>
      </c>
      <c r="X569" s="52">
        <f>IFERROR(Y460*1,"0")+IFERROR(Y461*1,"0")+IFERROR(Y465*1,"0")+IFERROR(Y469*1,"0")+IFERROR(Y470*1,"0")+IFERROR(Y471*1,"0")</f>
        <v>801</v>
      </c>
      <c r="Y569" s="52">
        <f>IFERROR(Y477*1,"0")+IFERROR(Y478*1,"0")+IFERROR(Y479*1,"0")+IFERROR(Y480*1,"0")+IFERROR(Y481*1,"0")+IFERROR(Y482*1,"0")+IFERROR(Y486*1,"0")+IFERROR(Y487*1,"0")</f>
        <v>556.20000000000005</v>
      </c>
      <c r="Z569" s="52">
        <f>IFERROR(Y492*1,"0")+IFERROR(Y496*1,"0")+IFERROR(Y497*1,"0")+IFERROR(Y498*1,"0")</f>
        <v>502.20000000000005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2217.6</v>
      </c>
      <c r="AB569" s="52">
        <f>IFERROR(Y534*1,"0")+IFERROR(Y538*1,"0")+IFERROR(Y542*1,"0")+IFERROR(Y546*1,"0")+IFERROR(Y550*1,"0")+IFERROR(Y551*1,"0")</f>
        <v>302.40000000000003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965,67"/>
        <filter val="10,59"/>
        <filter val="100,00"/>
        <filter val="101,85"/>
        <filter val="113,00"/>
        <filter val="113,64"/>
        <filter val="120,37"/>
        <filter val="123,11"/>
        <filter val="123,46"/>
        <filter val="13,33"/>
        <filter val="150,00"/>
        <filter val="16 893,00"/>
        <filter val="166,67"/>
        <filter val="17 612,62"/>
        <filter val="171,00"/>
        <filter val="179,92"/>
        <filter val="18 287,62"/>
        <filter val="18,52"/>
        <filter val="2 000,00"/>
        <filter val="2 500,00"/>
        <filter val="200,00"/>
        <filter val="213,00"/>
        <filter val="23,15"/>
        <filter val="250,00"/>
        <filter val="27"/>
        <filter val="27,00"/>
        <filter val="28,57"/>
        <filter val="300,00"/>
        <filter val="32,00"/>
        <filter val="34,37"/>
        <filter val="35,71"/>
        <filter val="380,00"/>
        <filter val="400,00"/>
        <filter val="471,00"/>
        <filter val="49,38"/>
        <filter val="5 700,00"/>
        <filter val="500,00"/>
        <filter val="55,56"/>
        <filter val="550,00"/>
        <filter val="59,52"/>
        <filter val="600,00"/>
        <filter val="65,78"/>
        <filter val="650,00"/>
        <filter val="71,43"/>
        <filter val="800,00"/>
        <filter val="88,89"/>
        <filter val="9,26"/>
        <filter val="92,59"/>
        <filter val="950,00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2026-10-02T07:03:19Z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