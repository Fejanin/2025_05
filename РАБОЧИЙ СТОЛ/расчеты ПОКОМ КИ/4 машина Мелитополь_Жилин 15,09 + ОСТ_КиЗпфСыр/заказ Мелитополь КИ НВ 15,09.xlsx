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B3482E1-DF31-4297-998C-8415EE2A59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X424" i="1"/>
  <c r="BO423" i="1"/>
  <c r="BM423" i="1"/>
  <c r="Y423" i="1"/>
  <c r="P423" i="1"/>
  <c r="BO422" i="1"/>
  <c r="BM422" i="1"/>
  <c r="Y422" i="1"/>
  <c r="Y424" i="1" s="1"/>
  <c r="P422" i="1"/>
  <c r="BP421" i="1"/>
  <c r="BO421" i="1"/>
  <c r="BN421" i="1"/>
  <c r="BM421" i="1"/>
  <c r="Z421" i="1"/>
  <c r="Y421" i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Y412" i="1" s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Y400" i="1" s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Z286" i="1" s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Y266" i="1" s="1"/>
  <c r="P264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Y261" i="1" s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BP147" i="1" s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Y124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BO111" i="1"/>
  <c r="BM111" i="1"/>
  <c r="Y111" i="1"/>
  <c r="Y117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99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F568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8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304" i="1" l="1"/>
  <c r="BN304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X562" i="1"/>
  <c r="Z28" i="1"/>
  <c r="BN28" i="1"/>
  <c r="Z38" i="1"/>
  <c r="BN38" i="1"/>
  <c r="Z48" i="1"/>
  <c r="BN48" i="1"/>
  <c r="Z55" i="1"/>
  <c r="BN55" i="1"/>
  <c r="Y62" i="1"/>
  <c r="Z59" i="1"/>
  <c r="BN59" i="1"/>
  <c r="Z65" i="1"/>
  <c r="BN65" i="1"/>
  <c r="BP65" i="1"/>
  <c r="Y70" i="1"/>
  <c r="Z73" i="1"/>
  <c r="BN73" i="1"/>
  <c r="Y82" i="1"/>
  <c r="Z86" i="1"/>
  <c r="BN86" i="1"/>
  <c r="Z90" i="1"/>
  <c r="BN90" i="1"/>
  <c r="Y98" i="1"/>
  <c r="Z96" i="1"/>
  <c r="BN96" i="1"/>
  <c r="G568" i="1"/>
  <c r="Z105" i="1"/>
  <c r="BN105" i="1"/>
  <c r="Z111" i="1"/>
  <c r="BN111" i="1"/>
  <c r="BP111" i="1"/>
  <c r="Y116" i="1"/>
  <c r="Z115" i="1"/>
  <c r="BN115" i="1"/>
  <c r="Y123" i="1"/>
  <c r="Z121" i="1"/>
  <c r="BN121" i="1"/>
  <c r="H568" i="1"/>
  <c r="Z136" i="1"/>
  <c r="BN136" i="1"/>
  <c r="BP136" i="1"/>
  <c r="Y139" i="1"/>
  <c r="Z147" i="1"/>
  <c r="BN147" i="1"/>
  <c r="Y154" i="1"/>
  <c r="Z151" i="1"/>
  <c r="BN151" i="1"/>
  <c r="J568" i="1"/>
  <c r="Z168" i="1"/>
  <c r="BN168" i="1"/>
  <c r="Z174" i="1"/>
  <c r="BN174" i="1"/>
  <c r="Z178" i="1"/>
  <c r="BN178" i="1"/>
  <c r="Z182" i="1"/>
  <c r="BN182" i="1"/>
  <c r="Y191" i="1"/>
  <c r="Z204" i="1"/>
  <c r="BN204" i="1"/>
  <c r="Z208" i="1"/>
  <c r="BN208" i="1"/>
  <c r="Y234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64" i="1"/>
  <c r="BN264" i="1"/>
  <c r="BP264" i="1"/>
  <c r="Z272" i="1"/>
  <c r="BN272" i="1"/>
  <c r="Z276" i="1"/>
  <c r="BN276" i="1"/>
  <c r="Z282" i="1"/>
  <c r="BN282" i="1"/>
  <c r="Z289" i="1"/>
  <c r="BN289" i="1"/>
  <c r="Z295" i="1"/>
  <c r="BN295" i="1"/>
  <c r="BP295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80" i="1"/>
  <c r="H9" i="1"/>
  <c r="A10" i="1"/>
  <c r="B568" i="1"/>
  <c r="X559" i="1"/>
  <c r="X560" i="1"/>
  <c r="Z23" i="1"/>
  <c r="Z24" i="1" s="1"/>
  <c r="BN23" i="1"/>
  <c r="BP23" i="1"/>
  <c r="Y24" i="1"/>
  <c r="X558" i="1"/>
  <c r="Z27" i="1"/>
  <c r="Z32" i="1" s="1"/>
  <c r="BN27" i="1"/>
  <c r="BP27" i="1"/>
  <c r="Z29" i="1"/>
  <c r="BN29" i="1"/>
  <c r="Z31" i="1"/>
  <c r="BN31" i="1"/>
  <c r="Y32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8" i="1"/>
  <c r="Z56" i="1"/>
  <c r="BN56" i="1"/>
  <c r="BP56" i="1"/>
  <c r="Z58" i="1"/>
  <c r="BN58" i="1"/>
  <c r="Z60" i="1"/>
  <c r="BN60" i="1"/>
  <c r="Y63" i="1"/>
  <c r="Z66" i="1"/>
  <c r="BN66" i="1"/>
  <c r="BP66" i="1"/>
  <c r="Z68" i="1"/>
  <c r="Z69" i="1" s="1"/>
  <c r="BN68" i="1"/>
  <c r="Z72" i="1"/>
  <c r="Z75" i="1" s="1"/>
  <c r="BN72" i="1"/>
  <c r="BP72" i="1"/>
  <c r="Z74" i="1"/>
  <c r="BN74" i="1"/>
  <c r="Y75" i="1"/>
  <c r="Z78" i="1"/>
  <c r="Z81" i="1" s="1"/>
  <c r="BN78" i="1"/>
  <c r="BP78" i="1"/>
  <c r="Z80" i="1"/>
  <c r="BN80" i="1"/>
  <c r="Y81" i="1"/>
  <c r="Z85" i="1"/>
  <c r="Z91" i="1" s="1"/>
  <c r="BN85" i="1"/>
  <c r="BP85" i="1"/>
  <c r="Z87" i="1"/>
  <c r="BN87" i="1"/>
  <c r="Z89" i="1"/>
  <c r="BN89" i="1"/>
  <c r="Y92" i="1"/>
  <c r="Z95" i="1"/>
  <c r="Z98" i="1" s="1"/>
  <c r="BN95" i="1"/>
  <c r="BP95" i="1"/>
  <c r="Z97" i="1"/>
  <c r="BN97" i="1"/>
  <c r="Z102" i="1"/>
  <c r="BN102" i="1"/>
  <c r="BP102" i="1"/>
  <c r="Z104" i="1"/>
  <c r="BN104" i="1"/>
  <c r="Z106" i="1"/>
  <c r="BN106" i="1"/>
  <c r="Y109" i="1"/>
  <c r="Z112" i="1"/>
  <c r="BN112" i="1"/>
  <c r="BP112" i="1"/>
  <c r="Z114" i="1"/>
  <c r="BN114" i="1"/>
  <c r="Z120" i="1"/>
  <c r="Z123" i="1" s="1"/>
  <c r="BN120" i="1"/>
  <c r="BP120" i="1"/>
  <c r="Z122" i="1"/>
  <c r="BN122" i="1"/>
  <c r="Z126" i="1"/>
  <c r="Z127" i="1" s="1"/>
  <c r="BN126" i="1"/>
  <c r="BP126" i="1"/>
  <c r="Y127" i="1"/>
  <c r="Z131" i="1"/>
  <c r="Z133" i="1" s="1"/>
  <c r="BN131" i="1"/>
  <c r="BP131" i="1"/>
  <c r="Y134" i="1"/>
  <c r="Z137" i="1"/>
  <c r="Z138" i="1" s="1"/>
  <c r="BN137" i="1"/>
  <c r="BP137" i="1"/>
  <c r="Z141" i="1"/>
  <c r="Z143" i="1" s="1"/>
  <c r="BN141" i="1"/>
  <c r="BP141" i="1"/>
  <c r="Y144" i="1"/>
  <c r="I568" i="1"/>
  <c r="Z148" i="1"/>
  <c r="BN148" i="1"/>
  <c r="BP148" i="1"/>
  <c r="Z150" i="1"/>
  <c r="BN150" i="1"/>
  <c r="Z152" i="1"/>
  <c r="BN152" i="1"/>
  <c r="Y153" i="1"/>
  <c r="Z156" i="1"/>
  <c r="Z157" i="1" s="1"/>
  <c r="BN156" i="1"/>
  <c r="BP156" i="1"/>
  <c r="Y157" i="1"/>
  <c r="Z161" i="1"/>
  <c r="BN161" i="1"/>
  <c r="BP161" i="1"/>
  <c r="Z163" i="1"/>
  <c r="BN163" i="1"/>
  <c r="Y164" i="1"/>
  <c r="Z167" i="1"/>
  <c r="Z169" i="1" s="1"/>
  <c r="BN167" i="1"/>
  <c r="BP167" i="1"/>
  <c r="Y170" i="1"/>
  <c r="Y184" i="1"/>
  <c r="Z173" i="1"/>
  <c r="BN173" i="1"/>
  <c r="Z175" i="1"/>
  <c r="BN175" i="1"/>
  <c r="Z177" i="1"/>
  <c r="BN177" i="1"/>
  <c r="Z179" i="1"/>
  <c r="BN179" i="1"/>
  <c r="Z181" i="1"/>
  <c r="BN181" i="1"/>
  <c r="BP189" i="1"/>
  <c r="BN189" i="1"/>
  <c r="Z189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F9" i="1"/>
  <c r="J9" i="1"/>
  <c r="Y43" i="1"/>
  <c r="Y51" i="1"/>
  <c r="Y91" i="1"/>
  <c r="Y108" i="1"/>
  <c r="Y133" i="1"/>
  <c r="Y165" i="1"/>
  <c r="BP183" i="1"/>
  <c r="BN183" i="1"/>
  <c r="Z183" i="1"/>
  <c r="Y185" i="1"/>
  <c r="Y190" i="1"/>
  <c r="BP187" i="1"/>
  <c r="BN187" i="1"/>
  <c r="Z187" i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BP271" i="1"/>
  <c r="BN271" i="1"/>
  <c r="Z271" i="1"/>
  <c r="BP275" i="1"/>
  <c r="BN275" i="1"/>
  <c r="Z275" i="1"/>
  <c r="BP283" i="1"/>
  <c r="BN283" i="1"/>
  <c r="Z283" i="1"/>
  <c r="Y293" i="1"/>
  <c r="Z285" i="1"/>
  <c r="BN285" i="1"/>
  <c r="BP286" i="1"/>
  <c r="BN286" i="1"/>
  <c r="BP288" i="1"/>
  <c r="BN288" i="1"/>
  <c r="Z288" i="1"/>
  <c r="Y292" i="1"/>
  <c r="BP296" i="1"/>
  <c r="BN296" i="1"/>
  <c r="Z296" i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Z359" i="1"/>
  <c r="BP357" i="1"/>
  <c r="BN357" i="1"/>
  <c r="Z357" i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Z347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BP368" i="1"/>
  <c r="BN368" i="1"/>
  <c r="Z368" i="1"/>
  <c r="Z369" i="1" s="1"/>
  <c r="Y370" i="1"/>
  <c r="Y379" i="1"/>
  <c r="BP372" i="1"/>
  <c r="BN372" i="1"/>
  <c r="Z372" i="1"/>
  <c r="BP376" i="1"/>
  <c r="BN376" i="1"/>
  <c r="Z376" i="1"/>
  <c r="BP384" i="1"/>
  <c r="BN384" i="1"/>
  <c r="Z384" i="1"/>
  <c r="BP396" i="1"/>
  <c r="BN396" i="1"/>
  <c r="Z396" i="1"/>
  <c r="Z399" i="1" s="1"/>
  <c r="BP404" i="1"/>
  <c r="BN404" i="1"/>
  <c r="Z404" i="1"/>
  <c r="Y406" i="1"/>
  <c r="Y411" i="1"/>
  <c r="BP408" i="1"/>
  <c r="BN408" i="1"/>
  <c r="Z408" i="1"/>
  <c r="Z411" i="1" s="1"/>
  <c r="BP422" i="1"/>
  <c r="BN422" i="1"/>
  <c r="Z422" i="1"/>
  <c r="Z424" i="1" s="1"/>
  <c r="BP432" i="1"/>
  <c r="BN432" i="1"/>
  <c r="Z432" i="1"/>
  <c r="P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437" i="1" l="1"/>
  <c r="Z184" i="1"/>
  <c r="Y560" i="1"/>
  <c r="Z550" i="1"/>
  <c r="Z517" i="1"/>
  <c r="Z486" i="1"/>
  <c r="Z405" i="1"/>
  <c r="Z297" i="1"/>
  <c r="Z292" i="1"/>
  <c r="Y559" i="1"/>
  <c r="Y558" i="1"/>
  <c r="Z153" i="1"/>
  <c r="Z116" i="1"/>
  <c r="Z62" i="1"/>
  <c r="Z556" i="1"/>
  <c r="Y561" i="1"/>
  <c r="Z497" i="1"/>
  <c r="Z338" i="1"/>
  <c r="Z233" i="1"/>
  <c r="Z245" i="1"/>
  <c r="Y562" i="1"/>
  <c r="Z511" i="1"/>
  <c r="Z481" i="1"/>
  <c r="Z443" i="1"/>
  <c r="Z379" i="1"/>
  <c r="Z527" i="1"/>
  <c r="Z470" i="1"/>
  <c r="Z449" i="1"/>
  <c r="Z386" i="1"/>
  <c r="Z331" i="1"/>
  <c r="Z308" i="1"/>
  <c r="Z190" i="1"/>
  <c r="Z277" i="1"/>
  <c r="Z251" i="1"/>
  <c r="Z210" i="1"/>
  <c r="Z164" i="1"/>
  <c r="Z108" i="1"/>
  <c r="X561" i="1"/>
  <c r="Z563" i="1" l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<sst xmlns="http://schemas.openxmlformats.org/spreadsheetml/2006/main" count="2540" uniqueCount="914">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</sst>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21</v>
      </c>
      <c r="Y29" s="642">
        <f>IFERROR(IF(X29="",0,CEILING((X29/$H29),1)*$H29),"")</f>
        <v>21.6</v>
      </c>
      <c r="Z29" s="36">
        <f>IFERROR(IF(Y29=0,"",ROUNDUP(Y29/H29,0)*0.00651),"")</f>
        <v>7.8119999999999995E-2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37.1</v>
      </c>
      <c r="BN29" s="64">
        <f>IFERROR(Y29*I29/H29,"0")</f>
        <v>38.160000000000004</v>
      </c>
      <c r="BO29" s="64">
        <f>IFERROR(1/J29*(X29/H29),"0")</f>
        <v>6.4102564102564111E-2</v>
      </c>
      <c r="BP29" s="64">
        <f>IFERROR(1/J29*(Y29/H29),"0")</f>
        <v>6.5934065934065936E-2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21</v>
      </c>
      <c r="Y30" s="642">
        <f>IFERROR(IF(X30="",0,CEILING((X30/$H30),1)*$H30),"")</f>
        <v>21.6</v>
      </c>
      <c r="Z30" s="36">
        <f>IFERROR(IF(Y30=0,"",ROUNDUP(Y30/H30,0)*0.00651),"")</f>
        <v>7.8119999999999995E-2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37.1</v>
      </c>
      <c r="BN30" s="64">
        <f>IFERROR(Y30*I30/H30,"0")</f>
        <v>38.160000000000004</v>
      </c>
      <c r="BO30" s="64">
        <f>IFERROR(1/J30*(X30/H30),"0")</f>
        <v>6.4102564102564111E-2</v>
      </c>
      <c r="BP30" s="64">
        <f>IFERROR(1/J30*(Y30/H30),"0")</f>
        <v>6.5934065934065936E-2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23.333333333333332</v>
      </c>
      <c r="Y32" s="643">
        <f>IFERROR(Y27/H27,"0")+IFERROR(Y28/H28,"0")+IFERROR(Y29/H29,"0")+IFERROR(Y30/H30,"0")+IFERROR(Y31/H31,"0")</f>
        <v>24</v>
      </c>
      <c r="Z32" s="643">
        <f>IFERROR(IF(Z27="",0,Z27),"0")+IFERROR(IF(Z28="",0,Z28),"0")+IFERROR(IF(Z29="",0,Z29),"0")+IFERROR(IF(Z30="",0,Z30),"0")+IFERROR(IF(Z31="",0,Z31),"0")</f>
        <v>0.15623999999999999</v>
      </c>
      <c r="AA32" s="644"/>
      <c r="AB32" s="644"/>
      <c r="AC32" s="644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42</v>
      </c>
      <c r="Y33" s="643">
        <f>IFERROR(SUM(Y27:Y31),"0")</f>
        <v>43.2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50</v>
      </c>
      <c r="Y47" s="642">
        <f>IFERROR(IF(X47="",0,CEILING((X47/$H47),1)*$H47),"")</f>
        <v>54</v>
      </c>
      <c r="Z47" s="36">
        <f>IFERROR(IF(Y47=0,"",ROUNDUP(Y47/H47,0)*0.01898),"")</f>
        <v>9.4899999999999998E-2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51.898148148148145</v>
      </c>
      <c r="BN47" s="64">
        <f>IFERROR(Y47*I47/H47,"0")</f>
        <v>56.05</v>
      </c>
      <c r="BO47" s="64">
        <f>IFERROR(1/J47*(X47/H47),"0")</f>
        <v>7.2337962962962965E-2</v>
      </c>
      <c r="BP47" s="64">
        <f>IFERROR(1/J47*(Y47/H47),"0")</f>
        <v>7.8125E-2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4.6296296296296298</v>
      </c>
      <c r="Y51" s="643">
        <f>IFERROR(Y47/H47,"0")+IFERROR(Y48/H48,"0")+IFERROR(Y49/H49,"0")+IFERROR(Y50/H50,"0")</f>
        <v>5</v>
      </c>
      <c r="Z51" s="643">
        <f>IFERROR(IF(Z47="",0,Z47),"0")+IFERROR(IF(Z48="",0,Z48),"0")+IFERROR(IF(Z49="",0,Z49),"0")+IFERROR(IF(Z50="",0,Z50),"0")</f>
        <v>9.4899999999999998E-2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50</v>
      </c>
      <c r="Y52" s="643">
        <f>IFERROR(SUM(Y47:Y50),"0")</f>
        <v>54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0</v>
      </c>
      <c r="Y62" s="643">
        <f>IFERROR(Y55/H55,"0")+IFERROR(Y56/H56,"0")+IFERROR(Y57/H57,"0")+IFERROR(Y58/H58,"0")+IFERROR(Y59/H59,"0")+IFERROR(Y60/H60,"0")+IFERROR(Y61/H61,"0")</f>
        <v>0</v>
      </c>
      <c r="Z62" s="6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44"/>
      <c r="AB62" s="644"/>
      <c r="AC62" s="644"/>
    </row>
    <row r="63" spans="1:68" hidden="1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0</v>
      </c>
      <c r="Y63" s="643">
        <f>IFERROR(SUM(Y55:Y61),"0")</f>
        <v>0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200</v>
      </c>
      <c r="Y78" s="642">
        <f>IFERROR(IF(X78="",0,CEILING((X78/$H78),1)*$H78),"")</f>
        <v>202.79999999999998</v>
      </c>
      <c r="Z78" s="36">
        <f>IFERROR(IF(Y78=0,"",ROUNDUP(Y78/H78,0)*0.01898),"")</f>
        <v>0.49348000000000003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210.51282051282055</v>
      </c>
      <c r="BN78" s="64">
        <f>IFERROR(Y78*I78/H78,"0")</f>
        <v>213.46</v>
      </c>
      <c r="BO78" s="64">
        <f>IFERROR(1/J78*(X78/H78),"0")</f>
        <v>0.40064102564102566</v>
      </c>
      <c r="BP78" s="64">
        <f>IFERROR(1/J78*(Y78/H78),"0")</f>
        <v>0.40625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25.641025641025642</v>
      </c>
      <c r="Y81" s="643">
        <f>IFERROR(Y78/H78,"0")+IFERROR(Y79/H79,"0")+IFERROR(Y80/H80,"0")</f>
        <v>26</v>
      </c>
      <c r="Z81" s="643">
        <f>IFERROR(IF(Z78="",0,Z78),"0")+IFERROR(IF(Z79="",0,Z79),"0")+IFERROR(IF(Z80="",0,Z80),"0")</f>
        <v>0.49348000000000003</v>
      </c>
      <c r="AA81" s="644"/>
      <c r="AB81" s="644"/>
      <c r="AC81" s="64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200</v>
      </c>
      <c r="Y82" s="643">
        <f>IFERROR(SUM(Y78:Y80),"0")</f>
        <v>202.79999999999998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65</v>
      </c>
      <c r="Y85" s="642">
        <f t="shared" ref="Y85:Y90" si="5"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67.467592592592595</v>
      </c>
      <c r="BN85" s="64">
        <f t="shared" ref="BN85:BN90" si="7">IFERROR(Y85*I85/H85,"0")</f>
        <v>78.47</v>
      </c>
      <c r="BO85" s="64">
        <f t="shared" ref="BO85:BO90" si="8">IFERROR(1/J85*(X85/H85),"0")</f>
        <v>9.4039351851851846E-2</v>
      </c>
      <c r="BP85" s="64">
        <f t="shared" ref="BP85:BP90" si="9">IFERROR(1/J85*(Y85/H85),"0")</f>
        <v>0.109375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6.0185185185185182</v>
      </c>
      <c r="Y91" s="643">
        <f>IFERROR(Y85/H85,"0")+IFERROR(Y86/H86,"0")+IFERROR(Y87/H87,"0")+IFERROR(Y88/H88,"0")+IFERROR(Y89/H89,"0")+IFERROR(Y90/H90,"0")</f>
        <v>7</v>
      </c>
      <c r="Z91" s="643">
        <f>IFERROR(IF(Z85="",0,Z85),"0")+IFERROR(IF(Z86="",0,Z86),"0")+IFERROR(IF(Z87="",0,Z87),"0")+IFERROR(IF(Z88="",0,Z88),"0")+IFERROR(IF(Z89="",0,Z89),"0")+IFERROR(IF(Z90="",0,Z90),"0")</f>
        <v>0.13286000000000001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65</v>
      </c>
      <c r="Y92" s="643">
        <f>IFERROR(SUM(Y85:Y90),"0")</f>
        <v>75.600000000000009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150</v>
      </c>
      <c r="Y94" s="642">
        <f>IFERROR(IF(X94="",0,CEILING((X94/$H94),1)*$H94),"")</f>
        <v>153.9</v>
      </c>
      <c r="Z94" s="36">
        <f>IFERROR(IF(Y94=0,"",ROUNDUP(Y94/H94,0)*0.01898),"")</f>
        <v>0.36062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159.14814814814815</v>
      </c>
      <c r="BN94" s="64">
        <f>IFERROR(Y94*I94/H94,"0")</f>
        <v>163.286</v>
      </c>
      <c r="BO94" s="64">
        <f>IFERROR(1/J94*(X94/H94),"0")</f>
        <v>0.28935185185185186</v>
      </c>
      <c r="BP94" s="64">
        <f>IFERROR(1/J94*(Y94/H94),"0")</f>
        <v>0.296875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90</v>
      </c>
      <c r="Y96" s="642">
        <f>IFERROR(IF(X96="",0,CEILING((X96/$H96),1)*$H96),"")</f>
        <v>91.800000000000011</v>
      </c>
      <c r="Z96" s="36">
        <f>IFERROR(IF(Y96=0,"",ROUNDUP(Y96/H96,0)*0.00651),"")</f>
        <v>0.22134000000000001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98.399999999999991</v>
      </c>
      <c r="BN96" s="64">
        <f>IFERROR(Y96*I96/H96,"0")</f>
        <v>100.36799999999999</v>
      </c>
      <c r="BO96" s="64">
        <f>IFERROR(1/J96*(X96/H96),"0")</f>
        <v>0.18315018315018314</v>
      </c>
      <c r="BP96" s="64">
        <f>IFERROR(1/J96*(Y96/H96),"0")</f>
        <v>0.18681318681318682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51.851851851851848</v>
      </c>
      <c r="Y98" s="643">
        <f>IFERROR(Y94/H94,"0")+IFERROR(Y95/H95,"0")+IFERROR(Y96/H96,"0")+IFERROR(Y97/H97,"0")</f>
        <v>53</v>
      </c>
      <c r="Z98" s="643">
        <f>IFERROR(IF(Z94="",0,Z94),"0")+IFERROR(IF(Z95="",0,Z95),"0")+IFERROR(IF(Z96="",0,Z96),"0")+IFERROR(IF(Z97="",0,Z97),"0")</f>
        <v>0.58196000000000003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240</v>
      </c>
      <c r="Y99" s="643">
        <f>IFERROR(SUM(Y94:Y97),"0")</f>
        <v>245.70000000000002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80</v>
      </c>
      <c r="Y102" s="642">
        <f t="shared" ref="Y102:Y107" si="10">IFERROR(IF(X102="",0,CEILING((X102/$H102),1)*$H102),"")</f>
        <v>86.4</v>
      </c>
      <c r="Z102" s="36">
        <f>IFERROR(IF(Y102=0,"",ROUNDUP(Y102/H102,0)*0.01898),"")</f>
        <v>0.15184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83.037037037037038</v>
      </c>
      <c r="BN102" s="64">
        <f t="shared" ref="BN102:BN107" si="12">IFERROR(Y102*I102/H102,"0")</f>
        <v>89.68</v>
      </c>
      <c r="BO102" s="64">
        <f t="shared" ref="BO102:BO107" si="13">IFERROR(1/J102*(X102/H102),"0")</f>
        <v>0.11574074074074073</v>
      </c>
      <c r="BP102" s="64">
        <f t="shared" ref="BP102:BP107" si="14">IFERROR(1/J102*(Y102/H102),"0")</f>
        <v>0.125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7.4074074074074066</v>
      </c>
      <c r="Y108" s="643">
        <f>IFERROR(Y102/H102,"0")+IFERROR(Y103/H103,"0")+IFERROR(Y104/H104,"0")+IFERROR(Y105/H105,"0")+IFERROR(Y106/H106,"0")+IFERROR(Y107/H107,"0")</f>
        <v>8</v>
      </c>
      <c r="Z108" s="643">
        <f>IFERROR(IF(Z102="",0,Z102),"0")+IFERROR(IF(Z103="",0,Z103),"0")+IFERROR(IF(Z104="",0,Z104),"0")+IFERROR(IF(Z105="",0,Z105),"0")+IFERROR(IF(Z106="",0,Z106),"0")+IFERROR(IF(Z107="",0,Z107),"0")</f>
        <v>0.15184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80</v>
      </c>
      <c r="Y109" s="643">
        <f>IFERROR(SUM(Y102:Y107),"0")</f>
        <v>86.4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0</v>
      </c>
      <c r="Y116" s="643">
        <f>IFERROR(Y111/H111,"0")+IFERROR(Y112/H112,"0")+IFERROR(Y113/H113,"0")+IFERROR(Y114/H114,"0")+IFERROR(Y115/H115,"0")</f>
        <v>0</v>
      </c>
      <c r="Z116" s="643">
        <f>IFERROR(IF(Z111="",0,Z111),"0")+IFERROR(IF(Z112="",0,Z112),"0")+IFERROR(IF(Z113="",0,Z113),"0")+IFERROR(IF(Z114="",0,Z114),"0")+IFERROR(IF(Z115="",0,Z115),"0")</f>
        <v>0</v>
      </c>
      <c r="AA116" s="644"/>
      <c r="AB116" s="644"/>
      <c r="AC116" s="644"/>
    </row>
    <row r="117" spans="1:68" hidden="1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0</v>
      </c>
      <c r="Y117" s="643">
        <f>IFERROR(SUM(Y111:Y115),"0")</f>
        <v>0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150</v>
      </c>
      <c r="Y119" s="642">
        <f>IFERROR(IF(X119="",0,CEILING((X119/$H119),1)*$H119),"")</f>
        <v>153.9</v>
      </c>
      <c r="Z119" s="36">
        <f>IFERROR(IF(Y119=0,"",ROUNDUP(Y119/H119,0)*0.01898),"")</f>
        <v>0.36062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159.03703703703701</v>
      </c>
      <c r="BN119" s="64">
        <f>IFERROR(Y119*I119/H119,"0")</f>
        <v>163.172</v>
      </c>
      <c r="BO119" s="64">
        <f>IFERROR(1/J119*(X119/H119),"0")</f>
        <v>0.28935185185185186</v>
      </c>
      <c r="BP119" s="64">
        <f>IFERROR(1/J119*(Y119/H119),"0")</f>
        <v>0.296875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126</v>
      </c>
      <c r="Y121" s="642">
        <f>IFERROR(IF(X121="",0,CEILING((X121/$H121),1)*$H121),"")</f>
        <v>126.9</v>
      </c>
      <c r="Z121" s="36">
        <f>IFERROR(IF(Y121=0,"",ROUNDUP(Y121/H121,0)*0.00651),"")</f>
        <v>0.30597000000000002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137.76</v>
      </c>
      <c r="BN121" s="64">
        <f>IFERROR(Y121*I121/H121,"0")</f>
        <v>138.744</v>
      </c>
      <c r="BO121" s="64">
        <f>IFERROR(1/J121*(X121/H121),"0")</f>
        <v>0.25641025641025644</v>
      </c>
      <c r="BP121" s="64">
        <f>IFERROR(1/J121*(Y121/H121),"0")</f>
        <v>0.25824175824175827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65.18518518518519</v>
      </c>
      <c r="Y123" s="643">
        <f>IFERROR(Y119/H119,"0")+IFERROR(Y120/H120,"0")+IFERROR(Y121/H121,"0")+IFERROR(Y122/H122,"0")</f>
        <v>66</v>
      </c>
      <c r="Z123" s="643">
        <f>IFERROR(IF(Z119="",0,Z119),"0")+IFERROR(IF(Z120="",0,Z120),"0")+IFERROR(IF(Z121="",0,Z121),"0")+IFERROR(IF(Z122="",0,Z122),"0")</f>
        <v>0.66659000000000002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276</v>
      </c>
      <c r="Y124" s="643">
        <f>IFERROR(SUM(Y119:Y122),"0")</f>
        <v>280.8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41</v>
      </c>
      <c r="Y126" s="642">
        <f>IFERROR(IF(X126="",0,CEILING((X126/$H126),1)*$H126),"")</f>
        <v>41.58</v>
      </c>
      <c r="Z126" s="36">
        <f>IFERROR(IF(Y126=0,"",ROUNDUP(Y126/H126,0)*0.00651),"")</f>
        <v>0.13671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46.342424242424244</v>
      </c>
      <c r="BN126" s="64">
        <f>IFERROR(Y126*I126/H126,"0")</f>
        <v>46.997999999999998</v>
      </c>
      <c r="BO126" s="64">
        <f>IFERROR(1/J126*(X126/H126),"0")</f>
        <v>0.11377511377511378</v>
      </c>
      <c r="BP126" s="64">
        <f>IFERROR(1/J126*(Y126/H126),"0")</f>
        <v>0.11538461538461539</v>
      </c>
    </row>
    <row r="127" spans="1:68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20.707070707070706</v>
      </c>
      <c r="Y127" s="643">
        <f>IFERROR(Y126/H126,"0")</f>
        <v>21</v>
      </c>
      <c r="Z127" s="643">
        <f>IFERROR(IF(Z126="",0,Z126),"0")</f>
        <v>0.13671</v>
      </c>
      <c r="AA127" s="644"/>
      <c r="AB127" s="644"/>
      <c r="AC127" s="644"/>
    </row>
    <row r="128" spans="1:68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41</v>
      </c>
      <c r="Y128" s="643">
        <f>IFERROR(SUM(Y126:Y126),"0")</f>
        <v>41.58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hidden="1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0</v>
      </c>
      <c r="Y172" s="642">
        <f t="shared" ref="Y172:Y183" si="21"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0</v>
      </c>
      <c r="BN172" s="64">
        <f t="shared" ref="BN172:BN183" si="23">IFERROR(Y172*I172/H172,"0")</f>
        <v>0</v>
      </c>
      <c r="BO172" s="64">
        <f t="shared" ref="BO172:BO183" si="24">IFERROR(1/J172*(X172/H172),"0")</f>
        <v>0</v>
      </c>
      <c r="BP172" s="64">
        <f t="shared" ref="BP172:BP183" si="25">IFERROR(1/J172*(Y172/H172),"0")</f>
        <v>0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0</v>
      </c>
      <c r="Y174" s="642">
        <f t="shared" si="21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0</v>
      </c>
      <c r="Y176" s="642">
        <f t="shared" si="21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idden="1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4"/>
      <c r="AB184" s="644"/>
      <c r="AC184" s="644"/>
    </row>
    <row r="185" spans="1:68" hidden="1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0</v>
      </c>
      <c r="Y185" s="643">
        <f>IFERROR(SUM(Y172:Y183),"0")</f>
        <v>0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5</v>
      </c>
      <c r="Y221" s="642">
        <f t="shared" si="32"/>
        <v>5.6000000000000005</v>
      </c>
      <c r="Z221" s="36">
        <f>IFERROR(IF(Y221=0,"",ROUNDUP(Y221/H221,0)*0.00556),"")</f>
        <v>3.8919999999999996E-2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5.8125</v>
      </c>
      <c r="BN221" s="64">
        <f t="shared" si="34"/>
        <v>6.5100000000000007</v>
      </c>
      <c r="BO221" s="64">
        <f t="shared" si="35"/>
        <v>2.48015873015873E-2</v>
      </c>
      <c r="BP221" s="64">
        <f t="shared" si="36"/>
        <v>2.7777777777777776E-2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0</v>
      </c>
      <c r="Y227" s="642">
        <f t="shared" si="32"/>
        <v>0</v>
      </c>
      <c r="Z227" s="36" t="str">
        <f t="shared" si="37"/>
        <v/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hidden="1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0</v>
      </c>
      <c r="Y229" s="642">
        <f t="shared" si="32"/>
        <v>0</v>
      </c>
      <c r="Z229" s="36" t="str">
        <f>IFERROR(IF(Y229=0,"",ROUNDUP(Y229/H229,0)*0.00502),"")</f>
        <v/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6.25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3.8919999999999996E-2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5</v>
      </c>
      <c r="Y234" s="643">
        <f>IFERROR(SUM(Y218:Y232),"0")</f>
        <v>5.6000000000000005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hidden="1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0</v>
      </c>
      <c r="Y270" s="642">
        <f t="shared" si="43"/>
        <v>0</v>
      </c>
      <c r="Z270" s="36" t="str">
        <f>IFERROR(IF(Y270=0,"",ROUNDUP(Y270/H270,0)*0.00902),"")</f>
        <v/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0</v>
      </c>
      <c r="BN270" s="64">
        <f t="shared" si="45"/>
        <v>0</v>
      </c>
      <c r="BO270" s="64">
        <f t="shared" si="46"/>
        <v>0</v>
      </c>
      <c r="BP270" s="64">
        <f t="shared" si="47"/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0</v>
      </c>
      <c r="Y271" s="642">
        <f t="shared" si="43"/>
        <v>0</v>
      </c>
      <c r="Z271" s="36" t="str">
        <f>IFERROR(IF(Y271=0,"",ROUNDUP(Y271/H271,0)*0.00902),"")</f>
        <v/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0</v>
      </c>
      <c r="Y272" s="642">
        <f t="shared" si="43"/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0</v>
      </c>
      <c r="Y273" s="642">
        <f t="shared" si="43"/>
        <v>0</v>
      </c>
      <c r="Z273" s="36" t="str">
        <f>IFERROR(IF(Y273=0,"",ROUNDUP(Y273/H273,0)*0.00502),"")</f>
        <v/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0</v>
      </c>
      <c r="Y274" s="642">
        <f t="shared" si="43"/>
        <v>0</v>
      </c>
      <c r="Z274" s="36" t="str">
        <f>IFERROR(IF(Y274=0,"",ROUNDUP(Y274/H274,0)*0.00502),"")</f>
        <v/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idden="1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0</v>
      </c>
      <c r="Y277" s="643">
        <f>IFERROR(Y269/H269,"0")+IFERROR(Y270/H270,"0")+IFERROR(Y271/H271,"0")+IFERROR(Y272/H272,"0")+IFERROR(Y273/H273,"0")+IFERROR(Y274/H274,"0")+IFERROR(Y275/H275,"0")+IFERROR(Y276/H276,"0")</f>
        <v>0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4"/>
      <c r="AB277" s="644"/>
      <c r="AC277" s="644"/>
    </row>
    <row r="278" spans="1:68" hidden="1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0</v>
      </c>
      <c r="Y278" s="643">
        <f>IFERROR(SUM(Y269:Y276),"0")</f>
        <v>0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0</v>
      </c>
      <c r="Y281" s="642">
        <f t="shared" si="48"/>
        <v>0</v>
      </c>
      <c r="Z281" s="36" t="str">
        <f>IFERROR(IF(Y281=0,"",ROUNDUP(Y281/H281,0)*0.01898),"")</f>
        <v/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0</v>
      </c>
      <c r="BN281" s="64">
        <f t="shared" si="50"/>
        <v>0</v>
      </c>
      <c r="BO281" s="64">
        <f t="shared" si="51"/>
        <v>0</v>
      </c>
      <c r="BP281" s="64">
        <f t="shared" si="52"/>
        <v>0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0</v>
      </c>
      <c r="Y286" s="642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0</v>
      </c>
      <c r="Y288" s="642">
        <f t="shared" si="48"/>
        <v>0</v>
      </c>
      <c r="Z288" s="36" t="str">
        <f>IFERROR(IF(Y288=0,"",ROUNDUP(Y288/H288,0)*0.00651),"")</f>
        <v/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40</v>
      </c>
      <c r="Y289" s="642">
        <f t="shared" si="48"/>
        <v>40.799999999999997</v>
      </c>
      <c r="Z289" s="36">
        <f>IFERROR(IF(Y289=0,"",ROUNDUP(Y289/H289,0)*0.00651),"")</f>
        <v>0.11067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44.20000000000001</v>
      </c>
      <c r="BN289" s="64">
        <f t="shared" si="50"/>
        <v>45.084000000000003</v>
      </c>
      <c r="BO289" s="64">
        <f t="shared" si="51"/>
        <v>9.1575091575091583E-2</v>
      </c>
      <c r="BP289" s="64">
        <f t="shared" si="52"/>
        <v>9.3406593406593408E-2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102</v>
      </c>
      <c r="Y290" s="642">
        <f t="shared" si="48"/>
        <v>103.2</v>
      </c>
      <c r="Z290" s="36">
        <f>IFERROR(IF(Y290=0,"",ROUNDUP(Y290/H290,0)*0.00651),"")</f>
        <v>0.27993000000000001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112.965</v>
      </c>
      <c r="BN290" s="64">
        <f t="shared" si="50"/>
        <v>114.29400000000001</v>
      </c>
      <c r="BO290" s="64">
        <f t="shared" si="51"/>
        <v>0.23351648351648355</v>
      </c>
      <c r="BP290" s="64">
        <f t="shared" si="52"/>
        <v>0.23626373626373628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59.166666666666671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60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0.3906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142</v>
      </c>
      <c r="Y293" s="643">
        <f>IFERROR(SUM(Y280:Y291),"0")</f>
        <v>144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40</v>
      </c>
      <c r="Y336" s="642">
        <f>IFERROR(IF(X336="",0,CEILING((X336/$H336),1)*$H336),"")</f>
        <v>40.799999999999997</v>
      </c>
      <c r="Z336" s="36">
        <f>IFERROR(IF(Y336=0,"",ROUNDUP(Y336/H336,0)*0.00651),"")</f>
        <v>0.11067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44.20000000000001</v>
      </c>
      <c r="BN336" s="64">
        <f>IFERROR(Y336*I336/H336,"0")</f>
        <v>45.084000000000003</v>
      </c>
      <c r="BO336" s="64">
        <f>IFERROR(1/J336*(X336/H336),"0")</f>
        <v>9.1575091575091583E-2</v>
      </c>
      <c r="BP336" s="64">
        <f>IFERROR(1/J336*(Y336/H336),"0")</f>
        <v>9.3406593406593408E-2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38</v>
      </c>
      <c r="Y337" s="642">
        <f>IFERROR(IF(X337="",0,CEILING((X337/$H337),1)*$H337),"")</f>
        <v>38.4</v>
      </c>
      <c r="Z337" s="36">
        <f>IFERROR(IF(Y337=0,"",ROUNDUP(Y337/H337,0)*0.00651),"")</f>
        <v>0.10416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40.85</v>
      </c>
      <c r="BN337" s="64">
        <f>IFERROR(Y337*I337/H337,"0")</f>
        <v>41.28</v>
      </c>
      <c r="BO337" s="64">
        <f>IFERROR(1/J337*(X337/H337),"0")</f>
        <v>8.6996336996337006E-2</v>
      </c>
      <c r="BP337" s="64">
        <f>IFERROR(1/J337*(Y337/H337),"0")</f>
        <v>8.7912087912087919E-2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32.5</v>
      </c>
      <c r="Y338" s="643">
        <f>IFERROR(Y335/H335,"0")+IFERROR(Y336/H336,"0")+IFERROR(Y337/H337,"0")</f>
        <v>33</v>
      </c>
      <c r="Z338" s="643">
        <f>IFERROR(IF(Z335="",0,Z335),"0")+IFERROR(IF(Z336="",0,Z336),"0")+IFERROR(IF(Z337="",0,Z337),"0")</f>
        <v>0.21483000000000002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78</v>
      </c>
      <c r="Y339" s="643">
        <f>IFERROR(SUM(Y335:Y337),"0")</f>
        <v>79.199999999999989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64</v>
      </c>
      <c r="Y356" s="642">
        <f>IFERROR(IF(X356="",0,CEILING((X356/$H356),1)*$H356),"")</f>
        <v>70.2</v>
      </c>
      <c r="Z356" s="36">
        <f>IFERROR(IF(Y356=0,"",ROUNDUP(Y356/H356,0)*0.01898),"")</f>
        <v>0.17082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67.364102564102566</v>
      </c>
      <c r="BN356" s="64">
        <f>IFERROR(Y356*I356/H356,"0")</f>
        <v>73.890000000000015</v>
      </c>
      <c r="BO356" s="64">
        <f>IFERROR(1/J356*(X356/H356),"0")</f>
        <v>0.12820512820512822</v>
      </c>
      <c r="BP356" s="64">
        <f>IFERROR(1/J356*(Y356/H356),"0")</f>
        <v>0.140625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107</v>
      </c>
      <c r="Y357" s="642">
        <f>IFERROR(IF(X357="",0,CEILING((X357/$H357),1)*$H357),"")</f>
        <v>109.2</v>
      </c>
      <c r="Z357" s="36">
        <f>IFERROR(IF(Y357=0,"",ROUNDUP(Y357/H357,0)*0.01898),"")</f>
        <v>0.26572000000000001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112.624358974359</v>
      </c>
      <c r="BN357" s="64">
        <f>IFERROR(Y357*I357/H357,"0")</f>
        <v>114.94000000000003</v>
      </c>
      <c r="BO357" s="64">
        <f>IFERROR(1/J357*(X357/H357),"0")</f>
        <v>0.21434294871794873</v>
      </c>
      <c r="BP357" s="64">
        <f>IFERROR(1/J357*(Y357/H357),"0")</f>
        <v>0.21875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61</v>
      </c>
      <c r="Y358" s="642">
        <f>IFERROR(IF(X358="",0,CEILING((X358/$H358),1)*$H358),"")</f>
        <v>62.4</v>
      </c>
      <c r="Z358" s="36">
        <f>IFERROR(IF(Y358=0,"",ROUNDUP(Y358/H358,0)*0.01898),"")</f>
        <v>0.15184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64.206410256410265</v>
      </c>
      <c r="BN358" s="64">
        <f>IFERROR(Y358*I358/H358,"0")</f>
        <v>65.680000000000007</v>
      </c>
      <c r="BO358" s="64">
        <f>IFERROR(1/J358*(X358/H358),"0")</f>
        <v>0.12219551282051282</v>
      </c>
      <c r="BP358" s="64">
        <f>IFERROR(1/J358*(Y358/H358),"0")</f>
        <v>0.125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29.743589743589748</v>
      </c>
      <c r="Y359" s="643">
        <f>IFERROR(Y356/H356,"0")+IFERROR(Y357/H357,"0")+IFERROR(Y358/H358,"0")</f>
        <v>31</v>
      </c>
      <c r="Z359" s="643">
        <f>IFERROR(IF(Z356="",0,Z356),"0")+IFERROR(IF(Z357="",0,Z357),"0")+IFERROR(IF(Z358="",0,Z358),"0")</f>
        <v>0.58838000000000001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232</v>
      </c>
      <c r="Y360" s="643">
        <f>IFERROR(SUM(Y356:Y358),"0")</f>
        <v>241.8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0</v>
      </c>
      <c r="Y378" s="642">
        <f t="shared" si="63"/>
        <v>0</v>
      </c>
      <c r="Z378" s="36" t="str">
        <f>IFERROR(IF(Y378=0,"",ROUNDUP(Y378/H378,0)*0.00651),"")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idden="1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0</v>
      </c>
      <c r="Y379" s="643">
        <f>IFERROR(Y372/H372,"0")+IFERROR(Y373/H373,"0")+IFERROR(Y374/H374,"0")+IFERROR(Y375/H375,"0")+IFERROR(Y376/H376,"0")+IFERROR(Y377/H377,"0")+IFERROR(Y378/H378,"0")</f>
        <v>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4"/>
      <c r="AB379" s="644"/>
      <c r="AC379" s="644"/>
    </row>
    <row r="380" spans="1:68" hidden="1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0</v>
      </c>
      <c r="Y380" s="643">
        <f>IFERROR(SUM(Y372:Y378),"0")</f>
        <v>0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83</v>
      </c>
      <c r="Y391" s="642">
        <f>IFERROR(IF(X391="",0,CEILING((X391/$H391),1)*$H391),"")</f>
        <v>84</v>
      </c>
      <c r="Z391" s="36">
        <f>IFERROR(IF(Y391=0,"",ROUNDUP(Y391/H391,0)*0.01898),"")</f>
        <v>0.1898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87.881190476190469</v>
      </c>
      <c r="BN391" s="64">
        <f>IFERROR(Y391*I391/H391,"0")</f>
        <v>88.94</v>
      </c>
      <c r="BO391" s="64">
        <f>IFERROR(1/J391*(X391/H391),"0")</f>
        <v>0.15438988095238096</v>
      </c>
      <c r="BP391" s="64">
        <f>IFERROR(1/J391*(Y391/H391),"0")</f>
        <v>0.15625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9.8809523809523814</v>
      </c>
      <c r="Y392" s="643">
        <f>IFERROR(Y389/H389,"0")+IFERROR(Y390/H390,"0")+IFERROR(Y391/H391,"0")</f>
        <v>10</v>
      </c>
      <c r="Z392" s="643">
        <f>IFERROR(IF(Z389="",0,Z389),"0")+IFERROR(IF(Z390="",0,Z390),"0")+IFERROR(IF(Z391="",0,Z391),"0")</f>
        <v>0.1898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83</v>
      </c>
      <c r="Y393" s="643">
        <f>IFERROR(SUM(Y389:Y391),"0")</f>
        <v>84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0</v>
      </c>
      <c r="Y399" s="643">
        <f>IFERROR(Y395/H395,"0")+IFERROR(Y396/H396,"0")+IFERROR(Y397/H397,"0")+IFERROR(Y398/H398,"0")</f>
        <v>0</v>
      </c>
      <c r="Z399" s="643">
        <f>IFERROR(IF(Z395="",0,Z395),"0")+IFERROR(IF(Z396="",0,Z396),"0")+IFERROR(IF(Z397="",0,Z397),"0")+IFERROR(IF(Z398="",0,Z398),"0")</f>
        <v>0</v>
      </c>
      <c r="AA399" s="644"/>
      <c r="AB399" s="644"/>
      <c r="AC399" s="644"/>
    </row>
    <row r="400" spans="1:68" hidden="1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0</v>
      </c>
      <c r="Y400" s="643">
        <f>IFERROR(SUM(Y395:Y398),"0")</f>
        <v>0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30</v>
      </c>
      <c r="Y402" s="642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33.6</v>
      </c>
      <c r="BN402" s="64">
        <f>IFERROR(Y402*I402/H402,"0")</f>
        <v>33.6</v>
      </c>
      <c r="BO402" s="64">
        <f>IFERROR(1/J402*(X402/H402),"0")</f>
        <v>6.3025210084033612E-2</v>
      </c>
      <c r="BP402" s="64">
        <f>IFERROR(1/J402*(Y402/H402),"0")</f>
        <v>6.3025210084033612E-2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20</v>
      </c>
      <c r="Y403" s="642">
        <f>IFERROR(IF(X403="",0,CEILING((X403/$H403),1)*$H403),"")</f>
        <v>20</v>
      </c>
      <c r="Z403" s="36">
        <f>IFERROR(IF(Y403=0,"",ROUNDUP(Y403/H403,0)*0.00474),"")</f>
        <v>4.7400000000000005E-2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22.400000000000002</v>
      </c>
      <c r="BN403" s="64">
        <f>IFERROR(Y403*I403/H403,"0")</f>
        <v>22.400000000000002</v>
      </c>
      <c r="BO403" s="64">
        <f>IFERROR(1/J403*(X403/H403),"0")</f>
        <v>4.2016806722689072E-2</v>
      </c>
      <c r="BP403" s="64">
        <f>IFERROR(1/J403*(Y403/H403),"0")</f>
        <v>4.2016806722689072E-2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31</v>
      </c>
      <c r="Y404" s="642">
        <f>IFERROR(IF(X404="",0,CEILING((X404/$H404),1)*$H404),"")</f>
        <v>32</v>
      </c>
      <c r="Z404" s="36">
        <f>IFERROR(IF(Y404=0,"",ROUNDUP(Y404/H404,0)*0.00474),"")</f>
        <v>7.5840000000000005E-2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34.720000000000006</v>
      </c>
      <c r="BN404" s="64">
        <f>IFERROR(Y404*I404/H404,"0")</f>
        <v>35.840000000000003</v>
      </c>
      <c r="BO404" s="64">
        <f>IFERROR(1/J404*(X404/H404),"0")</f>
        <v>6.5126050420168058E-2</v>
      </c>
      <c r="BP404" s="64">
        <f>IFERROR(1/J404*(Y404/H404),"0")</f>
        <v>6.7226890756302518E-2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40.5</v>
      </c>
      <c r="Y405" s="643">
        <f>IFERROR(Y402/H402,"0")+IFERROR(Y403/H403,"0")+IFERROR(Y404/H404,"0")</f>
        <v>41</v>
      </c>
      <c r="Z405" s="643">
        <f>IFERROR(IF(Z402="",0,Z402),"0")+IFERROR(IF(Z403="",0,Z403),"0")+IFERROR(IF(Z404="",0,Z404),"0")</f>
        <v>0.19434000000000001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81</v>
      </c>
      <c r="Y406" s="643">
        <f>IFERROR(SUM(Y402:Y404),"0")</f>
        <v>82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0</v>
      </c>
      <c r="Y424" s="643">
        <f>IFERROR(Y421/H421,"0")+IFERROR(Y422/H422,"0")+IFERROR(Y423/H423,"0")</f>
        <v>0</v>
      </c>
      <c r="Z424" s="643">
        <f>IFERROR(IF(Z421="",0,Z421),"0")+IFERROR(IF(Z422="",0,Z422),"0")+IFERROR(IF(Z423="",0,Z423),"0")</f>
        <v>0</v>
      </c>
      <c r="AA424" s="644"/>
      <c r="AB424" s="644"/>
      <c r="AC424" s="644"/>
    </row>
    <row r="425" spans="1:68" hidden="1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0</v>
      </c>
      <c r="Y425" s="643">
        <f>IFERROR(SUM(Y421:Y423),"0")</f>
        <v>0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700</v>
      </c>
      <c r="Y430" s="642">
        <f t="shared" si="68"/>
        <v>705</v>
      </c>
      <c r="Z430" s="36">
        <f>IFERROR(IF(Y430=0,"",ROUNDUP(Y430/H430,0)*0.02175),"")</f>
        <v>1.0222499999999999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721.93333333333328</v>
      </c>
      <c r="BN430" s="64">
        <f t="shared" si="70"/>
        <v>727.09</v>
      </c>
      <c r="BO430" s="64">
        <f t="shared" si="71"/>
        <v>0.9722222222222221</v>
      </c>
      <c r="BP430" s="64">
        <f t="shared" si="72"/>
        <v>0.97916666666666663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198</v>
      </c>
      <c r="Y431" s="642">
        <f t="shared" si="68"/>
        <v>210</v>
      </c>
      <c r="Z431" s="36">
        <f>IFERROR(IF(Y431=0,"",ROUNDUP(Y431/H431,0)*0.02175),"")</f>
        <v>0.30449999999999999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204.20400000000001</v>
      </c>
      <c r="BN431" s="64">
        <f t="shared" si="70"/>
        <v>216.58</v>
      </c>
      <c r="BO431" s="64">
        <f t="shared" si="71"/>
        <v>0.27499999999999997</v>
      </c>
      <c r="BP431" s="64">
        <f t="shared" si="72"/>
        <v>0.29166666666666663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1000</v>
      </c>
      <c r="Y432" s="642">
        <f t="shared" si="68"/>
        <v>1005</v>
      </c>
      <c r="Z432" s="36">
        <f>IFERROR(IF(Y432=0,"",ROUNDUP(Y432/H432,0)*0.02175),"")</f>
        <v>1.4572499999999999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1031.3333333333333</v>
      </c>
      <c r="BN432" s="64">
        <f t="shared" si="70"/>
        <v>1036.49</v>
      </c>
      <c r="BO432" s="64">
        <f t="shared" si="71"/>
        <v>1.3888888888888888</v>
      </c>
      <c r="BP432" s="64">
        <f t="shared" si="72"/>
        <v>1.3958333333333333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388</v>
      </c>
      <c r="Y433" s="642">
        <f t="shared" si="68"/>
        <v>390</v>
      </c>
      <c r="Z433" s="36">
        <f>IFERROR(IF(Y433=0,"",ROUNDUP(Y433/H433,0)*0.02175),"")</f>
        <v>0.5655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400.15733333333338</v>
      </c>
      <c r="BN433" s="64">
        <f t="shared" si="70"/>
        <v>402.22</v>
      </c>
      <c r="BO433" s="64">
        <f t="shared" si="71"/>
        <v>0.53888888888888886</v>
      </c>
      <c r="BP433" s="64">
        <f t="shared" si="72"/>
        <v>0.54166666666666663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152.4</v>
      </c>
      <c r="Y437" s="643">
        <f>IFERROR(Y429/H429,"0")+IFERROR(Y430/H430,"0")+IFERROR(Y431/H431,"0")+IFERROR(Y432/H432,"0")+IFERROR(Y433/H433,"0")+IFERROR(Y434/H434,"0")+IFERROR(Y435/H435,"0")+IFERROR(Y436/H436,"0")</f>
        <v>154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3.3494999999999999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2286</v>
      </c>
      <c r="Y438" s="643">
        <f>IFERROR(SUM(Y429:Y436),"0")</f>
        <v>2310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600</v>
      </c>
      <c r="Y440" s="642">
        <f>IFERROR(IF(X440="",0,CEILING((X440/$H440),1)*$H440),"")</f>
        <v>600</v>
      </c>
      <c r="Z440" s="36">
        <f>IFERROR(IF(Y440=0,"",ROUNDUP(Y440/H440,0)*0.02175),"")</f>
        <v>0.86999999999999988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618.79999999999995</v>
      </c>
      <c r="BN440" s="64">
        <f>IFERROR(Y440*I440/H440,"0")</f>
        <v>618.79999999999995</v>
      </c>
      <c r="BO440" s="64">
        <f>IFERROR(1/J440*(X440/H440),"0")</f>
        <v>0.83333333333333326</v>
      </c>
      <c r="BP440" s="64">
        <f>IFERROR(1/J440*(Y440/H440),"0")</f>
        <v>0.83333333333333326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40</v>
      </c>
      <c r="Y443" s="643">
        <f>IFERROR(Y440/H440,"0")+IFERROR(Y441/H441,"0")+IFERROR(Y442/H442,"0")</f>
        <v>40</v>
      </c>
      <c r="Z443" s="643">
        <f>IFERROR(IF(Z440="",0,Z440),"0")+IFERROR(IF(Z441="",0,Z441),"0")+IFERROR(IF(Z442="",0,Z442),"0")</f>
        <v>0.86999999999999988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600</v>
      </c>
      <c r="Y444" s="643">
        <f>IFERROR(SUM(Y440:Y442),"0")</f>
        <v>600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600</v>
      </c>
      <c r="Y467" s="642">
        <f>IFERROR(IF(X467="",0,CEILING((X467/$H467),1)*$H467),"")</f>
        <v>603</v>
      </c>
      <c r="Z467" s="36">
        <f>IFERROR(IF(Y467=0,"",ROUNDUP(Y467/H467,0)*0.01898),"")</f>
        <v>1.27166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632.93333333333328</v>
      </c>
      <c r="BN467" s="64">
        <f>IFERROR(Y467*I467/H467,"0")</f>
        <v>636.09799999999996</v>
      </c>
      <c r="BO467" s="64">
        <f>IFERROR(1/J467*(X467/H467),"0")</f>
        <v>1.0416666666666667</v>
      </c>
      <c r="BP467" s="64">
        <f>IFERROR(1/J467*(Y467/H467),"0")</f>
        <v>1.046875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66.666666666666671</v>
      </c>
      <c r="Y470" s="643">
        <f>IFERROR(Y467/H467,"0")+IFERROR(Y468/H468,"0")+IFERROR(Y469/H469,"0")</f>
        <v>67</v>
      </c>
      <c r="Z470" s="643">
        <f>IFERROR(IF(Z467="",0,Z467),"0")+IFERROR(IF(Z468="",0,Z468),"0")+IFERROR(IF(Z469="",0,Z469),"0")</f>
        <v>1.27166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600</v>
      </c>
      <c r="Y471" s="643">
        <f>IFERROR(SUM(Y467:Y469),"0")</f>
        <v>603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73</v>
      </c>
      <c r="Y502" s="642">
        <f t="shared" ref="Y502:Y510" si="78">IFERROR(IF(X502="",0,CEILING((X502/$H502),1)*$H502),"")</f>
        <v>73.92</v>
      </c>
      <c r="Z502" s="36">
        <f t="shared" ref="Z502:Z507" si="79">IFERROR(IF(Y502=0,"",ROUNDUP(Y502/H502,0)*0.01196),"")</f>
        <v>0.16744000000000001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77.839015151515156</v>
      </c>
      <c r="BN502" s="64">
        <f t="shared" ref="BN502:BN510" si="81">IFERROR(Y502*I502/H502,"0")</f>
        <v>78.819999999999993</v>
      </c>
      <c r="BO502" s="64">
        <f t="shared" ref="BO502:BO510" si="82">IFERROR(1/J502*(X502/H502),"0")</f>
        <v>0.13293997668997667</v>
      </c>
      <c r="BP502" s="64">
        <f t="shared" ref="BP502:BP510" si="83">IFERROR(1/J502*(Y502/H502),"0")</f>
        <v>0.13461538461538464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90</v>
      </c>
      <c r="Y505" s="642">
        <f t="shared" si="78"/>
        <v>95.04</v>
      </c>
      <c r="Z505" s="36">
        <f t="shared" si="79"/>
        <v>0.21528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95.965909090909079</v>
      </c>
      <c r="BN505" s="64">
        <f t="shared" si="81"/>
        <v>101.33999999999999</v>
      </c>
      <c r="BO505" s="64">
        <f t="shared" si="82"/>
        <v>0.16389860139860138</v>
      </c>
      <c r="BP505" s="64">
        <f t="shared" si="83"/>
        <v>0.17307692307692307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0</v>
      </c>
      <c r="Y507" s="642">
        <f t="shared" si="78"/>
        <v>0</v>
      </c>
      <c r="Z507" s="36" t="str">
        <f t="shared" si="79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30.871212121212118</v>
      </c>
      <c r="Y511" s="643">
        <f>IFERROR(Y502/H502,"0")+IFERROR(Y503/H503,"0")+IFERROR(Y504/H504,"0")+IFERROR(Y505/H505,"0")+IFERROR(Y506/H506,"0")+IFERROR(Y507/H507,"0")+IFERROR(Y508/H508,"0")+IFERROR(Y509/H509,"0")+IFERROR(Y510/H510,"0")</f>
        <v>32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0.38272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163</v>
      </c>
      <c r="Y512" s="643">
        <f>IFERROR(SUM(Y502:Y510),"0")</f>
        <v>168.96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100</v>
      </c>
      <c r="Y514" s="642">
        <f>IFERROR(IF(X514="",0,CEILING((X514/$H514),1)*$H514),"")</f>
        <v>100.32000000000001</v>
      </c>
      <c r="Z514" s="36">
        <f>IFERROR(IF(Y514=0,"",ROUNDUP(Y514/H514,0)*0.01196),"")</f>
        <v>0.22724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106.62878787878788</v>
      </c>
      <c r="BN514" s="64">
        <f>IFERROR(Y514*I514/H514,"0")</f>
        <v>106.97</v>
      </c>
      <c r="BO514" s="64">
        <f>IFERROR(1/J514*(X514/H514),"0")</f>
        <v>0.18210955710955709</v>
      </c>
      <c r="BP514" s="64">
        <f>IFERROR(1/J514*(Y514/H514),"0")</f>
        <v>0.18269230769230771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18.939393939393938</v>
      </c>
      <c r="Y517" s="643">
        <f>IFERROR(Y514/H514,"0")+IFERROR(Y515/H515,"0")+IFERROR(Y516/H516,"0")</f>
        <v>19</v>
      </c>
      <c r="Z517" s="643">
        <f>IFERROR(IF(Z514="",0,Z514),"0")+IFERROR(IF(Z515="",0,Z515),"0")+IFERROR(IF(Z516="",0,Z516),"0")</f>
        <v>0.22724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100</v>
      </c>
      <c r="Y518" s="643">
        <f>IFERROR(SUM(Y514:Y516),"0")</f>
        <v>100.32000000000001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100</v>
      </c>
      <c r="Y521" s="642">
        <f t="shared" si="84"/>
        <v>100.32000000000001</v>
      </c>
      <c r="Z521" s="36">
        <f>IFERROR(IF(Y521=0,"",ROUNDUP(Y521/H521,0)*0.01196),"")</f>
        <v>0.22724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106.62878787878788</v>
      </c>
      <c r="BN521" s="64">
        <f t="shared" si="86"/>
        <v>106.97</v>
      </c>
      <c r="BO521" s="64">
        <f t="shared" si="87"/>
        <v>0.18210955710955709</v>
      </c>
      <c r="BP521" s="64">
        <f t="shared" si="88"/>
        <v>0.18269230769230771</v>
      </c>
    </row>
    <row r="522" spans="1:68" ht="27" hidden="1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0</v>
      </c>
      <c r="Y522" s="642">
        <f t="shared" si="84"/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18.939393939393938</v>
      </c>
      <c r="Y527" s="643">
        <f>IFERROR(Y520/H520,"0")+IFERROR(Y521/H521,"0")+IFERROR(Y522/H522,"0")+IFERROR(Y523/H523,"0")+IFERROR(Y524/H524,"0")+IFERROR(Y525/H525,"0")+IFERROR(Y526/H526,"0")</f>
        <v>19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0.22724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100</v>
      </c>
      <c r="Y528" s="643">
        <f>IFERROR(SUM(Y520:Y526),"0")</f>
        <v>100.32000000000001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5464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5549.28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5755.0506033226038</v>
      </c>
      <c r="Y559" s="643">
        <f>IFERROR(SUM(BN22:BN555),"0")</f>
        <v>5845.4680000000008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9</v>
      </c>
      <c r="Y560" s="38">
        <f>ROUNDUP(SUM(BP22:BP555),0)</f>
        <v>10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5980.0506033226038</v>
      </c>
      <c r="Y561" s="643">
        <f>GrossWeightTotalR+PalletQtyTotalR*25</f>
        <v>6095.4680000000008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710.63189773189765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723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10.359810000000001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43.2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54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202.79999999999998</v>
      </c>
      <c r="F568" s="46">
        <f>IFERROR(Y85*1,"0")+IFERROR(Y86*1,"0")+IFERROR(Y87*1,"0")+IFERROR(Y88*1,"0")+IFERROR(Y89*1,"0")+IFERROR(Y90*1,"0")+IFERROR(Y94*1,"0")+IFERROR(Y95*1,"0")+IFERROR(Y96*1,"0")+IFERROR(Y97*1,"0")</f>
        <v>321.3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408.78000000000003</v>
      </c>
      <c r="H568" s="46">
        <f>IFERROR(Y131*1,"0")+IFERROR(Y132*1,"0")+IFERROR(Y136*1,"0")+IFERROR(Y137*1,"0")+IFERROR(Y141*1,"0")+IFERROR(Y142*1,"0")</f>
        <v>0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5.6000000000000005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144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79.199999999999989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241.8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166</v>
      </c>
      <c r="U568" s="46">
        <f>IFERROR(Y415*1,"0")+IFERROR(Y416*1,"0")</f>
        <v>0</v>
      </c>
      <c r="V568" s="46">
        <f>IFERROR(Y421*1,"0")+IFERROR(Y422*1,"0")+IFERROR(Y423*1,"0")</f>
        <v>0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2910</v>
      </c>
      <c r="X568" s="46">
        <f>IFERROR(Y458*1,"0")+IFERROR(Y459*1,"0")+IFERROR(Y463*1,"0")+IFERROR(Y467*1,"0")+IFERROR(Y468*1,"0")+IFERROR(Y469*1,"0")</f>
        <v>603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369.6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0,00"/>
        <filter val="102,00"/>
        <filter val="107,00"/>
        <filter val="126,00"/>
        <filter val="142,00"/>
        <filter val="150,00"/>
        <filter val="152,40"/>
        <filter val="163,00"/>
        <filter val="18,94"/>
        <filter val="198,00"/>
        <filter val="2 286,00"/>
        <filter val="20,00"/>
        <filter val="20,71"/>
        <filter val="200,00"/>
        <filter val="21,00"/>
        <filter val="23,33"/>
        <filter val="232,00"/>
        <filter val="240,00"/>
        <filter val="25,64"/>
        <filter val="276,00"/>
        <filter val="29,74"/>
        <filter val="30,00"/>
        <filter val="30,87"/>
        <filter val="31,00"/>
        <filter val="32,50"/>
        <filter val="38,00"/>
        <filter val="388,00"/>
        <filter val="4,63"/>
        <filter val="40,00"/>
        <filter val="40,50"/>
        <filter val="41,00"/>
        <filter val="42,00"/>
        <filter val="5 464,00"/>
        <filter val="5 755,05"/>
        <filter val="5 980,05"/>
        <filter val="5,00"/>
        <filter val="50,00"/>
        <filter val="51,85"/>
        <filter val="59,17"/>
        <filter val="6,02"/>
        <filter val="6,25"/>
        <filter val="600,00"/>
        <filter val="61,00"/>
        <filter val="64,00"/>
        <filter val="65,00"/>
        <filter val="65,19"/>
        <filter val="66,67"/>
        <filter val="7,41"/>
        <filter val="700,00"/>
        <filter val="710,63"/>
        <filter val="73,00"/>
        <filter val="78,00"/>
        <filter val="80,00"/>
        <filter val="81,00"/>
        <filter val="83,00"/>
        <filter val="9"/>
        <filter val="9,88"/>
        <filter val="90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2026-09-11T10:39:02Z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