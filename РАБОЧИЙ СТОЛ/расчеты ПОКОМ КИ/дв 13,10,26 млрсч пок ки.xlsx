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75932BF-1910-4C7A-9276-3C39EB6E3A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08" i="1" l="1"/>
  <c r="AG102" i="1"/>
  <c r="AG91" i="1"/>
  <c r="AG79" i="1"/>
  <c r="R127" i="1"/>
  <c r="U127" i="1" s="1"/>
  <c r="L127" i="1"/>
  <c r="R126" i="1"/>
  <c r="U126" i="1" s="1"/>
  <c r="L126" i="1"/>
  <c r="R125" i="1"/>
  <c r="L125" i="1"/>
  <c r="AG124" i="1"/>
  <c r="R124" i="1"/>
  <c r="U124" i="1" s="1"/>
  <c r="L124" i="1"/>
  <c r="R123" i="1"/>
  <c r="L123" i="1"/>
  <c r="R122" i="1"/>
  <c r="U122" i="1" s="1"/>
  <c r="L122" i="1"/>
  <c r="R121" i="1"/>
  <c r="L121" i="1"/>
  <c r="R120" i="1"/>
  <c r="U120" i="1" s="1"/>
  <c r="L120" i="1"/>
  <c r="R119" i="1"/>
  <c r="L119" i="1"/>
  <c r="F119" i="1"/>
  <c r="R118" i="1"/>
  <c r="AG118" i="1" s="1"/>
  <c r="L118" i="1"/>
  <c r="R117" i="1"/>
  <c r="L117" i="1"/>
  <c r="AG116" i="1"/>
  <c r="R116" i="1"/>
  <c r="L116" i="1"/>
  <c r="R115" i="1"/>
  <c r="L115" i="1"/>
  <c r="R114" i="1"/>
  <c r="S114" i="1" s="1"/>
  <c r="AG114" i="1" s="1"/>
  <c r="L114" i="1"/>
  <c r="R113" i="1"/>
  <c r="T113" i="1" s="1"/>
  <c r="L113" i="1"/>
  <c r="R112" i="1"/>
  <c r="L112" i="1"/>
  <c r="R111" i="1"/>
  <c r="AG111" i="1" s="1"/>
  <c r="L111" i="1"/>
  <c r="R110" i="1"/>
  <c r="U110" i="1" s="1"/>
  <c r="L110" i="1"/>
  <c r="R109" i="1"/>
  <c r="U109" i="1" s="1"/>
  <c r="L109" i="1"/>
  <c r="R108" i="1"/>
  <c r="L108" i="1"/>
  <c r="R107" i="1"/>
  <c r="L107" i="1"/>
  <c r="R106" i="1"/>
  <c r="L106" i="1"/>
  <c r="R105" i="1"/>
  <c r="T105" i="1" s="1"/>
  <c r="L105" i="1"/>
  <c r="R104" i="1"/>
  <c r="T104" i="1" s="1"/>
  <c r="L104" i="1"/>
  <c r="R103" i="1"/>
  <c r="U103" i="1" s="1"/>
  <c r="L103" i="1"/>
  <c r="R102" i="1"/>
  <c r="U102" i="1" s="1"/>
  <c r="L102" i="1"/>
  <c r="R101" i="1"/>
  <c r="L101" i="1"/>
  <c r="R100" i="1"/>
  <c r="U100" i="1" s="1"/>
  <c r="L100" i="1"/>
  <c r="R99" i="1"/>
  <c r="L99" i="1"/>
  <c r="R98" i="1"/>
  <c r="L98" i="1"/>
  <c r="R97" i="1"/>
  <c r="U97" i="1" s="1"/>
  <c r="L97" i="1"/>
  <c r="R96" i="1"/>
  <c r="U96" i="1" s="1"/>
  <c r="L96" i="1"/>
  <c r="R95" i="1"/>
  <c r="S95" i="1" s="1"/>
  <c r="AG95" i="1" s="1"/>
  <c r="L95" i="1"/>
  <c r="R94" i="1"/>
  <c r="L94" i="1"/>
  <c r="R93" i="1"/>
  <c r="L93" i="1"/>
  <c r="R92" i="1"/>
  <c r="L92" i="1"/>
  <c r="R91" i="1"/>
  <c r="L91" i="1"/>
  <c r="R90" i="1"/>
  <c r="L90" i="1"/>
  <c r="R89" i="1"/>
  <c r="U89" i="1" s="1"/>
  <c r="L89" i="1"/>
  <c r="R88" i="1"/>
  <c r="U88" i="1" s="1"/>
  <c r="L88" i="1"/>
  <c r="R87" i="1"/>
  <c r="L87" i="1"/>
  <c r="R86" i="1"/>
  <c r="S86" i="1" s="1"/>
  <c r="AG86" i="1" s="1"/>
  <c r="L86" i="1"/>
  <c r="R85" i="1"/>
  <c r="T85" i="1" s="1"/>
  <c r="L85" i="1"/>
  <c r="R84" i="1"/>
  <c r="U84" i="1" s="1"/>
  <c r="L84" i="1"/>
  <c r="R83" i="1"/>
  <c r="AG83" i="1" s="1"/>
  <c r="L83" i="1"/>
  <c r="R82" i="1"/>
  <c r="L82" i="1"/>
  <c r="R81" i="1"/>
  <c r="T81" i="1" s="1"/>
  <c r="L81" i="1"/>
  <c r="R80" i="1"/>
  <c r="L80" i="1"/>
  <c r="R79" i="1"/>
  <c r="L79" i="1"/>
  <c r="R78" i="1"/>
  <c r="U78" i="1" s="1"/>
  <c r="L78" i="1"/>
  <c r="R77" i="1"/>
  <c r="AG77" i="1" s="1"/>
  <c r="L77" i="1"/>
  <c r="R76" i="1"/>
  <c r="T76" i="1" s="1"/>
  <c r="L76" i="1"/>
  <c r="R75" i="1"/>
  <c r="L75" i="1"/>
  <c r="R74" i="1"/>
  <c r="L74" i="1"/>
  <c r="R73" i="1"/>
  <c r="U73" i="1" s="1"/>
  <c r="L73" i="1"/>
  <c r="R72" i="1"/>
  <c r="S72" i="1" s="1"/>
  <c r="AG72" i="1" s="1"/>
  <c r="L72" i="1"/>
  <c r="R71" i="1"/>
  <c r="L71" i="1"/>
  <c r="T70" i="1"/>
  <c r="R70" i="1"/>
  <c r="U70" i="1" s="1"/>
  <c r="L70" i="1"/>
  <c r="R69" i="1"/>
  <c r="AG69" i="1" s="1"/>
  <c r="L69" i="1"/>
  <c r="R68" i="1"/>
  <c r="U68" i="1" s="1"/>
  <c r="L68" i="1"/>
  <c r="R67" i="1"/>
  <c r="S67" i="1" s="1"/>
  <c r="AG67" i="1" s="1"/>
  <c r="L67" i="1"/>
  <c r="R66" i="1"/>
  <c r="L66" i="1"/>
  <c r="R65" i="1"/>
  <c r="L65" i="1"/>
  <c r="R64" i="1"/>
  <c r="U64" i="1" s="1"/>
  <c r="L64" i="1"/>
  <c r="R63" i="1"/>
  <c r="S63" i="1" s="1"/>
  <c r="AG63" i="1" s="1"/>
  <c r="L63" i="1"/>
  <c r="R62" i="1"/>
  <c r="L62" i="1"/>
  <c r="R61" i="1"/>
  <c r="AG61" i="1" s="1"/>
  <c r="L61" i="1"/>
  <c r="R60" i="1"/>
  <c r="L60" i="1"/>
  <c r="R59" i="1"/>
  <c r="AG59" i="1" s="1"/>
  <c r="L59" i="1"/>
  <c r="R58" i="1"/>
  <c r="L58" i="1"/>
  <c r="R57" i="1"/>
  <c r="L57" i="1"/>
  <c r="R56" i="1"/>
  <c r="L56" i="1"/>
  <c r="F55" i="1"/>
  <c r="E55" i="1"/>
  <c r="L55" i="1" s="1"/>
  <c r="R54" i="1"/>
  <c r="L54" i="1"/>
  <c r="R53" i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L42" i="1"/>
  <c r="R41" i="1"/>
  <c r="S41" i="1" s="1"/>
  <c r="AG41" i="1" s="1"/>
  <c r="L41" i="1"/>
  <c r="R40" i="1"/>
  <c r="L40" i="1"/>
  <c r="R39" i="1"/>
  <c r="S39" i="1" s="1"/>
  <c r="AG39" i="1" s="1"/>
  <c r="L39" i="1"/>
  <c r="R38" i="1"/>
  <c r="L38" i="1"/>
  <c r="R37" i="1"/>
  <c r="L37" i="1"/>
  <c r="R36" i="1"/>
  <c r="L36" i="1"/>
  <c r="R35" i="1"/>
  <c r="L35" i="1"/>
  <c r="R34" i="1"/>
  <c r="L34" i="1"/>
  <c r="R33" i="1"/>
  <c r="AG33" i="1" s="1"/>
  <c r="L33" i="1"/>
  <c r="R32" i="1"/>
  <c r="L32" i="1"/>
  <c r="R31" i="1"/>
  <c r="AG31" i="1" s="1"/>
  <c r="L31" i="1"/>
  <c r="R30" i="1"/>
  <c r="L30" i="1"/>
  <c r="R29" i="1"/>
  <c r="L29" i="1"/>
  <c r="R28" i="1"/>
  <c r="L28" i="1"/>
  <c r="R27" i="1"/>
  <c r="L27" i="1"/>
  <c r="R26" i="1"/>
  <c r="L26" i="1"/>
  <c r="R25" i="1"/>
  <c r="U25" i="1" s="1"/>
  <c r="L25" i="1"/>
  <c r="R24" i="1"/>
  <c r="S24" i="1" s="1"/>
  <c r="AG24" i="1" s="1"/>
  <c r="L24" i="1"/>
  <c r="R23" i="1"/>
  <c r="L23" i="1"/>
  <c r="R22" i="1"/>
  <c r="L22" i="1"/>
  <c r="R21" i="1"/>
  <c r="L21" i="1"/>
  <c r="R20" i="1"/>
  <c r="S20" i="1" s="1"/>
  <c r="AG20" i="1" s="1"/>
  <c r="L20" i="1"/>
  <c r="R19" i="1"/>
  <c r="L19" i="1"/>
  <c r="R18" i="1"/>
  <c r="S18" i="1" s="1"/>
  <c r="AG18" i="1" s="1"/>
  <c r="L18" i="1"/>
  <c r="R17" i="1"/>
  <c r="L17" i="1"/>
  <c r="R16" i="1"/>
  <c r="S16" i="1" s="1"/>
  <c r="AG16" i="1" s="1"/>
  <c r="L16" i="1"/>
  <c r="R15" i="1"/>
  <c r="L15" i="1"/>
  <c r="R14" i="1"/>
  <c r="L14" i="1"/>
  <c r="R13" i="1"/>
  <c r="L13" i="1"/>
  <c r="R12" i="1"/>
  <c r="U12" i="1" s="1"/>
  <c r="L12" i="1"/>
  <c r="R11" i="1"/>
  <c r="AG11" i="1" s="1"/>
  <c r="L11" i="1"/>
  <c r="R10" i="1"/>
  <c r="L10" i="1"/>
  <c r="R9" i="1"/>
  <c r="AG9" i="1" s="1"/>
  <c r="L9" i="1"/>
  <c r="R8" i="1"/>
  <c r="L8" i="1"/>
  <c r="R7" i="1"/>
  <c r="S7" i="1" s="1"/>
  <c r="AG7" i="1" s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E5" i="1" l="1"/>
  <c r="U104" i="1"/>
  <c r="T89" i="1"/>
  <c r="T126" i="1"/>
  <c r="U86" i="1"/>
  <c r="T96" i="1"/>
  <c r="AG119" i="1"/>
  <c r="T122" i="1"/>
  <c r="U10" i="1"/>
  <c r="AG10" i="1"/>
  <c r="U15" i="1"/>
  <c r="S15" i="1"/>
  <c r="U23" i="1"/>
  <c r="U30" i="1"/>
  <c r="S30" i="1"/>
  <c r="U38" i="1"/>
  <c r="U46" i="1"/>
  <c r="AG46" i="1"/>
  <c r="U50" i="1"/>
  <c r="AG50" i="1"/>
  <c r="U54" i="1"/>
  <c r="AG54" i="1"/>
  <c r="U58" i="1"/>
  <c r="S58" i="1"/>
  <c r="U66" i="1"/>
  <c r="U75" i="1"/>
  <c r="AG75" i="1"/>
  <c r="T82" i="1"/>
  <c r="U82" i="1"/>
  <c r="U87" i="1"/>
  <c r="U90" i="1"/>
  <c r="AG90" i="1"/>
  <c r="U94" i="1"/>
  <c r="AG94" i="1"/>
  <c r="U101" i="1"/>
  <c r="S101" i="1"/>
  <c r="U115" i="1"/>
  <c r="S115" i="1"/>
  <c r="AG115" i="1" s="1"/>
  <c r="AG121" i="1"/>
  <c r="AG125" i="1"/>
  <c r="S29" i="1"/>
  <c r="AG29" i="1" s="1"/>
  <c r="AG37" i="1"/>
  <c r="S45" i="1"/>
  <c r="AG45" i="1" s="1"/>
  <c r="AG49" i="1"/>
  <c r="AG53" i="1"/>
  <c r="AG57" i="1"/>
  <c r="AG65" i="1"/>
  <c r="S74" i="1"/>
  <c r="AG74" i="1" s="1"/>
  <c r="U6" i="1"/>
  <c r="S6" i="1"/>
  <c r="T6" i="1" s="1"/>
  <c r="U8" i="1"/>
  <c r="S8" i="1"/>
  <c r="T12" i="1"/>
  <c r="U13" i="1"/>
  <c r="AG13" i="1"/>
  <c r="U17" i="1"/>
  <c r="S17" i="1"/>
  <c r="AG17" i="1" s="1"/>
  <c r="U19" i="1"/>
  <c r="T20" i="1"/>
  <c r="U21" i="1"/>
  <c r="S21" i="1"/>
  <c r="AG21" i="1" s="1"/>
  <c r="U26" i="1"/>
  <c r="U28" i="1"/>
  <c r="S28" i="1"/>
  <c r="AG28" i="1" s="1"/>
  <c r="U32" i="1"/>
  <c r="AG32" i="1"/>
  <c r="U34" i="1"/>
  <c r="S34" i="1"/>
  <c r="U36" i="1"/>
  <c r="S36" i="1"/>
  <c r="AG36" i="1" s="1"/>
  <c r="U40" i="1"/>
  <c r="AG40" i="1"/>
  <c r="U42" i="1"/>
  <c r="U44" i="1"/>
  <c r="S44" i="1"/>
  <c r="AG44" i="1" s="1"/>
  <c r="U48" i="1"/>
  <c r="AG48" i="1"/>
  <c r="U52" i="1"/>
  <c r="AG52" i="1"/>
  <c r="U56" i="1"/>
  <c r="AG56" i="1"/>
  <c r="U60" i="1"/>
  <c r="AG60" i="1"/>
  <c r="U62" i="1"/>
  <c r="U71" i="1"/>
  <c r="S71" i="1"/>
  <c r="AG71" i="1" s="1"/>
  <c r="T79" i="1"/>
  <c r="U80" i="1"/>
  <c r="U92" i="1"/>
  <c r="S92" i="1"/>
  <c r="U98" i="1"/>
  <c r="S98" i="1"/>
  <c r="U107" i="1"/>
  <c r="AG107" i="1"/>
  <c r="U112" i="1"/>
  <c r="AG112" i="1"/>
  <c r="U117" i="1"/>
  <c r="S117" i="1"/>
  <c r="AG117" i="1" s="1"/>
  <c r="AG122" i="1"/>
  <c r="AG123" i="1"/>
  <c r="AG14" i="1"/>
  <c r="AG22" i="1"/>
  <c r="S27" i="1"/>
  <c r="AG27" i="1" s="1"/>
  <c r="AG35" i="1"/>
  <c r="AG43" i="1"/>
  <c r="AG47" i="1"/>
  <c r="AG51" i="1"/>
  <c r="S88" i="1"/>
  <c r="AG88" i="1" s="1"/>
  <c r="AG93" i="1"/>
  <c r="AG99" i="1"/>
  <c r="S106" i="1"/>
  <c r="AG106" i="1" s="1"/>
  <c r="AG120" i="1"/>
  <c r="T63" i="1"/>
  <c r="T72" i="1"/>
  <c r="T77" i="1"/>
  <c r="T83" i="1"/>
  <c r="T95" i="1"/>
  <c r="T108" i="1"/>
  <c r="AG64" i="1"/>
  <c r="AG68" i="1"/>
  <c r="S73" i="1"/>
  <c r="AG73" i="1" s="1"/>
  <c r="S78" i="1"/>
  <c r="AG78" i="1" s="1"/>
  <c r="S84" i="1"/>
  <c r="T9" i="1"/>
  <c r="T11" i="1"/>
  <c r="T16" i="1"/>
  <c r="T18" i="1"/>
  <c r="T24" i="1"/>
  <c r="T31" i="1"/>
  <c r="T33" i="1"/>
  <c r="T39" i="1"/>
  <c r="T41" i="1"/>
  <c r="T59" i="1"/>
  <c r="T61" i="1"/>
  <c r="T67" i="1"/>
  <c r="T69" i="1"/>
  <c r="T86" i="1"/>
  <c r="T91" i="1"/>
  <c r="T102" i="1"/>
  <c r="T111" i="1"/>
  <c r="T114" i="1"/>
  <c r="T116" i="1"/>
  <c r="T118" i="1"/>
  <c r="L5" i="1"/>
  <c r="T25" i="1"/>
  <c r="T32" i="1"/>
  <c r="U45" i="1"/>
  <c r="U47" i="1"/>
  <c r="U49" i="1"/>
  <c r="U51" i="1"/>
  <c r="U53" i="1"/>
  <c r="R55" i="1"/>
  <c r="R5" i="1" s="1"/>
  <c r="T60" i="1"/>
  <c r="T64" i="1"/>
  <c r="U72" i="1"/>
  <c r="U74" i="1"/>
  <c r="T75" i="1"/>
  <c r="U76" i="1"/>
  <c r="T97" i="1"/>
  <c r="T100" i="1"/>
  <c r="U106" i="1"/>
  <c r="T107" i="1"/>
  <c r="U108" i="1"/>
  <c r="T109" i="1"/>
  <c r="T112" i="1"/>
  <c r="U114" i="1"/>
  <c r="U116" i="1"/>
  <c r="U118" i="1"/>
  <c r="T124" i="1"/>
  <c r="T127" i="1"/>
  <c r="T7" i="1"/>
  <c r="U7" i="1"/>
  <c r="U9" i="1"/>
  <c r="U11" i="1"/>
  <c r="U14" i="1"/>
  <c r="U16" i="1"/>
  <c r="U18" i="1"/>
  <c r="U20" i="1"/>
  <c r="U22" i="1"/>
  <c r="U24" i="1"/>
  <c r="U27" i="1"/>
  <c r="U29" i="1"/>
  <c r="U31" i="1"/>
  <c r="U33" i="1"/>
  <c r="U35" i="1"/>
  <c r="U37" i="1"/>
  <c r="U39" i="1"/>
  <c r="U41" i="1"/>
  <c r="U43" i="1"/>
  <c r="F5" i="1"/>
  <c r="U57" i="1"/>
  <c r="U59" i="1"/>
  <c r="U61" i="1"/>
  <c r="U63" i="1"/>
  <c r="U65" i="1"/>
  <c r="U67" i="1"/>
  <c r="U69" i="1"/>
  <c r="U77" i="1"/>
  <c r="U79" i="1"/>
  <c r="U81" i="1"/>
  <c r="U83" i="1"/>
  <c r="U85" i="1"/>
  <c r="U91" i="1"/>
  <c r="U93" i="1"/>
  <c r="U95" i="1"/>
  <c r="U99" i="1"/>
  <c r="U105" i="1"/>
  <c r="U111" i="1"/>
  <c r="U113" i="1"/>
  <c r="U119" i="1"/>
  <c r="U121" i="1"/>
  <c r="U123" i="1"/>
  <c r="U125" i="1"/>
  <c r="T36" i="1" l="1"/>
  <c r="T28" i="1"/>
  <c r="T78" i="1"/>
  <c r="T94" i="1"/>
  <c r="T21" i="1"/>
  <c r="T117" i="1"/>
  <c r="T68" i="1"/>
  <c r="T13" i="1"/>
  <c r="T73" i="1"/>
  <c r="T71" i="1"/>
  <c r="T56" i="1"/>
  <c r="T54" i="1"/>
  <c r="T52" i="1"/>
  <c r="T50" i="1"/>
  <c r="T48" i="1"/>
  <c r="T46" i="1"/>
  <c r="T44" i="1"/>
  <c r="T17" i="1"/>
  <c r="T119" i="1"/>
  <c r="AG110" i="1"/>
  <c r="T110" i="1"/>
  <c r="AG84" i="1"/>
  <c r="T84" i="1"/>
  <c r="T98" i="1"/>
  <c r="AG98" i="1"/>
  <c r="T92" i="1"/>
  <c r="AG92" i="1"/>
  <c r="T80" i="1"/>
  <c r="AG80" i="1"/>
  <c r="T47" i="1"/>
  <c r="AG42" i="1"/>
  <c r="T42" i="1"/>
  <c r="T35" i="1"/>
  <c r="AG26" i="1"/>
  <c r="T26" i="1"/>
  <c r="AG8" i="1"/>
  <c r="T8" i="1"/>
  <c r="AG6" i="1"/>
  <c r="T101" i="1"/>
  <c r="AG101" i="1"/>
  <c r="T99" i="1"/>
  <c r="T87" i="1"/>
  <c r="AG87" i="1"/>
  <c r="T74" i="1"/>
  <c r="T58" i="1"/>
  <c r="AG58" i="1"/>
  <c r="T57" i="1"/>
  <c r="T49" i="1"/>
  <c r="T38" i="1"/>
  <c r="AG38" i="1"/>
  <c r="T37" i="1"/>
  <c r="T23" i="1"/>
  <c r="AG23" i="1"/>
  <c r="T22" i="1"/>
  <c r="T120" i="1"/>
  <c r="T115" i="1"/>
  <c r="T90" i="1"/>
  <c r="U55" i="1"/>
  <c r="S55" i="1"/>
  <c r="S5" i="1" s="1"/>
  <c r="T40" i="1"/>
  <c r="T10" i="1"/>
  <c r="T88" i="1"/>
  <c r="AG103" i="1"/>
  <c r="T103" i="1"/>
  <c r="T123" i="1"/>
  <c r="T106" i="1"/>
  <c r="AG62" i="1"/>
  <c r="T62" i="1"/>
  <c r="T51" i="1"/>
  <c r="T43" i="1"/>
  <c r="AG34" i="1"/>
  <c r="T34" i="1"/>
  <c r="T27" i="1"/>
  <c r="AG19" i="1"/>
  <c r="T19" i="1"/>
  <c r="T125" i="1"/>
  <c r="T121" i="1"/>
  <c r="T93" i="1"/>
  <c r="T66" i="1"/>
  <c r="AG66" i="1"/>
  <c r="T65" i="1"/>
  <c r="T53" i="1"/>
  <c r="T45" i="1"/>
  <c r="T30" i="1"/>
  <c r="AG30" i="1"/>
  <c r="T29" i="1"/>
  <c r="T15" i="1"/>
  <c r="AG15" i="1"/>
  <c r="T14" i="1"/>
  <c r="AG55" i="1" l="1"/>
  <c r="T55" i="1"/>
  <c r="AG5" i="1"/>
</calcChain>
</file>

<file path=xl/sharedStrings.xml><?xml version="1.0" encoding="utf-8"?>
<sst xmlns="http://schemas.openxmlformats.org/spreadsheetml/2006/main" count="451" uniqueCount="174">
  <si>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</si>
  <si>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</si>
  <si>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</si>
  <si>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</si>
  <si>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</si>
  <si>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</si>
  <si>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</si>
  <si>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</si>
  <si>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</si>
  <si>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</si>
  <si>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</si>
  <si>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</si>
  <si>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</si>
  <si>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</si>
  <si>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</si>
  <si>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</si>
  <si>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</si>
  <si>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</si>
  <si>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</si>
  <si>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</si>
  <si>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</si>
  <si>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</si>
  <si>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</si>
  <si>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11,10,</t>
  </si>
  <si>
    <t>12,10,</t>
  </si>
  <si>
    <t>13,10,</t>
  </si>
  <si>
    <t>08,10,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</si>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</sst>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45.7109375" customWidth="1"/>
    <col min="33" max="33" width="7" customWidth="1"/>
    <col min="34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22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22614.298000000006</v>
      </c>
      <c r="F5" s="4">
        <f>SUM(F6:F499)</f>
        <v>24242.019999999997</v>
      </c>
      <c r="G5" s="7"/>
      <c r="H5" s="1"/>
      <c r="I5" s="1"/>
      <c r="J5" s="1"/>
      <c r="K5" s="4">
        <f t="shared" ref="K5:S5" si="0">SUM(K6:K499)</f>
        <v>23835.040000000001</v>
      </c>
      <c r="L5" s="4">
        <f t="shared" si="0"/>
        <v>-1220.742</v>
      </c>
      <c r="M5" s="4">
        <f t="shared" si="0"/>
        <v>0</v>
      </c>
      <c r="N5" s="4">
        <f t="shared" si="0"/>
        <v>0</v>
      </c>
      <c r="O5" s="4">
        <f t="shared" si="0"/>
        <v>7252.3271375999993</v>
      </c>
      <c r="P5" s="4">
        <f t="shared" si="0"/>
        <v>6918.7955520000005</v>
      </c>
      <c r="Q5" s="4">
        <f t="shared" si="0"/>
        <v>14451.274496800002</v>
      </c>
      <c r="R5" s="4">
        <f t="shared" si="0"/>
        <v>4522.8595999999998</v>
      </c>
      <c r="S5" s="4">
        <f t="shared" si="0"/>
        <v>10869.523853600003</v>
      </c>
      <c r="T5" s="1"/>
      <c r="U5" s="1"/>
      <c r="V5" s="4">
        <f t="shared" ref="V5:AE5" si="1">SUM(V6:V499)</f>
        <v>4525.7226000000001</v>
      </c>
      <c r="W5" s="4">
        <f t="shared" si="1"/>
        <v>3707.9130000000014</v>
      </c>
      <c r="X5" s="4">
        <f t="shared" si="1"/>
        <v>3031.0155999999997</v>
      </c>
      <c r="Y5" s="4">
        <f t="shared" si="1"/>
        <v>4350.671199999998</v>
      </c>
      <c r="Z5" s="4">
        <f t="shared" si="1"/>
        <v>4904.365200000002</v>
      </c>
      <c r="AA5" s="4">
        <f t="shared" si="1"/>
        <v>3851.2469999999998</v>
      </c>
      <c r="AB5" s="4">
        <f t="shared" si="1"/>
        <v>3544.3655999999996</v>
      </c>
      <c r="AC5" s="4">
        <f t="shared" si="1"/>
        <v>4366.5824000000002</v>
      </c>
      <c r="AD5" s="4">
        <f t="shared" si="1"/>
        <v>4690.1735999999992</v>
      </c>
      <c r="AE5" s="4">
        <f t="shared" si="1"/>
        <v>4509.0586000000021</v>
      </c>
      <c r="AF5" s="1"/>
      <c r="AG5" s="4">
        <f>SUM(AG6:AG499)</f>
        <v>8939.5084536000031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35</v>
      </c>
      <c r="B6" s="1" t="s">
        <v>36</v>
      </c>
      <c r="C6" s="1">
        <v>370.42500000000001</v>
      </c>
      <c r="D6" s="1">
        <v>59.304000000000002</v>
      </c>
      <c r="E6" s="1">
        <v>269.16000000000003</v>
      </c>
      <c r="F6" s="1">
        <v>161.035</v>
      </c>
      <c r="G6" s="7">
        <v>1</v>
      </c>
      <c r="H6" s="1">
        <v>50</v>
      </c>
      <c r="I6" s="1" t="s">
        <v>37</v>
      </c>
      <c r="J6" s="1"/>
      <c r="K6" s="1">
        <v>257.7</v>
      </c>
      <c r="L6" s="1">
        <f t="shared" ref="L6:L37" si="2">E6-K6</f>
        <v>11.460000000000036</v>
      </c>
      <c r="M6" s="1"/>
      <c r="N6" s="1"/>
      <c r="O6" s="1">
        <v>103.27875999999981</v>
      </c>
      <c r="P6" s="1">
        <v>0</v>
      </c>
      <c r="Q6" s="1">
        <v>149.88524000000021</v>
      </c>
      <c r="R6" s="1">
        <f t="shared" ref="R6:R37" si="3">E6/5</f>
        <v>53.832000000000008</v>
      </c>
      <c r="S6" s="5">
        <f>12*R6-Q6-P6-O6-F6</f>
        <v>231.78500000000017</v>
      </c>
      <c r="T6" s="1">
        <f t="shared" ref="T6:T37" si="4">(F6+O6+P6+Q6+S6)/R6</f>
        <v>12.000000000000002</v>
      </c>
      <c r="U6" s="1">
        <f t="shared" ref="U6:U37" si="5">(F6+O6+P6+Q6)/R6</f>
        <v>7.6942896418487123</v>
      </c>
      <c r="V6" s="1">
        <v>41.213000000000001</v>
      </c>
      <c r="W6" s="1">
        <v>33.127000000000002</v>
      </c>
      <c r="X6" s="1">
        <v>41.628599999999999</v>
      </c>
      <c r="Y6" s="1">
        <v>51.911800000000007</v>
      </c>
      <c r="Z6" s="1">
        <v>45.526799999999987</v>
      </c>
      <c r="AA6" s="1">
        <v>48.9602</v>
      </c>
      <c r="AB6" s="1">
        <v>51.963999999999999</v>
      </c>
      <c r="AC6" s="1">
        <v>47.075599999999987</v>
      </c>
      <c r="AD6" s="1">
        <v>50.8294</v>
      </c>
      <c r="AE6" s="1">
        <v>44.6526</v>
      </c>
      <c r="AF6" s="1"/>
      <c r="AG6" s="1">
        <f t="shared" ref="AG6:AG11" si="6">G6*S6</f>
        <v>231.78500000000017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36</v>
      </c>
      <c r="C7" s="1">
        <v>1214.538</v>
      </c>
      <c r="D7" s="1">
        <v>10.141999999999999</v>
      </c>
      <c r="E7" s="1">
        <v>591.96699999999998</v>
      </c>
      <c r="F7" s="1">
        <v>615.26499999999999</v>
      </c>
      <c r="G7" s="7">
        <v>1</v>
      </c>
      <c r="H7" s="1">
        <v>45</v>
      </c>
      <c r="I7" s="1" t="s">
        <v>37</v>
      </c>
      <c r="J7" s="1"/>
      <c r="K7" s="1">
        <v>580.45000000000005</v>
      </c>
      <c r="L7" s="1">
        <f t="shared" si="2"/>
        <v>11.516999999999939</v>
      </c>
      <c r="M7" s="1"/>
      <c r="N7" s="1"/>
      <c r="O7" s="1">
        <v>210</v>
      </c>
      <c r="P7" s="1">
        <v>0</v>
      </c>
      <c r="Q7" s="1">
        <v>240.50739999999999</v>
      </c>
      <c r="R7" s="1">
        <f t="shared" si="3"/>
        <v>118.3934</v>
      </c>
      <c r="S7" s="5">
        <f t="shared" ref="S7:S11" si="7">12*R7-Q7-P7-O7-F7</f>
        <v>354.94840000000011</v>
      </c>
      <c r="T7" s="1">
        <f t="shared" si="4"/>
        <v>12</v>
      </c>
      <c r="U7" s="1">
        <f t="shared" si="5"/>
        <v>9.0019578794088186</v>
      </c>
      <c r="V7" s="1">
        <v>105.9102</v>
      </c>
      <c r="W7" s="1">
        <v>100.71339999999999</v>
      </c>
      <c r="X7" s="1">
        <v>105.5562</v>
      </c>
      <c r="Y7" s="1">
        <v>133.8338</v>
      </c>
      <c r="Z7" s="1">
        <v>135.83600000000001</v>
      </c>
      <c r="AA7" s="1">
        <v>156.815</v>
      </c>
      <c r="AB7" s="1">
        <v>166.25960000000001</v>
      </c>
      <c r="AC7" s="1">
        <v>139.351</v>
      </c>
      <c r="AD7" s="1">
        <v>154.07919999999999</v>
      </c>
      <c r="AE7" s="1">
        <v>164.6078</v>
      </c>
      <c r="AF7" s="1"/>
      <c r="AG7" s="1">
        <f t="shared" si="6"/>
        <v>354.94840000000011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36</v>
      </c>
      <c r="C8" s="1">
        <v>906.78</v>
      </c>
      <c r="D8" s="1">
        <v>155.738</v>
      </c>
      <c r="E8" s="1">
        <v>596.76599999999996</v>
      </c>
      <c r="F8" s="1">
        <v>449.78199999999998</v>
      </c>
      <c r="G8" s="7">
        <v>1</v>
      </c>
      <c r="H8" s="1">
        <v>45</v>
      </c>
      <c r="I8" s="9" t="s">
        <v>40</v>
      </c>
      <c r="J8" s="1"/>
      <c r="K8" s="1">
        <v>584.1</v>
      </c>
      <c r="L8" s="1">
        <f t="shared" si="2"/>
        <v>12.66599999999994</v>
      </c>
      <c r="M8" s="1"/>
      <c r="N8" s="1"/>
      <c r="O8" s="1">
        <v>0</v>
      </c>
      <c r="P8" s="1">
        <v>529.40658000000008</v>
      </c>
      <c r="Q8" s="1">
        <v>132.6578199999999</v>
      </c>
      <c r="R8" s="1">
        <f t="shared" si="3"/>
        <v>119.35319999999999</v>
      </c>
      <c r="S8" s="5">
        <f t="shared" si="7"/>
        <v>320.39199999999977</v>
      </c>
      <c r="T8" s="1">
        <f t="shared" si="4"/>
        <v>11.999999999999998</v>
      </c>
      <c r="U8" s="1">
        <f t="shared" si="5"/>
        <v>9.3155977384770576</v>
      </c>
      <c r="V8" s="1">
        <v>114.3492</v>
      </c>
      <c r="W8" s="1">
        <v>109.2606</v>
      </c>
      <c r="X8" s="1">
        <v>102.4</v>
      </c>
      <c r="Y8" s="1">
        <v>131.2944</v>
      </c>
      <c r="Z8" s="1">
        <v>141.90940000000001</v>
      </c>
      <c r="AA8" s="1">
        <v>146.2636</v>
      </c>
      <c r="AB8" s="1">
        <v>144.55119999999999</v>
      </c>
      <c r="AC8" s="1">
        <v>137.82640000000001</v>
      </c>
      <c r="AD8" s="1">
        <v>161.33359999999999</v>
      </c>
      <c r="AE8" s="1">
        <v>169.9598</v>
      </c>
      <c r="AF8" s="1"/>
      <c r="AG8" s="1">
        <f t="shared" si="6"/>
        <v>320.39199999999977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42</v>
      </c>
      <c r="C9" s="1">
        <v>67</v>
      </c>
      <c r="D9" s="1">
        <v>50</v>
      </c>
      <c r="E9" s="1">
        <v>40</v>
      </c>
      <c r="F9" s="1">
        <v>77</v>
      </c>
      <c r="G9" s="7">
        <v>0.4</v>
      </c>
      <c r="H9" s="1">
        <v>50</v>
      </c>
      <c r="I9" s="1" t="s">
        <v>37</v>
      </c>
      <c r="J9" s="1"/>
      <c r="K9" s="1">
        <v>36</v>
      </c>
      <c r="L9" s="1">
        <f t="shared" si="2"/>
        <v>4</v>
      </c>
      <c r="M9" s="1"/>
      <c r="N9" s="1"/>
      <c r="O9" s="1">
        <v>0</v>
      </c>
      <c r="P9" s="1">
        <v>0</v>
      </c>
      <c r="Q9" s="1">
        <v>34.109999999999992</v>
      </c>
      <c r="R9" s="1">
        <f t="shared" si="3"/>
        <v>8</v>
      </c>
      <c r="S9" s="5"/>
      <c r="T9" s="1">
        <f t="shared" si="4"/>
        <v>13.888749999999998</v>
      </c>
      <c r="U9" s="1">
        <f t="shared" si="5"/>
        <v>13.888749999999998</v>
      </c>
      <c r="V9" s="1">
        <v>10.6</v>
      </c>
      <c r="W9" s="1">
        <v>9</v>
      </c>
      <c r="X9" s="1">
        <v>2.4</v>
      </c>
      <c r="Y9" s="1">
        <v>4.8</v>
      </c>
      <c r="Z9" s="1">
        <v>11</v>
      </c>
      <c r="AA9" s="1">
        <v>12.4</v>
      </c>
      <c r="AB9" s="1">
        <v>6.8</v>
      </c>
      <c r="AC9" s="1">
        <v>2.4</v>
      </c>
      <c r="AD9" s="1">
        <v>1.6</v>
      </c>
      <c r="AE9" s="1">
        <v>8</v>
      </c>
      <c r="AF9" s="1" t="s">
        <v>43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44</v>
      </c>
      <c r="B10" s="1" t="s">
        <v>42</v>
      </c>
      <c r="C10" s="1">
        <v>304</v>
      </c>
      <c r="D10" s="1">
        <v>678</v>
      </c>
      <c r="E10" s="1">
        <v>299</v>
      </c>
      <c r="F10" s="1">
        <v>617</v>
      </c>
      <c r="G10" s="7">
        <v>0.45</v>
      </c>
      <c r="H10" s="1">
        <v>45</v>
      </c>
      <c r="I10" s="1" t="s">
        <v>37</v>
      </c>
      <c r="J10" s="1"/>
      <c r="K10" s="1">
        <v>397</v>
      </c>
      <c r="L10" s="1">
        <f t="shared" si="2"/>
        <v>-98</v>
      </c>
      <c r="M10" s="1"/>
      <c r="N10" s="1"/>
      <c r="O10" s="1">
        <v>0</v>
      </c>
      <c r="P10" s="1">
        <v>0</v>
      </c>
      <c r="Q10" s="1">
        <v>138.1539999999998</v>
      </c>
      <c r="R10" s="1">
        <f t="shared" si="3"/>
        <v>59.8</v>
      </c>
      <c r="S10" s="5"/>
      <c r="T10" s="1">
        <f t="shared" si="4"/>
        <v>12.627993311036786</v>
      </c>
      <c r="U10" s="1">
        <f t="shared" si="5"/>
        <v>12.627993311036786</v>
      </c>
      <c r="V10" s="1">
        <v>65.8</v>
      </c>
      <c r="W10" s="1">
        <v>36.799999999999997</v>
      </c>
      <c r="X10" s="1">
        <v>32.4</v>
      </c>
      <c r="Y10" s="1">
        <v>56.8</v>
      </c>
      <c r="Z10" s="1">
        <v>83.4</v>
      </c>
      <c r="AA10" s="1">
        <v>47.4</v>
      </c>
      <c r="AB10" s="1">
        <v>37.4</v>
      </c>
      <c r="AC10" s="1">
        <v>73.8</v>
      </c>
      <c r="AD10" s="1">
        <v>77.599999999999994</v>
      </c>
      <c r="AE10" s="1">
        <v>67.2</v>
      </c>
      <c r="AF10" s="1"/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45</v>
      </c>
      <c r="B11" s="1" t="s">
        <v>42</v>
      </c>
      <c r="C11" s="1">
        <v>294</v>
      </c>
      <c r="D11" s="1">
        <v>654</v>
      </c>
      <c r="E11" s="1">
        <v>334</v>
      </c>
      <c r="F11" s="1">
        <v>586</v>
      </c>
      <c r="G11" s="7">
        <v>0.45</v>
      </c>
      <c r="H11" s="1">
        <v>45</v>
      </c>
      <c r="I11" s="1" t="s">
        <v>37</v>
      </c>
      <c r="J11" s="1"/>
      <c r="K11" s="1">
        <v>371</v>
      </c>
      <c r="L11" s="1">
        <f t="shared" si="2"/>
        <v>-37</v>
      </c>
      <c r="M11" s="1"/>
      <c r="N11" s="1"/>
      <c r="O11" s="1">
        <v>0</v>
      </c>
      <c r="P11" s="1">
        <v>0</v>
      </c>
      <c r="Q11" s="1">
        <v>272.83399999999989</v>
      </c>
      <c r="R11" s="1">
        <f t="shared" si="3"/>
        <v>66.8</v>
      </c>
      <c r="S11" s="5"/>
      <c r="T11" s="1">
        <f t="shared" si="4"/>
        <v>12.856796407185627</v>
      </c>
      <c r="U11" s="1">
        <f t="shared" si="5"/>
        <v>12.856796407185627</v>
      </c>
      <c r="V11" s="1">
        <v>75.400000000000006</v>
      </c>
      <c r="W11" s="1">
        <v>50.2</v>
      </c>
      <c r="X11" s="1">
        <v>48.6</v>
      </c>
      <c r="Y11" s="1">
        <v>72</v>
      </c>
      <c r="Z11" s="1">
        <v>91.4</v>
      </c>
      <c r="AA11" s="1">
        <v>49.8</v>
      </c>
      <c r="AB11" s="1">
        <v>6.8</v>
      </c>
      <c r="AC11" s="1">
        <v>54.6</v>
      </c>
      <c r="AD11" s="1">
        <v>99.6</v>
      </c>
      <c r="AE11" s="1">
        <v>87.8</v>
      </c>
      <c r="AF11" s="1"/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0" t="s">
        <v>46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37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>
        <v>0</v>
      </c>
      <c r="Q12" s="10">
        <v>0</v>
      </c>
      <c r="R12" s="10">
        <f t="shared" si="3"/>
        <v>0</v>
      </c>
      <c r="S12" s="12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 t="s">
        <v>47</v>
      </c>
      <c r="AG12" s="10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48</v>
      </c>
      <c r="B13" s="1" t="s">
        <v>42</v>
      </c>
      <c r="C13" s="1">
        <v>79</v>
      </c>
      <c r="D13" s="1"/>
      <c r="E13" s="1">
        <v>76</v>
      </c>
      <c r="F13" s="1">
        <v>2</v>
      </c>
      <c r="G13" s="7">
        <v>0.3</v>
      </c>
      <c r="H13" s="1">
        <v>40</v>
      </c>
      <c r="I13" s="1" t="s">
        <v>37</v>
      </c>
      <c r="J13" s="1"/>
      <c r="K13" s="1">
        <v>87</v>
      </c>
      <c r="L13" s="1">
        <f t="shared" si="2"/>
        <v>-11</v>
      </c>
      <c r="M13" s="1"/>
      <c r="N13" s="1"/>
      <c r="O13" s="1">
        <v>0</v>
      </c>
      <c r="P13" s="1">
        <v>223.74</v>
      </c>
      <c r="Q13" s="1">
        <v>115.0599999999999</v>
      </c>
      <c r="R13" s="1">
        <f t="shared" si="3"/>
        <v>15.2</v>
      </c>
      <c r="S13" s="5"/>
      <c r="T13" s="1">
        <f t="shared" si="4"/>
        <v>22.421052631578942</v>
      </c>
      <c r="U13" s="1">
        <f t="shared" si="5"/>
        <v>22.421052631578942</v>
      </c>
      <c r="V13" s="1">
        <v>28.4</v>
      </c>
      <c r="W13" s="1">
        <v>23.8</v>
      </c>
      <c r="X13" s="1">
        <v>10.4</v>
      </c>
      <c r="Y13" s="1">
        <v>6.6</v>
      </c>
      <c r="Z13" s="1">
        <v>9.4</v>
      </c>
      <c r="AA13" s="1">
        <v>18</v>
      </c>
      <c r="AB13" s="1">
        <v>15.8</v>
      </c>
      <c r="AC13" s="1">
        <v>12.4</v>
      </c>
      <c r="AD13" s="1">
        <v>10.8</v>
      </c>
      <c r="AE13" s="1">
        <v>13.4</v>
      </c>
      <c r="AF13" s="1"/>
      <c r="AG13" s="1">
        <f t="shared" ref="AG13:AG24" si="8">G13*S13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42</v>
      </c>
      <c r="C14" s="1">
        <v>138</v>
      </c>
      <c r="D14" s="1">
        <v>2</v>
      </c>
      <c r="E14" s="1">
        <v>137</v>
      </c>
      <c r="F14" s="1">
        <v>1</v>
      </c>
      <c r="G14" s="7">
        <v>0.17</v>
      </c>
      <c r="H14" s="1">
        <v>180</v>
      </c>
      <c r="I14" s="1" t="s">
        <v>37</v>
      </c>
      <c r="J14" s="1"/>
      <c r="K14" s="1">
        <v>134</v>
      </c>
      <c r="L14" s="1">
        <f t="shared" si="2"/>
        <v>3</v>
      </c>
      <c r="M14" s="1"/>
      <c r="N14" s="1"/>
      <c r="O14" s="1">
        <v>40</v>
      </c>
      <c r="P14" s="1">
        <v>223.4</v>
      </c>
      <c r="Q14" s="1">
        <v>150</v>
      </c>
      <c r="R14" s="1">
        <f t="shared" si="3"/>
        <v>27.4</v>
      </c>
      <c r="S14" s="5"/>
      <c r="T14" s="1">
        <f t="shared" si="4"/>
        <v>15.124087591240876</v>
      </c>
      <c r="U14" s="1">
        <f t="shared" si="5"/>
        <v>15.124087591240876</v>
      </c>
      <c r="V14" s="1">
        <v>31.4</v>
      </c>
      <c r="W14" s="1">
        <v>28</v>
      </c>
      <c r="X14" s="1">
        <v>18.399999999999999</v>
      </c>
      <c r="Y14" s="1">
        <v>21.4</v>
      </c>
      <c r="Z14" s="1">
        <v>23.8</v>
      </c>
      <c r="AA14" s="1">
        <v>21.8</v>
      </c>
      <c r="AB14" s="1">
        <v>26.6</v>
      </c>
      <c r="AC14" s="1">
        <v>37.6</v>
      </c>
      <c r="AD14" s="1">
        <v>32</v>
      </c>
      <c r="AE14" s="1">
        <v>22</v>
      </c>
      <c r="AF14" s="1"/>
      <c r="AG14" s="1">
        <f t="shared" si="8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50</v>
      </c>
      <c r="B15" s="1" t="s">
        <v>36</v>
      </c>
      <c r="C15" s="1">
        <v>482.108</v>
      </c>
      <c r="D15" s="1"/>
      <c r="E15" s="1">
        <v>486.84399999999999</v>
      </c>
      <c r="F15" s="1">
        <v>-6.3360000000000003</v>
      </c>
      <c r="G15" s="7">
        <v>1</v>
      </c>
      <c r="H15" s="1">
        <v>70</v>
      </c>
      <c r="I15" s="1" t="s">
        <v>37</v>
      </c>
      <c r="J15" s="1"/>
      <c r="K15" s="1">
        <v>442.56</v>
      </c>
      <c r="L15" s="1">
        <f t="shared" si="2"/>
        <v>44.283999999999992</v>
      </c>
      <c r="M15" s="1"/>
      <c r="N15" s="1"/>
      <c r="O15" s="1">
        <v>795.17547999999977</v>
      </c>
      <c r="P15" s="1">
        <v>0</v>
      </c>
      <c r="Q15" s="1">
        <v>150.55292000000011</v>
      </c>
      <c r="R15" s="1">
        <f t="shared" si="3"/>
        <v>97.368799999999993</v>
      </c>
      <c r="S15" s="5">
        <f t="shared" ref="S13:S24" si="9">12*R15-Q15-P15-O15-F15</f>
        <v>229.03320000000019</v>
      </c>
      <c r="T15" s="1">
        <f t="shared" si="4"/>
        <v>12.000000000000002</v>
      </c>
      <c r="U15" s="1">
        <f t="shared" si="5"/>
        <v>9.6477762897355195</v>
      </c>
      <c r="V15" s="1">
        <v>94.670199999999994</v>
      </c>
      <c r="W15" s="1">
        <v>89.588999999999999</v>
      </c>
      <c r="X15" s="1">
        <v>90.510599999999997</v>
      </c>
      <c r="Y15" s="1">
        <v>100.626</v>
      </c>
      <c r="Z15" s="1">
        <v>92.771199999999993</v>
      </c>
      <c r="AA15" s="1">
        <v>95.892600000000002</v>
      </c>
      <c r="AB15" s="1">
        <v>55.573</v>
      </c>
      <c r="AC15" s="1">
        <v>47.542000000000002</v>
      </c>
      <c r="AD15" s="1">
        <v>93.528999999999996</v>
      </c>
      <c r="AE15" s="1">
        <v>100.50239999999999</v>
      </c>
      <c r="AF15" s="1"/>
      <c r="AG15" s="1">
        <f t="shared" si="8"/>
        <v>229.03320000000019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51</v>
      </c>
      <c r="B16" s="1" t="s">
        <v>36</v>
      </c>
      <c r="C16" s="1">
        <v>2193.9560000000001</v>
      </c>
      <c r="D16" s="1">
        <v>3382.0880000000002</v>
      </c>
      <c r="E16" s="1">
        <v>2103.1210000000001</v>
      </c>
      <c r="F16" s="1">
        <v>3446.23</v>
      </c>
      <c r="G16" s="7">
        <v>1</v>
      </c>
      <c r="H16" s="1">
        <v>50</v>
      </c>
      <c r="I16" s="1" t="s">
        <v>37</v>
      </c>
      <c r="J16" s="1"/>
      <c r="K16" s="1">
        <v>2095.5</v>
      </c>
      <c r="L16" s="1">
        <f t="shared" si="2"/>
        <v>7.6210000000000946</v>
      </c>
      <c r="M16" s="1"/>
      <c r="N16" s="1"/>
      <c r="O16" s="1">
        <v>0</v>
      </c>
      <c r="P16" s="1">
        <v>0</v>
      </c>
      <c r="Q16" s="1">
        <v>100</v>
      </c>
      <c r="R16" s="1">
        <f t="shared" si="3"/>
        <v>420.62420000000003</v>
      </c>
      <c r="S16" s="5">
        <f t="shared" si="9"/>
        <v>1501.2604000000006</v>
      </c>
      <c r="T16" s="1">
        <f t="shared" si="4"/>
        <v>12</v>
      </c>
      <c r="U16" s="1">
        <f t="shared" si="5"/>
        <v>8.4308748759581587</v>
      </c>
      <c r="V16" s="1">
        <v>363.17439999999999</v>
      </c>
      <c r="W16" s="1">
        <v>291.7568</v>
      </c>
      <c r="X16" s="1">
        <v>277.7518</v>
      </c>
      <c r="Y16" s="1">
        <v>456.89760000000001</v>
      </c>
      <c r="Z16" s="1">
        <v>478.92079999999999</v>
      </c>
      <c r="AA16" s="1">
        <v>258.6986</v>
      </c>
      <c r="AB16" s="1">
        <v>257.84679999999997</v>
      </c>
      <c r="AC16" s="1">
        <v>458.24740000000003</v>
      </c>
      <c r="AD16" s="1">
        <v>481.82459999999998</v>
      </c>
      <c r="AE16" s="1">
        <v>420.36439999999999</v>
      </c>
      <c r="AF16" s="1"/>
      <c r="AG16" s="1">
        <f t="shared" si="8"/>
        <v>1501.2604000000006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52</v>
      </c>
      <c r="B17" s="1" t="s">
        <v>36</v>
      </c>
      <c r="C17" s="1">
        <v>88.915999999999997</v>
      </c>
      <c r="D17" s="1">
        <v>21.123999999999999</v>
      </c>
      <c r="E17" s="1">
        <v>92.524000000000001</v>
      </c>
      <c r="F17" s="1">
        <v>17.515999999999998</v>
      </c>
      <c r="G17" s="7">
        <v>1</v>
      </c>
      <c r="H17" s="1">
        <v>60</v>
      </c>
      <c r="I17" s="1" t="s">
        <v>37</v>
      </c>
      <c r="J17" s="1"/>
      <c r="K17" s="1">
        <v>87.76</v>
      </c>
      <c r="L17" s="1">
        <f t="shared" si="2"/>
        <v>4.7639999999999958</v>
      </c>
      <c r="M17" s="1"/>
      <c r="N17" s="1"/>
      <c r="O17" s="1">
        <v>27.020399999999999</v>
      </c>
      <c r="P17" s="1">
        <v>84.508719999999983</v>
      </c>
      <c r="Q17" s="1">
        <v>86.951680000000025</v>
      </c>
      <c r="R17" s="1">
        <f t="shared" si="3"/>
        <v>18.504799999999999</v>
      </c>
      <c r="S17" s="5">
        <f t="shared" si="9"/>
        <v>6.0607999999999898</v>
      </c>
      <c r="T17" s="1">
        <f t="shared" si="4"/>
        <v>12</v>
      </c>
      <c r="U17" s="1">
        <f t="shared" si="5"/>
        <v>11.672474168864296</v>
      </c>
      <c r="V17" s="1">
        <v>19.042400000000001</v>
      </c>
      <c r="W17" s="1">
        <v>14.878399999999999</v>
      </c>
      <c r="X17" s="1">
        <v>11.510199999999999</v>
      </c>
      <c r="Y17" s="1">
        <v>12.4178</v>
      </c>
      <c r="Z17" s="1">
        <v>14.5106</v>
      </c>
      <c r="AA17" s="1">
        <v>12.775399999999999</v>
      </c>
      <c r="AB17" s="1">
        <v>14.9314</v>
      </c>
      <c r="AC17" s="1">
        <v>22.7486</v>
      </c>
      <c r="AD17" s="1">
        <v>17.5928</v>
      </c>
      <c r="AE17" s="1">
        <v>11.008599999999999</v>
      </c>
      <c r="AF17" s="1"/>
      <c r="AG17" s="1">
        <f t="shared" si="8"/>
        <v>6.0607999999999898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36</v>
      </c>
      <c r="C18" s="1">
        <v>39.618000000000002</v>
      </c>
      <c r="D18" s="1">
        <v>10.555</v>
      </c>
      <c r="E18" s="1">
        <v>44.895000000000003</v>
      </c>
      <c r="F18" s="1">
        <v>4.4020000000000001</v>
      </c>
      <c r="G18" s="7">
        <v>1</v>
      </c>
      <c r="H18" s="1">
        <v>60</v>
      </c>
      <c r="I18" s="1" t="s">
        <v>37</v>
      </c>
      <c r="J18" s="1"/>
      <c r="K18" s="1">
        <v>42.08</v>
      </c>
      <c r="L18" s="1">
        <f t="shared" si="2"/>
        <v>2.8150000000000048</v>
      </c>
      <c r="M18" s="1"/>
      <c r="N18" s="1"/>
      <c r="O18" s="1">
        <v>62.902220000000007</v>
      </c>
      <c r="P18" s="1">
        <v>0</v>
      </c>
      <c r="Q18" s="1">
        <v>25.999579999999991</v>
      </c>
      <c r="R18" s="1">
        <f t="shared" si="3"/>
        <v>8.979000000000001</v>
      </c>
      <c r="S18" s="5">
        <f t="shared" si="9"/>
        <v>14.444200000000016</v>
      </c>
      <c r="T18" s="1">
        <f t="shared" si="4"/>
        <v>12</v>
      </c>
      <c r="U18" s="1">
        <f t="shared" si="5"/>
        <v>10.391335338010913</v>
      </c>
      <c r="V18" s="1">
        <v>8.0944000000000003</v>
      </c>
      <c r="W18" s="1">
        <v>5.9447999999999999</v>
      </c>
      <c r="X18" s="1">
        <v>8.2210000000000001</v>
      </c>
      <c r="Y18" s="1">
        <v>7.7796000000000003</v>
      </c>
      <c r="Z18" s="1">
        <v>6.7598000000000003</v>
      </c>
      <c r="AA18" s="1">
        <v>6.5474000000000014</v>
      </c>
      <c r="AB18" s="1">
        <v>4.7682000000000002</v>
      </c>
      <c r="AC18" s="1">
        <v>-0.16520000000000001</v>
      </c>
      <c r="AD18" s="1">
        <v>1.9505999999999999</v>
      </c>
      <c r="AE18" s="1">
        <v>8.992799999999999</v>
      </c>
      <c r="AF18" s="1"/>
      <c r="AG18" s="1">
        <f t="shared" si="8"/>
        <v>14.444200000000016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36</v>
      </c>
      <c r="C19" s="1">
        <v>14.109</v>
      </c>
      <c r="D19" s="1">
        <v>22.882999999999999</v>
      </c>
      <c r="E19" s="1">
        <v>20.283000000000001</v>
      </c>
      <c r="F19" s="1">
        <v>15.654</v>
      </c>
      <c r="G19" s="7">
        <v>1</v>
      </c>
      <c r="H19" s="1">
        <v>180</v>
      </c>
      <c r="I19" s="1" t="s">
        <v>37</v>
      </c>
      <c r="J19" s="1"/>
      <c r="K19" s="1">
        <v>24.65</v>
      </c>
      <c r="L19" s="1">
        <f t="shared" si="2"/>
        <v>-4.3669999999999973</v>
      </c>
      <c r="M19" s="1"/>
      <c r="N19" s="1"/>
      <c r="O19" s="1">
        <v>0</v>
      </c>
      <c r="P19" s="1">
        <v>4</v>
      </c>
      <c r="Q19" s="1">
        <v>80</v>
      </c>
      <c r="R19" s="1">
        <f t="shared" si="3"/>
        <v>4.0566000000000004</v>
      </c>
      <c r="S19" s="5"/>
      <c r="T19" s="1">
        <f t="shared" si="4"/>
        <v>24.56589261943499</v>
      </c>
      <c r="U19" s="1">
        <f t="shared" si="5"/>
        <v>24.56589261943499</v>
      </c>
      <c r="V19" s="1">
        <v>4.6651999999999996</v>
      </c>
      <c r="W19" s="1">
        <v>3.0566</v>
      </c>
      <c r="X19" s="1">
        <v>2.3746</v>
      </c>
      <c r="Y19" s="1">
        <v>4.1432000000000002</v>
      </c>
      <c r="Z19" s="1">
        <v>3.944</v>
      </c>
      <c r="AA19" s="1">
        <v>3.7222</v>
      </c>
      <c r="AB19" s="1">
        <v>3.6394000000000002</v>
      </c>
      <c r="AC19" s="1">
        <v>2.7559999999999998</v>
      </c>
      <c r="AD19" s="1">
        <v>4.7732000000000001</v>
      </c>
      <c r="AE19" s="1">
        <v>4.9626000000000001</v>
      </c>
      <c r="AF19" s="1"/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36</v>
      </c>
      <c r="C20" s="1">
        <v>520.37300000000005</v>
      </c>
      <c r="D20" s="1">
        <v>243.26</v>
      </c>
      <c r="E20" s="1">
        <v>546.84100000000001</v>
      </c>
      <c r="F20" s="1">
        <v>208.90600000000001</v>
      </c>
      <c r="G20" s="7">
        <v>1</v>
      </c>
      <c r="H20" s="1">
        <v>60</v>
      </c>
      <c r="I20" s="1" t="s">
        <v>37</v>
      </c>
      <c r="J20" s="1"/>
      <c r="K20" s="1">
        <v>517.58000000000004</v>
      </c>
      <c r="L20" s="1">
        <f t="shared" si="2"/>
        <v>29.260999999999967</v>
      </c>
      <c r="M20" s="1"/>
      <c r="N20" s="1"/>
      <c r="O20" s="1">
        <v>318.96857760000017</v>
      </c>
      <c r="P20" s="1">
        <v>309.39875999999998</v>
      </c>
      <c r="Q20" s="1">
        <v>249.37422240000021</v>
      </c>
      <c r="R20" s="1">
        <f t="shared" si="3"/>
        <v>109.3682</v>
      </c>
      <c r="S20" s="5">
        <f t="shared" si="9"/>
        <v>225.77083999999957</v>
      </c>
      <c r="T20" s="1">
        <f t="shared" si="4"/>
        <v>12</v>
      </c>
      <c r="U20" s="1">
        <f t="shared" si="5"/>
        <v>9.9356811212034248</v>
      </c>
      <c r="V20" s="1">
        <v>106.7038</v>
      </c>
      <c r="W20" s="1">
        <v>93.757199999999997</v>
      </c>
      <c r="X20" s="1">
        <v>83.564999999999998</v>
      </c>
      <c r="Y20" s="1">
        <v>101.2552</v>
      </c>
      <c r="Z20" s="1">
        <v>100.88</v>
      </c>
      <c r="AA20" s="1">
        <v>96.459800000000001</v>
      </c>
      <c r="AB20" s="1">
        <v>91.898200000000003</v>
      </c>
      <c r="AC20" s="1">
        <v>89.878</v>
      </c>
      <c r="AD20" s="1">
        <v>93.350200000000001</v>
      </c>
      <c r="AE20" s="1">
        <v>93.1404</v>
      </c>
      <c r="AF20" s="1"/>
      <c r="AG20" s="1">
        <f t="shared" si="8"/>
        <v>225.77083999999957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36</v>
      </c>
      <c r="C21" s="1">
        <v>282.67700000000002</v>
      </c>
      <c r="D21" s="1">
        <v>3.5459999999999998</v>
      </c>
      <c r="E21" s="1">
        <v>122.48</v>
      </c>
      <c r="F21" s="1">
        <v>161.09399999999999</v>
      </c>
      <c r="G21" s="7">
        <v>1</v>
      </c>
      <c r="H21" s="1">
        <v>70</v>
      </c>
      <c r="I21" s="1" t="s">
        <v>37</v>
      </c>
      <c r="J21" s="1"/>
      <c r="K21" s="1">
        <v>117.36</v>
      </c>
      <c r="L21" s="1">
        <f t="shared" si="2"/>
        <v>5.1200000000000045</v>
      </c>
      <c r="M21" s="1"/>
      <c r="N21" s="1"/>
      <c r="O21" s="1">
        <v>0</v>
      </c>
      <c r="P21" s="1">
        <v>0</v>
      </c>
      <c r="Q21" s="1">
        <v>81.81140000000002</v>
      </c>
      <c r="R21" s="1">
        <f t="shared" si="3"/>
        <v>24.496000000000002</v>
      </c>
      <c r="S21" s="5">
        <f t="shared" si="9"/>
        <v>51.046599999999984</v>
      </c>
      <c r="T21" s="1">
        <f t="shared" si="4"/>
        <v>11.999999999999998</v>
      </c>
      <c r="U21" s="1">
        <f t="shared" si="5"/>
        <v>9.9161250816459834</v>
      </c>
      <c r="V21" s="1">
        <v>22.382200000000001</v>
      </c>
      <c r="W21" s="1">
        <v>17.047799999999999</v>
      </c>
      <c r="X21" s="1">
        <v>9.0492000000000008</v>
      </c>
      <c r="Y21" s="1">
        <v>3.8969999999999998</v>
      </c>
      <c r="Z21" s="1">
        <v>14.3156</v>
      </c>
      <c r="AA21" s="1">
        <v>26.117000000000001</v>
      </c>
      <c r="AB21" s="1">
        <v>34.8842</v>
      </c>
      <c r="AC21" s="1">
        <v>28.196200000000001</v>
      </c>
      <c r="AD21" s="1">
        <v>18.7288</v>
      </c>
      <c r="AE21" s="1">
        <v>23.340800000000002</v>
      </c>
      <c r="AF21" s="1"/>
      <c r="AG21" s="1">
        <f t="shared" si="8"/>
        <v>51.046599999999984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36</v>
      </c>
      <c r="C22" s="1">
        <v>146.143</v>
      </c>
      <c r="D22" s="1">
        <v>10.535</v>
      </c>
      <c r="E22" s="1">
        <v>143.792</v>
      </c>
      <c r="F22" s="1">
        <v>0.60599999999999998</v>
      </c>
      <c r="G22" s="7">
        <v>1</v>
      </c>
      <c r="H22" s="1">
        <v>70</v>
      </c>
      <c r="I22" s="1" t="s">
        <v>37</v>
      </c>
      <c r="J22" s="1"/>
      <c r="K22" s="1">
        <v>198.24</v>
      </c>
      <c r="L22" s="1">
        <f t="shared" si="2"/>
        <v>-54.448000000000008</v>
      </c>
      <c r="M22" s="1"/>
      <c r="N22" s="1"/>
      <c r="O22" s="1">
        <v>457.82459999999992</v>
      </c>
      <c r="P22" s="1">
        <v>0</v>
      </c>
      <c r="Q22" s="1">
        <v>185.76480000000001</v>
      </c>
      <c r="R22" s="1">
        <f t="shared" si="3"/>
        <v>28.758400000000002</v>
      </c>
      <c r="S22" s="5"/>
      <c r="T22" s="1">
        <f t="shared" si="4"/>
        <v>22.400251752531432</v>
      </c>
      <c r="U22" s="1">
        <f t="shared" si="5"/>
        <v>22.400251752531432</v>
      </c>
      <c r="V22" s="1">
        <v>53.684199999999997</v>
      </c>
      <c r="W22" s="1">
        <v>41.608600000000003</v>
      </c>
      <c r="X22" s="1">
        <v>49.029400000000003</v>
      </c>
      <c r="Y22" s="1">
        <v>62.423000000000002</v>
      </c>
      <c r="Z22" s="1">
        <v>34.194200000000002</v>
      </c>
      <c r="AA22" s="1">
        <v>23.361799999999999</v>
      </c>
      <c r="AB22" s="1">
        <v>40.968800000000002</v>
      </c>
      <c r="AC22" s="1">
        <v>54.458799999999997</v>
      </c>
      <c r="AD22" s="1">
        <v>38.1952</v>
      </c>
      <c r="AE22" s="1">
        <v>16.365600000000001</v>
      </c>
      <c r="AF22" s="1"/>
      <c r="AG22" s="1">
        <f t="shared" si="8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58</v>
      </c>
      <c r="B23" s="1" t="s">
        <v>36</v>
      </c>
      <c r="C23" s="1">
        <v>64.893000000000001</v>
      </c>
      <c r="D23" s="1">
        <v>1.016</v>
      </c>
      <c r="E23" s="1">
        <v>33.027000000000001</v>
      </c>
      <c r="F23" s="1">
        <v>32.536000000000001</v>
      </c>
      <c r="G23" s="7">
        <v>1</v>
      </c>
      <c r="H23" s="1">
        <v>180</v>
      </c>
      <c r="I23" s="1" t="s">
        <v>37</v>
      </c>
      <c r="J23" s="1"/>
      <c r="K23" s="1">
        <v>31.89</v>
      </c>
      <c r="L23" s="1">
        <f t="shared" si="2"/>
        <v>1.1370000000000005</v>
      </c>
      <c r="M23" s="1"/>
      <c r="N23" s="1"/>
      <c r="O23" s="1">
        <v>0</v>
      </c>
      <c r="P23" s="1">
        <v>0</v>
      </c>
      <c r="Q23" s="1">
        <v>60</v>
      </c>
      <c r="R23" s="1">
        <f t="shared" si="3"/>
        <v>6.6054000000000004</v>
      </c>
      <c r="S23" s="5"/>
      <c r="T23" s="1">
        <f t="shared" si="4"/>
        <v>14.009144033669422</v>
      </c>
      <c r="U23" s="1">
        <f t="shared" si="5"/>
        <v>14.009144033669422</v>
      </c>
      <c r="V23" s="1">
        <v>5.7629999999999999</v>
      </c>
      <c r="W23" s="1">
        <v>3.7181999999999999</v>
      </c>
      <c r="X23" s="1">
        <v>3.5988000000000002</v>
      </c>
      <c r="Y23" s="1">
        <v>5.1424000000000003</v>
      </c>
      <c r="Z23" s="1">
        <v>4.5293999999999999</v>
      </c>
      <c r="AA23" s="1">
        <v>3.9744000000000002</v>
      </c>
      <c r="AB23" s="1">
        <v>3.9765999999999999</v>
      </c>
      <c r="AC23" s="1">
        <v>3.8353999999999999</v>
      </c>
      <c r="AD23" s="1">
        <v>5.0188000000000006</v>
      </c>
      <c r="AE23" s="1">
        <v>4.7473999999999998</v>
      </c>
      <c r="AF23" s="1"/>
      <c r="AG23" s="1">
        <f t="shared" si="8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36</v>
      </c>
      <c r="C24" s="1">
        <v>301.90100000000001</v>
      </c>
      <c r="D24" s="1">
        <v>7.9539999999999997</v>
      </c>
      <c r="E24" s="1">
        <v>299.90199999999999</v>
      </c>
      <c r="F24" s="1">
        <v>4.6580000000000004</v>
      </c>
      <c r="G24" s="7">
        <v>1</v>
      </c>
      <c r="H24" s="1">
        <v>70</v>
      </c>
      <c r="I24" s="1" t="s">
        <v>37</v>
      </c>
      <c r="J24" s="1"/>
      <c r="K24" s="1">
        <v>289.83999999999997</v>
      </c>
      <c r="L24" s="1">
        <f t="shared" si="2"/>
        <v>10.062000000000012</v>
      </c>
      <c r="M24" s="1"/>
      <c r="N24" s="1"/>
      <c r="O24" s="1">
        <v>0</v>
      </c>
      <c r="P24" s="1">
        <v>410.74574000000001</v>
      </c>
      <c r="Q24" s="1">
        <v>212.03765999999999</v>
      </c>
      <c r="R24" s="1">
        <f t="shared" si="3"/>
        <v>59.980399999999996</v>
      </c>
      <c r="S24" s="5">
        <f t="shared" si="9"/>
        <v>92.32339999999995</v>
      </c>
      <c r="T24" s="1">
        <f t="shared" si="4"/>
        <v>12.000000000000002</v>
      </c>
      <c r="U24" s="1">
        <f t="shared" si="5"/>
        <v>10.460773852791913</v>
      </c>
      <c r="V24" s="1">
        <v>59.779200000000003</v>
      </c>
      <c r="W24" s="1">
        <v>49.711799999999997</v>
      </c>
      <c r="X24" s="1">
        <v>20.7958</v>
      </c>
      <c r="Y24" s="1">
        <v>15.2098</v>
      </c>
      <c r="Z24" s="1">
        <v>26.774000000000001</v>
      </c>
      <c r="AA24" s="1">
        <v>43.232399999999998</v>
      </c>
      <c r="AB24" s="1">
        <v>29.524999999999999</v>
      </c>
      <c r="AC24" s="1">
        <v>20.725000000000001</v>
      </c>
      <c r="AD24" s="1">
        <v>18.969799999999999</v>
      </c>
      <c r="AE24" s="1">
        <v>14.39</v>
      </c>
      <c r="AF24" s="1"/>
      <c r="AG24" s="1">
        <f t="shared" si="8"/>
        <v>92.32339999999995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0" t="s">
        <v>60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v>0</v>
      </c>
      <c r="R25" s="10">
        <f t="shared" si="3"/>
        <v>0</v>
      </c>
      <c r="S25" s="12"/>
      <c r="T25" s="10" t="e">
        <f t="shared" si="4"/>
        <v>#DIV/0!</v>
      </c>
      <c r="U25" s="10" t="e">
        <f t="shared" si="5"/>
        <v>#DIV/0!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 t="s">
        <v>47</v>
      </c>
      <c r="AG25" s="10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61</v>
      </c>
      <c r="B26" s="1" t="s">
        <v>36</v>
      </c>
      <c r="C26" s="1">
        <v>465.62200000000001</v>
      </c>
      <c r="D26" s="1"/>
      <c r="E26" s="1">
        <v>161.46199999999999</v>
      </c>
      <c r="F26" s="1">
        <v>205.41499999999999</v>
      </c>
      <c r="G26" s="7">
        <v>1</v>
      </c>
      <c r="H26" s="1">
        <v>30</v>
      </c>
      <c r="I26" s="1" t="s">
        <v>62</v>
      </c>
      <c r="J26" s="1"/>
      <c r="K26" s="1">
        <v>167.55</v>
      </c>
      <c r="L26" s="1">
        <f t="shared" si="2"/>
        <v>-6.0880000000000223</v>
      </c>
      <c r="M26" s="1"/>
      <c r="N26" s="1"/>
      <c r="O26" s="1">
        <v>0</v>
      </c>
      <c r="P26" s="1">
        <v>0</v>
      </c>
      <c r="Q26" s="1">
        <v>0</v>
      </c>
      <c r="R26" s="1">
        <f t="shared" si="3"/>
        <v>32.292400000000001</v>
      </c>
      <c r="S26" s="5">
        <v>60</v>
      </c>
      <c r="T26" s="1">
        <f t="shared" si="4"/>
        <v>8.21911657232042</v>
      </c>
      <c r="U26" s="1">
        <f t="shared" si="5"/>
        <v>6.3610942512789386</v>
      </c>
      <c r="V26" s="1">
        <v>32.898400000000002</v>
      </c>
      <c r="W26" s="1">
        <v>27.629000000000001</v>
      </c>
      <c r="X26" s="1">
        <v>6.3411999999999997</v>
      </c>
      <c r="Y26" s="1">
        <v>10.604200000000001</v>
      </c>
      <c r="Z26" s="1">
        <v>23.606999999999999</v>
      </c>
      <c r="AA26" s="1">
        <v>42.3446</v>
      </c>
      <c r="AB26" s="1">
        <v>36.757199999999997</v>
      </c>
      <c r="AC26" s="1">
        <v>5.3428000000000004</v>
      </c>
      <c r="AD26" s="1">
        <v>1.6415999999999999</v>
      </c>
      <c r="AE26" s="1">
        <v>20.915800000000001</v>
      </c>
      <c r="AF26" s="1" t="s">
        <v>63</v>
      </c>
      <c r="AG26" s="1">
        <f t="shared" ref="AG26:AG69" si="10">G26*S26</f>
        <v>60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64</v>
      </c>
      <c r="B27" s="1" t="s">
        <v>36</v>
      </c>
      <c r="C27" s="1">
        <v>45.966000000000001</v>
      </c>
      <c r="D27" s="1">
        <v>46.003999999999998</v>
      </c>
      <c r="E27" s="1">
        <v>83.046999999999997</v>
      </c>
      <c r="F27" s="1">
        <v>7.4279999999999999</v>
      </c>
      <c r="G27" s="7">
        <v>1</v>
      </c>
      <c r="H27" s="1">
        <v>40</v>
      </c>
      <c r="I27" s="9" t="s">
        <v>40</v>
      </c>
      <c r="J27" s="1"/>
      <c r="K27" s="1">
        <v>67.900000000000006</v>
      </c>
      <c r="L27" s="1">
        <f t="shared" si="2"/>
        <v>15.146999999999991</v>
      </c>
      <c r="M27" s="1"/>
      <c r="N27" s="1"/>
      <c r="O27" s="1">
        <v>20</v>
      </c>
      <c r="P27" s="1">
        <v>0</v>
      </c>
      <c r="Q27" s="1">
        <v>119.017</v>
      </c>
      <c r="R27" s="1">
        <f t="shared" si="3"/>
        <v>16.609400000000001</v>
      </c>
      <c r="S27" s="5">
        <f t="shared" ref="S26:S69" si="11">12*R27-Q27-P27-O27-F27</f>
        <v>52.867800000000017</v>
      </c>
      <c r="T27" s="1">
        <f t="shared" si="4"/>
        <v>12</v>
      </c>
      <c r="U27" s="1">
        <f t="shared" si="5"/>
        <v>8.8169951954917085</v>
      </c>
      <c r="V27" s="1">
        <v>17.7974</v>
      </c>
      <c r="W27" s="1">
        <v>8.8981999999999992</v>
      </c>
      <c r="X27" s="1">
        <v>0</v>
      </c>
      <c r="Y27" s="1">
        <v>0</v>
      </c>
      <c r="Z27" s="1">
        <v>7.3483999999999998</v>
      </c>
      <c r="AA27" s="1">
        <v>12.615399999999999</v>
      </c>
      <c r="AB27" s="1">
        <v>10.5562</v>
      </c>
      <c r="AC27" s="1">
        <v>5.1772</v>
      </c>
      <c r="AD27" s="1">
        <v>-0.112</v>
      </c>
      <c r="AE27" s="1">
        <v>0</v>
      </c>
      <c r="AF27" s="1"/>
      <c r="AG27" s="1">
        <f t="shared" si="10"/>
        <v>52.867800000000017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65</v>
      </c>
      <c r="B28" s="1" t="s">
        <v>36</v>
      </c>
      <c r="C28" s="1">
        <v>373.834</v>
      </c>
      <c r="D28" s="1">
        <v>7.8609999999999998</v>
      </c>
      <c r="E28" s="1">
        <v>332.39299999999997</v>
      </c>
      <c r="F28" s="1">
        <v>39.765999999999998</v>
      </c>
      <c r="G28" s="7">
        <v>1</v>
      </c>
      <c r="H28" s="1">
        <v>30</v>
      </c>
      <c r="I28" s="9" t="s">
        <v>40</v>
      </c>
      <c r="J28" s="1"/>
      <c r="K28" s="1">
        <v>350.95</v>
      </c>
      <c r="L28" s="1">
        <f t="shared" si="2"/>
        <v>-18.557000000000016</v>
      </c>
      <c r="M28" s="1"/>
      <c r="N28" s="1"/>
      <c r="O28" s="1">
        <v>102.58199999999999</v>
      </c>
      <c r="P28" s="1">
        <v>457.77785999999992</v>
      </c>
      <c r="Q28" s="1">
        <v>79.048339999999939</v>
      </c>
      <c r="R28" s="1">
        <f t="shared" si="3"/>
        <v>66.4786</v>
      </c>
      <c r="S28" s="5">
        <f t="shared" si="11"/>
        <v>118.56900000000016</v>
      </c>
      <c r="T28" s="1">
        <f t="shared" si="4"/>
        <v>12</v>
      </c>
      <c r="U28" s="1">
        <f t="shared" si="5"/>
        <v>10.216433559070135</v>
      </c>
      <c r="V28" s="1">
        <v>64.301599999999993</v>
      </c>
      <c r="W28" s="1">
        <v>64.790199999999999</v>
      </c>
      <c r="X28" s="1">
        <v>41.290999999999997</v>
      </c>
      <c r="Y28" s="1">
        <v>19.9512</v>
      </c>
      <c r="Z28" s="1">
        <v>38.483400000000003</v>
      </c>
      <c r="AA28" s="1">
        <v>61.430199999999999</v>
      </c>
      <c r="AB28" s="1">
        <v>40.460999999999999</v>
      </c>
      <c r="AC28" s="1">
        <v>34.136399999999988</v>
      </c>
      <c r="AD28" s="1">
        <v>28.6402</v>
      </c>
      <c r="AE28" s="1">
        <v>49.427</v>
      </c>
      <c r="AF28" s="1"/>
      <c r="AG28" s="1">
        <f t="shared" si="10"/>
        <v>118.56900000000016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66</v>
      </c>
      <c r="B29" s="1" t="s">
        <v>36</v>
      </c>
      <c r="C29" s="1">
        <v>813.26199999999994</v>
      </c>
      <c r="D29" s="1">
        <v>1167.518</v>
      </c>
      <c r="E29" s="1">
        <v>599.197</v>
      </c>
      <c r="F29" s="1">
        <v>1360.46</v>
      </c>
      <c r="G29" s="7">
        <v>1</v>
      </c>
      <c r="H29" s="1">
        <v>40</v>
      </c>
      <c r="I29" s="1" t="s">
        <v>37</v>
      </c>
      <c r="J29" s="1"/>
      <c r="K29" s="1">
        <v>534.45000000000005</v>
      </c>
      <c r="L29" s="1">
        <f t="shared" si="2"/>
        <v>64.746999999999957</v>
      </c>
      <c r="M29" s="1"/>
      <c r="N29" s="1"/>
      <c r="O29" s="1">
        <v>0</v>
      </c>
      <c r="P29" s="1">
        <v>0</v>
      </c>
      <c r="Q29" s="1">
        <v>0</v>
      </c>
      <c r="R29" s="1">
        <f t="shared" si="3"/>
        <v>119.8394</v>
      </c>
      <c r="S29" s="5">
        <f t="shared" si="11"/>
        <v>77.612799999999879</v>
      </c>
      <c r="T29" s="1">
        <f t="shared" si="4"/>
        <v>12</v>
      </c>
      <c r="U29" s="1">
        <f t="shared" si="5"/>
        <v>11.352359908344001</v>
      </c>
      <c r="V29" s="1">
        <v>111.0528</v>
      </c>
      <c r="W29" s="1">
        <v>94.69</v>
      </c>
      <c r="X29" s="1">
        <v>89.814400000000006</v>
      </c>
      <c r="Y29" s="1">
        <v>149.56479999999999</v>
      </c>
      <c r="Z29" s="1">
        <v>192.89240000000001</v>
      </c>
      <c r="AA29" s="1">
        <v>98.930399999999992</v>
      </c>
      <c r="AB29" s="1">
        <v>1.2E-2</v>
      </c>
      <c r="AC29" s="1">
        <v>79.461600000000004</v>
      </c>
      <c r="AD29" s="1">
        <v>183.1814</v>
      </c>
      <c r="AE29" s="1">
        <v>189.0034</v>
      </c>
      <c r="AF29" s="1"/>
      <c r="AG29" s="1">
        <f t="shared" si="10"/>
        <v>77.612799999999879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67</v>
      </c>
      <c r="B30" s="1" t="s">
        <v>36</v>
      </c>
      <c r="C30" s="1">
        <v>34.954000000000001</v>
      </c>
      <c r="D30" s="1">
        <v>26.24</v>
      </c>
      <c r="E30" s="1">
        <v>26.184000000000001</v>
      </c>
      <c r="F30" s="1">
        <v>30.678000000000001</v>
      </c>
      <c r="G30" s="7">
        <v>1</v>
      </c>
      <c r="H30" s="1">
        <v>40</v>
      </c>
      <c r="I30" s="1" t="s">
        <v>37</v>
      </c>
      <c r="J30" s="1"/>
      <c r="K30" s="1">
        <v>27.25</v>
      </c>
      <c r="L30" s="1">
        <f t="shared" si="2"/>
        <v>-1.0659999999999989</v>
      </c>
      <c r="M30" s="1"/>
      <c r="N30" s="1"/>
      <c r="O30" s="1">
        <v>0</v>
      </c>
      <c r="P30" s="1">
        <v>0</v>
      </c>
      <c r="Q30" s="1">
        <v>4.6096000000000004</v>
      </c>
      <c r="R30" s="1">
        <f t="shared" si="3"/>
        <v>5.2368000000000006</v>
      </c>
      <c r="S30" s="5">
        <f t="shared" si="11"/>
        <v>27.554000000000006</v>
      </c>
      <c r="T30" s="1">
        <f t="shared" si="4"/>
        <v>11.999999999999998</v>
      </c>
      <c r="U30" s="1">
        <f t="shared" si="5"/>
        <v>6.738389856400854</v>
      </c>
      <c r="V30" s="1">
        <v>3.7707999999999999</v>
      </c>
      <c r="W30" s="1">
        <v>0</v>
      </c>
      <c r="X30" s="1">
        <v>-0.13400000000000001</v>
      </c>
      <c r="Y30" s="1">
        <v>3.38</v>
      </c>
      <c r="Z30" s="1">
        <v>3.5139999999999998</v>
      </c>
      <c r="AA30" s="1">
        <v>0.9071999999999999</v>
      </c>
      <c r="AB30" s="1">
        <v>5.9954000000000001</v>
      </c>
      <c r="AC30" s="1">
        <v>6.6069999999999993</v>
      </c>
      <c r="AD30" s="1">
        <v>2.9994000000000001</v>
      </c>
      <c r="AE30" s="1">
        <v>1.4805999999999999</v>
      </c>
      <c r="AF30" s="1"/>
      <c r="AG30" s="1">
        <f t="shared" si="10"/>
        <v>27.554000000000006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68</v>
      </c>
      <c r="B31" s="1" t="s">
        <v>36</v>
      </c>
      <c r="C31" s="1">
        <v>2.8010000000000002</v>
      </c>
      <c r="D31" s="1">
        <v>107.02</v>
      </c>
      <c r="E31" s="1">
        <v>7.4770000000000003</v>
      </c>
      <c r="F31" s="1">
        <v>97.698999999999998</v>
      </c>
      <c r="G31" s="7">
        <v>1</v>
      </c>
      <c r="H31" s="1">
        <v>30</v>
      </c>
      <c r="I31" s="9" t="s">
        <v>40</v>
      </c>
      <c r="J31" s="1"/>
      <c r="K31" s="1">
        <v>18.8</v>
      </c>
      <c r="L31" s="1">
        <f t="shared" si="2"/>
        <v>-11.323</v>
      </c>
      <c r="M31" s="1"/>
      <c r="N31" s="1"/>
      <c r="O31" s="1">
        <v>0</v>
      </c>
      <c r="P31" s="1">
        <v>30</v>
      </c>
      <c r="Q31" s="1">
        <v>20</v>
      </c>
      <c r="R31" s="1">
        <f t="shared" si="3"/>
        <v>1.4954000000000001</v>
      </c>
      <c r="S31" s="5"/>
      <c r="T31" s="1">
        <f t="shared" si="4"/>
        <v>98.768891266550753</v>
      </c>
      <c r="U31" s="1">
        <f t="shared" si="5"/>
        <v>98.768891266550753</v>
      </c>
      <c r="V31" s="1">
        <v>-0.752</v>
      </c>
      <c r="W31" s="1">
        <v>-0.97</v>
      </c>
      <c r="X31" s="1">
        <v>-0.218</v>
      </c>
      <c r="Y31" s="1">
        <v>10.932600000000001</v>
      </c>
      <c r="Z31" s="1">
        <v>12.9648</v>
      </c>
      <c r="AA31" s="1">
        <v>-4.0000000000000002E-4</v>
      </c>
      <c r="AB31" s="1">
        <v>1.3251999999999999</v>
      </c>
      <c r="AC31" s="1">
        <v>13.872400000000001</v>
      </c>
      <c r="AD31" s="1">
        <v>20.366800000000001</v>
      </c>
      <c r="AE31" s="1">
        <v>14.660399999999999</v>
      </c>
      <c r="AF31" s="1"/>
      <c r="AG31" s="1">
        <f t="shared" si="10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69</v>
      </c>
      <c r="B32" s="1" t="s">
        <v>36</v>
      </c>
      <c r="C32" s="1">
        <v>54.372</v>
      </c>
      <c r="D32" s="1">
        <v>10.866</v>
      </c>
      <c r="E32" s="1">
        <v>52.598999999999997</v>
      </c>
      <c r="F32" s="1">
        <v>10.784000000000001</v>
      </c>
      <c r="G32" s="7">
        <v>1</v>
      </c>
      <c r="H32" s="1">
        <v>50</v>
      </c>
      <c r="I32" s="1" t="s">
        <v>37</v>
      </c>
      <c r="J32" s="1"/>
      <c r="K32" s="1">
        <v>77.3</v>
      </c>
      <c r="L32" s="1">
        <f t="shared" si="2"/>
        <v>-24.701000000000001</v>
      </c>
      <c r="M32" s="1"/>
      <c r="N32" s="1"/>
      <c r="O32" s="1">
        <v>250</v>
      </c>
      <c r="P32" s="1">
        <v>0</v>
      </c>
      <c r="Q32" s="1">
        <v>80</v>
      </c>
      <c r="R32" s="1">
        <f t="shared" si="3"/>
        <v>10.5198</v>
      </c>
      <c r="S32" s="5"/>
      <c r="T32" s="1">
        <f t="shared" si="4"/>
        <v>32.394532215441359</v>
      </c>
      <c r="U32" s="1">
        <f t="shared" si="5"/>
        <v>32.394532215441359</v>
      </c>
      <c r="V32" s="1">
        <v>18.317599999999999</v>
      </c>
      <c r="W32" s="1">
        <v>15.9734</v>
      </c>
      <c r="X32" s="1">
        <v>13.6462</v>
      </c>
      <c r="Y32" s="1">
        <v>19.478000000000002</v>
      </c>
      <c r="Z32" s="1">
        <v>10.740600000000001</v>
      </c>
      <c r="AA32" s="1">
        <v>3.1267999999999998</v>
      </c>
      <c r="AB32" s="1">
        <v>19.297999999999998</v>
      </c>
      <c r="AC32" s="1">
        <v>26.091999999999999</v>
      </c>
      <c r="AD32" s="1">
        <v>14.4978</v>
      </c>
      <c r="AE32" s="1">
        <v>7.5068000000000001</v>
      </c>
      <c r="AF32" s="1"/>
      <c r="AG32" s="1">
        <f t="shared" si="10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70</v>
      </c>
      <c r="B33" s="1" t="s">
        <v>36</v>
      </c>
      <c r="C33" s="1">
        <v>39.512</v>
      </c>
      <c r="D33" s="1"/>
      <c r="E33" s="1">
        <v>33.121000000000002</v>
      </c>
      <c r="F33" s="1">
        <v>5.4880000000000004</v>
      </c>
      <c r="G33" s="7">
        <v>1</v>
      </c>
      <c r="H33" s="1">
        <v>50</v>
      </c>
      <c r="I33" s="1" t="s">
        <v>37</v>
      </c>
      <c r="J33" s="1"/>
      <c r="K33" s="1">
        <v>47.6</v>
      </c>
      <c r="L33" s="1">
        <f t="shared" si="2"/>
        <v>-14.478999999999999</v>
      </c>
      <c r="M33" s="1"/>
      <c r="N33" s="1"/>
      <c r="O33" s="1">
        <v>0</v>
      </c>
      <c r="P33" s="1">
        <v>96.116279999999989</v>
      </c>
      <c r="Q33" s="1">
        <v>100</v>
      </c>
      <c r="R33" s="1">
        <f t="shared" si="3"/>
        <v>6.6242000000000001</v>
      </c>
      <c r="S33" s="5"/>
      <c r="T33" s="1">
        <f t="shared" si="4"/>
        <v>30.434509827601822</v>
      </c>
      <c r="U33" s="1">
        <f t="shared" si="5"/>
        <v>30.434509827601822</v>
      </c>
      <c r="V33" s="1">
        <v>13.944000000000001</v>
      </c>
      <c r="W33" s="1">
        <v>10.803599999999999</v>
      </c>
      <c r="X33" s="1">
        <v>4.2084000000000001</v>
      </c>
      <c r="Y33" s="1">
        <v>2.0131999999999999</v>
      </c>
      <c r="Z33" s="1">
        <v>5.2670000000000003</v>
      </c>
      <c r="AA33" s="1">
        <v>7.9817999999999998</v>
      </c>
      <c r="AB33" s="1">
        <v>10.100199999999999</v>
      </c>
      <c r="AC33" s="1">
        <v>10.1</v>
      </c>
      <c r="AD33" s="1">
        <v>8.9084000000000003</v>
      </c>
      <c r="AE33" s="1">
        <v>7.8503999999999996</v>
      </c>
      <c r="AF33" s="1"/>
      <c r="AG33" s="1">
        <f t="shared" si="10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71</v>
      </c>
      <c r="B34" s="1" t="s">
        <v>42</v>
      </c>
      <c r="C34" s="1">
        <v>635</v>
      </c>
      <c r="D34" s="1">
        <v>405</v>
      </c>
      <c r="E34" s="1">
        <v>842</v>
      </c>
      <c r="F34" s="1">
        <v>148</v>
      </c>
      <c r="G34" s="7">
        <v>0.4</v>
      </c>
      <c r="H34" s="1">
        <v>45</v>
      </c>
      <c r="I34" s="9" t="s">
        <v>40</v>
      </c>
      <c r="J34" s="1"/>
      <c r="K34" s="1">
        <v>990</v>
      </c>
      <c r="L34" s="1">
        <f t="shared" si="2"/>
        <v>-148</v>
      </c>
      <c r="M34" s="1"/>
      <c r="N34" s="1"/>
      <c r="O34" s="1">
        <v>0</v>
      </c>
      <c r="P34" s="1">
        <v>318.13999999999987</v>
      </c>
      <c r="Q34" s="1">
        <v>950.86000000000013</v>
      </c>
      <c r="R34" s="1">
        <f t="shared" si="3"/>
        <v>168.4</v>
      </c>
      <c r="S34" s="5">
        <f t="shared" si="11"/>
        <v>603.80000000000018</v>
      </c>
      <c r="T34" s="1">
        <f t="shared" si="4"/>
        <v>12</v>
      </c>
      <c r="U34" s="1">
        <f t="shared" si="5"/>
        <v>8.4144893111638961</v>
      </c>
      <c r="V34" s="1">
        <v>133</v>
      </c>
      <c r="W34" s="1">
        <v>89.8</v>
      </c>
      <c r="X34" s="1">
        <v>51</v>
      </c>
      <c r="Y34" s="1">
        <v>40.799999999999997</v>
      </c>
      <c r="Z34" s="1">
        <v>105.6</v>
      </c>
      <c r="AA34" s="1">
        <v>80.8</v>
      </c>
      <c r="AB34" s="1">
        <v>39.799999999999997</v>
      </c>
      <c r="AC34" s="1">
        <v>23.4</v>
      </c>
      <c r="AD34" s="1">
        <v>-0.6</v>
      </c>
      <c r="AE34" s="1">
        <v>43</v>
      </c>
      <c r="AF34" s="1"/>
      <c r="AG34" s="1">
        <f t="shared" si="10"/>
        <v>241.5200000000001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72</v>
      </c>
      <c r="B35" s="1" t="s">
        <v>42</v>
      </c>
      <c r="C35" s="1">
        <v>366</v>
      </c>
      <c r="D35" s="1">
        <v>30</v>
      </c>
      <c r="E35" s="1">
        <v>193</v>
      </c>
      <c r="F35" s="1">
        <v>173</v>
      </c>
      <c r="G35" s="7">
        <v>0.45</v>
      </c>
      <c r="H35" s="1">
        <v>50</v>
      </c>
      <c r="I35" s="1" t="s">
        <v>37</v>
      </c>
      <c r="J35" s="1"/>
      <c r="K35" s="1">
        <v>221</v>
      </c>
      <c r="L35" s="1">
        <f t="shared" si="2"/>
        <v>-28</v>
      </c>
      <c r="M35" s="1"/>
      <c r="N35" s="1"/>
      <c r="O35" s="1">
        <v>0</v>
      </c>
      <c r="P35" s="1">
        <v>0</v>
      </c>
      <c r="Q35" s="1">
        <v>358</v>
      </c>
      <c r="R35" s="1">
        <f t="shared" si="3"/>
        <v>38.6</v>
      </c>
      <c r="S35" s="5"/>
      <c r="T35" s="1">
        <f t="shared" si="4"/>
        <v>13.756476683937823</v>
      </c>
      <c r="U35" s="1">
        <f t="shared" si="5"/>
        <v>13.756476683937823</v>
      </c>
      <c r="V35" s="1">
        <v>52.6</v>
      </c>
      <c r="W35" s="1">
        <v>25.8</v>
      </c>
      <c r="X35" s="1">
        <v>12.8</v>
      </c>
      <c r="Y35" s="1">
        <v>24</v>
      </c>
      <c r="Z35" s="1">
        <v>29.4</v>
      </c>
      <c r="AA35" s="1">
        <v>42.2</v>
      </c>
      <c r="AB35" s="1">
        <v>38.799999999999997</v>
      </c>
      <c r="AC35" s="1">
        <v>24.4</v>
      </c>
      <c r="AD35" s="1">
        <v>26.6</v>
      </c>
      <c r="AE35" s="1">
        <v>21.8</v>
      </c>
      <c r="AF35" s="1"/>
      <c r="AG35" s="1">
        <f t="shared" si="10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73</v>
      </c>
      <c r="B36" s="1" t="s">
        <v>42</v>
      </c>
      <c r="C36" s="1">
        <v>350</v>
      </c>
      <c r="D36" s="1">
        <v>387</v>
      </c>
      <c r="E36" s="1">
        <v>405</v>
      </c>
      <c r="F36" s="1">
        <v>317</v>
      </c>
      <c r="G36" s="7">
        <v>0.4</v>
      </c>
      <c r="H36" s="1">
        <v>45</v>
      </c>
      <c r="I36" s="1" t="s">
        <v>37</v>
      </c>
      <c r="J36" s="1"/>
      <c r="K36" s="1">
        <v>404</v>
      </c>
      <c r="L36" s="1">
        <f t="shared" si="2"/>
        <v>1</v>
      </c>
      <c r="M36" s="1"/>
      <c r="N36" s="1"/>
      <c r="O36" s="1">
        <v>0</v>
      </c>
      <c r="P36" s="1">
        <v>0</v>
      </c>
      <c r="Q36" s="1">
        <v>267.40000000000009</v>
      </c>
      <c r="R36" s="1">
        <f t="shared" si="3"/>
        <v>81</v>
      </c>
      <c r="S36" s="5">
        <f t="shared" si="11"/>
        <v>387.59999999999991</v>
      </c>
      <c r="T36" s="1">
        <f t="shared" si="4"/>
        <v>12</v>
      </c>
      <c r="U36" s="1">
        <f t="shared" si="5"/>
        <v>7.2148148148148161</v>
      </c>
      <c r="V36" s="1">
        <v>54.2</v>
      </c>
      <c r="W36" s="1">
        <v>14.8</v>
      </c>
      <c r="X36" s="1">
        <v>11.2</v>
      </c>
      <c r="Y36" s="1">
        <v>27.4</v>
      </c>
      <c r="Z36" s="1">
        <v>58.2</v>
      </c>
      <c r="AA36" s="1">
        <v>44.4</v>
      </c>
      <c r="AB36" s="1">
        <v>18</v>
      </c>
      <c r="AC36" s="1">
        <v>19.2</v>
      </c>
      <c r="AD36" s="1">
        <v>18</v>
      </c>
      <c r="AE36" s="1">
        <v>24.6</v>
      </c>
      <c r="AF36" s="1"/>
      <c r="AG36" s="1">
        <f t="shared" si="10"/>
        <v>155.03999999999996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74</v>
      </c>
      <c r="B37" s="1" t="s">
        <v>42</v>
      </c>
      <c r="C37" s="1">
        <v>10</v>
      </c>
      <c r="D37" s="1"/>
      <c r="E37" s="1">
        <v>10</v>
      </c>
      <c r="F37" s="1"/>
      <c r="G37" s="7">
        <v>0.4</v>
      </c>
      <c r="H37" s="1">
        <v>40</v>
      </c>
      <c r="I37" s="1" t="s">
        <v>37</v>
      </c>
      <c r="J37" s="1"/>
      <c r="K37" s="1">
        <v>16</v>
      </c>
      <c r="L37" s="1">
        <f t="shared" si="2"/>
        <v>-6</v>
      </c>
      <c r="M37" s="1"/>
      <c r="N37" s="1"/>
      <c r="O37" s="1">
        <v>8</v>
      </c>
      <c r="P37" s="1">
        <v>47.599999999999987</v>
      </c>
      <c r="Q37" s="1">
        <v>42.8</v>
      </c>
      <c r="R37" s="1">
        <f t="shared" si="3"/>
        <v>2</v>
      </c>
      <c r="S37" s="5"/>
      <c r="T37" s="1">
        <f t="shared" si="4"/>
        <v>49.199999999999989</v>
      </c>
      <c r="U37" s="1">
        <f t="shared" si="5"/>
        <v>49.199999999999989</v>
      </c>
      <c r="V37" s="1">
        <v>8.1999999999999993</v>
      </c>
      <c r="W37" s="1">
        <v>8.1999999999999993</v>
      </c>
      <c r="X37" s="1">
        <v>3.2</v>
      </c>
      <c r="Y37" s="1">
        <v>3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/>
      <c r="AG37" s="1">
        <f t="shared" si="10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75</v>
      </c>
      <c r="B38" s="1" t="s">
        <v>36</v>
      </c>
      <c r="C38" s="1">
        <v>100.158</v>
      </c>
      <c r="D38" s="1">
        <v>1.4019999999999999</v>
      </c>
      <c r="E38" s="1">
        <v>25.539000000000001</v>
      </c>
      <c r="F38" s="1">
        <v>72.572999999999993</v>
      </c>
      <c r="G38" s="7">
        <v>1</v>
      </c>
      <c r="H38" s="1">
        <v>45</v>
      </c>
      <c r="I38" s="9" t="s">
        <v>40</v>
      </c>
      <c r="J38" s="1"/>
      <c r="K38" s="1">
        <v>24.6</v>
      </c>
      <c r="L38" s="1">
        <f t="shared" ref="L38:L69" si="12">E38-K38</f>
        <v>0.93900000000000006</v>
      </c>
      <c r="M38" s="1"/>
      <c r="N38" s="1"/>
      <c r="O38" s="1">
        <v>0</v>
      </c>
      <c r="P38" s="1">
        <v>0</v>
      </c>
      <c r="Q38" s="1">
        <v>0</v>
      </c>
      <c r="R38" s="1">
        <f t="shared" ref="R38:R69" si="13">E38/5</f>
        <v>5.1078000000000001</v>
      </c>
      <c r="S38" s="5"/>
      <c r="T38" s="1">
        <f t="shared" ref="T38:T69" si="14">(F38+O38+P38+Q38+S38)/R38</f>
        <v>14.208269705156818</v>
      </c>
      <c r="U38" s="1">
        <f t="shared" ref="U38:U69" si="15">(F38+O38+P38+Q38)/R38</f>
        <v>14.208269705156818</v>
      </c>
      <c r="V38" s="1">
        <v>5.5014000000000003</v>
      </c>
      <c r="W38" s="1">
        <v>5.5655999999999999</v>
      </c>
      <c r="X38" s="1">
        <v>6.1146000000000003</v>
      </c>
      <c r="Y38" s="1">
        <v>8.9586000000000006</v>
      </c>
      <c r="Z38" s="1">
        <v>5.7417999999999996</v>
      </c>
      <c r="AA38" s="1">
        <v>7.9707999999999997</v>
      </c>
      <c r="AB38" s="1">
        <v>13.5688</v>
      </c>
      <c r="AC38" s="1">
        <v>10.417999999999999</v>
      </c>
      <c r="AD38" s="1">
        <v>9.3553999999999995</v>
      </c>
      <c r="AE38" s="1">
        <v>10.323</v>
      </c>
      <c r="AF38" s="1"/>
      <c r="AG38" s="1">
        <f t="shared" si="10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76</v>
      </c>
      <c r="B39" s="1" t="s">
        <v>42</v>
      </c>
      <c r="C39" s="1">
        <v>987</v>
      </c>
      <c r="D39" s="1"/>
      <c r="E39" s="1">
        <v>508</v>
      </c>
      <c r="F39" s="1">
        <v>478</v>
      </c>
      <c r="G39" s="7">
        <v>0.1</v>
      </c>
      <c r="H39" s="1">
        <v>731</v>
      </c>
      <c r="I39" s="1" t="s">
        <v>37</v>
      </c>
      <c r="J39" s="1"/>
      <c r="K39" s="1">
        <v>461</v>
      </c>
      <c r="L39" s="1">
        <f t="shared" si="12"/>
        <v>47</v>
      </c>
      <c r="M39" s="1"/>
      <c r="N39" s="1"/>
      <c r="O39" s="1">
        <v>300</v>
      </c>
      <c r="P39" s="1">
        <v>0</v>
      </c>
      <c r="Q39" s="1">
        <v>161.40000000000009</v>
      </c>
      <c r="R39" s="1">
        <f t="shared" si="13"/>
        <v>101.6</v>
      </c>
      <c r="S39" s="5">
        <f t="shared" si="11"/>
        <v>279.79999999999973</v>
      </c>
      <c r="T39" s="1">
        <f t="shared" si="14"/>
        <v>11.999999999999998</v>
      </c>
      <c r="U39" s="1">
        <f t="shared" si="15"/>
        <v>9.2460629921259851</v>
      </c>
      <c r="V39" s="1">
        <v>90.2</v>
      </c>
      <c r="W39" s="1">
        <v>82.6</v>
      </c>
      <c r="X39" s="1">
        <v>90.4</v>
      </c>
      <c r="Y39" s="1">
        <v>95.8</v>
      </c>
      <c r="Z39" s="1">
        <v>118.6</v>
      </c>
      <c r="AA39" s="1">
        <v>125.2</v>
      </c>
      <c r="AB39" s="1">
        <v>102.8</v>
      </c>
      <c r="AC39" s="1">
        <v>113.8</v>
      </c>
      <c r="AD39" s="1">
        <v>149.4</v>
      </c>
      <c r="AE39" s="1">
        <v>112</v>
      </c>
      <c r="AF39" s="1" t="s">
        <v>77</v>
      </c>
      <c r="AG39" s="1">
        <f t="shared" si="10"/>
        <v>27.979999999999976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78</v>
      </c>
      <c r="B40" s="1" t="s">
        <v>42</v>
      </c>
      <c r="C40" s="1">
        <v>-2</v>
      </c>
      <c r="D40" s="1">
        <v>30</v>
      </c>
      <c r="E40" s="1">
        <v>8</v>
      </c>
      <c r="F40" s="1">
        <v>20</v>
      </c>
      <c r="G40" s="7">
        <v>0.35</v>
      </c>
      <c r="H40" s="1">
        <v>40</v>
      </c>
      <c r="I40" s="9" t="s">
        <v>40</v>
      </c>
      <c r="J40" s="1"/>
      <c r="K40" s="1">
        <v>8</v>
      </c>
      <c r="L40" s="1">
        <f t="shared" si="12"/>
        <v>0</v>
      </c>
      <c r="M40" s="1"/>
      <c r="N40" s="1"/>
      <c r="O40" s="1">
        <v>200</v>
      </c>
      <c r="P40" s="1">
        <v>0</v>
      </c>
      <c r="Q40" s="1">
        <v>100</v>
      </c>
      <c r="R40" s="1">
        <f t="shared" si="13"/>
        <v>1.6</v>
      </c>
      <c r="S40" s="5"/>
      <c r="T40" s="1">
        <f t="shared" si="14"/>
        <v>200</v>
      </c>
      <c r="U40" s="1">
        <f t="shared" si="15"/>
        <v>200</v>
      </c>
      <c r="V40" s="1">
        <v>-0.4</v>
      </c>
      <c r="W40" s="1">
        <v>-0.4</v>
      </c>
      <c r="X40" s="1">
        <v>-0.2</v>
      </c>
      <c r="Y40" s="1">
        <v>-0.2</v>
      </c>
      <c r="Z40" s="1">
        <v>4.8</v>
      </c>
      <c r="AA40" s="1">
        <v>9.8000000000000007</v>
      </c>
      <c r="AB40" s="1">
        <v>10.8</v>
      </c>
      <c r="AC40" s="1">
        <v>5.6</v>
      </c>
      <c r="AD40" s="1">
        <v>-3.8</v>
      </c>
      <c r="AE40" s="1">
        <v>-3.6</v>
      </c>
      <c r="AF40" s="1"/>
      <c r="AG40" s="1">
        <f t="shared" si="10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79</v>
      </c>
      <c r="B41" s="1" t="s">
        <v>36</v>
      </c>
      <c r="C41" s="1">
        <v>264.44600000000003</v>
      </c>
      <c r="D41" s="1">
        <v>12.363</v>
      </c>
      <c r="E41" s="1">
        <v>212.78</v>
      </c>
      <c r="F41" s="1">
        <v>59.668999999999997</v>
      </c>
      <c r="G41" s="7">
        <v>1</v>
      </c>
      <c r="H41" s="1">
        <v>40</v>
      </c>
      <c r="I41" s="1" t="s">
        <v>37</v>
      </c>
      <c r="J41" s="1"/>
      <c r="K41" s="1">
        <v>218.4</v>
      </c>
      <c r="L41" s="1">
        <f t="shared" si="12"/>
        <v>-5.6200000000000045</v>
      </c>
      <c r="M41" s="1"/>
      <c r="N41" s="1"/>
      <c r="O41" s="1">
        <v>0</v>
      </c>
      <c r="P41" s="1">
        <v>140.06886</v>
      </c>
      <c r="Q41" s="1">
        <v>137.69834000000009</v>
      </c>
      <c r="R41" s="1">
        <f t="shared" si="13"/>
        <v>42.555999999999997</v>
      </c>
      <c r="S41" s="5">
        <f t="shared" si="11"/>
        <v>173.23579999999987</v>
      </c>
      <c r="T41" s="1">
        <f t="shared" si="14"/>
        <v>12</v>
      </c>
      <c r="U41" s="1">
        <f t="shared" si="15"/>
        <v>7.9292273709935168</v>
      </c>
      <c r="V41" s="1">
        <v>35.138599999999997</v>
      </c>
      <c r="W41" s="1">
        <v>27.880199999999999</v>
      </c>
      <c r="X41" s="1">
        <v>5.6612</v>
      </c>
      <c r="Y41" s="1">
        <v>4.0103999999999997</v>
      </c>
      <c r="Z41" s="1">
        <v>14.308199999999999</v>
      </c>
      <c r="AA41" s="1">
        <v>28.140599999999999</v>
      </c>
      <c r="AB41" s="1">
        <v>19.882000000000001</v>
      </c>
      <c r="AC41" s="1">
        <v>1.5982000000000001</v>
      </c>
      <c r="AD41" s="1">
        <v>5.7080000000000002</v>
      </c>
      <c r="AE41" s="1">
        <v>8.1778000000000013</v>
      </c>
      <c r="AF41" s="1"/>
      <c r="AG41" s="1">
        <f t="shared" si="10"/>
        <v>173.23579999999987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80</v>
      </c>
      <c r="B42" s="1" t="s">
        <v>42</v>
      </c>
      <c r="C42" s="1">
        <v>101</v>
      </c>
      <c r="D42" s="1">
        <v>88</v>
      </c>
      <c r="E42" s="1">
        <v>65</v>
      </c>
      <c r="F42" s="1">
        <v>107</v>
      </c>
      <c r="G42" s="7">
        <v>0.4</v>
      </c>
      <c r="H42" s="1">
        <v>40</v>
      </c>
      <c r="I42" s="9" t="s">
        <v>40</v>
      </c>
      <c r="J42" s="1"/>
      <c r="K42" s="1">
        <v>138</v>
      </c>
      <c r="L42" s="1">
        <f t="shared" si="12"/>
        <v>-73</v>
      </c>
      <c r="M42" s="1"/>
      <c r="N42" s="1"/>
      <c r="O42" s="1">
        <v>0</v>
      </c>
      <c r="P42" s="1">
        <v>49.5</v>
      </c>
      <c r="Q42" s="1">
        <v>86.5</v>
      </c>
      <c r="R42" s="1">
        <f t="shared" si="13"/>
        <v>13</v>
      </c>
      <c r="S42" s="5"/>
      <c r="T42" s="1">
        <f t="shared" si="14"/>
        <v>18.692307692307693</v>
      </c>
      <c r="U42" s="1">
        <f t="shared" si="15"/>
        <v>18.692307692307693</v>
      </c>
      <c r="V42" s="1">
        <v>20</v>
      </c>
      <c r="W42" s="1">
        <v>15</v>
      </c>
      <c r="X42" s="1">
        <v>8.4</v>
      </c>
      <c r="Y42" s="1">
        <v>20.6</v>
      </c>
      <c r="Z42" s="1">
        <v>18.8</v>
      </c>
      <c r="AA42" s="1">
        <v>8</v>
      </c>
      <c r="AB42" s="1">
        <v>13.8</v>
      </c>
      <c r="AC42" s="1">
        <v>28.2</v>
      </c>
      <c r="AD42" s="1">
        <v>24.6</v>
      </c>
      <c r="AE42" s="1">
        <v>15.2</v>
      </c>
      <c r="AF42" s="1"/>
      <c r="AG42" s="1">
        <f t="shared" si="10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81</v>
      </c>
      <c r="B43" s="1" t="s">
        <v>42</v>
      </c>
      <c r="C43" s="1">
        <v>38</v>
      </c>
      <c r="D43" s="1">
        <v>1</v>
      </c>
      <c r="E43" s="1">
        <v>34</v>
      </c>
      <c r="F43" s="1">
        <v>2</v>
      </c>
      <c r="G43" s="7">
        <v>0.4</v>
      </c>
      <c r="H43" s="1">
        <v>45</v>
      </c>
      <c r="I43" s="9" t="s">
        <v>40</v>
      </c>
      <c r="J43" s="1"/>
      <c r="K43" s="1">
        <v>47</v>
      </c>
      <c r="L43" s="1">
        <f t="shared" si="12"/>
        <v>-13</v>
      </c>
      <c r="M43" s="1"/>
      <c r="N43" s="1"/>
      <c r="O43" s="1">
        <v>80.200000000000017</v>
      </c>
      <c r="P43" s="1">
        <v>147.78</v>
      </c>
      <c r="Q43" s="1">
        <v>0</v>
      </c>
      <c r="R43" s="1">
        <f t="shared" si="13"/>
        <v>6.8</v>
      </c>
      <c r="S43" s="5"/>
      <c r="T43" s="1">
        <f t="shared" si="14"/>
        <v>33.820588235294125</v>
      </c>
      <c r="U43" s="1">
        <f t="shared" si="15"/>
        <v>33.820588235294125</v>
      </c>
      <c r="V43" s="1">
        <v>17.2</v>
      </c>
      <c r="W43" s="1">
        <v>18.600000000000001</v>
      </c>
      <c r="X43" s="1">
        <v>11.8</v>
      </c>
      <c r="Y43" s="1">
        <v>21.6</v>
      </c>
      <c r="Z43" s="1">
        <v>17.399999999999999</v>
      </c>
      <c r="AA43" s="1">
        <v>19</v>
      </c>
      <c r="AB43" s="1">
        <v>32</v>
      </c>
      <c r="AC43" s="1">
        <v>33.4</v>
      </c>
      <c r="AD43" s="1">
        <v>27.6</v>
      </c>
      <c r="AE43" s="1">
        <v>19</v>
      </c>
      <c r="AF43" s="1"/>
      <c r="AG43" s="1">
        <f t="shared" si="10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82</v>
      </c>
      <c r="B44" s="1" t="s">
        <v>36</v>
      </c>
      <c r="C44" s="1">
        <v>127.92100000000001</v>
      </c>
      <c r="D44" s="1">
        <v>152.471</v>
      </c>
      <c r="E44" s="1">
        <v>176.87299999999999</v>
      </c>
      <c r="F44" s="1">
        <v>103.526</v>
      </c>
      <c r="G44" s="7">
        <v>1</v>
      </c>
      <c r="H44" s="1">
        <v>40</v>
      </c>
      <c r="I44" s="9" t="s">
        <v>40</v>
      </c>
      <c r="J44" s="1"/>
      <c r="K44" s="1">
        <v>183.9</v>
      </c>
      <c r="L44" s="1">
        <f t="shared" si="12"/>
        <v>-7.0270000000000152</v>
      </c>
      <c r="M44" s="1"/>
      <c r="N44" s="1"/>
      <c r="O44" s="1">
        <v>0</v>
      </c>
      <c r="P44" s="1">
        <v>0</v>
      </c>
      <c r="Q44" s="1">
        <v>100</v>
      </c>
      <c r="R44" s="1">
        <f t="shared" si="13"/>
        <v>35.374600000000001</v>
      </c>
      <c r="S44" s="5">
        <f t="shared" si="11"/>
        <v>220.9692</v>
      </c>
      <c r="T44" s="1">
        <f t="shared" si="14"/>
        <v>12</v>
      </c>
      <c r="U44" s="1">
        <f t="shared" si="15"/>
        <v>5.7534502156914851</v>
      </c>
      <c r="V44" s="1">
        <v>11.3222</v>
      </c>
      <c r="W44" s="1">
        <v>2.0312000000000001</v>
      </c>
      <c r="X44" s="1">
        <v>-0.43519999999999998</v>
      </c>
      <c r="Y44" s="1">
        <v>8.0980000000000008</v>
      </c>
      <c r="Z44" s="1">
        <v>18.626799999999999</v>
      </c>
      <c r="AA44" s="1">
        <v>12.271599999999999</v>
      </c>
      <c r="AB44" s="1">
        <v>3.7730000000000001</v>
      </c>
      <c r="AC44" s="1">
        <v>0.57640000000000002</v>
      </c>
      <c r="AD44" s="1">
        <v>3.3826000000000001</v>
      </c>
      <c r="AE44" s="1">
        <v>8.9486000000000008</v>
      </c>
      <c r="AF44" s="1"/>
      <c r="AG44" s="1">
        <f t="shared" si="10"/>
        <v>220.9692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83</v>
      </c>
      <c r="B45" s="1" t="s">
        <v>42</v>
      </c>
      <c r="C45" s="1">
        <v>180</v>
      </c>
      <c r="D45" s="1">
        <v>201</v>
      </c>
      <c r="E45" s="1">
        <v>314</v>
      </c>
      <c r="F45" s="1">
        <v>60</v>
      </c>
      <c r="G45" s="7">
        <v>0.35</v>
      </c>
      <c r="H45" s="1">
        <v>40</v>
      </c>
      <c r="I45" s="9" t="s">
        <v>40</v>
      </c>
      <c r="J45" s="1"/>
      <c r="K45" s="1">
        <v>378</v>
      </c>
      <c r="L45" s="1">
        <f t="shared" si="12"/>
        <v>-64</v>
      </c>
      <c r="M45" s="1"/>
      <c r="N45" s="1"/>
      <c r="O45" s="1">
        <v>0</v>
      </c>
      <c r="P45" s="1">
        <v>0</v>
      </c>
      <c r="Q45" s="1">
        <v>344.4</v>
      </c>
      <c r="R45" s="1">
        <f t="shared" si="13"/>
        <v>62.8</v>
      </c>
      <c r="S45" s="5">
        <f t="shared" si="11"/>
        <v>349.19999999999993</v>
      </c>
      <c r="T45" s="1">
        <f t="shared" si="14"/>
        <v>11.999999999999998</v>
      </c>
      <c r="U45" s="1">
        <f t="shared" si="15"/>
        <v>6.4394904458598727</v>
      </c>
      <c r="V45" s="1">
        <v>48.4</v>
      </c>
      <c r="W45" s="1">
        <v>13.8</v>
      </c>
      <c r="X45" s="1">
        <v>2</v>
      </c>
      <c r="Y45" s="1">
        <v>2</v>
      </c>
      <c r="Z45" s="1">
        <v>32</v>
      </c>
      <c r="AA45" s="1">
        <v>47.4</v>
      </c>
      <c r="AB45" s="1">
        <v>23.6</v>
      </c>
      <c r="AC45" s="1">
        <v>31.8</v>
      </c>
      <c r="AD45" s="1">
        <v>39</v>
      </c>
      <c r="AE45" s="1">
        <v>35.6</v>
      </c>
      <c r="AF45" s="1"/>
      <c r="AG45" s="1">
        <f t="shared" si="10"/>
        <v>122.21999999999997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84</v>
      </c>
      <c r="B46" s="1" t="s">
        <v>42</v>
      </c>
      <c r="C46" s="1">
        <v>33</v>
      </c>
      <c r="D46" s="1">
        <v>523</v>
      </c>
      <c r="E46" s="1">
        <v>80</v>
      </c>
      <c r="F46" s="1">
        <v>465</v>
      </c>
      <c r="G46" s="7">
        <v>0.4</v>
      </c>
      <c r="H46" s="1">
        <v>40</v>
      </c>
      <c r="I46" s="1" t="s">
        <v>37</v>
      </c>
      <c r="J46" s="1"/>
      <c r="K46" s="1">
        <v>91</v>
      </c>
      <c r="L46" s="1">
        <f t="shared" si="12"/>
        <v>-11</v>
      </c>
      <c r="M46" s="1"/>
      <c r="N46" s="1"/>
      <c r="O46" s="1">
        <v>0</v>
      </c>
      <c r="P46" s="1">
        <v>0</v>
      </c>
      <c r="Q46" s="1">
        <v>0</v>
      </c>
      <c r="R46" s="1">
        <f t="shared" si="13"/>
        <v>16</v>
      </c>
      <c r="S46" s="5"/>
      <c r="T46" s="1">
        <f t="shared" si="14"/>
        <v>29.0625</v>
      </c>
      <c r="U46" s="1">
        <f t="shared" si="15"/>
        <v>29.0625</v>
      </c>
      <c r="V46" s="1">
        <v>13.8</v>
      </c>
      <c r="W46" s="1">
        <v>7.6</v>
      </c>
      <c r="X46" s="1">
        <v>21.8</v>
      </c>
      <c r="Y46" s="1">
        <v>56.4</v>
      </c>
      <c r="Z46" s="1">
        <v>58.2</v>
      </c>
      <c r="AA46" s="1">
        <v>23.2</v>
      </c>
      <c r="AB46" s="1">
        <v>2.4</v>
      </c>
      <c r="AC46" s="1">
        <v>34</v>
      </c>
      <c r="AD46" s="1">
        <v>51.6</v>
      </c>
      <c r="AE46" s="1">
        <v>49.6</v>
      </c>
      <c r="AF46" s="1"/>
      <c r="AG46" s="1">
        <f t="shared" si="10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85</v>
      </c>
      <c r="B47" s="1" t="s">
        <v>36</v>
      </c>
      <c r="C47" s="1">
        <v>104.27800000000001</v>
      </c>
      <c r="D47" s="1">
        <v>2.702</v>
      </c>
      <c r="E47" s="1">
        <v>75.043000000000006</v>
      </c>
      <c r="F47" s="1">
        <v>28.588999999999999</v>
      </c>
      <c r="G47" s="7">
        <v>1</v>
      </c>
      <c r="H47" s="1">
        <v>50</v>
      </c>
      <c r="I47" s="1" t="s">
        <v>37</v>
      </c>
      <c r="J47" s="1"/>
      <c r="K47" s="1">
        <v>75.650000000000006</v>
      </c>
      <c r="L47" s="1">
        <f t="shared" si="12"/>
        <v>-0.60699999999999932</v>
      </c>
      <c r="M47" s="1"/>
      <c r="N47" s="1"/>
      <c r="O47" s="1">
        <v>0</v>
      </c>
      <c r="P47" s="1">
        <v>0</v>
      </c>
      <c r="Q47" s="1">
        <v>150</v>
      </c>
      <c r="R47" s="1">
        <f t="shared" si="13"/>
        <v>15.008600000000001</v>
      </c>
      <c r="S47" s="5">
        <v>4</v>
      </c>
      <c r="T47" s="1">
        <f t="shared" si="14"/>
        <v>12.165625041642791</v>
      </c>
      <c r="U47" s="1">
        <f t="shared" si="15"/>
        <v>11.899111176258943</v>
      </c>
      <c r="V47" s="1">
        <v>11.4558</v>
      </c>
      <c r="W47" s="1">
        <v>8.1006</v>
      </c>
      <c r="X47" s="1">
        <v>5.1276000000000002</v>
      </c>
      <c r="Y47" s="1">
        <v>4.0519999999999996</v>
      </c>
      <c r="Z47" s="1">
        <v>8.6585999999999999</v>
      </c>
      <c r="AA47" s="1">
        <v>12.7052</v>
      </c>
      <c r="AB47" s="1">
        <v>13.9094</v>
      </c>
      <c r="AC47" s="1">
        <v>13.914</v>
      </c>
      <c r="AD47" s="1">
        <v>8.3748000000000005</v>
      </c>
      <c r="AE47" s="1">
        <v>5.9323999999999986</v>
      </c>
      <c r="AF47" s="1"/>
      <c r="AG47" s="1">
        <f t="shared" si="10"/>
        <v>4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86</v>
      </c>
      <c r="B48" s="1" t="s">
        <v>36</v>
      </c>
      <c r="C48" s="1">
        <v>140.672</v>
      </c>
      <c r="D48" s="1">
        <v>53.256</v>
      </c>
      <c r="E48" s="1">
        <v>131.363</v>
      </c>
      <c r="F48" s="1">
        <v>22.613</v>
      </c>
      <c r="G48" s="7">
        <v>1</v>
      </c>
      <c r="H48" s="1">
        <v>50</v>
      </c>
      <c r="I48" s="1" t="s">
        <v>37</v>
      </c>
      <c r="J48" s="1"/>
      <c r="K48" s="1">
        <v>130.6</v>
      </c>
      <c r="L48" s="1">
        <f t="shared" si="12"/>
        <v>0.76300000000000523</v>
      </c>
      <c r="M48" s="1"/>
      <c r="N48" s="1"/>
      <c r="O48" s="1">
        <v>0</v>
      </c>
      <c r="P48" s="1">
        <v>270.30741999999998</v>
      </c>
      <c r="Q48" s="1">
        <v>63.46958000000005</v>
      </c>
      <c r="R48" s="1">
        <f t="shared" si="13"/>
        <v>26.272600000000001</v>
      </c>
      <c r="S48" s="5"/>
      <c r="T48" s="1">
        <f t="shared" si="14"/>
        <v>13.565083014242976</v>
      </c>
      <c r="U48" s="1">
        <f t="shared" si="15"/>
        <v>13.565083014242976</v>
      </c>
      <c r="V48" s="1">
        <v>32.82</v>
      </c>
      <c r="W48" s="1">
        <v>28.619399999999999</v>
      </c>
      <c r="X48" s="1">
        <v>16.1906</v>
      </c>
      <c r="Y48" s="1">
        <v>24.096800000000002</v>
      </c>
      <c r="Z48" s="1">
        <v>23.748799999999999</v>
      </c>
      <c r="AA48" s="1">
        <v>26.533999999999999</v>
      </c>
      <c r="AB48" s="1">
        <v>34.277000000000001</v>
      </c>
      <c r="AC48" s="1">
        <v>28.886399999999998</v>
      </c>
      <c r="AD48" s="1">
        <v>31.163599999999999</v>
      </c>
      <c r="AE48" s="1">
        <v>29.2424</v>
      </c>
      <c r="AF48" s="1" t="s">
        <v>77</v>
      </c>
      <c r="AG48" s="1">
        <f t="shared" si="10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87</v>
      </c>
      <c r="B49" s="1" t="s">
        <v>36</v>
      </c>
      <c r="C49" s="1">
        <v>-2.3E-2</v>
      </c>
      <c r="D49" s="1"/>
      <c r="E49" s="1"/>
      <c r="F49" s="1">
        <v>-2.3E-2</v>
      </c>
      <c r="G49" s="7">
        <v>1</v>
      </c>
      <c r="H49" s="1">
        <v>45</v>
      </c>
      <c r="I49" s="9" t="s">
        <v>40</v>
      </c>
      <c r="J49" s="1"/>
      <c r="K49" s="1"/>
      <c r="L49" s="1">
        <f t="shared" si="12"/>
        <v>0</v>
      </c>
      <c r="M49" s="1"/>
      <c r="N49" s="1"/>
      <c r="O49" s="1">
        <v>40</v>
      </c>
      <c r="P49" s="1">
        <v>39.709199999999989</v>
      </c>
      <c r="Q49" s="1">
        <v>0</v>
      </c>
      <c r="R49" s="1">
        <f t="shared" si="13"/>
        <v>0</v>
      </c>
      <c r="S49" s="5"/>
      <c r="T49" s="1" t="e">
        <f t="shared" si="14"/>
        <v>#DIV/0!</v>
      </c>
      <c r="U49" s="1" t="e">
        <f t="shared" si="15"/>
        <v>#DIV/0!</v>
      </c>
      <c r="V49" s="1">
        <v>1.2236</v>
      </c>
      <c r="W49" s="1">
        <v>7.2441999999999993</v>
      </c>
      <c r="X49" s="1">
        <v>6.0206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/>
      <c r="AG49" s="1">
        <f t="shared" si="10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88</v>
      </c>
      <c r="B50" s="1" t="s">
        <v>42</v>
      </c>
      <c r="C50" s="1">
        <v>311</v>
      </c>
      <c r="D50" s="1">
        <v>59</v>
      </c>
      <c r="E50" s="1">
        <v>157</v>
      </c>
      <c r="F50" s="1">
        <v>159</v>
      </c>
      <c r="G50" s="7">
        <v>0.45</v>
      </c>
      <c r="H50" s="1">
        <v>50</v>
      </c>
      <c r="I50" s="1" t="s">
        <v>37</v>
      </c>
      <c r="J50" s="1"/>
      <c r="K50" s="1">
        <v>163</v>
      </c>
      <c r="L50" s="1">
        <f t="shared" si="12"/>
        <v>-6</v>
      </c>
      <c r="M50" s="1"/>
      <c r="N50" s="1"/>
      <c r="O50" s="1">
        <v>0</v>
      </c>
      <c r="P50" s="1">
        <v>0</v>
      </c>
      <c r="Q50" s="1">
        <v>223</v>
      </c>
      <c r="R50" s="1">
        <f t="shared" si="13"/>
        <v>31.4</v>
      </c>
      <c r="S50" s="5"/>
      <c r="T50" s="1">
        <f t="shared" si="14"/>
        <v>12.165605095541402</v>
      </c>
      <c r="U50" s="1">
        <f t="shared" si="15"/>
        <v>12.165605095541402</v>
      </c>
      <c r="V50" s="1">
        <v>33</v>
      </c>
      <c r="W50" s="1">
        <v>16.2</v>
      </c>
      <c r="X50" s="1">
        <v>12.4</v>
      </c>
      <c r="Y50" s="1">
        <v>16.399999999999999</v>
      </c>
      <c r="Z50" s="1">
        <v>16.8</v>
      </c>
      <c r="AA50" s="1">
        <v>30.2</v>
      </c>
      <c r="AB50" s="1">
        <v>32</v>
      </c>
      <c r="AC50" s="1">
        <v>21.6</v>
      </c>
      <c r="AD50" s="1">
        <v>21.4</v>
      </c>
      <c r="AE50" s="1">
        <v>19.399999999999999</v>
      </c>
      <c r="AF50" s="1"/>
      <c r="AG50" s="1">
        <f t="shared" si="10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89</v>
      </c>
      <c r="B51" s="1" t="s">
        <v>42</v>
      </c>
      <c r="C51" s="1">
        <v>387</v>
      </c>
      <c r="D51" s="1">
        <v>35</v>
      </c>
      <c r="E51" s="1">
        <v>201</v>
      </c>
      <c r="F51" s="1">
        <v>184</v>
      </c>
      <c r="G51" s="7">
        <v>0.45</v>
      </c>
      <c r="H51" s="1">
        <v>50</v>
      </c>
      <c r="I51" s="1" t="s">
        <v>37</v>
      </c>
      <c r="J51" s="1"/>
      <c r="K51" s="1">
        <v>209</v>
      </c>
      <c r="L51" s="1">
        <f t="shared" si="12"/>
        <v>-8</v>
      </c>
      <c r="M51" s="1"/>
      <c r="N51" s="1"/>
      <c r="O51" s="1">
        <v>0</v>
      </c>
      <c r="P51" s="1">
        <v>0</v>
      </c>
      <c r="Q51" s="1">
        <v>334.6</v>
      </c>
      <c r="R51" s="1">
        <f t="shared" si="13"/>
        <v>40.200000000000003</v>
      </c>
      <c r="S51" s="5"/>
      <c r="T51" s="1">
        <f t="shared" si="14"/>
        <v>12.900497512437811</v>
      </c>
      <c r="U51" s="1">
        <f t="shared" si="15"/>
        <v>12.900497512437811</v>
      </c>
      <c r="V51" s="1">
        <v>48.6</v>
      </c>
      <c r="W51" s="1">
        <v>21.8</v>
      </c>
      <c r="X51" s="1">
        <v>18.600000000000001</v>
      </c>
      <c r="Y51" s="1">
        <v>27.6</v>
      </c>
      <c r="Z51" s="1">
        <v>28</v>
      </c>
      <c r="AA51" s="1">
        <v>43.8</v>
      </c>
      <c r="AB51" s="1">
        <v>41.6</v>
      </c>
      <c r="AC51" s="1">
        <v>24.2</v>
      </c>
      <c r="AD51" s="1">
        <v>21.6</v>
      </c>
      <c r="AE51" s="1">
        <v>16</v>
      </c>
      <c r="AF51" s="1"/>
      <c r="AG51" s="1">
        <f t="shared" si="10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90</v>
      </c>
      <c r="B52" s="1" t="s">
        <v>42</v>
      </c>
      <c r="C52" s="1">
        <v>1</v>
      </c>
      <c r="D52" s="1">
        <v>132</v>
      </c>
      <c r="E52" s="1">
        <v>8</v>
      </c>
      <c r="F52" s="1">
        <v>121</v>
      </c>
      <c r="G52" s="7">
        <v>0.4</v>
      </c>
      <c r="H52" s="1">
        <v>40</v>
      </c>
      <c r="I52" s="1" t="s">
        <v>37</v>
      </c>
      <c r="J52" s="1"/>
      <c r="K52" s="1">
        <v>14</v>
      </c>
      <c r="L52" s="1">
        <f t="shared" si="12"/>
        <v>-6</v>
      </c>
      <c r="M52" s="1"/>
      <c r="N52" s="1"/>
      <c r="O52" s="1">
        <v>0</v>
      </c>
      <c r="P52" s="1">
        <v>0</v>
      </c>
      <c r="Q52" s="1">
        <v>0</v>
      </c>
      <c r="R52" s="1">
        <f t="shared" si="13"/>
        <v>1.6</v>
      </c>
      <c r="S52" s="5"/>
      <c r="T52" s="1">
        <f t="shared" si="14"/>
        <v>75.625</v>
      </c>
      <c r="U52" s="1">
        <f t="shared" si="15"/>
        <v>75.625</v>
      </c>
      <c r="V52" s="1">
        <v>0.8</v>
      </c>
      <c r="W52" s="1">
        <v>2.6</v>
      </c>
      <c r="X52" s="1">
        <v>2.6</v>
      </c>
      <c r="Y52" s="1">
        <v>13.6</v>
      </c>
      <c r="Z52" s="1">
        <v>18</v>
      </c>
      <c r="AA52" s="1">
        <v>5.2</v>
      </c>
      <c r="AB52" s="1">
        <v>0.6</v>
      </c>
      <c r="AC52" s="1">
        <v>0.6</v>
      </c>
      <c r="AD52" s="1">
        <v>0</v>
      </c>
      <c r="AE52" s="1">
        <v>0.6</v>
      </c>
      <c r="AF52" s="1"/>
      <c r="AG52" s="1">
        <f t="shared" si="10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91</v>
      </c>
      <c r="B53" s="1" t="s">
        <v>42</v>
      </c>
      <c r="C53" s="1">
        <v>66</v>
      </c>
      <c r="D53" s="1">
        <v>180</v>
      </c>
      <c r="E53" s="1">
        <v>64</v>
      </c>
      <c r="F53" s="1">
        <v>172</v>
      </c>
      <c r="G53" s="7">
        <v>0.4</v>
      </c>
      <c r="H53" s="1">
        <v>40</v>
      </c>
      <c r="I53" s="1" t="s">
        <v>37</v>
      </c>
      <c r="J53" s="1"/>
      <c r="K53" s="1">
        <v>72</v>
      </c>
      <c r="L53" s="1">
        <f t="shared" si="12"/>
        <v>-8</v>
      </c>
      <c r="M53" s="1"/>
      <c r="N53" s="1"/>
      <c r="O53" s="1">
        <v>0</v>
      </c>
      <c r="P53" s="1">
        <v>0</v>
      </c>
      <c r="Q53" s="1">
        <v>13.32000000000002</v>
      </c>
      <c r="R53" s="1">
        <f t="shared" si="13"/>
        <v>12.8</v>
      </c>
      <c r="S53" s="5"/>
      <c r="T53" s="1">
        <f t="shared" si="14"/>
        <v>14.478125</v>
      </c>
      <c r="U53" s="1">
        <f t="shared" si="15"/>
        <v>14.478125</v>
      </c>
      <c r="V53" s="1">
        <v>16.600000000000001</v>
      </c>
      <c r="W53" s="1">
        <v>10.199999999999999</v>
      </c>
      <c r="X53" s="1">
        <v>5.8</v>
      </c>
      <c r="Y53" s="1">
        <v>21.8</v>
      </c>
      <c r="Z53" s="1">
        <v>21.6</v>
      </c>
      <c r="AA53" s="1">
        <v>10.199999999999999</v>
      </c>
      <c r="AB53" s="1">
        <v>13.4</v>
      </c>
      <c r="AC53" s="1">
        <v>20.6</v>
      </c>
      <c r="AD53" s="1">
        <v>22.6</v>
      </c>
      <c r="AE53" s="1">
        <v>16</v>
      </c>
      <c r="AF53" s="1"/>
      <c r="AG53" s="1">
        <f t="shared" si="10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92</v>
      </c>
      <c r="B54" s="1" t="s">
        <v>36</v>
      </c>
      <c r="C54" s="1">
        <v>67.763999999999996</v>
      </c>
      <c r="D54" s="1">
        <v>7.2619999999999996</v>
      </c>
      <c r="E54" s="1">
        <v>67.971999999999994</v>
      </c>
      <c r="F54" s="1">
        <v>-0.28799999999999998</v>
      </c>
      <c r="G54" s="7">
        <v>1</v>
      </c>
      <c r="H54" s="1">
        <v>50</v>
      </c>
      <c r="I54" s="1" t="s">
        <v>37</v>
      </c>
      <c r="J54" s="1"/>
      <c r="K54" s="1">
        <v>72.7</v>
      </c>
      <c r="L54" s="1">
        <f t="shared" si="12"/>
        <v>-4.7280000000000086</v>
      </c>
      <c r="M54" s="1"/>
      <c r="N54" s="1"/>
      <c r="O54" s="1">
        <v>62.210600000000021</v>
      </c>
      <c r="P54" s="1">
        <v>58.824959999999962</v>
      </c>
      <c r="Q54" s="1">
        <v>150</v>
      </c>
      <c r="R54" s="1">
        <f t="shared" si="13"/>
        <v>13.594399999999998</v>
      </c>
      <c r="S54" s="5"/>
      <c r="T54" s="1">
        <f t="shared" si="14"/>
        <v>19.916109574530694</v>
      </c>
      <c r="U54" s="1">
        <f t="shared" si="15"/>
        <v>19.916109574530694</v>
      </c>
      <c r="V54" s="1">
        <v>20.284400000000002</v>
      </c>
      <c r="W54" s="1">
        <v>13.1692</v>
      </c>
      <c r="X54" s="1">
        <v>12.071400000000001</v>
      </c>
      <c r="Y54" s="1">
        <v>14.194000000000001</v>
      </c>
      <c r="Z54" s="1">
        <v>12.063599999999999</v>
      </c>
      <c r="AA54" s="1">
        <v>14.1008</v>
      </c>
      <c r="AB54" s="1">
        <v>15.144</v>
      </c>
      <c r="AC54" s="1">
        <v>11.5428</v>
      </c>
      <c r="AD54" s="1">
        <v>14.5372</v>
      </c>
      <c r="AE54" s="1">
        <v>14.926600000000001</v>
      </c>
      <c r="AF54" s="1" t="s">
        <v>77</v>
      </c>
      <c r="AG54" s="1">
        <f t="shared" si="10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93</v>
      </c>
      <c r="B55" s="1" t="s">
        <v>42</v>
      </c>
      <c r="C55" s="1">
        <v>852</v>
      </c>
      <c r="D55" s="1"/>
      <c r="E55" s="13">
        <f>277+E126</f>
        <v>355</v>
      </c>
      <c r="F55" s="13">
        <f>575+F126</f>
        <v>647</v>
      </c>
      <c r="G55" s="7">
        <v>0.1</v>
      </c>
      <c r="H55" s="1">
        <v>731</v>
      </c>
      <c r="I55" s="1" t="s">
        <v>37</v>
      </c>
      <c r="J55" s="1"/>
      <c r="K55" s="1">
        <v>272</v>
      </c>
      <c r="L55" s="1">
        <f t="shared" si="12"/>
        <v>83</v>
      </c>
      <c r="M55" s="1"/>
      <c r="N55" s="1"/>
      <c r="O55" s="1">
        <v>0</v>
      </c>
      <c r="P55" s="1">
        <v>0</v>
      </c>
      <c r="Q55" s="1">
        <v>0</v>
      </c>
      <c r="R55" s="1">
        <f t="shared" si="13"/>
        <v>71</v>
      </c>
      <c r="S55" s="5">
        <f t="shared" si="11"/>
        <v>205</v>
      </c>
      <c r="T55" s="1">
        <f t="shared" si="14"/>
        <v>12</v>
      </c>
      <c r="U55" s="1">
        <f t="shared" si="15"/>
        <v>9.112676056338028</v>
      </c>
      <c r="V55" s="1">
        <v>53.4</v>
      </c>
      <c r="W55" s="1">
        <v>52.8</v>
      </c>
      <c r="X55" s="1">
        <v>55.6</v>
      </c>
      <c r="Y55" s="1">
        <v>75.400000000000006</v>
      </c>
      <c r="Z55" s="1">
        <v>102</v>
      </c>
      <c r="AA55" s="1">
        <v>110.4</v>
      </c>
      <c r="AB55" s="1">
        <v>101.6</v>
      </c>
      <c r="AC55" s="1">
        <v>110.4</v>
      </c>
      <c r="AD55" s="1">
        <v>119.2</v>
      </c>
      <c r="AE55" s="1">
        <v>95.4</v>
      </c>
      <c r="AF55" s="1" t="s">
        <v>77</v>
      </c>
      <c r="AG55" s="1">
        <f t="shared" si="10"/>
        <v>20.5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94</v>
      </c>
      <c r="B56" s="1" t="s">
        <v>36</v>
      </c>
      <c r="C56" s="1">
        <v>68.582999999999998</v>
      </c>
      <c r="D56" s="1">
        <v>125.937</v>
      </c>
      <c r="E56" s="1">
        <v>85.855999999999995</v>
      </c>
      <c r="F56" s="1">
        <v>69.358000000000004</v>
      </c>
      <c r="G56" s="7">
        <v>1</v>
      </c>
      <c r="H56" s="1">
        <v>50</v>
      </c>
      <c r="I56" s="1" t="s">
        <v>37</v>
      </c>
      <c r="J56" s="1"/>
      <c r="K56" s="1">
        <v>83.95</v>
      </c>
      <c r="L56" s="1">
        <f t="shared" si="12"/>
        <v>1.9059999999999917</v>
      </c>
      <c r="M56" s="1"/>
      <c r="N56" s="1"/>
      <c r="O56" s="1">
        <v>0</v>
      </c>
      <c r="P56" s="1">
        <v>172.901072</v>
      </c>
      <c r="Q56" s="1">
        <v>46.787559999999992</v>
      </c>
      <c r="R56" s="1">
        <f t="shared" si="13"/>
        <v>17.171199999999999</v>
      </c>
      <c r="S56" s="5"/>
      <c r="T56" s="1">
        <f t="shared" si="14"/>
        <v>16.833222605292583</v>
      </c>
      <c r="U56" s="1">
        <f t="shared" si="15"/>
        <v>16.833222605292583</v>
      </c>
      <c r="V56" s="1">
        <v>25.500599999999999</v>
      </c>
      <c r="W56" s="1">
        <v>22.254799999999999</v>
      </c>
      <c r="X56" s="1">
        <v>15.750999999999999</v>
      </c>
      <c r="Y56" s="1">
        <v>20.5718</v>
      </c>
      <c r="Z56" s="1">
        <v>20.8672</v>
      </c>
      <c r="AA56" s="1">
        <v>22.484000000000002</v>
      </c>
      <c r="AB56" s="1">
        <v>23.589200000000002</v>
      </c>
      <c r="AC56" s="1">
        <v>20.336200000000002</v>
      </c>
      <c r="AD56" s="1">
        <v>22.462199999999999</v>
      </c>
      <c r="AE56" s="1">
        <v>19.364799999999999</v>
      </c>
      <c r="AF56" s="1" t="s">
        <v>77</v>
      </c>
      <c r="AG56" s="1">
        <f t="shared" si="10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95</v>
      </c>
      <c r="B57" s="1" t="s">
        <v>36</v>
      </c>
      <c r="C57" s="1">
        <v>107.057</v>
      </c>
      <c r="D57" s="1">
        <v>22.923999999999999</v>
      </c>
      <c r="E57" s="1">
        <v>25.85</v>
      </c>
      <c r="F57" s="1">
        <v>89.65</v>
      </c>
      <c r="G57" s="7">
        <v>1</v>
      </c>
      <c r="H57" s="1">
        <v>55</v>
      </c>
      <c r="I57" s="1" t="s">
        <v>37</v>
      </c>
      <c r="J57" s="1"/>
      <c r="K57" s="1">
        <v>23.8</v>
      </c>
      <c r="L57" s="1">
        <f t="shared" si="12"/>
        <v>2.0500000000000007</v>
      </c>
      <c r="M57" s="1"/>
      <c r="N57" s="1"/>
      <c r="O57" s="1">
        <v>0</v>
      </c>
      <c r="P57" s="1">
        <v>0</v>
      </c>
      <c r="Q57" s="1">
        <v>0</v>
      </c>
      <c r="R57" s="1">
        <f t="shared" si="13"/>
        <v>5.17</v>
      </c>
      <c r="S57" s="5"/>
      <c r="T57" s="1">
        <f t="shared" si="14"/>
        <v>17.340425531914896</v>
      </c>
      <c r="U57" s="1">
        <f t="shared" si="15"/>
        <v>17.340425531914896</v>
      </c>
      <c r="V57" s="1">
        <v>7.0688000000000004</v>
      </c>
      <c r="W57" s="1">
        <v>6.5191999999999997</v>
      </c>
      <c r="X57" s="1">
        <v>1.8912</v>
      </c>
      <c r="Y57" s="1">
        <v>1.9228000000000001</v>
      </c>
      <c r="Z57" s="1">
        <v>7.3528000000000002</v>
      </c>
      <c r="AA57" s="1">
        <v>10.632199999999999</v>
      </c>
      <c r="AB57" s="1">
        <v>8.7439999999999998</v>
      </c>
      <c r="AC57" s="1">
        <v>8.1340000000000003</v>
      </c>
      <c r="AD57" s="1">
        <v>6.6686000000000014</v>
      </c>
      <c r="AE57" s="1">
        <v>3.7136</v>
      </c>
      <c r="AF57" s="1"/>
      <c r="AG57" s="1">
        <f t="shared" si="10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96</v>
      </c>
      <c r="B58" s="1" t="s">
        <v>42</v>
      </c>
      <c r="C58" s="1">
        <v>704</v>
      </c>
      <c r="D58" s="1"/>
      <c r="E58" s="1">
        <v>387</v>
      </c>
      <c r="F58" s="1">
        <v>317</v>
      </c>
      <c r="G58" s="7">
        <v>0.1</v>
      </c>
      <c r="H58" s="1">
        <v>731</v>
      </c>
      <c r="I58" s="1" t="s">
        <v>37</v>
      </c>
      <c r="J58" s="1"/>
      <c r="K58" s="1">
        <v>322</v>
      </c>
      <c r="L58" s="1">
        <f t="shared" si="12"/>
        <v>65</v>
      </c>
      <c r="M58" s="1"/>
      <c r="N58" s="1"/>
      <c r="O58" s="1">
        <v>0</v>
      </c>
      <c r="P58" s="1">
        <v>0</v>
      </c>
      <c r="Q58" s="1">
        <v>307.8</v>
      </c>
      <c r="R58" s="1">
        <f t="shared" si="13"/>
        <v>77.400000000000006</v>
      </c>
      <c r="S58" s="5">
        <f t="shared" si="11"/>
        <v>304</v>
      </c>
      <c r="T58" s="1">
        <f t="shared" si="14"/>
        <v>11.999999999999998</v>
      </c>
      <c r="U58" s="1">
        <f t="shared" si="15"/>
        <v>8.07235142118863</v>
      </c>
      <c r="V58" s="1">
        <v>61.4</v>
      </c>
      <c r="W58" s="1">
        <v>38.799999999999997</v>
      </c>
      <c r="X58" s="1">
        <v>44.6</v>
      </c>
      <c r="Y58" s="1">
        <v>58</v>
      </c>
      <c r="Z58" s="1">
        <v>67.400000000000006</v>
      </c>
      <c r="AA58" s="1">
        <v>77.8</v>
      </c>
      <c r="AB58" s="1">
        <v>72.400000000000006</v>
      </c>
      <c r="AC58" s="1">
        <v>69.2</v>
      </c>
      <c r="AD58" s="1">
        <v>86.8</v>
      </c>
      <c r="AE58" s="1">
        <v>72.8</v>
      </c>
      <c r="AF58" s="1" t="s">
        <v>77</v>
      </c>
      <c r="AG58" s="1">
        <f t="shared" si="10"/>
        <v>30.400000000000002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97</v>
      </c>
      <c r="B59" s="1" t="s">
        <v>42</v>
      </c>
      <c r="C59" s="1">
        <v>22</v>
      </c>
      <c r="D59" s="1">
        <v>10</v>
      </c>
      <c r="E59" s="1">
        <v>22</v>
      </c>
      <c r="F59" s="1"/>
      <c r="G59" s="7">
        <v>0.4</v>
      </c>
      <c r="H59" s="1">
        <v>50</v>
      </c>
      <c r="I59" s="1" t="s">
        <v>37</v>
      </c>
      <c r="J59" s="1"/>
      <c r="K59" s="1">
        <v>20</v>
      </c>
      <c r="L59" s="1">
        <f t="shared" si="12"/>
        <v>2</v>
      </c>
      <c r="M59" s="1"/>
      <c r="N59" s="1"/>
      <c r="O59" s="1">
        <v>12.6</v>
      </c>
      <c r="P59" s="1">
        <v>9.3999999999999986</v>
      </c>
      <c r="Q59" s="1">
        <v>39.599999999999987</v>
      </c>
      <c r="R59" s="1">
        <f t="shared" si="13"/>
        <v>4.4000000000000004</v>
      </c>
      <c r="S59" s="5"/>
      <c r="T59" s="1">
        <f t="shared" si="14"/>
        <v>13.999999999999996</v>
      </c>
      <c r="U59" s="1">
        <f t="shared" si="15"/>
        <v>13.999999999999996</v>
      </c>
      <c r="V59" s="1">
        <v>5.6</v>
      </c>
      <c r="W59" s="1">
        <v>4</v>
      </c>
      <c r="X59" s="1">
        <v>3.4</v>
      </c>
      <c r="Y59" s="1">
        <v>3.6</v>
      </c>
      <c r="Z59" s="1">
        <v>2.4</v>
      </c>
      <c r="AA59" s="1">
        <v>2.6</v>
      </c>
      <c r="AB59" s="1">
        <v>4.5999999999999996</v>
      </c>
      <c r="AC59" s="1">
        <v>6</v>
      </c>
      <c r="AD59" s="1">
        <v>7.6</v>
      </c>
      <c r="AE59" s="1">
        <v>7</v>
      </c>
      <c r="AF59" s="1"/>
      <c r="AG59" s="1">
        <f t="shared" si="10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98</v>
      </c>
      <c r="B60" s="1" t="s">
        <v>36</v>
      </c>
      <c r="C60" s="1">
        <v>30.416</v>
      </c>
      <c r="D60" s="1">
        <v>67.373999999999995</v>
      </c>
      <c r="E60" s="1">
        <v>61.008000000000003</v>
      </c>
      <c r="F60" s="1">
        <v>31.382000000000001</v>
      </c>
      <c r="G60" s="7">
        <v>1</v>
      </c>
      <c r="H60" s="1">
        <v>40</v>
      </c>
      <c r="I60" s="9" t="s">
        <v>40</v>
      </c>
      <c r="J60" s="1"/>
      <c r="K60" s="1">
        <v>67.650000000000006</v>
      </c>
      <c r="L60" s="1">
        <f t="shared" si="12"/>
        <v>-6.642000000000003</v>
      </c>
      <c r="M60" s="1"/>
      <c r="N60" s="1"/>
      <c r="O60" s="1">
        <v>168.3501</v>
      </c>
      <c r="P60" s="1">
        <v>0</v>
      </c>
      <c r="Q60" s="1">
        <v>0</v>
      </c>
      <c r="R60" s="1">
        <f t="shared" si="13"/>
        <v>12.201600000000001</v>
      </c>
      <c r="S60" s="5"/>
      <c r="T60" s="1">
        <f t="shared" si="14"/>
        <v>16.369336808287436</v>
      </c>
      <c r="U60" s="1">
        <f t="shared" si="15"/>
        <v>16.369336808287436</v>
      </c>
      <c r="V60" s="1">
        <v>18.538799999999998</v>
      </c>
      <c r="W60" s="1">
        <v>17.831600000000002</v>
      </c>
      <c r="X60" s="1">
        <v>21.148399999999999</v>
      </c>
      <c r="Y60" s="1">
        <v>25.391999999999999</v>
      </c>
      <c r="Z60" s="1">
        <v>18.513999999999999</v>
      </c>
      <c r="AA60" s="1">
        <v>18.356999999999999</v>
      </c>
      <c r="AB60" s="1">
        <v>11.759600000000001</v>
      </c>
      <c r="AC60" s="1">
        <v>9.4784000000000006</v>
      </c>
      <c r="AD60" s="1">
        <v>14.47</v>
      </c>
      <c r="AE60" s="1">
        <v>20.325600000000001</v>
      </c>
      <c r="AF60" s="1"/>
      <c r="AG60" s="1">
        <f t="shared" si="10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99</v>
      </c>
      <c r="B61" s="1" t="s">
        <v>36</v>
      </c>
      <c r="C61" s="1">
        <v>30.588999999999999</v>
      </c>
      <c r="D61" s="1">
        <v>144.90199999999999</v>
      </c>
      <c r="E61" s="1">
        <v>109.593</v>
      </c>
      <c r="F61" s="1">
        <v>64.558999999999997</v>
      </c>
      <c r="G61" s="7">
        <v>1</v>
      </c>
      <c r="H61" s="1">
        <v>40</v>
      </c>
      <c r="I61" s="1" t="s">
        <v>37</v>
      </c>
      <c r="J61" s="1"/>
      <c r="K61" s="1">
        <v>115.05</v>
      </c>
      <c r="L61" s="1">
        <f t="shared" si="12"/>
        <v>-5.4569999999999936</v>
      </c>
      <c r="M61" s="1"/>
      <c r="N61" s="1"/>
      <c r="O61" s="1">
        <v>151.20139999999989</v>
      </c>
      <c r="P61" s="1">
        <v>83.949359999999999</v>
      </c>
      <c r="Q61" s="1">
        <v>0</v>
      </c>
      <c r="R61" s="1">
        <f t="shared" si="13"/>
        <v>21.918600000000001</v>
      </c>
      <c r="S61" s="5"/>
      <c r="T61" s="1">
        <f t="shared" si="14"/>
        <v>13.673763835281445</v>
      </c>
      <c r="U61" s="1">
        <f t="shared" si="15"/>
        <v>13.673763835281445</v>
      </c>
      <c r="V61" s="1">
        <v>25.319600000000001</v>
      </c>
      <c r="W61" s="1">
        <v>25.4392</v>
      </c>
      <c r="X61" s="1">
        <v>25.886600000000001</v>
      </c>
      <c r="Y61" s="1">
        <v>33.364400000000003</v>
      </c>
      <c r="Z61" s="1">
        <v>30.392399999999999</v>
      </c>
      <c r="AA61" s="1">
        <v>17.517199999999999</v>
      </c>
      <c r="AB61" s="1">
        <v>9.0928000000000004</v>
      </c>
      <c r="AC61" s="1">
        <v>26.732800000000001</v>
      </c>
      <c r="AD61" s="1">
        <v>50.743400000000001</v>
      </c>
      <c r="AE61" s="1">
        <v>44.511800000000001</v>
      </c>
      <c r="AF61" s="1"/>
      <c r="AG61" s="1">
        <f t="shared" si="10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100</v>
      </c>
      <c r="B62" s="1" t="s">
        <v>42</v>
      </c>
      <c r="C62" s="1">
        <v>304</v>
      </c>
      <c r="D62" s="1">
        <v>72</v>
      </c>
      <c r="E62" s="1">
        <v>79</v>
      </c>
      <c r="F62" s="1">
        <v>290</v>
      </c>
      <c r="G62" s="7">
        <v>0.4</v>
      </c>
      <c r="H62" s="1">
        <v>40</v>
      </c>
      <c r="I62" s="1" t="s">
        <v>37</v>
      </c>
      <c r="J62" s="1"/>
      <c r="K62" s="1">
        <v>517</v>
      </c>
      <c r="L62" s="1">
        <f t="shared" si="12"/>
        <v>-438</v>
      </c>
      <c r="M62" s="1"/>
      <c r="N62" s="1"/>
      <c r="O62" s="1">
        <v>90</v>
      </c>
      <c r="P62" s="1">
        <v>870.17999999999984</v>
      </c>
      <c r="Q62" s="1">
        <v>0</v>
      </c>
      <c r="R62" s="1">
        <f t="shared" si="13"/>
        <v>15.8</v>
      </c>
      <c r="S62" s="5"/>
      <c r="T62" s="1">
        <f t="shared" si="14"/>
        <v>79.125316455696193</v>
      </c>
      <c r="U62" s="1">
        <f t="shared" si="15"/>
        <v>79.125316455696193</v>
      </c>
      <c r="V62" s="1">
        <v>65.599999999999994</v>
      </c>
      <c r="W62" s="1">
        <v>92.6</v>
      </c>
      <c r="X62" s="1">
        <v>30.4</v>
      </c>
      <c r="Y62" s="1">
        <v>50.8</v>
      </c>
      <c r="Z62" s="1">
        <v>50.2</v>
      </c>
      <c r="AA62" s="1">
        <v>31.2</v>
      </c>
      <c r="AB62" s="1">
        <v>50.4</v>
      </c>
      <c r="AC62" s="1">
        <v>19.2</v>
      </c>
      <c r="AD62" s="1">
        <v>0</v>
      </c>
      <c r="AE62" s="1">
        <v>46.2</v>
      </c>
      <c r="AF62" s="14" t="s">
        <v>163</v>
      </c>
      <c r="AG62" s="1">
        <f t="shared" si="10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101</v>
      </c>
      <c r="B63" s="1" t="s">
        <v>42</v>
      </c>
      <c r="C63" s="1">
        <v>417</v>
      </c>
      <c r="D63" s="1">
        <v>381</v>
      </c>
      <c r="E63" s="1">
        <v>450</v>
      </c>
      <c r="F63" s="1">
        <v>302</v>
      </c>
      <c r="G63" s="7">
        <v>0.4</v>
      </c>
      <c r="H63" s="1">
        <v>40</v>
      </c>
      <c r="I63" s="9" t="s">
        <v>40</v>
      </c>
      <c r="J63" s="1"/>
      <c r="K63" s="1">
        <v>485</v>
      </c>
      <c r="L63" s="1">
        <f t="shared" si="12"/>
        <v>-35</v>
      </c>
      <c r="M63" s="1"/>
      <c r="N63" s="1"/>
      <c r="O63" s="1">
        <v>0</v>
      </c>
      <c r="P63" s="1">
        <v>199.32</v>
      </c>
      <c r="Q63" s="1">
        <v>487.90199999999982</v>
      </c>
      <c r="R63" s="1">
        <f t="shared" si="13"/>
        <v>90</v>
      </c>
      <c r="S63" s="5">
        <f t="shared" si="11"/>
        <v>90.778000000000191</v>
      </c>
      <c r="T63" s="1">
        <f t="shared" si="14"/>
        <v>12</v>
      </c>
      <c r="U63" s="1">
        <f t="shared" si="15"/>
        <v>10.991355555555552</v>
      </c>
      <c r="V63" s="1">
        <v>86.6</v>
      </c>
      <c r="W63" s="1">
        <v>60.4</v>
      </c>
      <c r="X63" s="1">
        <v>48.4</v>
      </c>
      <c r="Y63" s="1">
        <v>73.400000000000006</v>
      </c>
      <c r="Z63" s="1">
        <v>82.2</v>
      </c>
      <c r="AA63" s="1">
        <v>73.2</v>
      </c>
      <c r="AB63" s="1">
        <v>43.6</v>
      </c>
      <c r="AC63" s="1">
        <v>59</v>
      </c>
      <c r="AD63" s="1">
        <v>88</v>
      </c>
      <c r="AE63" s="1">
        <v>78.8</v>
      </c>
      <c r="AF63" s="1"/>
      <c r="AG63" s="1">
        <f t="shared" si="10"/>
        <v>36.311200000000078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102</v>
      </c>
      <c r="B64" s="1" t="s">
        <v>36</v>
      </c>
      <c r="C64" s="1">
        <v>-0.114</v>
      </c>
      <c r="D64" s="1"/>
      <c r="E64" s="1">
        <v>-0.89800000000000002</v>
      </c>
      <c r="F64" s="1">
        <v>-0.114</v>
      </c>
      <c r="G64" s="7">
        <v>1</v>
      </c>
      <c r="H64" s="1">
        <v>40</v>
      </c>
      <c r="I64" s="9" t="s">
        <v>40</v>
      </c>
      <c r="J64" s="1"/>
      <c r="K64" s="1">
        <v>10.7</v>
      </c>
      <c r="L64" s="1">
        <f t="shared" si="12"/>
        <v>-11.597999999999999</v>
      </c>
      <c r="M64" s="1"/>
      <c r="N64" s="1"/>
      <c r="O64" s="1">
        <v>100</v>
      </c>
      <c r="P64" s="1">
        <v>247.54074</v>
      </c>
      <c r="Q64" s="1">
        <v>0</v>
      </c>
      <c r="R64" s="1">
        <f t="shared" si="13"/>
        <v>-0.17960000000000001</v>
      </c>
      <c r="S64" s="5"/>
      <c r="T64" s="1">
        <f t="shared" si="14"/>
        <v>-1934.4473273942092</v>
      </c>
      <c r="U64" s="1">
        <f t="shared" si="15"/>
        <v>-1934.4473273942092</v>
      </c>
      <c r="V64" s="1">
        <v>17.416</v>
      </c>
      <c r="W64" s="1">
        <v>29.5578</v>
      </c>
      <c r="X64" s="1">
        <v>16.490200000000002</v>
      </c>
      <c r="Y64" s="1">
        <v>4.1694000000000004</v>
      </c>
      <c r="Z64" s="1">
        <v>-0.17899999999999999</v>
      </c>
      <c r="AA64" s="1">
        <v>9.9154</v>
      </c>
      <c r="AB64" s="1">
        <v>12.6272</v>
      </c>
      <c r="AC64" s="1">
        <v>2.1669999999999998</v>
      </c>
      <c r="AD64" s="1">
        <v>9.2682000000000002</v>
      </c>
      <c r="AE64" s="1">
        <v>13.442399999999999</v>
      </c>
      <c r="AF64" s="1"/>
      <c r="AG64" s="1">
        <f t="shared" si="10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103</v>
      </c>
      <c r="B65" s="1" t="s">
        <v>36</v>
      </c>
      <c r="C65" s="1">
        <v>29.888000000000002</v>
      </c>
      <c r="D65" s="1">
        <v>1.8049999999999999</v>
      </c>
      <c r="E65" s="1">
        <v>28.047000000000001</v>
      </c>
      <c r="F65" s="1">
        <v>1.4999999999999999E-2</v>
      </c>
      <c r="G65" s="7">
        <v>1</v>
      </c>
      <c r="H65" s="1">
        <v>40</v>
      </c>
      <c r="I65" s="9" t="s">
        <v>40</v>
      </c>
      <c r="J65" s="1"/>
      <c r="K65" s="1">
        <v>54.7</v>
      </c>
      <c r="L65" s="1">
        <f t="shared" si="12"/>
        <v>-26.653000000000002</v>
      </c>
      <c r="M65" s="1"/>
      <c r="N65" s="1"/>
      <c r="O65" s="1">
        <v>100</v>
      </c>
      <c r="P65" s="1">
        <v>151.74987999999999</v>
      </c>
      <c r="Q65" s="1">
        <v>0</v>
      </c>
      <c r="R65" s="1">
        <f t="shared" si="13"/>
        <v>5.6093999999999999</v>
      </c>
      <c r="S65" s="5"/>
      <c r="T65" s="1">
        <f t="shared" si="14"/>
        <v>44.88267550896709</v>
      </c>
      <c r="U65" s="1">
        <f t="shared" si="15"/>
        <v>44.88267550896709</v>
      </c>
      <c r="V65" s="1">
        <v>15.3596</v>
      </c>
      <c r="W65" s="1">
        <v>19.2516</v>
      </c>
      <c r="X65" s="1">
        <v>15.604200000000001</v>
      </c>
      <c r="Y65" s="1">
        <v>5.9226000000000001</v>
      </c>
      <c r="Z65" s="1">
        <v>0</v>
      </c>
      <c r="AA65" s="1">
        <v>-0.1804</v>
      </c>
      <c r="AB65" s="1">
        <v>-0.1804</v>
      </c>
      <c r="AC65" s="1">
        <v>0</v>
      </c>
      <c r="AD65" s="1">
        <v>9.9068000000000005</v>
      </c>
      <c r="AE65" s="1">
        <v>13.321</v>
      </c>
      <c r="AF65" s="1"/>
      <c r="AG65" s="1">
        <f t="shared" si="10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104</v>
      </c>
      <c r="B66" s="1" t="s">
        <v>36</v>
      </c>
      <c r="C66" s="1">
        <v>17.257000000000001</v>
      </c>
      <c r="D66" s="1"/>
      <c r="E66" s="1">
        <v>13.686999999999999</v>
      </c>
      <c r="F66" s="1">
        <v>-5.1999999999999998E-2</v>
      </c>
      <c r="G66" s="7">
        <v>1</v>
      </c>
      <c r="H66" s="1">
        <v>40</v>
      </c>
      <c r="I66" s="9" t="s">
        <v>40</v>
      </c>
      <c r="J66" s="1"/>
      <c r="K66" s="1">
        <v>122.7</v>
      </c>
      <c r="L66" s="1">
        <f t="shared" si="12"/>
        <v>-109.01300000000001</v>
      </c>
      <c r="M66" s="1"/>
      <c r="N66" s="1"/>
      <c r="O66" s="1">
        <v>0</v>
      </c>
      <c r="P66" s="1">
        <v>39.587200000000003</v>
      </c>
      <c r="Q66" s="1">
        <v>100</v>
      </c>
      <c r="R66" s="1">
        <f t="shared" si="13"/>
        <v>2.7374000000000001</v>
      </c>
      <c r="S66" s="5">
        <v>40</v>
      </c>
      <c r="T66" s="1">
        <f t="shared" si="14"/>
        <v>65.586030539928402</v>
      </c>
      <c r="U66" s="1">
        <f t="shared" si="15"/>
        <v>50.97362460729159</v>
      </c>
      <c r="V66" s="1">
        <v>13.338800000000001</v>
      </c>
      <c r="W66" s="1">
        <v>10.784000000000001</v>
      </c>
      <c r="X66" s="1">
        <v>-0.50700000000000001</v>
      </c>
      <c r="Y66" s="1">
        <v>12.529400000000001</v>
      </c>
      <c r="Z66" s="1">
        <v>13.0364</v>
      </c>
      <c r="AA66" s="1">
        <v>-0.42159999999999997</v>
      </c>
      <c r="AB66" s="1">
        <v>-1.1474</v>
      </c>
      <c r="AC66" s="1">
        <v>-1.9256</v>
      </c>
      <c r="AD66" s="1">
        <v>12.2172</v>
      </c>
      <c r="AE66" s="1">
        <v>26.985199999999999</v>
      </c>
      <c r="AF66" s="1"/>
      <c r="AG66" s="1">
        <f t="shared" si="10"/>
        <v>40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105</v>
      </c>
      <c r="B67" s="1" t="s">
        <v>36</v>
      </c>
      <c r="C67" s="1">
        <v>80.168000000000006</v>
      </c>
      <c r="D67" s="1">
        <v>10.811999999999999</v>
      </c>
      <c r="E67" s="1">
        <v>91.947999999999993</v>
      </c>
      <c r="F67" s="1">
        <v>-0.96799999999999997</v>
      </c>
      <c r="G67" s="7">
        <v>1</v>
      </c>
      <c r="H67" s="1">
        <v>40</v>
      </c>
      <c r="I67" s="9" t="s">
        <v>40</v>
      </c>
      <c r="J67" s="1"/>
      <c r="K67" s="1">
        <v>93.4</v>
      </c>
      <c r="L67" s="1">
        <f t="shared" si="12"/>
        <v>-1.4520000000000124</v>
      </c>
      <c r="M67" s="1"/>
      <c r="N67" s="1"/>
      <c r="O67" s="1">
        <v>0</v>
      </c>
      <c r="P67" s="1">
        <v>0</v>
      </c>
      <c r="Q67" s="1">
        <v>139.51259999999999</v>
      </c>
      <c r="R67" s="1">
        <f t="shared" si="13"/>
        <v>18.389599999999998</v>
      </c>
      <c r="S67" s="5">
        <f t="shared" si="11"/>
        <v>82.130599999999973</v>
      </c>
      <c r="T67" s="1">
        <f t="shared" si="14"/>
        <v>12</v>
      </c>
      <c r="U67" s="1">
        <f t="shared" si="15"/>
        <v>7.533856092574065</v>
      </c>
      <c r="V67" s="1">
        <v>20.5762</v>
      </c>
      <c r="W67" s="1">
        <v>4.3620000000000001</v>
      </c>
      <c r="X67" s="1">
        <v>0</v>
      </c>
      <c r="Y67" s="1">
        <v>-0.18459999999999999</v>
      </c>
      <c r="Z67" s="1">
        <v>-0.18459999999999999</v>
      </c>
      <c r="AA67" s="1">
        <v>9.6046000000000014</v>
      </c>
      <c r="AB67" s="1">
        <v>11.9552</v>
      </c>
      <c r="AC67" s="1">
        <v>1.9862</v>
      </c>
      <c r="AD67" s="1">
        <v>-0.36220000000000002</v>
      </c>
      <c r="AE67" s="1">
        <v>13.0686</v>
      </c>
      <c r="AF67" s="1"/>
      <c r="AG67" s="1">
        <f t="shared" si="10"/>
        <v>82.130599999999973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106</v>
      </c>
      <c r="B68" s="1" t="s">
        <v>42</v>
      </c>
      <c r="C68" s="1">
        <v>16</v>
      </c>
      <c r="D68" s="1">
        <v>50</v>
      </c>
      <c r="E68" s="1">
        <v>17</v>
      </c>
      <c r="F68" s="1">
        <v>49</v>
      </c>
      <c r="G68" s="7">
        <v>0.6</v>
      </c>
      <c r="H68" s="1">
        <v>70</v>
      </c>
      <c r="I68" s="1" t="s">
        <v>37</v>
      </c>
      <c r="J68" s="1"/>
      <c r="K68" s="1">
        <v>14</v>
      </c>
      <c r="L68" s="1">
        <f t="shared" si="12"/>
        <v>3</v>
      </c>
      <c r="M68" s="1"/>
      <c r="N68" s="1"/>
      <c r="O68" s="1">
        <v>0</v>
      </c>
      <c r="P68" s="1">
        <v>0</v>
      </c>
      <c r="Q68" s="1">
        <v>0</v>
      </c>
      <c r="R68" s="1">
        <f t="shared" si="13"/>
        <v>3.4</v>
      </c>
      <c r="S68" s="5"/>
      <c r="T68" s="1">
        <f t="shared" si="14"/>
        <v>14.411764705882353</v>
      </c>
      <c r="U68" s="1">
        <f t="shared" si="15"/>
        <v>14.411764705882353</v>
      </c>
      <c r="V68" s="1">
        <v>2.8</v>
      </c>
      <c r="W68" s="1">
        <v>1.4</v>
      </c>
      <c r="X68" s="1">
        <v>2</v>
      </c>
      <c r="Y68" s="1">
        <v>5.4</v>
      </c>
      <c r="Z68" s="1">
        <v>5.2</v>
      </c>
      <c r="AA68" s="1">
        <v>1.2</v>
      </c>
      <c r="AB68" s="1">
        <v>1.8</v>
      </c>
      <c r="AC68" s="1">
        <v>2.6</v>
      </c>
      <c r="AD68" s="1">
        <v>4.5999999999999996</v>
      </c>
      <c r="AE68" s="1">
        <v>3.8</v>
      </c>
      <c r="AF68" s="1"/>
      <c r="AG68" s="1">
        <f t="shared" si="10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107</v>
      </c>
      <c r="B69" s="1" t="s">
        <v>36</v>
      </c>
      <c r="C69" s="1">
        <v>499.78300000000002</v>
      </c>
      <c r="D69" s="1">
        <v>80.465999999999994</v>
      </c>
      <c r="E69" s="1">
        <v>30.504999999999999</v>
      </c>
      <c r="F69" s="1">
        <v>19.981999999999999</v>
      </c>
      <c r="G69" s="7">
        <v>1</v>
      </c>
      <c r="H69" s="1">
        <v>30</v>
      </c>
      <c r="I69" s="1" t="s">
        <v>62</v>
      </c>
      <c r="J69" s="1"/>
      <c r="K69" s="1">
        <v>63.6</v>
      </c>
      <c r="L69" s="1">
        <f t="shared" si="12"/>
        <v>-33.094999999999999</v>
      </c>
      <c r="M69" s="1"/>
      <c r="N69" s="1"/>
      <c r="O69" s="1">
        <v>0</v>
      </c>
      <c r="P69" s="1">
        <v>220</v>
      </c>
      <c r="Q69" s="1">
        <v>0</v>
      </c>
      <c r="R69" s="1">
        <f t="shared" si="13"/>
        <v>6.101</v>
      </c>
      <c r="S69" s="5"/>
      <c r="T69" s="1">
        <f t="shared" si="14"/>
        <v>39.334863137190624</v>
      </c>
      <c r="U69" s="1">
        <f t="shared" si="15"/>
        <v>39.334863137190624</v>
      </c>
      <c r="V69" s="1">
        <v>20.2256</v>
      </c>
      <c r="W69" s="1">
        <v>33.010000000000012</v>
      </c>
      <c r="X69" s="1">
        <v>46.162199999999999</v>
      </c>
      <c r="Y69" s="1">
        <v>67.846599999999995</v>
      </c>
      <c r="Z69" s="1">
        <v>64.872</v>
      </c>
      <c r="AA69" s="1">
        <v>28.677600000000002</v>
      </c>
      <c r="AB69" s="1">
        <v>16.969799999999999</v>
      </c>
      <c r="AC69" s="1">
        <v>56.541999999999987</v>
      </c>
      <c r="AD69" s="1">
        <v>106.08499999999999</v>
      </c>
      <c r="AE69" s="1">
        <v>87.413399999999996</v>
      </c>
      <c r="AF69" s="1" t="s">
        <v>108</v>
      </c>
      <c r="AG69" s="1">
        <f t="shared" si="10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0" t="s">
        <v>109</v>
      </c>
      <c r="B70" s="10" t="s">
        <v>42</v>
      </c>
      <c r="C70" s="10"/>
      <c r="D70" s="10"/>
      <c r="E70" s="10"/>
      <c r="F70" s="10"/>
      <c r="G70" s="11">
        <v>0</v>
      </c>
      <c r="H70" s="10"/>
      <c r="I70" s="10" t="s">
        <v>37</v>
      </c>
      <c r="J70" s="10"/>
      <c r="K70" s="10"/>
      <c r="L70" s="10">
        <f t="shared" ref="L70:L101" si="16">E70-K70</f>
        <v>0</v>
      </c>
      <c r="M70" s="10"/>
      <c r="N70" s="10"/>
      <c r="O70" s="10">
        <v>0</v>
      </c>
      <c r="P70" s="10">
        <v>0</v>
      </c>
      <c r="Q70" s="10">
        <v>0</v>
      </c>
      <c r="R70" s="10">
        <f t="shared" ref="R70:R101" si="17">E70/5</f>
        <v>0</v>
      </c>
      <c r="S70" s="12"/>
      <c r="T70" s="10" t="e">
        <f t="shared" ref="T70:T101" si="18">(F70+O70+P70+Q70+S70)/R70</f>
        <v>#DIV/0!</v>
      </c>
      <c r="U70" s="10" t="e">
        <f t="shared" ref="U70:U101" si="19">(F70+O70+P70+Q70)/R70</f>
        <v>#DIV/0!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 t="s">
        <v>47</v>
      </c>
      <c r="AG70" s="10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110</v>
      </c>
      <c r="B71" s="1" t="s">
        <v>42</v>
      </c>
      <c r="C71" s="1">
        <v>128</v>
      </c>
      <c r="D71" s="1">
        <v>8</v>
      </c>
      <c r="E71" s="1">
        <v>82</v>
      </c>
      <c r="F71" s="1">
        <v>46</v>
      </c>
      <c r="G71" s="7">
        <v>0.6</v>
      </c>
      <c r="H71" s="1">
        <v>60</v>
      </c>
      <c r="I71" s="1" t="s">
        <v>37</v>
      </c>
      <c r="J71" s="1"/>
      <c r="K71" s="1">
        <v>70</v>
      </c>
      <c r="L71" s="1">
        <f t="shared" si="16"/>
        <v>12</v>
      </c>
      <c r="M71" s="1"/>
      <c r="N71" s="1"/>
      <c r="O71" s="1">
        <v>0</v>
      </c>
      <c r="P71" s="1">
        <v>0</v>
      </c>
      <c r="Q71" s="1">
        <v>99.200000000000017</v>
      </c>
      <c r="R71" s="1">
        <f t="shared" si="17"/>
        <v>16.399999999999999</v>
      </c>
      <c r="S71" s="5">
        <f t="shared" ref="S71:S75" si="20">12*R71-Q71-P71-O71-F71</f>
        <v>51.599999999999966</v>
      </c>
      <c r="T71" s="1">
        <f t="shared" si="18"/>
        <v>12</v>
      </c>
      <c r="U71" s="1">
        <f t="shared" si="19"/>
        <v>8.8536585365853675</v>
      </c>
      <c r="V71" s="1">
        <v>19.600000000000001</v>
      </c>
      <c r="W71" s="1">
        <v>4.8</v>
      </c>
      <c r="X71" s="1">
        <v>2.6</v>
      </c>
      <c r="Y71" s="1">
        <v>6.4</v>
      </c>
      <c r="Z71" s="1">
        <v>4.4000000000000004</v>
      </c>
      <c r="AA71" s="1">
        <v>12.2</v>
      </c>
      <c r="AB71" s="1">
        <v>12.4</v>
      </c>
      <c r="AC71" s="1">
        <v>9.4</v>
      </c>
      <c r="AD71" s="1">
        <v>10.4</v>
      </c>
      <c r="AE71" s="1">
        <v>2.4</v>
      </c>
      <c r="AF71" s="1"/>
      <c r="AG71" s="1">
        <f>G71*S71</f>
        <v>30.95999999999998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111</v>
      </c>
      <c r="B72" s="1" t="s">
        <v>42</v>
      </c>
      <c r="C72" s="1">
        <v>152</v>
      </c>
      <c r="D72" s="1">
        <v>65</v>
      </c>
      <c r="E72" s="1">
        <v>70</v>
      </c>
      <c r="F72" s="1">
        <v>144</v>
      </c>
      <c r="G72" s="7">
        <v>0.4</v>
      </c>
      <c r="H72" s="1">
        <v>90</v>
      </c>
      <c r="I72" s="1" t="s">
        <v>37</v>
      </c>
      <c r="J72" s="1"/>
      <c r="K72" s="1">
        <v>72</v>
      </c>
      <c r="L72" s="1">
        <f t="shared" si="16"/>
        <v>-2</v>
      </c>
      <c r="M72" s="1"/>
      <c r="N72" s="1"/>
      <c r="O72" s="1">
        <v>0</v>
      </c>
      <c r="P72" s="1">
        <v>0</v>
      </c>
      <c r="Q72" s="1">
        <v>0</v>
      </c>
      <c r="R72" s="1">
        <f t="shared" si="17"/>
        <v>14</v>
      </c>
      <c r="S72" s="5">
        <f t="shared" si="20"/>
        <v>24</v>
      </c>
      <c r="T72" s="1">
        <f t="shared" si="18"/>
        <v>12</v>
      </c>
      <c r="U72" s="1">
        <f t="shared" si="19"/>
        <v>10.285714285714286</v>
      </c>
      <c r="V72" s="1">
        <v>12.4</v>
      </c>
      <c r="W72" s="1">
        <v>11.4</v>
      </c>
      <c r="X72" s="1">
        <v>7.4</v>
      </c>
      <c r="Y72" s="1">
        <v>9.6</v>
      </c>
      <c r="Z72" s="1">
        <v>19.2</v>
      </c>
      <c r="AA72" s="1">
        <v>22</v>
      </c>
      <c r="AB72" s="1">
        <v>22.8</v>
      </c>
      <c r="AC72" s="1">
        <v>20</v>
      </c>
      <c r="AD72" s="1">
        <v>17.600000000000001</v>
      </c>
      <c r="AE72" s="1">
        <v>21</v>
      </c>
      <c r="AF72" s="1"/>
      <c r="AG72" s="1">
        <f>G72*S72</f>
        <v>9.6000000000000014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112</v>
      </c>
      <c r="B73" s="1" t="s">
        <v>42</v>
      </c>
      <c r="C73" s="1">
        <v>325</v>
      </c>
      <c r="D73" s="1"/>
      <c r="E73" s="1">
        <v>149</v>
      </c>
      <c r="F73" s="1">
        <v>176</v>
      </c>
      <c r="G73" s="7">
        <v>0.33</v>
      </c>
      <c r="H73" s="1">
        <v>60</v>
      </c>
      <c r="I73" s="9" t="s">
        <v>40</v>
      </c>
      <c r="J73" s="1"/>
      <c r="K73" s="1">
        <v>139</v>
      </c>
      <c r="L73" s="1">
        <f t="shared" si="16"/>
        <v>10</v>
      </c>
      <c r="M73" s="1"/>
      <c r="N73" s="1"/>
      <c r="O73" s="1">
        <v>0</v>
      </c>
      <c r="P73" s="1">
        <v>130.88</v>
      </c>
      <c r="Q73" s="1">
        <v>8</v>
      </c>
      <c r="R73" s="1">
        <f t="shared" si="17"/>
        <v>29.8</v>
      </c>
      <c r="S73" s="5">
        <f t="shared" si="20"/>
        <v>42.720000000000027</v>
      </c>
      <c r="T73" s="1">
        <f t="shared" si="18"/>
        <v>12</v>
      </c>
      <c r="U73" s="1">
        <f t="shared" si="19"/>
        <v>10.566442953020134</v>
      </c>
      <c r="V73" s="1">
        <v>30.6</v>
      </c>
      <c r="W73" s="1">
        <v>31.6</v>
      </c>
      <c r="X73" s="1">
        <v>20.6</v>
      </c>
      <c r="Y73" s="1">
        <v>5.4</v>
      </c>
      <c r="Z73" s="1">
        <v>20.8</v>
      </c>
      <c r="AA73" s="1">
        <v>42.2</v>
      </c>
      <c r="AB73" s="1">
        <v>45</v>
      </c>
      <c r="AC73" s="1">
        <v>41.8</v>
      </c>
      <c r="AD73" s="1">
        <v>36</v>
      </c>
      <c r="AE73" s="1">
        <v>37.6</v>
      </c>
      <c r="AF73" s="1"/>
      <c r="AG73" s="1">
        <f>G73*S73</f>
        <v>14.097600000000009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113</v>
      </c>
      <c r="B74" s="1" t="s">
        <v>42</v>
      </c>
      <c r="C74" s="1">
        <v>160</v>
      </c>
      <c r="D74" s="1">
        <v>24</v>
      </c>
      <c r="E74" s="1">
        <v>93</v>
      </c>
      <c r="F74" s="1">
        <v>91</v>
      </c>
      <c r="G74" s="7">
        <v>0.35</v>
      </c>
      <c r="H74" s="1">
        <v>90</v>
      </c>
      <c r="I74" s="1" t="s">
        <v>37</v>
      </c>
      <c r="J74" s="1"/>
      <c r="K74" s="1">
        <v>90</v>
      </c>
      <c r="L74" s="1">
        <f t="shared" si="16"/>
        <v>3</v>
      </c>
      <c r="M74" s="1"/>
      <c r="N74" s="1"/>
      <c r="O74" s="1">
        <v>55.799999999999983</v>
      </c>
      <c r="P74" s="1">
        <v>0</v>
      </c>
      <c r="Q74" s="1">
        <v>0</v>
      </c>
      <c r="R74" s="1">
        <f t="shared" si="17"/>
        <v>18.600000000000001</v>
      </c>
      <c r="S74" s="5">
        <f t="shared" si="20"/>
        <v>76.400000000000034</v>
      </c>
      <c r="T74" s="1">
        <f t="shared" si="18"/>
        <v>12</v>
      </c>
      <c r="U74" s="1">
        <f t="shared" si="19"/>
        <v>7.8924731182795682</v>
      </c>
      <c r="V74" s="1">
        <v>14.6</v>
      </c>
      <c r="W74" s="1">
        <v>12</v>
      </c>
      <c r="X74" s="1">
        <v>18.2</v>
      </c>
      <c r="Y74" s="1">
        <v>18</v>
      </c>
      <c r="Z74" s="1">
        <v>19.399999999999999</v>
      </c>
      <c r="AA74" s="1">
        <v>18.600000000000001</v>
      </c>
      <c r="AB74" s="1">
        <v>22.4</v>
      </c>
      <c r="AC74" s="1">
        <v>23.8</v>
      </c>
      <c r="AD74" s="1">
        <v>20.399999999999999</v>
      </c>
      <c r="AE74" s="1">
        <v>25.2</v>
      </c>
      <c r="AF74" s="1"/>
      <c r="AG74" s="1">
        <f>G74*S74</f>
        <v>26.740000000000009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114</v>
      </c>
      <c r="B75" s="1" t="s">
        <v>42</v>
      </c>
      <c r="C75" s="1">
        <v>312</v>
      </c>
      <c r="D75" s="1"/>
      <c r="E75" s="1"/>
      <c r="F75" s="1"/>
      <c r="G75" s="7">
        <v>0.37</v>
      </c>
      <c r="H75" s="1">
        <v>50</v>
      </c>
      <c r="I75" s="1" t="s">
        <v>62</v>
      </c>
      <c r="J75" s="1"/>
      <c r="K75" s="1">
        <v>6</v>
      </c>
      <c r="L75" s="1">
        <f t="shared" si="16"/>
        <v>-6</v>
      </c>
      <c r="M75" s="1"/>
      <c r="N75" s="1"/>
      <c r="O75" s="1">
        <v>0</v>
      </c>
      <c r="P75" s="1">
        <v>148.32</v>
      </c>
      <c r="Q75" s="1">
        <v>0</v>
      </c>
      <c r="R75" s="1">
        <f t="shared" si="17"/>
        <v>0</v>
      </c>
      <c r="S75" s="5"/>
      <c r="T75" s="1" t="e">
        <f t="shared" si="18"/>
        <v>#DIV/0!</v>
      </c>
      <c r="U75" s="1" t="e">
        <f t="shared" si="19"/>
        <v>#DIV/0!</v>
      </c>
      <c r="V75" s="1">
        <v>11.8</v>
      </c>
      <c r="W75" s="1">
        <v>14.4</v>
      </c>
      <c r="X75" s="1">
        <v>9.8000000000000007</v>
      </c>
      <c r="Y75" s="1">
        <v>15.8</v>
      </c>
      <c r="Z75" s="1">
        <v>15</v>
      </c>
      <c r="AA75" s="1">
        <v>26</v>
      </c>
      <c r="AB75" s="1">
        <v>27.8</v>
      </c>
      <c r="AC75" s="1">
        <v>18.2</v>
      </c>
      <c r="AD75" s="1">
        <v>13</v>
      </c>
      <c r="AE75" s="1">
        <v>3.6</v>
      </c>
      <c r="AF75" s="1" t="s">
        <v>115</v>
      </c>
      <c r="AG75" s="1">
        <f>G75*S75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0" t="s">
        <v>116</v>
      </c>
      <c r="B76" s="10" t="s">
        <v>42</v>
      </c>
      <c r="C76" s="10"/>
      <c r="D76" s="10"/>
      <c r="E76" s="10"/>
      <c r="F76" s="10"/>
      <c r="G76" s="11">
        <v>0</v>
      </c>
      <c r="H76" s="10"/>
      <c r="I76" s="10" t="s">
        <v>37</v>
      </c>
      <c r="J76" s="10"/>
      <c r="K76" s="10"/>
      <c r="L76" s="10">
        <f t="shared" si="16"/>
        <v>0</v>
      </c>
      <c r="M76" s="10"/>
      <c r="N76" s="10"/>
      <c r="O76" s="10">
        <v>0</v>
      </c>
      <c r="P76" s="10">
        <v>0</v>
      </c>
      <c r="Q76" s="10">
        <v>0</v>
      </c>
      <c r="R76" s="10">
        <f t="shared" si="17"/>
        <v>0</v>
      </c>
      <c r="S76" s="12"/>
      <c r="T76" s="10" t="e">
        <f t="shared" si="18"/>
        <v>#DIV/0!</v>
      </c>
      <c r="U76" s="10" t="e">
        <f t="shared" si="19"/>
        <v>#DIV/0!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 t="s">
        <v>47</v>
      </c>
      <c r="AG76" s="10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117</v>
      </c>
      <c r="B77" s="1" t="s">
        <v>42</v>
      </c>
      <c r="C77" s="1">
        <v>119</v>
      </c>
      <c r="D77" s="1">
        <v>54</v>
      </c>
      <c r="E77" s="1">
        <v>119</v>
      </c>
      <c r="F77" s="1">
        <v>52</v>
      </c>
      <c r="G77" s="7">
        <v>0.33</v>
      </c>
      <c r="H77" s="1">
        <v>40</v>
      </c>
      <c r="I77" s="1" t="s">
        <v>37</v>
      </c>
      <c r="J77" s="1"/>
      <c r="K77" s="1">
        <v>118</v>
      </c>
      <c r="L77" s="1">
        <f t="shared" si="16"/>
        <v>1</v>
      </c>
      <c r="M77" s="1"/>
      <c r="N77" s="1"/>
      <c r="O77" s="1">
        <v>0</v>
      </c>
      <c r="P77" s="1">
        <v>89.528000000000006</v>
      </c>
      <c r="Q77" s="1">
        <v>156.91999999999999</v>
      </c>
      <c r="R77" s="1">
        <f t="shared" si="17"/>
        <v>23.8</v>
      </c>
      <c r="S77" s="5"/>
      <c r="T77" s="1">
        <f t="shared" si="18"/>
        <v>12.539831932773108</v>
      </c>
      <c r="U77" s="1">
        <f t="shared" si="19"/>
        <v>12.539831932773108</v>
      </c>
      <c r="V77" s="1">
        <v>26.8</v>
      </c>
      <c r="W77" s="1">
        <v>17.600000000000001</v>
      </c>
      <c r="X77" s="1">
        <v>13</v>
      </c>
      <c r="Y77" s="1">
        <v>15.2</v>
      </c>
      <c r="Z77" s="1">
        <v>20.8</v>
      </c>
      <c r="AA77" s="1">
        <v>14.8</v>
      </c>
      <c r="AB77" s="1">
        <v>0.2</v>
      </c>
      <c r="AC77" s="1">
        <v>11.2</v>
      </c>
      <c r="AD77" s="1">
        <v>29.2</v>
      </c>
      <c r="AE77" s="1">
        <v>26</v>
      </c>
      <c r="AF77" s="1"/>
      <c r="AG77" s="1">
        <f>G77*S77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118</v>
      </c>
      <c r="B78" s="1" t="s">
        <v>42</v>
      </c>
      <c r="C78" s="1">
        <v>97</v>
      </c>
      <c r="D78" s="1">
        <v>12</v>
      </c>
      <c r="E78" s="1">
        <v>86</v>
      </c>
      <c r="F78" s="1">
        <v>8</v>
      </c>
      <c r="G78" s="7">
        <v>0.4</v>
      </c>
      <c r="H78" s="1">
        <v>55</v>
      </c>
      <c r="I78" s="9" t="s">
        <v>40</v>
      </c>
      <c r="J78" s="1"/>
      <c r="K78" s="1">
        <v>109</v>
      </c>
      <c r="L78" s="1">
        <f t="shared" si="16"/>
        <v>-23</v>
      </c>
      <c r="M78" s="1"/>
      <c r="N78" s="1"/>
      <c r="O78" s="1">
        <v>0</v>
      </c>
      <c r="P78" s="1">
        <v>6.4000000000000057</v>
      </c>
      <c r="Q78" s="1">
        <v>168.6</v>
      </c>
      <c r="R78" s="1">
        <f t="shared" si="17"/>
        <v>17.2</v>
      </c>
      <c r="S78" s="5">
        <f t="shared" ref="S77:S80" si="21">12*R78-Q78-P78-O78-F78</f>
        <v>23.399999999999977</v>
      </c>
      <c r="T78" s="1">
        <f t="shared" si="18"/>
        <v>12</v>
      </c>
      <c r="U78" s="1">
        <f t="shared" si="19"/>
        <v>10.63953488372093</v>
      </c>
      <c r="V78" s="1">
        <v>25</v>
      </c>
      <c r="W78" s="1">
        <v>9.4</v>
      </c>
      <c r="X78" s="1">
        <v>0.6</v>
      </c>
      <c r="Y78" s="1">
        <v>0.2</v>
      </c>
      <c r="Z78" s="1">
        <v>0.2</v>
      </c>
      <c r="AA78" s="1">
        <v>12.6</v>
      </c>
      <c r="AB78" s="1">
        <v>15.4</v>
      </c>
      <c r="AC78" s="1">
        <v>12.6</v>
      </c>
      <c r="AD78" s="1">
        <v>11.8</v>
      </c>
      <c r="AE78" s="1">
        <v>3.6</v>
      </c>
      <c r="AF78" s="1" t="s">
        <v>119</v>
      </c>
      <c r="AG78" s="1">
        <f>G78*S78</f>
        <v>9.3599999999999905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120</v>
      </c>
      <c r="B79" s="1" t="s">
        <v>42</v>
      </c>
      <c r="C79" s="1">
        <v>24</v>
      </c>
      <c r="D79" s="1">
        <v>2</v>
      </c>
      <c r="E79" s="1">
        <v>18</v>
      </c>
      <c r="F79" s="1">
        <v>6</v>
      </c>
      <c r="G79" s="7">
        <v>0.35</v>
      </c>
      <c r="H79" s="1">
        <v>40</v>
      </c>
      <c r="I79" s="9" t="s">
        <v>40</v>
      </c>
      <c r="J79" s="1"/>
      <c r="K79" s="1">
        <v>20</v>
      </c>
      <c r="L79" s="1">
        <f t="shared" si="16"/>
        <v>-2</v>
      </c>
      <c r="M79" s="1"/>
      <c r="N79" s="1"/>
      <c r="O79" s="1">
        <v>0</v>
      </c>
      <c r="P79" s="1">
        <v>42</v>
      </c>
      <c r="Q79" s="1">
        <v>19.199999999999989</v>
      </c>
      <c r="R79" s="1">
        <f t="shared" si="17"/>
        <v>3.6</v>
      </c>
      <c r="S79" s="5"/>
      <c r="T79" s="1">
        <f t="shared" si="18"/>
        <v>18.666666666666664</v>
      </c>
      <c r="U79" s="1">
        <f t="shared" si="19"/>
        <v>18.666666666666664</v>
      </c>
      <c r="V79" s="1">
        <v>5.6</v>
      </c>
      <c r="W79" s="1">
        <v>6</v>
      </c>
      <c r="X79" s="1">
        <v>2.6</v>
      </c>
      <c r="Y79" s="1">
        <v>0</v>
      </c>
      <c r="Z79" s="1">
        <v>0</v>
      </c>
      <c r="AA79" s="1">
        <v>-0.2</v>
      </c>
      <c r="AB79" s="1">
        <v>-0.2</v>
      </c>
      <c r="AC79" s="1">
        <v>0</v>
      </c>
      <c r="AD79" s="1">
        <v>0</v>
      </c>
      <c r="AE79" s="1">
        <v>0</v>
      </c>
      <c r="AF79" s="1"/>
      <c r="AG79" s="1">
        <f>G79*S79</f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121</v>
      </c>
      <c r="B80" s="1" t="s">
        <v>42</v>
      </c>
      <c r="C80" s="1">
        <v>81</v>
      </c>
      <c r="D80" s="1">
        <v>20</v>
      </c>
      <c r="E80" s="1">
        <v>21</v>
      </c>
      <c r="F80" s="1">
        <v>77</v>
      </c>
      <c r="G80" s="7">
        <v>0.35</v>
      </c>
      <c r="H80" s="1">
        <v>45</v>
      </c>
      <c r="I80" s="9" t="s">
        <v>40</v>
      </c>
      <c r="J80" s="1"/>
      <c r="K80" s="1">
        <v>24</v>
      </c>
      <c r="L80" s="1">
        <f t="shared" si="16"/>
        <v>-3</v>
      </c>
      <c r="M80" s="1"/>
      <c r="N80" s="1"/>
      <c r="O80" s="1">
        <v>0</v>
      </c>
      <c r="P80" s="1">
        <v>0</v>
      </c>
      <c r="Q80" s="1">
        <v>0</v>
      </c>
      <c r="R80" s="1">
        <f t="shared" si="17"/>
        <v>4.2</v>
      </c>
      <c r="S80" s="5"/>
      <c r="T80" s="1">
        <f t="shared" si="18"/>
        <v>18.333333333333332</v>
      </c>
      <c r="U80" s="1">
        <f t="shared" si="19"/>
        <v>18.333333333333332</v>
      </c>
      <c r="V80" s="1">
        <v>5.2</v>
      </c>
      <c r="W80" s="1">
        <v>5.8</v>
      </c>
      <c r="X80" s="1">
        <v>2.8</v>
      </c>
      <c r="Y80" s="1">
        <v>3.6</v>
      </c>
      <c r="Z80" s="1">
        <v>8</v>
      </c>
      <c r="AA80" s="1">
        <v>7.8</v>
      </c>
      <c r="AB80" s="1">
        <v>2.8</v>
      </c>
      <c r="AC80" s="1">
        <v>2.6</v>
      </c>
      <c r="AD80" s="1">
        <v>5.2</v>
      </c>
      <c r="AE80" s="1">
        <v>6.2</v>
      </c>
      <c r="AF80" s="1"/>
      <c r="AG80" s="1">
        <f>G80*S80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0" t="s">
        <v>122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16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7"/>
        <v>0</v>
      </c>
      <c r="S81" s="12"/>
      <c r="T81" s="10" t="e">
        <f t="shared" si="18"/>
        <v>#DIV/0!</v>
      </c>
      <c r="U81" s="10" t="e">
        <f t="shared" si="19"/>
        <v>#DIV/0!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 t="s">
        <v>47</v>
      </c>
      <c r="AG81" s="10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0" t="s">
        <v>123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6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7"/>
        <v>0</v>
      </c>
      <c r="S82" s="12"/>
      <c r="T82" s="10" t="e">
        <f t="shared" si="18"/>
        <v>#DIV/0!</v>
      </c>
      <c r="U82" s="10" t="e">
        <f t="shared" si="19"/>
        <v>#DIV/0!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 t="s">
        <v>47</v>
      </c>
      <c r="AG82" s="10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124</v>
      </c>
      <c r="B83" s="1" t="s">
        <v>36</v>
      </c>
      <c r="C83" s="1">
        <v>40.261000000000003</v>
      </c>
      <c r="D83" s="1">
        <v>2.8940000000000001</v>
      </c>
      <c r="E83" s="1">
        <v>1.44</v>
      </c>
      <c r="F83" s="1">
        <v>38.820999999999998</v>
      </c>
      <c r="G83" s="7">
        <v>1</v>
      </c>
      <c r="H83" s="1">
        <v>55</v>
      </c>
      <c r="I83" s="1" t="s">
        <v>37</v>
      </c>
      <c r="J83" s="1"/>
      <c r="K83" s="1">
        <v>3.1</v>
      </c>
      <c r="L83" s="1">
        <f t="shared" si="16"/>
        <v>-1.6600000000000001</v>
      </c>
      <c r="M83" s="1"/>
      <c r="N83" s="1"/>
      <c r="O83" s="1">
        <v>0</v>
      </c>
      <c r="P83" s="1">
        <v>0</v>
      </c>
      <c r="Q83" s="1">
        <v>0</v>
      </c>
      <c r="R83" s="1">
        <f t="shared" si="17"/>
        <v>0.28799999999999998</v>
      </c>
      <c r="S83" s="5"/>
      <c r="T83" s="1">
        <f t="shared" si="18"/>
        <v>134.79513888888889</v>
      </c>
      <c r="U83" s="1">
        <f t="shared" si="19"/>
        <v>134.79513888888889</v>
      </c>
      <c r="V83" s="1">
        <v>2.8824000000000001</v>
      </c>
      <c r="W83" s="1">
        <v>2.8820000000000001</v>
      </c>
      <c r="X83" s="1">
        <v>1.3373999999999999</v>
      </c>
      <c r="Y83" s="1">
        <v>2.1970000000000001</v>
      </c>
      <c r="Z83" s="1">
        <v>2.008</v>
      </c>
      <c r="AA83" s="1">
        <v>1.1468</v>
      </c>
      <c r="AB83" s="1">
        <v>1.1457999999999999</v>
      </c>
      <c r="AC83" s="1">
        <v>4.5876000000000001</v>
      </c>
      <c r="AD83" s="1">
        <v>4.5953999999999997</v>
      </c>
      <c r="AE83" s="1">
        <v>4.0216000000000003</v>
      </c>
      <c r="AF83" s="14" t="s">
        <v>163</v>
      </c>
      <c r="AG83" s="1">
        <f>G83*S83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125</v>
      </c>
      <c r="B84" s="1" t="s">
        <v>36</v>
      </c>
      <c r="C84" s="1">
        <v>402.31099999999998</v>
      </c>
      <c r="D84" s="1">
        <v>241.357</v>
      </c>
      <c r="E84" s="1">
        <v>249.60400000000001</v>
      </c>
      <c r="F84" s="1">
        <v>379.274</v>
      </c>
      <c r="G84" s="7">
        <v>1</v>
      </c>
      <c r="H84" s="1">
        <v>60</v>
      </c>
      <c r="I84" s="1" t="s">
        <v>37</v>
      </c>
      <c r="J84" s="1"/>
      <c r="K84" s="1">
        <v>251.72</v>
      </c>
      <c r="L84" s="1">
        <f t="shared" si="16"/>
        <v>-2.1159999999999854</v>
      </c>
      <c r="M84" s="1"/>
      <c r="N84" s="1"/>
      <c r="O84" s="1">
        <v>0</v>
      </c>
      <c r="P84" s="1">
        <v>0</v>
      </c>
      <c r="Q84" s="1">
        <v>0</v>
      </c>
      <c r="R84" s="1">
        <f t="shared" si="17"/>
        <v>49.9208</v>
      </c>
      <c r="S84" s="5">
        <f t="shared" ref="S83:S84" si="22">12*R84-Q84-P84-O84-F84</f>
        <v>219.77560000000005</v>
      </c>
      <c r="T84" s="1">
        <f t="shared" si="18"/>
        <v>12.000000000000002</v>
      </c>
      <c r="U84" s="1">
        <f t="shared" si="19"/>
        <v>7.5975144629092481</v>
      </c>
      <c r="V84" s="1">
        <v>30.628799999999998</v>
      </c>
      <c r="W84" s="1">
        <v>20.229199999999999</v>
      </c>
      <c r="X84" s="1">
        <v>34.7806</v>
      </c>
      <c r="Y84" s="1">
        <v>52.466999999999999</v>
      </c>
      <c r="Z84" s="1">
        <v>56.910799999999988</v>
      </c>
      <c r="AA84" s="1">
        <v>48.402000000000001</v>
      </c>
      <c r="AB84" s="1">
        <v>24.439399999999999</v>
      </c>
      <c r="AC84" s="1">
        <v>27.4984</v>
      </c>
      <c r="AD84" s="1">
        <v>46.795000000000002</v>
      </c>
      <c r="AE84" s="1">
        <v>43.2684</v>
      </c>
      <c r="AF84" s="1"/>
      <c r="AG84" s="1">
        <f>G84*S84</f>
        <v>219.77560000000005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0" t="s">
        <v>126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>
        <v>0</v>
      </c>
      <c r="Q85" s="10">
        <v>0</v>
      </c>
      <c r="R85" s="10">
        <f t="shared" si="17"/>
        <v>0</v>
      </c>
      <c r="S85" s="12"/>
      <c r="T85" s="10" t="e">
        <f t="shared" si="18"/>
        <v>#DIV/0!</v>
      </c>
      <c r="U85" s="10" t="e">
        <f t="shared" si="19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47</v>
      </c>
      <c r="AG85" s="10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127</v>
      </c>
      <c r="B86" s="1" t="s">
        <v>36</v>
      </c>
      <c r="C86" s="1">
        <v>2663.598</v>
      </c>
      <c r="D86" s="1">
        <v>1527.931</v>
      </c>
      <c r="E86" s="1">
        <v>1944.673</v>
      </c>
      <c r="F86" s="1">
        <v>2218.1959999999999</v>
      </c>
      <c r="G86" s="7">
        <v>1</v>
      </c>
      <c r="H86" s="1">
        <v>60</v>
      </c>
      <c r="I86" s="1" t="s">
        <v>37</v>
      </c>
      <c r="J86" s="1"/>
      <c r="K86" s="1">
        <v>1942.5</v>
      </c>
      <c r="L86" s="1">
        <f t="shared" si="16"/>
        <v>2.1730000000000018</v>
      </c>
      <c r="M86" s="1"/>
      <c r="N86" s="1"/>
      <c r="O86" s="1">
        <v>0</v>
      </c>
      <c r="P86" s="1">
        <v>0</v>
      </c>
      <c r="Q86" s="1">
        <v>800</v>
      </c>
      <c r="R86" s="1">
        <f t="shared" si="17"/>
        <v>388.93459999999999</v>
      </c>
      <c r="S86" s="5">
        <f t="shared" ref="S86:S88" si="23">12*R86-Q86-P86-O86-F86</f>
        <v>1649.0191999999997</v>
      </c>
      <c r="T86" s="1">
        <f t="shared" si="18"/>
        <v>12</v>
      </c>
      <c r="U86" s="1">
        <f t="shared" si="19"/>
        <v>7.7601632768079778</v>
      </c>
      <c r="V86" s="1">
        <v>339.1968</v>
      </c>
      <c r="W86" s="1">
        <v>286.21859999999998</v>
      </c>
      <c r="X86" s="1">
        <v>236.22059999999999</v>
      </c>
      <c r="Y86" s="1">
        <v>396.76139999999998</v>
      </c>
      <c r="Z86" s="1">
        <v>420.71499999999997</v>
      </c>
      <c r="AA86" s="1">
        <v>308.27960000000002</v>
      </c>
      <c r="AB86" s="1">
        <v>325.30099999999999</v>
      </c>
      <c r="AC86" s="1">
        <v>326.5376</v>
      </c>
      <c r="AD86" s="1">
        <v>312.88479999999998</v>
      </c>
      <c r="AE86" s="1">
        <v>368.565</v>
      </c>
      <c r="AF86" s="1"/>
      <c r="AG86" s="1">
        <f>G86*S86</f>
        <v>1649.0191999999997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128</v>
      </c>
      <c r="B87" s="1" t="s">
        <v>36</v>
      </c>
      <c r="C87" s="1">
        <v>1044.1969999999999</v>
      </c>
      <c r="D87" s="1">
        <v>2791.9989999999998</v>
      </c>
      <c r="E87" s="1">
        <v>1404.6489999999999</v>
      </c>
      <c r="F87" s="1">
        <v>2402.2379999999998</v>
      </c>
      <c r="G87" s="7">
        <v>1</v>
      </c>
      <c r="H87" s="1">
        <v>60</v>
      </c>
      <c r="I87" s="1" t="s">
        <v>37</v>
      </c>
      <c r="J87" s="1"/>
      <c r="K87" s="1">
        <v>1415</v>
      </c>
      <c r="L87" s="1">
        <f t="shared" si="16"/>
        <v>-10.351000000000113</v>
      </c>
      <c r="M87" s="1"/>
      <c r="N87" s="1"/>
      <c r="O87" s="1">
        <v>500</v>
      </c>
      <c r="P87" s="1">
        <v>0</v>
      </c>
      <c r="Q87" s="1">
        <v>1130.506333999999</v>
      </c>
      <c r="R87" s="1">
        <f t="shared" si="17"/>
        <v>280.9298</v>
      </c>
      <c r="S87" s="5"/>
      <c r="T87" s="1">
        <f t="shared" si="18"/>
        <v>14.354989516954054</v>
      </c>
      <c r="U87" s="1">
        <f t="shared" si="19"/>
        <v>14.354989516954054</v>
      </c>
      <c r="V87" s="1">
        <v>353.3408</v>
      </c>
      <c r="W87" s="1">
        <v>302.86380000000003</v>
      </c>
      <c r="X87" s="1">
        <v>260.61439999999999</v>
      </c>
      <c r="Y87" s="1">
        <v>367.82960000000003</v>
      </c>
      <c r="Z87" s="1">
        <v>400.35739999999998</v>
      </c>
      <c r="AA87" s="1">
        <v>226.09520000000001</v>
      </c>
      <c r="AB87" s="1">
        <v>213.601</v>
      </c>
      <c r="AC87" s="1">
        <v>424.48739999999998</v>
      </c>
      <c r="AD87" s="1">
        <v>393.61340000000001</v>
      </c>
      <c r="AE87" s="1">
        <v>331.94720000000001</v>
      </c>
      <c r="AF87" s="1"/>
      <c r="AG87" s="1">
        <f>G87*S87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129</v>
      </c>
      <c r="B88" s="1" t="s">
        <v>36</v>
      </c>
      <c r="C88" s="1">
        <v>2152.8380000000002</v>
      </c>
      <c r="D88" s="1">
        <v>2876.9589999999998</v>
      </c>
      <c r="E88" s="1">
        <v>2811.181</v>
      </c>
      <c r="F88" s="1">
        <v>2176.2919999999999</v>
      </c>
      <c r="G88" s="7">
        <v>1</v>
      </c>
      <c r="H88" s="1">
        <v>60</v>
      </c>
      <c r="I88" s="1" t="s">
        <v>37</v>
      </c>
      <c r="J88" s="1"/>
      <c r="K88" s="1">
        <v>2782.5</v>
      </c>
      <c r="L88" s="1">
        <f t="shared" si="16"/>
        <v>28.68100000000004</v>
      </c>
      <c r="M88" s="1"/>
      <c r="N88" s="1"/>
      <c r="O88" s="1">
        <v>1500</v>
      </c>
      <c r="P88" s="1">
        <v>0</v>
      </c>
      <c r="Q88" s="1">
        <v>1683.6812440000001</v>
      </c>
      <c r="R88" s="1">
        <f t="shared" si="17"/>
        <v>562.23620000000005</v>
      </c>
      <c r="S88" s="5">
        <f t="shared" si="23"/>
        <v>1386.8611560000004</v>
      </c>
      <c r="T88" s="1">
        <f t="shared" si="18"/>
        <v>11.999999999999998</v>
      </c>
      <c r="U88" s="1">
        <f t="shared" si="19"/>
        <v>9.5333122342531471</v>
      </c>
      <c r="V88" s="1">
        <v>529.54259999999999</v>
      </c>
      <c r="W88" s="1">
        <v>466.50040000000001</v>
      </c>
      <c r="X88" s="1">
        <v>384.19439999999997</v>
      </c>
      <c r="Y88" s="1">
        <v>552.39200000000005</v>
      </c>
      <c r="Z88" s="1">
        <v>575.57240000000002</v>
      </c>
      <c r="AA88" s="1">
        <v>383.57479999999998</v>
      </c>
      <c r="AB88" s="1">
        <v>417.62419999999997</v>
      </c>
      <c r="AC88" s="1">
        <v>559.40539999999999</v>
      </c>
      <c r="AD88" s="1">
        <v>523.61300000000006</v>
      </c>
      <c r="AE88" s="1">
        <v>494.76659999999998</v>
      </c>
      <c r="AF88" s="1"/>
      <c r="AG88" s="1">
        <f>G88*S88</f>
        <v>1386.8611560000004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130</v>
      </c>
      <c r="B89" s="10" t="s">
        <v>36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>
        <v>0</v>
      </c>
      <c r="Q89" s="10">
        <v>0</v>
      </c>
      <c r="R89" s="10">
        <f t="shared" si="17"/>
        <v>0</v>
      </c>
      <c r="S89" s="12"/>
      <c r="T89" s="10" t="e">
        <f t="shared" si="18"/>
        <v>#DIV/0!</v>
      </c>
      <c r="U89" s="10" t="e">
        <f t="shared" si="19"/>
        <v>#DIV/0!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 t="s">
        <v>47</v>
      </c>
      <c r="AG89" s="10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5" t="s">
        <v>131</v>
      </c>
      <c r="B90" s="1" t="s">
        <v>42</v>
      </c>
      <c r="C90" s="1"/>
      <c r="D90" s="1">
        <v>18</v>
      </c>
      <c r="E90" s="1">
        <v>5</v>
      </c>
      <c r="F90" s="1">
        <v>13</v>
      </c>
      <c r="G90" s="7">
        <v>0.3</v>
      </c>
      <c r="H90" s="1">
        <v>40</v>
      </c>
      <c r="I90" s="9" t="s">
        <v>40</v>
      </c>
      <c r="J90" s="1"/>
      <c r="K90" s="1">
        <v>5</v>
      </c>
      <c r="L90" s="1">
        <f t="shared" si="16"/>
        <v>0</v>
      </c>
      <c r="M90" s="1"/>
      <c r="N90" s="1"/>
      <c r="O90" s="1">
        <v>60</v>
      </c>
      <c r="P90" s="1">
        <v>0</v>
      </c>
      <c r="Q90" s="1">
        <v>100</v>
      </c>
      <c r="R90" s="1">
        <f t="shared" si="17"/>
        <v>1</v>
      </c>
      <c r="S90" s="5"/>
      <c r="T90" s="1">
        <f t="shared" si="18"/>
        <v>173</v>
      </c>
      <c r="U90" s="1">
        <f t="shared" si="19"/>
        <v>173</v>
      </c>
      <c r="V90" s="1">
        <v>-0.6</v>
      </c>
      <c r="W90" s="1">
        <v>-0.6</v>
      </c>
      <c r="X90" s="1">
        <v>0</v>
      </c>
      <c r="Y90" s="1">
        <v>0</v>
      </c>
      <c r="Z90" s="1">
        <v>-0.2</v>
      </c>
      <c r="AA90" s="1">
        <v>-0.4</v>
      </c>
      <c r="AB90" s="1">
        <v>-0.2</v>
      </c>
      <c r="AC90" s="1">
        <v>0</v>
      </c>
      <c r="AD90" s="1">
        <v>-0.6</v>
      </c>
      <c r="AE90" s="1">
        <v>-1</v>
      </c>
      <c r="AF90" s="1"/>
      <c r="AG90" s="1">
        <f t="shared" ref="AG90:AG95" si="24">G90*S90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5" t="s">
        <v>132</v>
      </c>
      <c r="B91" s="1" t="s">
        <v>42</v>
      </c>
      <c r="C91" s="1">
        <v>69</v>
      </c>
      <c r="D91" s="1"/>
      <c r="E91" s="1">
        <v>57</v>
      </c>
      <c r="F91" s="1">
        <v>1</v>
      </c>
      <c r="G91" s="7">
        <v>0.3</v>
      </c>
      <c r="H91" s="1"/>
      <c r="I91" s="9" t="s">
        <v>40</v>
      </c>
      <c r="J91" s="1"/>
      <c r="K91" s="1">
        <v>87</v>
      </c>
      <c r="L91" s="1">
        <f t="shared" si="16"/>
        <v>-30</v>
      </c>
      <c r="M91" s="1"/>
      <c r="N91" s="1"/>
      <c r="O91" s="1">
        <v>100</v>
      </c>
      <c r="P91" s="1">
        <v>88.4</v>
      </c>
      <c r="Q91" s="1">
        <v>43.399999999999977</v>
      </c>
      <c r="R91" s="1">
        <f t="shared" si="17"/>
        <v>11.4</v>
      </c>
      <c r="S91" s="5"/>
      <c r="T91" s="1">
        <f t="shared" si="18"/>
        <v>20.421052631578945</v>
      </c>
      <c r="U91" s="1">
        <f t="shared" si="19"/>
        <v>20.421052631578945</v>
      </c>
      <c r="V91" s="1">
        <v>19.399999999999999</v>
      </c>
      <c r="W91" s="1">
        <v>18</v>
      </c>
      <c r="X91" s="1">
        <v>14</v>
      </c>
      <c r="Y91" s="1">
        <v>16.600000000000001</v>
      </c>
      <c r="Z91" s="1">
        <v>10.8</v>
      </c>
      <c r="AA91" s="1">
        <v>0.6</v>
      </c>
      <c r="AB91" s="1">
        <v>0</v>
      </c>
      <c r="AC91" s="1">
        <v>15.4</v>
      </c>
      <c r="AD91" s="1">
        <v>16.600000000000001</v>
      </c>
      <c r="AE91" s="1">
        <v>1.2</v>
      </c>
      <c r="AF91" s="1"/>
      <c r="AG91" s="1">
        <f t="shared" si="24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5" t="s">
        <v>133</v>
      </c>
      <c r="B92" s="1" t="s">
        <v>42</v>
      </c>
      <c r="C92" s="1">
        <v>31</v>
      </c>
      <c r="D92" s="1"/>
      <c r="E92" s="1">
        <v>30</v>
      </c>
      <c r="F92" s="1">
        <v>1</v>
      </c>
      <c r="G92" s="7">
        <v>7.0000000000000007E-2</v>
      </c>
      <c r="H92" s="1">
        <v>90</v>
      </c>
      <c r="I92" s="9" t="s">
        <v>40</v>
      </c>
      <c r="J92" s="1"/>
      <c r="K92" s="1">
        <v>47</v>
      </c>
      <c r="L92" s="1">
        <f t="shared" si="16"/>
        <v>-17</v>
      </c>
      <c r="M92" s="1"/>
      <c r="N92" s="1"/>
      <c r="O92" s="1">
        <v>0</v>
      </c>
      <c r="P92" s="1">
        <v>0</v>
      </c>
      <c r="Q92" s="1">
        <v>37.120000000000019</v>
      </c>
      <c r="R92" s="1">
        <f t="shared" si="17"/>
        <v>6</v>
      </c>
      <c r="S92" s="5">
        <f t="shared" ref="S90:S95" si="25">12*R92-Q92-P92-O92-F92</f>
        <v>33.879999999999981</v>
      </c>
      <c r="T92" s="1">
        <f t="shared" si="18"/>
        <v>12</v>
      </c>
      <c r="U92" s="1">
        <f t="shared" si="19"/>
        <v>6.3533333333333362</v>
      </c>
      <c r="V92" s="1">
        <v>11.8</v>
      </c>
      <c r="W92" s="1">
        <v>6.6</v>
      </c>
      <c r="X92" s="1">
        <v>1.4</v>
      </c>
      <c r="Y92" s="1">
        <v>6.2</v>
      </c>
      <c r="Z92" s="1">
        <v>10.8</v>
      </c>
      <c r="AA92" s="1">
        <v>6</v>
      </c>
      <c r="AB92" s="1">
        <v>0</v>
      </c>
      <c r="AC92" s="1">
        <v>3.6</v>
      </c>
      <c r="AD92" s="1">
        <v>10</v>
      </c>
      <c r="AE92" s="1">
        <v>9.4</v>
      </c>
      <c r="AF92" s="1"/>
      <c r="AG92" s="1">
        <f t="shared" si="24"/>
        <v>2.371599999999999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5" t="s">
        <v>134</v>
      </c>
      <c r="B93" s="1" t="s">
        <v>42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40</v>
      </c>
      <c r="J93" s="1"/>
      <c r="K93" s="1"/>
      <c r="L93" s="1">
        <f t="shared" si="16"/>
        <v>0</v>
      </c>
      <c r="M93" s="1"/>
      <c r="N93" s="1"/>
      <c r="O93" s="1">
        <v>80</v>
      </c>
      <c r="P93" s="1">
        <v>0</v>
      </c>
      <c r="Q93" s="1">
        <v>0</v>
      </c>
      <c r="R93" s="1">
        <f t="shared" si="17"/>
        <v>0</v>
      </c>
      <c r="S93" s="5">
        <v>20</v>
      </c>
      <c r="T93" s="1" t="e">
        <f t="shared" si="18"/>
        <v>#DIV/0!</v>
      </c>
      <c r="U93" s="1" t="e">
        <f t="shared" si="19"/>
        <v>#DIV/0!</v>
      </c>
      <c r="V93" s="1">
        <v>0</v>
      </c>
      <c r="W93" s="1">
        <v>0</v>
      </c>
      <c r="X93" s="1">
        <v>1.6</v>
      </c>
      <c r="Y93" s="1">
        <v>7.6</v>
      </c>
      <c r="Z93" s="1">
        <v>9.6</v>
      </c>
      <c r="AA93" s="1">
        <v>4.5999999999999996</v>
      </c>
      <c r="AB93" s="1">
        <v>4.5999999999999996</v>
      </c>
      <c r="AC93" s="1">
        <v>8.1999999999999993</v>
      </c>
      <c r="AD93" s="1">
        <v>9</v>
      </c>
      <c r="AE93" s="1">
        <v>8.6</v>
      </c>
      <c r="AF93" s="1"/>
      <c r="AG93" s="1">
        <f t="shared" si="24"/>
        <v>1.4000000000000001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135</v>
      </c>
      <c r="B94" s="1" t="s">
        <v>42</v>
      </c>
      <c r="C94" s="1">
        <v>13</v>
      </c>
      <c r="D94" s="1">
        <v>108</v>
      </c>
      <c r="E94" s="1">
        <v>28</v>
      </c>
      <c r="F94" s="1">
        <v>91</v>
      </c>
      <c r="G94" s="7">
        <v>7.0000000000000007E-2</v>
      </c>
      <c r="H94" s="1">
        <v>90</v>
      </c>
      <c r="I94" s="1" t="s">
        <v>37</v>
      </c>
      <c r="J94" s="1"/>
      <c r="K94" s="1">
        <v>38</v>
      </c>
      <c r="L94" s="1">
        <f t="shared" si="16"/>
        <v>-10</v>
      </c>
      <c r="M94" s="1"/>
      <c r="N94" s="1"/>
      <c r="O94" s="1">
        <v>0</v>
      </c>
      <c r="P94" s="1">
        <v>52.52</v>
      </c>
      <c r="Q94" s="1">
        <v>16.2</v>
      </c>
      <c r="R94" s="1">
        <f t="shared" si="17"/>
        <v>5.6</v>
      </c>
      <c r="S94" s="5"/>
      <c r="T94" s="1">
        <f t="shared" si="18"/>
        <v>28.521428571428572</v>
      </c>
      <c r="U94" s="1">
        <f t="shared" si="19"/>
        <v>28.521428571428572</v>
      </c>
      <c r="V94" s="1">
        <v>14.4</v>
      </c>
      <c r="W94" s="1">
        <v>12</v>
      </c>
      <c r="X94" s="1">
        <v>5.6</v>
      </c>
      <c r="Y94" s="1">
        <v>12.2</v>
      </c>
      <c r="Z94" s="1">
        <v>13.8</v>
      </c>
      <c r="AA94" s="1">
        <v>10</v>
      </c>
      <c r="AB94" s="1">
        <v>10.199999999999999</v>
      </c>
      <c r="AC94" s="1">
        <v>13.6</v>
      </c>
      <c r="AD94" s="1">
        <v>13.6</v>
      </c>
      <c r="AE94" s="1">
        <v>14.2</v>
      </c>
      <c r="AF94" s="1"/>
      <c r="AG94" s="1">
        <f t="shared" si="24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136</v>
      </c>
      <c r="B95" s="1" t="s">
        <v>42</v>
      </c>
      <c r="C95" s="1">
        <v>91</v>
      </c>
      <c r="D95" s="1">
        <v>42</v>
      </c>
      <c r="E95" s="1">
        <v>75</v>
      </c>
      <c r="F95" s="1">
        <v>44</v>
      </c>
      <c r="G95" s="7">
        <v>0.3</v>
      </c>
      <c r="H95" s="1"/>
      <c r="I95" s="1" t="s">
        <v>37</v>
      </c>
      <c r="J95" s="1"/>
      <c r="K95" s="1">
        <v>88</v>
      </c>
      <c r="L95" s="1">
        <f t="shared" si="16"/>
        <v>-13</v>
      </c>
      <c r="M95" s="1"/>
      <c r="N95" s="1"/>
      <c r="O95" s="1">
        <v>0</v>
      </c>
      <c r="P95" s="1">
        <v>42.566000000000017</v>
      </c>
      <c r="Q95" s="1">
        <v>88.86</v>
      </c>
      <c r="R95" s="1">
        <f t="shared" si="17"/>
        <v>15</v>
      </c>
      <c r="S95" s="5">
        <f t="shared" si="25"/>
        <v>4.5739999999999839</v>
      </c>
      <c r="T95" s="1">
        <f t="shared" si="18"/>
        <v>12</v>
      </c>
      <c r="U95" s="1">
        <f t="shared" si="19"/>
        <v>11.695066666666667</v>
      </c>
      <c r="V95" s="1">
        <v>16.8</v>
      </c>
      <c r="W95" s="1">
        <v>11.8</v>
      </c>
      <c r="X95" s="1">
        <v>9</v>
      </c>
      <c r="Y95" s="1">
        <v>18.600000000000001</v>
      </c>
      <c r="Z95" s="1">
        <v>14.6</v>
      </c>
      <c r="AA95" s="1">
        <v>1.4</v>
      </c>
      <c r="AB95" s="1">
        <v>0</v>
      </c>
      <c r="AC95" s="1">
        <v>15.4</v>
      </c>
      <c r="AD95" s="1">
        <v>16.600000000000001</v>
      </c>
      <c r="AE95" s="1">
        <v>1.2</v>
      </c>
      <c r="AF95" s="1"/>
      <c r="AG95" s="1">
        <f t="shared" si="24"/>
        <v>1.3721999999999952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0" t="s">
        <v>137</v>
      </c>
      <c r="B96" s="10" t="s">
        <v>42</v>
      </c>
      <c r="C96" s="10"/>
      <c r="D96" s="10"/>
      <c r="E96" s="10"/>
      <c r="F96" s="10"/>
      <c r="G96" s="11">
        <v>0</v>
      </c>
      <c r="H96" s="10"/>
      <c r="I96" s="10" t="s">
        <v>37</v>
      </c>
      <c r="J96" s="10"/>
      <c r="K96" s="10"/>
      <c r="L96" s="10">
        <f t="shared" si="16"/>
        <v>0</v>
      </c>
      <c r="M96" s="10"/>
      <c r="N96" s="10"/>
      <c r="O96" s="10">
        <v>0</v>
      </c>
      <c r="P96" s="10">
        <v>0</v>
      </c>
      <c r="Q96" s="10">
        <v>0</v>
      </c>
      <c r="R96" s="10">
        <f t="shared" si="17"/>
        <v>0</v>
      </c>
      <c r="S96" s="12"/>
      <c r="T96" s="10" t="e">
        <f t="shared" si="18"/>
        <v>#DIV/0!</v>
      </c>
      <c r="U96" s="10" t="e">
        <f t="shared" si="19"/>
        <v>#DIV/0!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 t="s">
        <v>47</v>
      </c>
      <c r="AG96" s="10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0" t="s">
        <v>138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6"/>
        <v>0</v>
      </c>
      <c r="M97" s="10"/>
      <c r="N97" s="10"/>
      <c r="O97" s="10">
        <v>0</v>
      </c>
      <c r="P97" s="10">
        <v>0</v>
      </c>
      <c r="Q97" s="10">
        <v>0</v>
      </c>
      <c r="R97" s="10">
        <f t="shared" si="17"/>
        <v>0</v>
      </c>
      <c r="S97" s="12"/>
      <c r="T97" s="10" t="e">
        <f t="shared" si="18"/>
        <v>#DIV/0!</v>
      </c>
      <c r="U97" s="10" t="e">
        <f t="shared" si="19"/>
        <v>#DIV/0!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 t="s">
        <v>47</v>
      </c>
      <c r="AG97" s="10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139</v>
      </c>
      <c r="B98" s="1" t="s">
        <v>42</v>
      </c>
      <c r="C98" s="1">
        <v>162</v>
      </c>
      <c r="D98" s="1">
        <v>4</v>
      </c>
      <c r="E98" s="1">
        <v>114</v>
      </c>
      <c r="F98" s="1">
        <v>47</v>
      </c>
      <c r="G98" s="7">
        <v>0.08</v>
      </c>
      <c r="H98" s="1">
        <v>45</v>
      </c>
      <c r="I98" s="1" t="s">
        <v>37</v>
      </c>
      <c r="J98" s="1"/>
      <c r="K98" s="1">
        <v>124</v>
      </c>
      <c r="L98" s="1">
        <f t="shared" si="16"/>
        <v>-10</v>
      </c>
      <c r="M98" s="1"/>
      <c r="N98" s="1"/>
      <c r="O98" s="1">
        <v>0</v>
      </c>
      <c r="P98" s="1">
        <v>58.220000000000013</v>
      </c>
      <c r="Q98" s="1">
        <v>82.779999999999973</v>
      </c>
      <c r="R98" s="1">
        <f t="shared" si="17"/>
        <v>22.8</v>
      </c>
      <c r="S98" s="5">
        <f t="shared" ref="S98:S99" si="26">12*R98-Q98-P98-O98-F98</f>
        <v>85.600000000000023</v>
      </c>
      <c r="T98" s="1">
        <f t="shared" si="18"/>
        <v>12</v>
      </c>
      <c r="U98" s="1">
        <f t="shared" si="19"/>
        <v>8.2456140350877192</v>
      </c>
      <c r="V98" s="1">
        <v>20</v>
      </c>
      <c r="W98" s="1">
        <v>15.4</v>
      </c>
      <c r="X98" s="1">
        <v>10</v>
      </c>
      <c r="Y98" s="1">
        <v>16</v>
      </c>
      <c r="Z98" s="1">
        <v>14.8</v>
      </c>
      <c r="AA98" s="1">
        <v>10.4</v>
      </c>
      <c r="AB98" s="1">
        <v>12.6</v>
      </c>
      <c r="AC98" s="1">
        <v>23.2</v>
      </c>
      <c r="AD98" s="1">
        <v>25.6</v>
      </c>
      <c r="AE98" s="1">
        <v>25.2</v>
      </c>
      <c r="AF98" s="1"/>
      <c r="AG98" s="1">
        <f>G98*S98</f>
        <v>6.8480000000000016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140</v>
      </c>
      <c r="B99" s="1" t="s">
        <v>42</v>
      </c>
      <c r="C99" s="1">
        <v>57</v>
      </c>
      <c r="D99" s="1">
        <v>90</v>
      </c>
      <c r="E99" s="1">
        <v>103</v>
      </c>
      <c r="F99" s="1">
        <v>40</v>
      </c>
      <c r="G99" s="7">
        <v>0.08</v>
      </c>
      <c r="H99" s="1">
        <v>45</v>
      </c>
      <c r="I99" s="1" t="s">
        <v>37</v>
      </c>
      <c r="J99" s="1"/>
      <c r="K99" s="1">
        <v>106</v>
      </c>
      <c r="L99" s="1">
        <f t="shared" si="16"/>
        <v>-3</v>
      </c>
      <c r="M99" s="1"/>
      <c r="N99" s="1"/>
      <c r="O99" s="1">
        <v>0</v>
      </c>
      <c r="P99" s="1">
        <v>135.71799999999999</v>
      </c>
      <c r="Q99" s="1">
        <v>200</v>
      </c>
      <c r="R99" s="1">
        <f t="shared" si="17"/>
        <v>20.6</v>
      </c>
      <c r="S99" s="5"/>
      <c r="T99" s="1">
        <f t="shared" si="18"/>
        <v>18.238737864077667</v>
      </c>
      <c r="U99" s="1">
        <f t="shared" si="19"/>
        <v>18.238737864077667</v>
      </c>
      <c r="V99" s="1">
        <v>24.4</v>
      </c>
      <c r="W99" s="1">
        <v>19.600000000000001</v>
      </c>
      <c r="X99" s="1">
        <v>13.6</v>
      </c>
      <c r="Y99" s="1">
        <v>22.6</v>
      </c>
      <c r="Z99" s="1">
        <v>19.8</v>
      </c>
      <c r="AA99" s="1">
        <v>14.4</v>
      </c>
      <c r="AB99" s="1">
        <v>21.2</v>
      </c>
      <c r="AC99" s="1">
        <v>28</v>
      </c>
      <c r="AD99" s="1">
        <v>29.8</v>
      </c>
      <c r="AE99" s="1">
        <v>31</v>
      </c>
      <c r="AF99" s="1" t="s">
        <v>77</v>
      </c>
      <c r="AG99" s="1">
        <f>G99*S99</f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0" t="s">
        <v>141</v>
      </c>
      <c r="B100" s="10" t="s">
        <v>42</v>
      </c>
      <c r="C100" s="10"/>
      <c r="D100" s="10"/>
      <c r="E100" s="10"/>
      <c r="F100" s="10"/>
      <c r="G100" s="11">
        <v>0</v>
      </c>
      <c r="H100" s="10"/>
      <c r="I100" s="10" t="s">
        <v>40</v>
      </c>
      <c r="J100" s="10"/>
      <c r="K100" s="10"/>
      <c r="L100" s="10">
        <f t="shared" si="16"/>
        <v>0</v>
      </c>
      <c r="M100" s="10"/>
      <c r="N100" s="10"/>
      <c r="O100" s="10">
        <v>0</v>
      </c>
      <c r="P100" s="10">
        <v>0</v>
      </c>
      <c r="Q100" s="10">
        <v>0</v>
      </c>
      <c r="R100" s="10">
        <f t="shared" si="17"/>
        <v>0</v>
      </c>
      <c r="S100" s="12"/>
      <c r="T100" s="10" t="e">
        <f t="shared" si="18"/>
        <v>#DIV/0!</v>
      </c>
      <c r="U100" s="10" t="e">
        <f t="shared" si="19"/>
        <v>#DIV/0!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 t="s">
        <v>47</v>
      </c>
      <c r="AG100" s="10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5" t="s">
        <v>142</v>
      </c>
      <c r="B101" s="1" t="s">
        <v>36</v>
      </c>
      <c r="C101" s="1">
        <v>90.244</v>
      </c>
      <c r="D101" s="1">
        <v>137.77199999999999</v>
      </c>
      <c r="E101" s="1">
        <v>227.18100000000001</v>
      </c>
      <c r="F101" s="1">
        <v>-0.46500000000000002</v>
      </c>
      <c r="G101" s="7">
        <v>1</v>
      </c>
      <c r="H101" s="1">
        <v>40</v>
      </c>
      <c r="I101" s="9" t="s">
        <v>40</v>
      </c>
      <c r="J101" s="1"/>
      <c r="K101" s="1">
        <v>288.7</v>
      </c>
      <c r="L101" s="1">
        <f t="shared" si="16"/>
        <v>-61.518999999999977</v>
      </c>
      <c r="M101" s="1"/>
      <c r="N101" s="1"/>
      <c r="O101" s="1">
        <v>100</v>
      </c>
      <c r="P101" s="1">
        <v>0</v>
      </c>
      <c r="Q101" s="1">
        <v>250</v>
      </c>
      <c r="R101" s="1">
        <f t="shared" si="17"/>
        <v>45.436199999999999</v>
      </c>
      <c r="S101" s="5">
        <f t="shared" ref="S101:S103" si="27">12*R101-Q101-P101-O101-F101</f>
        <v>195.69940000000005</v>
      </c>
      <c r="T101" s="1">
        <f t="shared" si="18"/>
        <v>12.000000000000002</v>
      </c>
      <c r="U101" s="1">
        <f t="shared" si="19"/>
        <v>7.6928748442871537</v>
      </c>
      <c r="V101" s="1">
        <v>34.459000000000003</v>
      </c>
      <c r="W101" s="1">
        <v>16.585999999999999</v>
      </c>
      <c r="X101" s="1">
        <v>0</v>
      </c>
      <c r="Y101" s="1">
        <v>20.5106</v>
      </c>
      <c r="Z101" s="1">
        <v>20.366599999999998</v>
      </c>
      <c r="AA101" s="1">
        <v>-0.28820000000000001</v>
      </c>
      <c r="AB101" s="1">
        <v>0.71740000000000004</v>
      </c>
      <c r="AC101" s="1">
        <v>13.458399999999999</v>
      </c>
      <c r="AD101" s="1">
        <v>17.5322</v>
      </c>
      <c r="AE101" s="1">
        <v>21.331199999999999</v>
      </c>
      <c r="AF101" s="1"/>
      <c r="AG101" s="1">
        <f>G101*S101</f>
        <v>195.69940000000005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5" t="s">
        <v>143</v>
      </c>
      <c r="B102" s="1" t="s">
        <v>36</v>
      </c>
      <c r="C102" s="1">
        <v>-1.409</v>
      </c>
      <c r="D102" s="1"/>
      <c r="E102" s="1">
        <v>-1.4550000000000001</v>
      </c>
      <c r="F102" s="1">
        <v>-1.409</v>
      </c>
      <c r="G102" s="7">
        <v>1</v>
      </c>
      <c r="H102" s="1">
        <v>40</v>
      </c>
      <c r="I102" s="9" t="s">
        <v>40</v>
      </c>
      <c r="J102" s="1"/>
      <c r="K102" s="1">
        <v>21</v>
      </c>
      <c r="L102" s="1">
        <f t="shared" ref="L102:L133" si="28">E102-K102</f>
        <v>-22.454999999999998</v>
      </c>
      <c r="M102" s="1"/>
      <c r="N102" s="1"/>
      <c r="O102" s="1">
        <v>100</v>
      </c>
      <c r="P102" s="1">
        <v>102.2598</v>
      </c>
      <c r="Q102" s="1">
        <v>150</v>
      </c>
      <c r="R102" s="1">
        <f t="shared" ref="R102:R127" si="29">E102/5</f>
        <v>-0.29100000000000004</v>
      </c>
      <c r="S102" s="5"/>
      <c r="T102" s="1">
        <f t="shared" ref="T102:T133" si="30">(F102+O102+P102+Q102+S102)/R102</f>
        <v>-1205.6728522336768</v>
      </c>
      <c r="U102" s="1">
        <f t="shared" ref="U102:U127" si="31">(F102+O102+P102+Q102)/R102</f>
        <v>-1205.6728522336768</v>
      </c>
      <c r="V102" s="1">
        <v>0.28179999999999999</v>
      </c>
      <c r="W102" s="1">
        <v>12.805999999999999</v>
      </c>
      <c r="X102" s="1">
        <v>12.2332</v>
      </c>
      <c r="Y102" s="1">
        <v>15.862399999999999</v>
      </c>
      <c r="Z102" s="1">
        <v>15.4284</v>
      </c>
      <c r="AA102" s="1">
        <v>11.6716</v>
      </c>
      <c r="AB102" s="1">
        <v>31.165600000000001</v>
      </c>
      <c r="AC102" s="1">
        <v>32.430599999999998</v>
      </c>
      <c r="AD102" s="1">
        <v>18.595400000000001</v>
      </c>
      <c r="AE102" s="1">
        <v>14.566599999999999</v>
      </c>
      <c r="AF102" s="1"/>
      <c r="AG102" s="1">
        <f>G102*S102</f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5" t="s">
        <v>144</v>
      </c>
      <c r="B103" s="1" t="s">
        <v>36</v>
      </c>
      <c r="C103" s="1">
        <v>0.72699999999999998</v>
      </c>
      <c r="D103" s="1">
        <v>3.5960000000000001</v>
      </c>
      <c r="E103" s="1">
        <v>2.9060000000000001</v>
      </c>
      <c r="F103" s="1"/>
      <c r="G103" s="7">
        <v>1</v>
      </c>
      <c r="H103" s="1">
        <v>40</v>
      </c>
      <c r="I103" s="9" t="s">
        <v>40</v>
      </c>
      <c r="J103" s="1"/>
      <c r="K103" s="1">
        <v>54.6</v>
      </c>
      <c r="L103" s="1">
        <f t="shared" si="28"/>
        <v>-51.694000000000003</v>
      </c>
      <c r="M103" s="1"/>
      <c r="N103" s="1"/>
      <c r="O103" s="1">
        <v>50</v>
      </c>
      <c r="P103" s="1">
        <v>204.63381999999999</v>
      </c>
      <c r="Q103" s="1">
        <v>130</v>
      </c>
      <c r="R103" s="1">
        <f t="shared" si="29"/>
        <v>0.58120000000000005</v>
      </c>
      <c r="S103" s="5"/>
      <c r="T103" s="1">
        <f t="shared" si="30"/>
        <v>661.7925326909841</v>
      </c>
      <c r="U103" s="1">
        <f t="shared" si="31"/>
        <v>661.7925326909841</v>
      </c>
      <c r="V103" s="1">
        <v>17.0002</v>
      </c>
      <c r="W103" s="1">
        <v>17.857399999999998</v>
      </c>
      <c r="X103" s="1">
        <v>0</v>
      </c>
      <c r="Y103" s="1">
        <v>0</v>
      </c>
      <c r="Z103" s="1">
        <v>-0.14299999999999999</v>
      </c>
      <c r="AA103" s="1">
        <v>-0.28339999999999999</v>
      </c>
      <c r="AB103" s="1">
        <v>-0.42299999999999999</v>
      </c>
      <c r="AC103" s="1">
        <v>-0.71120000000000005</v>
      </c>
      <c r="AD103" s="1">
        <v>-0.85540000000000005</v>
      </c>
      <c r="AE103" s="1">
        <v>-0.56600000000000006</v>
      </c>
      <c r="AF103" s="1"/>
      <c r="AG103" s="1">
        <f>G103*S103</f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0" t="s">
        <v>145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37</v>
      </c>
      <c r="J104" s="10"/>
      <c r="K104" s="10"/>
      <c r="L104" s="10">
        <f t="shared" si="28"/>
        <v>0</v>
      </c>
      <c r="M104" s="10"/>
      <c r="N104" s="10"/>
      <c r="O104" s="10">
        <v>0</v>
      </c>
      <c r="P104" s="10">
        <v>0</v>
      </c>
      <c r="Q104" s="10">
        <v>0</v>
      </c>
      <c r="R104" s="10">
        <f t="shared" si="29"/>
        <v>0</v>
      </c>
      <c r="S104" s="12"/>
      <c r="T104" s="10" t="e">
        <f t="shared" si="30"/>
        <v>#DIV/0!</v>
      </c>
      <c r="U104" s="10" t="e">
        <f t="shared" si="31"/>
        <v>#DIV/0!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 t="s">
        <v>146</v>
      </c>
      <c r="AG104" s="10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0" t="s">
        <v>147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40</v>
      </c>
      <c r="J105" s="10"/>
      <c r="K105" s="10"/>
      <c r="L105" s="10">
        <f t="shared" si="28"/>
        <v>0</v>
      </c>
      <c r="M105" s="10"/>
      <c r="N105" s="10"/>
      <c r="O105" s="10">
        <v>0</v>
      </c>
      <c r="P105" s="10">
        <v>0</v>
      </c>
      <c r="Q105" s="10">
        <v>0</v>
      </c>
      <c r="R105" s="10">
        <f t="shared" si="29"/>
        <v>0</v>
      </c>
      <c r="S105" s="12"/>
      <c r="T105" s="10" t="e">
        <f t="shared" si="30"/>
        <v>#DIV/0!</v>
      </c>
      <c r="U105" s="10" t="e">
        <f t="shared" si="31"/>
        <v>#DIV/0!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 t="s">
        <v>47</v>
      </c>
      <c r="AG105" s="10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5" t="s">
        <v>148</v>
      </c>
      <c r="B106" s="1" t="s">
        <v>42</v>
      </c>
      <c r="C106" s="1">
        <v>83</v>
      </c>
      <c r="D106" s="1">
        <v>198</v>
      </c>
      <c r="E106" s="1">
        <v>218</v>
      </c>
      <c r="F106" s="1">
        <v>56</v>
      </c>
      <c r="G106" s="7">
        <v>0.28000000000000003</v>
      </c>
      <c r="H106" s="1">
        <v>40</v>
      </c>
      <c r="I106" s="9" t="s">
        <v>40</v>
      </c>
      <c r="J106" s="1"/>
      <c r="K106" s="1">
        <v>253</v>
      </c>
      <c r="L106" s="1">
        <f t="shared" si="28"/>
        <v>-35</v>
      </c>
      <c r="M106" s="1"/>
      <c r="N106" s="1"/>
      <c r="O106" s="1">
        <v>150</v>
      </c>
      <c r="P106" s="1">
        <v>0</v>
      </c>
      <c r="Q106" s="1">
        <v>200</v>
      </c>
      <c r="R106" s="1">
        <f t="shared" si="29"/>
        <v>43.6</v>
      </c>
      <c r="S106" s="5">
        <f t="shared" ref="S106:S108" si="32">12*R106-Q106-P106-O106-F106</f>
        <v>117.20000000000005</v>
      </c>
      <c r="T106" s="1">
        <f t="shared" si="30"/>
        <v>12</v>
      </c>
      <c r="U106" s="1">
        <f t="shared" si="31"/>
        <v>9.3119266055045866</v>
      </c>
      <c r="V106" s="1">
        <v>34.4</v>
      </c>
      <c r="W106" s="1">
        <v>17.399999999999999</v>
      </c>
      <c r="X106" s="1">
        <v>-1</v>
      </c>
      <c r="Y106" s="1">
        <v>-0.6</v>
      </c>
      <c r="Z106" s="1">
        <v>28.2</v>
      </c>
      <c r="AA106" s="1">
        <v>28.6</v>
      </c>
      <c r="AB106" s="1">
        <v>0</v>
      </c>
      <c r="AC106" s="1">
        <v>7.6</v>
      </c>
      <c r="AD106" s="1">
        <v>22.8</v>
      </c>
      <c r="AE106" s="1">
        <v>33.799999999999997</v>
      </c>
      <c r="AF106" s="1"/>
      <c r="AG106" s="1">
        <f>G106*S106</f>
        <v>32.816000000000017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5" t="s">
        <v>149</v>
      </c>
      <c r="B107" s="1" t="s">
        <v>42</v>
      </c>
      <c r="C107" s="1">
        <v>3</v>
      </c>
      <c r="D107" s="1">
        <v>24</v>
      </c>
      <c r="E107" s="1">
        <v>29</v>
      </c>
      <c r="F107" s="1">
        <v>-4</v>
      </c>
      <c r="G107" s="7">
        <v>0.28000000000000003</v>
      </c>
      <c r="H107" s="1">
        <v>40</v>
      </c>
      <c r="I107" s="9" t="s">
        <v>40</v>
      </c>
      <c r="J107" s="1"/>
      <c r="K107" s="1">
        <v>56</v>
      </c>
      <c r="L107" s="1">
        <f t="shared" si="28"/>
        <v>-27</v>
      </c>
      <c r="M107" s="1"/>
      <c r="N107" s="1"/>
      <c r="O107" s="1">
        <v>300</v>
      </c>
      <c r="P107" s="1">
        <v>110.88</v>
      </c>
      <c r="Q107" s="1">
        <v>100</v>
      </c>
      <c r="R107" s="1">
        <f t="shared" si="29"/>
        <v>5.8</v>
      </c>
      <c r="S107" s="5"/>
      <c r="T107" s="1">
        <f t="shared" si="30"/>
        <v>87.393103448275866</v>
      </c>
      <c r="U107" s="1">
        <f t="shared" si="31"/>
        <v>87.393103448275866</v>
      </c>
      <c r="V107" s="1">
        <v>1</v>
      </c>
      <c r="W107" s="1">
        <v>33.6</v>
      </c>
      <c r="X107" s="1">
        <v>47.8</v>
      </c>
      <c r="Y107" s="1">
        <v>45.6</v>
      </c>
      <c r="Z107" s="1">
        <v>29.2</v>
      </c>
      <c r="AA107" s="1">
        <v>-1</v>
      </c>
      <c r="AB107" s="1">
        <v>-0.6</v>
      </c>
      <c r="AC107" s="1">
        <v>12.2</v>
      </c>
      <c r="AD107" s="1">
        <v>19.2</v>
      </c>
      <c r="AE107" s="1">
        <v>21.2</v>
      </c>
      <c r="AF107" s="1"/>
      <c r="AG107" s="1">
        <f>G107*S107</f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5" t="s">
        <v>150</v>
      </c>
      <c r="B108" s="1" t="s">
        <v>42</v>
      </c>
      <c r="C108" s="1">
        <v>3</v>
      </c>
      <c r="D108" s="1"/>
      <c r="E108" s="1">
        <v>-2</v>
      </c>
      <c r="F108" s="1">
        <v>3</v>
      </c>
      <c r="G108" s="7">
        <v>0.28000000000000003</v>
      </c>
      <c r="H108" s="1">
        <v>40</v>
      </c>
      <c r="I108" s="9" t="s">
        <v>40</v>
      </c>
      <c r="J108" s="1"/>
      <c r="K108" s="1">
        <v>40</v>
      </c>
      <c r="L108" s="1">
        <f t="shared" si="28"/>
        <v>-42</v>
      </c>
      <c r="M108" s="1"/>
      <c r="N108" s="1"/>
      <c r="O108" s="1">
        <v>180</v>
      </c>
      <c r="P108" s="1">
        <v>0</v>
      </c>
      <c r="Q108" s="1">
        <v>100</v>
      </c>
      <c r="R108" s="1">
        <f t="shared" si="29"/>
        <v>-0.4</v>
      </c>
      <c r="S108" s="5"/>
      <c r="T108" s="1">
        <f t="shared" si="30"/>
        <v>-707.5</v>
      </c>
      <c r="U108" s="1">
        <f t="shared" si="31"/>
        <v>-707.5</v>
      </c>
      <c r="V108" s="1">
        <v>-0.2</v>
      </c>
      <c r="W108" s="1">
        <v>-0.2</v>
      </c>
      <c r="X108" s="1">
        <v>-0.2</v>
      </c>
      <c r="Y108" s="1">
        <v>19.600000000000001</v>
      </c>
      <c r="Z108" s="1">
        <v>49.2</v>
      </c>
      <c r="AA108" s="1">
        <v>29.4</v>
      </c>
      <c r="AB108" s="1">
        <v>0.4</v>
      </c>
      <c r="AC108" s="1">
        <v>10.6</v>
      </c>
      <c r="AD108" s="1">
        <v>15.2</v>
      </c>
      <c r="AE108" s="1">
        <v>19</v>
      </c>
      <c r="AF108" s="1"/>
      <c r="AG108" s="1">
        <f>G108*S108</f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0" t="s">
        <v>151</v>
      </c>
      <c r="B109" s="10" t="s">
        <v>42</v>
      </c>
      <c r="C109" s="10"/>
      <c r="D109" s="10"/>
      <c r="E109" s="10"/>
      <c r="F109" s="10"/>
      <c r="G109" s="11">
        <v>0</v>
      </c>
      <c r="H109" s="10"/>
      <c r="I109" s="10" t="s">
        <v>37</v>
      </c>
      <c r="J109" s="10"/>
      <c r="K109" s="10"/>
      <c r="L109" s="10">
        <f t="shared" si="28"/>
        <v>0</v>
      </c>
      <c r="M109" s="10"/>
      <c r="N109" s="10"/>
      <c r="O109" s="10">
        <v>0</v>
      </c>
      <c r="P109" s="10">
        <v>0</v>
      </c>
      <c r="Q109" s="10">
        <v>0</v>
      </c>
      <c r="R109" s="10">
        <f t="shared" si="29"/>
        <v>0</v>
      </c>
      <c r="S109" s="12"/>
      <c r="T109" s="10" t="e">
        <f t="shared" si="30"/>
        <v>#DIV/0!</v>
      </c>
      <c r="U109" s="10" t="e">
        <f t="shared" si="31"/>
        <v>#DIV/0!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 t="s">
        <v>47</v>
      </c>
      <c r="AG109" s="10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152</v>
      </c>
      <c r="B110" s="1" t="s">
        <v>36</v>
      </c>
      <c r="C110" s="1">
        <v>139.38499999999999</v>
      </c>
      <c r="D110" s="1"/>
      <c r="E110" s="1">
        <v>22.271999999999998</v>
      </c>
      <c r="F110" s="1">
        <v>114.601</v>
      </c>
      <c r="G110" s="7">
        <v>1</v>
      </c>
      <c r="H110" s="1">
        <v>60</v>
      </c>
      <c r="I110" s="1" t="s">
        <v>37</v>
      </c>
      <c r="J110" s="1"/>
      <c r="K110" s="1">
        <v>22.5</v>
      </c>
      <c r="L110" s="1">
        <f t="shared" si="28"/>
        <v>-0.22800000000000153</v>
      </c>
      <c r="M110" s="1"/>
      <c r="N110" s="1"/>
      <c r="O110" s="1">
        <v>0</v>
      </c>
      <c r="P110" s="1">
        <v>0</v>
      </c>
      <c r="Q110" s="1">
        <v>0</v>
      </c>
      <c r="R110" s="1">
        <f t="shared" si="29"/>
        <v>4.4543999999999997</v>
      </c>
      <c r="S110" s="5"/>
      <c r="T110" s="1">
        <f t="shared" si="30"/>
        <v>25.72759518678161</v>
      </c>
      <c r="U110" s="1">
        <f t="shared" si="31"/>
        <v>25.72759518678161</v>
      </c>
      <c r="V110" s="1">
        <v>6.4551999999999996</v>
      </c>
      <c r="W110" s="1">
        <v>4.9847999999999999</v>
      </c>
      <c r="X110" s="1">
        <v>1.3324</v>
      </c>
      <c r="Y110" s="1">
        <v>0.84160000000000001</v>
      </c>
      <c r="Z110" s="1">
        <v>5.0156000000000001</v>
      </c>
      <c r="AA110" s="1">
        <v>13.5182</v>
      </c>
      <c r="AB110" s="1">
        <v>13.540800000000001</v>
      </c>
      <c r="AC110" s="1">
        <v>6.0069999999999997</v>
      </c>
      <c r="AD110" s="1">
        <v>6.8293999999999997</v>
      </c>
      <c r="AE110" s="1">
        <v>5.8517999999999999</v>
      </c>
      <c r="AF110" s="14" t="s">
        <v>163</v>
      </c>
      <c r="AG110" s="1">
        <f>G110*S110</f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153</v>
      </c>
      <c r="B111" s="1" t="s">
        <v>36</v>
      </c>
      <c r="C111" s="1">
        <v>81.102000000000004</v>
      </c>
      <c r="D111" s="1"/>
      <c r="E111" s="1">
        <v>27.861999999999998</v>
      </c>
      <c r="F111" s="1">
        <v>50.712000000000003</v>
      </c>
      <c r="G111" s="7">
        <v>1</v>
      </c>
      <c r="H111" s="1">
        <v>50</v>
      </c>
      <c r="I111" s="1" t="s">
        <v>37</v>
      </c>
      <c r="J111" s="1"/>
      <c r="K111" s="1">
        <v>27.5</v>
      </c>
      <c r="L111" s="1">
        <f t="shared" si="28"/>
        <v>0.36199999999999832</v>
      </c>
      <c r="M111" s="1"/>
      <c r="N111" s="1"/>
      <c r="O111" s="1">
        <v>0</v>
      </c>
      <c r="P111" s="1">
        <v>0</v>
      </c>
      <c r="Q111" s="1">
        <v>51.036799999999992</v>
      </c>
      <c r="R111" s="1">
        <f t="shared" si="29"/>
        <v>5.5724</v>
      </c>
      <c r="S111" s="5"/>
      <c r="T111" s="1">
        <f t="shared" si="30"/>
        <v>18.259421434211468</v>
      </c>
      <c r="U111" s="1">
        <f t="shared" si="31"/>
        <v>18.259421434211468</v>
      </c>
      <c r="V111" s="1">
        <v>9.1123999999999992</v>
      </c>
      <c r="W111" s="1">
        <v>6.056</v>
      </c>
      <c r="X111" s="1">
        <v>3.4940000000000002</v>
      </c>
      <c r="Y111" s="1">
        <v>4.9979999999999993</v>
      </c>
      <c r="Z111" s="1">
        <v>5.8792</v>
      </c>
      <c r="AA111" s="1">
        <v>11.348599999999999</v>
      </c>
      <c r="AB111" s="1">
        <v>10.4556</v>
      </c>
      <c r="AC111" s="1">
        <v>3.9902000000000002</v>
      </c>
      <c r="AD111" s="1">
        <v>5.9682000000000004</v>
      </c>
      <c r="AE111" s="1">
        <v>6.4512</v>
      </c>
      <c r="AF111" s="1"/>
      <c r="AG111" s="1">
        <f>G111*S111</f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5" t="s">
        <v>154</v>
      </c>
      <c r="B112" s="1" t="s">
        <v>42</v>
      </c>
      <c r="C112" s="1">
        <v>46</v>
      </c>
      <c r="D112" s="1"/>
      <c r="E112" s="1">
        <v>44</v>
      </c>
      <c r="F112" s="1">
        <v>2</v>
      </c>
      <c r="G112" s="7">
        <v>0.09</v>
      </c>
      <c r="H112" s="1"/>
      <c r="I112" s="9" t="s">
        <v>40</v>
      </c>
      <c r="J112" s="1"/>
      <c r="K112" s="1">
        <v>41</v>
      </c>
      <c r="L112" s="1">
        <f t="shared" si="28"/>
        <v>3</v>
      </c>
      <c r="M112" s="1"/>
      <c r="N112" s="1"/>
      <c r="O112" s="1">
        <v>31.399999999999991</v>
      </c>
      <c r="P112" s="1">
        <v>33.40000000000002</v>
      </c>
      <c r="Q112" s="1">
        <v>59.399999999999977</v>
      </c>
      <c r="R112" s="1">
        <f t="shared" si="29"/>
        <v>8.8000000000000007</v>
      </c>
      <c r="S112" s="5"/>
      <c r="T112" s="1">
        <f t="shared" si="30"/>
        <v>14.340909090909088</v>
      </c>
      <c r="U112" s="1">
        <f t="shared" si="31"/>
        <v>14.340909090909088</v>
      </c>
      <c r="V112" s="1">
        <v>11.6</v>
      </c>
      <c r="W112" s="1">
        <v>9.8000000000000007</v>
      </c>
      <c r="X112" s="1">
        <v>6.6</v>
      </c>
      <c r="Y112" s="1">
        <v>5</v>
      </c>
      <c r="Z112" s="1">
        <v>2.8</v>
      </c>
      <c r="AA112" s="1">
        <v>0.4</v>
      </c>
      <c r="AB112" s="1">
        <v>2.8</v>
      </c>
      <c r="AC112" s="1">
        <v>10.6</v>
      </c>
      <c r="AD112" s="1">
        <v>10.199999999999999</v>
      </c>
      <c r="AE112" s="1">
        <v>1</v>
      </c>
      <c r="AF112" s="1"/>
      <c r="AG112" s="1">
        <f>G112*S112</f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0" t="s">
        <v>155</v>
      </c>
      <c r="B113" s="10" t="s">
        <v>42</v>
      </c>
      <c r="C113" s="10"/>
      <c r="D113" s="10"/>
      <c r="E113" s="10"/>
      <c r="F113" s="10"/>
      <c r="G113" s="11">
        <v>0</v>
      </c>
      <c r="H113" s="10"/>
      <c r="I113" s="10" t="s">
        <v>37</v>
      </c>
      <c r="J113" s="10"/>
      <c r="K113" s="10"/>
      <c r="L113" s="10">
        <f t="shared" si="28"/>
        <v>0</v>
      </c>
      <c r="M113" s="10"/>
      <c r="N113" s="10"/>
      <c r="O113" s="10">
        <v>0</v>
      </c>
      <c r="P113" s="10">
        <v>0</v>
      </c>
      <c r="Q113" s="10">
        <v>0</v>
      </c>
      <c r="R113" s="10">
        <f t="shared" si="29"/>
        <v>0</v>
      </c>
      <c r="S113" s="12"/>
      <c r="T113" s="10" t="e">
        <f t="shared" si="30"/>
        <v>#DIV/0!</v>
      </c>
      <c r="U113" s="10" t="e">
        <f t="shared" si="31"/>
        <v>#DIV/0!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 t="s">
        <v>47</v>
      </c>
      <c r="AG113" s="10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5" t="s">
        <v>156</v>
      </c>
      <c r="B114" s="1" t="s">
        <v>36</v>
      </c>
      <c r="C114" s="1">
        <v>220.18100000000001</v>
      </c>
      <c r="D114" s="1"/>
      <c r="E114" s="1">
        <v>168.46799999999999</v>
      </c>
      <c r="F114" s="1">
        <v>50.33</v>
      </c>
      <c r="G114" s="7">
        <v>1</v>
      </c>
      <c r="H114" s="1">
        <v>60</v>
      </c>
      <c r="I114" s="9" t="s">
        <v>40</v>
      </c>
      <c r="J114" s="1"/>
      <c r="K114" s="1">
        <v>159.47999999999999</v>
      </c>
      <c r="L114" s="1">
        <f t="shared" si="28"/>
        <v>8.9879999999999995</v>
      </c>
      <c r="M114" s="1"/>
      <c r="N114" s="1"/>
      <c r="O114" s="1">
        <v>45.275199999999998</v>
      </c>
      <c r="P114" s="1">
        <v>74.620919999999998</v>
      </c>
      <c r="Q114" s="1">
        <v>93.015879999999981</v>
      </c>
      <c r="R114" s="1">
        <f t="shared" si="29"/>
        <v>33.693599999999996</v>
      </c>
      <c r="S114" s="5">
        <f t="shared" ref="S114:S125" si="33">12*R114-Q114-P114-O114-F114</f>
        <v>141.08119999999997</v>
      </c>
      <c r="T114" s="1">
        <f t="shared" si="30"/>
        <v>12</v>
      </c>
      <c r="U114" s="1">
        <f t="shared" si="31"/>
        <v>7.812819051689341</v>
      </c>
      <c r="V114" s="1">
        <v>28.686</v>
      </c>
      <c r="W114" s="1">
        <v>22.612400000000001</v>
      </c>
      <c r="X114" s="1">
        <v>22.637599999999999</v>
      </c>
      <c r="Y114" s="1">
        <v>27.105399999999999</v>
      </c>
      <c r="Z114" s="1">
        <v>27.293199999999999</v>
      </c>
      <c r="AA114" s="1">
        <v>31.0916</v>
      </c>
      <c r="AB114" s="1">
        <v>23.963999999999999</v>
      </c>
      <c r="AC114" s="1">
        <v>24.394400000000001</v>
      </c>
      <c r="AD114" s="1">
        <v>36.898000000000003</v>
      </c>
      <c r="AE114" s="1">
        <v>36.700200000000002</v>
      </c>
      <c r="AF114" s="1" t="s">
        <v>77</v>
      </c>
      <c r="AG114" s="1">
        <f t="shared" ref="AG114:AG125" si="34">G114*S114</f>
        <v>141.08119999999997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157</v>
      </c>
      <c r="B115" s="1" t="s">
        <v>36</v>
      </c>
      <c r="C115" s="1">
        <v>232.22300000000001</v>
      </c>
      <c r="D115" s="1"/>
      <c r="E115" s="1">
        <v>226.75399999999999</v>
      </c>
      <c r="F115" s="1">
        <v>3.4809999999999999</v>
      </c>
      <c r="G115" s="7">
        <v>1</v>
      </c>
      <c r="H115" s="1">
        <v>60</v>
      </c>
      <c r="I115" s="1" t="s">
        <v>37</v>
      </c>
      <c r="J115" s="1"/>
      <c r="K115" s="1">
        <v>211.83</v>
      </c>
      <c r="L115" s="1">
        <f t="shared" si="28"/>
        <v>14.923999999999978</v>
      </c>
      <c r="M115" s="1"/>
      <c r="N115" s="1"/>
      <c r="O115" s="1">
        <v>53.51380000000001</v>
      </c>
      <c r="P115" s="1">
        <v>83.254379999999998</v>
      </c>
      <c r="Q115" s="1">
        <v>201.23882</v>
      </c>
      <c r="R115" s="1">
        <f t="shared" si="29"/>
        <v>45.3508</v>
      </c>
      <c r="S115" s="5">
        <f t="shared" si="33"/>
        <v>202.72160000000002</v>
      </c>
      <c r="T115" s="1">
        <f t="shared" si="30"/>
        <v>12.000000000000004</v>
      </c>
      <c r="U115" s="1">
        <f t="shared" si="31"/>
        <v>7.5299222946453002</v>
      </c>
      <c r="V115" s="1">
        <v>34.774000000000001</v>
      </c>
      <c r="W115" s="1">
        <v>25.2286</v>
      </c>
      <c r="X115" s="1">
        <v>23.5992</v>
      </c>
      <c r="Y115" s="1">
        <v>31.338799999999999</v>
      </c>
      <c r="Z115" s="1">
        <v>29.66</v>
      </c>
      <c r="AA115" s="1">
        <v>32.9238</v>
      </c>
      <c r="AB115" s="1">
        <v>39.220199999999998</v>
      </c>
      <c r="AC115" s="1">
        <v>45.087000000000003</v>
      </c>
      <c r="AD115" s="1">
        <v>46.735399999999998</v>
      </c>
      <c r="AE115" s="1">
        <v>35.391800000000003</v>
      </c>
      <c r="AF115" s="1" t="s">
        <v>77</v>
      </c>
      <c r="AG115" s="1">
        <f t="shared" si="34"/>
        <v>202.72160000000002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5" t="s">
        <v>158</v>
      </c>
      <c r="B116" s="1" t="s">
        <v>36</v>
      </c>
      <c r="C116" s="1">
        <v>71.400999999999996</v>
      </c>
      <c r="D116" s="1">
        <v>50.003</v>
      </c>
      <c r="E116" s="1">
        <v>36.478999999999999</v>
      </c>
      <c r="F116" s="1">
        <v>84.227000000000004</v>
      </c>
      <c r="G116" s="7">
        <v>1</v>
      </c>
      <c r="H116" s="1">
        <v>60</v>
      </c>
      <c r="I116" s="9" t="s">
        <v>40</v>
      </c>
      <c r="J116" s="1"/>
      <c r="K116" s="1">
        <v>33.200000000000003</v>
      </c>
      <c r="L116" s="1">
        <f t="shared" si="28"/>
        <v>3.2789999999999964</v>
      </c>
      <c r="M116" s="1"/>
      <c r="N116" s="1"/>
      <c r="O116" s="1">
        <v>0</v>
      </c>
      <c r="P116" s="1">
        <v>0</v>
      </c>
      <c r="Q116" s="1">
        <v>17.412734000000039</v>
      </c>
      <c r="R116" s="1">
        <f t="shared" si="29"/>
        <v>7.2957999999999998</v>
      </c>
      <c r="S116" s="5"/>
      <c r="T116" s="1">
        <f t="shared" si="30"/>
        <v>13.93126648208559</v>
      </c>
      <c r="U116" s="1">
        <f t="shared" si="31"/>
        <v>13.93126648208559</v>
      </c>
      <c r="V116" s="1">
        <v>9.3412000000000006</v>
      </c>
      <c r="W116" s="1">
        <v>6.0305999999999997</v>
      </c>
      <c r="X116" s="1">
        <v>2.9855999999999998</v>
      </c>
      <c r="Y116" s="1">
        <v>10.257199999999999</v>
      </c>
      <c r="Z116" s="1">
        <v>11.1214</v>
      </c>
      <c r="AA116" s="1">
        <v>6.5174000000000003</v>
      </c>
      <c r="AB116" s="1">
        <v>7.8681999999999999</v>
      </c>
      <c r="AC116" s="1">
        <v>14.795</v>
      </c>
      <c r="AD116" s="1">
        <v>14.6974</v>
      </c>
      <c r="AE116" s="1">
        <v>11.095000000000001</v>
      </c>
      <c r="AF116" s="1"/>
      <c r="AG116" s="1">
        <f t="shared" si="34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159</v>
      </c>
      <c r="B117" s="1" t="s">
        <v>36</v>
      </c>
      <c r="C117" s="1">
        <v>732.69899999999996</v>
      </c>
      <c r="D117" s="1">
        <v>2033.58</v>
      </c>
      <c r="E117" s="1">
        <v>1087.596</v>
      </c>
      <c r="F117" s="1">
        <v>1668.0409999999999</v>
      </c>
      <c r="G117" s="7">
        <v>1</v>
      </c>
      <c r="H117" s="1">
        <v>60</v>
      </c>
      <c r="I117" s="1" t="s">
        <v>37</v>
      </c>
      <c r="J117" s="1"/>
      <c r="K117" s="1">
        <v>1112.5</v>
      </c>
      <c r="L117" s="1">
        <f t="shared" si="28"/>
        <v>-24.903999999999996</v>
      </c>
      <c r="M117" s="1"/>
      <c r="N117" s="1"/>
      <c r="O117" s="1">
        <v>0</v>
      </c>
      <c r="P117" s="1">
        <v>0</v>
      </c>
      <c r="Q117" s="1">
        <v>451.37974239999988</v>
      </c>
      <c r="R117" s="1">
        <f t="shared" si="29"/>
        <v>217.51920000000001</v>
      </c>
      <c r="S117" s="5">
        <f t="shared" si="33"/>
        <v>490.80965760000049</v>
      </c>
      <c r="T117" s="1">
        <f t="shared" si="30"/>
        <v>12.000000000000002</v>
      </c>
      <c r="U117" s="1">
        <f t="shared" si="31"/>
        <v>9.7436030584886275</v>
      </c>
      <c r="V117" s="1">
        <v>206.75880000000001</v>
      </c>
      <c r="W117" s="1">
        <v>144.517</v>
      </c>
      <c r="X117" s="1">
        <v>123.8562</v>
      </c>
      <c r="Y117" s="1">
        <v>248.13579999999999</v>
      </c>
      <c r="Z117" s="1">
        <v>262.48399999999998</v>
      </c>
      <c r="AA117" s="1">
        <v>125.1674</v>
      </c>
      <c r="AB117" s="1">
        <v>148.19280000000001</v>
      </c>
      <c r="AC117" s="1">
        <v>178.65039999999999</v>
      </c>
      <c r="AD117" s="1">
        <v>173.5172</v>
      </c>
      <c r="AE117" s="1">
        <v>165.2568</v>
      </c>
      <c r="AF117" s="1"/>
      <c r="AG117" s="1">
        <f t="shared" si="34"/>
        <v>490.80965760000049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160</v>
      </c>
      <c r="B118" s="1" t="s">
        <v>42</v>
      </c>
      <c r="C118" s="1">
        <v>370</v>
      </c>
      <c r="D118" s="1"/>
      <c r="E118" s="1">
        <v>19</v>
      </c>
      <c r="F118" s="1">
        <v>351</v>
      </c>
      <c r="G118" s="7">
        <v>0.25</v>
      </c>
      <c r="H118" s="1">
        <v>1096</v>
      </c>
      <c r="I118" s="1" t="s">
        <v>37</v>
      </c>
      <c r="J118" s="1"/>
      <c r="K118" s="1">
        <v>19</v>
      </c>
      <c r="L118" s="1">
        <f t="shared" si="28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9"/>
        <v>3.8</v>
      </c>
      <c r="S118" s="5"/>
      <c r="T118" s="1">
        <f t="shared" si="30"/>
        <v>92.368421052631589</v>
      </c>
      <c r="U118" s="1">
        <f t="shared" si="31"/>
        <v>92.368421052631589</v>
      </c>
      <c r="V118" s="1">
        <v>7.2</v>
      </c>
      <c r="W118" s="1">
        <v>10.6</v>
      </c>
      <c r="X118" s="1">
        <v>7.2</v>
      </c>
      <c r="Y118" s="1">
        <v>8</v>
      </c>
      <c r="Z118" s="1">
        <v>11</v>
      </c>
      <c r="AA118" s="1">
        <v>16.600000000000001</v>
      </c>
      <c r="AB118" s="1">
        <v>36.4</v>
      </c>
      <c r="AC118" s="1">
        <v>43.4</v>
      </c>
      <c r="AD118" s="1">
        <v>26.2</v>
      </c>
      <c r="AE118" s="1">
        <v>23</v>
      </c>
      <c r="AF118" s="16" t="s">
        <v>173</v>
      </c>
      <c r="AG118" s="1">
        <f t="shared" si="34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161</v>
      </c>
      <c r="B119" s="1" t="s">
        <v>42</v>
      </c>
      <c r="C119" s="1">
        <v>368</v>
      </c>
      <c r="D119" s="1"/>
      <c r="E119" s="1">
        <v>20</v>
      </c>
      <c r="F119" s="13">
        <f>348+F127</f>
        <v>398</v>
      </c>
      <c r="G119" s="7">
        <v>0.32500000000000001</v>
      </c>
      <c r="H119" s="1">
        <v>1096</v>
      </c>
      <c r="I119" s="1" t="s">
        <v>37</v>
      </c>
      <c r="J119" s="1"/>
      <c r="K119" s="1">
        <v>20</v>
      </c>
      <c r="L119" s="1">
        <f t="shared" si="28"/>
        <v>0</v>
      </c>
      <c r="M119" s="1"/>
      <c r="N119" s="1"/>
      <c r="O119" s="1">
        <v>0</v>
      </c>
      <c r="P119" s="1">
        <v>0</v>
      </c>
      <c r="Q119" s="1">
        <v>0</v>
      </c>
      <c r="R119" s="1">
        <f t="shared" si="29"/>
        <v>4</v>
      </c>
      <c r="S119" s="5"/>
      <c r="T119" s="1">
        <f t="shared" si="30"/>
        <v>99.5</v>
      </c>
      <c r="U119" s="1">
        <f t="shared" si="31"/>
        <v>99.5</v>
      </c>
      <c r="V119" s="1">
        <v>4.5999999999999996</v>
      </c>
      <c r="W119" s="1">
        <v>5.4</v>
      </c>
      <c r="X119" s="1">
        <v>3.6</v>
      </c>
      <c r="Y119" s="1">
        <v>3.6</v>
      </c>
      <c r="Z119" s="1">
        <v>7</v>
      </c>
      <c r="AA119" s="1">
        <v>11.6</v>
      </c>
      <c r="AB119" s="1">
        <v>21</v>
      </c>
      <c r="AC119" s="1">
        <v>27.8</v>
      </c>
      <c r="AD119" s="1">
        <v>16.2</v>
      </c>
      <c r="AE119" s="1">
        <v>15.6</v>
      </c>
      <c r="AF119" s="16" t="s">
        <v>173</v>
      </c>
      <c r="AG119" s="1">
        <f t="shared" si="34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5" t="s">
        <v>162</v>
      </c>
      <c r="B120" s="1" t="s">
        <v>42</v>
      </c>
      <c r="C120" s="1">
        <v>499</v>
      </c>
      <c r="D120" s="1"/>
      <c r="E120" s="1">
        <v>39</v>
      </c>
      <c r="F120" s="1">
        <v>460</v>
      </c>
      <c r="G120" s="7">
        <v>0.25</v>
      </c>
      <c r="H120" s="1">
        <v>1096</v>
      </c>
      <c r="I120" s="9" t="s">
        <v>40</v>
      </c>
      <c r="J120" s="1"/>
      <c r="K120" s="1">
        <v>37</v>
      </c>
      <c r="L120" s="1">
        <f t="shared" si="28"/>
        <v>2</v>
      </c>
      <c r="M120" s="1"/>
      <c r="N120" s="1"/>
      <c r="O120" s="1">
        <v>0</v>
      </c>
      <c r="P120" s="1">
        <v>0</v>
      </c>
      <c r="Q120" s="1">
        <v>0</v>
      </c>
      <c r="R120" s="1">
        <f t="shared" si="29"/>
        <v>7.8</v>
      </c>
      <c r="S120" s="5"/>
      <c r="T120" s="1">
        <f t="shared" si="30"/>
        <v>58.974358974358978</v>
      </c>
      <c r="U120" s="1">
        <f t="shared" si="31"/>
        <v>58.974358974358978</v>
      </c>
      <c r="V120" s="1">
        <v>9.4</v>
      </c>
      <c r="W120" s="1">
        <v>10.4</v>
      </c>
      <c r="X120" s="1">
        <v>4.8</v>
      </c>
      <c r="Y120" s="1">
        <v>2.4</v>
      </c>
      <c r="Z120" s="1">
        <v>13</v>
      </c>
      <c r="AA120" s="1">
        <v>19.8</v>
      </c>
      <c r="AB120" s="1">
        <v>38</v>
      </c>
      <c r="AC120" s="1">
        <v>49.6</v>
      </c>
      <c r="AD120" s="1">
        <v>42.2</v>
      </c>
      <c r="AE120" s="1">
        <v>40</v>
      </c>
      <c r="AF120" s="14" t="s">
        <v>163</v>
      </c>
      <c r="AG120" s="1">
        <f t="shared" si="34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5" t="s">
        <v>164</v>
      </c>
      <c r="B121" s="1" t="s">
        <v>42</v>
      </c>
      <c r="C121" s="1"/>
      <c r="D121" s="1"/>
      <c r="E121" s="1"/>
      <c r="F121" s="1"/>
      <c r="G121" s="7">
        <v>0.3</v>
      </c>
      <c r="H121" s="1">
        <v>40</v>
      </c>
      <c r="I121" s="9" t="s">
        <v>40</v>
      </c>
      <c r="J121" s="1"/>
      <c r="K121" s="1">
        <v>2</v>
      </c>
      <c r="L121" s="1">
        <f t="shared" si="28"/>
        <v>-2</v>
      </c>
      <c r="M121" s="1"/>
      <c r="N121" s="1"/>
      <c r="O121" s="1">
        <v>80</v>
      </c>
      <c r="P121" s="1">
        <v>0</v>
      </c>
      <c r="Q121" s="1">
        <v>150</v>
      </c>
      <c r="R121" s="1">
        <f t="shared" si="29"/>
        <v>0</v>
      </c>
      <c r="S121" s="5"/>
      <c r="T121" s="1" t="e">
        <f t="shared" si="30"/>
        <v>#DIV/0!</v>
      </c>
      <c r="U121" s="1" t="e">
        <f t="shared" si="31"/>
        <v>#DIV/0!</v>
      </c>
      <c r="V121" s="1">
        <v>-0.6</v>
      </c>
      <c r="W121" s="1">
        <v>-0.6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-0.8</v>
      </c>
      <c r="AE121" s="1">
        <v>-1.4</v>
      </c>
      <c r="AF121" s="1"/>
      <c r="AG121" s="1">
        <f t="shared" si="34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5" t="s">
        <v>165</v>
      </c>
      <c r="B122" s="1" t="s">
        <v>42</v>
      </c>
      <c r="C122" s="1"/>
      <c r="D122" s="1">
        <v>18</v>
      </c>
      <c r="E122" s="1">
        <v>2</v>
      </c>
      <c r="F122" s="1">
        <v>15</v>
      </c>
      <c r="G122" s="7">
        <v>0.3</v>
      </c>
      <c r="H122" s="1">
        <v>40</v>
      </c>
      <c r="I122" s="9" t="s">
        <v>40</v>
      </c>
      <c r="J122" s="1"/>
      <c r="K122" s="1">
        <v>3</v>
      </c>
      <c r="L122" s="1">
        <f t="shared" si="28"/>
        <v>-1</v>
      </c>
      <c r="M122" s="1"/>
      <c r="N122" s="1"/>
      <c r="O122" s="1">
        <v>80</v>
      </c>
      <c r="P122" s="1">
        <v>0</v>
      </c>
      <c r="Q122" s="1">
        <v>150</v>
      </c>
      <c r="R122" s="1">
        <f t="shared" si="29"/>
        <v>0.4</v>
      </c>
      <c r="S122" s="5"/>
      <c r="T122" s="1">
        <f t="shared" si="30"/>
        <v>612.5</v>
      </c>
      <c r="U122" s="1">
        <f t="shared" si="31"/>
        <v>612.5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-0.2</v>
      </c>
      <c r="AE122" s="1">
        <v>-0.2</v>
      </c>
      <c r="AF122" s="1" t="s">
        <v>166</v>
      </c>
      <c r="AG122" s="1">
        <f t="shared" si="34"/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167</v>
      </c>
      <c r="B123" s="1" t="s">
        <v>36</v>
      </c>
      <c r="C123" s="1">
        <v>16.584</v>
      </c>
      <c r="D123" s="1"/>
      <c r="E123" s="1">
        <v>12.44</v>
      </c>
      <c r="F123" s="1">
        <v>4.1440000000000001</v>
      </c>
      <c r="G123" s="7">
        <v>1</v>
      </c>
      <c r="H123" s="1">
        <v>50</v>
      </c>
      <c r="I123" s="1" t="s">
        <v>37</v>
      </c>
      <c r="J123" s="1"/>
      <c r="K123" s="1">
        <v>12</v>
      </c>
      <c r="L123" s="1">
        <f t="shared" si="28"/>
        <v>0.4399999999999995</v>
      </c>
      <c r="M123" s="1"/>
      <c r="N123" s="1"/>
      <c r="O123" s="1">
        <v>6.024</v>
      </c>
      <c r="P123" s="1">
        <v>34.741999999999997</v>
      </c>
      <c r="Q123" s="1">
        <v>27.217200000000009</v>
      </c>
      <c r="R123" s="1">
        <f t="shared" si="29"/>
        <v>2.488</v>
      </c>
      <c r="S123" s="5"/>
      <c r="T123" s="1">
        <f t="shared" si="30"/>
        <v>28.990032154340838</v>
      </c>
      <c r="U123" s="1">
        <f t="shared" si="31"/>
        <v>28.990032154340838</v>
      </c>
      <c r="V123" s="1">
        <v>6.0106000000000002</v>
      </c>
      <c r="W123" s="1">
        <v>5.7350000000000003</v>
      </c>
      <c r="X123" s="1">
        <v>3.012</v>
      </c>
      <c r="Y123" s="1">
        <v>2.4746000000000001</v>
      </c>
      <c r="Z123" s="1">
        <v>1.3877999999999999</v>
      </c>
      <c r="AA123" s="1">
        <v>2.2162000000000002</v>
      </c>
      <c r="AB123" s="1">
        <v>3.0968</v>
      </c>
      <c r="AC123" s="1">
        <v>4.5128000000000004</v>
      </c>
      <c r="AD123" s="1">
        <v>4.6745999999999999</v>
      </c>
      <c r="AE123" s="1">
        <v>3.2343999999999999</v>
      </c>
      <c r="AF123" s="1"/>
      <c r="AG123" s="1">
        <f t="shared" si="34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5" t="s">
        <v>168</v>
      </c>
      <c r="B124" s="1" t="s">
        <v>42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40</v>
      </c>
      <c r="J124" s="1"/>
      <c r="K124" s="1"/>
      <c r="L124" s="1">
        <f t="shared" si="28"/>
        <v>-1</v>
      </c>
      <c r="M124" s="1"/>
      <c r="N124" s="1"/>
      <c r="O124" s="1">
        <v>80</v>
      </c>
      <c r="P124" s="1">
        <v>0</v>
      </c>
      <c r="Q124" s="1">
        <v>200</v>
      </c>
      <c r="R124" s="1">
        <f t="shared" si="29"/>
        <v>-0.2</v>
      </c>
      <c r="S124" s="5"/>
      <c r="T124" s="1">
        <f t="shared" si="30"/>
        <v>-1400</v>
      </c>
      <c r="U124" s="1">
        <f t="shared" si="31"/>
        <v>-1400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-0.4</v>
      </c>
      <c r="AD124" s="1">
        <v>-0.8</v>
      </c>
      <c r="AE124" s="1">
        <v>-0.8</v>
      </c>
      <c r="AF124" s="1"/>
      <c r="AG124" s="1">
        <f t="shared" si="34"/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169</v>
      </c>
      <c r="B125" s="1" t="s">
        <v>42</v>
      </c>
      <c r="C125" s="1">
        <v>15</v>
      </c>
      <c r="D125" s="1">
        <v>105</v>
      </c>
      <c r="E125" s="1">
        <v>29</v>
      </c>
      <c r="F125" s="1">
        <v>90</v>
      </c>
      <c r="G125" s="7">
        <v>0.12</v>
      </c>
      <c r="H125" s="1">
        <v>45</v>
      </c>
      <c r="I125" s="9" t="s">
        <v>40</v>
      </c>
      <c r="J125" s="1"/>
      <c r="K125" s="1">
        <v>34</v>
      </c>
      <c r="L125" s="1">
        <f t="shared" si="28"/>
        <v>-5</v>
      </c>
      <c r="M125" s="1"/>
      <c r="N125" s="1"/>
      <c r="O125" s="1">
        <v>0</v>
      </c>
      <c r="P125" s="1">
        <v>44.800000000000018</v>
      </c>
      <c r="Q125" s="1">
        <v>12.67999999999998</v>
      </c>
      <c r="R125" s="1">
        <f t="shared" si="29"/>
        <v>5.8</v>
      </c>
      <c r="S125" s="5"/>
      <c r="T125" s="1">
        <f t="shared" si="30"/>
        <v>25.427586206896549</v>
      </c>
      <c r="U125" s="1">
        <f t="shared" si="31"/>
        <v>25.427586206896549</v>
      </c>
      <c r="V125" s="1">
        <v>12.2</v>
      </c>
      <c r="W125" s="1">
        <v>10.4</v>
      </c>
      <c r="X125" s="1">
        <v>4.4000000000000004</v>
      </c>
      <c r="Y125" s="1">
        <v>7.4</v>
      </c>
      <c r="Z125" s="1">
        <v>10.199999999999999</v>
      </c>
      <c r="AA125" s="1">
        <v>5.8</v>
      </c>
      <c r="AB125" s="1">
        <v>-0.2</v>
      </c>
      <c r="AC125" s="1">
        <v>-0.2</v>
      </c>
      <c r="AD125" s="1">
        <v>1.2</v>
      </c>
      <c r="AE125" s="1">
        <v>11</v>
      </c>
      <c r="AF125" s="1"/>
      <c r="AG125" s="1">
        <f t="shared" si="34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0" t="s">
        <v>170</v>
      </c>
      <c r="B126" s="10" t="s">
        <v>42</v>
      </c>
      <c r="C126" s="10">
        <v>150</v>
      </c>
      <c r="D126" s="10"/>
      <c r="E126" s="13">
        <v>78</v>
      </c>
      <c r="F126" s="13">
        <v>72</v>
      </c>
      <c r="G126" s="11">
        <v>0</v>
      </c>
      <c r="H126" s="10"/>
      <c r="I126" s="10" t="s">
        <v>171</v>
      </c>
      <c r="J126" s="10" t="s">
        <v>93</v>
      </c>
      <c r="K126" s="10">
        <v>79</v>
      </c>
      <c r="L126" s="10">
        <f t="shared" si="28"/>
        <v>-1</v>
      </c>
      <c r="M126" s="10"/>
      <c r="N126" s="10"/>
      <c r="O126" s="10">
        <v>0</v>
      </c>
      <c r="P126" s="10">
        <v>0</v>
      </c>
      <c r="Q126" s="10">
        <v>0</v>
      </c>
      <c r="R126" s="10">
        <f t="shared" si="29"/>
        <v>15.6</v>
      </c>
      <c r="S126" s="12"/>
      <c r="T126" s="10">
        <f t="shared" si="30"/>
        <v>4.6153846153846159</v>
      </c>
      <c r="U126" s="10">
        <f t="shared" si="31"/>
        <v>4.6153846153846159</v>
      </c>
      <c r="V126" s="10">
        <v>14.8</v>
      </c>
      <c r="W126" s="10">
        <v>12.2</v>
      </c>
      <c r="X126" s="10">
        <v>12.2</v>
      </c>
      <c r="Y126" s="10">
        <v>15.8</v>
      </c>
      <c r="Z126" s="10">
        <v>28.6</v>
      </c>
      <c r="AA126" s="10">
        <v>32</v>
      </c>
      <c r="AB126" s="10">
        <v>33</v>
      </c>
      <c r="AC126" s="10">
        <v>41.6</v>
      </c>
      <c r="AD126" s="10">
        <v>38.4</v>
      </c>
      <c r="AE126" s="10">
        <v>29.4</v>
      </c>
      <c r="AF126" s="10"/>
      <c r="AG126" s="10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0" t="s">
        <v>172</v>
      </c>
      <c r="B127" s="10" t="s">
        <v>42</v>
      </c>
      <c r="C127" s="10">
        <v>50</v>
      </c>
      <c r="D127" s="10"/>
      <c r="E127" s="10"/>
      <c r="F127" s="13">
        <v>50</v>
      </c>
      <c r="G127" s="11">
        <v>0</v>
      </c>
      <c r="H127" s="10"/>
      <c r="I127" s="10" t="s">
        <v>171</v>
      </c>
      <c r="J127" s="10" t="s">
        <v>161</v>
      </c>
      <c r="K127" s="10"/>
      <c r="L127" s="10">
        <f t="shared" si="28"/>
        <v>0</v>
      </c>
      <c r="M127" s="10"/>
      <c r="N127" s="10"/>
      <c r="O127" s="10">
        <v>0</v>
      </c>
      <c r="P127" s="10">
        <v>0</v>
      </c>
      <c r="Q127" s="10">
        <v>0</v>
      </c>
      <c r="R127" s="10">
        <f t="shared" si="29"/>
        <v>0</v>
      </c>
      <c r="S127" s="12"/>
      <c r="T127" s="10" t="e">
        <f t="shared" si="30"/>
        <v>#DIV/0!</v>
      </c>
      <c r="U127" s="10" t="e">
        <f t="shared" si="31"/>
        <v>#DIV/0!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1</v>
      </c>
      <c r="AF127" s="10"/>
      <c r="AG127" s="10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G12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2026-10-13T09:39:03Z</dcterms:created>
  <dcterms:modified xsi:type="dcterms:W3CDTF">2026-10-13T09:52:49Z</dcterms:modified>
</cp:coreProperties>
</file>