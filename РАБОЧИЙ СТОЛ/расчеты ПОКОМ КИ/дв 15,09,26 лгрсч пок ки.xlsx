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9B27F002-4D04-440C-8A10-56B3D1F8C11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Sheet!$A$3:$AK$129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88" i="1" l="1"/>
  <c r="W87" i="1"/>
  <c r="W86" i="1"/>
  <c r="W16" i="1"/>
  <c r="V129" i="1" l="1"/>
  <c r="Y129" i="1" s="1"/>
  <c r="L129" i="1"/>
  <c r="V128" i="1"/>
  <c r="Y128" i="1" s="1"/>
  <c r="L128" i="1"/>
  <c r="AK127" i="1"/>
  <c r="V127" i="1"/>
  <c r="X127" i="1" s="1"/>
  <c r="L127" i="1"/>
  <c r="AK126" i="1"/>
  <c r="V126" i="1"/>
  <c r="Y126" i="1" s="1"/>
  <c r="L126" i="1"/>
  <c r="V125" i="1"/>
  <c r="Y125" i="1" s="1"/>
  <c r="L125" i="1"/>
  <c r="AK124" i="1"/>
  <c r="V124" i="1"/>
  <c r="X124" i="1" s="1"/>
  <c r="L124" i="1"/>
  <c r="AK123" i="1"/>
  <c r="V123" i="1"/>
  <c r="Y123" i="1" s="1"/>
  <c r="L123" i="1"/>
  <c r="V122" i="1"/>
  <c r="Y122" i="1" s="1"/>
  <c r="L122" i="1"/>
  <c r="AK121" i="1"/>
  <c r="V121" i="1"/>
  <c r="X121" i="1" s="1"/>
  <c r="L121" i="1"/>
  <c r="AK120" i="1"/>
  <c r="V120" i="1"/>
  <c r="Y120" i="1" s="1"/>
  <c r="L120" i="1"/>
  <c r="AK119" i="1"/>
  <c r="V119" i="1"/>
  <c r="X119" i="1" s="1"/>
  <c r="L119" i="1"/>
  <c r="V118" i="1"/>
  <c r="L118" i="1"/>
  <c r="V117" i="1"/>
  <c r="L117" i="1"/>
  <c r="V116" i="1"/>
  <c r="L116" i="1"/>
  <c r="V115" i="1"/>
  <c r="L115" i="1"/>
  <c r="V114" i="1"/>
  <c r="X114" i="1" s="1"/>
  <c r="L114" i="1"/>
  <c r="V113" i="1"/>
  <c r="W113" i="1" s="1"/>
  <c r="L113" i="1"/>
  <c r="AK112" i="1"/>
  <c r="V112" i="1"/>
  <c r="Y112" i="1" s="1"/>
  <c r="L112" i="1"/>
  <c r="AK111" i="1"/>
  <c r="V111" i="1"/>
  <c r="X111" i="1" s="1"/>
  <c r="L111" i="1"/>
  <c r="V110" i="1"/>
  <c r="L110" i="1"/>
  <c r="AK109" i="1"/>
  <c r="V109" i="1"/>
  <c r="Y109" i="1" s="1"/>
  <c r="L109" i="1"/>
  <c r="V108" i="1"/>
  <c r="Y108" i="1" s="1"/>
  <c r="L108" i="1"/>
  <c r="AK107" i="1"/>
  <c r="V107" i="1"/>
  <c r="X107" i="1" s="1"/>
  <c r="L107" i="1"/>
  <c r="V106" i="1"/>
  <c r="W106" i="1" s="1"/>
  <c r="L106" i="1"/>
  <c r="V105" i="1"/>
  <c r="X105" i="1" s="1"/>
  <c r="L105" i="1"/>
  <c r="AK104" i="1"/>
  <c r="V104" i="1"/>
  <c r="Y104" i="1" s="1"/>
  <c r="L104" i="1"/>
  <c r="AK103" i="1"/>
  <c r="V103" i="1"/>
  <c r="X103" i="1" s="1"/>
  <c r="L103" i="1"/>
  <c r="AK102" i="1"/>
  <c r="V102" i="1"/>
  <c r="Y102" i="1" s="1"/>
  <c r="L102" i="1"/>
  <c r="AK101" i="1"/>
  <c r="V101" i="1"/>
  <c r="X101" i="1" s="1"/>
  <c r="L101" i="1"/>
  <c r="AK100" i="1"/>
  <c r="V100" i="1"/>
  <c r="Y100" i="1" s="1"/>
  <c r="L100" i="1"/>
  <c r="AK99" i="1"/>
  <c r="V99" i="1"/>
  <c r="X99" i="1" s="1"/>
  <c r="L99" i="1"/>
  <c r="AK98" i="1"/>
  <c r="V98" i="1"/>
  <c r="Y98" i="1" s="1"/>
  <c r="L98" i="1"/>
  <c r="V97" i="1"/>
  <c r="Y97" i="1" s="1"/>
  <c r="L97" i="1"/>
  <c r="AK96" i="1"/>
  <c r="V96" i="1"/>
  <c r="X96" i="1" s="1"/>
  <c r="L96" i="1"/>
  <c r="AK95" i="1"/>
  <c r="V95" i="1"/>
  <c r="Y95" i="1" s="1"/>
  <c r="L95" i="1"/>
  <c r="AK94" i="1"/>
  <c r="V94" i="1"/>
  <c r="X94" i="1" s="1"/>
  <c r="L94" i="1"/>
  <c r="AK93" i="1"/>
  <c r="V93" i="1"/>
  <c r="Y93" i="1" s="1"/>
  <c r="L93" i="1"/>
  <c r="V92" i="1"/>
  <c r="Y92" i="1" s="1"/>
  <c r="L92" i="1"/>
  <c r="AK91" i="1"/>
  <c r="V91" i="1"/>
  <c r="X91" i="1" s="1"/>
  <c r="L91" i="1"/>
  <c r="AK90" i="1"/>
  <c r="V90" i="1"/>
  <c r="Y90" i="1" s="1"/>
  <c r="L90" i="1"/>
  <c r="V89" i="1"/>
  <c r="W89" i="1" s="1"/>
  <c r="L89" i="1"/>
  <c r="V88" i="1"/>
  <c r="L88" i="1"/>
  <c r="V87" i="1"/>
  <c r="L87" i="1"/>
  <c r="V86" i="1"/>
  <c r="L86" i="1"/>
  <c r="V85" i="1"/>
  <c r="Y85" i="1" s="1"/>
  <c r="L85" i="1"/>
  <c r="V84" i="1"/>
  <c r="Y84" i="1" s="1"/>
  <c r="L84" i="1"/>
  <c r="AK83" i="1"/>
  <c r="V83" i="1"/>
  <c r="X83" i="1" s="1"/>
  <c r="L83" i="1"/>
  <c r="V82" i="1"/>
  <c r="L82" i="1"/>
  <c r="AK81" i="1"/>
  <c r="V81" i="1"/>
  <c r="Y81" i="1" s="1"/>
  <c r="L81" i="1"/>
  <c r="AK80" i="1"/>
  <c r="V80" i="1"/>
  <c r="X80" i="1" s="1"/>
  <c r="L80" i="1"/>
  <c r="AK79" i="1"/>
  <c r="V79" i="1"/>
  <c r="Y79" i="1" s="1"/>
  <c r="L79" i="1"/>
  <c r="V78" i="1"/>
  <c r="Y78" i="1" s="1"/>
  <c r="L78" i="1"/>
  <c r="V77" i="1"/>
  <c r="Y77" i="1" s="1"/>
  <c r="L77" i="1"/>
  <c r="V76" i="1"/>
  <c r="Y76" i="1" s="1"/>
  <c r="L76" i="1"/>
  <c r="V75" i="1"/>
  <c r="Y75" i="1" s="1"/>
  <c r="L75" i="1"/>
  <c r="AK74" i="1"/>
  <c r="V74" i="1"/>
  <c r="X74" i="1" s="1"/>
  <c r="L74" i="1"/>
  <c r="V73" i="1"/>
  <c r="L73" i="1"/>
  <c r="AK72" i="1"/>
  <c r="V72" i="1"/>
  <c r="Y72" i="1" s="1"/>
  <c r="L72" i="1"/>
  <c r="V71" i="1"/>
  <c r="W71" i="1" s="1"/>
  <c r="L71" i="1"/>
  <c r="V70" i="1"/>
  <c r="W70" i="1" s="1"/>
  <c r="L70" i="1"/>
  <c r="V69" i="1"/>
  <c r="W69" i="1" s="1"/>
  <c r="L69" i="1"/>
  <c r="AK68" i="1"/>
  <c r="V68" i="1"/>
  <c r="X68" i="1" s="1"/>
  <c r="L68" i="1"/>
  <c r="AK67" i="1"/>
  <c r="V67" i="1"/>
  <c r="Y67" i="1" s="1"/>
  <c r="L67" i="1"/>
  <c r="AK66" i="1"/>
  <c r="V66" i="1"/>
  <c r="Y66" i="1" s="1"/>
  <c r="L66" i="1"/>
  <c r="AK65" i="1"/>
  <c r="V65" i="1"/>
  <c r="X65" i="1" s="1"/>
  <c r="L65" i="1"/>
  <c r="AK64" i="1"/>
  <c r="V64" i="1"/>
  <c r="Y64" i="1" s="1"/>
  <c r="L64" i="1"/>
  <c r="V63" i="1"/>
  <c r="Y63" i="1" s="1"/>
  <c r="L63" i="1"/>
  <c r="AK62" i="1"/>
  <c r="V62" i="1"/>
  <c r="X62" i="1" s="1"/>
  <c r="L62" i="1"/>
  <c r="V61" i="1"/>
  <c r="Y61" i="1" s="1"/>
  <c r="L61" i="1"/>
  <c r="AK60" i="1"/>
  <c r="V60" i="1"/>
  <c r="Y60" i="1" s="1"/>
  <c r="L60" i="1"/>
  <c r="AK59" i="1"/>
  <c r="V59" i="1"/>
  <c r="X59" i="1" s="1"/>
  <c r="L59" i="1"/>
  <c r="V58" i="1"/>
  <c r="Y58" i="1" s="1"/>
  <c r="L58" i="1"/>
  <c r="V57" i="1"/>
  <c r="Y57" i="1" s="1"/>
  <c r="L57" i="1"/>
  <c r="V56" i="1"/>
  <c r="Y56" i="1" s="1"/>
  <c r="L56" i="1"/>
  <c r="F55" i="1"/>
  <c r="F5" i="1" s="1"/>
  <c r="E55" i="1"/>
  <c r="L55" i="1" s="1"/>
  <c r="AK54" i="1"/>
  <c r="V54" i="1"/>
  <c r="Y54" i="1" s="1"/>
  <c r="L54" i="1"/>
  <c r="AK53" i="1"/>
  <c r="V53" i="1"/>
  <c r="X53" i="1" s="1"/>
  <c r="L53" i="1"/>
  <c r="AK52" i="1"/>
  <c r="V52" i="1"/>
  <c r="Y52" i="1" s="1"/>
  <c r="L52" i="1"/>
  <c r="AK51" i="1"/>
  <c r="V51" i="1"/>
  <c r="X51" i="1" s="1"/>
  <c r="L51" i="1"/>
  <c r="V50" i="1"/>
  <c r="Y50" i="1" s="1"/>
  <c r="L50" i="1"/>
  <c r="AK49" i="1"/>
  <c r="V49" i="1"/>
  <c r="Y49" i="1" s="1"/>
  <c r="L49" i="1"/>
  <c r="AK48" i="1"/>
  <c r="V48" i="1"/>
  <c r="X48" i="1" s="1"/>
  <c r="L48" i="1"/>
  <c r="V47" i="1"/>
  <c r="Y47" i="1" s="1"/>
  <c r="L47" i="1"/>
  <c r="AK46" i="1"/>
  <c r="V46" i="1"/>
  <c r="Y46" i="1" s="1"/>
  <c r="L46" i="1"/>
  <c r="V45" i="1"/>
  <c r="Y45" i="1" s="1"/>
  <c r="L45" i="1"/>
  <c r="V44" i="1"/>
  <c r="Y44" i="1" s="1"/>
  <c r="L44" i="1"/>
  <c r="AK43" i="1"/>
  <c r="V43" i="1"/>
  <c r="X43" i="1" s="1"/>
  <c r="L43" i="1"/>
  <c r="V42" i="1"/>
  <c r="Y42" i="1" s="1"/>
  <c r="L42" i="1"/>
  <c r="AK41" i="1"/>
  <c r="V41" i="1"/>
  <c r="Y41" i="1" s="1"/>
  <c r="L41" i="1"/>
  <c r="AK40" i="1"/>
  <c r="V40" i="1"/>
  <c r="X40" i="1" s="1"/>
  <c r="L40" i="1"/>
  <c r="V39" i="1"/>
  <c r="Y39" i="1" s="1"/>
  <c r="L39" i="1"/>
  <c r="AK38" i="1"/>
  <c r="V38" i="1"/>
  <c r="Y38" i="1" s="1"/>
  <c r="L38" i="1"/>
  <c r="AK37" i="1"/>
  <c r="V37" i="1"/>
  <c r="X37" i="1" s="1"/>
  <c r="L37" i="1"/>
  <c r="AK36" i="1"/>
  <c r="V36" i="1"/>
  <c r="Y36" i="1" s="1"/>
  <c r="L36" i="1"/>
  <c r="V35" i="1"/>
  <c r="W35" i="1" s="1"/>
  <c r="AK35" i="1" s="1"/>
  <c r="L35" i="1"/>
  <c r="AK34" i="1"/>
  <c r="V34" i="1"/>
  <c r="X34" i="1" s="1"/>
  <c r="L34" i="1"/>
  <c r="V33" i="1"/>
  <c r="X33" i="1" s="1"/>
  <c r="L33" i="1"/>
  <c r="V32" i="1"/>
  <c r="X32" i="1" s="1"/>
  <c r="L32" i="1"/>
  <c r="V31" i="1"/>
  <c r="Y31" i="1" s="1"/>
  <c r="L31" i="1"/>
  <c r="V30" i="1"/>
  <c r="X30" i="1" s="1"/>
  <c r="L30" i="1"/>
  <c r="V29" i="1"/>
  <c r="Y29" i="1" s="1"/>
  <c r="L29" i="1"/>
  <c r="V28" i="1"/>
  <c r="Y28" i="1" s="1"/>
  <c r="L28" i="1"/>
  <c r="AK27" i="1"/>
  <c r="V27" i="1"/>
  <c r="Y27" i="1" s="1"/>
  <c r="L27" i="1"/>
  <c r="V26" i="1"/>
  <c r="Y26" i="1" s="1"/>
  <c r="L26" i="1"/>
  <c r="V25" i="1"/>
  <c r="Y25" i="1" s="1"/>
  <c r="L25" i="1"/>
  <c r="AK24" i="1"/>
  <c r="V24" i="1"/>
  <c r="X24" i="1" s="1"/>
  <c r="L24" i="1"/>
  <c r="V23" i="1"/>
  <c r="X23" i="1" s="1"/>
  <c r="L23" i="1"/>
  <c r="AK22" i="1"/>
  <c r="V22" i="1"/>
  <c r="Y22" i="1" s="1"/>
  <c r="L22" i="1"/>
  <c r="V21" i="1"/>
  <c r="W21" i="1" s="1"/>
  <c r="AK21" i="1" s="1"/>
  <c r="L21" i="1"/>
  <c r="V20" i="1"/>
  <c r="W20" i="1" s="1"/>
  <c r="AK20" i="1" s="1"/>
  <c r="L20" i="1"/>
  <c r="V19" i="1"/>
  <c r="W19" i="1" s="1"/>
  <c r="AK19" i="1" s="1"/>
  <c r="L19" i="1"/>
  <c r="AK18" i="1"/>
  <c r="V18" i="1"/>
  <c r="X18" i="1" s="1"/>
  <c r="L18" i="1"/>
  <c r="V17" i="1"/>
  <c r="Y17" i="1" s="1"/>
  <c r="L17" i="1"/>
  <c r="V16" i="1"/>
  <c r="Y16" i="1" s="1"/>
  <c r="L16" i="1"/>
  <c r="V15" i="1"/>
  <c r="Y15" i="1" s="1"/>
  <c r="L15" i="1"/>
  <c r="V14" i="1"/>
  <c r="Y14" i="1" s="1"/>
  <c r="L14" i="1"/>
  <c r="AK13" i="1"/>
  <c r="V13" i="1"/>
  <c r="Y13" i="1" s="1"/>
  <c r="L13" i="1"/>
  <c r="AK12" i="1"/>
  <c r="V12" i="1"/>
  <c r="Y12" i="1" s="1"/>
  <c r="L12" i="1"/>
  <c r="V11" i="1"/>
  <c r="Y11" i="1" s="1"/>
  <c r="L11" i="1"/>
  <c r="V10" i="1"/>
  <c r="Y10" i="1" s="1"/>
  <c r="L10" i="1"/>
  <c r="V9" i="1"/>
  <c r="Y9" i="1" s="1"/>
  <c r="L9" i="1"/>
  <c r="AK8" i="1"/>
  <c r="V8" i="1"/>
  <c r="X8" i="1" s="1"/>
  <c r="L8" i="1"/>
  <c r="AK7" i="1"/>
  <c r="V7" i="1"/>
  <c r="Y7" i="1" s="1"/>
  <c r="L7" i="1"/>
  <c r="V6" i="1"/>
  <c r="Y6" i="1" s="1"/>
  <c r="L6" i="1"/>
  <c r="AI5" i="1"/>
  <c r="AH5" i="1"/>
  <c r="AG5" i="1"/>
  <c r="AF5" i="1"/>
  <c r="AE5" i="1"/>
  <c r="AD5" i="1"/>
  <c r="AC5" i="1"/>
  <c r="AB5" i="1"/>
  <c r="AA5" i="1"/>
  <c r="Z5" i="1"/>
  <c r="U5" i="1"/>
  <c r="T5" i="1"/>
  <c r="S5" i="1"/>
  <c r="R5" i="1"/>
  <c r="Q5" i="1"/>
  <c r="P5" i="1"/>
  <c r="O5" i="1"/>
  <c r="N5" i="1"/>
  <c r="M5" i="1"/>
  <c r="K5" i="1"/>
  <c r="W76" i="1" l="1"/>
  <c r="W45" i="1"/>
  <c r="AK45" i="1" s="1"/>
  <c r="X79" i="1"/>
  <c r="W63" i="1"/>
  <c r="X7" i="1"/>
  <c r="W26" i="1"/>
  <c r="AK26" i="1" s="1"/>
  <c r="X64" i="1"/>
  <c r="W75" i="1"/>
  <c r="AK75" i="1" s="1"/>
  <c r="X97" i="1"/>
  <c r="W11" i="1"/>
  <c r="AK11" i="1" s="1"/>
  <c r="X13" i="1"/>
  <c r="X38" i="1"/>
  <c r="X52" i="1"/>
  <c r="W77" i="1"/>
  <c r="AK77" i="1" s="1"/>
  <c r="X85" i="1"/>
  <c r="X123" i="1"/>
  <c r="Y124" i="1"/>
  <c r="W125" i="1"/>
  <c r="AK125" i="1" s="1"/>
  <c r="E5" i="1"/>
  <c r="W6" i="1"/>
  <c r="AK6" i="1" s="1"/>
  <c r="W10" i="1"/>
  <c r="AK10" i="1" s="1"/>
  <c r="W25" i="1"/>
  <c r="AK25" i="1" s="1"/>
  <c r="X27" i="1"/>
  <c r="W44" i="1"/>
  <c r="AK44" i="1" s="1"/>
  <c r="X46" i="1"/>
  <c r="AK63" i="1"/>
  <c r="AK76" i="1"/>
  <c r="W78" i="1"/>
  <c r="X78" i="1" s="1"/>
  <c r="W84" i="1"/>
  <c r="AK84" i="1" s="1"/>
  <c r="X93" i="1"/>
  <c r="X109" i="1"/>
  <c r="Y111" i="1"/>
  <c r="X112" i="1"/>
  <c r="Y114" i="1"/>
  <c r="X120" i="1"/>
  <c r="X126" i="1"/>
  <c r="Y127" i="1"/>
  <c r="X128" i="1"/>
  <c r="Y19" i="1"/>
  <c r="Y20" i="1"/>
  <c r="Y21" i="1"/>
  <c r="Y35" i="1"/>
  <c r="Y69" i="1"/>
  <c r="Y70" i="1"/>
  <c r="Y71" i="1"/>
  <c r="Y86" i="1"/>
  <c r="Y87" i="1"/>
  <c r="Y88" i="1"/>
  <c r="Y89" i="1"/>
  <c r="X9" i="1"/>
  <c r="X22" i="1"/>
  <c r="X36" i="1"/>
  <c r="X41" i="1"/>
  <c r="X49" i="1"/>
  <c r="X54" i="1"/>
  <c r="L5" i="1"/>
  <c r="V55" i="1"/>
  <c r="W55" i="1" s="1"/>
  <c r="AK55" i="1" s="1"/>
  <c r="X60" i="1"/>
  <c r="X66" i="1"/>
  <c r="X72" i="1"/>
  <c r="X81" i="1"/>
  <c r="X90" i="1"/>
  <c r="Y91" i="1"/>
  <c r="X92" i="1"/>
  <c r="X95" i="1"/>
  <c r="X98" i="1"/>
  <c r="Y99" i="1"/>
  <c r="X100" i="1"/>
  <c r="Y101" i="1"/>
  <c r="X102" i="1"/>
  <c r="Y103" i="1"/>
  <c r="X104" i="1"/>
  <c r="Y105" i="1"/>
  <c r="X108" i="1"/>
  <c r="X122" i="1"/>
  <c r="X129" i="1"/>
  <c r="Y8" i="1"/>
  <c r="Y18" i="1"/>
  <c r="Y23" i="1"/>
  <c r="Y24" i="1"/>
  <c r="Y30" i="1"/>
  <c r="Y32" i="1"/>
  <c r="Y33" i="1"/>
  <c r="Y34" i="1"/>
  <c r="Y37" i="1"/>
  <c r="Y40" i="1"/>
  <c r="Y43" i="1"/>
  <c r="Y48" i="1"/>
  <c r="Y51" i="1"/>
  <c r="Y53" i="1"/>
  <c r="X55" i="1"/>
  <c r="Y59" i="1"/>
  <c r="Y62" i="1"/>
  <c r="Y65" i="1"/>
  <c r="Y73" i="1"/>
  <c r="W73" i="1"/>
  <c r="Y82" i="1"/>
  <c r="W82" i="1"/>
  <c r="AK86" i="1"/>
  <c r="X86" i="1"/>
  <c r="AK87" i="1"/>
  <c r="X87" i="1"/>
  <c r="AK88" i="1"/>
  <c r="X88" i="1"/>
  <c r="AK89" i="1"/>
  <c r="X89" i="1"/>
  <c r="Y106" i="1"/>
  <c r="Y115" i="1"/>
  <c r="W115" i="1"/>
  <c r="Y116" i="1"/>
  <c r="W116" i="1"/>
  <c r="Y117" i="1"/>
  <c r="W117" i="1"/>
  <c r="Y118" i="1"/>
  <c r="W118" i="1"/>
  <c r="X12" i="1"/>
  <c r="W14" i="1"/>
  <c r="W15" i="1"/>
  <c r="W17" i="1"/>
  <c r="X19" i="1"/>
  <c r="X20" i="1"/>
  <c r="X21" i="1"/>
  <c r="X26" i="1"/>
  <c r="W28" i="1"/>
  <c r="W29" i="1"/>
  <c r="W31" i="1"/>
  <c r="X35" i="1"/>
  <c r="W39" i="1"/>
  <c r="W42" i="1"/>
  <c r="W47" i="1"/>
  <c r="W50" i="1"/>
  <c r="W56" i="1"/>
  <c r="W57" i="1"/>
  <c r="W58" i="1"/>
  <c r="W61" i="1"/>
  <c r="X67" i="1"/>
  <c r="Y68" i="1"/>
  <c r="AK69" i="1"/>
  <c r="X69" i="1"/>
  <c r="AK70" i="1"/>
  <c r="X70" i="1"/>
  <c r="AK71" i="1"/>
  <c r="X71" i="1"/>
  <c r="Y74" i="1"/>
  <c r="Y80" i="1"/>
  <c r="Y83" i="1"/>
  <c r="X84" i="1"/>
  <c r="Y94" i="1"/>
  <c r="Y96" i="1"/>
  <c r="Y107" i="1"/>
  <c r="Y110" i="1"/>
  <c r="W110" i="1"/>
  <c r="Y113" i="1"/>
  <c r="Y119" i="1"/>
  <c r="Y121" i="1"/>
  <c r="X75" i="1" l="1"/>
  <c r="X45" i="1"/>
  <c r="X10" i="1"/>
  <c r="X76" i="1"/>
  <c r="X77" i="1"/>
  <c r="X11" i="1"/>
  <c r="X125" i="1"/>
  <c r="AK78" i="1"/>
  <c r="X63" i="1"/>
  <c r="X44" i="1"/>
  <c r="X25" i="1"/>
  <c r="X6" i="1"/>
  <c r="V5" i="1"/>
  <c r="Y55" i="1"/>
  <c r="AK110" i="1"/>
  <c r="X110" i="1"/>
  <c r="AK61" i="1"/>
  <c r="X61" i="1"/>
  <c r="AK57" i="1"/>
  <c r="X57" i="1"/>
  <c r="AK50" i="1"/>
  <c r="X50" i="1"/>
  <c r="AK42" i="1"/>
  <c r="X42" i="1"/>
  <c r="AK29" i="1"/>
  <c r="X29" i="1"/>
  <c r="AK16" i="1"/>
  <c r="X16" i="1"/>
  <c r="AK14" i="1"/>
  <c r="X14" i="1"/>
  <c r="W5" i="1"/>
  <c r="AK113" i="1"/>
  <c r="X113" i="1"/>
  <c r="AK58" i="1"/>
  <c r="X58" i="1"/>
  <c r="AK56" i="1"/>
  <c r="X56" i="1"/>
  <c r="AK47" i="1"/>
  <c r="X47" i="1"/>
  <c r="AK39" i="1"/>
  <c r="X39" i="1"/>
  <c r="AK31" i="1"/>
  <c r="X31" i="1"/>
  <c r="AK28" i="1"/>
  <c r="X28" i="1"/>
  <c r="AK17" i="1"/>
  <c r="X17" i="1"/>
  <c r="AK15" i="1"/>
  <c r="X15" i="1"/>
  <c r="X118" i="1"/>
  <c r="AK118" i="1"/>
  <c r="X117" i="1"/>
  <c r="AK117" i="1"/>
  <c r="X116" i="1"/>
  <c r="AK116" i="1"/>
  <c r="X115" i="1"/>
  <c r="AK115" i="1"/>
  <c r="X106" i="1"/>
  <c r="AK106" i="1"/>
  <c r="X82" i="1"/>
  <c r="AK82" i="1"/>
  <c r="X73" i="1"/>
  <c r="AK73" i="1"/>
  <c r="AK5" i="1" l="1"/>
</calcChain>
</file>

<file path=xl/sharedStrings.xml><?xml version="1.0" encoding="utf-8"?>
<sst xmlns="http://schemas.openxmlformats.org/spreadsheetml/2006/main" count="460" uniqueCount="179">
  <si>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</si>
  <si>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</si>
  <si>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</si>
  <si>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</si>
  <si>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</si>
  <si>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</si>
  <si>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</si>
  <si>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</si>
  <si>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</si>
  <si>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</si>
  <si>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</si>
  <si>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</si>
  <si>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</si>
  <si>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</si>
  <si>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</si>
  <si>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</si>
  <si>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</si>
  <si>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</si>
  <si>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</si>
  <si>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</si>
  <si>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</si>
  <si>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</si>
  <si>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13,09,</t>
  </si>
  <si>
    <t>13,09,недогр</t>
  </si>
  <si>
    <t>13,09,доз</t>
  </si>
  <si>
    <t>14,09,</t>
  </si>
  <si>
    <t>14,09,недогр</t>
  </si>
  <si>
    <t>14,09,доз</t>
  </si>
  <si>
    <t>15,09,</t>
  </si>
  <si>
    <t>10,09,</t>
  </si>
  <si>
    <t>08,09,</t>
  </si>
  <si>
    <t>03,09,</t>
  </si>
  <si>
    <t>01,09,</t>
  </si>
  <si>
    <t>27,08,</t>
  </si>
  <si>
    <t>25,08,</t>
  </si>
  <si>
    <t>20,08,</t>
  </si>
  <si>
    <t>18,08,</t>
  </si>
  <si>
    <t>13,08,</t>
  </si>
  <si>
    <t>11,08,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</si>
  <si>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</si>
  <si>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</si>
  <si>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</si>
  <si>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</si>
  <si>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</si>
  <si>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</si>
  <si>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</si>
  <si>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</si>
  <si>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</si>
  <si>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</si>
  <si>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вышли из ПРОМО (в сентябре)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</si>
  <si>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</si>
  <si>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</si>
  <si>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</si>
  <si>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</si>
  <si>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</si>
  <si>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</si>
  <si>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</si>
  <si>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</si>
  <si>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</si>
  <si>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</si>
  <si>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</si>
  <si>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</si>
  <si>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>ПРОМ сентябрь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</si>
  <si>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</si>
  <si>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</si>
  <si>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</si>
  <si>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</si>
  <si>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</si>
  <si>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</si>
  <si>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</si>
  <si>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</si>
  <si>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</si>
  <si>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</si>
  <si>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</si>
  <si>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</si>
  <si>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</si>
  <si>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</si>
  <si>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</si>
  <si>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</si>
  <si>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</si>
  <si>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</si>
  <si>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</si>
  <si>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</si>
  <si>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</si>
  <si>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</si>
  <si>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</si>
  <si>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</si>
  <si>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</si>
  <si>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</si>
  <si>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</si>
  <si>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33кг списаны (29,08,26)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</si>
  <si>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</si>
  <si>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</si>
  <si>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</si>
  <si>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</si>
  <si>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</si>
  <si>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</si>
  <si>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</si>
  <si>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</si>
  <si>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</si>
  <si>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</si>
  <si>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</si>
  <si>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</si>
  <si>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</si>
  <si>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</si>
  <si>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</si>
  <si>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</si>
  <si>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</si>
  <si>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</si>
  <si>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</si>
  <si>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>нужно увеличить продажи!!!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</si>
  <si>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</si>
  <si>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</si>
  <si>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</si>
  <si>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</si>
  <si>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</si>
  <si>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</si>
  <si>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</si>
  <si>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</si>
  <si>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</si>
  <si>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</si>
  <si>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</si>
  <si>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</si>
  <si>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</si>
  <si>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</si>
  <si>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</si>
  <si>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</si>
  <si>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</si>
  <si>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</si>
  <si>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</si>
  <si>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</si>
  <si>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</si>
  <si>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</si>
  <si>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</si>
  <si>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</si>
  <si>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</si>
  <si>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</si>
  <si>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</si>
  <si>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</si>
  <si>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</si>
  <si>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</si>
  <si>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>15шт списано (24,08,26)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</si>
  <si>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</si>
  <si>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</si>
  <si>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</si>
  <si>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21 шт в уценку 04,09,26 / 21 шт в уценку 30,06,26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</si>
  <si>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</si>
  <si>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</si>
  <si>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</si>
  <si>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</si>
  <si>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</si>
  <si>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>57кг в уценку (30,06,26)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</si>
  <si>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</si>
  <si>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</si>
  <si>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</si>
  <si>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</si>
  <si>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</si>
  <si>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</si>
  <si>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</si>
  <si>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</si>
  <si>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</si>
  <si>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</si>
  <si>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</si>
  <si>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</si>
  <si>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</si>
  <si>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</si>
  <si>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</si>
  <si>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ПРОМ сентябрь (н+1)</t>
  </si>
  <si>
    <t xml:space="preserve"> 631  Колбаса Классическая стародворская ТМ Стародворье  ПОКОМ</t>
  </si>
  <si>
    <t>не в матрице</t>
  </si>
  <si>
    <t>SU004265, не заказывали!!!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</si>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</sst>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4" borderId="1" xfId="1" applyNumberFormat="1" applyFont="1" applyFill="1"/>
    <xf numFmtId="164" fontId="1" fillId="0" borderId="1" xfId="1" applyNumberFormat="1"/>
    <xf numFmtId="2" fontId="1" fillId="0" borderId="1" xfId="1" applyNumberFormat="1"/>
    <xf numFmtId="0" fontId="0" fillId="0" borderId="0" xfId="0" applyBorder="1"/>
    <xf numFmtId="164" fontId="5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J8" sqref="AJ8"/>
    </sheetView>
  </sheetViews>
  <sheetFormatPr defaultRowHeight="15" x14ac:dyDescent="0.25"/>
  <cols>
    <col min="1" max="1" width="50.140625" style="14" customWidth="1"/>
    <col min="2" max="2" width="3" style="14" customWidth="1"/>
    <col min="3" max="4" width="6" style="14" customWidth="1"/>
    <col min="5" max="6" width="7" style="14" customWidth="1"/>
    <col min="7" max="7" width="5" style="5" customWidth="1"/>
    <col min="8" max="8" width="5" style="14" customWidth="1"/>
    <col min="9" max="9" width="8.85546875" style="14" customWidth="1"/>
    <col min="10" max="10" width="1" style="14" customWidth="1"/>
    <col min="11" max="12" width="7" style="14" customWidth="1"/>
    <col min="13" max="14" width="0.42578125" style="14" customWidth="1"/>
    <col min="15" max="23" width="7" style="14" customWidth="1"/>
    <col min="24" max="25" width="5" style="14" customWidth="1"/>
    <col min="26" max="27" width="6.85546875" style="14" customWidth="1"/>
    <col min="28" max="31" width="6" style="14" customWidth="1"/>
    <col min="32" max="34" width="6.85546875" style="14" customWidth="1"/>
    <col min="35" max="35" width="6" style="14" customWidth="1"/>
    <col min="36" max="36" width="30.85546875" style="14" customWidth="1"/>
    <col min="37" max="37" width="7" style="14" customWidth="1"/>
    <col min="38" max="43" width="8" style="14" customWidth="1"/>
  </cols>
  <sheetData>
    <row r="1" spans="1:43" x14ac:dyDescent="0.25">
      <c r="A1" s="12"/>
      <c r="B1" s="12"/>
      <c r="C1" s="12"/>
      <c r="D1" s="12"/>
      <c r="E1" s="12"/>
      <c r="F1" s="12"/>
      <c r="G1" s="13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</row>
    <row r="2" spans="1:43" x14ac:dyDescent="0.25">
      <c r="A2" s="12"/>
      <c r="B2" s="12"/>
      <c r="C2" s="12"/>
      <c r="D2" s="12"/>
      <c r="E2" s="12"/>
      <c r="F2" s="12"/>
      <c r="G2" s="13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</row>
    <row r="3" spans="1:43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6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14</v>
      </c>
      <c r="S3" s="1" t="s">
        <v>14</v>
      </c>
      <c r="T3" s="1" t="s">
        <v>14</v>
      </c>
      <c r="U3" s="1" t="s">
        <v>14</v>
      </c>
      <c r="V3" s="1" t="s">
        <v>15</v>
      </c>
      <c r="W3" s="2" t="s">
        <v>16</v>
      </c>
      <c r="X3" s="1" t="s">
        <v>17</v>
      </c>
      <c r="Y3" s="1" t="s">
        <v>18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19</v>
      </c>
      <c r="AG3" s="1" t="s">
        <v>19</v>
      </c>
      <c r="AH3" s="1" t="s">
        <v>19</v>
      </c>
      <c r="AI3" s="1" t="s">
        <v>19</v>
      </c>
      <c r="AJ3" s="1" t="s">
        <v>20</v>
      </c>
      <c r="AK3" s="1" t="s">
        <v>21</v>
      </c>
      <c r="AL3" s="12"/>
      <c r="AM3" s="12"/>
      <c r="AN3" s="12"/>
      <c r="AO3" s="12"/>
      <c r="AP3" s="12"/>
      <c r="AQ3" s="12"/>
    </row>
    <row r="4" spans="1:43" x14ac:dyDescent="0.25">
      <c r="A4" s="12"/>
      <c r="B4" s="12"/>
      <c r="C4" s="12"/>
      <c r="D4" s="12"/>
      <c r="E4" s="12"/>
      <c r="F4" s="12"/>
      <c r="G4" s="13"/>
      <c r="H4" s="12"/>
      <c r="I4" s="12"/>
      <c r="J4" s="12"/>
      <c r="K4" s="12"/>
      <c r="L4" s="12"/>
      <c r="M4" s="12"/>
      <c r="N4" s="12"/>
      <c r="O4" s="12" t="s">
        <v>22</v>
      </c>
      <c r="P4" s="12" t="s">
        <v>23</v>
      </c>
      <c r="Q4" s="12" t="s">
        <v>24</v>
      </c>
      <c r="R4" s="12" t="s">
        <v>25</v>
      </c>
      <c r="S4" s="12" t="s">
        <v>26</v>
      </c>
      <c r="T4" s="12" t="s">
        <v>27</v>
      </c>
      <c r="U4" s="12" t="s">
        <v>28</v>
      </c>
      <c r="V4" s="12" t="s">
        <v>28</v>
      </c>
      <c r="W4" s="12"/>
      <c r="X4" s="12"/>
      <c r="Y4" s="12"/>
      <c r="Z4" s="12" t="s">
        <v>29</v>
      </c>
      <c r="AA4" s="12" t="s">
        <v>30</v>
      </c>
      <c r="AB4" s="12" t="s">
        <v>31</v>
      </c>
      <c r="AC4" s="12" t="s">
        <v>32</v>
      </c>
      <c r="AD4" s="12" t="s">
        <v>33</v>
      </c>
      <c r="AE4" s="12" t="s">
        <v>34</v>
      </c>
      <c r="AF4" s="12" t="s">
        <v>35</v>
      </c>
      <c r="AG4" s="12" t="s">
        <v>36</v>
      </c>
      <c r="AH4" s="12" t="s">
        <v>37</v>
      </c>
      <c r="AI4" s="12" t="s">
        <v>38</v>
      </c>
      <c r="AJ4" s="12"/>
      <c r="AK4" s="12"/>
      <c r="AL4" s="12"/>
      <c r="AM4" s="12"/>
      <c r="AN4" s="12"/>
      <c r="AO4" s="12"/>
      <c r="AP4" s="12"/>
      <c r="AQ4" s="12"/>
    </row>
    <row r="5" spans="1:43" x14ac:dyDescent="0.25">
      <c r="A5" s="12"/>
      <c r="B5" s="12"/>
      <c r="C5" s="12"/>
      <c r="D5" s="12"/>
      <c r="E5" s="3">
        <f>SUM(E6:E500)</f>
        <v>57463.912000000011</v>
      </c>
      <c r="F5" s="3">
        <f>SUM(F6:F500)</f>
        <v>49772.288000000008</v>
      </c>
      <c r="G5" s="13"/>
      <c r="H5" s="12"/>
      <c r="I5" s="12"/>
      <c r="J5" s="12"/>
      <c r="K5" s="3">
        <f t="shared" ref="K5:W5" si="0">SUM(K6:K500)</f>
        <v>61631.887000000024</v>
      </c>
      <c r="L5" s="3">
        <f t="shared" si="0"/>
        <v>-4167.9750000000004</v>
      </c>
      <c r="M5" s="3">
        <f t="shared" si="0"/>
        <v>0</v>
      </c>
      <c r="N5" s="3">
        <f t="shared" si="0"/>
        <v>0</v>
      </c>
      <c r="O5" s="3">
        <f t="shared" si="0"/>
        <v>11780.500202458399</v>
      </c>
      <c r="P5" s="3">
        <f t="shared" si="0"/>
        <v>-231.6</v>
      </c>
      <c r="Q5" s="3">
        <f t="shared" si="0"/>
        <v>800</v>
      </c>
      <c r="R5" s="3">
        <f t="shared" si="0"/>
        <v>22899.16469799999</v>
      </c>
      <c r="S5" s="3">
        <f t="shared" si="0"/>
        <v>-1881</v>
      </c>
      <c r="T5" s="3">
        <f t="shared" si="0"/>
        <v>1110</v>
      </c>
      <c r="U5" s="3">
        <f t="shared" si="0"/>
        <v>21352.736442000005</v>
      </c>
      <c r="V5" s="3">
        <f t="shared" si="0"/>
        <v>11492.782400000011</v>
      </c>
      <c r="W5" s="3">
        <f t="shared" si="0"/>
        <v>21416.370333644805</v>
      </c>
      <c r="X5" s="12"/>
      <c r="Y5" s="12"/>
      <c r="Z5" s="3">
        <f t="shared" ref="Z5:AI5" si="1">SUM(Z6:Z500)</f>
        <v>11039.104400000004</v>
      </c>
      <c r="AA5" s="3">
        <f t="shared" si="1"/>
        <v>10515.967599999998</v>
      </c>
      <c r="AB5" s="3">
        <f t="shared" si="1"/>
        <v>8445.7477999999992</v>
      </c>
      <c r="AC5" s="3">
        <f t="shared" si="1"/>
        <v>8097.024999999996</v>
      </c>
      <c r="AD5" s="3">
        <f t="shared" si="1"/>
        <v>9776.0199999999986</v>
      </c>
      <c r="AE5" s="3">
        <f t="shared" si="1"/>
        <v>9682.8813999999984</v>
      </c>
      <c r="AF5" s="3">
        <f t="shared" si="1"/>
        <v>10297.278999999999</v>
      </c>
      <c r="AG5" s="3">
        <f t="shared" si="1"/>
        <v>10547.053800000002</v>
      </c>
      <c r="AH5" s="3">
        <f t="shared" si="1"/>
        <v>10038.947600000001</v>
      </c>
      <c r="AI5" s="3">
        <f t="shared" si="1"/>
        <v>9941.5824000000048</v>
      </c>
      <c r="AJ5" s="12"/>
      <c r="AK5" s="3">
        <f>SUM(AK6:AK500)</f>
        <v>13839.894980044799</v>
      </c>
      <c r="AL5" s="12"/>
      <c r="AM5" s="12"/>
      <c r="AN5" s="12"/>
      <c r="AO5" s="12"/>
      <c r="AP5" s="12"/>
      <c r="AQ5" s="12"/>
    </row>
    <row r="6" spans="1:43" x14ac:dyDescent="0.25">
      <c r="A6" s="12" t="s">
        <v>39</v>
      </c>
      <c r="B6" s="12" t="s">
        <v>40</v>
      </c>
      <c r="C6" s="12">
        <v>2240.8939999999998</v>
      </c>
      <c r="D6" s="12">
        <v>2674.7530000000002</v>
      </c>
      <c r="E6" s="12">
        <v>3415.1390000000001</v>
      </c>
      <c r="F6" s="12">
        <v>1310.681</v>
      </c>
      <c r="G6" s="13">
        <v>1</v>
      </c>
      <c r="H6" s="12">
        <v>50</v>
      </c>
      <c r="I6" s="12" t="s">
        <v>41</v>
      </c>
      <c r="J6" s="12"/>
      <c r="K6" s="12">
        <v>3343.1</v>
      </c>
      <c r="L6" s="12">
        <f t="shared" ref="L6:L37" si="2">E6-K6</f>
        <v>72.039000000000215</v>
      </c>
      <c r="M6" s="12"/>
      <c r="N6" s="12"/>
      <c r="O6" s="12">
        <v>728.67131840000002</v>
      </c>
      <c r="P6" s="12"/>
      <c r="Q6" s="12"/>
      <c r="R6" s="12">
        <v>1293.2309660000001</v>
      </c>
      <c r="S6" s="12"/>
      <c r="T6" s="12"/>
      <c r="U6" s="12">
        <v>2039.838534</v>
      </c>
      <c r="V6" s="12">
        <f t="shared" ref="V6:V37" si="3">E6/5</f>
        <v>683.02780000000007</v>
      </c>
      <c r="W6" s="4">
        <f>10*V6-U6-T6-S6-R6-Q6-P6-O6-F6</f>
        <v>1457.8561815999997</v>
      </c>
      <c r="X6" s="12">
        <f t="shared" ref="X6:X37" si="4">(F6+O6+P6+Q6+R6+S6+T6+U6+W6)/V6</f>
        <v>10</v>
      </c>
      <c r="Y6" s="12">
        <f t="shared" ref="Y6:Y37" si="5">(F6+O6+P6+Q6+R6+S6+T6+U6)/V6</f>
        <v>7.8655975911961411</v>
      </c>
      <c r="Z6" s="12">
        <v>629.77780000000007</v>
      </c>
      <c r="AA6" s="12">
        <v>485.76420000000002</v>
      </c>
      <c r="AB6" s="12">
        <v>331.30880000000002</v>
      </c>
      <c r="AC6" s="12">
        <v>348.86619999999999</v>
      </c>
      <c r="AD6" s="12">
        <v>493.49700000000001</v>
      </c>
      <c r="AE6" s="12">
        <v>483.68119999999999</v>
      </c>
      <c r="AF6" s="12">
        <v>546.85760000000005</v>
      </c>
      <c r="AG6" s="12">
        <v>558.16419999999994</v>
      </c>
      <c r="AH6" s="12">
        <v>472.44099999999997</v>
      </c>
      <c r="AI6" s="12">
        <v>450.1</v>
      </c>
      <c r="AJ6" s="12"/>
      <c r="AK6" s="12">
        <f>G6*W6</f>
        <v>1457.8561815999997</v>
      </c>
      <c r="AL6" s="12"/>
      <c r="AM6" s="12"/>
      <c r="AN6" s="12"/>
      <c r="AO6" s="12"/>
      <c r="AP6" s="12"/>
      <c r="AQ6" s="12"/>
    </row>
    <row r="7" spans="1:43" x14ac:dyDescent="0.25">
      <c r="A7" s="12" t="s">
        <v>42</v>
      </c>
      <c r="B7" s="12" t="s">
        <v>40</v>
      </c>
      <c r="C7" s="12">
        <v>1873.7940000000001</v>
      </c>
      <c r="D7" s="12">
        <v>1250.78</v>
      </c>
      <c r="E7" s="12">
        <v>1151.8879999999999</v>
      </c>
      <c r="F7" s="12">
        <v>1810.9169999999999</v>
      </c>
      <c r="G7" s="13">
        <v>1</v>
      </c>
      <c r="H7" s="12">
        <v>45</v>
      </c>
      <c r="I7" s="12" t="s">
        <v>41</v>
      </c>
      <c r="J7" s="12"/>
      <c r="K7" s="12">
        <v>1143.95</v>
      </c>
      <c r="L7" s="12">
        <f t="shared" si="2"/>
        <v>7.9379999999998745</v>
      </c>
      <c r="M7" s="12"/>
      <c r="N7" s="12"/>
      <c r="O7" s="12">
        <v>416.8534944000001</v>
      </c>
      <c r="P7" s="12"/>
      <c r="Q7" s="12"/>
      <c r="R7" s="12">
        <v>232.8</v>
      </c>
      <c r="S7" s="12"/>
      <c r="T7" s="12"/>
      <c r="U7" s="12">
        <v>367.2</v>
      </c>
      <c r="V7" s="12">
        <f t="shared" si="3"/>
        <v>230.37759999999997</v>
      </c>
      <c r="W7" s="4"/>
      <c r="X7" s="12">
        <f t="shared" si="4"/>
        <v>12.274502791938108</v>
      </c>
      <c r="Y7" s="12">
        <f t="shared" si="5"/>
        <v>12.274502791938108</v>
      </c>
      <c r="Z7" s="12">
        <v>285.33019999999999</v>
      </c>
      <c r="AA7" s="12">
        <v>305.41860000000003</v>
      </c>
      <c r="AB7" s="12">
        <v>214.02080000000001</v>
      </c>
      <c r="AC7" s="12">
        <v>215.65379999999999</v>
      </c>
      <c r="AD7" s="12">
        <v>292.72160000000002</v>
      </c>
      <c r="AE7" s="12">
        <v>307.12900000000002</v>
      </c>
      <c r="AF7" s="12">
        <v>307.71940000000001</v>
      </c>
      <c r="AG7" s="12">
        <v>321.26519999999999</v>
      </c>
      <c r="AH7" s="12">
        <v>300.10660000000001</v>
      </c>
      <c r="AI7" s="12">
        <v>262.36520000000002</v>
      </c>
      <c r="AJ7" s="12"/>
      <c r="AK7" s="12">
        <f>G7*W7</f>
        <v>0</v>
      </c>
      <c r="AL7" s="12"/>
      <c r="AM7" s="12"/>
      <c r="AN7" s="12"/>
      <c r="AO7" s="12"/>
      <c r="AP7" s="12"/>
      <c r="AQ7" s="12"/>
    </row>
    <row r="8" spans="1:43" x14ac:dyDescent="0.25">
      <c r="A8" s="12" t="s">
        <v>43</v>
      </c>
      <c r="B8" s="12" t="s">
        <v>40</v>
      </c>
      <c r="C8" s="12">
        <v>1946.9290000000001</v>
      </c>
      <c r="D8" s="12">
        <v>646.38499999999999</v>
      </c>
      <c r="E8" s="12">
        <v>1348.5509999999999</v>
      </c>
      <c r="F8" s="12">
        <v>1147.4380000000001</v>
      </c>
      <c r="G8" s="13">
        <v>1</v>
      </c>
      <c r="H8" s="12">
        <v>45</v>
      </c>
      <c r="I8" s="12" t="s">
        <v>41</v>
      </c>
      <c r="J8" s="12"/>
      <c r="K8" s="12">
        <v>1325.05</v>
      </c>
      <c r="L8" s="12">
        <f t="shared" si="2"/>
        <v>23.500999999999976</v>
      </c>
      <c r="M8" s="12"/>
      <c r="N8" s="12"/>
      <c r="O8" s="12">
        <v>424.07848000000013</v>
      </c>
      <c r="P8" s="12"/>
      <c r="Q8" s="12"/>
      <c r="R8" s="12">
        <v>543.20000000000005</v>
      </c>
      <c r="S8" s="12"/>
      <c r="T8" s="12"/>
      <c r="U8" s="12">
        <v>856.8</v>
      </c>
      <c r="V8" s="12">
        <f t="shared" si="3"/>
        <v>269.71019999999999</v>
      </c>
      <c r="W8" s="4"/>
      <c r="X8" s="12">
        <f t="shared" si="4"/>
        <v>11.017441980318136</v>
      </c>
      <c r="Y8" s="12">
        <f t="shared" si="5"/>
        <v>11.017441980318136</v>
      </c>
      <c r="Z8" s="12">
        <v>293.387</v>
      </c>
      <c r="AA8" s="12">
        <v>257.86320000000001</v>
      </c>
      <c r="AB8" s="12">
        <v>178.08920000000001</v>
      </c>
      <c r="AC8" s="12">
        <v>182.8776</v>
      </c>
      <c r="AD8" s="12">
        <v>261.28660000000002</v>
      </c>
      <c r="AE8" s="12">
        <v>254.85239999999999</v>
      </c>
      <c r="AF8" s="12">
        <v>257.28680000000003</v>
      </c>
      <c r="AG8" s="12">
        <v>276.00380000000001</v>
      </c>
      <c r="AH8" s="12">
        <v>247.24520000000001</v>
      </c>
      <c r="AI8" s="12">
        <v>223.76159999999999</v>
      </c>
      <c r="AJ8" s="12"/>
      <c r="AK8" s="12">
        <f>G8*W8</f>
        <v>0</v>
      </c>
      <c r="AL8" s="12"/>
      <c r="AM8" s="12"/>
      <c r="AN8" s="12"/>
      <c r="AO8" s="12"/>
      <c r="AP8" s="12"/>
      <c r="AQ8" s="12"/>
    </row>
    <row r="9" spans="1:43" x14ac:dyDescent="0.25">
      <c r="A9" s="8" t="s">
        <v>44</v>
      </c>
      <c r="B9" s="8" t="s">
        <v>45</v>
      </c>
      <c r="C9" s="8"/>
      <c r="D9" s="8"/>
      <c r="E9" s="8"/>
      <c r="F9" s="8"/>
      <c r="G9" s="9">
        <v>0</v>
      </c>
      <c r="H9" s="8"/>
      <c r="I9" s="8" t="s">
        <v>41</v>
      </c>
      <c r="J9" s="8"/>
      <c r="K9" s="8"/>
      <c r="L9" s="8">
        <f t="shared" si="2"/>
        <v>0</v>
      </c>
      <c r="M9" s="8"/>
      <c r="N9" s="8"/>
      <c r="O9" s="8"/>
      <c r="P9" s="8"/>
      <c r="Q9" s="8"/>
      <c r="R9" s="8">
        <v>0</v>
      </c>
      <c r="S9" s="8"/>
      <c r="T9" s="8"/>
      <c r="U9" s="8"/>
      <c r="V9" s="8">
        <f t="shared" si="3"/>
        <v>0</v>
      </c>
      <c r="W9" s="10"/>
      <c r="X9" s="8" t="e">
        <f t="shared" si="4"/>
        <v>#DIV/0!</v>
      </c>
      <c r="Y9" s="8" t="e">
        <f t="shared" si="5"/>
        <v>#DIV/0!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 t="s">
        <v>46</v>
      </c>
      <c r="AK9" s="8"/>
      <c r="AL9" s="12"/>
      <c r="AM9" s="12"/>
      <c r="AN9" s="12"/>
      <c r="AO9" s="12"/>
      <c r="AP9" s="12"/>
      <c r="AQ9" s="12"/>
    </row>
    <row r="10" spans="1:43" x14ac:dyDescent="0.25">
      <c r="A10" s="12" t="s">
        <v>47</v>
      </c>
      <c r="B10" s="12" t="s">
        <v>45</v>
      </c>
      <c r="C10" s="12">
        <v>595</v>
      </c>
      <c r="D10" s="12">
        <v>1117</v>
      </c>
      <c r="E10" s="12">
        <v>832</v>
      </c>
      <c r="F10" s="12">
        <v>774</v>
      </c>
      <c r="G10" s="13">
        <v>0.45</v>
      </c>
      <c r="H10" s="12">
        <v>45</v>
      </c>
      <c r="I10" s="12" t="s">
        <v>41</v>
      </c>
      <c r="J10" s="12"/>
      <c r="K10" s="12">
        <v>857</v>
      </c>
      <c r="L10" s="12">
        <f t="shared" si="2"/>
        <v>-25</v>
      </c>
      <c r="M10" s="12"/>
      <c r="N10" s="12"/>
      <c r="O10" s="12">
        <v>159.85684800000001</v>
      </c>
      <c r="P10" s="12"/>
      <c r="Q10" s="12"/>
      <c r="R10" s="12">
        <v>146.54759999999999</v>
      </c>
      <c r="S10" s="12"/>
      <c r="T10" s="12"/>
      <c r="U10" s="12">
        <v>231.1524</v>
      </c>
      <c r="V10" s="12">
        <f t="shared" si="3"/>
        <v>166.4</v>
      </c>
      <c r="W10" s="4">
        <f>11*V10-U10-T10-S10-R10-Q10-P10-O10-F10</f>
        <v>518.84315200000037</v>
      </c>
      <c r="X10" s="12">
        <f t="shared" si="4"/>
        <v>11.000000000000002</v>
      </c>
      <c r="Y10" s="12">
        <f t="shared" si="5"/>
        <v>7.8819522115384606</v>
      </c>
      <c r="Z10" s="12">
        <v>157.4</v>
      </c>
      <c r="AA10" s="12">
        <v>159.4</v>
      </c>
      <c r="AB10" s="12">
        <v>129.6</v>
      </c>
      <c r="AC10" s="12">
        <v>121.2</v>
      </c>
      <c r="AD10" s="12">
        <v>121</v>
      </c>
      <c r="AE10" s="12">
        <v>122.6</v>
      </c>
      <c r="AF10" s="12">
        <v>110.2</v>
      </c>
      <c r="AG10" s="12">
        <v>117.4</v>
      </c>
      <c r="AH10" s="12">
        <v>142.6</v>
      </c>
      <c r="AI10" s="12">
        <v>135.4</v>
      </c>
      <c r="AJ10" s="12"/>
      <c r="AK10" s="12">
        <f t="shared" ref="AK10:AK22" si="6">G10*W10</f>
        <v>233.47941840000018</v>
      </c>
      <c r="AL10" s="12"/>
      <c r="AM10" s="12"/>
      <c r="AN10" s="12"/>
      <c r="AO10" s="12"/>
      <c r="AP10" s="12"/>
      <c r="AQ10" s="12"/>
    </row>
    <row r="11" spans="1:43" x14ac:dyDescent="0.25">
      <c r="A11" s="12" t="s">
        <v>48</v>
      </c>
      <c r="B11" s="12" t="s">
        <v>45</v>
      </c>
      <c r="C11" s="12">
        <v>1517.24</v>
      </c>
      <c r="D11" s="12">
        <v>812</v>
      </c>
      <c r="E11" s="12">
        <v>1027</v>
      </c>
      <c r="F11" s="12">
        <v>1124.24</v>
      </c>
      <c r="G11" s="13">
        <v>0.45</v>
      </c>
      <c r="H11" s="12">
        <v>45</v>
      </c>
      <c r="I11" s="12" t="s">
        <v>41</v>
      </c>
      <c r="J11" s="12"/>
      <c r="K11" s="12">
        <v>1107</v>
      </c>
      <c r="L11" s="12">
        <f t="shared" si="2"/>
        <v>-80</v>
      </c>
      <c r="M11" s="12"/>
      <c r="N11" s="12"/>
      <c r="O11" s="12">
        <v>246.2239999999999</v>
      </c>
      <c r="P11" s="12"/>
      <c r="Q11" s="12"/>
      <c r="R11" s="12">
        <v>310.39999999999998</v>
      </c>
      <c r="S11" s="12"/>
      <c r="T11" s="12"/>
      <c r="U11" s="12">
        <v>489.6</v>
      </c>
      <c r="V11" s="12">
        <f t="shared" si="3"/>
        <v>205.4</v>
      </c>
      <c r="W11" s="4">
        <f>11*V11-U11-T11-S11-R11-Q11-P11-O11-F11</f>
        <v>88.936000000000149</v>
      </c>
      <c r="X11" s="12">
        <f t="shared" si="4"/>
        <v>11</v>
      </c>
      <c r="Y11" s="12">
        <f t="shared" si="5"/>
        <v>10.567010710808178</v>
      </c>
      <c r="Z11" s="12">
        <v>250.2</v>
      </c>
      <c r="AA11" s="12">
        <v>262.2</v>
      </c>
      <c r="AB11" s="12">
        <v>226.6</v>
      </c>
      <c r="AC11" s="12">
        <v>220.8</v>
      </c>
      <c r="AD11" s="12">
        <v>239.6</v>
      </c>
      <c r="AE11" s="12">
        <v>248.2</v>
      </c>
      <c r="AF11" s="12">
        <v>245.2</v>
      </c>
      <c r="AG11" s="12">
        <v>245.4</v>
      </c>
      <c r="AH11" s="12">
        <v>235.2</v>
      </c>
      <c r="AI11" s="12">
        <v>216.8</v>
      </c>
      <c r="AJ11" s="12" t="s">
        <v>49</v>
      </c>
      <c r="AK11" s="12">
        <f t="shared" si="6"/>
        <v>40.021200000000071</v>
      </c>
      <c r="AL11" s="12"/>
      <c r="AM11" s="12"/>
      <c r="AN11" s="12"/>
      <c r="AO11" s="12"/>
      <c r="AP11" s="12"/>
      <c r="AQ11" s="12"/>
    </row>
    <row r="12" spans="1:43" x14ac:dyDescent="0.25">
      <c r="A12" s="12" t="s">
        <v>50</v>
      </c>
      <c r="B12" s="12" t="s">
        <v>45</v>
      </c>
      <c r="C12" s="12">
        <v>23</v>
      </c>
      <c r="D12" s="12">
        <v>210</v>
      </c>
      <c r="E12" s="12">
        <v>102</v>
      </c>
      <c r="F12" s="12">
        <v>129</v>
      </c>
      <c r="G12" s="13">
        <v>0.17</v>
      </c>
      <c r="H12" s="12">
        <v>180</v>
      </c>
      <c r="I12" s="12" t="s">
        <v>41</v>
      </c>
      <c r="J12" s="12"/>
      <c r="K12" s="12">
        <v>102</v>
      </c>
      <c r="L12" s="12">
        <f t="shared" si="2"/>
        <v>0</v>
      </c>
      <c r="M12" s="12"/>
      <c r="N12" s="12"/>
      <c r="O12" s="12"/>
      <c r="P12" s="12"/>
      <c r="Q12" s="12"/>
      <c r="R12" s="12">
        <v>94.5</v>
      </c>
      <c r="S12" s="12"/>
      <c r="T12" s="12"/>
      <c r="U12" s="12"/>
      <c r="V12" s="12">
        <f t="shared" si="3"/>
        <v>20.399999999999999</v>
      </c>
      <c r="W12" s="4"/>
      <c r="X12" s="12">
        <f t="shared" si="4"/>
        <v>10.955882352941178</v>
      </c>
      <c r="Y12" s="12">
        <f t="shared" si="5"/>
        <v>10.955882352941178</v>
      </c>
      <c r="Z12" s="12">
        <v>21.4</v>
      </c>
      <c r="AA12" s="12">
        <v>18.600000000000001</v>
      </c>
      <c r="AB12" s="12">
        <v>14.2</v>
      </c>
      <c r="AC12" s="12">
        <v>15</v>
      </c>
      <c r="AD12" s="12">
        <v>13.8</v>
      </c>
      <c r="AE12" s="12">
        <v>12.8</v>
      </c>
      <c r="AF12" s="12">
        <v>16.600000000000001</v>
      </c>
      <c r="AG12" s="12">
        <v>17.8</v>
      </c>
      <c r="AH12" s="12">
        <v>15.6</v>
      </c>
      <c r="AI12" s="12">
        <v>15</v>
      </c>
      <c r="AJ12" s="12"/>
      <c r="AK12" s="12">
        <f t="shared" si="6"/>
        <v>0</v>
      </c>
      <c r="AL12" s="12"/>
      <c r="AM12" s="12"/>
      <c r="AN12" s="12"/>
      <c r="AO12" s="12"/>
      <c r="AP12" s="12"/>
      <c r="AQ12" s="12"/>
    </row>
    <row r="13" spans="1:43" x14ac:dyDescent="0.25">
      <c r="A13" s="12" t="s">
        <v>51</v>
      </c>
      <c r="B13" s="12" t="s">
        <v>45</v>
      </c>
      <c r="C13" s="12">
        <v>26</v>
      </c>
      <c r="D13" s="12">
        <v>132</v>
      </c>
      <c r="E13" s="12">
        <v>54</v>
      </c>
      <c r="F13" s="12">
        <v>31</v>
      </c>
      <c r="G13" s="13">
        <v>0.3</v>
      </c>
      <c r="H13" s="12">
        <v>40</v>
      </c>
      <c r="I13" s="7" t="s">
        <v>52</v>
      </c>
      <c r="J13" s="12"/>
      <c r="K13" s="12">
        <v>76</v>
      </c>
      <c r="L13" s="12">
        <f t="shared" si="2"/>
        <v>-22</v>
      </c>
      <c r="M13" s="12"/>
      <c r="N13" s="12"/>
      <c r="O13" s="12"/>
      <c r="P13" s="12"/>
      <c r="Q13" s="12"/>
      <c r="R13" s="12">
        <v>100</v>
      </c>
      <c r="S13" s="12"/>
      <c r="T13" s="12"/>
      <c r="U13" s="12">
        <v>50</v>
      </c>
      <c r="V13" s="12">
        <f t="shared" si="3"/>
        <v>10.8</v>
      </c>
      <c r="W13" s="4"/>
      <c r="X13" s="12">
        <f t="shared" si="4"/>
        <v>16.75925925925926</v>
      </c>
      <c r="Y13" s="12">
        <f t="shared" si="5"/>
        <v>16.75925925925926</v>
      </c>
      <c r="Z13" s="12">
        <v>12.4</v>
      </c>
      <c r="AA13" s="12">
        <v>11.2</v>
      </c>
      <c r="AB13" s="12">
        <v>3.4</v>
      </c>
      <c r="AC13" s="12">
        <v>0.4</v>
      </c>
      <c r="AD13" s="12">
        <v>12.4</v>
      </c>
      <c r="AE13" s="12">
        <v>19.2</v>
      </c>
      <c r="AF13" s="12">
        <v>21</v>
      </c>
      <c r="AG13" s="12">
        <v>17.8</v>
      </c>
      <c r="AH13" s="12">
        <v>10.6</v>
      </c>
      <c r="AI13" s="12">
        <v>10</v>
      </c>
      <c r="AJ13" s="12"/>
      <c r="AK13" s="12">
        <f t="shared" si="6"/>
        <v>0</v>
      </c>
      <c r="AL13" s="12"/>
      <c r="AM13" s="12"/>
      <c r="AN13" s="12"/>
      <c r="AO13" s="12"/>
      <c r="AP13" s="12"/>
      <c r="AQ13" s="12"/>
    </row>
    <row r="14" spans="1:43" x14ac:dyDescent="0.25">
      <c r="A14" s="12" t="s">
        <v>53</v>
      </c>
      <c r="B14" s="12" t="s">
        <v>45</v>
      </c>
      <c r="C14" s="12">
        <v>185</v>
      </c>
      <c r="D14" s="12">
        <v>525</v>
      </c>
      <c r="E14" s="12">
        <v>283</v>
      </c>
      <c r="F14" s="12">
        <v>406</v>
      </c>
      <c r="G14" s="13">
        <v>0.17</v>
      </c>
      <c r="H14" s="12">
        <v>180</v>
      </c>
      <c r="I14" s="12" t="s">
        <v>41</v>
      </c>
      <c r="J14" s="12"/>
      <c r="K14" s="12">
        <v>283</v>
      </c>
      <c r="L14" s="12">
        <f t="shared" si="2"/>
        <v>0</v>
      </c>
      <c r="M14" s="12"/>
      <c r="N14" s="12"/>
      <c r="O14" s="12"/>
      <c r="P14" s="12"/>
      <c r="Q14" s="12"/>
      <c r="R14" s="12">
        <v>57.946000000000033</v>
      </c>
      <c r="S14" s="12"/>
      <c r="T14" s="12"/>
      <c r="U14" s="12"/>
      <c r="V14" s="12">
        <f t="shared" si="3"/>
        <v>56.6</v>
      </c>
      <c r="W14" s="4">
        <f>11*V14-U14-T14-S14-R14-Q14-P14-O14-F14</f>
        <v>158.654</v>
      </c>
      <c r="X14" s="12">
        <f t="shared" si="4"/>
        <v>11</v>
      </c>
      <c r="Y14" s="12">
        <f t="shared" si="5"/>
        <v>8.1969257950530032</v>
      </c>
      <c r="Z14" s="12">
        <v>54.4</v>
      </c>
      <c r="AA14" s="12">
        <v>61.4</v>
      </c>
      <c r="AB14" s="12">
        <v>53.8</v>
      </c>
      <c r="AC14" s="12">
        <v>47.8</v>
      </c>
      <c r="AD14" s="12">
        <v>45.8</v>
      </c>
      <c r="AE14" s="12">
        <v>47.6</v>
      </c>
      <c r="AF14" s="12">
        <v>57.6</v>
      </c>
      <c r="AG14" s="12">
        <v>60.6</v>
      </c>
      <c r="AH14" s="12">
        <v>47.6</v>
      </c>
      <c r="AI14" s="12">
        <v>44.8</v>
      </c>
      <c r="AJ14" s="12"/>
      <c r="AK14" s="12">
        <f t="shared" si="6"/>
        <v>26.97118</v>
      </c>
      <c r="AL14" s="12"/>
      <c r="AM14" s="12"/>
      <c r="AN14" s="12"/>
      <c r="AO14" s="12"/>
      <c r="AP14" s="12"/>
      <c r="AQ14" s="12"/>
    </row>
    <row r="15" spans="1:43" x14ac:dyDescent="0.25">
      <c r="A15" s="12" t="s">
        <v>54</v>
      </c>
      <c r="B15" s="12" t="s">
        <v>40</v>
      </c>
      <c r="C15" s="12">
        <v>1078.9100000000001</v>
      </c>
      <c r="D15" s="12">
        <v>1612.4829999999999</v>
      </c>
      <c r="E15" s="12">
        <v>1165.6279999999999</v>
      </c>
      <c r="F15" s="12">
        <v>1439.039</v>
      </c>
      <c r="G15" s="13">
        <v>1</v>
      </c>
      <c r="H15" s="12">
        <v>70</v>
      </c>
      <c r="I15" s="7" t="s">
        <v>52</v>
      </c>
      <c r="J15" s="12"/>
      <c r="K15" s="12">
        <v>1129.32</v>
      </c>
      <c r="L15" s="12">
        <f t="shared" si="2"/>
        <v>36.307999999999993</v>
      </c>
      <c r="M15" s="12"/>
      <c r="N15" s="12"/>
      <c r="O15" s="12">
        <v>237.424654</v>
      </c>
      <c r="P15" s="12"/>
      <c r="Q15" s="12"/>
      <c r="R15" s="12">
        <v>850</v>
      </c>
      <c r="S15" s="12"/>
      <c r="T15" s="12"/>
      <c r="U15" s="12"/>
      <c r="V15" s="12">
        <f t="shared" si="3"/>
        <v>233.12559999999999</v>
      </c>
      <c r="W15" s="4">
        <f>11*V15-U15-T15-S15-R15-Q15-P15-O15-F15</f>
        <v>37.917945999999802</v>
      </c>
      <c r="X15" s="12">
        <f t="shared" si="4"/>
        <v>11</v>
      </c>
      <c r="Y15" s="12">
        <f t="shared" si="5"/>
        <v>10.837349711914952</v>
      </c>
      <c r="Z15" s="12">
        <v>259.81060000000002</v>
      </c>
      <c r="AA15" s="12">
        <v>267.96080000000001</v>
      </c>
      <c r="AB15" s="12">
        <v>195.66640000000001</v>
      </c>
      <c r="AC15" s="12">
        <v>187.86779999999999</v>
      </c>
      <c r="AD15" s="12">
        <v>228.3366</v>
      </c>
      <c r="AE15" s="12">
        <v>217.41739999999999</v>
      </c>
      <c r="AF15" s="12">
        <v>228.7406</v>
      </c>
      <c r="AG15" s="12">
        <v>230.5266</v>
      </c>
      <c r="AH15" s="12">
        <v>233.18360000000001</v>
      </c>
      <c r="AI15" s="12">
        <v>242.98320000000001</v>
      </c>
      <c r="AJ15" s="12"/>
      <c r="AK15" s="12">
        <f t="shared" si="6"/>
        <v>37.917945999999802</v>
      </c>
      <c r="AL15" s="12"/>
      <c r="AM15" s="12"/>
      <c r="AN15" s="12"/>
      <c r="AO15" s="12"/>
      <c r="AP15" s="12"/>
      <c r="AQ15" s="12"/>
    </row>
    <row r="16" spans="1:43" x14ac:dyDescent="0.25">
      <c r="A16" s="12" t="s">
        <v>55</v>
      </c>
      <c r="B16" s="12" t="s">
        <v>40</v>
      </c>
      <c r="C16" s="12">
        <v>5492.0659999999998</v>
      </c>
      <c r="D16" s="12">
        <v>2711.424</v>
      </c>
      <c r="E16" s="12">
        <v>4081.0129999999999</v>
      </c>
      <c r="F16" s="12">
        <v>3849.8629999999998</v>
      </c>
      <c r="G16" s="13">
        <v>1</v>
      </c>
      <c r="H16" s="12">
        <v>50</v>
      </c>
      <c r="I16" s="12" t="s">
        <v>41</v>
      </c>
      <c r="J16" s="12"/>
      <c r="K16" s="12">
        <v>4087.6</v>
      </c>
      <c r="L16" s="12">
        <f t="shared" si="2"/>
        <v>-6.5869999999999891</v>
      </c>
      <c r="M16" s="12"/>
      <c r="N16" s="12"/>
      <c r="O16" s="12">
        <v>597.65640000000008</v>
      </c>
      <c r="P16" s="12"/>
      <c r="Q16" s="12">
        <v>800</v>
      </c>
      <c r="R16" s="12">
        <v>1090.616628799999</v>
      </c>
      <c r="S16" s="12"/>
      <c r="T16" s="12"/>
      <c r="U16" s="12">
        <v>1720.250971199999</v>
      </c>
      <c r="V16" s="12">
        <f t="shared" si="3"/>
        <v>816.20259999999996</v>
      </c>
      <c r="W16" s="4">
        <f>10*V16-U16-T16-S16-R16-Q16-P16-O16-F16</f>
        <v>103.6390000000024</v>
      </c>
      <c r="X16" s="12">
        <f t="shared" si="4"/>
        <v>10.000000000000002</v>
      </c>
      <c r="Y16" s="12">
        <f t="shared" si="5"/>
        <v>9.8730229479788463</v>
      </c>
      <c r="Z16" s="12">
        <v>828.27839999999992</v>
      </c>
      <c r="AA16" s="12">
        <v>796.69399999999996</v>
      </c>
      <c r="AB16" s="12">
        <v>602.02499999999998</v>
      </c>
      <c r="AC16" s="12">
        <v>540.52719999999999</v>
      </c>
      <c r="AD16" s="12">
        <v>666.84559999999999</v>
      </c>
      <c r="AE16" s="12">
        <v>674.39080000000001</v>
      </c>
      <c r="AF16" s="12">
        <v>736.59320000000002</v>
      </c>
      <c r="AG16" s="12">
        <v>741.72680000000003</v>
      </c>
      <c r="AH16" s="12">
        <v>660.61159999999995</v>
      </c>
      <c r="AI16" s="12">
        <v>636.86320000000001</v>
      </c>
      <c r="AJ16" s="12"/>
      <c r="AK16" s="12">
        <f t="shared" si="6"/>
        <v>103.6390000000024</v>
      </c>
      <c r="AL16" s="12"/>
      <c r="AM16" s="12"/>
      <c r="AN16" s="12"/>
      <c r="AO16" s="12"/>
      <c r="AP16" s="12"/>
      <c r="AQ16" s="12"/>
    </row>
    <row r="17" spans="1:43" x14ac:dyDescent="0.25">
      <c r="A17" s="12" t="s">
        <v>56</v>
      </c>
      <c r="B17" s="12" t="s">
        <v>40</v>
      </c>
      <c r="C17" s="12">
        <v>115.78</v>
      </c>
      <c r="D17" s="12">
        <v>116.648</v>
      </c>
      <c r="E17" s="12">
        <v>95.183999999999997</v>
      </c>
      <c r="F17" s="12">
        <v>118.67400000000001</v>
      </c>
      <c r="G17" s="13">
        <v>1</v>
      </c>
      <c r="H17" s="12">
        <v>60</v>
      </c>
      <c r="I17" s="12" t="s">
        <v>41</v>
      </c>
      <c r="J17" s="12"/>
      <c r="K17" s="12">
        <v>91.93</v>
      </c>
      <c r="L17" s="12">
        <f t="shared" si="2"/>
        <v>3.2539999999999907</v>
      </c>
      <c r="M17" s="12"/>
      <c r="N17" s="12"/>
      <c r="O17" s="12"/>
      <c r="P17" s="12"/>
      <c r="Q17" s="12"/>
      <c r="R17" s="12">
        <v>74.271100000000018</v>
      </c>
      <c r="S17" s="12"/>
      <c r="T17" s="12"/>
      <c r="U17" s="12"/>
      <c r="V17" s="12">
        <f t="shared" si="3"/>
        <v>19.036799999999999</v>
      </c>
      <c r="W17" s="4">
        <f>11*V17-U17-T17-S17-R17-Q17-P17-O17-F17</f>
        <v>16.45969999999997</v>
      </c>
      <c r="X17" s="12">
        <f t="shared" si="4"/>
        <v>11</v>
      </c>
      <c r="Y17" s="12">
        <f t="shared" si="5"/>
        <v>10.13537464279711</v>
      </c>
      <c r="Z17" s="12">
        <v>21.176200000000001</v>
      </c>
      <c r="AA17" s="12">
        <v>19.1052</v>
      </c>
      <c r="AB17" s="12">
        <v>13.417199999999999</v>
      </c>
      <c r="AC17" s="12">
        <v>12.323</v>
      </c>
      <c r="AD17" s="12">
        <v>17.948399999999999</v>
      </c>
      <c r="AE17" s="12">
        <v>19.870200000000001</v>
      </c>
      <c r="AF17" s="12">
        <v>23.232600000000001</v>
      </c>
      <c r="AG17" s="12">
        <v>23.764399999999998</v>
      </c>
      <c r="AH17" s="12">
        <v>25.488199999999999</v>
      </c>
      <c r="AI17" s="12">
        <v>23.536200000000001</v>
      </c>
      <c r="AJ17" s="12"/>
      <c r="AK17" s="12">
        <f t="shared" si="6"/>
        <v>16.45969999999997</v>
      </c>
      <c r="AL17" s="12"/>
      <c r="AM17" s="12"/>
      <c r="AN17" s="12"/>
      <c r="AO17" s="12"/>
      <c r="AP17" s="12"/>
      <c r="AQ17" s="12"/>
    </row>
    <row r="18" spans="1:43" x14ac:dyDescent="0.25">
      <c r="A18" s="12" t="s">
        <v>57</v>
      </c>
      <c r="B18" s="12" t="s">
        <v>40</v>
      </c>
      <c r="C18" s="12">
        <v>76.126000000000005</v>
      </c>
      <c r="D18" s="12">
        <v>137.89599999999999</v>
      </c>
      <c r="E18" s="12">
        <v>70.756</v>
      </c>
      <c r="F18" s="12">
        <v>135.75800000000001</v>
      </c>
      <c r="G18" s="13">
        <v>1</v>
      </c>
      <c r="H18" s="12">
        <v>60</v>
      </c>
      <c r="I18" s="7" t="s">
        <v>52</v>
      </c>
      <c r="J18" s="12"/>
      <c r="K18" s="12">
        <v>85.88</v>
      </c>
      <c r="L18" s="12">
        <f t="shared" si="2"/>
        <v>-15.123999999999995</v>
      </c>
      <c r="M18" s="12"/>
      <c r="N18" s="12"/>
      <c r="O18" s="12"/>
      <c r="P18" s="12"/>
      <c r="Q18" s="12"/>
      <c r="R18" s="12">
        <v>80.014499999999984</v>
      </c>
      <c r="S18" s="12"/>
      <c r="T18" s="12"/>
      <c r="U18" s="12">
        <v>4</v>
      </c>
      <c r="V18" s="12">
        <f t="shared" si="3"/>
        <v>14.151199999999999</v>
      </c>
      <c r="W18" s="4"/>
      <c r="X18" s="12">
        <f t="shared" si="4"/>
        <v>15.530308383741307</v>
      </c>
      <c r="Y18" s="12">
        <f t="shared" si="5"/>
        <v>15.530308383741307</v>
      </c>
      <c r="Z18" s="12">
        <v>20.768999999999998</v>
      </c>
      <c r="AA18" s="12">
        <v>18.800599999999999</v>
      </c>
      <c r="AB18" s="12">
        <v>14.020799999999999</v>
      </c>
      <c r="AC18" s="12">
        <v>14.549200000000001</v>
      </c>
      <c r="AD18" s="12">
        <v>15.186</v>
      </c>
      <c r="AE18" s="12">
        <v>16.345400000000001</v>
      </c>
      <c r="AF18" s="12">
        <v>19.931799999999999</v>
      </c>
      <c r="AG18" s="12">
        <v>18.4558</v>
      </c>
      <c r="AH18" s="12">
        <v>16.866199999999999</v>
      </c>
      <c r="AI18" s="12">
        <v>17.227399999999999</v>
      </c>
      <c r="AJ18" s="12"/>
      <c r="AK18" s="12">
        <f t="shared" si="6"/>
        <v>0</v>
      </c>
      <c r="AL18" s="12"/>
      <c r="AM18" s="12"/>
      <c r="AN18" s="12"/>
      <c r="AO18" s="12"/>
      <c r="AP18" s="12"/>
      <c r="AQ18" s="12"/>
    </row>
    <row r="19" spans="1:43" x14ac:dyDescent="0.25">
      <c r="A19" s="12" t="s">
        <v>58</v>
      </c>
      <c r="B19" s="12" t="s">
        <v>40</v>
      </c>
      <c r="C19" s="12">
        <v>0.85899999999999999</v>
      </c>
      <c r="D19" s="12">
        <v>31.420999999999999</v>
      </c>
      <c r="E19" s="12">
        <v>12.951000000000001</v>
      </c>
      <c r="F19" s="12">
        <v>19.305</v>
      </c>
      <c r="G19" s="13">
        <v>1</v>
      </c>
      <c r="H19" s="12">
        <v>180</v>
      </c>
      <c r="I19" s="12" t="s">
        <v>41</v>
      </c>
      <c r="J19" s="12"/>
      <c r="K19" s="12">
        <v>13.974</v>
      </c>
      <c r="L19" s="12">
        <f t="shared" si="2"/>
        <v>-1.0229999999999997</v>
      </c>
      <c r="M19" s="12"/>
      <c r="N19" s="12"/>
      <c r="O19" s="12"/>
      <c r="P19" s="12"/>
      <c r="Q19" s="12"/>
      <c r="R19" s="12">
        <v>0</v>
      </c>
      <c r="S19" s="12"/>
      <c r="T19" s="12"/>
      <c r="U19" s="12"/>
      <c r="V19" s="12">
        <f t="shared" si="3"/>
        <v>2.5902000000000003</v>
      </c>
      <c r="W19" s="4">
        <f>11*V19-U19-T19-S19-R19-Q19-P19-O19-F19</f>
        <v>9.1872000000000043</v>
      </c>
      <c r="X19" s="12">
        <f t="shared" si="4"/>
        <v>11</v>
      </c>
      <c r="Y19" s="12">
        <f t="shared" si="5"/>
        <v>7.4530924252953428</v>
      </c>
      <c r="Z19" s="12">
        <v>1.7988</v>
      </c>
      <c r="AA19" s="12">
        <v>1.4292</v>
      </c>
      <c r="AB19" s="12">
        <v>2.8586</v>
      </c>
      <c r="AC19" s="12">
        <v>2.6456</v>
      </c>
      <c r="AD19" s="12">
        <v>1.0746</v>
      </c>
      <c r="AE19" s="12">
        <v>1.3657999999999999</v>
      </c>
      <c r="AF19" s="12">
        <v>1.7043999999999999</v>
      </c>
      <c r="AG19" s="12">
        <v>1.3306</v>
      </c>
      <c r="AH19" s="12">
        <v>0.62980000000000003</v>
      </c>
      <c r="AI19" s="12">
        <v>1.0427999999999999</v>
      </c>
      <c r="AJ19" s="12"/>
      <c r="AK19" s="12">
        <f t="shared" si="6"/>
        <v>9.1872000000000043</v>
      </c>
      <c r="AL19" s="12"/>
      <c r="AM19" s="12"/>
      <c r="AN19" s="12"/>
      <c r="AO19" s="12"/>
      <c r="AP19" s="12"/>
      <c r="AQ19" s="12"/>
    </row>
    <row r="20" spans="1:43" x14ac:dyDescent="0.25">
      <c r="A20" s="12" t="s">
        <v>59</v>
      </c>
      <c r="B20" s="12" t="s">
        <v>40</v>
      </c>
      <c r="C20" s="12">
        <v>1226.356</v>
      </c>
      <c r="D20" s="12">
        <v>2025.1489999999999</v>
      </c>
      <c r="E20" s="12">
        <v>1363.355</v>
      </c>
      <c r="F20" s="12">
        <v>1737.83</v>
      </c>
      <c r="G20" s="13">
        <v>1</v>
      </c>
      <c r="H20" s="12">
        <v>60</v>
      </c>
      <c r="I20" s="12" t="s">
        <v>41</v>
      </c>
      <c r="J20" s="12"/>
      <c r="K20" s="12">
        <v>1320.0550000000001</v>
      </c>
      <c r="L20" s="12">
        <f t="shared" si="2"/>
        <v>43.299999999999955</v>
      </c>
      <c r="M20" s="12"/>
      <c r="N20" s="12"/>
      <c r="O20" s="12">
        <v>357.87973714120022</v>
      </c>
      <c r="P20" s="12"/>
      <c r="Q20" s="12"/>
      <c r="R20" s="12">
        <v>329.8</v>
      </c>
      <c r="S20" s="12"/>
      <c r="T20" s="12"/>
      <c r="U20" s="12">
        <v>520.20000000000005</v>
      </c>
      <c r="V20" s="12">
        <f t="shared" si="3"/>
        <v>272.67099999999999</v>
      </c>
      <c r="W20" s="4">
        <f>11*V20-U20-T20-S20-R20-Q20-P20-O20-F20</f>
        <v>53.671262858799309</v>
      </c>
      <c r="X20" s="12">
        <f t="shared" si="4"/>
        <v>10.999999999999998</v>
      </c>
      <c r="Y20" s="12">
        <f t="shared" si="5"/>
        <v>10.803164755845691</v>
      </c>
      <c r="Z20" s="12">
        <v>299.54820000000001</v>
      </c>
      <c r="AA20" s="12">
        <v>310.22800000000001</v>
      </c>
      <c r="AB20" s="12">
        <v>239.51920000000001</v>
      </c>
      <c r="AC20" s="12">
        <v>213.66820000000001</v>
      </c>
      <c r="AD20" s="12">
        <v>253.92599999999999</v>
      </c>
      <c r="AE20" s="12">
        <v>253.47559999999999</v>
      </c>
      <c r="AF20" s="12">
        <v>272.93060000000003</v>
      </c>
      <c r="AG20" s="12">
        <v>280.49860000000001</v>
      </c>
      <c r="AH20" s="12">
        <v>283.15519999999998</v>
      </c>
      <c r="AI20" s="12">
        <v>289.96379999999999</v>
      </c>
      <c r="AJ20" s="12"/>
      <c r="AK20" s="12">
        <f t="shared" si="6"/>
        <v>53.671262858799309</v>
      </c>
      <c r="AL20" s="12"/>
      <c r="AM20" s="12"/>
      <c r="AN20" s="12"/>
      <c r="AO20" s="12"/>
      <c r="AP20" s="12"/>
      <c r="AQ20" s="12"/>
    </row>
    <row r="21" spans="1:43" x14ac:dyDescent="0.25">
      <c r="A21" s="12" t="s">
        <v>60</v>
      </c>
      <c r="B21" s="12" t="s">
        <v>40</v>
      </c>
      <c r="C21" s="12">
        <v>100.956</v>
      </c>
      <c r="D21" s="12">
        <v>487.02300000000002</v>
      </c>
      <c r="E21" s="12">
        <v>231.17500000000001</v>
      </c>
      <c r="F21" s="12">
        <v>341.80399999999997</v>
      </c>
      <c r="G21" s="13">
        <v>1</v>
      </c>
      <c r="H21" s="12">
        <v>70</v>
      </c>
      <c r="I21" s="12" t="s">
        <v>41</v>
      </c>
      <c r="J21" s="12"/>
      <c r="K21" s="12">
        <v>225</v>
      </c>
      <c r="L21" s="12">
        <f t="shared" si="2"/>
        <v>6.1750000000000114</v>
      </c>
      <c r="M21" s="12"/>
      <c r="N21" s="12"/>
      <c r="O21" s="12"/>
      <c r="P21" s="12"/>
      <c r="Q21" s="12"/>
      <c r="R21" s="12">
        <v>119.2310999999999</v>
      </c>
      <c r="S21" s="12"/>
      <c r="T21" s="12"/>
      <c r="U21" s="12"/>
      <c r="V21" s="12">
        <f t="shared" si="3"/>
        <v>46.234999999999999</v>
      </c>
      <c r="W21" s="4">
        <f>11*V21-U21-T21-S21-R21-Q21-P21-O21-F21</f>
        <v>47.549900000000093</v>
      </c>
      <c r="X21" s="12">
        <f t="shared" si="4"/>
        <v>11</v>
      </c>
      <c r="Y21" s="12">
        <f t="shared" si="5"/>
        <v>9.9715605061100874</v>
      </c>
      <c r="Z21" s="12">
        <v>51.521799999999999</v>
      </c>
      <c r="AA21" s="12">
        <v>51.721600000000002</v>
      </c>
      <c r="AB21" s="12">
        <v>37.593200000000003</v>
      </c>
      <c r="AC21" s="12">
        <v>36.026400000000002</v>
      </c>
      <c r="AD21" s="12">
        <v>37.416800000000002</v>
      </c>
      <c r="AE21" s="12">
        <v>36.369999999999997</v>
      </c>
      <c r="AF21" s="12">
        <v>49.895400000000002</v>
      </c>
      <c r="AG21" s="12">
        <v>49.0822</v>
      </c>
      <c r="AH21" s="12">
        <v>37.723999999999997</v>
      </c>
      <c r="AI21" s="12">
        <v>35.753</v>
      </c>
      <c r="AJ21" s="12"/>
      <c r="AK21" s="12">
        <f t="shared" si="6"/>
        <v>47.549900000000093</v>
      </c>
      <c r="AL21" s="12"/>
      <c r="AM21" s="12"/>
      <c r="AN21" s="12"/>
      <c r="AO21" s="12"/>
      <c r="AP21" s="12"/>
      <c r="AQ21" s="12"/>
    </row>
    <row r="22" spans="1:43" x14ac:dyDescent="0.25">
      <c r="A22" s="12" t="s">
        <v>61</v>
      </c>
      <c r="B22" s="12" t="s">
        <v>40</v>
      </c>
      <c r="C22" s="12">
        <v>226.63399999999999</v>
      </c>
      <c r="D22" s="12">
        <v>965.93399999999997</v>
      </c>
      <c r="E22" s="12">
        <v>448.74900000000002</v>
      </c>
      <c r="F22" s="12">
        <v>689.83900000000006</v>
      </c>
      <c r="G22" s="13">
        <v>1</v>
      </c>
      <c r="H22" s="12">
        <v>70</v>
      </c>
      <c r="I22" s="7" t="s">
        <v>52</v>
      </c>
      <c r="J22" s="12"/>
      <c r="K22" s="12">
        <v>443.64499999999998</v>
      </c>
      <c r="L22" s="12">
        <f t="shared" si="2"/>
        <v>5.1040000000000418</v>
      </c>
      <c r="M22" s="12"/>
      <c r="N22" s="12"/>
      <c r="O22" s="12">
        <v>268.93650000000002</v>
      </c>
      <c r="P22" s="12"/>
      <c r="Q22" s="12"/>
      <c r="R22" s="12">
        <v>400</v>
      </c>
      <c r="S22" s="12"/>
      <c r="T22" s="12"/>
      <c r="U22" s="12">
        <v>200</v>
      </c>
      <c r="V22" s="12">
        <f t="shared" si="3"/>
        <v>89.749800000000008</v>
      </c>
      <c r="W22" s="4"/>
      <c r="X22" s="12">
        <f t="shared" si="4"/>
        <v>17.368010847935039</v>
      </c>
      <c r="Y22" s="12">
        <f t="shared" si="5"/>
        <v>17.368010847935039</v>
      </c>
      <c r="Z22" s="12">
        <v>107.6352</v>
      </c>
      <c r="AA22" s="12">
        <v>111.0834</v>
      </c>
      <c r="AB22" s="12">
        <v>83.725200000000001</v>
      </c>
      <c r="AC22" s="12">
        <v>68.192800000000005</v>
      </c>
      <c r="AD22" s="12">
        <v>74.657200000000003</v>
      </c>
      <c r="AE22" s="12">
        <v>76.412599999999998</v>
      </c>
      <c r="AF22" s="12">
        <v>86.384199999999993</v>
      </c>
      <c r="AG22" s="12">
        <v>84.844200000000001</v>
      </c>
      <c r="AH22" s="12">
        <v>79.9756</v>
      </c>
      <c r="AI22" s="12">
        <v>79.880200000000002</v>
      </c>
      <c r="AJ22" s="12" t="s">
        <v>62</v>
      </c>
      <c r="AK22" s="12">
        <f t="shared" si="6"/>
        <v>0</v>
      </c>
      <c r="AL22" s="12"/>
      <c r="AM22" s="12"/>
      <c r="AN22" s="12"/>
      <c r="AO22" s="12"/>
      <c r="AP22" s="12"/>
      <c r="AQ22" s="12"/>
    </row>
    <row r="23" spans="1:43" x14ac:dyDescent="0.25">
      <c r="A23" s="8" t="s">
        <v>63</v>
      </c>
      <c r="B23" s="8" t="s">
        <v>40</v>
      </c>
      <c r="C23" s="8"/>
      <c r="D23" s="8"/>
      <c r="E23" s="8"/>
      <c r="F23" s="8"/>
      <c r="G23" s="9">
        <v>0</v>
      </c>
      <c r="H23" s="8"/>
      <c r="I23" s="8" t="s">
        <v>41</v>
      </c>
      <c r="J23" s="8"/>
      <c r="K23" s="8"/>
      <c r="L23" s="8">
        <f t="shared" si="2"/>
        <v>0</v>
      </c>
      <c r="M23" s="8"/>
      <c r="N23" s="8"/>
      <c r="O23" s="8"/>
      <c r="P23" s="8"/>
      <c r="Q23" s="8"/>
      <c r="R23" s="8">
        <v>0</v>
      </c>
      <c r="S23" s="8"/>
      <c r="T23" s="8"/>
      <c r="U23" s="8"/>
      <c r="V23" s="8">
        <f t="shared" si="3"/>
        <v>0</v>
      </c>
      <c r="W23" s="10"/>
      <c r="X23" s="8" t="e">
        <f t="shared" si="4"/>
        <v>#DIV/0!</v>
      </c>
      <c r="Y23" s="8" t="e">
        <f t="shared" si="5"/>
        <v>#DIV/0!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 t="s">
        <v>46</v>
      </c>
      <c r="AK23" s="8"/>
      <c r="AL23" s="12"/>
      <c r="AM23" s="12"/>
      <c r="AN23" s="12"/>
      <c r="AO23" s="12"/>
      <c r="AP23" s="12"/>
      <c r="AQ23" s="12"/>
    </row>
    <row r="24" spans="1:43" x14ac:dyDescent="0.25">
      <c r="A24" s="12" t="s">
        <v>64</v>
      </c>
      <c r="B24" s="12" t="s">
        <v>40</v>
      </c>
      <c r="C24" s="12">
        <v>301.48599999999999</v>
      </c>
      <c r="D24" s="12">
        <v>1440.085</v>
      </c>
      <c r="E24" s="12">
        <v>701.40700000000004</v>
      </c>
      <c r="F24" s="12">
        <v>985.53899999999999</v>
      </c>
      <c r="G24" s="13">
        <v>1</v>
      </c>
      <c r="H24" s="12">
        <v>70</v>
      </c>
      <c r="I24" s="7" t="s">
        <v>52</v>
      </c>
      <c r="J24" s="12"/>
      <c r="K24" s="12">
        <v>682.70500000000004</v>
      </c>
      <c r="L24" s="12">
        <f t="shared" si="2"/>
        <v>18.701999999999998</v>
      </c>
      <c r="M24" s="12"/>
      <c r="N24" s="12"/>
      <c r="O24" s="12">
        <v>159.522143</v>
      </c>
      <c r="P24" s="12"/>
      <c r="Q24" s="12"/>
      <c r="R24" s="12">
        <v>500</v>
      </c>
      <c r="S24" s="12"/>
      <c r="T24" s="12"/>
      <c r="U24" s="12">
        <v>150</v>
      </c>
      <c r="V24" s="12">
        <f t="shared" si="3"/>
        <v>140.28140000000002</v>
      </c>
      <c r="W24" s="4"/>
      <c r="X24" s="12">
        <f t="shared" si="4"/>
        <v>12.796145055581137</v>
      </c>
      <c r="Y24" s="12">
        <f t="shared" si="5"/>
        <v>12.796145055581137</v>
      </c>
      <c r="Z24" s="12">
        <v>155.126</v>
      </c>
      <c r="AA24" s="12">
        <v>164.63640000000001</v>
      </c>
      <c r="AB24" s="12">
        <v>125.02379999999999</v>
      </c>
      <c r="AC24" s="12">
        <v>109.46899999999999</v>
      </c>
      <c r="AD24" s="12">
        <v>119.8348</v>
      </c>
      <c r="AE24" s="12">
        <v>117.5896</v>
      </c>
      <c r="AF24" s="12">
        <v>135.84819999999999</v>
      </c>
      <c r="AG24" s="12">
        <v>138.06559999999999</v>
      </c>
      <c r="AH24" s="12">
        <v>123.43040000000001</v>
      </c>
      <c r="AI24" s="12">
        <v>120.05240000000001</v>
      </c>
      <c r="AJ24" s="12" t="s">
        <v>62</v>
      </c>
      <c r="AK24" s="12">
        <f t="shared" ref="AK24:AK29" si="7">G24*W24</f>
        <v>0</v>
      </c>
      <c r="AL24" s="12"/>
      <c r="AM24" s="12"/>
      <c r="AN24" s="12"/>
      <c r="AO24" s="12"/>
      <c r="AP24" s="12"/>
      <c r="AQ24" s="12"/>
    </row>
    <row r="25" spans="1:43" x14ac:dyDescent="0.25">
      <c r="A25" s="12" t="s">
        <v>65</v>
      </c>
      <c r="B25" s="12" t="s">
        <v>40</v>
      </c>
      <c r="C25" s="12">
        <v>70.548000000000002</v>
      </c>
      <c r="D25" s="12">
        <v>125.274</v>
      </c>
      <c r="E25" s="12">
        <v>150.965</v>
      </c>
      <c r="F25" s="12">
        <v>43.414999999999999</v>
      </c>
      <c r="G25" s="13">
        <v>1</v>
      </c>
      <c r="H25" s="12">
        <v>40</v>
      </c>
      <c r="I25" s="7" t="s">
        <v>52</v>
      </c>
      <c r="J25" s="12"/>
      <c r="K25" s="12">
        <v>147.35</v>
      </c>
      <c r="L25" s="12">
        <f t="shared" si="2"/>
        <v>3.6150000000000091</v>
      </c>
      <c r="M25" s="12"/>
      <c r="N25" s="12"/>
      <c r="O25" s="12"/>
      <c r="P25" s="12"/>
      <c r="Q25" s="12"/>
      <c r="R25" s="12">
        <v>120</v>
      </c>
      <c r="S25" s="12"/>
      <c r="T25" s="12"/>
      <c r="U25" s="12"/>
      <c r="V25" s="12">
        <f t="shared" si="3"/>
        <v>30.193000000000001</v>
      </c>
      <c r="W25" s="4">
        <f>11*V25-U25-T25-S25-R25-Q25-P25-O25-F25</f>
        <v>168.708</v>
      </c>
      <c r="X25" s="12">
        <f t="shared" si="4"/>
        <v>11</v>
      </c>
      <c r="Y25" s="12">
        <f t="shared" si="5"/>
        <v>5.412347232802305</v>
      </c>
      <c r="Z25" s="12">
        <v>20.341200000000001</v>
      </c>
      <c r="AA25" s="12">
        <v>17.2774</v>
      </c>
      <c r="AB25" s="12">
        <v>12.4376</v>
      </c>
      <c r="AC25" s="12">
        <v>11.840400000000001</v>
      </c>
      <c r="AD25" s="12">
        <v>19.3386</v>
      </c>
      <c r="AE25" s="12">
        <v>18.895199999999999</v>
      </c>
      <c r="AF25" s="12">
        <v>31.544799999999999</v>
      </c>
      <c r="AG25" s="12">
        <v>30.824200000000001</v>
      </c>
      <c r="AH25" s="12">
        <v>25.345600000000001</v>
      </c>
      <c r="AI25" s="12">
        <v>25.345600000000001</v>
      </c>
      <c r="AJ25" s="12"/>
      <c r="AK25" s="12">
        <f t="shared" si="7"/>
        <v>168.708</v>
      </c>
      <c r="AL25" s="12"/>
      <c r="AM25" s="12"/>
      <c r="AN25" s="12"/>
      <c r="AO25" s="12"/>
      <c r="AP25" s="12"/>
      <c r="AQ25" s="12"/>
    </row>
    <row r="26" spans="1:43" x14ac:dyDescent="0.25">
      <c r="A26" s="12" t="s">
        <v>66</v>
      </c>
      <c r="B26" s="12" t="s">
        <v>40</v>
      </c>
      <c r="C26" s="12">
        <v>-0.60299999999999998</v>
      </c>
      <c r="D26" s="12">
        <v>333.72800000000001</v>
      </c>
      <c r="E26" s="12">
        <v>166.34899999999999</v>
      </c>
      <c r="F26" s="12">
        <v>117.155</v>
      </c>
      <c r="G26" s="13">
        <v>1</v>
      </c>
      <c r="H26" s="12">
        <v>30</v>
      </c>
      <c r="I26" s="7" t="s">
        <v>52</v>
      </c>
      <c r="J26" s="12"/>
      <c r="K26" s="12">
        <v>184.3</v>
      </c>
      <c r="L26" s="12">
        <f t="shared" si="2"/>
        <v>-17.951000000000022</v>
      </c>
      <c r="M26" s="12"/>
      <c r="N26" s="12"/>
      <c r="O26" s="12">
        <v>14.51649999999999</v>
      </c>
      <c r="P26" s="12"/>
      <c r="Q26" s="12"/>
      <c r="R26" s="12">
        <v>100</v>
      </c>
      <c r="S26" s="12"/>
      <c r="T26" s="12"/>
      <c r="U26" s="12">
        <v>50</v>
      </c>
      <c r="V26" s="12">
        <f t="shared" si="3"/>
        <v>33.269799999999996</v>
      </c>
      <c r="W26" s="4">
        <f>11*V26-U26-T26-S26-R26-Q26-P26-O26-F26</f>
        <v>84.296299999999974</v>
      </c>
      <c r="X26" s="12">
        <f t="shared" si="4"/>
        <v>11</v>
      </c>
      <c r="Y26" s="12">
        <f t="shared" si="5"/>
        <v>8.4662817329830666</v>
      </c>
      <c r="Z26" s="12">
        <v>13.7828</v>
      </c>
      <c r="AA26" s="12">
        <v>31.713999999999999</v>
      </c>
      <c r="AB26" s="12">
        <v>56.964200000000012</v>
      </c>
      <c r="AC26" s="12">
        <v>51.535799999999988</v>
      </c>
      <c r="AD26" s="12">
        <v>64.481399999999994</v>
      </c>
      <c r="AE26" s="12">
        <v>63.1462</v>
      </c>
      <c r="AF26" s="12">
        <v>55.573599999999999</v>
      </c>
      <c r="AG26" s="12">
        <v>57.696000000000012</v>
      </c>
      <c r="AH26" s="12">
        <v>53.5364</v>
      </c>
      <c r="AI26" s="12">
        <v>46.989400000000003</v>
      </c>
      <c r="AJ26" s="12"/>
      <c r="AK26" s="12">
        <f t="shared" si="7"/>
        <v>84.296299999999974</v>
      </c>
      <c r="AL26" s="12"/>
      <c r="AM26" s="12"/>
      <c r="AN26" s="12"/>
      <c r="AO26" s="12"/>
      <c r="AP26" s="12"/>
      <c r="AQ26" s="12"/>
    </row>
    <row r="27" spans="1:43" x14ac:dyDescent="0.25">
      <c r="A27" s="12" t="s">
        <v>67</v>
      </c>
      <c r="B27" s="12" t="s">
        <v>40</v>
      </c>
      <c r="C27" s="12"/>
      <c r="D27" s="12">
        <v>342.48</v>
      </c>
      <c r="E27" s="12">
        <v>113.61199999999999</v>
      </c>
      <c r="F27" s="12">
        <v>193.57499999999999</v>
      </c>
      <c r="G27" s="13">
        <v>1</v>
      </c>
      <c r="H27" s="12">
        <v>40</v>
      </c>
      <c r="I27" s="7" t="s">
        <v>52</v>
      </c>
      <c r="J27" s="12"/>
      <c r="K27" s="12">
        <v>123.9</v>
      </c>
      <c r="L27" s="12">
        <f t="shared" si="2"/>
        <v>-10.288000000000011</v>
      </c>
      <c r="M27" s="12"/>
      <c r="N27" s="12"/>
      <c r="O27" s="12"/>
      <c r="P27" s="12"/>
      <c r="Q27" s="12"/>
      <c r="R27" s="12">
        <v>100</v>
      </c>
      <c r="S27" s="12"/>
      <c r="T27" s="12"/>
      <c r="U27" s="12">
        <v>50</v>
      </c>
      <c r="V27" s="12">
        <f t="shared" si="3"/>
        <v>22.7224</v>
      </c>
      <c r="W27" s="4">
        <v>20</v>
      </c>
      <c r="X27" s="12">
        <f t="shared" si="4"/>
        <v>16.000730556631343</v>
      </c>
      <c r="Y27" s="12">
        <f t="shared" si="5"/>
        <v>15.12054184417139</v>
      </c>
      <c r="Z27" s="12">
        <v>6.7043999999999997</v>
      </c>
      <c r="AA27" s="12">
        <v>-0.26340000000000002</v>
      </c>
      <c r="AB27" s="12">
        <v>-0.60759999999999992</v>
      </c>
      <c r="AC27" s="12">
        <v>-1.0568</v>
      </c>
      <c r="AD27" s="12">
        <v>-1.4947999999999999</v>
      </c>
      <c r="AE27" s="12">
        <v>-1.6392</v>
      </c>
      <c r="AF27" s="12">
        <v>-1.9690000000000001</v>
      </c>
      <c r="AG27" s="12">
        <v>-1.5426</v>
      </c>
      <c r="AH27" s="12">
        <v>0.627</v>
      </c>
      <c r="AI27" s="12">
        <v>13.4148</v>
      </c>
      <c r="AJ27" s="12"/>
      <c r="AK27" s="12">
        <f t="shared" si="7"/>
        <v>20</v>
      </c>
      <c r="AL27" s="12"/>
      <c r="AM27" s="12"/>
      <c r="AN27" s="12"/>
      <c r="AO27" s="12"/>
      <c r="AP27" s="12"/>
      <c r="AQ27" s="12"/>
    </row>
    <row r="28" spans="1:43" x14ac:dyDescent="0.25">
      <c r="A28" s="12" t="s">
        <v>68</v>
      </c>
      <c r="B28" s="12" t="s">
        <v>40</v>
      </c>
      <c r="C28" s="12">
        <v>2352.1860000000001</v>
      </c>
      <c r="D28" s="12">
        <v>635.57299999999998</v>
      </c>
      <c r="E28" s="12">
        <v>1584.7729999999999</v>
      </c>
      <c r="F28" s="12">
        <v>1172.2360000000001</v>
      </c>
      <c r="G28" s="13">
        <v>1</v>
      </c>
      <c r="H28" s="12">
        <v>30</v>
      </c>
      <c r="I28" s="7" t="s">
        <v>52</v>
      </c>
      <c r="J28" s="12"/>
      <c r="K28" s="12">
        <v>1596.4649999999999</v>
      </c>
      <c r="L28" s="12">
        <f t="shared" si="2"/>
        <v>-11.692000000000007</v>
      </c>
      <c r="M28" s="12"/>
      <c r="N28" s="12"/>
      <c r="O28" s="12">
        <v>310.7944</v>
      </c>
      <c r="P28" s="12"/>
      <c r="Q28" s="12"/>
      <c r="R28" s="12">
        <v>681.54480000000012</v>
      </c>
      <c r="S28" s="12"/>
      <c r="T28" s="12"/>
      <c r="U28" s="12"/>
      <c r="V28" s="12">
        <f t="shared" si="3"/>
        <v>316.95459999999997</v>
      </c>
      <c r="W28" s="4">
        <f>10*V28-U28-T28-S28-R28-Q28-P28-O28-F28</f>
        <v>1004.9707999999998</v>
      </c>
      <c r="X28" s="12">
        <f t="shared" si="4"/>
        <v>10.000000000000002</v>
      </c>
      <c r="Y28" s="12">
        <f t="shared" si="5"/>
        <v>6.8292910088700411</v>
      </c>
      <c r="Z28" s="12">
        <v>308.58339999999998</v>
      </c>
      <c r="AA28" s="12">
        <v>309.00920000000002</v>
      </c>
      <c r="AB28" s="12">
        <v>309.85000000000002</v>
      </c>
      <c r="AC28" s="12">
        <v>343.67439999999999</v>
      </c>
      <c r="AD28" s="12">
        <v>383.32839999999999</v>
      </c>
      <c r="AE28" s="12">
        <v>403.56360000000001</v>
      </c>
      <c r="AF28" s="12">
        <v>375.65600000000001</v>
      </c>
      <c r="AG28" s="12">
        <v>362.08580000000001</v>
      </c>
      <c r="AH28" s="12">
        <v>409.18340000000001</v>
      </c>
      <c r="AI28" s="12">
        <v>406.64479999999998</v>
      </c>
      <c r="AJ28" s="12" t="s">
        <v>49</v>
      </c>
      <c r="AK28" s="12">
        <f t="shared" si="7"/>
        <v>1004.9707999999998</v>
      </c>
      <c r="AL28" s="12"/>
      <c r="AM28" s="12"/>
      <c r="AN28" s="12"/>
      <c r="AO28" s="12"/>
      <c r="AP28" s="12"/>
      <c r="AQ28" s="12"/>
    </row>
    <row r="29" spans="1:43" x14ac:dyDescent="0.25">
      <c r="A29" s="12" t="s">
        <v>69</v>
      </c>
      <c r="B29" s="12" t="s">
        <v>40</v>
      </c>
      <c r="C29" s="12">
        <v>1102.02</v>
      </c>
      <c r="D29" s="12">
        <v>1830.1669999999999</v>
      </c>
      <c r="E29" s="12">
        <v>1907.2449999999999</v>
      </c>
      <c r="F29" s="12">
        <v>808.51199999999994</v>
      </c>
      <c r="G29" s="13">
        <v>1</v>
      </c>
      <c r="H29" s="12">
        <v>40</v>
      </c>
      <c r="I29" s="7" t="s">
        <v>52</v>
      </c>
      <c r="J29" s="12"/>
      <c r="K29" s="12">
        <v>1950</v>
      </c>
      <c r="L29" s="12">
        <f t="shared" si="2"/>
        <v>-42.755000000000109</v>
      </c>
      <c r="M29" s="12"/>
      <c r="N29" s="12"/>
      <c r="O29" s="12">
        <v>1000</v>
      </c>
      <c r="P29" s="12"/>
      <c r="Q29" s="12"/>
      <c r="R29" s="12">
        <v>1200</v>
      </c>
      <c r="S29" s="12"/>
      <c r="T29" s="12"/>
      <c r="U29" s="12">
        <v>500</v>
      </c>
      <c r="V29" s="12">
        <f t="shared" si="3"/>
        <v>381.44899999999996</v>
      </c>
      <c r="W29" s="4">
        <f>11*V29-U29-T29-S29-R29-Q29-P29-O29-F29</f>
        <v>687.42699999999945</v>
      </c>
      <c r="X29" s="12">
        <f t="shared" si="4"/>
        <v>11</v>
      </c>
      <c r="Y29" s="12">
        <f t="shared" si="5"/>
        <v>9.1978534482984617</v>
      </c>
      <c r="Z29" s="12">
        <v>488.75020000000012</v>
      </c>
      <c r="AA29" s="12">
        <v>422.90960000000001</v>
      </c>
      <c r="AB29" s="12">
        <v>262.32420000000002</v>
      </c>
      <c r="AC29" s="12">
        <v>321.25979999999998</v>
      </c>
      <c r="AD29" s="12">
        <v>287.47000000000003</v>
      </c>
      <c r="AE29" s="12">
        <v>116.49420000000001</v>
      </c>
      <c r="AF29" s="12">
        <v>-1.4292</v>
      </c>
      <c r="AG29" s="12">
        <v>-0.58739999999999992</v>
      </c>
      <c r="AH29" s="12">
        <v>-0.2024</v>
      </c>
      <c r="AI29" s="12">
        <v>-0.22040000000000001</v>
      </c>
      <c r="AJ29" s="12" t="s">
        <v>49</v>
      </c>
      <c r="AK29" s="12">
        <f t="shared" si="7"/>
        <v>687.42699999999945</v>
      </c>
      <c r="AL29" s="12"/>
      <c r="AM29" s="12"/>
      <c r="AN29" s="12"/>
      <c r="AO29" s="12"/>
      <c r="AP29" s="12"/>
      <c r="AQ29" s="12"/>
    </row>
    <row r="30" spans="1:43" x14ac:dyDescent="0.25">
      <c r="A30" s="8" t="s">
        <v>70</v>
      </c>
      <c r="B30" s="8" t="s">
        <v>40</v>
      </c>
      <c r="C30" s="8"/>
      <c r="D30" s="8"/>
      <c r="E30" s="8"/>
      <c r="F30" s="8"/>
      <c r="G30" s="9">
        <v>0</v>
      </c>
      <c r="H30" s="8"/>
      <c r="I30" s="8" t="s">
        <v>41</v>
      </c>
      <c r="J30" s="8"/>
      <c r="K30" s="8"/>
      <c r="L30" s="8">
        <f t="shared" si="2"/>
        <v>0</v>
      </c>
      <c r="M30" s="8"/>
      <c r="N30" s="8"/>
      <c r="O30" s="8"/>
      <c r="P30" s="8"/>
      <c r="Q30" s="8"/>
      <c r="R30" s="8">
        <v>0</v>
      </c>
      <c r="S30" s="8"/>
      <c r="T30" s="8"/>
      <c r="U30" s="8"/>
      <c r="V30" s="8">
        <f t="shared" si="3"/>
        <v>0</v>
      </c>
      <c r="W30" s="10"/>
      <c r="X30" s="8" t="e">
        <f t="shared" si="4"/>
        <v>#DIV/0!</v>
      </c>
      <c r="Y30" s="8" t="e">
        <f t="shared" si="5"/>
        <v>#DIV/0!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 t="s">
        <v>46</v>
      </c>
      <c r="AK30" s="8"/>
      <c r="AL30" s="12"/>
      <c r="AM30" s="12"/>
      <c r="AN30" s="12"/>
      <c r="AO30" s="12"/>
      <c r="AP30" s="12"/>
      <c r="AQ30" s="12"/>
    </row>
    <row r="31" spans="1:43" x14ac:dyDescent="0.25">
      <c r="A31" s="12" t="s">
        <v>71</v>
      </c>
      <c r="B31" s="12" t="s">
        <v>40</v>
      </c>
      <c r="C31" s="12">
        <v>72.057000000000002</v>
      </c>
      <c r="D31" s="12">
        <v>436.94200000000001</v>
      </c>
      <c r="E31" s="12">
        <v>185.755</v>
      </c>
      <c r="F31" s="12">
        <v>267.21300000000002</v>
      </c>
      <c r="G31" s="13">
        <v>1</v>
      </c>
      <c r="H31" s="12">
        <v>30</v>
      </c>
      <c r="I31" s="12" t="s">
        <v>41</v>
      </c>
      <c r="J31" s="12"/>
      <c r="K31" s="12">
        <v>197.9</v>
      </c>
      <c r="L31" s="12">
        <f t="shared" si="2"/>
        <v>-12.14500000000001</v>
      </c>
      <c r="M31" s="12"/>
      <c r="N31" s="12"/>
      <c r="O31" s="12"/>
      <c r="P31" s="12"/>
      <c r="Q31" s="12"/>
      <c r="R31" s="12">
        <v>106.4879000000001</v>
      </c>
      <c r="S31" s="12"/>
      <c r="T31" s="12"/>
      <c r="U31" s="12"/>
      <c r="V31" s="12">
        <f t="shared" si="3"/>
        <v>37.150999999999996</v>
      </c>
      <c r="W31" s="4">
        <f>11*V31-U31-T31-S31-R31-Q31-P31-O31-F31</f>
        <v>34.960099999999841</v>
      </c>
      <c r="X31" s="12">
        <f t="shared" si="4"/>
        <v>11</v>
      </c>
      <c r="Y31" s="12">
        <f t="shared" si="5"/>
        <v>10.058972840569572</v>
      </c>
      <c r="Z31" s="12">
        <v>40.635000000000012</v>
      </c>
      <c r="AA31" s="12">
        <v>42.814599999999999</v>
      </c>
      <c r="AB31" s="12">
        <v>37.282200000000003</v>
      </c>
      <c r="AC31" s="12">
        <v>38.766399999999997</v>
      </c>
      <c r="AD31" s="12">
        <v>36.948799999999999</v>
      </c>
      <c r="AE31" s="12">
        <v>31.436399999999999</v>
      </c>
      <c r="AF31" s="12">
        <v>41.902799999999999</v>
      </c>
      <c r="AG31" s="12">
        <v>49.4908</v>
      </c>
      <c r="AH31" s="12">
        <v>47.421799999999998</v>
      </c>
      <c r="AI31" s="12">
        <v>41.256</v>
      </c>
      <c r="AJ31" s="12"/>
      <c r="AK31" s="12">
        <f>G31*W31</f>
        <v>34.960099999999841</v>
      </c>
      <c r="AL31" s="12"/>
      <c r="AM31" s="12"/>
      <c r="AN31" s="12"/>
      <c r="AO31" s="12"/>
      <c r="AP31" s="12"/>
      <c r="AQ31" s="12"/>
    </row>
    <row r="32" spans="1:43" x14ac:dyDescent="0.25">
      <c r="A32" s="8" t="s">
        <v>72</v>
      </c>
      <c r="B32" s="8" t="s">
        <v>40</v>
      </c>
      <c r="C32" s="8"/>
      <c r="D32" s="8"/>
      <c r="E32" s="8"/>
      <c r="F32" s="8"/>
      <c r="G32" s="9">
        <v>0</v>
      </c>
      <c r="H32" s="8"/>
      <c r="I32" s="8" t="s">
        <v>41</v>
      </c>
      <c r="J32" s="8"/>
      <c r="K32" s="8"/>
      <c r="L32" s="8">
        <f t="shared" si="2"/>
        <v>0</v>
      </c>
      <c r="M32" s="8"/>
      <c r="N32" s="8"/>
      <c r="O32" s="8"/>
      <c r="P32" s="8"/>
      <c r="Q32" s="8"/>
      <c r="R32" s="8">
        <v>0</v>
      </c>
      <c r="S32" s="8"/>
      <c r="T32" s="8"/>
      <c r="U32" s="8"/>
      <c r="V32" s="8">
        <f t="shared" si="3"/>
        <v>0</v>
      </c>
      <c r="W32" s="10"/>
      <c r="X32" s="8" t="e">
        <f t="shared" si="4"/>
        <v>#DIV/0!</v>
      </c>
      <c r="Y32" s="8" t="e">
        <f t="shared" si="5"/>
        <v>#DIV/0!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 t="s">
        <v>46</v>
      </c>
      <c r="AK32" s="8"/>
      <c r="AL32" s="12"/>
      <c r="AM32" s="12"/>
      <c r="AN32" s="12"/>
      <c r="AO32" s="12"/>
      <c r="AP32" s="12"/>
      <c r="AQ32" s="12"/>
    </row>
    <row r="33" spans="1:43" x14ac:dyDescent="0.25">
      <c r="A33" s="8" t="s">
        <v>73</v>
      </c>
      <c r="B33" s="8" t="s">
        <v>40</v>
      </c>
      <c r="C33" s="8"/>
      <c r="D33" s="8"/>
      <c r="E33" s="8"/>
      <c r="F33" s="8"/>
      <c r="G33" s="9">
        <v>0</v>
      </c>
      <c r="H33" s="8"/>
      <c r="I33" s="8" t="s">
        <v>41</v>
      </c>
      <c r="J33" s="8"/>
      <c r="K33" s="8"/>
      <c r="L33" s="8">
        <f t="shared" si="2"/>
        <v>0</v>
      </c>
      <c r="M33" s="8"/>
      <c r="N33" s="8"/>
      <c r="O33" s="8"/>
      <c r="P33" s="8"/>
      <c r="Q33" s="8"/>
      <c r="R33" s="8">
        <v>0</v>
      </c>
      <c r="S33" s="8"/>
      <c r="T33" s="8"/>
      <c r="U33" s="8"/>
      <c r="V33" s="8">
        <f t="shared" si="3"/>
        <v>0</v>
      </c>
      <c r="W33" s="10"/>
      <c r="X33" s="8" t="e">
        <f t="shared" si="4"/>
        <v>#DIV/0!</v>
      </c>
      <c r="Y33" s="8" t="e">
        <f t="shared" si="5"/>
        <v>#DIV/0!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 t="s">
        <v>46</v>
      </c>
      <c r="AK33" s="8"/>
      <c r="AL33" s="12"/>
      <c r="AM33" s="12"/>
      <c r="AN33" s="12"/>
      <c r="AO33" s="12"/>
      <c r="AP33" s="12"/>
      <c r="AQ33" s="12"/>
    </row>
    <row r="34" spans="1:43" x14ac:dyDescent="0.25">
      <c r="A34" s="12" t="s">
        <v>74</v>
      </c>
      <c r="B34" s="12" t="s">
        <v>45</v>
      </c>
      <c r="C34" s="12">
        <v>-13</v>
      </c>
      <c r="D34" s="12">
        <v>8224</v>
      </c>
      <c r="E34" s="12">
        <v>5610</v>
      </c>
      <c r="F34" s="12">
        <v>2132</v>
      </c>
      <c r="G34" s="13">
        <v>0.4</v>
      </c>
      <c r="H34" s="12">
        <v>45</v>
      </c>
      <c r="I34" s="7" t="s">
        <v>52</v>
      </c>
      <c r="J34" s="12"/>
      <c r="K34" s="12">
        <v>5658</v>
      </c>
      <c r="L34" s="12">
        <f t="shared" si="2"/>
        <v>-48</v>
      </c>
      <c r="M34" s="12"/>
      <c r="N34" s="12"/>
      <c r="O34" s="12">
        <v>1500</v>
      </c>
      <c r="P34" s="12"/>
      <c r="Q34" s="12"/>
      <c r="R34" s="12">
        <v>1800</v>
      </c>
      <c r="S34" s="12"/>
      <c r="T34" s="12"/>
      <c r="U34" s="12">
        <v>1600</v>
      </c>
      <c r="V34" s="12">
        <f t="shared" si="3"/>
        <v>1122</v>
      </c>
      <c r="W34" s="4">
        <v>4000</v>
      </c>
      <c r="X34" s="12">
        <f t="shared" si="4"/>
        <v>9.832442067736185</v>
      </c>
      <c r="Y34" s="12">
        <f t="shared" si="5"/>
        <v>6.2673796791443852</v>
      </c>
      <c r="Z34" s="12">
        <v>775</v>
      </c>
      <c r="AA34" s="12">
        <v>836.2</v>
      </c>
      <c r="AB34" s="12">
        <v>969.8</v>
      </c>
      <c r="AC34" s="12">
        <v>933.4</v>
      </c>
      <c r="AD34" s="12">
        <v>1078.5999999999999</v>
      </c>
      <c r="AE34" s="12">
        <v>761.4</v>
      </c>
      <c r="AF34" s="12">
        <v>350.6</v>
      </c>
      <c r="AG34" s="12">
        <v>627.6</v>
      </c>
      <c r="AH34" s="12">
        <v>957.4</v>
      </c>
      <c r="AI34" s="12">
        <v>972</v>
      </c>
      <c r="AJ34" s="12"/>
      <c r="AK34" s="12">
        <f t="shared" ref="AK34:AK65" si="8">G34*W34</f>
        <v>1600</v>
      </c>
      <c r="AL34" s="12"/>
      <c r="AM34" s="12"/>
      <c r="AN34" s="12"/>
      <c r="AO34" s="12"/>
      <c r="AP34" s="12"/>
      <c r="AQ34" s="12"/>
    </row>
    <row r="35" spans="1:43" x14ac:dyDescent="0.25">
      <c r="A35" s="12" t="s">
        <v>75</v>
      </c>
      <c r="B35" s="12" t="s">
        <v>45</v>
      </c>
      <c r="C35" s="12">
        <v>358</v>
      </c>
      <c r="D35" s="12">
        <v>710</v>
      </c>
      <c r="E35" s="12">
        <v>629</v>
      </c>
      <c r="F35" s="12">
        <v>370</v>
      </c>
      <c r="G35" s="13">
        <v>0.45</v>
      </c>
      <c r="H35" s="12">
        <v>50</v>
      </c>
      <c r="I35" s="12" t="s">
        <v>41</v>
      </c>
      <c r="J35" s="12"/>
      <c r="K35" s="12">
        <v>633</v>
      </c>
      <c r="L35" s="12">
        <f t="shared" si="2"/>
        <v>-4</v>
      </c>
      <c r="M35" s="12"/>
      <c r="N35" s="12"/>
      <c r="O35" s="12">
        <v>300</v>
      </c>
      <c r="P35" s="12"/>
      <c r="Q35" s="12"/>
      <c r="R35" s="12">
        <v>213.4</v>
      </c>
      <c r="S35" s="12"/>
      <c r="T35" s="12"/>
      <c r="U35" s="12">
        <v>336.6</v>
      </c>
      <c r="V35" s="12">
        <f t="shared" si="3"/>
        <v>125.8</v>
      </c>
      <c r="W35" s="4">
        <f>11*V35-U35-T35-S35-R35-Q35-P35-O35-F35</f>
        <v>163.79999999999984</v>
      </c>
      <c r="X35" s="12">
        <f t="shared" si="4"/>
        <v>10.999999999999998</v>
      </c>
      <c r="Y35" s="12">
        <f t="shared" si="5"/>
        <v>9.6979332273449916</v>
      </c>
      <c r="Z35" s="12">
        <v>125.6</v>
      </c>
      <c r="AA35" s="12">
        <v>116.8</v>
      </c>
      <c r="AB35" s="12">
        <v>77</v>
      </c>
      <c r="AC35" s="12">
        <v>84.6</v>
      </c>
      <c r="AD35" s="12">
        <v>90.2</v>
      </c>
      <c r="AE35" s="12">
        <v>85.2</v>
      </c>
      <c r="AF35" s="12">
        <v>96.8</v>
      </c>
      <c r="AG35" s="12">
        <v>99.2</v>
      </c>
      <c r="AH35" s="12">
        <v>105.4</v>
      </c>
      <c r="AI35" s="12">
        <v>102.8</v>
      </c>
      <c r="AJ35" s="12"/>
      <c r="AK35" s="12">
        <f t="shared" si="8"/>
        <v>73.709999999999937</v>
      </c>
      <c r="AL35" s="12"/>
      <c r="AM35" s="12"/>
      <c r="AN35" s="12"/>
      <c r="AO35" s="12"/>
      <c r="AP35" s="12"/>
      <c r="AQ35" s="12"/>
    </row>
    <row r="36" spans="1:43" x14ac:dyDescent="0.25">
      <c r="A36" s="12" t="s">
        <v>76</v>
      </c>
      <c r="B36" s="12" t="s">
        <v>45</v>
      </c>
      <c r="C36" s="12">
        <v>102</v>
      </c>
      <c r="D36" s="12">
        <v>1340</v>
      </c>
      <c r="E36" s="12">
        <v>926</v>
      </c>
      <c r="F36" s="12">
        <v>408</v>
      </c>
      <c r="G36" s="13">
        <v>0.4</v>
      </c>
      <c r="H36" s="12">
        <v>45</v>
      </c>
      <c r="I36" s="7" t="s">
        <v>52</v>
      </c>
      <c r="J36" s="12"/>
      <c r="K36" s="12">
        <v>1235</v>
      </c>
      <c r="L36" s="12">
        <f t="shared" si="2"/>
        <v>-309</v>
      </c>
      <c r="M36" s="12"/>
      <c r="N36" s="12"/>
      <c r="O36" s="12">
        <v>239.5</v>
      </c>
      <c r="P36" s="12"/>
      <c r="Q36" s="12"/>
      <c r="R36" s="12">
        <v>553.5</v>
      </c>
      <c r="S36" s="12"/>
      <c r="T36" s="12"/>
      <c r="U36" s="12">
        <v>300</v>
      </c>
      <c r="V36" s="12">
        <f t="shared" si="3"/>
        <v>185.2</v>
      </c>
      <c r="W36" s="4">
        <v>600</v>
      </c>
      <c r="X36" s="12">
        <f t="shared" si="4"/>
        <v>11.344492440604752</v>
      </c>
      <c r="Y36" s="12">
        <f t="shared" si="5"/>
        <v>8.1047516198704113</v>
      </c>
      <c r="Z36" s="12">
        <v>146</v>
      </c>
      <c r="AA36" s="12">
        <v>110.2</v>
      </c>
      <c r="AB36" s="12">
        <v>93.4</v>
      </c>
      <c r="AC36" s="12">
        <v>36</v>
      </c>
      <c r="AD36" s="12">
        <v>-0.6</v>
      </c>
      <c r="AE36" s="12">
        <v>-1.2</v>
      </c>
      <c r="AF36" s="12">
        <v>59</v>
      </c>
      <c r="AG36" s="12">
        <v>102.6</v>
      </c>
      <c r="AH36" s="12">
        <v>216.8</v>
      </c>
      <c r="AI36" s="12">
        <v>259</v>
      </c>
      <c r="AJ36" s="12"/>
      <c r="AK36" s="12">
        <f t="shared" si="8"/>
        <v>240</v>
      </c>
      <c r="AL36" s="12"/>
      <c r="AM36" s="12"/>
      <c r="AN36" s="12"/>
      <c r="AO36" s="12"/>
      <c r="AP36" s="12"/>
      <c r="AQ36" s="12"/>
    </row>
    <row r="37" spans="1:43" x14ac:dyDescent="0.25">
      <c r="A37" s="12" t="s">
        <v>77</v>
      </c>
      <c r="B37" s="12" t="s">
        <v>45</v>
      </c>
      <c r="C37" s="12"/>
      <c r="D37" s="12">
        <v>18</v>
      </c>
      <c r="E37" s="12">
        <v>14</v>
      </c>
      <c r="F37" s="12">
        <v>3</v>
      </c>
      <c r="G37" s="13">
        <v>0.4</v>
      </c>
      <c r="H37" s="12">
        <v>40</v>
      </c>
      <c r="I37" s="7" t="s">
        <v>52</v>
      </c>
      <c r="J37" s="12"/>
      <c r="K37" s="12">
        <v>39</v>
      </c>
      <c r="L37" s="12">
        <f t="shared" si="2"/>
        <v>-25</v>
      </c>
      <c r="M37" s="12"/>
      <c r="N37" s="12"/>
      <c r="O37" s="12"/>
      <c r="P37" s="12"/>
      <c r="Q37" s="12"/>
      <c r="R37" s="12">
        <v>20</v>
      </c>
      <c r="S37" s="12">
        <v>-24</v>
      </c>
      <c r="T37" s="12"/>
      <c r="U37" s="12"/>
      <c r="V37" s="12">
        <f t="shared" si="3"/>
        <v>2.8</v>
      </c>
      <c r="W37" s="4">
        <v>30</v>
      </c>
      <c r="X37" s="12">
        <f t="shared" si="4"/>
        <v>10.357142857142858</v>
      </c>
      <c r="Y37" s="12">
        <f t="shared" si="5"/>
        <v>-0.35714285714285715</v>
      </c>
      <c r="Z37" s="12">
        <v>1.4</v>
      </c>
      <c r="AA37" s="12">
        <v>0</v>
      </c>
      <c r="AB37" s="12">
        <v>0</v>
      </c>
      <c r="AC37" s="12">
        <v>-0.2</v>
      </c>
      <c r="AD37" s="12">
        <v>-0.4</v>
      </c>
      <c r="AE37" s="12">
        <v>-0.2</v>
      </c>
      <c r="AF37" s="12">
        <v>4.4000000000000004</v>
      </c>
      <c r="AG37" s="12">
        <v>7.2</v>
      </c>
      <c r="AH37" s="12">
        <v>3.8</v>
      </c>
      <c r="AI37" s="12">
        <v>2.6</v>
      </c>
      <c r="AJ37" s="12"/>
      <c r="AK37" s="12">
        <f t="shared" si="8"/>
        <v>12</v>
      </c>
      <c r="AL37" s="12"/>
      <c r="AM37" s="12"/>
      <c r="AN37" s="12"/>
      <c r="AO37" s="12"/>
      <c r="AP37" s="12"/>
      <c r="AQ37" s="12"/>
    </row>
    <row r="38" spans="1:43" x14ac:dyDescent="0.25">
      <c r="A38" s="12" t="s">
        <v>78</v>
      </c>
      <c r="B38" s="12" t="s">
        <v>40</v>
      </c>
      <c r="C38" s="12">
        <v>256.56099999999998</v>
      </c>
      <c r="D38" s="12">
        <v>248.66800000000001</v>
      </c>
      <c r="E38" s="12">
        <v>167.91499999999999</v>
      </c>
      <c r="F38" s="12">
        <v>317.00599999999997</v>
      </c>
      <c r="G38" s="13">
        <v>1</v>
      </c>
      <c r="H38" s="12">
        <v>45</v>
      </c>
      <c r="I38" s="7" t="s">
        <v>52</v>
      </c>
      <c r="J38" s="12"/>
      <c r="K38" s="12">
        <v>159.05000000000001</v>
      </c>
      <c r="L38" s="12">
        <f t="shared" ref="L38:L69" si="9">E38-K38</f>
        <v>8.8649999999999807</v>
      </c>
      <c r="M38" s="12"/>
      <c r="N38" s="12"/>
      <c r="O38" s="12">
        <v>19.302499999999991</v>
      </c>
      <c r="P38" s="12"/>
      <c r="Q38" s="12"/>
      <c r="R38" s="12">
        <v>19.56659999999999</v>
      </c>
      <c r="S38" s="12"/>
      <c r="T38" s="12"/>
      <c r="U38" s="12">
        <v>20</v>
      </c>
      <c r="V38" s="12">
        <f t="shared" ref="V38:V69" si="10">E38/5</f>
        <v>33.582999999999998</v>
      </c>
      <c r="W38" s="4">
        <v>20</v>
      </c>
      <c r="X38" s="12">
        <f t="shared" ref="X38:X69" si="11">(F38+O38+P38+Q38+R38+S38+T38+U38+W38)/V38</f>
        <v>11.78796117083048</v>
      </c>
      <c r="Y38" s="12">
        <f t="shared" ref="Y38:Y69" si="12">(F38+O38+P38+Q38+R38+S38+T38+U38)/V38</f>
        <v>11.192421761010035</v>
      </c>
      <c r="Z38" s="12">
        <v>38.2774</v>
      </c>
      <c r="AA38" s="12">
        <v>46.067599999999999</v>
      </c>
      <c r="AB38" s="12">
        <v>41.764200000000002</v>
      </c>
      <c r="AC38" s="12">
        <v>24.267199999999999</v>
      </c>
      <c r="AD38" s="12">
        <v>39.761800000000001</v>
      </c>
      <c r="AE38" s="12">
        <v>56.673800000000007</v>
      </c>
      <c r="AF38" s="12">
        <v>67.0672</v>
      </c>
      <c r="AG38" s="12">
        <v>44.9604</v>
      </c>
      <c r="AH38" s="12">
        <v>-1.5009999999999999</v>
      </c>
      <c r="AI38" s="12">
        <v>-2.0733999999999999</v>
      </c>
      <c r="AJ38" s="12"/>
      <c r="AK38" s="12">
        <f t="shared" si="8"/>
        <v>20</v>
      </c>
      <c r="AL38" s="12"/>
      <c r="AM38" s="12"/>
      <c r="AN38" s="12"/>
      <c r="AO38" s="12"/>
      <c r="AP38" s="12"/>
      <c r="AQ38" s="12"/>
    </row>
    <row r="39" spans="1:43" x14ac:dyDescent="0.25">
      <c r="A39" s="12" t="s">
        <v>79</v>
      </c>
      <c r="B39" s="12" t="s">
        <v>45</v>
      </c>
      <c r="C39" s="12">
        <v>967</v>
      </c>
      <c r="D39" s="12"/>
      <c r="E39" s="12">
        <v>493</v>
      </c>
      <c r="F39" s="12">
        <v>433</v>
      </c>
      <c r="G39" s="13">
        <v>0.1</v>
      </c>
      <c r="H39" s="12">
        <v>731</v>
      </c>
      <c r="I39" s="12" t="s">
        <v>41</v>
      </c>
      <c r="J39" s="12"/>
      <c r="K39" s="12">
        <v>493</v>
      </c>
      <c r="L39" s="12">
        <f t="shared" si="9"/>
        <v>0</v>
      </c>
      <c r="M39" s="12"/>
      <c r="N39" s="12"/>
      <c r="O39" s="12"/>
      <c r="P39" s="12"/>
      <c r="Q39" s="12"/>
      <c r="R39" s="12">
        <v>116.4</v>
      </c>
      <c r="S39" s="12"/>
      <c r="T39" s="12"/>
      <c r="U39" s="12">
        <v>183.6</v>
      </c>
      <c r="V39" s="12">
        <f t="shared" si="10"/>
        <v>98.6</v>
      </c>
      <c r="W39" s="4">
        <f>11*V39-U39-T39-S39-R39-Q39-P39-O39-F39</f>
        <v>351.59999999999991</v>
      </c>
      <c r="X39" s="12">
        <f t="shared" si="11"/>
        <v>11</v>
      </c>
      <c r="Y39" s="12">
        <f t="shared" si="12"/>
        <v>7.4340770791075057</v>
      </c>
      <c r="Z39" s="12">
        <v>79.8</v>
      </c>
      <c r="AA39" s="12">
        <v>76.2</v>
      </c>
      <c r="AB39" s="12">
        <v>56.2</v>
      </c>
      <c r="AC39" s="12">
        <v>57.4</v>
      </c>
      <c r="AD39" s="12">
        <v>85</v>
      </c>
      <c r="AE39" s="12">
        <v>79.8</v>
      </c>
      <c r="AF39" s="12">
        <v>65</v>
      </c>
      <c r="AG39" s="12">
        <v>62.8</v>
      </c>
      <c r="AH39" s="12">
        <v>64</v>
      </c>
      <c r="AI39" s="12">
        <v>69.2</v>
      </c>
      <c r="AJ39" s="12"/>
      <c r="AK39" s="12">
        <f t="shared" si="8"/>
        <v>35.159999999999989</v>
      </c>
      <c r="AL39" s="12"/>
      <c r="AM39" s="12"/>
      <c r="AN39" s="12"/>
      <c r="AO39" s="12"/>
      <c r="AP39" s="12"/>
      <c r="AQ39" s="12"/>
    </row>
    <row r="40" spans="1:43" x14ac:dyDescent="0.25">
      <c r="A40" s="12" t="s">
        <v>80</v>
      </c>
      <c r="B40" s="12" t="s">
        <v>45</v>
      </c>
      <c r="C40" s="12"/>
      <c r="D40" s="12">
        <v>146</v>
      </c>
      <c r="E40" s="12">
        <v>120</v>
      </c>
      <c r="F40" s="12">
        <v>18</v>
      </c>
      <c r="G40" s="13">
        <v>0.35</v>
      </c>
      <c r="H40" s="12">
        <v>40</v>
      </c>
      <c r="I40" s="7" t="s">
        <v>52</v>
      </c>
      <c r="J40" s="12"/>
      <c r="K40" s="12">
        <v>410</v>
      </c>
      <c r="L40" s="12">
        <f t="shared" si="9"/>
        <v>-290</v>
      </c>
      <c r="M40" s="12"/>
      <c r="N40" s="12"/>
      <c r="O40" s="12"/>
      <c r="P40" s="12"/>
      <c r="Q40" s="12"/>
      <c r="R40" s="12">
        <v>0</v>
      </c>
      <c r="S40" s="12"/>
      <c r="T40" s="12"/>
      <c r="U40" s="12"/>
      <c r="V40" s="12">
        <f t="shared" si="10"/>
        <v>24</v>
      </c>
      <c r="W40" s="4">
        <v>250</v>
      </c>
      <c r="X40" s="12">
        <f t="shared" si="11"/>
        <v>11.166666666666666</v>
      </c>
      <c r="Y40" s="12">
        <f t="shared" si="12"/>
        <v>0.75</v>
      </c>
      <c r="Z40" s="12">
        <v>8.8000000000000007</v>
      </c>
      <c r="AA40" s="12">
        <v>-1.8</v>
      </c>
      <c r="AB40" s="12">
        <v>-2</v>
      </c>
      <c r="AC40" s="12">
        <v>-2.4</v>
      </c>
      <c r="AD40" s="12">
        <v>-2</v>
      </c>
      <c r="AE40" s="12">
        <v>-1.8</v>
      </c>
      <c r="AF40" s="12">
        <v>-2.6</v>
      </c>
      <c r="AG40" s="12">
        <v>-2.8</v>
      </c>
      <c r="AH40" s="12">
        <v>-2.8</v>
      </c>
      <c r="AI40" s="12">
        <v>-3</v>
      </c>
      <c r="AJ40" s="12"/>
      <c r="AK40" s="12">
        <f t="shared" si="8"/>
        <v>87.5</v>
      </c>
      <c r="AL40" s="12"/>
      <c r="AM40" s="12"/>
      <c r="AN40" s="12"/>
      <c r="AO40" s="12"/>
      <c r="AP40" s="12"/>
      <c r="AQ40" s="12"/>
    </row>
    <row r="41" spans="1:43" x14ac:dyDescent="0.25">
      <c r="A41" s="12" t="s">
        <v>81</v>
      </c>
      <c r="B41" s="12" t="s">
        <v>40</v>
      </c>
      <c r="C41" s="12">
        <v>33.585000000000001</v>
      </c>
      <c r="D41" s="12">
        <v>148.185</v>
      </c>
      <c r="E41" s="12">
        <v>67.924000000000007</v>
      </c>
      <c r="F41" s="12">
        <v>100.723</v>
      </c>
      <c r="G41" s="13">
        <v>1</v>
      </c>
      <c r="H41" s="12">
        <v>40</v>
      </c>
      <c r="I41" s="7" t="s">
        <v>52</v>
      </c>
      <c r="J41" s="12"/>
      <c r="K41" s="12">
        <v>105.9</v>
      </c>
      <c r="L41" s="12">
        <f t="shared" si="9"/>
        <v>-37.975999999999999</v>
      </c>
      <c r="M41" s="12"/>
      <c r="N41" s="12"/>
      <c r="O41" s="12"/>
      <c r="P41" s="12"/>
      <c r="Q41" s="12"/>
      <c r="R41" s="12">
        <v>20</v>
      </c>
      <c r="S41" s="12"/>
      <c r="T41" s="12"/>
      <c r="U41" s="12">
        <v>20</v>
      </c>
      <c r="V41" s="12">
        <f t="shared" si="10"/>
        <v>13.584800000000001</v>
      </c>
      <c r="W41" s="4">
        <v>30</v>
      </c>
      <c r="X41" s="12">
        <f t="shared" si="11"/>
        <v>12.567207467169188</v>
      </c>
      <c r="Y41" s="12">
        <f t="shared" si="12"/>
        <v>10.358856957776338</v>
      </c>
      <c r="Z41" s="12">
        <v>8.2422000000000004</v>
      </c>
      <c r="AA41" s="12">
        <v>4.5888</v>
      </c>
      <c r="AB41" s="12">
        <v>5.1204000000000001</v>
      </c>
      <c r="AC41" s="12">
        <v>5.9737999999999998</v>
      </c>
      <c r="AD41" s="12">
        <v>5.5386000000000006</v>
      </c>
      <c r="AE41" s="12">
        <v>1.1628000000000001</v>
      </c>
      <c r="AF41" s="12">
        <v>8.4174000000000007</v>
      </c>
      <c r="AG41" s="12">
        <v>11.9122</v>
      </c>
      <c r="AH41" s="12">
        <v>8.8938000000000006</v>
      </c>
      <c r="AI41" s="12">
        <v>8.7584</v>
      </c>
      <c r="AJ41" s="12"/>
      <c r="AK41" s="12">
        <f t="shared" si="8"/>
        <v>30</v>
      </c>
      <c r="AL41" s="12"/>
      <c r="AM41" s="12"/>
      <c r="AN41" s="12"/>
      <c r="AO41" s="12"/>
      <c r="AP41" s="12"/>
      <c r="AQ41" s="12"/>
    </row>
    <row r="42" spans="1:43" x14ac:dyDescent="0.25">
      <c r="A42" s="12" t="s">
        <v>82</v>
      </c>
      <c r="B42" s="12" t="s">
        <v>45</v>
      </c>
      <c r="C42" s="12">
        <v>3</v>
      </c>
      <c r="D42" s="12">
        <v>522</v>
      </c>
      <c r="E42" s="12">
        <v>500</v>
      </c>
      <c r="F42" s="12">
        <v>8</v>
      </c>
      <c r="G42" s="13">
        <v>0.4</v>
      </c>
      <c r="H42" s="12">
        <v>40</v>
      </c>
      <c r="I42" s="7" t="s">
        <v>52</v>
      </c>
      <c r="J42" s="12"/>
      <c r="K42" s="12">
        <v>770</v>
      </c>
      <c r="L42" s="12">
        <f t="shared" si="9"/>
        <v>-270</v>
      </c>
      <c r="M42" s="12"/>
      <c r="N42" s="12"/>
      <c r="O42" s="12">
        <v>100</v>
      </c>
      <c r="P42" s="12"/>
      <c r="Q42" s="12"/>
      <c r="R42" s="12">
        <v>250</v>
      </c>
      <c r="S42" s="12"/>
      <c r="T42" s="12"/>
      <c r="U42" s="12">
        <v>150</v>
      </c>
      <c r="V42" s="12">
        <f t="shared" si="10"/>
        <v>100</v>
      </c>
      <c r="W42" s="4">
        <f>11*V42-U42-T42-S42-R42-Q42-P42-O42-F42</f>
        <v>592</v>
      </c>
      <c r="X42" s="12">
        <f t="shared" si="11"/>
        <v>11</v>
      </c>
      <c r="Y42" s="12">
        <f t="shared" si="12"/>
        <v>5.08</v>
      </c>
      <c r="Z42" s="12">
        <v>68.400000000000006</v>
      </c>
      <c r="AA42" s="12">
        <v>43.4</v>
      </c>
      <c r="AB42" s="12">
        <v>44.4</v>
      </c>
      <c r="AC42" s="12">
        <v>46.6</v>
      </c>
      <c r="AD42" s="12">
        <v>42.4</v>
      </c>
      <c r="AE42" s="12">
        <v>36.4</v>
      </c>
      <c r="AF42" s="12">
        <v>46.4</v>
      </c>
      <c r="AG42" s="12">
        <v>39.4</v>
      </c>
      <c r="AH42" s="12">
        <v>7</v>
      </c>
      <c r="AI42" s="12">
        <v>3</v>
      </c>
      <c r="AJ42" s="12"/>
      <c r="AK42" s="12">
        <f t="shared" si="8"/>
        <v>236.8</v>
      </c>
      <c r="AL42" s="12"/>
      <c r="AM42" s="12"/>
      <c r="AN42" s="12"/>
      <c r="AO42" s="12"/>
      <c r="AP42" s="12"/>
      <c r="AQ42" s="12"/>
    </row>
    <row r="43" spans="1:43" x14ac:dyDescent="0.25">
      <c r="A43" s="12" t="s">
        <v>83</v>
      </c>
      <c r="B43" s="12" t="s">
        <v>45</v>
      </c>
      <c r="C43" s="12">
        <v>55</v>
      </c>
      <c r="D43" s="12">
        <v>390</v>
      </c>
      <c r="E43" s="12">
        <v>215</v>
      </c>
      <c r="F43" s="12">
        <v>189</v>
      </c>
      <c r="G43" s="13">
        <v>0.4</v>
      </c>
      <c r="H43" s="12">
        <v>45</v>
      </c>
      <c r="I43" s="7" t="s">
        <v>52</v>
      </c>
      <c r="J43" s="12"/>
      <c r="K43" s="12">
        <v>431</v>
      </c>
      <c r="L43" s="12">
        <f t="shared" si="9"/>
        <v>-216</v>
      </c>
      <c r="M43" s="12"/>
      <c r="N43" s="12"/>
      <c r="O43" s="12">
        <v>153.5</v>
      </c>
      <c r="P43" s="12">
        <v>-156</v>
      </c>
      <c r="Q43" s="12"/>
      <c r="R43" s="12">
        <v>100</v>
      </c>
      <c r="S43" s="12"/>
      <c r="T43" s="12"/>
      <c r="U43" s="12">
        <v>100</v>
      </c>
      <c r="V43" s="12">
        <f t="shared" si="10"/>
        <v>43</v>
      </c>
      <c r="W43" s="4">
        <v>150</v>
      </c>
      <c r="X43" s="12">
        <f t="shared" si="11"/>
        <v>12.476744186046512</v>
      </c>
      <c r="Y43" s="12">
        <f t="shared" si="12"/>
        <v>8.9883720930232567</v>
      </c>
      <c r="Z43" s="12">
        <v>54.2</v>
      </c>
      <c r="AA43" s="12">
        <v>52</v>
      </c>
      <c r="AB43" s="12">
        <v>47.6</v>
      </c>
      <c r="AC43" s="12">
        <v>30.8</v>
      </c>
      <c r="AD43" s="12">
        <v>30.4</v>
      </c>
      <c r="AE43" s="12">
        <v>30.2</v>
      </c>
      <c r="AF43" s="12">
        <v>25.8</v>
      </c>
      <c r="AG43" s="12">
        <v>20.399999999999999</v>
      </c>
      <c r="AH43" s="12">
        <v>-0.8</v>
      </c>
      <c r="AI43" s="12">
        <v>23.6</v>
      </c>
      <c r="AJ43" s="12"/>
      <c r="AK43" s="12">
        <f t="shared" si="8"/>
        <v>60</v>
      </c>
      <c r="AL43" s="12"/>
      <c r="AM43" s="12"/>
      <c r="AN43" s="12"/>
      <c r="AO43" s="12"/>
      <c r="AP43" s="12"/>
      <c r="AQ43" s="12"/>
    </row>
    <row r="44" spans="1:43" x14ac:dyDescent="0.25">
      <c r="A44" s="12" t="s">
        <v>84</v>
      </c>
      <c r="B44" s="12" t="s">
        <v>40</v>
      </c>
      <c r="C44" s="12">
        <v>37.780999999999999</v>
      </c>
      <c r="D44" s="12">
        <v>331.62799999999999</v>
      </c>
      <c r="E44" s="12">
        <v>170.59899999999999</v>
      </c>
      <c r="F44" s="12">
        <v>162.98699999999999</v>
      </c>
      <c r="G44" s="13">
        <v>1</v>
      </c>
      <c r="H44" s="12">
        <v>40</v>
      </c>
      <c r="I44" s="7" t="s">
        <v>52</v>
      </c>
      <c r="J44" s="12"/>
      <c r="K44" s="12">
        <v>291.05</v>
      </c>
      <c r="L44" s="12">
        <f t="shared" si="9"/>
        <v>-120.45100000000002</v>
      </c>
      <c r="M44" s="12"/>
      <c r="N44" s="12"/>
      <c r="O44" s="12"/>
      <c r="P44" s="12"/>
      <c r="Q44" s="12"/>
      <c r="R44" s="12">
        <v>0</v>
      </c>
      <c r="S44" s="12"/>
      <c r="T44" s="12"/>
      <c r="U44" s="12"/>
      <c r="V44" s="12">
        <f t="shared" si="10"/>
        <v>34.119799999999998</v>
      </c>
      <c r="W44" s="4">
        <f>11*V44-U44-T44-S44-R44-Q44-P44-O44-F44</f>
        <v>212.33079999999998</v>
      </c>
      <c r="X44" s="12">
        <f t="shared" si="11"/>
        <v>11</v>
      </c>
      <c r="Y44" s="12">
        <f t="shared" si="12"/>
        <v>4.7769037333161393</v>
      </c>
      <c r="Z44" s="12">
        <v>15.690799999999999</v>
      </c>
      <c r="AA44" s="12">
        <v>19.270199999999999</v>
      </c>
      <c r="AB44" s="12">
        <v>22.2332</v>
      </c>
      <c r="AC44" s="12">
        <v>14.362</v>
      </c>
      <c r="AD44" s="12">
        <v>23.499600000000001</v>
      </c>
      <c r="AE44" s="12">
        <v>24.4682</v>
      </c>
      <c r="AF44" s="12">
        <v>21.0944</v>
      </c>
      <c r="AG44" s="12">
        <v>18.771799999999999</v>
      </c>
      <c r="AH44" s="12">
        <v>18.388999999999999</v>
      </c>
      <c r="AI44" s="12">
        <v>21.290800000000001</v>
      </c>
      <c r="AJ44" s="12"/>
      <c r="AK44" s="12">
        <f t="shared" si="8"/>
        <v>212.33079999999998</v>
      </c>
      <c r="AL44" s="12"/>
      <c r="AM44" s="12"/>
      <c r="AN44" s="12"/>
      <c r="AO44" s="12"/>
      <c r="AP44" s="12"/>
      <c r="AQ44" s="12"/>
    </row>
    <row r="45" spans="1:43" x14ac:dyDescent="0.25">
      <c r="A45" s="12" t="s">
        <v>85</v>
      </c>
      <c r="B45" s="12" t="s">
        <v>45</v>
      </c>
      <c r="C45" s="12">
        <v>137</v>
      </c>
      <c r="D45" s="12">
        <v>2109</v>
      </c>
      <c r="E45" s="12">
        <v>1350</v>
      </c>
      <c r="F45" s="12">
        <v>711</v>
      </c>
      <c r="G45" s="13">
        <v>0.35</v>
      </c>
      <c r="H45" s="12">
        <v>40</v>
      </c>
      <c r="I45" s="7" t="s">
        <v>52</v>
      </c>
      <c r="J45" s="12"/>
      <c r="K45" s="12">
        <v>1498</v>
      </c>
      <c r="L45" s="12">
        <f t="shared" si="9"/>
        <v>-148</v>
      </c>
      <c r="M45" s="12"/>
      <c r="N45" s="12"/>
      <c r="O45" s="12">
        <v>500</v>
      </c>
      <c r="P45" s="12"/>
      <c r="Q45" s="12"/>
      <c r="R45" s="12">
        <v>600</v>
      </c>
      <c r="S45" s="12">
        <v>-600</v>
      </c>
      <c r="T45" s="12"/>
      <c r="U45" s="12">
        <v>500</v>
      </c>
      <c r="V45" s="12">
        <f t="shared" si="10"/>
        <v>270</v>
      </c>
      <c r="W45" s="4">
        <f>11*V45-U45-T45-S45-R45-Q45-P45-O45-F45</f>
        <v>1259</v>
      </c>
      <c r="X45" s="12">
        <f t="shared" si="11"/>
        <v>11</v>
      </c>
      <c r="Y45" s="12">
        <f t="shared" si="12"/>
        <v>6.337037037037037</v>
      </c>
      <c r="Z45" s="12">
        <v>263.60000000000002</v>
      </c>
      <c r="AA45" s="12">
        <v>224.4</v>
      </c>
      <c r="AB45" s="12">
        <v>103.4</v>
      </c>
      <c r="AC45" s="12">
        <v>-5.6</v>
      </c>
      <c r="AD45" s="12">
        <v>122.6</v>
      </c>
      <c r="AE45" s="12">
        <v>238</v>
      </c>
      <c r="AF45" s="12">
        <v>305.39999999999998</v>
      </c>
      <c r="AG45" s="12">
        <v>276</v>
      </c>
      <c r="AH45" s="12">
        <v>231</v>
      </c>
      <c r="AI45" s="12">
        <v>229.8</v>
      </c>
      <c r="AJ45" s="12"/>
      <c r="AK45" s="12">
        <f t="shared" si="8"/>
        <v>440.65</v>
      </c>
      <c r="AL45" s="12"/>
      <c r="AM45" s="12"/>
      <c r="AN45" s="12"/>
      <c r="AO45" s="12"/>
      <c r="AP45" s="12"/>
      <c r="AQ45" s="12"/>
    </row>
    <row r="46" spans="1:43" x14ac:dyDescent="0.25">
      <c r="A46" s="12" t="s">
        <v>86</v>
      </c>
      <c r="B46" s="12" t="s">
        <v>45</v>
      </c>
      <c r="C46" s="12">
        <v>571</v>
      </c>
      <c r="D46" s="12">
        <v>1084</v>
      </c>
      <c r="E46" s="12">
        <v>768</v>
      </c>
      <c r="F46" s="12">
        <v>786</v>
      </c>
      <c r="G46" s="13">
        <v>0.4</v>
      </c>
      <c r="H46" s="12">
        <v>40</v>
      </c>
      <c r="I46" s="7" t="s">
        <v>52</v>
      </c>
      <c r="J46" s="12"/>
      <c r="K46" s="12">
        <v>792</v>
      </c>
      <c r="L46" s="12">
        <f t="shared" si="9"/>
        <v>-24</v>
      </c>
      <c r="M46" s="12"/>
      <c r="N46" s="12"/>
      <c r="O46" s="12">
        <v>300</v>
      </c>
      <c r="P46" s="12"/>
      <c r="Q46" s="12"/>
      <c r="R46" s="12">
        <v>400</v>
      </c>
      <c r="S46" s="12"/>
      <c r="T46" s="12"/>
      <c r="U46" s="12">
        <v>400</v>
      </c>
      <c r="V46" s="12">
        <f t="shared" si="10"/>
        <v>153.6</v>
      </c>
      <c r="W46" s="4">
        <v>150</v>
      </c>
      <c r="X46" s="12">
        <f t="shared" si="11"/>
        <v>13.255208333333334</v>
      </c>
      <c r="Y46" s="12">
        <f t="shared" si="12"/>
        <v>12.278645833333334</v>
      </c>
      <c r="Z46" s="12">
        <v>183.2</v>
      </c>
      <c r="AA46" s="12">
        <v>176.6</v>
      </c>
      <c r="AB46" s="12">
        <v>127.8</v>
      </c>
      <c r="AC46" s="12">
        <v>137.6</v>
      </c>
      <c r="AD46" s="12">
        <v>146</v>
      </c>
      <c r="AE46" s="12">
        <v>142.80000000000001</v>
      </c>
      <c r="AF46" s="12">
        <v>156.80000000000001</v>
      </c>
      <c r="AG46" s="12">
        <v>151.19999999999999</v>
      </c>
      <c r="AH46" s="12">
        <v>139.6</v>
      </c>
      <c r="AI46" s="12">
        <v>149</v>
      </c>
      <c r="AJ46" s="12"/>
      <c r="AK46" s="12">
        <f t="shared" si="8"/>
        <v>60</v>
      </c>
      <c r="AL46" s="12"/>
      <c r="AM46" s="12"/>
      <c r="AN46" s="12"/>
      <c r="AO46" s="12"/>
      <c r="AP46" s="12"/>
      <c r="AQ46" s="12"/>
    </row>
    <row r="47" spans="1:43" x14ac:dyDescent="0.25">
      <c r="A47" s="12" t="s">
        <v>87</v>
      </c>
      <c r="B47" s="12" t="s">
        <v>40</v>
      </c>
      <c r="C47" s="12">
        <v>691.55399999999997</v>
      </c>
      <c r="D47" s="12">
        <v>304.42500000000001</v>
      </c>
      <c r="E47" s="12">
        <v>472.60700000000003</v>
      </c>
      <c r="F47" s="12">
        <v>471.45600000000002</v>
      </c>
      <c r="G47" s="13">
        <v>1</v>
      </c>
      <c r="H47" s="12">
        <v>50</v>
      </c>
      <c r="I47" s="12" t="s">
        <v>41</v>
      </c>
      <c r="J47" s="12"/>
      <c r="K47" s="12">
        <v>481.15</v>
      </c>
      <c r="L47" s="12">
        <f t="shared" si="9"/>
        <v>-8.5429999999999495</v>
      </c>
      <c r="M47" s="12"/>
      <c r="N47" s="12"/>
      <c r="O47" s="12"/>
      <c r="P47" s="12"/>
      <c r="Q47" s="12"/>
      <c r="R47" s="12">
        <v>140.1024544</v>
      </c>
      <c r="S47" s="12"/>
      <c r="T47" s="12"/>
      <c r="U47" s="12">
        <v>220.98634559999991</v>
      </c>
      <c r="V47" s="12">
        <f t="shared" si="10"/>
        <v>94.5214</v>
      </c>
      <c r="W47" s="4">
        <f>11*V47-U47-T47-S47-R47-Q47-P47-O47-F47</f>
        <v>207.19060000000002</v>
      </c>
      <c r="X47" s="12">
        <f t="shared" si="11"/>
        <v>11</v>
      </c>
      <c r="Y47" s="12">
        <f t="shared" si="12"/>
        <v>8.8080032669850432</v>
      </c>
      <c r="Z47" s="12">
        <v>94.858399999999989</v>
      </c>
      <c r="AA47" s="12">
        <v>83.390799999999999</v>
      </c>
      <c r="AB47" s="12">
        <v>63.038800000000002</v>
      </c>
      <c r="AC47" s="12">
        <v>68.847400000000007</v>
      </c>
      <c r="AD47" s="12">
        <v>90.637199999999993</v>
      </c>
      <c r="AE47" s="12">
        <v>89.163399999999996</v>
      </c>
      <c r="AF47" s="12">
        <v>89.271799999999999</v>
      </c>
      <c r="AG47" s="12">
        <v>90.6524</v>
      </c>
      <c r="AH47" s="12">
        <v>74.56</v>
      </c>
      <c r="AI47" s="12">
        <v>74.037400000000005</v>
      </c>
      <c r="AJ47" s="12"/>
      <c r="AK47" s="12">
        <f t="shared" si="8"/>
        <v>207.19060000000002</v>
      </c>
      <c r="AL47" s="12"/>
      <c r="AM47" s="12"/>
      <c r="AN47" s="12"/>
      <c r="AO47" s="12"/>
      <c r="AP47" s="12"/>
      <c r="AQ47" s="12"/>
    </row>
    <row r="48" spans="1:43" x14ac:dyDescent="0.25">
      <c r="A48" s="12" t="s">
        <v>88</v>
      </c>
      <c r="B48" s="12" t="s">
        <v>40</v>
      </c>
      <c r="C48" s="12">
        <v>501.29500000000002</v>
      </c>
      <c r="D48" s="12">
        <v>829.46400000000006</v>
      </c>
      <c r="E48" s="12">
        <v>662.68299999999999</v>
      </c>
      <c r="F48" s="12">
        <v>611.12400000000002</v>
      </c>
      <c r="G48" s="13">
        <v>1</v>
      </c>
      <c r="H48" s="12">
        <v>50</v>
      </c>
      <c r="I48" s="12" t="s">
        <v>41</v>
      </c>
      <c r="J48" s="12"/>
      <c r="K48" s="12">
        <v>646.79999999999995</v>
      </c>
      <c r="L48" s="12">
        <f t="shared" si="9"/>
        <v>15.883000000000038</v>
      </c>
      <c r="M48" s="12"/>
      <c r="N48" s="12"/>
      <c r="O48" s="12">
        <v>258.80206070320003</v>
      </c>
      <c r="P48" s="12"/>
      <c r="Q48" s="12"/>
      <c r="R48" s="12">
        <v>232.8</v>
      </c>
      <c r="S48" s="12"/>
      <c r="T48" s="12"/>
      <c r="U48" s="12">
        <v>367.2</v>
      </c>
      <c r="V48" s="12">
        <f t="shared" si="10"/>
        <v>132.53659999999999</v>
      </c>
      <c r="W48" s="4"/>
      <c r="X48" s="12">
        <f t="shared" si="11"/>
        <v>11.090718040927564</v>
      </c>
      <c r="Y48" s="12">
        <f t="shared" si="12"/>
        <v>11.090718040927564</v>
      </c>
      <c r="Z48" s="12">
        <v>146.15979999999999</v>
      </c>
      <c r="AA48" s="12">
        <v>135.85380000000001</v>
      </c>
      <c r="AB48" s="12">
        <v>91.289000000000001</v>
      </c>
      <c r="AC48" s="12">
        <v>86.8</v>
      </c>
      <c r="AD48" s="12">
        <v>108.23560000000001</v>
      </c>
      <c r="AE48" s="12">
        <v>107.86839999999999</v>
      </c>
      <c r="AF48" s="12">
        <v>115.7372</v>
      </c>
      <c r="AG48" s="12">
        <v>120.2286</v>
      </c>
      <c r="AH48" s="12">
        <v>105.809</v>
      </c>
      <c r="AI48" s="12">
        <v>99.316400000000002</v>
      </c>
      <c r="AJ48" s="12"/>
      <c r="AK48" s="12">
        <f t="shared" si="8"/>
        <v>0</v>
      </c>
      <c r="AL48" s="12"/>
      <c r="AM48" s="12"/>
      <c r="AN48" s="12"/>
      <c r="AO48" s="12"/>
      <c r="AP48" s="12"/>
      <c r="AQ48" s="12"/>
    </row>
    <row r="49" spans="1:43" x14ac:dyDescent="0.25">
      <c r="A49" s="12" t="s">
        <v>89</v>
      </c>
      <c r="B49" s="12" t="s">
        <v>40</v>
      </c>
      <c r="C49" s="12"/>
      <c r="D49" s="12"/>
      <c r="E49" s="12"/>
      <c r="F49" s="12"/>
      <c r="G49" s="13">
        <v>1</v>
      </c>
      <c r="H49" s="12">
        <v>45</v>
      </c>
      <c r="I49" s="7" t="s">
        <v>52</v>
      </c>
      <c r="J49" s="12"/>
      <c r="K49" s="12">
        <v>1.3</v>
      </c>
      <c r="L49" s="12">
        <f t="shared" si="9"/>
        <v>-1.3</v>
      </c>
      <c r="M49" s="12"/>
      <c r="N49" s="12"/>
      <c r="O49" s="12"/>
      <c r="P49" s="12"/>
      <c r="Q49" s="12"/>
      <c r="R49" s="12">
        <v>20</v>
      </c>
      <c r="S49" s="12">
        <v>-27</v>
      </c>
      <c r="T49" s="12"/>
      <c r="U49" s="12">
        <v>20</v>
      </c>
      <c r="V49" s="12">
        <f t="shared" si="10"/>
        <v>0</v>
      </c>
      <c r="W49" s="4">
        <v>10</v>
      </c>
      <c r="X49" s="12" t="e">
        <f t="shared" si="11"/>
        <v>#DIV/0!</v>
      </c>
      <c r="Y49" s="12" t="e">
        <f t="shared" si="12"/>
        <v>#DIV/0!</v>
      </c>
      <c r="Z49" s="12">
        <v>0</v>
      </c>
      <c r="AA49" s="12">
        <v>0</v>
      </c>
      <c r="AB49" s="12">
        <v>-0.28960000000000002</v>
      </c>
      <c r="AC49" s="12">
        <v>-0.28960000000000002</v>
      </c>
      <c r="AD49" s="12">
        <v>0</v>
      </c>
      <c r="AE49" s="12">
        <v>0</v>
      </c>
      <c r="AF49" s="12">
        <v>-0.23499999999999999</v>
      </c>
      <c r="AG49" s="12">
        <v>-0.23499999999999999</v>
      </c>
      <c r="AH49" s="12">
        <v>0.58399999999999996</v>
      </c>
      <c r="AI49" s="12">
        <v>9.094199999999999</v>
      </c>
      <c r="AJ49" s="12" t="s">
        <v>90</v>
      </c>
      <c r="AK49" s="12">
        <f t="shared" si="8"/>
        <v>10</v>
      </c>
      <c r="AL49" s="12"/>
      <c r="AM49" s="12"/>
      <c r="AN49" s="12"/>
      <c r="AO49" s="12"/>
      <c r="AP49" s="12"/>
      <c r="AQ49" s="12"/>
    </row>
    <row r="50" spans="1:43" x14ac:dyDescent="0.25">
      <c r="A50" s="12" t="s">
        <v>91</v>
      </c>
      <c r="B50" s="12" t="s">
        <v>45</v>
      </c>
      <c r="C50" s="12">
        <v>359</v>
      </c>
      <c r="D50" s="12">
        <v>170</v>
      </c>
      <c r="E50" s="12">
        <v>172</v>
      </c>
      <c r="F50" s="12">
        <v>295</v>
      </c>
      <c r="G50" s="13">
        <v>0.45</v>
      </c>
      <c r="H50" s="12">
        <v>50</v>
      </c>
      <c r="I50" s="12" t="s">
        <v>41</v>
      </c>
      <c r="J50" s="12"/>
      <c r="K50" s="12">
        <v>181</v>
      </c>
      <c r="L50" s="12">
        <f t="shared" si="9"/>
        <v>-9</v>
      </c>
      <c r="M50" s="12"/>
      <c r="N50" s="12"/>
      <c r="O50" s="12"/>
      <c r="P50" s="12"/>
      <c r="Q50" s="12"/>
      <c r="R50" s="12">
        <v>29.49999999999994</v>
      </c>
      <c r="S50" s="12"/>
      <c r="T50" s="12"/>
      <c r="U50" s="12"/>
      <c r="V50" s="12">
        <f t="shared" si="10"/>
        <v>34.4</v>
      </c>
      <c r="W50" s="4">
        <f>11*V50-U50-T50-S50-R50-Q50-P50-O50-F50</f>
        <v>53.900000000000034</v>
      </c>
      <c r="X50" s="12">
        <f t="shared" si="11"/>
        <v>11</v>
      </c>
      <c r="Y50" s="12">
        <f t="shared" si="12"/>
        <v>9.4331395348837201</v>
      </c>
      <c r="Z50" s="12">
        <v>39.4</v>
      </c>
      <c r="AA50" s="12">
        <v>44.6</v>
      </c>
      <c r="AB50" s="12">
        <v>40</v>
      </c>
      <c r="AC50" s="12">
        <v>30.2</v>
      </c>
      <c r="AD50" s="12">
        <v>37.6</v>
      </c>
      <c r="AE50" s="12">
        <v>36.4</v>
      </c>
      <c r="AF50" s="12">
        <v>27.2</v>
      </c>
      <c r="AG50" s="12">
        <v>29.2</v>
      </c>
      <c r="AH50" s="12">
        <v>42.4</v>
      </c>
      <c r="AI50" s="12">
        <v>40.4</v>
      </c>
      <c r="AJ50" s="12"/>
      <c r="AK50" s="12">
        <f t="shared" si="8"/>
        <v>24.255000000000017</v>
      </c>
      <c r="AL50" s="12"/>
      <c r="AM50" s="12"/>
      <c r="AN50" s="12"/>
      <c r="AO50" s="12"/>
      <c r="AP50" s="12"/>
      <c r="AQ50" s="12"/>
    </row>
    <row r="51" spans="1:43" x14ac:dyDescent="0.25">
      <c r="A51" s="12" t="s">
        <v>92</v>
      </c>
      <c r="B51" s="12" t="s">
        <v>45</v>
      </c>
      <c r="C51" s="12">
        <v>547</v>
      </c>
      <c r="D51" s="12">
        <v>790</v>
      </c>
      <c r="E51" s="12">
        <v>451</v>
      </c>
      <c r="F51" s="12">
        <v>806</v>
      </c>
      <c r="G51" s="13">
        <v>0.45</v>
      </c>
      <c r="H51" s="12">
        <v>50</v>
      </c>
      <c r="I51" s="12" t="s">
        <v>41</v>
      </c>
      <c r="J51" s="12"/>
      <c r="K51" s="12">
        <v>454</v>
      </c>
      <c r="L51" s="12">
        <f t="shared" si="9"/>
        <v>-3</v>
      </c>
      <c r="M51" s="12"/>
      <c r="N51" s="12"/>
      <c r="O51" s="12">
        <v>135.75477160000011</v>
      </c>
      <c r="P51" s="12"/>
      <c r="Q51" s="12"/>
      <c r="R51" s="12">
        <v>116.4</v>
      </c>
      <c r="S51" s="12"/>
      <c r="T51" s="12"/>
      <c r="U51" s="12">
        <v>183.6</v>
      </c>
      <c r="V51" s="12">
        <f t="shared" si="10"/>
        <v>90.2</v>
      </c>
      <c r="W51" s="4"/>
      <c r="X51" s="12">
        <f t="shared" si="11"/>
        <v>13.766682611973394</v>
      </c>
      <c r="Y51" s="12">
        <f t="shared" si="12"/>
        <v>13.766682611973394</v>
      </c>
      <c r="Z51" s="12">
        <v>119.8</v>
      </c>
      <c r="AA51" s="12">
        <v>126</v>
      </c>
      <c r="AB51" s="12">
        <v>96.6</v>
      </c>
      <c r="AC51" s="12">
        <v>92.4</v>
      </c>
      <c r="AD51" s="12">
        <v>100.2</v>
      </c>
      <c r="AE51" s="12">
        <v>92.8</v>
      </c>
      <c r="AF51" s="12">
        <v>92.4</v>
      </c>
      <c r="AG51" s="12">
        <v>101.8</v>
      </c>
      <c r="AH51" s="12">
        <v>96.8</v>
      </c>
      <c r="AI51" s="12">
        <v>93.2</v>
      </c>
      <c r="AJ51" s="12"/>
      <c r="AK51" s="12">
        <f t="shared" si="8"/>
        <v>0</v>
      </c>
      <c r="AL51" s="12"/>
      <c r="AM51" s="12"/>
      <c r="AN51" s="12"/>
      <c r="AO51" s="12"/>
      <c r="AP51" s="12"/>
      <c r="AQ51" s="12"/>
    </row>
    <row r="52" spans="1:43" x14ac:dyDescent="0.25">
      <c r="A52" s="12" t="s">
        <v>93</v>
      </c>
      <c r="B52" s="12" t="s">
        <v>45</v>
      </c>
      <c r="C52" s="12"/>
      <c r="D52" s="12">
        <v>42</v>
      </c>
      <c r="E52" s="12">
        <v>6</v>
      </c>
      <c r="F52" s="12">
        <v>13</v>
      </c>
      <c r="G52" s="13">
        <v>0.4</v>
      </c>
      <c r="H52" s="12">
        <v>40</v>
      </c>
      <c r="I52" s="7" t="s">
        <v>52</v>
      </c>
      <c r="J52" s="12"/>
      <c r="K52" s="12">
        <v>48</v>
      </c>
      <c r="L52" s="12">
        <f t="shared" si="9"/>
        <v>-42</v>
      </c>
      <c r="M52" s="12"/>
      <c r="N52" s="12"/>
      <c r="O52" s="12"/>
      <c r="P52" s="12"/>
      <c r="Q52" s="12"/>
      <c r="R52" s="12">
        <v>50</v>
      </c>
      <c r="S52" s="12"/>
      <c r="T52" s="12"/>
      <c r="U52" s="12">
        <v>40</v>
      </c>
      <c r="V52" s="12">
        <f t="shared" si="10"/>
        <v>1.2</v>
      </c>
      <c r="W52" s="4">
        <v>50</v>
      </c>
      <c r="X52" s="12">
        <f t="shared" si="11"/>
        <v>127.5</v>
      </c>
      <c r="Y52" s="12">
        <f t="shared" si="12"/>
        <v>85.833333333333343</v>
      </c>
      <c r="Z52" s="12">
        <v>-0.8</v>
      </c>
      <c r="AA52" s="12">
        <v>-0.2</v>
      </c>
      <c r="AB52" s="12">
        <v>-0.6</v>
      </c>
      <c r="AC52" s="12">
        <v>-1</v>
      </c>
      <c r="AD52" s="12">
        <v>3.2</v>
      </c>
      <c r="AE52" s="12">
        <v>17.399999999999999</v>
      </c>
      <c r="AF52" s="12">
        <v>31.8</v>
      </c>
      <c r="AG52" s="12">
        <v>29.2</v>
      </c>
      <c r="AH52" s="12">
        <v>19</v>
      </c>
      <c r="AI52" s="12">
        <v>19.8</v>
      </c>
      <c r="AJ52" s="12"/>
      <c r="AK52" s="12">
        <f t="shared" si="8"/>
        <v>20</v>
      </c>
      <c r="AL52" s="12"/>
      <c r="AM52" s="12"/>
      <c r="AN52" s="12"/>
      <c r="AO52" s="12"/>
      <c r="AP52" s="12"/>
      <c r="AQ52" s="12"/>
    </row>
    <row r="53" spans="1:43" x14ac:dyDescent="0.25">
      <c r="A53" s="12" t="s">
        <v>94</v>
      </c>
      <c r="B53" s="12" t="s">
        <v>45</v>
      </c>
      <c r="C53" s="12">
        <v>20</v>
      </c>
      <c r="D53" s="12">
        <v>188</v>
      </c>
      <c r="E53" s="12">
        <v>65</v>
      </c>
      <c r="F53" s="12">
        <v>136</v>
      </c>
      <c r="G53" s="13">
        <v>0.4</v>
      </c>
      <c r="H53" s="12">
        <v>40</v>
      </c>
      <c r="I53" s="7" t="s">
        <v>52</v>
      </c>
      <c r="J53" s="12"/>
      <c r="K53" s="12">
        <v>86</v>
      </c>
      <c r="L53" s="12">
        <f t="shared" si="9"/>
        <v>-21</v>
      </c>
      <c r="M53" s="12"/>
      <c r="N53" s="12"/>
      <c r="O53" s="12">
        <v>50</v>
      </c>
      <c r="P53" s="12"/>
      <c r="Q53" s="12"/>
      <c r="R53" s="12">
        <v>0</v>
      </c>
      <c r="S53" s="12"/>
      <c r="T53" s="12"/>
      <c r="U53" s="12"/>
      <c r="V53" s="12">
        <f t="shared" si="10"/>
        <v>13</v>
      </c>
      <c r="W53" s="4">
        <v>20</v>
      </c>
      <c r="X53" s="12">
        <f t="shared" si="11"/>
        <v>15.846153846153847</v>
      </c>
      <c r="Y53" s="12">
        <f t="shared" si="12"/>
        <v>14.307692307692308</v>
      </c>
      <c r="Z53" s="12">
        <v>16.600000000000001</v>
      </c>
      <c r="AA53" s="12">
        <v>22.8</v>
      </c>
      <c r="AB53" s="12">
        <v>16.600000000000001</v>
      </c>
      <c r="AC53" s="12">
        <v>11.4</v>
      </c>
      <c r="AD53" s="12">
        <v>10.6</v>
      </c>
      <c r="AE53" s="12">
        <v>11.8</v>
      </c>
      <c r="AF53" s="12">
        <v>13.8</v>
      </c>
      <c r="AG53" s="12">
        <v>10.199999999999999</v>
      </c>
      <c r="AH53" s="12">
        <v>8.8000000000000007</v>
      </c>
      <c r="AI53" s="12">
        <v>14.6</v>
      </c>
      <c r="AJ53" s="12"/>
      <c r="AK53" s="12">
        <f t="shared" si="8"/>
        <v>8</v>
      </c>
      <c r="AL53" s="12"/>
      <c r="AM53" s="12"/>
      <c r="AN53" s="12"/>
      <c r="AO53" s="12"/>
      <c r="AP53" s="12"/>
      <c r="AQ53" s="12"/>
    </row>
    <row r="54" spans="1:43" x14ac:dyDescent="0.25">
      <c r="A54" s="12" t="s">
        <v>95</v>
      </c>
      <c r="B54" s="12" t="s">
        <v>40</v>
      </c>
      <c r="C54" s="12">
        <v>674.80899999999997</v>
      </c>
      <c r="D54" s="12">
        <v>939.798</v>
      </c>
      <c r="E54" s="12">
        <v>616.54</v>
      </c>
      <c r="F54" s="12">
        <v>927.09199999999998</v>
      </c>
      <c r="G54" s="13">
        <v>1</v>
      </c>
      <c r="H54" s="12">
        <v>50</v>
      </c>
      <c r="I54" s="12" t="s">
        <v>41</v>
      </c>
      <c r="J54" s="12"/>
      <c r="K54" s="12">
        <v>614.5</v>
      </c>
      <c r="L54" s="12">
        <f t="shared" si="9"/>
        <v>2.0399999999999636</v>
      </c>
      <c r="M54" s="12"/>
      <c r="N54" s="12"/>
      <c r="O54" s="12">
        <v>265.27272640000001</v>
      </c>
      <c r="P54" s="12"/>
      <c r="Q54" s="12"/>
      <c r="R54" s="12">
        <v>232.8</v>
      </c>
      <c r="S54" s="12"/>
      <c r="T54" s="12"/>
      <c r="U54" s="12">
        <v>367.2</v>
      </c>
      <c r="V54" s="12">
        <f t="shared" si="10"/>
        <v>123.30799999999999</v>
      </c>
      <c r="W54" s="4"/>
      <c r="X54" s="12">
        <f t="shared" si="11"/>
        <v>14.53567267654978</v>
      </c>
      <c r="Y54" s="12">
        <f t="shared" si="12"/>
        <v>14.53567267654978</v>
      </c>
      <c r="Z54" s="12">
        <v>169.84139999999999</v>
      </c>
      <c r="AA54" s="12">
        <v>161.1634</v>
      </c>
      <c r="AB54" s="12">
        <v>109.1048</v>
      </c>
      <c r="AC54" s="12">
        <v>121.73820000000001</v>
      </c>
      <c r="AD54" s="12">
        <v>139.08959999999999</v>
      </c>
      <c r="AE54" s="12">
        <v>135.32220000000001</v>
      </c>
      <c r="AF54" s="12">
        <v>134.5496</v>
      </c>
      <c r="AG54" s="12">
        <v>136.10159999999999</v>
      </c>
      <c r="AH54" s="12">
        <v>125.3366</v>
      </c>
      <c r="AI54" s="12">
        <v>121.60299999999999</v>
      </c>
      <c r="AJ54" s="12"/>
      <c r="AK54" s="12">
        <f t="shared" si="8"/>
        <v>0</v>
      </c>
      <c r="AL54" s="12"/>
      <c r="AM54" s="12"/>
      <c r="AN54" s="12"/>
      <c r="AO54" s="12"/>
      <c r="AP54" s="12"/>
      <c r="AQ54" s="12"/>
    </row>
    <row r="55" spans="1:43" x14ac:dyDescent="0.25">
      <c r="A55" s="12" t="s">
        <v>96</v>
      </c>
      <c r="B55" s="12" t="s">
        <v>45</v>
      </c>
      <c r="C55" s="12">
        <v>427</v>
      </c>
      <c r="D55" s="12">
        <v>100</v>
      </c>
      <c r="E55" s="15">
        <f>279+E128</f>
        <v>422</v>
      </c>
      <c r="F55" s="15">
        <f>113+F128</f>
        <v>165</v>
      </c>
      <c r="G55" s="13">
        <v>0.1</v>
      </c>
      <c r="H55" s="12">
        <v>731</v>
      </c>
      <c r="I55" s="12" t="s">
        <v>41</v>
      </c>
      <c r="J55" s="12"/>
      <c r="K55" s="12">
        <v>278</v>
      </c>
      <c r="L55" s="12">
        <f t="shared" si="9"/>
        <v>144</v>
      </c>
      <c r="M55" s="12"/>
      <c r="N55" s="12"/>
      <c r="O55" s="12"/>
      <c r="P55" s="12"/>
      <c r="Q55" s="12"/>
      <c r="R55" s="12">
        <v>155.19999999999999</v>
      </c>
      <c r="S55" s="12"/>
      <c r="T55" s="12"/>
      <c r="U55" s="12">
        <v>244.8</v>
      </c>
      <c r="V55" s="12">
        <f t="shared" si="10"/>
        <v>84.4</v>
      </c>
      <c r="W55" s="4">
        <f>11*V55-U55-T55-S55-R55-Q55-P55-O55-F55</f>
        <v>363.40000000000009</v>
      </c>
      <c r="X55" s="12">
        <f t="shared" si="11"/>
        <v>11</v>
      </c>
      <c r="Y55" s="12">
        <f t="shared" si="12"/>
        <v>6.6943127962085303</v>
      </c>
      <c r="Z55" s="12">
        <v>66.400000000000006</v>
      </c>
      <c r="AA55" s="12">
        <v>53.4</v>
      </c>
      <c r="AB55" s="12">
        <v>31.6</v>
      </c>
      <c r="AC55" s="12">
        <v>39.4</v>
      </c>
      <c r="AD55" s="12">
        <v>56.6</v>
      </c>
      <c r="AE55" s="12">
        <v>47.4</v>
      </c>
      <c r="AF55" s="12">
        <v>37.200000000000003</v>
      </c>
      <c r="AG55" s="12">
        <v>40.6</v>
      </c>
      <c r="AH55" s="12">
        <v>49.6</v>
      </c>
      <c r="AI55" s="12">
        <v>52.8</v>
      </c>
      <c r="AJ55" s="12"/>
      <c r="AK55" s="12">
        <f t="shared" si="8"/>
        <v>36.340000000000011</v>
      </c>
      <c r="AL55" s="12"/>
      <c r="AM55" s="12"/>
      <c r="AN55" s="12"/>
      <c r="AO55" s="12"/>
      <c r="AP55" s="12"/>
      <c r="AQ55" s="12"/>
    </row>
    <row r="56" spans="1:43" x14ac:dyDescent="0.25">
      <c r="A56" s="12" t="s">
        <v>97</v>
      </c>
      <c r="B56" s="12" t="s">
        <v>40</v>
      </c>
      <c r="C56" s="12">
        <v>806.47900000000004</v>
      </c>
      <c r="D56" s="12">
        <v>1087.0889999999999</v>
      </c>
      <c r="E56" s="12">
        <v>903.81100000000004</v>
      </c>
      <c r="F56" s="12">
        <v>863.98400000000004</v>
      </c>
      <c r="G56" s="13">
        <v>1</v>
      </c>
      <c r="H56" s="12">
        <v>50</v>
      </c>
      <c r="I56" s="12" t="s">
        <v>41</v>
      </c>
      <c r="J56" s="12"/>
      <c r="K56" s="12">
        <v>889.65</v>
      </c>
      <c r="L56" s="12">
        <f t="shared" si="9"/>
        <v>14.161000000000058</v>
      </c>
      <c r="M56" s="12"/>
      <c r="N56" s="12"/>
      <c r="O56" s="12">
        <v>390.43365840000001</v>
      </c>
      <c r="P56" s="12"/>
      <c r="Q56" s="12"/>
      <c r="R56" s="12">
        <v>271.60000000000002</v>
      </c>
      <c r="S56" s="12"/>
      <c r="T56" s="12"/>
      <c r="U56" s="12">
        <v>428.4</v>
      </c>
      <c r="V56" s="12">
        <f t="shared" si="10"/>
        <v>180.76220000000001</v>
      </c>
      <c r="W56" s="4">
        <f>11*V56-U56-T56-S56-R56-Q56-P56-O56-F56</f>
        <v>33.966541599999914</v>
      </c>
      <c r="X56" s="12">
        <f t="shared" si="11"/>
        <v>11</v>
      </c>
      <c r="Y56" s="12">
        <f t="shared" si="12"/>
        <v>10.812092674242734</v>
      </c>
      <c r="Z56" s="12">
        <v>194.12440000000001</v>
      </c>
      <c r="AA56" s="12">
        <v>183.68260000000001</v>
      </c>
      <c r="AB56" s="12">
        <v>117.99379999999999</v>
      </c>
      <c r="AC56" s="12">
        <v>124.1302</v>
      </c>
      <c r="AD56" s="12">
        <v>163.53100000000001</v>
      </c>
      <c r="AE56" s="12">
        <v>153.71940000000001</v>
      </c>
      <c r="AF56" s="12">
        <v>178.23</v>
      </c>
      <c r="AG56" s="12">
        <v>187.59280000000001</v>
      </c>
      <c r="AH56" s="12">
        <v>186.78440000000001</v>
      </c>
      <c r="AI56" s="12">
        <v>179.19659999999999</v>
      </c>
      <c r="AJ56" s="12"/>
      <c r="AK56" s="12">
        <f t="shared" si="8"/>
        <v>33.966541599999914</v>
      </c>
      <c r="AL56" s="12"/>
      <c r="AM56" s="12"/>
      <c r="AN56" s="12"/>
      <c r="AO56" s="12"/>
      <c r="AP56" s="12"/>
      <c r="AQ56" s="12"/>
    </row>
    <row r="57" spans="1:43" x14ac:dyDescent="0.25">
      <c r="A57" s="12" t="s">
        <v>98</v>
      </c>
      <c r="B57" s="12" t="s">
        <v>40</v>
      </c>
      <c r="C57" s="12">
        <v>293.04700000000003</v>
      </c>
      <c r="D57" s="12"/>
      <c r="E57" s="12">
        <v>92.37</v>
      </c>
      <c r="F57" s="12">
        <v>190.41399999999999</v>
      </c>
      <c r="G57" s="13">
        <v>1</v>
      </c>
      <c r="H57" s="12">
        <v>55</v>
      </c>
      <c r="I57" s="12" t="s">
        <v>41</v>
      </c>
      <c r="J57" s="12"/>
      <c r="K57" s="12">
        <v>90.09</v>
      </c>
      <c r="L57" s="12">
        <f t="shared" si="9"/>
        <v>2.2800000000000011</v>
      </c>
      <c r="M57" s="12"/>
      <c r="N57" s="12"/>
      <c r="O57" s="12"/>
      <c r="P57" s="12"/>
      <c r="Q57" s="12"/>
      <c r="R57" s="12">
        <v>0</v>
      </c>
      <c r="S57" s="12"/>
      <c r="T57" s="12"/>
      <c r="U57" s="12"/>
      <c r="V57" s="12">
        <f t="shared" si="10"/>
        <v>18.474</v>
      </c>
      <c r="W57" s="4">
        <f>11*V57-U57-T57-S57-R57-Q57-P57-O57-F57</f>
        <v>12.800000000000011</v>
      </c>
      <c r="X57" s="12">
        <f t="shared" si="11"/>
        <v>11</v>
      </c>
      <c r="Y57" s="12">
        <f t="shared" si="12"/>
        <v>10.307134350979755</v>
      </c>
      <c r="Z57" s="12">
        <v>16.654399999999999</v>
      </c>
      <c r="AA57" s="12">
        <v>12.705399999999999</v>
      </c>
      <c r="AB57" s="12">
        <v>10.586</v>
      </c>
      <c r="AC57" s="12">
        <v>11.1212</v>
      </c>
      <c r="AD57" s="12">
        <v>21.421600000000002</v>
      </c>
      <c r="AE57" s="12">
        <v>21.666799999999999</v>
      </c>
      <c r="AF57" s="12">
        <v>16.1006</v>
      </c>
      <c r="AG57" s="12">
        <v>20.717400000000001</v>
      </c>
      <c r="AH57" s="12">
        <v>18.250800000000002</v>
      </c>
      <c r="AI57" s="12">
        <v>15.446999999999999</v>
      </c>
      <c r="AJ57" s="12"/>
      <c r="AK57" s="12">
        <f t="shared" si="8"/>
        <v>12.800000000000011</v>
      </c>
      <c r="AL57" s="12"/>
      <c r="AM57" s="12"/>
      <c r="AN57" s="12"/>
      <c r="AO57" s="12"/>
      <c r="AP57" s="12"/>
      <c r="AQ57" s="12"/>
    </row>
    <row r="58" spans="1:43" x14ac:dyDescent="0.25">
      <c r="A58" s="12" t="s">
        <v>99</v>
      </c>
      <c r="B58" s="12" t="s">
        <v>45</v>
      </c>
      <c r="C58" s="12">
        <v>420</v>
      </c>
      <c r="D58" s="12"/>
      <c r="E58" s="12">
        <v>246</v>
      </c>
      <c r="F58" s="12">
        <v>149</v>
      </c>
      <c r="G58" s="13">
        <v>0.1</v>
      </c>
      <c r="H58" s="12">
        <v>731</v>
      </c>
      <c r="I58" s="12" t="s">
        <v>41</v>
      </c>
      <c r="J58" s="12"/>
      <c r="K58" s="12">
        <v>246</v>
      </c>
      <c r="L58" s="12">
        <f t="shared" si="9"/>
        <v>0</v>
      </c>
      <c r="M58" s="12"/>
      <c r="N58" s="12"/>
      <c r="O58" s="12"/>
      <c r="P58" s="12"/>
      <c r="Q58" s="12"/>
      <c r="R58" s="12">
        <v>149.1</v>
      </c>
      <c r="S58" s="12"/>
      <c r="T58" s="12"/>
      <c r="U58" s="12"/>
      <c r="V58" s="12">
        <f t="shared" si="10"/>
        <v>49.2</v>
      </c>
      <c r="W58" s="4">
        <f>11*V58-U58-T58-S58-R58-Q58-P58-O58-F58</f>
        <v>243.10000000000002</v>
      </c>
      <c r="X58" s="12">
        <f t="shared" si="11"/>
        <v>11</v>
      </c>
      <c r="Y58" s="12">
        <f t="shared" si="12"/>
        <v>6.058943089430894</v>
      </c>
      <c r="Z58" s="12">
        <v>39.4</v>
      </c>
      <c r="AA58" s="12">
        <v>37.4</v>
      </c>
      <c r="AB58" s="12">
        <v>34.200000000000003</v>
      </c>
      <c r="AC58" s="12">
        <v>34.799999999999997</v>
      </c>
      <c r="AD58" s="12">
        <v>41.6</v>
      </c>
      <c r="AE58" s="12">
        <v>38</v>
      </c>
      <c r="AF58" s="12">
        <v>30.6</v>
      </c>
      <c r="AG58" s="12">
        <v>35.200000000000003</v>
      </c>
      <c r="AH58" s="12">
        <v>43.8</v>
      </c>
      <c r="AI58" s="12">
        <v>41.8</v>
      </c>
      <c r="AJ58" s="12"/>
      <c r="AK58" s="12">
        <f t="shared" si="8"/>
        <v>24.310000000000002</v>
      </c>
      <c r="AL58" s="12"/>
      <c r="AM58" s="12"/>
      <c r="AN58" s="12"/>
      <c r="AO58" s="12"/>
      <c r="AP58" s="12"/>
      <c r="AQ58" s="12"/>
    </row>
    <row r="59" spans="1:43" x14ac:dyDescent="0.25">
      <c r="A59" s="12" t="s">
        <v>100</v>
      </c>
      <c r="B59" s="12" t="s">
        <v>45</v>
      </c>
      <c r="C59" s="12">
        <v>516</v>
      </c>
      <c r="D59" s="12">
        <v>110</v>
      </c>
      <c r="E59" s="12">
        <v>204</v>
      </c>
      <c r="F59" s="12">
        <v>379</v>
      </c>
      <c r="G59" s="13">
        <v>0.4</v>
      </c>
      <c r="H59" s="12">
        <v>50</v>
      </c>
      <c r="I59" s="12" t="s">
        <v>41</v>
      </c>
      <c r="J59" s="12"/>
      <c r="K59" s="12">
        <v>208</v>
      </c>
      <c r="L59" s="12">
        <f t="shared" si="9"/>
        <v>-4</v>
      </c>
      <c r="M59" s="12"/>
      <c r="N59" s="12"/>
      <c r="O59" s="12"/>
      <c r="P59" s="12"/>
      <c r="Q59" s="12"/>
      <c r="R59" s="12">
        <v>132.1999999999999</v>
      </c>
      <c r="S59" s="12"/>
      <c r="T59" s="12"/>
      <c r="U59" s="12"/>
      <c r="V59" s="12">
        <f t="shared" si="10"/>
        <v>40.799999999999997</v>
      </c>
      <c r="W59" s="4"/>
      <c r="X59" s="12">
        <f t="shared" si="11"/>
        <v>12.529411764705882</v>
      </c>
      <c r="Y59" s="12">
        <f t="shared" si="12"/>
        <v>12.529411764705882</v>
      </c>
      <c r="Z59" s="12">
        <v>54.8</v>
      </c>
      <c r="AA59" s="12">
        <v>47.4</v>
      </c>
      <c r="AB59" s="12">
        <v>43</v>
      </c>
      <c r="AC59" s="12">
        <v>63</v>
      </c>
      <c r="AD59" s="12">
        <v>63.2</v>
      </c>
      <c r="AE59" s="12">
        <v>63.4</v>
      </c>
      <c r="AF59" s="12">
        <v>66</v>
      </c>
      <c r="AG59" s="12">
        <v>65</v>
      </c>
      <c r="AH59" s="12">
        <v>69</v>
      </c>
      <c r="AI59" s="12">
        <v>59.8</v>
      </c>
      <c r="AJ59" s="12"/>
      <c r="AK59" s="12">
        <f t="shared" si="8"/>
        <v>0</v>
      </c>
      <c r="AL59" s="12"/>
      <c r="AM59" s="12"/>
      <c r="AN59" s="12"/>
      <c r="AO59" s="12"/>
      <c r="AP59" s="12"/>
      <c r="AQ59" s="12"/>
    </row>
    <row r="60" spans="1:43" x14ac:dyDescent="0.25">
      <c r="A60" s="12" t="s">
        <v>101</v>
      </c>
      <c r="B60" s="12" t="s">
        <v>40</v>
      </c>
      <c r="C60" s="12">
        <v>295.01100000000002</v>
      </c>
      <c r="D60" s="12">
        <v>504.673</v>
      </c>
      <c r="E60" s="12">
        <v>364.51499999999999</v>
      </c>
      <c r="F60" s="12">
        <v>412.76400000000001</v>
      </c>
      <c r="G60" s="13">
        <v>1</v>
      </c>
      <c r="H60" s="12">
        <v>40</v>
      </c>
      <c r="I60" s="7" t="s">
        <v>52</v>
      </c>
      <c r="J60" s="12"/>
      <c r="K60" s="12">
        <v>407.3</v>
      </c>
      <c r="L60" s="12">
        <f t="shared" si="9"/>
        <v>-42.785000000000025</v>
      </c>
      <c r="M60" s="12"/>
      <c r="N60" s="12"/>
      <c r="O60" s="12">
        <v>250</v>
      </c>
      <c r="P60" s="12"/>
      <c r="Q60" s="12"/>
      <c r="R60" s="12">
        <v>400</v>
      </c>
      <c r="S60" s="12"/>
      <c r="T60" s="12"/>
      <c r="U60" s="12">
        <v>200</v>
      </c>
      <c r="V60" s="12">
        <f t="shared" si="10"/>
        <v>72.902999999999992</v>
      </c>
      <c r="W60" s="4"/>
      <c r="X60" s="12">
        <f t="shared" si="11"/>
        <v>17.321152764632462</v>
      </c>
      <c r="Y60" s="12">
        <f t="shared" si="12"/>
        <v>17.321152764632462</v>
      </c>
      <c r="Z60" s="12">
        <v>117.24079999999999</v>
      </c>
      <c r="AA60" s="12">
        <v>108.114</v>
      </c>
      <c r="AB60" s="12">
        <v>73.970799999999997</v>
      </c>
      <c r="AC60" s="12">
        <v>112.611</v>
      </c>
      <c r="AD60" s="12">
        <v>79.74199999999999</v>
      </c>
      <c r="AE60" s="12">
        <v>5.6125999999999996</v>
      </c>
      <c r="AF60" s="12">
        <v>90.891600000000011</v>
      </c>
      <c r="AG60" s="12">
        <v>87.63300000000001</v>
      </c>
      <c r="AH60" s="12">
        <v>25.435600000000001</v>
      </c>
      <c r="AI60" s="12">
        <v>28.949200000000001</v>
      </c>
      <c r="AJ60" s="12"/>
      <c r="AK60" s="12">
        <f t="shared" si="8"/>
        <v>0</v>
      </c>
      <c r="AL60" s="12"/>
      <c r="AM60" s="12"/>
      <c r="AN60" s="12"/>
      <c r="AO60" s="12"/>
      <c r="AP60" s="12"/>
      <c r="AQ60" s="12"/>
    </row>
    <row r="61" spans="1:43" x14ac:dyDescent="0.25">
      <c r="A61" s="12" t="s">
        <v>102</v>
      </c>
      <c r="B61" s="12" t="s">
        <v>40</v>
      </c>
      <c r="C61" s="12">
        <v>150.36000000000001</v>
      </c>
      <c r="D61" s="12">
        <v>831.63900000000001</v>
      </c>
      <c r="E61" s="12">
        <v>443.18099999999998</v>
      </c>
      <c r="F61" s="12">
        <v>507.173</v>
      </c>
      <c r="G61" s="13">
        <v>1</v>
      </c>
      <c r="H61" s="12">
        <v>40</v>
      </c>
      <c r="I61" s="7" t="s">
        <v>52</v>
      </c>
      <c r="J61" s="12"/>
      <c r="K61" s="12">
        <v>516.04999999999995</v>
      </c>
      <c r="L61" s="12">
        <f t="shared" si="9"/>
        <v>-72.868999999999971</v>
      </c>
      <c r="M61" s="12"/>
      <c r="N61" s="12"/>
      <c r="O61" s="12">
        <v>98.633351000000019</v>
      </c>
      <c r="P61" s="12"/>
      <c r="Q61" s="12"/>
      <c r="R61" s="12">
        <v>250</v>
      </c>
      <c r="S61" s="12">
        <v>-251.1</v>
      </c>
      <c r="T61" s="12"/>
      <c r="U61" s="12">
        <v>100</v>
      </c>
      <c r="V61" s="12">
        <f t="shared" si="10"/>
        <v>88.636200000000002</v>
      </c>
      <c r="W61" s="4">
        <f>11*V61-U61-T61-S61-R61-Q61-P61-O61-F61</f>
        <v>270.29184899999984</v>
      </c>
      <c r="X61" s="12">
        <f t="shared" si="11"/>
        <v>10.999999999999998</v>
      </c>
      <c r="Y61" s="12">
        <f t="shared" si="12"/>
        <v>7.9505478687037581</v>
      </c>
      <c r="Z61" s="12">
        <v>68.945799999999991</v>
      </c>
      <c r="AA61" s="12">
        <v>82.884799999999998</v>
      </c>
      <c r="AB61" s="12">
        <v>66.700599999999994</v>
      </c>
      <c r="AC61" s="12">
        <v>23.886800000000001</v>
      </c>
      <c r="AD61" s="12">
        <v>23.633800000000001</v>
      </c>
      <c r="AE61" s="12">
        <v>61.535799999999988</v>
      </c>
      <c r="AF61" s="12">
        <v>85.055199999999999</v>
      </c>
      <c r="AG61" s="12">
        <v>46.878799999999998</v>
      </c>
      <c r="AH61" s="12">
        <v>23.079000000000001</v>
      </c>
      <c r="AI61" s="12">
        <v>22.816600000000001</v>
      </c>
      <c r="AJ61" s="12" t="s">
        <v>62</v>
      </c>
      <c r="AK61" s="12">
        <f t="shared" si="8"/>
        <v>270.29184899999984</v>
      </c>
      <c r="AL61" s="12"/>
      <c r="AM61" s="12"/>
      <c r="AN61" s="12"/>
      <c r="AO61" s="12"/>
      <c r="AP61" s="12"/>
      <c r="AQ61" s="12"/>
    </row>
    <row r="62" spans="1:43" x14ac:dyDescent="0.25">
      <c r="A62" s="12" t="s">
        <v>103</v>
      </c>
      <c r="B62" s="12" t="s">
        <v>45</v>
      </c>
      <c r="C62" s="12">
        <v>1468</v>
      </c>
      <c r="D62" s="12">
        <v>1274</v>
      </c>
      <c r="E62" s="12">
        <v>1165</v>
      </c>
      <c r="F62" s="12">
        <v>1496</v>
      </c>
      <c r="G62" s="13">
        <v>0.4</v>
      </c>
      <c r="H62" s="12">
        <v>40</v>
      </c>
      <c r="I62" s="7" t="s">
        <v>52</v>
      </c>
      <c r="J62" s="12"/>
      <c r="K62" s="12">
        <v>1189</v>
      </c>
      <c r="L62" s="12">
        <f t="shared" si="9"/>
        <v>-24</v>
      </c>
      <c r="M62" s="12"/>
      <c r="N62" s="12"/>
      <c r="O62" s="12">
        <v>181.6220000000001</v>
      </c>
      <c r="P62" s="12"/>
      <c r="Q62" s="12"/>
      <c r="R62" s="12">
        <v>650</v>
      </c>
      <c r="S62" s="12"/>
      <c r="T62" s="12"/>
      <c r="U62" s="12">
        <v>500</v>
      </c>
      <c r="V62" s="12">
        <f t="shared" si="10"/>
        <v>233</v>
      </c>
      <c r="W62" s="4"/>
      <c r="X62" s="12">
        <f t="shared" si="11"/>
        <v>12.135716738197425</v>
      </c>
      <c r="Y62" s="12">
        <f t="shared" si="12"/>
        <v>12.135716738197425</v>
      </c>
      <c r="Z62" s="12">
        <v>274.2</v>
      </c>
      <c r="AA62" s="12">
        <v>247.6</v>
      </c>
      <c r="AB62" s="12">
        <v>193.2</v>
      </c>
      <c r="AC62" s="12">
        <v>198.8</v>
      </c>
      <c r="AD62" s="12">
        <v>196.6</v>
      </c>
      <c r="AE62" s="12">
        <v>246.4</v>
      </c>
      <c r="AF62" s="12">
        <v>312.2</v>
      </c>
      <c r="AG62" s="12">
        <v>247</v>
      </c>
      <c r="AH62" s="12">
        <v>179.6</v>
      </c>
      <c r="AI62" s="12">
        <v>181.2</v>
      </c>
      <c r="AJ62" s="12"/>
      <c r="AK62" s="12">
        <f t="shared" si="8"/>
        <v>0</v>
      </c>
      <c r="AL62" s="12"/>
      <c r="AM62" s="12"/>
      <c r="AN62" s="12"/>
      <c r="AO62" s="12"/>
      <c r="AP62" s="12"/>
      <c r="AQ62" s="12"/>
    </row>
    <row r="63" spans="1:43" x14ac:dyDescent="0.25">
      <c r="A63" s="12" t="s">
        <v>104</v>
      </c>
      <c r="B63" s="12" t="s">
        <v>45</v>
      </c>
      <c r="C63" s="12">
        <v>163</v>
      </c>
      <c r="D63" s="12">
        <v>656</v>
      </c>
      <c r="E63" s="12">
        <v>742</v>
      </c>
      <c r="F63" s="12">
        <v>27</v>
      </c>
      <c r="G63" s="13">
        <v>0.4</v>
      </c>
      <c r="H63" s="12">
        <v>40</v>
      </c>
      <c r="I63" s="12" t="s">
        <v>41</v>
      </c>
      <c r="J63" s="12"/>
      <c r="K63" s="12">
        <v>754</v>
      </c>
      <c r="L63" s="12">
        <f t="shared" si="9"/>
        <v>-12</v>
      </c>
      <c r="M63" s="12"/>
      <c r="N63" s="12"/>
      <c r="O63" s="12"/>
      <c r="P63" s="12"/>
      <c r="Q63" s="12"/>
      <c r="R63" s="12">
        <v>174.6</v>
      </c>
      <c r="S63" s="12"/>
      <c r="T63" s="12"/>
      <c r="U63" s="12">
        <v>275.39999999999998</v>
      </c>
      <c r="V63" s="12">
        <f t="shared" si="10"/>
        <v>148.4</v>
      </c>
      <c r="W63" s="4">
        <f>9*V63-U63-T63-S63-R63-Q63-P63-O63-F63</f>
        <v>858.60000000000025</v>
      </c>
      <c r="X63" s="12">
        <f t="shared" si="11"/>
        <v>9.0000000000000018</v>
      </c>
      <c r="Y63" s="12">
        <f t="shared" si="12"/>
        <v>3.214285714285714</v>
      </c>
      <c r="Z63" s="12">
        <v>73.599999999999994</v>
      </c>
      <c r="AA63" s="12">
        <v>47.8</v>
      </c>
      <c r="AB63" s="12">
        <v>89.4</v>
      </c>
      <c r="AC63" s="12">
        <v>82</v>
      </c>
      <c r="AD63" s="12">
        <v>41.4</v>
      </c>
      <c r="AE63" s="12">
        <v>49.4</v>
      </c>
      <c r="AF63" s="12">
        <v>124.2</v>
      </c>
      <c r="AG63" s="12">
        <v>129.6</v>
      </c>
      <c r="AH63" s="12">
        <v>96.4</v>
      </c>
      <c r="AI63" s="12">
        <v>59.8</v>
      </c>
      <c r="AJ63" s="12"/>
      <c r="AK63" s="12">
        <f t="shared" si="8"/>
        <v>343.44000000000011</v>
      </c>
      <c r="AL63" s="12"/>
      <c r="AM63" s="12"/>
      <c r="AN63" s="12"/>
      <c r="AO63" s="12"/>
      <c r="AP63" s="12"/>
      <c r="AQ63" s="12"/>
    </row>
    <row r="64" spans="1:43" x14ac:dyDescent="0.25">
      <c r="A64" s="12" t="s">
        <v>105</v>
      </c>
      <c r="B64" s="12" t="s">
        <v>40</v>
      </c>
      <c r="C64" s="12"/>
      <c r="D64" s="12">
        <v>451.82499999999999</v>
      </c>
      <c r="E64" s="12">
        <v>353.89499999999998</v>
      </c>
      <c r="F64" s="12">
        <v>41.28</v>
      </c>
      <c r="G64" s="13">
        <v>1</v>
      </c>
      <c r="H64" s="12">
        <v>40</v>
      </c>
      <c r="I64" s="7" t="s">
        <v>52</v>
      </c>
      <c r="J64" s="12"/>
      <c r="K64" s="12">
        <v>427.42500000000001</v>
      </c>
      <c r="L64" s="12">
        <f t="shared" si="9"/>
        <v>-73.53000000000003</v>
      </c>
      <c r="M64" s="12"/>
      <c r="N64" s="12"/>
      <c r="O64" s="12"/>
      <c r="P64" s="12"/>
      <c r="Q64" s="12"/>
      <c r="R64" s="12">
        <v>50</v>
      </c>
      <c r="S64" s="12">
        <v>-54</v>
      </c>
      <c r="T64" s="12"/>
      <c r="U64" s="12">
        <v>20</v>
      </c>
      <c r="V64" s="12">
        <f t="shared" si="10"/>
        <v>70.778999999999996</v>
      </c>
      <c r="W64" s="4">
        <v>200</v>
      </c>
      <c r="X64" s="12">
        <f t="shared" si="11"/>
        <v>3.6349764760734113</v>
      </c>
      <c r="Y64" s="12">
        <f t="shared" si="12"/>
        <v>0.80927958857853322</v>
      </c>
      <c r="Z64" s="12">
        <v>27.305800000000001</v>
      </c>
      <c r="AA64" s="12">
        <v>-1.0952</v>
      </c>
      <c r="AB64" s="12">
        <v>-0.55000000000000004</v>
      </c>
      <c r="AC64" s="12">
        <v>24.584800000000001</v>
      </c>
      <c r="AD64" s="12">
        <v>65.170600000000007</v>
      </c>
      <c r="AE64" s="12">
        <v>61.546000000000006</v>
      </c>
      <c r="AF64" s="12">
        <v>65.935000000000002</v>
      </c>
      <c r="AG64" s="12">
        <v>67.238399999999999</v>
      </c>
      <c r="AH64" s="12">
        <v>56.559399999999997</v>
      </c>
      <c r="AI64" s="12">
        <v>55.1158</v>
      </c>
      <c r="AJ64" s="12"/>
      <c r="AK64" s="12">
        <f t="shared" si="8"/>
        <v>200</v>
      </c>
      <c r="AL64" s="12"/>
      <c r="AM64" s="12"/>
      <c r="AN64" s="12"/>
      <c r="AO64" s="12"/>
      <c r="AP64" s="12"/>
      <c r="AQ64" s="12"/>
    </row>
    <row r="65" spans="1:43" x14ac:dyDescent="0.25">
      <c r="A65" s="12" t="s">
        <v>106</v>
      </c>
      <c r="B65" s="12" t="s">
        <v>40</v>
      </c>
      <c r="C65" s="12"/>
      <c r="D65" s="12">
        <v>10.856999999999999</v>
      </c>
      <c r="E65" s="12">
        <v>7.835</v>
      </c>
      <c r="F65" s="12"/>
      <c r="G65" s="13">
        <v>1</v>
      </c>
      <c r="H65" s="12">
        <v>40</v>
      </c>
      <c r="I65" s="7" t="s">
        <v>52</v>
      </c>
      <c r="J65" s="12"/>
      <c r="K65" s="12">
        <v>41.8</v>
      </c>
      <c r="L65" s="12">
        <f t="shared" si="9"/>
        <v>-33.964999999999996</v>
      </c>
      <c r="M65" s="12"/>
      <c r="N65" s="12"/>
      <c r="O65" s="12"/>
      <c r="P65" s="12"/>
      <c r="Q65" s="12"/>
      <c r="R65" s="12">
        <v>150</v>
      </c>
      <c r="S65" s="12">
        <v>-151.19999999999999</v>
      </c>
      <c r="T65" s="12"/>
      <c r="U65" s="12">
        <v>100</v>
      </c>
      <c r="V65" s="12">
        <f t="shared" si="10"/>
        <v>1.5669999999999999</v>
      </c>
      <c r="W65" s="4">
        <v>100</v>
      </c>
      <c r="X65" s="12">
        <f t="shared" si="11"/>
        <v>126.86662412252713</v>
      </c>
      <c r="Y65" s="12">
        <f t="shared" si="12"/>
        <v>63.050414805360568</v>
      </c>
      <c r="Z65" s="12">
        <v>-0.7268</v>
      </c>
      <c r="AA65" s="12">
        <v>-0.90999999999999992</v>
      </c>
      <c r="AB65" s="12">
        <v>-0.45700000000000002</v>
      </c>
      <c r="AC65" s="12">
        <v>2.2844000000000002</v>
      </c>
      <c r="AD65" s="12">
        <v>72.720799999999997</v>
      </c>
      <c r="AE65" s="12">
        <v>89.860799999999998</v>
      </c>
      <c r="AF65" s="12">
        <v>74.588200000000001</v>
      </c>
      <c r="AG65" s="12">
        <v>88.295199999999994</v>
      </c>
      <c r="AH65" s="12">
        <v>74.920600000000007</v>
      </c>
      <c r="AI65" s="12">
        <v>70.786599999999993</v>
      </c>
      <c r="AJ65" s="12"/>
      <c r="AK65" s="12">
        <f t="shared" si="8"/>
        <v>100</v>
      </c>
      <c r="AL65" s="12"/>
      <c r="AM65" s="12"/>
      <c r="AN65" s="12"/>
      <c r="AO65" s="12"/>
      <c r="AP65" s="12"/>
      <c r="AQ65" s="12"/>
    </row>
    <row r="66" spans="1:43" x14ac:dyDescent="0.25">
      <c r="A66" s="12" t="s">
        <v>107</v>
      </c>
      <c r="B66" s="12" t="s">
        <v>40</v>
      </c>
      <c r="C66" s="12"/>
      <c r="D66" s="12">
        <v>206.04499999999999</v>
      </c>
      <c r="E66" s="12">
        <v>171.67</v>
      </c>
      <c r="F66" s="12">
        <v>-0.122</v>
      </c>
      <c r="G66" s="13">
        <v>1</v>
      </c>
      <c r="H66" s="12">
        <v>40</v>
      </c>
      <c r="I66" s="7" t="s">
        <v>52</v>
      </c>
      <c r="J66" s="12"/>
      <c r="K66" s="12">
        <v>302.5</v>
      </c>
      <c r="L66" s="12">
        <f t="shared" si="9"/>
        <v>-130.83000000000001</v>
      </c>
      <c r="M66" s="12"/>
      <c r="N66" s="12"/>
      <c r="O66" s="12"/>
      <c r="P66" s="12"/>
      <c r="Q66" s="12"/>
      <c r="R66" s="12">
        <v>300</v>
      </c>
      <c r="S66" s="12"/>
      <c r="T66" s="12"/>
      <c r="U66" s="12">
        <v>200</v>
      </c>
      <c r="V66" s="12">
        <f t="shared" si="10"/>
        <v>34.333999999999996</v>
      </c>
      <c r="W66" s="4">
        <v>100</v>
      </c>
      <c r="X66" s="12">
        <f t="shared" si="11"/>
        <v>17.471835498339839</v>
      </c>
      <c r="Y66" s="12">
        <f t="shared" si="12"/>
        <v>14.559270693772937</v>
      </c>
      <c r="Z66" s="12">
        <v>-2.6212</v>
      </c>
      <c r="AA66" s="12">
        <v>-3.4367999999999999</v>
      </c>
      <c r="AB66" s="12">
        <v>-2.5032000000000001</v>
      </c>
      <c r="AC66" s="12">
        <v>28.1082</v>
      </c>
      <c r="AD66" s="12">
        <v>131.87299999999999</v>
      </c>
      <c r="AE66" s="12">
        <v>154.22540000000001</v>
      </c>
      <c r="AF66" s="12">
        <v>177.6354</v>
      </c>
      <c r="AG66" s="12">
        <v>179.7578</v>
      </c>
      <c r="AH66" s="12">
        <v>145.75380000000001</v>
      </c>
      <c r="AI66" s="12">
        <v>144.0752</v>
      </c>
      <c r="AJ66" s="12"/>
      <c r="AK66" s="12">
        <f t="shared" ref="AK66:AK84" si="13">G66*W66</f>
        <v>100</v>
      </c>
      <c r="AL66" s="12"/>
      <c r="AM66" s="12"/>
      <c r="AN66" s="12"/>
      <c r="AO66" s="12"/>
      <c r="AP66" s="12"/>
      <c r="AQ66" s="12"/>
    </row>
    <row r="67" spans="1:43" x14ac:dyDescent="0.25">
      <c r="A67" s="12" t="s">
        <v>108</v>
      </c>
      <c r="B67" s="12" t="s">
        <v>40</v>
      </c>
      <c r="C67" s="12">
        <v>84.183999999999997</v>
      </c>
      <c r="D67" s="12">
        <v>81.650000000000006</v>
      </c>
      <c r="E67" s="12">
        <v>167.565</v>
      </c>
      <c r="F67" s="12">
        <v>-10.111000000000001</v>
      </c>
      <c r="G67" s="13">
        <v>1</v>
      </c>
      <c r="H67" s="12">
        <v>40</v>
      </c>
      <c r="I67" s="7" t="s">
        <v>52</v>
      </c>
      <c r="J67" s="12"/>
      <c r="K67" s="12">
        <v>252.05</v>
      </c>
      <c r="L67" s="12">
        <f t="shared" si="9"/>
        <v>-84.485000000000014</v>
      </c>
      <c r="M67" s="12"/>
      <c r="N67" s="12"/>
      <c r="O67" s="12">
        <v>75</v>
      </c>
      <c r="P67" s="12">
        <v>-75.599999999999994</v>
      </c>
      <c r="Q67" s="12"/>
      <c r="R67" s="12">
        <v>150</v>
      </c>
      <c r="S67" s="12">
        <v>-151.19999999999999</v>
      </c>
      <c r="T67" s="12"/>
      <c r="U67" s="12">
        <v>100</v>
      </c>
      <c r="V67" s="12">
        <f t="shared" si="10"/>
        <v>33.512999999999998</v>
      </c>
      <c r="W67" s="4">
        <v>150</v>
      </c>
      <c r="X67" s="12">
        <f t="shared" si="11"/>
        <v>7.1043774057828308</v>
      </c>
      <c r="Y67" s="12">
        <f t="shared" si="12"/>
        <v>2.6285023722137679</v>
      </c>
      <c r="Z67" s="12">
        <v>40.464799999999997</v>
      </c>
      <c r="AA67" s="12">
        <v>40.846600000000002</v>
      </c>
      <c r="AB67" s="12">
        <v>16.485800000000001</v>
      </c>
      <c r="AC67" s="12">
        <v>10.116400000000001</v>
      </c>
      <c r="AD67" s="12">
        <v>52.983400000000003</v>
      </c>
      <c r="AE67" s="12">
        <v>61.165399999999998</v>
      </c>
      <c r="AF67" s="12">
        <v>53.972799999999992</v>
      </c>
      <c r="AG67" s="12">
        <v>54.696000000000012</v>
      </c>
      <c r="AH67" s="12">
        <v>44.735399999999998</v>
      </c>
      <c r="AI67" s="12">
        <v>40.375599999999999</v>
      </c>
      <c r="AJ67" s="12"/>
      <c r="AK67" s="12">
        <f t="shared" si="13"/>
        <v>150</v>
      </c>
      <c r="AL67" s="12"/>
      <c r="AM67" s="12"/>
      <c r="AN67" s="12"/>
      <c r="AO67" s="12"/>
      <c r="AP67" s="12"/>
      <c r="AQ67" s="12"/>
    </row>
    <row r="68" spans="1:43" x14ac:dyDescent="0.25">
      <c r="A68" s="12" t="s">
        <v>109</v>
      </c>
      <c r="B68" s="12" t="s">
        <v>45</v>
      </c>
      <c r="C68" s="12">
        <v>29</v>
      </c>
      <c r="D68" s="12"/>
      <c r="E68" s="12">
        <v>6</v>
      </c>
      <c r="F68" s="12">
        <v>23</v>
      </c>
      <c r="G68" s="13">
        <v>0.6</v>
      </c>
      <c r="H68" s="12">
        <v>70</v>
      </c>
      <c r="I68" s="12" t="s">
        <v>41</v>
      </c>
      <c r="J68" s="12"/>
      <c r="K68" s="12">
        <v>17</v>
      </c>
      <c r="L68" s="12">
        <f t="shared" si="9"/>
        <v>-11</v>
      </c>
      <c r="M68" s="12"/>
      <c r="N68" s="12"/>
      <c r="O68" s="12"/>
      <c r="P68" s="12"/>
      <c r="Q68" s="12"/>
      <c r="R68" s="12">
        <v>0</v>
      </c>
      <c r="S68" s="12"/>
      <c r="T68" s="12"/>
      <c r="U68" s="12"/>
      <c r="V68" s="12">
        <f t="shared" si="10"/>
        <v>1.2</v>
      </c>
      <c r="W68" s="4"/>
      <c r="X68" s="12">
        <f t="shared" si="11"/>
        <v>19.166666666666668</v>
      </c>
      <c r="Y68" s="12">
        <f t="shared" si="12"/>
        <v>19.166666666666668</v>
      </c>
      <c r="Z68" s="12">
        <v>0</v>
      </c>
      <c r="AA68" s="12">
        <v>1.2</v>
      </c>
      <c r="AB68" s="12">
        <v>1.2</v>
      </c>
      <c r="AC68" s="12">
        <v>1.4</v>
      </c>
      <c r="AD68" s="12">
        <v>2.4</v>
      </c>
      <c r="AE68" s="12">
        <v>2.2000000000000002</v>
      </c>
      <c r="AF68" s="12">
        <v>1.2</v>
      </c>
      <c r="AG68" s="12">
        <v>1.2</v>
      </c>
      <c r="AH68" s="12">
        <v>2</v>
      </c>
      <c r="AI68" s="12">
        <v>2</v>
      </c>
      <c r="AJ68" s="11" t="s">
        <v>110</v>
      </c>
      <c r="AK68" s="12">
        <f t="shared" si="13"/>
        <v>0</v>
      </c>
      <c r="AL68" s="12"/>
      <c r="AM68" s="12"/>
      <c r="AN68" s="12"/>
      <c r="AO68" s="12"/>
      <c r="AP68" s="12"/>
      <c r="AQ68" s="12"/>
    </row>
    <row r="69" spans="1:43" x14ac:dyDescent="0.25">
      <c r="A69" s="12" t="s">
        <v>111</v>
      </c>
      <c r="B69" s="12" t="s">
        <v>40</v>
      </c>
      <c r="C69" s="12">
        <v>390.09899999999999</v>
      </c>
      <c r="D69" s="12">
        <v>37.134999999999998</v>
      </c>
      <c r="E69" s="12">
        <v>207.65799999999999</v>
      </c>
      <c r="F69" s="12">
        <v>153.6</v>
      </c>
      <c r="G69" s="13">
        <v>1</v>
      </c>
      <c r="H69" s="12">
        <v>30</v>
      </c>
      <c r="I69" s="7" t="s">
        <v>52</v>
      </c>
      <c r="J69" s="12"/>
      <c r="K69" s="12">
        <v>258.315</v>
      </c>
      <c r="L69" s="12">
        <f t="shared" si="9"/>
        <v>-50.657000000000011</v>
      </c>
      <c r="M69" s="12"/>
      <c r="N69" s="12"/>
      <c r="O69" s="12">
        <v>13.504900000000021</v>
      </c>
      <c r="P69" s="12"/>
      <c r="Q69" s="12"/>
      <c r="R69" s="12">
        <v>96.18029999999996</v>
      </c>
      <c r="S69" s="12"/>
      <c r="T69" s="12"/>
      <c r="U69" s="12">
        <v>100</v>
      </c>
      <c r="V69" s="12">
        <f t="shared" si="10"/>
        <v>41.531599999999997</v>
      </c>
      <c r="W69" s="4">
        <f>11*V69-U69-T69-S69-R69-Q69-P69-O69-F69</f>
        <v>93.56239999999994</v>
      </c>
      <c r="X69" s="12">
        <f t="shared" si="11"/>
        <v>11</v>
      </c>
      <c r="Y69" s="12">
        <f t="shared" si="12"/>
        <v>8.7471997226208469</v>
      </c>
      <c r="Z69" s="12">
        <v>38.9026</v>
      </c>
      <c r="AA69" s="12">
        <v>42.365200000000002</v>
      </c>
      <c r="AB69" s="12">
        <v>40.881999999999998</v>
      </c>
      <c r="AC69" s="12">
        <v>42.170200000000001</v>
      </c>
      <c r="AD69" s="12">
        <v>58.654400000000003</v>
      </c>
      <c r="AE69" s="12">
        <v>59.754800000000003</v>
      </c>
      <c r="AF69" s="12">
        <v>63.089399999999998</v>
      </c>
      <c r="AG69" s="12">
        <v>62.3386</v>
      </c>
      <c r="AH69" s="12">
        <v>48.734200000000001</v>
      </c>
      <c r="AI69" s="12">
        <v>49.574399999999997</v>
      </c>
      <c r="AJ69" s="12" t="s">
        <v>49</v>
      </c>
      <c r="AK69" s="12">
        <f t="shared" si="13"/>
        <v>93.56239999999994</v>
      </c>
      <c r="AL69" s="12"/>
      <c r="AM69" s="12"/>
      <c r="AN69" s="12"/>
      <c r="AO69" s="12"/>
      <c r="AP69" s="12"/>
      <c r="AQ69" s="12"/>
    </row>
    <row r="70" spans="1:43" x14ac:dyDescent="0.25">
      <c r="A70" s="12" t="s">
        <v>112</v>
      </c>
      <c r="B70" s="12" t="s">
        <v>45</v>
      </c>
      <c r="C70" s="12">
        <v>179</v>
      </c>
      <c r="D70" s="12">
        <v>136</v>
      </c>
      <c r="E70" s="12">
        <v>118</v>
      </c>
      <c r="F70" s="12">
        <v>172</v>
      </c>
      <c r="G70" s="13">
        <v>0.6</v>
      </c>
      <c r="H70" s="12">
        <v>60</v>
      </c>
      <c r="I70" s="12" t="s">
        <v>41</v>
      </c>
      <c r="J70" s="12"/>
      <c r="K70" s="12">
        <v>118</v>
      </c>
      <c r="L70" s="12">
        <f t="shared" ref="L70:L101" si="14">E70-K70</f>
        <v>0</v>
      </c>
      <c r="M70" s="12"/>
      <c r="N70" s="12"/>
      <c r="O70" s="12"/>
      <c r="P70" s="12"/>
      <c r="Q70" s="12"/>
      <c r="R70" s="12">
        <v>58.5</v>
      </c>
      <c r="S70" s="12"/>
      <c r="T70" s="12"/>
      <c r="U70" s="12"/>
      <c r="V70" s="12">
        <f t="shared" ref="V70:V101" si="15">E70/5</f>
        <v>23.6</v>
      </c>
      <c r="W70" s="4">
        <f>11*V70-U70-T70-S70-R70-Q70-P70-O70-F70</f>
        <v>29.100000000000023</v>
      </c>
      <c r="X70" s="12">
        <f t="shared" ref="X70:X101" si="16">(F70+O70+P70+Q70+R70+S70+T70+U70+W70)/V70</f>
        <v>11</v>
      </c>
      <c r="Y70" s="12">
        <f t="shared" ref="Y70:Y101" si="17">(F70+O70+P70+Q70+R70+S70+T70+U70)/V70</f>
        <v>9.7669491525423719</v>
      </c>
      <c r="Z70" s="12">
        <v>26.2</v>
      </c>
      <c r="AA70" s="12">
        <v>25.8</v>
      </c>
      <c r="AB70" s="12">
        <v>24.4</v>
      </c>
      <c r="AC70" s="12">
        <v>19.2</v>
      </c>
      <c r="AD70" s="12">
        <v>23.2</v>
      </c>
      <c r="AE70" s="12">
        <v>26.8</v>
      </c>
      <c r="AF70" s="12">
        <v>24.8</v>
      </c>
      <c r="AG70" s="12">
        <v>28.2</v>
      </c>
      <c r="AH70" s="12">
        <v>22.8</v>
      </c>
      <c r="AI70" s="12">
        <v>19.2</v>
      </c>
      <c r="AJ70" s="12"/>
      <c r="AK70" s="12">
        <f t="shared" si="13"/>
        <v>17.460000000000012</v>
      </c>
      <c r="AL70" s="12"/>
      <c r="AM70" s="12"/>
      <c r="AN70" s="12"/>
      <c r="AO70" s="12"/>
      <c r="AP70" s="12"/>
      <c r="AQ70" s="12"/>
    </row>
    <row r="71" spans="1:43" x14ac:dyDescent="0.25">
      <c r="A71" s="12" t="s">
        <v>113</v>
      </c>
      <c r="B71" s="12" t="s">
        <v>45</v>
      </c>
      <c r="C71" s="12">
        <v>30</v>
      </c>
      <c r="D71" s="12">
        <v>88</v>
      </c>
      <c r="E71" s="12">
        <v>44</v>
      </c>
      <c r="F71" s="12">
        <v>68</v>
      </c>
      <c r="G71" s="13">
        <v>0.6</v>
      </c>
      <c r="H71" s="12">
        <v>60</v>
      </c>
      <c r="I71" s="12" t="s">
        <v>41</v>
      </c>
      <c r="J71" s="12"/>
      <c r="K71" s="12">
        <v>55</v>
      </c>
      <c r="L71" s="12">
        <f t="shared" si="14"/>
        <v>-11</v>
      </c>
      <c r="M71" s="12"/>
      <c r="N71" s="12"/>
      <c r="O71" s="12"/>
      <c r="P71" s="12"/>
      <c r="Q71" s="12"/>
      <c r="R71" s="12">
        <v>0</v>
      </c>
      <c r="S71" s="12"/>
      <c r="T71" s="12"/>
      <c r="U71" s="12"/>
      <c r="V71" s="12">
        <f t="shared" si="15"/>
        <v>8.8000000000000007</v>
      </c>
      <c r="W71" s="4">
        <f>11*V71-U71-T71-S71-R71-Q71-P71-O71-F71</f>
        <v>28.800000000000011</v>
      </c>
      <c r="X71" s="12">
        <f t="shared" si="16"/>
        <v>11</v>
      </c>
      <c r="Y71" s="12">
        <f t="shared" si="17"/>
        <v>7.7272727272727266</v>
      </c>
      <c r="Z71" s="12">
        <v>6.4</v>
      </c>
      <c r="AA71" s="12">
        <v>9.6</v>
      </c>
      <c r="AB71" s="12">
        <v>10.4</v>
      </c>
      <c r="AC71" s="12">
        <v>6.6</v>
      </c>
      <c r="AD71" s="12">
        <v>6.4</v>
      </c>
      <c r="AE71" s="12">
        <v>6.4</v>
      </c>
      <c r="AF71" s="12">
        <v>6.8</v>
      </c>
      <c r="AG71" s="12">
        <v>7.6</v>
      </c>
      <c r="AH71" s="12">
        <v>5.8</v>
      </c>
      <c r="AI71" s="12">
        <v>4</v>
      </c>
      <c r="AJ71" s="12"/>
      <c r="AK71" s="12">
        <f t="shared" si="13"/>
        <v>17.280000000000005</v>
      </c>
      <c r="AL71" s="12"/>
      <c r="AM71" s="12"/>
      <c r="AN71" s="12"/>
      <c r="AO71" s="12"/>
      <c r="AP71" s="12"/>
      <c r="AQ71" s="12"/>
    </row>
    <row r="72" spans="1:43" x14ac:dyDescent="0.25">
      <c r="A72" s="12" t="s">
        <v>114</v>
      </c>
      <c r="B72" s="12" t="s">
        <v>45</v>
      </c>
      <c r="C72" s="12">
        <v>137</v>
      </c>
      <c r="D72" s="12">
        <v>328</v>
      </c>
      <c r="E72" s="12">
        <v>150</v>
      </c>
      <c r="F72" s="12">
        <v>304</v>
      </c>
      <c r="G72" s="13">
        <v>0.4</v>
      </c>
      <c r="H72" s="12">
        <v>90</v>
      </c>
      <c r="I72" s="7" t="s">
        <v>52</v>
      </c>
      <c r="J72" s="12"/>
      <c r="K72" s="12">
        <v>151</v>
      </c>
      <c r="L72" s="12">
        <f t="shared" si="14"/>
        <v>-1</v>
      </c>
      <c r="M72" s="12"/>
      <c r="N72" s="12"/>
      <c r="O72" s="12"/>
      <c r="P72" s="12"/>
      <c r="Q72" s="12"/>
      <c r="R72" s="12">
        <v>62.599999999999987</v>
      </c>
      <c r="S72" s="12">
        <v>-64</v>
      </c>
      <c r="T72" s="12"/>
      <c r="U72" s="12"/>
      <c r="V72" s="12">
        <f t="shared" si="15"/>
        <v>30</v>
      </c>
      <c r="W72" s="4">
        <v>50</v>
      </c>
      <c r="X72" s="12">
        <f t="shared" si="16"/>
        <v>11.753333333333332</v>
      </c>
      <c r="Y72" s="12">
        <f t="shared" si="17"/>
        <v>10.086666666666666</v>
      </c>
      <c r="Z72" s="12">
        <v>36.799999999999997</v>
      </c>
      <c r="AA72" s="12">
        <v>39.6</v>
      </c>
      <c r="AB72" s="12">
        <v>30.6</v>
      </c>
      <c r="AC72" s="12">
        <v>18.399999999999999</v>
      </c>
      <c r="AD72" s="12">
        <v>20.399999999999999</v>
      </c>
      <c r="AE72" s="12">
        <v>24.8</v>
      </c>
      <c r="AF72" s="12">
        <v>20.6</v>
      </c>
      <c r="AG72" s="12">
        <v>17</v>
      </c>
      <c r="AH72" s="12">
        <v>22.8</v>
      </c>
      <c r="AI72" s="12">
        <v>25.2</v>
      </c>
      <c r="AJ72" s="12"/>
      <c r="AK72" s="12">
        <f t="shared" si="13"/>
        <v>20</v>
      </c>
      <c r="AL72" s="12"/>
      <c r="AM72" s="12"/>
      <c r="AN72" s="12"/>
      <c r="AO72" s="12"/>
      <c r="AP72" s="12"/>
      <c r="AQ72" s="12"/>
    </row>
    <row r="73" spans="1:43" x14ac:dyDescent="0.25">
      <c r="A73" s="12" t="s">
        <v>115</v>
      </c>
      <c r="B73" s="12" t="s">
        <v>45</v>
      </c>
      <c r="C73" s="12">
        <v>72</v>
      </c>
      <c r="D73" s="12">
        <v>440</v>
      </c>
      <c r="E73" s="12">
        <v>188</v>
      </c>
      <c r="F73" s="12">
        <v>284</v>
      </c>
      <c r="G73" s="13">
        <v>0.33</v>
      </c>
      <c r="H73" s="12">
        <v>60</v>
      </c>
      <c r="I73" s="7" t="s">
        <v>52</v>
      </c>
      <c r="J73" s="12"/>
      <c r="K73" s="12">
        <v>189</v>
      </c>
      <c r="L73" s="12">
        <f t="shared" si="14"/>
        <v>-1</v>
      </c>
      <c r="M73" s="12"/>
      <c r="N73" s="12"/>
      <c r="O73" s="12">
        <v>0</v>
      </c>
      <c r="P73" s="12"/>
      <c r="Q73" s="12"/>
      <c r="R73" s="12">
        <v>0</v>
      </c>
      <c r="S73" s="12"/>
      <c r="T73" s="12"/>
      <c r="U73" s="12"/>
      <c r="V73" s="12">
        <f t="shared" si="15"/>
        <v>37.6</v>
      </c>
      <c r="W73" s="4">
        <f>11*V73-U73-T73-S73-R73-Q73-P73-O73-F73</f>
        <v>129.60000000000002</v>
      </c>
      <c r="X73" s="12">
        <f t="shared" si="16"/>
        <v>11</v>
      </c>
      <c r="Y73" s="12">
        <f t="shared" si="17"/>
        <v>7.5531914893617023</v>
      </c>
      <c r="Z73" s="12">
        <v>24</v>
      </c>
      <c r="AA73" s="12">
        <v>30</v>
      </c>
      <c r="AB73" s="12">
        <v>37.799999999999997</v>
      </c>
      <c r="AC73" s="12">
        <v>26.4</v>
      </c>
      <c r="AD73" s="12">
        <v>26</v>
      </c>
      <c r="AE73" s="12">
        <v>27</v>
      </c>
      <c r="AF73" s="12">
        <v>28.2</v>
      </c>
      <c r="AG73" s="12">
        <v>25.8</v>
      </c>
      <c r="AH73" s="12">
        <v>29.8</v>
      </c>
      <c r="AI73" s="12">
        <v>31.6</v>
      </c>
      <c r="AJ73" s="12"/>
      <c r="AK73" s="12">
        <f t="shared" si="13"/>
        <v>42.768000000000008</v>
      </c>
      <c r="AL73" s="12"/>
      <c r="AM73" s="12"/>
      <c r="AN73" s="12"/>
      <c r="AO73" s="12"/>
      <c r="AP73" s="12"/>
      <c r="AQ73" s="12"/>
    </row>
    <row r="74" spans="1:43" x14ac:dyDescent="0.25">
      <c r="A74" s="12" t="s">
        <v>116</v>
      </c>
      <c r="B74" s="12" t="s">
        <v>45</v>
      </c>
      <c r="C74" s="12">
        <v>133</v>
      </c>
      <c r="D74" s="12">
        <v>72</v>
      </c>
      <c r="E74" s="12">
        <v>155</v>
      </c>
      <c r="F74" s="12">
        <v>43</v>
      </c>
      <c r="G74" s="13">
        <v>0.35</v>
      </c>
      <c r="H74" s="12">
        <v>90</v>
      </c>
      <c r="I74" s="7" t="s">
        <v>52</v>
      </c>
      <c r="J74" s="12"/>
      <c r="K74" s="12">
        <v>160</v>
      </c>
      <c r="L74" s="12">
        <f t="shared" si="14"/>
        <v>-5</v>
      </c>
      <c r="M74" s="12"/>
      <c r="N74" s="12"/>
      <c r="O74" s="12"/>
      <c r="P74" s="12"/>
      <c r="Q74" s="12"/>
      <c r="R74" s="12">
        <v>124.6</v>
      </c>
      <c r="S74" s="12">
        <v>-128</v>
      </c>
      <c r="T74" s="12"/>
      <c r="U74" s="12"/>
      <c r="V74" s="12">
        <f t="shared" si="15"/>
        <v>31</v>
      </c>
      <c r="W74" s="4">
        <v>100</v>
      </c>
      <c r="X74" s="12">
        <f t="shared" si="16"/>
        <v>4.5032258064516126</v>
      </c>
      <c r="Y74" s="12">
        <f t="shared" si="17"/>
        <v>1.2774193548387094</v>
      </c>
      <c r="Z74" s="12">
        <v>23.2</v>
      </c>
      <c r="AA74" s="12">
        <v>17</v>
      </c>
      <c r="AB74" s="12">
        <v>15.4</v>
      </c>
      <c r="AC74" s="12">
        <v>16.600000000000001</v>
      </c>
      <c r="AD74" s="12">
        <v>20</v>
      </c>
      <c r="AE74" s="12">
        <v>29.8</v>
      </c>
      <c r="AF74" s="12">
        <v>29</v>
      </c>
      <c r="AG74" s="12">
        <v>21.4</v>
      </c>
      <c r="AH74" s="12">
        <v>22</v>
      </c>
      <c r="AI74" s="12">
        <v>21.8</v>
      </c>
      <c r="AJ74" s="12"/>
      <c r="AK74" s="12">
        <f t="shared" si="13"/>
        <v>35</v>
      </c>
      <c r="AL74" s="12"/>
      <c r="AM74" s="12"/>
      <c r="AN74" s="12"/>
      <c r="AO74" s="12"/>
      <c r="AP74" s="12"/>
      <c r="AQ74" s="12"/>
    </row>
    <row r="75" spans="1:43" x14ac:dyDescent="0.25">
      <c r="A75" s="12" t="s">
        <v>117</v>
      </c>
      <c r="B75" s="12" t="s">
        <v>45</v>
      </c>
      <c r="C75" s="12">
        <v>675</v>
      </c>
      <c r="D75" s="12">
        <v>440</v>
      </c>
      <c r="E75" s="12">
        <v>572</v>
      </c>
      <c r="F75" s="12">
        <v>504</v>
      </c>
      <c r="G75" s="13">
        <v>0.37</v>
      </c>
      <c r="H75" s="12">
        <v>50</v>
      </c>
      <c r="I75" s="12" t="s">
        <v>41</v>
      </c>
      <c r="J75" s="12"/>
      <c r="K75" s="12">
        <v>580</v>
      </c>
      <c r="L75" s="12">
        <f t="shared" si="14"/>
        <v>-8</v>
      </c>
      <c r="M75" s="12"/>
      <c r="N75" s="12"/>
      <c r="O75" s="12"/>
      <c r="P75" s="12"/>
      <c r="Q75" s="12"/>
      <c r="R75" s="12">
        <v>174.6</v>
      </c>
      <c r="S75" s="12"/>
      <c r="T75" s="12"/>
      <c r="U75" s="12">
        <v>275.39999999999998</v>
      </c>
      <c r="V75" s="12">
        <f t="shared" si="15"/>
        <v>114.4</v>
      </c>
      <c r="W75" s="4">
        <f>11*V75-U75-T75-S75-R75-Q75-P75-O75-F75</f>
        <v>304.40000000000009</v>
      </c>
      <c r="X75" s="12">
        <f t="shared" si="16"/>
        <v>11</v>
      </c>
      <c r="Y75" s="12">
        <f t="shared" si="17"/>
        <v>8.3391608391608383</v>
      </c>
      <c r="Z75" s="12">
        <v>101.2</v>
      </c>
      <c r="AA75" s="12">
        <v>91.8</v>
      </c>
      <c r="AB75" s="12">
        <v>81.400000000000006</v>
      </c>
      <c r="AC75" s="12">
        <v>102.6</v>
      </c>
      <c r="AD75" s="12">
        <v>100</v>
      </c>
      <c r="AE75" s="12">
        <v>93.6</v>
      </c>
      <c r="AF75" s="12">
        <v>104.8</v>
      </c>
      <c r="AG75" s="12">
        <v>111.2</v>
      </c>
      <c r="AH75" s="12">
        <v>113</v>
      </c>
      <c r="AI75" s="12">
        <v>100</v>
      </c>
      <c r="AJ75" s="12"/>
      <c r="AK75" s="12">
        <f t="shared" si="13"/>
        <v>112.62800000000003</v>
      </c>
      <c r="AL75" s="12"/>
      <c r="AM75" s="12"/>
      <c r="AN75" s="12"/>
      <c r="AO75" s="12"/>
      <c r="AP75" s="12"/>
      <c r="AQ75" s="12"/>
    </row>
    <row r="76" spans="1:43" x14ac:dyDescent="0.25">
      <c r="A76" s="12" t="s">
        <v>118</v>
      </c>
      <c r="B76" s="12" t="s">
        <v>45</v>
      </c>
      <c r="C76" s="12">
        <v>180</v>
      </c>
      <c r="D76" s="12">
        <v>160</v>
      </c>
      <c r="E76" s="12">
        <v>243</v>
      </c>
      <c r="F76" s="12">
        <v>85</v>
      </c>
      <c r="G76" s="13">
        <v>0.6</v>
      </c>
      <c r="H76" s="12">
        <v>70</v>
      </c>
      <c r="I76" s="12" t="s">
        <v>41</v>
      </c>
      <c r="J76" s="12"/>
      <c r="K76" s="12">
        <v>243</v>
      </c>
      <c r="L76" s="12">
        <f t="shared" si="14"/>
        <v>0</v>
      </c>
      <c r="M76" s="12"/>
      <c r="N76" s="12"/>
      <c r="O76" s="12"/>
      <c r="P76" s="12"/>
      <c r="Q76" s="12"/>
      <c r="R76" s="12">
        <v>120.5</v>
      </c>
      <c r="S76" s="12"/>
      <c r="T76" s="12"/>
      <c r="U76" s="12"/>
      <c r="V76" s="12">
        <f t="shared" si="15"/>
        <v>48.6</v>
      </c>
      <c r="W76" s="4">
        <f>10*V76-U76-T76-S76-R76-Q76-P76-O76-F76</f>
        <v>280.5</v>
      </c>
      <c r="X76" s="12">
        <f t="shared" si="16"/>
        <v>10</v>
      </c>
      <c r="Y76" s="12">
        <f t="shared" si="17"/>
        <v>4.2283950617283947</v>
      </c>
      <c r="Z76" s="12">
        <v>30.2</v>
      </c>
      <c r="AA76" s="12">
        <v>27.8</v>
      </c>
      <c r="AB76" s="12">
        <v>25.6</v>
      </c>
      <c r="AC76" s="12">
        <v>22.8</v>
      </c>
      <c r="AD76" s="12">
        <v>23.6</v>
      </c>
      <c r="AE76" s="12">
        <v>26.2</v>
      </c>
      <c r="AF76" s="12">
        <v>25.4</v>
      </c>
      <c r="AG76" s="12">
        <v>23.8</v>
      </c>
      <c r="AH76" s="12">
        <v>19.600000000000001</v>
      </c>
      <c r="AI76" s="12">
        <v>22.8</v>
      </c>
      <c r="AJ76" s="12"/>
      <c r="AK76" s="12">
        <f t="shared" si="13"/>
        <v>168.29999999999998</v>
      </c>
      <c r="AL76" s="12"/>
      <c r="AM76" s="12"/>
      <c r="AN76" s="12"/>
      <c r="AO76" s="12"/>
      <c r="AP76" s="12"/>
      <c r="AQ76" s="12"/>
    </row>
    <row r="77" spans="1:43" x14ac:dyDescent="0.25">
      <c r="A77" s="12" t="s">
        <v>119</v>
      </c>
      <c r="B77" s="12" t="s">
        <v>45</v>
      </c>
      <c r="C77" s="12">
        <v>32</v>
      </c>
      <c r="D77" s="12">
        <v>103</v>
      </c>
      <c r="E77" s="12">
        <v>45</v>
      </c>
      <c r="F77" s="12">
        <v>80</v>
      </c>
      <c r="G77" s="13">
        <v>0.33</v>
      </c>
      <c r="H77" s="12">
        <v>40</v>
      </c>
      <c r="I77" s="12" t="s">
        <v>41</v>
      </c>
      <c r="J77" s="12"/>
      <c r="K77" s="12">
        <v>76</v>
      </c>
      <c r="L77" s="12">
        <f t="shared" si="14"/>
        <v>-31</v>
      </c>
      <c r="M77" s="12"/>
      <c r="N77" s="12"/>
      <c r="O77" s="12"/>
      <c r="P77" s="12"/>
      <c r="Q77" s="12"/>
      <c r="R77" s="12">
        <v>0</v>
      </c>
      <c r="S77" s="12"/>
      <c r="T77" s="12"/>
      <c r="U77" s="12"/>
      <c r="V77" s="12">
        <f t="shared" si="15"/>
        <v>9</v>
      </c>
      <c r="W77" s="4">
        <f>11*V77-U77-T77-S77-R77-Q77-P77-O77-F77</f>
        <v>19</v>
      </c>
      <c r="X77" s="12">
        <f t="shared" si="16"/>
        <v>11</v>
      </c>
      <c r="Y77" s="12">
        <f t="shared" si="17"/>
        <v>8.8888888888888893</v>
      </c>
      <c r="Z77" s="12">
        <v>8.1999999999999993</v>
      </c>
      <c r="AA77" s="12">
        <v>11.4</v>
      </c>
      <c r="AB77" s="12">
        <v>12</v>
      </c>
      <c r="AC77" s="12">
        <v>5.4</v>
      </c>
      <c r="AD77" s="12">
        <v>-0.2</v>
      </c>
      <c r="AE77" s="12">
        <v>10</v>
      </c>
      <c r="AF77" s="12">
        <v>13.8</v>
      </c>
      <c r="AG77" s="12">
        <v>6.2</v>
      </c>
      <c r="AH77" s="12">
        <v>5.6</v>
      </c>
      <c r="AI77" s="12">
        <v>8.8000000000000007</v>
      </c>
      <c r="AJ77" s="12"/>
      <c r="AK77" s="12">
        <f t="shared" si="13"/>
        <v>6.2700000000000005</v>
      </c>
      <c r="AL77" s="12"/>
      <c r="AM77" s="12"/>
      <c r="AN77" s="12"/>
      <c r="AO77" s="12"/>
      <c r="AP77" s="12"/>
      <c r="AQ77" s="12"/>
    </row>
    <row r="78" spans="1:43" x14ac:dyDescent="0.25">
      <c r="A78" s="12" t="s">
        <v>120</v>
      </c>
      <c r="B78" s="12" t="s">
        <v>45</v>
      </c>
      <c r="C78" s="12">
        <v>397</v>
      </c>
      <c r="D78" s="12">
        <v>312</v>
      </c>
      <c r="E78" s="12">
        <v>282</v>
      </c>
      <c r="F78" s="12">
        <v>398</v>
      </c>
      <c r="G78" s="13">
        <v>0.4</v>
      </c>
      <c r="H78" s="12">
        <v>55</v>
      </c>
      <c r="I78" s="12" t="s">
        <v>41</v>
      </c>
      <c r="J78" s="12"/>
      <c r="K78" s="12">
        <v>285</v>
      </c>
      <c r="L78" s="12">
        <f t="shared" si="14"/>
        <v>-3</v>
      </c>
      <c r="M78" s="12"/>
      <c r="N78" s="12"/>
      <c r="O78" s="12"/>
      <c r="P78" s="12"/>
      <c r="Q78" s="12"/>
      <c r="R78" s="12">
        <v>60.350000000000023</v>
      </c>
      <c r="S78" s="12"/>
      <c r="T78" s="12"/>
      <c r="U78" s="12"/>
      <c r="V78" s="12">
        <f t="shared" si="15"/>
        <v>56.4</v>
      </c>
      <c r="W78" s="4">
        <f>11*V78-U78-T78-S78-R78-Q78-P78-O78-F78</f>
        <v>162.04999999999995</v>
      </c>
      <c r="X78" s="12">
        <f t="shared" si="16"/>
        <v>11</v>
      </c>
      <c r="Y78" s="12">
        <f t="shared" si="17"/>
        <v>8.12677304964539</v>
      </c>
      <c r="Z78" s="12">
        <v>55.6</v>
      </c>
      <c r="AA78" s="12">
        <v>60.4</v>
      </c>
      <c r="AB78" s="12">
        <v>55</v>
      </c>
      <c r="AC78" s="12">
        <v>52</v>
      </c>
      <c r="AD78" s="12">
        <v>54.4</v>
      </c>
      <c r="AE78" s="12">
        <v>57.4</v>
      </c>
      <c r="AF78" s="12">
        <v>51.8</v>
      </c>
      <c r="AG78" s="12">
        <v>49.2</v>
      </c>
      <c r="AH78" s="12">
        <v>55.8</v>
      </c>
      <c r="AI78" s="12">
        <v>49.8</v>
      </c>
      <c r="AJ78" s="12"/>
      <c r="AK78" s="12">
        <f t="shared" si="13"/>
        <v>64.819999999999979</v>
      </c>
      <c r="AL78" s="12"/>
      <c r="AM78" s="12"/>
      <c r="AN78" s="12"/>
      <c r="AO78" s="12"/>
      <c r="AP78" s="12"/>
      <c r="AQ78" s="12"/>
    </row>
    <row r="79" spans="1:43" x14ac:dyDescent="0.25">
      <c r="A79" s="12" t="s">
        <v>121</v>
      </c>
      <c r="B79" s="12" t="s">
        <v>45</v>
      </c>
      <c r="C79" s="12"/>
      <c r="D79" s="12">
        <v>54</v>
      </c>
      <c r="E79" s="12">
        <v>51</v>
      </c>
      <c r="F79" s="12"/>
      <c r="G79" s="13">
        <v>0.35</v>
      </c>
      <c r="H79" s="12">
        <v>40</v>
      </c>
      <c r="I79" s="7" t="s">
        <v>52</v>
      </c>
      <c r="J79" s="12"/>
      <c r="K79" s="12">
        <v>228</v>
      </c>
      <c r="L79" s="12">
        <f t="shared" si="14"/>
        <v>-177</v>
      </c>
      <c r="M79" s="12"/>
      <c r="N79" s="12"/>
      <c r="O79" s="12"/>
      <c r="P79" s="12"/>
      <c r="Q79" s="12"/>
      <c r="R79" s="12">
        <v>50</v>
      </c>
      <c r="S79" s="12">
        <v>-54</v>
      </c>
      <c r="T79" s="12"/>
      <c r="U79" s="12">
        <v>50</v>
      </c>
      <c r="V79" s="12">
        <f t="shared" si="15"/>
        <v>10.199999999999999</v>
      </c>
      <c r="W79" s="4">
        <v>100</v>
      </c>
      <c r="X79" s="12">
        <f t="shared" si="16"/>
        <v>14.313725490196079</v>
      </c>
      <c r="Y79" s="12">
        <f t="shared" si="17"/>
        <v>4.5098039215686274</v>
      </c>
      <c r="Z79" s="12">
        <v>-0.4</v>
      </c>
      <c r="AA79" s="12">
        <v>-0.4</v>
      </c>
      <c r="AB79" s="12">
        <v>-0.2</v>
      </c>
      <c r="AC79" s="12">
        <v>6</v>
      </c>
      <c r="AD79" s="12">
        <v>17.399999999999999</v>
      </c>
      <c r="AE79" s="12">
        <v>31.2</v>
      </c>
      <c r="AF79" s="12">
        <v>23</v>
      </c>
      <c r="AG79" s="12">
        <v>3.2</v>
      </c>
      <c r="AH79" s="12">
        <v>15</v>
      </c>
      <c r="AI79" s="12">
        <v>25.4</v>
      </c>
      <c r="AJ79" s="12"/>
      <c r="AK79" s="12">
        <f t="shared" si="13"/>
        <v>35</v>
      </c>
      <c r="AL79" s="12"/>
      <c r="AM79" s="12"/>
      <c r="AN79" s="12"/>
      <c r="AO79" s="12"/>
      <c r="AP79" s="12"/>
      <c r="AQ79" s="12"/>
    </row>
    <row r="80" spans="1:43" x14ac:dyDescent="0.25">
      <c r="A80" s="12" t="s">
        <v>122</v>
      </c>
      <c r="B80" s="12" t="s">
        <v>45</v>
      </c>
      <c r="C80" s="12"/>
      <c r="D80" s="12">
        <v>156</v>
      </c>
      <c r="E80" s="12"/>
      <c r="F80" s="12">
        <v>150</v>
      </c>
      <c r="G80" s="13">
        <v>0.35</v>
      </c>
      <c r="H80" s="12">
        <v>45</v>
      </c>
      <c r="I80" s="7" t="s">
        <v>52</v>
      </c>
      <c r="J80" s="12"/>
      <c r="K80" s="12">
        <v>49</v>
      </c>
      <c r="L80" s="12">
        <f t="shared" si="14"/>
        <v>-49</v>
      </c>
      <c r="M80" s="12"/>
      <c r="N80" s="12"/>
      <c r="O80" s="12">
        <v>75</v>
      </c>
      <c r="P80" s="12"/>
      <c r="Q80" s="12"/>
      <c r="R80" s="12">
        <v>80</v>
      </c>
      <c r="S80" s="12"/>
      <c r="T80" s="12"/>
      <c r="U80" s="12">
        <v>50</v>
      </c>
      <c r="V80" s="12">
        <f t="shared" si="15"/>
        <v>0</v>
      </c>
      <c r="W80" s="4"/>
      <c r="X80" s="12" t="e">
        <f t="shared" si="16"/>
        <v>#DIV/0!</v>
      </c>
      <c r="Y80" s="12" t="e">
        <f t="shared" si="17"/>
        <v>#DIV/0!</v>
      </c>
      <c r="Z80" s="12">
        <v>26.4</v>
      </c>
      <c r="AA80" s="12">
        <v>35.6</v>
      </c>
      <c r="AB80" s="12">
        <v>42.2</v>
      </c>
      <c r="AC80" s="12">
        <v>46.2</v>
      </c>
      <c r="AD80" s="12">
        <v>38.4</v>
      </c>
      <c r="AE80" s="12">
        <v>35.200000000000003</v>
      </c>
      <c r="AF80" s="12">
        <v>32.200000000000003</v>
      </c>
      <c r="AG80" s="12">
        <v>24.2</v>
      </c>
      <c r="AH80" s="12">
        <v>3.6</v>
      </c>
      <c r="AI80" s="12">
        <v>9.6</v>
      </c>
      <c r="AJ80" s="12"/>
      <c r="AK80" s="12">
        <f t="shared" si="13"/>
        <v>0</v>
      </c>
      <c r="AL80" s="12"/>
      <c r="AM80" s="12"/>
      <c r="AN80" s="12"/>
      <c r="AO80" s="12"/>
      <c r="AP80" s="12"/>
      <c r="AQ80" s="12"/>
    </row>
    <row r="81" spans="1:43" x14ac:dyDescent="0.25">
      <c r="A81" s="12" t="s">
        <v>123</v>
      </c>
      <c r="B81" s="12" t="s">
        <v>45</v>
      </c>
      <c r="C81" s="12">
        <v>20</v>
      </c>
      <c r="D81" s="12">
        <v>390</v>
      </c>
      <c r="E81" s="12">
        <v>96</v>
      </c>
      <c r="F81" s="12">
        <v>314</v>
      </c>
      <c r="G81" s="13">
        <v>0.4</v>
      </c>
      <c r="H81" s="12">
        <v>55</v>
      </c>
      <c r="I81" s="12" t="s">
        <v>41</v>
      </c>
      <c r="J81" s="12"/>
      <c r="K81" s="12">
        <v>98</v>
      </c>
      <c r="L81" s="12">
        <f t="shared" si="14"/>
        <v>-2</v>
      </c>
      <c r="M81" s="12"/>
      <c r="N81" s="12"/>
      <c r="O81" s="12"/>
      <c r="P81" s="12"/>
      <c r="Q81" s="12"/>
      <c r="R81" s="12">
        <v>15.799999999999979</v>
      </c>
      <c r="S81" s="12"/>
      <c r="T81" s="12"/>
      <c r="U81" s="12"/>
      <c r="V81" s="12">
        <f t="shared" si="15"/>
        <v>19.2</v>
      </c>
      <c r="W81" s="4"/>
      <c r="X81" s="12">
        <f t="shared" si="16"/>
        <v>17.177083333333332</v>
      </c>
      <c r="Y81" s="12">
        <f t="shared" si="17"/>
        <v>17.177083333333332</v>
      </c>
      <c r="Z81" s="12">
        <v>36</v>
      </c>
      <c r="AA81" s="12">
        <v>36.200000000000003</v>
      </c>
      <c r="AB81" s="12">
        <v>32.200000000000003</v>
      </c>
      <c r="AC81" s="12">
        <v>34.4</v>
      </c>
      <c r="AD81" s="12">
        <v>26.8</v>
      </c>
      <c r="AE81" s="12">
        <v>24</v>
      </c>
      <c r="AF81" s="12">
        <v>16.399999999999999</v>
      </c>
      <c r="AG81" s="12">
        <v>27.2</v>
      </c>
      <c r="AH81" s="12">
        <v>12.6</v>
      </c>
      <c r="AI81" s="12">
        <v>11.8</v>
      </c>
      <c r="AJ81" s="12"/>
      <c r="AK81" s="12">
        <f t="shared" si="13"/>
        <v>0</v>
      </c>
      <c r="AL81" s="12"/>
      <c r="AM81" s="12"/>
      <c r="AN81" s="12"/>
      <c r="AO81" s="12"/>
      <c r="AP81" s="12"/>
      <c r="AQ81" s="12"/>
    </row>
    <row r="82" spans="1:43" x14ac:dyDescent="0.25">
      <c r="A82" s="12" t="s">
        <v>124</v>
      </c>
      <c r="B82" s="12" t="s">
        <v>40</v>
      </c>
      <c r="C82" s="12">
        <v>47.192999999999998</v>
      </c>
      <c r="D82" s="12">
        <v>4.3250000000000002</v>
      </c>
      <c r="E82" s="12">
        <v>16.722999999999999</v>
      </c>
      <c r="F82" s="12">
        <v>18.5</v>
      </c>
      <c r="G82" s="13">
        <v>1</v>
      </c>
      <c r="H82" s="12">
        <v>55</v>
      </c>
      <c r="I82" s="12" t="s">
        <v>41</v>
      </c>
      <c r="J82" s="12"/>
      <c r="K82" s="12">
        <v>19.649999999999999</v>
      </c>
      <c r="L82" s="12">
        <f t="shared" si="14"/>
        <v>-2.9269999999999996</v>
      </c>
      <c r="M82" s="12"/>
      <c r="N82" s="12"/>
      <c r="O82" s="12"/>
      <c r="P82" s="12"/>
      <c r="Q82" s="12"/>
      <c r="R82" s="12">
        <v>0</v>
      </c>
      <c r="S82" s="12"/>
      <c r="T82" s="12"/>
      <c r="U82" s="12"/>
      <c r="V82" s="12">
        <f t="shared" si="15"/>
        <v>3.3445999999999998</v>
      </c>
      <c r="W82" s="4">
        <f>11*V82-U82-T82-S82-R82-Q82-P82-O82-F82</f>
        <v>18.290599999999998</v>
      </c>
      <c r="X82" s="12">
        <f t="shared" si="16"/>
        <v>11</v>
      </c>
      <c r="Y82" s="12">
        <f t="shared" si="17"/>
        <v>5.5313041918316097</v>
      </c>
      <c r="Z82" s="12">
        <v>3.0251999999999999</v>
      </c>
      <c r="AA82" s="12">
        <v>1.9418</v>
      </c>
      <c r="AB82" s="12">
        <v>2.1454</v>
      </c>
      <c r="AC82" s="12">
        <v>3.6688000000000001</v>
      </c>
      <c r="AD82" s="12">
        <v>4.3439999999999994</v>
      </c>
      <c r="AE82" s="12">
        <v>2.5808</v>
      </c>
      <c r="AF82" s="12">
        <v>3.1728000000000001</v>
      </c>
      <c r="AG82" s="12">
        <v>2.5781999999999998</v>
      </c>
      <c r="AH82" s="12">
        <v>1.9770000000000001</v>
      </c>
      <c r="AI82" s="12">
        <v>1.7008000000000001</v>
      </c>
      <c r="AJ82" s="12"/>
      <c r="AK82" s="12">
        <f t="shared" si="13"/>
        <v>18.290599999999998</v>
      </c>
      <c r="AL82" s="12"/>
      <c r="AM82" s="12"/>
      <c r="AN82" s="12"/>
      <c r="AO82" s="12"/>
      <c r="AP82" s="12"/>
      <c r="AQ82" s="12"/>
    </row>
    <row r="83" spans="1:43" x14ac:dyDescent="0.25">
      <c r="A83" s="12" t="s">
        <v>125</v>
      </c>
      <c r="B83" s="12" t="s">
        <v>40</v>
      </c>
      <c r="C83" s="12">
        <v>419.63099999999997</v>
      </c>
      <c r="D83" s="12">
        <v>135.94900000000001</v>
      </c>
      <c r="E83" s="12">
        <v>143.30699999999999</v>
      </c>
      <c r="F83" s="12">
        <v>358.387</v>
      </c>
      <c r="G83" s="13">
        <v>1</v>
      </c>
      <c r="H83" s="12">
        <v>55</v>
      </c>
      <c r="I83" s="12" t="s">
        <v>41</v>
      </c>
      <c r="J83" s="12"/>
      <c r="K83" s="12">
        <v>156.80000000000001</v>
      </c>
      <c r="L83" s="12">
        <f t="shared" si="14"/>
        <v>-13.493000000000023</v>
      </c>
      <c r="M83" s="12"/>
      <c r="N83" s="12"/>
      <c r="O83" s="12"/>
      <c r="P83" s="12"/>
      <c r="Q83" s="12"/>
      <c r="R83" s="12">
        <v>0</v>
      </c>
      <c r="S83" s="12"/>
      <c r="T83" s="12"/>
      <c r="U83" s="12"/>
      <c r="V83" s="12">
        <f t="shared" si="15"/>
        <v>28.661399999999997</v>
      </c>
      <c r="W83" s="4"/>
      <c r="X83" s="12">
        <f t="shared" si="16"/>
        <v>12.50416937065182</v>
      </c>
      <c r="Y83" s="12">
        <f t="shared" si="17"/>
        <v>12.50416937065182</v>
      </c>
      <c r="Z83" s="12">
        <v>27.568000000000001</v>
      </c>
      <c r="AA83" s="12">
        <v>29.284600000000001</v>
      </c>
      <c r="AB83" s="12">
        <v>38.7044</v>
      </c>
      <c r="AC83" s="12">
        <v>42.098200000000013</v>
      </c>
      <c r="AD83" s="12">
        <v>51.278799999999997</v>
      </c>
      <c r="AE83" s="12">
        <v>46.261600000000001</v>
      </c>
      <c r="AF83" s="12">
        <v>53.542400000000001</v>
      </c>
      <c r="AG83" s="12">
        <v>48.606000000000002</v>
      </c>
      <c r="AH83" s="12">
        <v>44.576599999999999</v>
      </c>
      <c r="AI83" s="12">
        <v>42.3018</v>
      </c>
      <c r="AJ83" s="12"/>
      <c r="AK83" s="12">
        <f t="shared" si="13"/>
        <v>0</v>
      </c>
      <c r="AL83" s="12"/>
      <c r="AM83" s="12"/>
      <c r="AN83" s="12"/>
      <c r="AO83" s="12"/>
      <c r="AP83" s="12"/>
      <c r="AQ83" s="12"/>
    </row>
    <row r="84" spans="1:43" x14ac:dyDescent="0.25">
      <c r="A84" s="12" t="s">
        <v>126</v>
      </c>
      <c r="B84" s="12" t="s">
        <v>40</v>
      </c>
      <c r="C84" s="12">
        <v>851.69500000000005</v>
      </c>
      <c r="D84" s="12">
        <v>955.13</v>
      </c>
      <c r="E84" s="12">
        <v>808.01199999999994</v>
      </c>
      <c r="F84" s="12">
        <v>954.57500000000005</v>
      </c>
      <c r="G84" s="13">
        <v>1</v>
      </c>
      <c r="H84" s="12">
        <v>60</v>
      </c>
      <c r="I84" s="12" t="s">
        <v>41</v>
      </c>
      <c r="J84" s="12"/>
      <c r="K84" s="12">
        <v>808.06</v>
      </c>
      <c r="L84" s="12">
        <f t="shared" si="14"/>
        <v>-4.8000000000001819E-2</v>
      </c>
      <c r="M84" s="12"/>
      <c r="N84" s="12"/>
      <c r="O84" s="12">
        <v>188.4531998832</v>
      </c>
      <c r="P84" s="12"/>
      <c r="Q84" s="12"/>
      <c r="R84" s="12">
        <v>213.4</v>
      </c>
      <c r="S84" s="12"/>
      <c r="T84" s="12"/>
      <c r="U84" s="12">
        <v>336.6</v>
      </c>
      <c r="V84" s="12">
        <f t="shared" si="15"/>
        <v>161.60239999999999</v>
      </c>
      <c r="W84" s="4">
        <f>11*V84-U84-T84-S84-R84-Q84-P84-O84-F84</f>
        <v>84.598200116799717</v>
      </c>
      <c r="X84" s="12">
        <f t="shared" si="16"/>
        <v>11</v>
      </c>
      <c r="Y84" s="12">
        <f t="shared" si="17"/>
        <v>10.476504061098105</v>
      </c>
      <c r="Z84" s="12">
        <v>168.8852</v>
      </c>
      <c r="AA84" s="12">
        <v>173.46860000000001</v>
      </c>
      <c r="AB84" s="12">
        <v>131.9092</v>
      </c>
      <c r="AC84" s="12">
        <v>126.0938</v>
      </c>
      <c r="AD84" s="12">
        <v>156.63380000000001</v>
      </c>
      <c r="AE84" s="12">
        <v>149.66300000000001</v>
      </c>
      <c r="AF84" s="12">
        <v>165.05600000000001</v>
      </c>
      <c r="AG84" s="12">
        <v>161.7576</v>
      </c>
      <c r="AH84" s="12">
        <v>146.61940000000001</v>
      </c>
      <c r="AI84" s="12">
        <v>153.85120000000001</v>
      </c>
      <c r="AJ84" s="12"/>
      <c r="AK84" s="12">
        <f t="shared" si="13"/>
        <v>84.598200116799717</v>
      </c>
      <c r="AL84" s="12"/>
      <c r="AM84" s="12"/>
      <c r="AN84" s="12"/>
      <c r="AO84" s="12"/>
      <c r="AP84" s="12"/>
      <c r="AQ84" s="12"/>
    </row>
    <row r="85" spans="1:43" x14ac:dyDescent="0.25">
      <c r="A85" s="8" t="s">
        <v>127</v>
      </c>
      <c r="B85" s="8" t="s">
        <v>45</v>
      </c>
      <c r="C85" s="8"/>
      <c r="D85" s="8"/>
      <c r="E85" s="8"/>
      <c r="F85" s="8"/>
      <c r="G85" s="9">
        <v>0</v>
      </c>
      <c r="H85" s="8"/>
      <c r="I85" s="8" t="s">
        <v>41</v>
      </c>
      <c r="J85" s="8"/>
      <c r="K85" s="8"/>
      <c r="L85" s="8">
        <f t="shared" si="14"/>
        <v>0</v>
      </c>
      <c r="M85" s="8"/>
      <c r="N85" s="8"/>
      <c r="O85" s="8"/>
      <c r="P85" s="8"/>
      <c r="Q85" s="8"/>
      <c r="R85" s="8">
        <v>0</v>
      </c>
      <c r="S85" s="8"/>
      <c r="T85" s="8"/>
      <c r="U85" s="8"/>
      <c r="V85" s="8">
        <f t="shared" si="15"/>
        <v>0</v>
      </c>
      <c r="W85" s="10"/>
      <c r="X85" s="8" t="e">
        <f t="shared" si="16"/>
        <v>#DIV/0!</v>
      </c>
      <c r="Y85" s="8" t="e">
        <f t="shared" si="17"/>
        <v>#DIV/0!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  <c r="AJ85" s="8" t="s">
        <v>46</v>
      </c>
      <c r="AK85" s="8"/>
      <c r="AL85" s="12"/>
      <c r="AM85" s="12"/>
      <c r="AN85" s="12"/>
      <c r="AO85" s="12"/>
      <c r="AP85" s="12"/>
      <c r="AQ85" s="12"/>
    </row>
    <row r="86" spans="1:43" x14ac:dyDescent="0.25">
      <c r="A86" s="12" t="s">
        <v>128</v>
      </c>
      <c r="B86" s="12" t="s">
        <v>40</v>
      </c>
      <c r="C86" s="12">
        <v>3263.2190000000001</v>
      </c>
      <c r="D86" s="12">
        <v>1877.55</v>
      </c>
      <c r="E86" s="12">
        <v>2901.0210000000002</v>
      </c>
      <c r="F86" s="12">
        <v>2055.8760000000002</v>
      </c>
      <c r="G86" s="13">
        <v>1</v>
      </c>
      <c r="H86" s="12">
        <v>60</v>
      </c>
      <c r="I86" s="12" t="s">
        <v>41</v>
      </c>
      <c r="J86" s="12"/>
      <c r="K86" s="12">
        <v>2900.3</v>
      </c>
      <c r="L86" s="12">
        <f t="shared" si="14"/>
        <v>0.72100000000000364</v>
      </c>
      <c r="M86" s="12"/>
      <c r="N86" s="12"/>
      <c r="O86" s="12">
        <v>279.78068000000019</v>
      </c>
      <c r="P86" s="12"/>
      <c r="Q86" s="12"/>
      <c r="R86" s="12">
        <v>907.29140119999988</v>
      </c>
      <c r="S86" s="12"/>
      <c r="T86" s="12">
        <v>780</v>
      </c>
      <c r="U86" s="12">
        <v>1431.0884988</v>
      </c>
      <c r="V86" s="12">
        <f t="shared" si="15"/>
        <v>580.20420000000001</v>
      </c>
      <c r="W86" s="4">
        <f t="shared" ref="W86:W88" si="18">10*V86-U86-T86-S86-R86-Q86-P86-O86-F86</f>
        <v>348.00541999999996</v>
      </c>
      <c r="X86" s="12">
        <f t="shared" si="16"/>
        <v>9.9999999999999982</v>
      </c>
      <c r="Y86" s="12">
        <f t="shared" si="17"/>
        <v>9.4002018254952304</v>
      </c>
      <c r="Z86" s="12">
        <v>540.80640000000005</v>
      </c>
      <c r="AA86" s="12">
        <v>482.77339999999998</v>
      </c>
      <c r="AB86" s="12">
        <v>374.46940000000001</v>
      </c>
      <c r="AC86" s="12">
        <v>330.53120000000001</v>
      </c>
      <c r="AD86" s="12">
        <v>384.51900000000001</v>
      </c>
      <c r="AE86" s="12">
        <v>398.24380000000002</v>
      </c>
      <c r="AF86" s="12">
        <v>447.41399999999999</v>
      </c>
      <c r="AG86" s="12">
        <v>441.04020000000003</v>
      </c>
      <c r="AH86" s="12">
        <v>428.07299999999998</v>
      </c>
      <c r="AI86" s="12">
        <v>430.87459999999999</v>
      </c>
      <c r="AJ86" s="12"/>
      <c r="AK86" s="12">
        <f t="shared" ref="AK86:AK91" si="19">G86*W86</f>
        <v>348.00541999999996</v>
      </c>
      <c r="AL86" s="12"/>
      <c r="AM86" s="12"/>
      <c r="AN86" s="12"/>
      <c r="AO86" s="12"/>
      <c r="AP86" s="12"/>
      <c r="AQ86" s="12"/>
    </row>
    <row r="87" spans="1:43" x14ac:dyDescent="0.25">
      <c r="A87" s="12" t="s">
        <v>129</v>
      </c>
      <c r="B87" s="12" t="s">
        <v>40</v>
      </c>
      <c r="C87" s="12">
        <v>3147.7130000000002</v>
      </c>
      <c r="D87" s="12">
        <v>1638.183</v>
      </c>
      <c r="E87" s="12">
        <v>2822.3159999999998</v>
      </c>
      <c r="F87" s="12">
        <v>1813.7529999999999</v>
      </c>
      <c r="G87" s="13">
        <v>1</v>
      </c>
      <c r="H87" s="12">
        <v>60</v>
      </c>
      <c r="I87" s="12" t="s">
        <v>41</v>
      </c>
      <c r="J87" s="12"/>
      <c r="K87" s="12">
        <v>2818.1</v>
      </c>
      <c r="L87" s="12">
        <f t="shared" si="14"/>
        <v>4.2159999999998945</v>
      </c>
      <c r="M87" s="12"/>
      <c r="N87" s="12"/>
      <c r="O87" s="12">
        <v>463.27400000000023</v>
      </c>
      <c r="P87" s="12"/>
      <c r="Q87" s="12"/>
      <c r="R87" s="12">
        <v>769.63493759999983</v>
      </c>
      <c r="S87" s="12"/>
      <c r="T87" s="12"/>
      <c r="U87" s="12">
        <v>1213.9602623999999</v>
      </c>
      <c r="V87" s="12">
        <f t="shared" si="15"/>
        <v>564.46319999999992</v>
      </c>
      <c r="W87" s="4">
        <f t="shared" si="18"/>
        <v>1384.0097999999996</v>
      </c>
      <c r="X87" s="12">
        <f t="shared" si="16"/>
        <v>10</v>
      </c>
      <c r="Y87" s="12">
        <f t="shared" si="17"/>
        <v>7.5480956065869318</v>
      </c>
      <c r="Z87" s="12">
        <v>484.53480000000002</v>
      </c>
      <c r="AA87" s="12">
        <v>439.11</v>
      </c>
      <c r="AB87" s="12">
        <v>325.41399999999999</v>
      </c>
      <c r="AC87" s="12">
        <v>311.01179999999999</v>
      </c>
      <c r="AD87" s="12">
        <v>381.4794</v>
      </c>
      <c r="AE87" s="12">
        <v>377.36160000000001</v>
      </c>
      <c r="AF87" s="12">
        <v>462.4796</v>
      </c>
      <c r="AG87" s="12">
        <v>465.33640000000003</v>
      </c>
      <c r="AH87" s="12">
        <v>430.09660000000002</v>
      </c>
      <c r="AI87" s="12">
        <v>430.392</v>
      </c>
      <c r="AJ87" s="12"/>
      <c r="AK87" s="12">
        <f t="shared" si="19"/>
        <v>1384.0097999999996</v>
      </c>
      <c r="AL87" s="12"/>
      <c r="AM87" s="12"/>
      <c r="AN87" s="12"/>
      <c r="AO87" s="12"/>
      <c r="AP87" s="12"/>
      <c r="AQ87" s="12"/>
    </row>
    <row r="88" spans="1:43" x14ac:dyDescent="0.25">
      <c r="A88" s="12" t="s">
        <v>130</v>
      </c>
      <c r="B88" s="12" t="s">
        <v>40</v>
      </c>
      <c r="C88" s="12">
        <v>4510.8789999999999</v>
      </c>
      <c r="D88" s="12">
        <v>1774.8219999999999</v>
      </c>
      <c r="E88" s="12">
        <v>2935.9670000000001</v>
      </c>
      <c r="F88" s="12">
        <v>3164.9679999999998</v>
      </c>
      <c r="G88" s="13">
        <v>1</v>
      </c>
      <c r="H88" s="12">
        <v>60</v>
      </c>
      <c r="I88" s="12" t="s">
        <v>41</v>
      </c>
      <c r="J88" s="12"/>
      <c r="K88" s="12">
        <v>2946.6</v>
      </c>
      <c r="L88" s="12">
        <f t="shared" si="14"/>
        <v>-10.632999999999811</v>
      </c>
      <c r="M88" s="12"/>
      <c r="N88" s="12"/>
      <c r="O88" s="12">
        <v>285.69835999999998</v>
      </c>
      <c r="P88" s="12"/>
      <c r="Q88" s="12"/>
      <c r="R88" s="12">
        <v>900.5780699999998</v>
      </c>
      <c r="S88" s="12"/>
      <c r="T88" s="12"/>
      <c r="U88" s="12">
        <v>1420.4994300000001</v>
      </c>
      <c r="V88" s="12">
        <f t="shared" si="15"/>
        <v>587.1934</v>
      </c>
      <c r="W88" s="4">
        <f t="shared" si="18"/>
        <v>100.19014000000107</v>
      </c>
      <c r="X88" s="12">
        <f t="shared" si="16"/>
        <v>10.000000000000002</v>
      </c>
      <c r="Y88" s="12">
        <f t="shared" si="17"/>
        <v>9.8293745467847558</v>
      </c>
      <c r="Z88" s="12">
        <v>598.42560000000003</v>
      </c>
      <c r="AA88" s="12">
        <v>557.10379999999998</v>
      </c>
      <c r="AB88" s="12">
        <v>421.68540000000002</v>
      </c>
      <c r="AC88" s="12">
        <v>393.09879999999998</v>
      </c>
      <c r="AD88" s="12">
        <v>476.79520000000002</v>
      </c>
      <c r="AE88" s="12">
        <v>487.5804</v>
      </c>
      <c r="AF88" s="12">
        <v>602.74900000000002</v>
      </c>
      <c r="AG88" s="12">
        <v>636.64959999999996</v>
      </c>
      <c r="AH88" s="12">
        <v>570.65219999999999</v>
      </c>
      <c r="AI88" s="12">
        <v>530.8288</v>
      </c>
      <c r="AJ88" s="12"/>
      <c r="AK88" s="12">
        <f t="shared" si="19"/>
        <v>100.19014000000107</v>
      </c>
      <c r="AL88" s="12"/>
      <c r="AM88" s="12"/>
      <c r="AN88" s="12"/>
      <c r="AO88" s="12"/>
      <c r="AP88" s="12"/>
      <c r="AQ88" s="12"/>
    </row>
    <row r="89" spans="1:43" x14ac:dyDescent="0.25">
      <c r="A89" s="12" t="s">
        <v>131</v>
      </c>
      <c r="B89" s="12" t="s">
        <v>40</v>
      </c>
      <c r="C89" s="12">
        <v>39.584000000000003</v>
      </c>
      <c r="D89" s="12">
        <v>42.87</v>
      </c>
      <c r="E89" s="12">
        <v>40.210999999999999</v>
      </c>
      <c r="F89" s="12">
        <v>40.896999999999998</v>
      </c>
      <c r="G89" s="13">
        <v>1</v>
      </c>
      <c r="H89" s="12">
        <v>55</v>
      </c>
      <c r="I89" s="12" t="s">
        <v>41</v>
      </c>
      <c r="J89" s="12"/>
      <c r="K89" s="12">
        <v>42.6</v>
      </c>
      <c r="L89" s="12">
        <f t="shared" si="14"/>
        <v>-2.3890000000000029</v>
      </c>
      <c r="M89" s="12"/>
      <c r="N89" s="12"/>
      <c r="O89" s="12"/>
      <c r="P89" s="12"/>
      <c r="Q89" s="12"/>
      <c r="R89" s="12">
        <v>0</v>
      </c>
      <c r="S89" s="12"/>
      <c r="T89" s="12"/>
      <c r="U89" s="12"/>
      <c r="V89" s="12">
        <f t="shared" si="15"/>
        <v>8.0421999999999993</v>
      </c>
      <c r="W89" s="4">
        <f>11*V89-U89-T89-S89-R89-Q89-P89-O89-F89</f>
        <v>47.567199999999993</v>
      </c>
      <c r="X89" s="12">
        <f t="shared" si="16"/>
        <v>11</v>
      </c>
      <c r="Y89" s="12">
        <f t="shared" si="17"/>
        <v>5.0853000422769892</v>
      </c>
      <c r="Z89" s="12">
        <v>5.9122000000000003</v>
      </c>
      <c r="AA89" s="12">
        <v>6.9909999999999997</v>
      </c>
      <c r="AB89" s="12">
        <v>2.9689999999999999</v>
      </c>
      <c r="AC89" s="12">
        <v>5.1075999999999997</v>
      </c>
      <c r="AD89" s="12">
        <v>11.430400000000001</v>
      </c>
      <c r="AE89" s="12">
        <v>8.48</v>
      </c>
      <c r="AF89" s="12">
        <v>2.9582000000000002</v>
      </c>
      <c r="AG89" s="12">
        <v>3.7658</v>
      </c>
      <c r="AH89" s="12">
        <v>7.8483999999999998</v>
      </c>
      <c r="AI89" s="12">
        <v>7.0462000000000007</v>
      </c>
      <c r="AJ89" s="12"/>
      <c r="AK89" s="12">
        <f t="shared" si="19"/>
        <v>47.567199999999993</v>
      </c>
      <c r="AL89" s="12"/>
      <c r="AM89" s="12"/>
      <c r="AN89" s="12"/>
      <c r="AO89" s="12"/>
      <c r="AP89" s="12"/>
      <c r="AQ89" s="12"/>
    </row>
    <row r="90" spans="1:43" x14ac:dyDescent="0.25">
      <c r="A90" s="12" t="s">
        <v>132</v>
      </c>
      <c r="B90" s="12" t="s">
        <v>45</v>
      </c>
      <c r="C90" s="12"/>
      <c r="D90" s="12"/>
      <c r="E90" s="12">
        <v>-10</v>
      </c>
      <c r="F90" s="12"/>
      <c r="G90" s="13">
        <v>0.3</v>
      </c>
      <c r="H90" s="12">
        <v>40</v>
      </c>
      <c r="I90" s="7" t="s">
        <v>52</v>
      </c>
      <c r="J90" s="12"/>
      <c r="K90" s="12">
        <v>2</v>
      </c>
      <c r="L90" s="12">
        <f t="shared" si="14"/>
        <v>-12</v>
      </c>
      <c r="M90" s="12"/>
      <c r="N90" s="12"/>
      <c r="O90" s="12"/>
      <c r="P90" s="12"/>
      <c r="Q90" s="12"/>
      <c r="R90" s="12">
        <v>40</v>
      </c>
      <c r="S90" s="12"/>
      <c r="T90" s="12"/>
      <c r="U90" s="12">
        <v>40</v>
      </c>
      <c r="V90" s="12">
        <f t="shared" si="15"/>
        <v>-2</v>
      </c>
      <c r="W90" s="4"/>
      <c r="X90" s="12">
        <f t="shared" si="16"/>
        <v>-40</v>
      </c>
      <c r="Y90" s="12">
        <f t="shared" si="17"/>
        <v>-40</v>
      </c>
      <c r="Z90" s="12">
        <v>-3.2</v>
      </c>
      <c r="AA90" s="12">
        <v>-2.2000000000000002</v>
      </c>
      <c r="AB90" s="12">
        <v>-1.2</v>
      </c>
      <c r="AC90" s="12">
        <v>-1.4</v>
      </c>
      <c r="AD90" s="12">
        <v>-1.4</v>
      </c>
      <c r="AE90" s="12">
        <v>-1.8</v>
      </c>
      <c r="AF90" s="12">
        <v>-2.4</v>
      </c>
      <c r="AG90" s="12">
        <v>-2.8</v>
      </c>
      <c r="AH90" s="12">
        <v>41</v>
      </c>
      <c r="AI90" s="12">
        <v>73</v>
      </c>
      <c r="AJ90" s="12"/>
      <c r="AK90" s="12">
        <f t="shared" si="19"/>
        <v>0</v>
      </c>
      <c r="AL90" s="12"/>
      <c r="AM90" s="12"/>
      <c r="AN90" s="12"/>
      <c r="AO90" s="12"/>
      <c r="AP90" s="12"/>
      <c r="AQ90" s="12"/>
    </row>
    <row r="91" spans="1:43" x14ac:dyDescent="0.25">
      <c r="A91" s="12" t="s">
        <v>133</v>
      </c>
      <c r="B91" s="12" t="s">
        <v>45</v>
      </c>
      <c r="C91" s="12">
        <v>223</v>
      </c>
      <c r="D91" s="12">
        <v>198</v>
      </c>
      <c r="E91" s="12">
        <v>47</v>
      </c>
      <c r="F91" s="12">
        <v>367</v>
      </c>
      <c r="G91" s="13">
        <v>0.3</v>
      </c>
      <c r="H91" s="12">
        <v>40</v>
      </c>
      <c r="I91" s="12" t="s">
        <v>41</v>
      </c>
      <c r="J91" s="12"/>
      <c r="K91" s="12">
        <v>53</v>
      </c>
      <c r="L91" s="12">
        <f t="shared" si="14"/>
        <v>-6</v>
      </c>
      <c r="M91" s="12"/>
      <c r="N91" s="12"/>
      <c r="O91" s="12">
        <v>128.08000000000001</v>
      </c>
      <c r="P91" s="12"/>
      <c r="Q91" s="12"/>
      <c r="R91" s="12">
        <v>200</v>
      </c>
      <c r="S91" s="12"/>
      <c r="T91" s="12"/>
      <c r="U91" s="12"/>
      <c r="V91" s="12">
        <f t="shared" si="15"/>
        <v>9.4</v>
      </c>
      <c r="W91" s="4"/>
      <c r="X91" s="12">
        <f t="shared" si="16"/>
        <v>73.944680851063836</v>
      </c>
      <c r="Y91" s="12">
        <f t="shared" si="17"/>
        <v>73.944680851063836</v>
      </c>
      <c r="Z91" s="12">
        <v>58.2</v>
      </c>
      <c r="AA91" s="12">
        <v>58.8</v>
      </c>
      <c r="AB91" s="12">
        <v>34.200000000000003</v>
      </c>
      <c r="AC91" s="12">
        <v>35.6</v>
      </c>
      <c r="AD91" s="12">
        <v>47.4</v>
      </c>
      <c r="AE91" s="12">
        <v>49</v>
      </c>
      <c r="AF91" s="12">
        <v>51.8</v>
      </c>
      <c r="AG91" s="12">
        <v>50</v>
      </c>
      <c r="AH91" s="12">
        <v>29.2</v>
      </c>
      <c r="AI91" s="12">
        <v>25</v>
      </c>
      <c r="AJ91" s="11" t="s">
        <v>110</v>
      </c>
      <c r="AK91" s="12">
        <f t="shared" si="19"/>
        <v>0</v>
      </c>
      <c r="AL91" s="12"/>
      <c r="AM91" s="12"/>
      <c r="AN91" s="12"/>
      <c r="AO91" s="12"/>
      <c r="AP91" s="12"/>
      <c r="AQ91" s="12"/>
    </row>
    <row r="92" spans="1:43" x14ac:dyDescent="0.25">
      <c r="A92" s="8" t="s">
        <v>134</v>
      </c>
      <c r="B92" s="8" t="s">
        <v>45</v>
      </c>
      <c r="C92" s="8"/>
      <c r="D92" s="8"/>
      <c r="E92" s="8"/>
      <c r="F92" s="8"/>
      <c r="G92" s="9">
        <v>0</v>
      </c>
      <c r="H92" s="8"/>
      <c r="I92" s="8" t="s">
        <v>41</v>
      </c>
      <c r="J92" s="8"/>
      <c r="K92" s="8">
        <v>3</v>
      </c>
      <c r="L92" s="8">
        <f t="shared" si="14"/>
        <v>-3</v>
      </c>
      <c r="M92" s="8"/>
      <c r="N92" s="8"/>
      <c r="O92" s="8"/>
      <c r="P92" s="8"/>
      <c r="Q92" s="8"/>
      <c r="R92" s="8">
        <v>0</v>
      </c>
      <c r="S92" s="8"/>
      <c r="T92" s="8"/>
      <c r="U92" s="8"/>
      <c r="V92" s="8">
        <f t="shared" si="15"/>
        <v>0</v>
      </c>
      <c r="W92" s="10"/>
      <c r="X92" s="8" t="e">
        <f t="shared" si="16"/>
        <v>#DIV/0!</v>
      </c>
      <c r="Y92" s="8" t="e">
        <f t="shared" si="17"/>
        <v>#DIV/0!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  <c r="AI92" s="8">
        <v>0</v>
      </c>
      <c r="AJ92" s="8" t="s">
        <v>46</v>
      </c>
      <c r="AK92" s="8"/>
      <c r="AL92" s="12"/>
      <c r="AM92" s="12"/>
      <c r="AN92" s="12"/>
      <c r="AO92" s="12"/>
      <c r="AP92" s="12"/>
      <c r="AQ92" s="12"/>
    </row>
    <row r="93" spans="1:43" x14ac:dyDescent="0.25">
      <c r="A93" s="12" t="s">
        <v>135</v>
      </c>
      <c r="B93" s="12" t="s">
        <v>45</v>
      </c>
      <c r="C93" s="12">
        <v>53</v>
      </c>
      <c r="D93" s="12">
        <v>432</v>
      </c>
      <c r="E93" s="12">
        <v>139</v>
      </c>
      <c r="F93" s="12">
        <v>342</v>
      </c>
      <c r="G93" s="13">
        <v>7.0000000000000007E-2</v>
      </c>
      <c r="H93" s="12">
        <v>90</v>
      </c>
      <c r="I93" s="7" t="s">
        <v>52</v>
      </c>
      <c r="J93" s="12"/>
      <c r="K93" s="12">
        <v>140</v>
      </c>
      <c r="L93" s="12">
        <f t="shared" si="14"/>
        <v>-1</v>
      </c>
      <c r="M93" s="12"/>
      <c r="N93" s="12"/>
      <c r="O93" s="12"/>
      <c r="P93" s="12"/>
      <c r="Q93" s="12"/>
      <c r="R93" s="12">
        <v>0</v>
      </c>
      <c r="S93" s="12"/>
      <c r="T93" s="12"/>
      <c r="U93" s="12">
        <v>30</v>
      </c>
      <c r="V93" s="12">
        <f t="shared" si="15"/>
        <v>27.8</v>
      </c>
      <c r="W93" s="4"/>
      <c r="X93" s="12">
        <f t="shared" si="16"/>
        <v>13.381294964028777</v>
      </c>
      <c r="Y93" s="12">
        <f t="shared" si="17"/>
        <v>13.381294964028777</v>
      </c>
      <c r="Z93" s="12">
        <v>25.6</v>
      </c>
      <c r="AA93" s="12">
        <v>31.8</v>
      </c>
      <c r="AB93" s="12">
        <v>34.799999999999997</v>
      </c>
      <c r="AC93" s="12">
        <v>27.6</v>
      </c>
      <c r="AD93" s="12">
        <v>10.4</v>
      </c>
      <c r="AE93" s="12">
        <v>4</v>
      </c>
      <c r="AF93" s="12">
        <v>33.4</v>
      </c>
      <c r="AG93" s="12">
        <v>39.6</v>
      </c>
      <c r="AH93" s="12">
        <v>10.4</v>
      </c>
      <c r="AI93" s="12">
        <v>7.4</v>
      </c>
      <c r="AJ93" s="12"/>
      <c r="AK93" s="12">
        <f>G93*W93</f>
        <v>0</v>
      </c>
      <c r="AL93" s="12"/>
      <c r="AM93" s="12"/>
      <c r="AN93" s="12"/>
      <c r="AO93" s="12"/>
      <c r="AP93" s="12"/>
      <c r="AQ93" s="12"/>
    </row>
    <row r="94" spans="1:43" x14ac:dyDescent="0.25">
      <c r="A94" s="12" t="s">
        <v>136</v>
      </c>
      <c r="B94" s="12" t="s">
        <v>45</v>
      </c>
      <c r="C94" s="12">
        <v>200</v>
      </c>
      <c r="D94" s="12">
        <v>162</v>
      </c>
      <c r="E94" s="12">
        <v>132</v>
      </c>
      <c r="F94" s="12">
        <v>224</v>
      </c>
      <c r="G94" s="13">
        <v>7.0000000000000007E-2</v>
      </c>
      <c r="H94" s="12">
        <v>90</v>
      </c>
      <c r="I94" s="7" t="s">
        <v>52</v>
      </c>
      <c r="J94" s="12"/>
      <c r="K94" s="12">
        <v>134</v>
      </c>
      <c r="L94" s="12">
        <f t="shared" si="14"/>
        <v>-2</v>
      </c>
      <c r="M94" s="12"/>
      <c r="N94" s="12"/>
      <c r="O94" s="12">
        <v>42.290060000000068</v>
      </c>
      <c r="P94" s="12"/>
      <c r="Q94" s="12"/>
      <c r="R94" s="12">
        <v>78.509939999999915</v>
      </c>
      <c r="S94" s="12">
        <v>-72</v>
      </c>
      <c r="T94" s="12"/>
      <c r="U94" s="12">
        <v>40</v>
      </c>
      <c r="V94" s="12">
        <f t="shared" si="15"/>
        <v>26.4</v>
      </c>
      <c r="W94" s="4">
        <v>50</v>
      </c>
      <c r="X94" s="12">
        <f t="shared" si="16"/>
        <v>13.742424242424242</v>
      </c>
      <c r="Y94" s="12">
        <f t="shared" si="17"/>
        <v>11.848484848484848</v>
      </c>
      <c r="Z94" s="12">
        <v>33.200000000000003</v>
      </c>
      <c r="AA94" s="12">
        <v>32.6</v>
      </c>
      <c r="AB94" s="12">
        <v>29.4</v>
      </c>
      <c r="AC94" s="12">
        <v>26.8</v>
      </c>
      <c r="AD94" s="12">
        <v>29.8</v>
      </c>
      <c r="AE94" s="12">
        <v>36.6</v>
      </c>
      <c r="AF94" s="12">
        <v>39.4</v>
      </c>
      <c r="AG94" s="12">
        <v>31.2</v>
      </c>
      <c r="AH94" s="12">
        <v>27.2</v>
      </c>
      <c r="AI94" s="12">
        <v>32.200000000000003</v>
      </c>
      <c r="AJ94" s="12"/>
      <c r="AK94" s="12">
        <f>G94*W94</f>
        <v>3.5000000000000004</v>
      </c>
      <c r="AL94" s="12"/>
      <c r="AM94" s="12"/>
      <c r="AN94" s="12"/>
      <c r="AO94" s="12"/>
      <c r="AP94" s="12"/>
      <c r="AQ94" s="12"/>
    </row>
    <row r="95" spans="1:43" x14ac:dyDescent="0.25">
      <c r="A95" s="12" t="s">
        <v>137</v>
      </c>
      <c r="B95" s="12" t="s">
        <v>45</v>
      </c>
      <c r="C95" s="12">
        <v>43</v>
      </c>
      <c r="D95" s="12">
        <v>324</v>
      </c>
      <c r="E95" s="12">
        <v>116</v>
      </c>
      <c r="F95" s="12">
        <v>243</v>
      </c>
      <c r="G95" s="13">
        <v>0.3</v>
      </c>
      <c r="H95" s="12">
        <v>40</v>
      </c>
      <c r="I95" s="12" t="s">
        <v>41</v>
      </c>
      <c r="J95" s="12"/>
      <c r="K95" s="12">
        <v>119</v>
      </c>
      <c r="L95" s="12">
        <f t="shared" si="14"/>
        <v>-3</v>
      </c>
      <c r="M95" s="12"/>
      <c r="N95" s="12"/>
      <c r="O95" s="12"/>
      <c r="P95" s="12"/>
      <c r="Q95" s="12"/>
      <c r="R95" s="12">
        <v>55.699999999999989</v>
      </c>
      <c r="S95" s="12"/>
      <c r="T95" s="12"/>
      <c r="U95" s="12"/>
      <c r="V95" s="12">
        <f t="shared" si="15"/>
        <v>23.2</v>
      </c>
      <c r="W95" s="4"/>
      <c r="X95" s="12">
        <f t="shared" si="16"/>
        <v>12.875</v>
      </c>
      <c r="Y95" s="12">
        <f t="shared" si="17"/>
        <v>12.875</v>
      </c>
      <c r="Z95" s="12">
        <v>33.799999999999997</v>
      </c>
      <c r="AA95" s="12">
        <v>32</v>
      </c>
      <c r="AB95" s="12">
        <v>3.6</v>
      </c>
      <c r="AC95" s="12">
        <v>2</v>
      </c>
      <c r="AD95" s="12">
        <v>33.4</v>
      </c>
      <c r="AE95" s="12">
        <v>38.200000000000003</v>
      </c>
      <c r="AF95" s="12">
        <v>19</v>
      </c>
      <c r="AG95" s="12">
        <v>18.8</v>
      </c>
      <c r="AH95" s="12">
        <v>21</v>
      </c>
      <c r="AI95" s="12">
        <v>17.2</v>
      </c>
      <c r="AJ95" s="12"/>
      <c r="AK95" s="12">
        <f>G95*W95</f>
        <v>0</v>
      </c>
      <c r="AL95" s="12"/>
      <c r="AM95" s="12"/>
      <c r="AN95" s="12"/>
      <c r="AO95" s="12"/>
      <c r="AP95" s="12"/>
      <c r="AQ95" s="12"/>
    </row>
    <row r="96" spans="1:43" x14ac:dyDescent="0.25">
      <c r="A96" s="12" t="s">
        <v>138</v>
      </c>
      <c r="B96" s="12" t="s">
        <v>40</v>
      </c>
      <c r="C96" s="12">
        <v>124.16200000000001</v>
      </c>
      <c r="D96" s="12">
        <v>29.959</v>
      </c>
      <c r="E96" s="12">
        <v>95.834000000000003</v>
      </c>
      <c r="F96" s="12">
        <v>50.313000000000002</v>
      </c>
      <c r="G96" s="13">
        <v>1</v>
      </c>
      <c r="H96" s="12">
        <v>55</v>
      </c>
      <c r="I96" s="7" t="s">
        <v>52</v>
      </c>
      <c r="J96" s="12"/>
      <c r="K96" s="12">
        <v>88.5</v>
      </c>
      <c r="L96" s="12">
        <f t="shared" si="14"/>
        <v>7.3340000000000032</v>
      </c>
      <c r="M96" s="12"/>
      <c r="N96" s="12"/>
      <c r="O96" s="12"/>
      <c r="P96" s="12"/>
      <c r="Q96" s="12"/>
      <c r="R96" s="12">
        <v>129.86410000000001</v>
      </c>
      <c r="S96" s="12"/>
      <c r="T96" s="12"/>
      <c r="U96" s="12">
        <v>40</v>
      </c>
      <c r="V96" s="12">
        <f t="shared" si="15"/>
        <v>19.166800000000002</v>
      </c>
      <c r="W96" s="4"/>
      <c r="X96" s="12">
        <f t="shared" si="16"/>
        <v>11.487420957071601</v>
      </c>
      <c r="Y96" s="12">
        <f t="shared" si="17"/>
        <v>11.487420957071601</v>
      </c>
      <c r="Z96" s="12">
        <v>18.487400000000001</v>
      </c>
      <c r="AA96" s="12">
        <v>14.2752</v>
      </c>
      <c r="AB96" s="12">
        <v>14.007400000000001</v>
      </c>
      <c r="AC96" s="12">
        <v>16.1724</v>
      </c>
      <c r="AD96" s="12">
        <v>23.736799999999999</v>
      </c>
      <c r="AE96" s="12">
        <v>21.739000000000001</v>
      </c>
      <c r="AF96" s="12">
        <v>21.257400000000001</v>
      </c>
      <c r="AG96" s="12">
        <v>25.684999999999999</v>
      </c>
      <c r="AH96" s="12">
        <v>22.070399999999999</v>
      </c>
      <c r="AI96" s="12">
        <v>19.931000000000001</v>
      </c>
      <c r="AJ96" s="12"/>
      <c r="AK96" s="12">
        <f>G96*W96</f>
        <v>0</v>
      </c>
      <c r="AL96" s="12"/>
      <c r="AM96" s="12"/>
      <c r="AN96" s="12"/>
      <c r="AO96" s="12"/>
      <c r="AP96" s="12"/>
      <c r="AQ96" s="12"/>
    </row>
    <row r="97" spans="1:43" x14ac:dyDescent="0.25">
      <c r="A97" s="8" t="s">
        <v>139</v>
      </c>
      <c r="B97" s="8" t="s">
        <v>45</v>
      </c>
      <c r="C97" s="8"/>
      <c r="D97" s="8"/>
      <c r="E97" s="8"/>
      <c r="F97" s="8"/>
      <c r="G97" s="9">
        <v>0</v>
      </c>
      <c r="H97" s="8"/>
      <c r="I97" s="8" t="s">
        <v>41</v>
      </c>
      <c r="J97" s="8"/>
      <c r="K97" s="8"/>
      <c r="L97" s="8">
        <f t="shared" si="14"/>
        <v>0</v>
      </c>
      <c r="M97" s="8"/>
      <c r="N97" s="8"/>
      <c r="O97" s="8"/>
      <c r="P97" s="8"/>
      <c r="Q97" s="8"/>
      <c r="R97" s="8">
        <v>0</v>
      </c>
      <c r="S97" s="8"/>
      <c r="T97" s="8"/>
      <c r="U97" s="8"/>
      <c r="V97" s="8">
        <f t="shared" si="15"/>
        <v>0</v>
      </c>
      <c r="W97" s="10"/>
      <c r="X97" s="8" t="e">
        <f t="shared" si="16"/>
        <v>#DIV/0!</v>
      </c>
      <c r="Y97" s="8" t="e">
        <f t="shared" si="17"/>
        <v>#DIV/0!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  <c r="AI97" s="8">
        <v>0</v>
      </c>
      <c r="AJ97" s="8" t="s">
        <v>46</v>
      </c>
      <c r="AK97" s="8"/>
      <c r="AL97" s="12"/>
      <c r="AM97" s="12"/>
      <c r="AN97" s="12"/>
      <c r="AO97" s="12"/>
      <c r="AP97" s="12"/>
      <c r="AQ97" s="12"/>
    </row>
    <row r="98" spans="1:43" x14ac:dyDescent="0.25">
      <c r="A98" s="12" t="s">
        <v>140</v>
      </c>
      <c r="B98" s="12" t="s">
        <v>45</v>
      </c>
      <c r="C98" s="12"/>
      <c r="D98" s="12"/>
      <c r="E98" s="12"/>
      <c r="F98" s="12"/>
      <c r="G98" s="13">
        <v>0.1</v>
      </c>
      <c r="H98" s="12">
        <v>30</v>
      </c>
      <c r="I98" s="7" t="s">
        <v>52</v>
      </c>
      <c r="J98" s="12"/>
      <c r="K98" s="12"/>
      <c r="L98" s="12">
        <f t="shared" si="14"/>
        <v>0</v>
      </c>
      <c r="M98" s="12"/>
      <c r="N98" s="12"/>
      <c r="O98" s="12"/>
      <c r="P98" s="12"/>
      <c r="Q98" s="12"/>
      <c r="R98" s="12">
        <v>10</v>
      </c>
      <c r="S98" s="12">
        <v>-10</v>
      </c>
      <c r="T98" s="12"/>
      <c r="U98" s="12">
        <v>10</v>
      </c>
      <c r="V98" s="12">
        <f t="shared" si="15"/>
        <v>0</v>
      </c>
      <c r="W98" s="4">
        <v>10</v>
      </c>
      <c r="X98" s="12" t="e">
        <f t="shared" si="16"/>
        <v>#DIV/0!</v>
      </c>
      <c r="Y98" s="12" t="e">
        <f t="shared" si="17"/>
        <v>#DIV/0!</v>
      </c>
      <c r="Z98" s="12">
        <v>0</v>
      </c>
      <c r="AA98" s="12">
        <v>-0.2</v>
      </c>
      <c r="AB98" s="12">
        <v>-0.4</v>
      </c>
      <c r="AC98" s="12">
        <v>-0.2</v>
      </c>
      <c r="AD98" s="12">
        <v>-0.2</v>
      </c>
      <c r="AE98" s="12">
        <v>2.4</v>
      </c>
      <c r="AF98" s="12">
        <v>3.6</v>
      </c>
      <c r="AG98" s="12">
        <v>1.8</v>
      </c>
      <c r="AH98" s="12">
        <v>1.4</v>
      </c>
      <c r="AI98" s="12">
        <v>-0.4</v>
      </c>
      <c r="AJ98" s="12" t="s">
        <v>141</v>
      </c>
      <c r="AK98" s="12">
        <f t="shared" ref="AK98:AK104" si="20">G98*W98</f>
        <v>1</v>
      </c>
      <c r="AL98" s="12"/>
      <c r="AM98" s="12"/>
      <c r="AN98" s="12"/>
      <c r="AO98" s="12"/>
      <c r="AP98" s="12"/>
      <c r="AQ98" s="12"/>
    </row>
    <row r="99" spans="1:43" x14ac:dyDescent="0.25">
      <c r="A99" s="12" t="s">
        <v>142</v>
      </c>
      <c r="B99" s="12" t="s">
        <v>45</v>
      </c>
      <c r="C99" s="12">
        <v>495</v>
      </c>
      <c r="D99" s="12">
        <v>240</v>
      </c>
      <c r="E99" s="12">
        <v>258</v>
      </c>
      <c r="F99" s="12">
        <v>441</v>
      </c>
      <c r="G99" s="13">
        <v>0.08</v>
      </c>
      <c r="H99" s="12">
        <v>45</v>
      </c>
      <c r="I99" s="12" t="s">
        <v>41</v>
      </c>
      <c r="J99" s="12"/>
      <c r="K99" s="12">
        <v>273</v>
      </c>
      <c r="L99" s="12">
        <f t="shared" si="14"/>
        <v>-15</v>
      </c>
      <c r="M99" s="12"/>
      <c r="N99" s="12"/>
      <c r="O99" s="12"/>
      <c r="P99" s="12"/>
      <c r="Q99" s="12"/>
      <c r="R99" s="12">
        <v>150</v>
      </c>
      <c r="S99" s="12"/>
      <c r="T99" s="12"/>
      <c r="U99" s="12"/>
      <c r="V99" s="12">
        <f t="shared" si="15"/>
        <v>51.6</v>
      </c>
      <c r="W99" s="4"/>
      <c r="X99" s="12">
        <f t="shared" si="16"/>
        <v>11.453488372093023</v>
      </c>
      <c r="Y99" s="12">
        <f t="shared" si="17"/>
        <v>11.453488372093023</v>
      </c>
      <c r="Z99" s="12">
        <v>58.6</v>
      </c>
      <c r="AA99" s="12">
        <v>63</v>
      </c>
      <c r="AB99" s="12">
        <v>48</v>
      </c>
      <c r="AC99" s="12">
        <v>47</v>
      </c>
      <c r="AD99" s="12">
        <v>62</v>
      </c>
      <c r="AE99" s="12">
        <v>57.4</v>
      </c>
      <c r="AF99" s="12">
        <v>55.6</v>
      </c>
      <c r="AG99" s="12">
        <v>57.2</v>
      </c>
      <c r="AH99" s="12">
        <v>45.8</v>
      </c>
      <c r="AI99" s="12">
        <v>48.4</v>
      </c>
      <c r="AJ99" s="12"/>
      <c r="AK99" s="12">
        <f t="shared" si="20"/>
        <v>0</v>
      </c>
      <c r="AL99" s="12"/>
      <c r="AM99" s="12"/>
      <c r="AN99" s="12"/>
      <c r="AO99" s="12"/>
      <c r="AP99" s="12"/>
      <c r="AQ99" s="12"/>
    </row>
    <row r="100" spans="1:43" x14ac:dyDescent="0.25">
      <c r="A100" s="12" t="s">
        <v>143</v>
      </c>
      <c r="B100" s="12" t="s">
        <v>45</v>
      </c>
      <c r="C100" s="12">
        <v>364</v>
      </c>
      <c r="D100" s="12">
        <v>230</v>
      </c>
      <c r="E100" s="12">
        <v>211</v>
      </c>
      <c r="F100" s="12">
        <v>364</v>
      </c>
      <c r="G100" s="13">
        <v>0.08</v>
      </c>
      <c r="H100" s="12">
        <v>45</v>
      </c>
      <c r="I100" s="12" t="s">
        <v>41</v>
      </c>
      <c r="J100" s="12"/>
      <c r="K100" s="12">
        <v>225</v>
      </c>
      <c r="L100" s="12">
        <f t="shared" si="14"/>
        <v>-14</v>
      </c>
      <c r="M100" s="12"/>
      <c r="N100" s="12"/>
      <c r="O100" s="12"/>
      <c r="P100" s="12"/>
      <c r="Q100" s="12"/>
      <c r="R100" s="12">
        <v>150</v>
      </c>
      <c r="S100" s="12"/>
      <c r="T100" s="12"/>
      <c r="U100" s="12"/>
      <c r="V100" s="12">
        <f t="shared" si="15"/>
        <v>42.2</v>
      </c>
      <c r="W100" s="4"/>
      <c r="X100" s="12">
        <f t="shared" si="16"/>
        <v>12.180094786729857</v>
      </c>
      <c r="Y100" s="12">
        <f t="shared" si="17"/>
        <v>12.180094786729857</v>
      </c>
      <c r="Z100" s="12">
        <v>49</v>
      </c>
      <c r="AA100" s="12">
        <v>51.6</v>
      </c>
      <c r="AB100" s="12">
        <v>45.6</v>
      </c>
      <c r="AC100" s="12">
        <v>43</v>
      </c>
      <c r="AD100" s="12">
        <v>55.6</v>
      </c>
      <c r="AE100" s="12">
        <v>54.2</v>
      </c>
      <c r="AF100" s="12">
        <v>46</v>
      </c>
      <c r="AG100" s="12">
        <v>45</v>
      </c>
      <c r="AH100" s="12">
        <v>32</v>
      </c>
      <c r="AI100" s="12">
        <v>31.4</v>
      </c>
      <c r="AJ100" s="12"/>
      <c r="AK100" s="12">
        <f t="shared" si="20"/>
        <v>0</v>
      </c>
      <c r="AL100" s="12"/>
      <c r="AM100" s="12"/>
      <c r="AN100" s="12"/>
      <c r="AO100" s="12"/>
      <c r="AP100" s="12"/>
      <c r="AQ100" s="12"/>
    </row>
    <row r="101" spans="1:43" x14ac:dyDescent="0.25">
      <c r="A101" s="12" t="s">
        <v>144</v>
      </c>
      <c r="B101" s="12" t="s">
        <v>45</v>
      </c>
      <c r="C101" s="12">
        <v>8</v>
      </c>
      <c r="D101" s="12">
        <v>16</v>
      </c>
      <c r="E101" s="12">
        <v>6</v>
      </c>
      <c r="F101" s="12">
        <v>15</v>
      </c>
      <c r="G101" s="13">
        <v>0.17</v>
      </c>
      <c r="H101" s="12">
        <v>30</v>
      </c>
      <c r="I101" s="12" t="s">
        <v>41</v>
      </c>
      <c r="J101" s="12"/>
      <c r="K101" s="12">
        <v>6</v>
      </c>
      <c r="L101" s="12">
        <f t="shared" si="14"/>
        <v>0</v>
      </c>
      <c r="M101" s="12"/>
      <c r="N101" s="12"/>
      <c r="O101" s="12"/>
      <c r="P101" s="12"/>
      <c r="Q101" s="12"/>
      <c r="R101" s="12">
        <v>11</v>
      </c>
      <c r="S101" s="12"/>
      <c r="T101" s="12"/>
      <c r="U101" s="12"/>
      <c r="V101" s="12">
        <f t="shared" si="15"/>
        <v>1.2</v>
      </c>
      <c r="W101" s="4"/>
      <c r="X101" s="12">
        <f t="shared" si="16"/>
        <v>21.666666666666668</v>
      </c>
      <c r="Y101" s="12">
        <f t="shared" si="17"/>
        <v>21.666666666666668</v>
      </c>
      <c r="Z101" s="12">
        <v>2</v>
      </c>
      <c r="AA101" s="12">
        <v>2</v>
      </c>
      <c r="AB101" s="12">
        <v>1.2</v>
      </c>
      <c r="AC101" s="12">
        <v>0</v>
      </c>
      <c r="AD101" s="12">
        <v>0</v>
      </c>
      <c r="AE101" s="12">
        <v>1.4</v>
      </c>
      <c r="AF101" s="12">
        <v>1.6</v>
      </c>
      <c r="AG101" s="12">
        <v>0.2</v>
      </c>
      <c r="AH101" s="12">
        <v>0</v>
      </c>
      <c r="AI101" s="12">
        <v>-0.2</v>
      </c>
      <c r="AJ101" s="12" t="s">
        <v>145</v>
      </c>
      <c r="AK101" s="12">
        <f t="shared" si="20"/>
        <v>0</v>
      </c>
      <c r="AL101" s="12"/>
      <c r="AM101" s="12"/>
      <c r="AN101" s="12"/>
      <c r="AO101" s="12"/>
      <c r="AP101" s="12"/>
      <c r="AQ101" s="12"/>
    </row>
    <row r="102" spans="1:43" x14ac:dyDescent="0.25">
      <c r="A102" s="12" t="s">
        <v>146</v>
      </c>
      <c r="B102" s="12" t="s">
        <v>40</v>
      </c>
      <c r="C102" s="12">
        <v>0.54500000000000004</v>
      </c>
      <c r="D102" s="12">
        <v>452.02600000000001</v>
      </c>
      <c r="E102" s="12">
        <v>435.22500000000002</v>
      </c>
      <c r="F102" s="12">
        <v>-0.72199999999999998</v>
      </c>
      <c r="G102" s="13">
        <v>1</v>
      </c>
      <c r="H102" s="12">
        <v>40</v>
      </c>
      <c r="I102" s="7" t="s">
        <v>52</v>
      </c>
      <c r="J102" s="12"/>
      <c r="K102" s="12">
        <v>678.8</v>
      </c>
      <c r="L102" s="12">
        <f t="shared" ref="L102:L129" si="21">E102-K102</f>
        <v>-243.57499999999993</v>
      </c>
      <c r="M102" s="12"/>
      <c r="N102" s="12"/>
      <c r="O102" s="12"/>
      <c r="P102" s="12"/>
      <c r="Q102" s="12"/>
      <c r="R102" s="12">
        <v>150</v>
      </c>
      <c r="S102" s="12"/>
      <c r="T102" s="12"/>
      <c r="U102" s="12">
        <v>50</v>
      </c>
      <c r="V102" s="12">
        <f t="shared" ref="V102:V129" si="22">E102/5</f>
        <v>87.045000000000002</v>
      </c>
      <c r="W102" s="4">
        <v>300</v>
      </c>
      <c r="X102" s="12">
        <f t="shared" ref="X102:X129" si="23">(F102+O102+P102+Q102+R102+S102+T102+U102+W102)/V102</f>
        <v>5.7358607616749957</v>
      </c>
      <c r="Y102" s="12">
        <f t="shared" ref="Y102:Y129" si="24">(F102+O102+P102+Q102+R102+S102+T102+U102)/V102</f>
        <v>2.2893675684990522</v>
      </c>
      <c r="Z102" s="12">
        <v>19.298999999999999</v>
      </c>
      <c r="AA102" s="12">
        <v>3.8765999999999998</v>
      </c>
      <c r="AB102" s="12">
        <v>19.322399999999998</v>
      </c>
      <c r="AC102" s="12">
        <v>14.2462</v>
      </c>
      <c r="AD102" s="12">
        <v>43.054199999999987</v>
      </c>
      <c r="AE102" s="12">
        <v>80.952399999999997</v>
      </c>
      <c r="AF102" s="12">
        <v>96.791799999999995</v>
      </c>
      <c r="AG102" s="12">
        <v>97.415999999999997</v>
      </c>
      <c r="AH102" s="12">
        <v>88.752200000000002</v>
      </c>
      <c r="AI102" s="12">
        <v>85.401199999999989</v>
      </c>
      <c r="AJ102" s="12" t="s">
        <v>62</v>
      </c>
      <c r="AK102" s="12">
        <f t="shared" si="20"/>
        <v>300</v>
      </c>
      <c r="AL102" s="12"/>
      <c r="AM102" s="12"/>
      <c r="AN102" s="12"/>
      <c r="AO102" s="12"/>
      <c r="AP102" s="12"/>
      <c r="AQ102" s="12"/>
    </row>
    <row r="103" spans="1:43" x14ac:dyDescent="0.25">
      <c r="A103" s="12" t="s">
        <v>147</v>
      </c>
      <c r="B103" s="12" t="s">
        <v>40</v>
      </c>
      <c r="C103" s="12">
        <v>-0.69299999999999995</v>
      </c>
      <c r="D103" s="12">
        <v>609.36900000000003</v>
      </c>
      <c r="E103" s="12">
        <v>608.52800000000002</v>
      </c>
      <c r="F103" s="12">
        <v>-2.7549999999999999</v>
      </c>
      <c r="G103" s="13">
        <v>1</v>
      </c>
      <c r="H103" s="12">
        <v>40</v>
      </c>
      <c r="I103" s="7" t="s">
        <v>52</v>
      </c>
      <c r="J103" s="12"/>
      <c r="K103" s="12">
        <v>692.1</v>
      </c>
      <c r="L103" s="12">
        <f t="shared" si="21"/>
        <v>-83.572000000000003</v>
      </c>
      <c r="M103" s="12"/>
      <c r="N103" s="12"/>
      <c r="O103" s="12"/>
      <c r="P103" s="12"/>
      <c r="Q103" s="12"/>
      <c r="R103" s="12">
        <v>180</v>
      </c>
      <c r="S103" s="12"/>
      <c r="T103" s="12"/>
      <c r="U103" s="12"/>
      <c r="V103" s="12">
        <f t="shared" si="22"/>
        <v>121.7056</v>
      </c>
      <c r="W103" s="4">
        <v>600</v>
      </c>
      <c r="X103" s="12">
        <f t="shared" si="23"/>
        <v>6.3862714616254301</v>
      </c>
      <c r="Y103" s="12">
        <f t="shared" si="24"/>
        <v>1.4563421896773854</v>
      </c>
      <c r="Z103" s="12">
        <v>49.871600000000001</v>
      </c>
      <c r="AA103" s="12">
        <v>59.215599999999988</v>
      </c>
      <c r="AB103" s="12">
        <v>80.884199999999993</v>
      </c>
      <c r="AC103" s="12">
        <v>78.121400000000008</v>
      </c>
      <c r="AD103" s="12">
        <v>29.4024</v>
      </c>
      <c r="AE103" s="12">
        <v>27.0656</v>
      </c>
      <c r="AF103" s="12">
        <v>78.425399999999996</v>
      </c>
      <c r="AG103" s="12">
        <v>77.138599999999997</v>
      </c>
      <c r="AH103" s="12">
        <v>61.042400000000001</v>
      </c>
      <c r="AI103" s="12">
        <v>57.488399999999999</v>
      </c>
      <c r="AJ103" s="12" t="s">
        <v>62</v>
      </c>
      <c r="AK103" s="12">
        <f t="shared" si="20"/>
        <v>600</v>
      </c>
      <c r="AL103" s="12"/>
      <c r="AM103" s="12"/>
      <c r="AN103" s="12"/>
      <c r="AO103" s="12"/>
      <c r="AP103" s="12"/>
      <c r="AQ103" s="12"/>
    </row>
    <row r="104" spans="1:43" x14ac:dyDescent="0.25">
      <c r="A104" s="12" t="s">
        <v>148</v>
      </c>
      <c r="B104" s="12" t="s">
        <v>40</v>
      </c>
      <c r="C104" s="12"/>
      <c r="D104" s="12"/>
      <c r="E104" s="12">
        <v>-9.4469999999999992</v>
      </c>
      <c r="F104" s="12"/>
      <c r="G104" s="13">
        <v>1</v>
      </c>
      <c r="H104" s="12">
        <v>40</v>
      </c>
      <c r="I104" s="7" t="s">
        <v>52</v>
      </c>
      <c r="J104" s="12"/>
      <c r="K104" s="12">
        <v>166.1</v>
      </c>
      <c r="L104" s="12">
        <f t="shared" si="21"/>
        <v>-175.547</v>
      </c>
      <c r="M104" s="12"/>
      <c r="N104" s="12"/>
      <c r="O104" s="12"/>
      <c r="P104" s="12"/>
      <c r="Q104" s="12"/>
      <c r="R104" s="12">
        <v>150</v>
      </c>
      <c r="S104" s="12">
        <v>-150.5</v>
      </c>
      <c r="T104" s="12"/>
      <c r="U104" s="12">
        <v>100</v>
      </c>
      <c r="V104" s="12">
        <f t="shared" si="22"/>
        <v>-1.8893999999999997</v>
      </c>
      <c r="W104" s="4">
        <v>150</v>
      </c>
      <c r="X104" s="12">
        <f t="shared" si="23"/>
        <v>-132.0525034402456</v>
      </c>
      <c r="Y104" s="12">
        <f t="shared" si="24"/>
        <v>-52.662220810839429</v>
      </c>
      <c r="Z104" s="12">
        <v>-2.2866</v>
      </c>
      <c r="AA104" s="12">
        <v>-2.1309999999999998</v>
      </c>
      <c r="AB104" s="12">
        <v>-0.42120000000000002</v>
      </c>
      <c r="AC104" s="12">
        <v>-1.1818</v>
      </c>
      <c r="AD104" s="12">
        <v>9.0351999999999997</v>
      </c>
      <c r="AE104" s="12">
        <v>38.4574</v>
      </c>
      <c r="AF104" s="12">
        <v>90.9636</v>
      </c>
      <c r="AG104" s="12">
        <v>99.641199999999998</v>
      </c>
      <c r="AH104" s="12">
        <v>90.812600000000003</v>
      </c>
      <c r="AI104" s="12">
        <v>87.560400000000001</v>
      </c>
      <c r="AJ104" s="12"/>
      <c r="AK104" s="12">
        <f t="shared" si="20"/>
        <v>150</v>
      </c>
      <c r="AL104" s="12"/>
      <c r="AM104" s="12"/>
      <c r="AN104" s="12"/>
      <c r="AO104" s="12"/>
      <c r="AP104" s="12"/>
      <c r="AQ104" s="12"/>
    </row>
    <row r="105" spans="1:43" x14ac:dyDescent="0.25">
      <c r="A105" s="8" t="s">
        <v>149</v>
      </c>
      <c r="B105" s="8" t="s">
        <v>45</v>
      </c>
      <c r="C105" s="8"/>
      <c r="D105" s="8"/>
      <c r="E105" s="8"/>
      <c r="F105" s="8"/>
      <c r="G105" s="9">
        <v>0</v>
      </c>
      <c r="H105" s="8"/>
      <c r="I105" s="8" t="s">
        <v>41</v>
      </c>
      <c r="J105" s="8"/>
      <c r="K105" s="8"/>
      <c r="L105" s="8">
        <f t="shared" si="21"/>
        <v>0</v>
      </c>
      <c r="M105" s="8"/>
      <c r="N105" s="8"/>
      <c r="O105" s="8"/>
      <c r="P105" s="8"/>
      <c r="Q105" s="8"/>
      <c r="R105" s="8">
        <v>0</v>
      </c>
      <c r="S105" s="8"/>
      <c r="T105" s="8"/>
      <c r="U105" s="8"/>
      <c r="V105" s="8">
        <f t="shared" si="22"/>
        <v>0</v>
      </c>
      <c r="W105" s="10"/>
      <c r="X105" s="8" t="e">
        <f t="shared" si="23"/>
        <v>#DIV/0!</v>
      </c>
      <c r="Y105" s="8" t="e">
        <f t="shared" si="24"/>
        <v>#DIV/0!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8">
        <v>0</v>
      </c>
      <c r="AH105" s="8">
        <v>0</v>
      </c>
      <c r="AI105" s="8">
        <v>0</v>
      </c>
      <c r="AJ105" s="8" t="s">
        <v>46</v>
      </c>
      <c r="AK105" s="8"/>
      <c r="AL105" s="12"/>
      <c r="AM105" s="12"/>
      <c r="AN105" s="12"/>
      <c r="AO105" s="12"/>
      <c r="AP105" s="12"/>
      <c r="AQ105" s="12"/>
    </row>
    <row r="106" spans="1:43" x14ac:dyDescent="0.25">
      <c r="A106" s="12" t="s">
        <v>150</v>
      </c>
      <c r="B106" s="12" t="s">
        <v>40</v>
      </c>
      <c r="C106" s="12">
        <v>31.312000000000001</v>
      </c>
      <c r="D106" s="12">
        <v>10.695</v>
      </c>
      <c r="E106" s="12">
        <v>23.18</v>
      </c>
      <c r="F106" s="12">
        <v>18.827000000000002</v>
      </c>
      <c r="G106" s="13">
        <v>1</v>
      </c>
      <c r="H106" s="12">
        <v>55</v>
      </c>
      <c r="I106" s="12" t="s">
        <v>41</v>
      </c>
      <c r="J106" s="12"/>
      <c r="K106" s="12">
        <v>20.5</v>
      </c>
      <c r="L106" s="12">
        <f t="shared" si="21"/>
        <v>2.6799999999999997</v>
      </c>
      <c r="M106" s="12"/>
      <c r="N106" s="12"/>
      <c r="O106" s="12"/>
      <c r="P106" s="12"/>
      <c r="Q106" s="12"/>
      <c r="R106" s="12">
        <v>0</v>
      </c>
      <c r="S106" s="12"/>
      <c r="T106" s="12"/>
      <c r="U106" s="12"/>
      <c r="V106" s="12">
        <f t="shared" si="22"/>
        <v>4.6360000000000001</v>
      </c>
      <c r="W106" s="4">
        <f>10*V106-U106-T106-S106-R106-Q106-P106-O106-F106</f>
        <v>27.532999999999998</v>
      </c>
      <c r="X106" s="12">
        <f t="shared" si="23"/>
        <v>10</v>
      </c>
      <c r="Y106" s="12">
        <f t="shared" si="24"/>
        <v>4.0610440034512516</v>
      </c>
      <c r="Z106" s="12">
        <v>0.82400000000000007</v>
      </c>
      <c r="AA106" s="12">
        <v>0.27460000000000001</v>
      </c>
      <c r="AB106" s="12">
        <v>0.27460000000000001</v>
      </c>
      <c r="AC106" s="12">
        <v>2.4338000000000002</v>
      </c>
      <c r="AD106" s="12">
        <v>2.9998</v>
      </c>
      <c r="AE106" s="12">
        <v>0.56600000000000006</v>
      </c>
      <c r="AF106" s="12">
        <v>0</v>
      </c>
      <c r="AG106" s="12">
        <v>0.26879999999999998</v>
      </c>
      <c r="AH106" s="12">
        <v>0.54180000000000006</v>
      </c>
      <c r="AI106" s="12">
        <v>0.54720000000000002</v>
      </c>
      <c r="AJ106" s="12" t="s">
        <v>151</v>
      </c>
      <c r="AK106" s="12">
        <f>G106*W106</f>
        <v>27.532999999999998</v>
      </c>
      <c r="AL106" s="12"/>
      <c r="AM106" s="12"/>
      <c r="AN106" s="12"/>
      <c r="AO106" s="12"/>
      <c r="AP106" s="12"/>
      <c r="AQ106" s="12"/>
    </row>
    <row r="107" spans="1:43" x14ac:dyDescent="0.25">
      <c r="A107" s="12" t="s">
        <v>152</v>
      </c>
      <c r="B107" s="12" t="s">
        <v>45</v>
      </c>
      <c r="C107" s="12">
        <v>76</v>
      </c>
      <c r="D107" s="12">
        <v>758</v>
      </c>
      <c r="E107" s="12">
        <v>165</v>
      </c>
      <c r="F107" s="12">
        <v>568</v>
      </c>
      <c r="G107" s="13">
        <v>0.28000000000000003</v>
      </c>
      <c r="H107" s="12">
        <v>40</v>
      </c>
      <c r="I107" s="7" t="s">
        <v>52</v>
      </c>
      <c r="J107" s="12"/>
      <c r="K107" s="12">
        <v>664</v>
      </c>
      <c r="L107" s="12">
        <f t="shared" si="21"/>
        <v>-499</v>
      </c>
      <c r="M107" s="12"/>
      <c r="N107" s="12"/>
      <c r="O107" s="12"/>
      <c r="P107" s="12"/>
      <c r="Q107" s="12"/>
      <c r="R107" s="12">
        <v>0</v>
      </c>
      <c r="S107" s="12"/>
      <c r="T107" s="12"/>
      <c r="U107" s="12">
        <v>50</v>
      </c>
      <c r="V107" s="12">
        <f t="shared" si="22"/>
        <v>33</v>
      </c>
      <c r="W107" s="4">
        <v>200</v>
      </c>
      <c r="X107" s="12">
        <f t="shared" si="23"/>
        <v>24.787878787878789</v>
      </c>
      <c r="Y107" s="12">
        <f t="shared" si="24"/>
        <v>18.727272727272727</v>
      </c>
      <c r="Z107" s="12">
        <v>-2.8</v>
      </c>
      <c r="AA107" s="12">
        <v>44</v>
      </c>
      <c r="AB107" s="12">
        <v>78.599999999999994</v>
      </c>
      <c r="AC107" s="12">
        <v>33.4</v>
      </c>
      <c r="AD107" s="12">
        <v>9.6</v>
      </c>
      <c r="AE107" s="12">
        <v>43.4</v>
      </c>
      <c r="AF107" s="12">
        <v>70.8</v>
      </c>
      <c r="AG107" s="12">
        <v>65</v>
      </c>
      <c r="AH107" s="12">
        <v>39</v>
      </c>
      <c r="AI107" s="12">
        <v>37.4</v>
      </c>
      <c r="AJ107" s="12"/>
      <c r="AK107" s="12">
        <f>G107*W107</f>
        <v>56.000000000000007</v>
      </c>
      <c r="AL107" s="12"/>
      <c r="AM107" s="12"/>
      <c r="AN107" s="12"/>
      <c r="AO107" s="12"/>
      <c r="AP107" s="12"/>
      <c r="AQ107" s="12"/>
    </row>
    <row r="108" spans="1:43" x14ac:dyDescent="0.25">
      <c r="A108" s="8" t="s">
        <v>153</v>
      </c>
      <c r="B108" s="8" t="s">
        <v>45</v>
      </c>
      <c r="C108" s="8"/>
      <c r="D108" s="8"/>
      <c r="E108" s="8"/>
      <c r="F108" s="8"/>
      <c r="G108" s="9">
        <v>0</v>
      </c>
      <c r="H108" s="8"/>
      <c r="I108" s="8" t="s">
        <v>41</v>
      </c>
      <c r="J108" s="8"/>
      <c r="K108" s="8"/>
      <c r="L108" s="8">
        <f t="shared" si="21"/>
        <v>0</v>
      </c>
      <c r="M108" s="8"/>
      <c r="N108" s="8"/>
      <c r="O108" s="8"/>
      <c r="P108" s="8"/>
      <c r="Q108" s="8"/>
      <c r="R108" s="8">
        <v>0</v>
      </c>
      <c r="S108" s="8"/>
      <c r="T108" s="8"/>
      <c r="U108" s="8"/>
      <c r="V108" s="8">
        <f t="shared" si="22"/>
        <v>0</v>
      </c>
      <c r="W108" s="10"/>
      <c r="X108" s="8" t="e">
        <f t="shared" si="23"/>
        <v>#DIV/0!</v>
      </c>
      <c r="Y108" s="8" t="e">
        <f t="shared" si="24"/>
        <v>#DIV/0!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  <c r="AH108" s="8">
        <v>0</v>
      </c>
      <c r="AI108" s="8">
        <v>0</v>
      </c>
      <c r="AJ108" s="8" t="s">
        <v>46</v>
      </c>
      <c r="AK108" s="8"/>
      <c r="AL108" s="12"/>
      <c r="AM108" s="12"/>
      <c r="AN108" s="12"/>
      <c r="AO108" s="12"/>
      <c r="AP108" s="12"/>
      <c r="AQ108" s="12"/>
    </row>
    <row r="109" spans="1:43" x14ac:dyDescent="0.25">
      <c r="A109" s="12" t="s">
        <v>154</v>
      </c>
      <c r="B109" s="12" t="s">
        <v>45</v>
      </c>
      <c r="C109" s="12">
        <v>76</v>
      </c>
      <c r="D109" s="12">
        <v>206</v>
      </c>
      <c r="E109" s="12">
        <v>57</v>
      </c>
      <c r="F109" s="12">
        <v>124</v>
      </c>
      <c r="G109" s="13">
        <v>0.28000000000000003</v>
      </c>
      <c r="H109" s="12">
        <v>40</v>
      </c>
      <c r="I109" s="7" t="s">
        <v>52</v>
      </c>
      <c r="J109" s="12"/>
      <c r="K109" s="12">
        <v>670</v>
      </c>
      <c r="L109" s="12">
        <f t="shared" si="21"/>
        <v>-613</v>
      </c>
      <c r="M109" s="12"/>
      <c r="N109" s="12"/>
      <c r="O109" s="12"/>
      <c r="P109" s="12"/>
      <c r="Q109" s="12"/>
      <c r="R109" s="12">
        <v>100</v>
      </c>
      <c r="S109" s="12"/>
      <c r="T109" s="12"/>
      <c r="U109" s="12">
        <v>100</v>
      </c>
      <c r="V109" s="12">
        <f t="shared" si="22"/>
        <v>11.4</v>
      </c>
      <c r="W109" s="4">
        <v>100</v>
      </c>
      <c r="X109" s="12">
        <f t="shared" si="23"/>
        <v>37.192982456140349</v>
      </c>
      <c r="Y109" s="12">
        <f t="shared" si="24"/>
        <v>28.421052631578945</v>
      </c>
      <c r="Z109" s="12">
        <v>18.600000000000001</v>
      </c>
      <c r="AA109" s="12">
        <v>57.8</v>
      </c>
      <c r="AB109" s="12">
        <v>35.799999999999997</v>
      </c>
      <c r="AC109" s="12">
        <v>-2</v>
      </c>
      <c r="AD109" s="12">
        <v>12</v>
      </c>
      <c r="AE109" s="12">
        <v>46.2</v>
      </c>
      <c r="AF109" s="12">
        <v>76.400000000000006</v>
      </c>
      <c r="AG109" s="12">
        <v>75.2</v>
      </c>
      <c r="AH109" s="12">
        <v>67</v>
      </c>
      <c r="AI109" s="12">
        <v>62.4</v>
      </c>
      <c r="AJ109" s="12"/>
      <c r="AK109" s="12">
        <f>G109*W109</f>
        <v>28.000000000000004</v>
      </c>
      <c r="AL109" s="12"/>
      <c r="AM109" s="12"/>
      <c r="AN109" s="12"/>
      <c r="AO109" s="12"/>
      <c r="AP109" s="12"/>
      <c r="AQ109" s="12"/>
    </row>
    <row r="110" spans="1:43" x14ac:dyDescent="0.25">
      <c r="A110" s="12" t="s">
        <v>155</v>
      </c>
      <c r="B110" s="12" t="s">
        <v>45</v>
      </c>
      <c r="C110" s="12">
        <v>110</v>
      </c>
      <c r="D110" s="12">
        <v>102</v>
      </c>
      <c r="E110" s="12">
        <v>120</v>
      </c>
      <c r="F110" s="12">
        <v>86</v>
      </c>
      <c r="G110" s="13">
        <v>0.09</v>
      </c>
      <c r="H110" s="12"/>
      <c r="I110" s="12" t="s">
        <v>41</v>
      </c>
      <c r="J110" s="12"/>
      <c r="K110" s="12">
        <v>131</v>
      </c>
      <c r="L110" s="12">
        <f t="shared" si="21"/>
        <v>-11</v>
      </c>
      <c r="M110" s="12"/>
      <c r="N110" s="12"/>
      <c r="O110" s="12"/>
      <c r="P110" s="12"/>
      <c r="Q110" s="12"/>
      <c r="R110" s="12">
        <v>117.8</v>
      </c>
      <c r="S110" s="12"/>
      <c r="T110" s="12"/>
      <c r="U110" s="12"/>
      <c r="V110" s="12">
        <f t="shared" si="22"/>
        <v>24</v>
      </c>
      <c r="W110" s="4">
        <f>11*V110-U110-T110-S110-R110-Q110-P110-O110-F110</f>
        <v>60.199999999999989</v>
      </c>
      <c r="X110" s="12">
        <f t="shared" si="23"/>
        <v>11</v>
      </c>
      <c r="Y110" s="12">
        <f t="shared" si="24"/>
        <v>8.4916666666666671</v>
      </c>
      <c r="Z110" s="12">
        <v>23.2</v>
      </c>
      <c r="AA110" s="12">
        <v>17.8</v>
      </c>
      <c r="AB110" s="12">
        <v>6</v>
      </c>
      <c r="AC110" s="12">
        <v>6</v>
      </c>
      <c r="AD110" s="12">
        <v>14.2</v>
      </c>
      <c r="AE110" s="12">
        <v>12.6</v>
      </c>
      <c r="AF110" s="12">
        <v>3.8</v>
      </c>
      <c r="AG110" s="12">
        <v>7.4</v>
      </c>
      <c r="AH110" s="12">
        <v>8</v>
      </c>
      <c r="AI110" s="12">
        <v>0</v>
      </c>
      <c r="AJ110" s="12"/>
      <c r="AK110" s="12">
        <f>G110*W110</f>
        <v>5.4179999999999984</v>
      </c>
      <c r="AL110" s="12"/>
      <c r="AM110" s="12"/>
      <c r="AN110" s="12"/>
      <c r="AO110" s="12"/>
      <c r="AP110" s="12"/>
      <c r="AQ110" s="12"/>
    </row>
    <row r="111" spans="1:43" x14ac:dyDescent="0.25">
      <c r="A111" s="12" t="s">
        <v>156</v>
      </c>
      <c r="B111" s="12" t="s">
        <v>40</v>
      </c>
      <c r="C111" s="12">
        <v>540.875</v>
      </c>
      <c r="D111" s="12"/>
      <c r="E111" s="12">
        <v>97.542000000000002</v>
      </c>
      <c r="F111" s="12">
        <v>437.82600000000002</v>
      </c>
      <c r="G111" s="13">
        <v>1</v>
      </c>
      <c r="H111" s="12">
        <v>60</v>
      </c>
      <c r="I111" s="12" t="s">
        <v>41</v>
      </c>
      <c r="J111" s="12"/>
      <c r="K111" s="12">
        <v>100</v>
      </c>
      <c r="L111" s="12">
        <f t="shared" si="21"/>
        <v>-2.4579999999999984</v>
      </c>
      <c r="M111" s="12"/>
      <c r="N111" s="12"/>
      <c r="O111" s="12"/>
      <c r="P111" s="12"/>
      <c r="Q111" s="12"/>
      <c r="R111" s="12">
        <v>0</v>
      </c>
      <c r="S111" s="12"/>
      <c r="T111" s="12"/>
      <c r="U111" s="12"/>
      <c r="V111" s="12">
        <f t="shared" si="22"/>
        <v>19.508400000000002</v>
      </c>
      <c r="W111" s="4"/>
      <c r="X111" s="12">
        <f t="shared" si="23"/>
        <v>22.442947653318569</v>
      </c>
      <c r="Y111" s="12">
        <f t="shared" si="24"/>
        <v>22.442947653318569</v>
      </c>
      <c r="Z111" s="12">
        <v>24.999600000000001</v>
      </c>
      <c r="AA111" s="12">
        <v>21.991399999999999</v>
      </c>
      <c r="AB111" s="12">
        <v>8.8583999999999996</v>
      </c>
      <c r="AC111" s="12">
        <v>2.6758000000000002</v>
      </c>
      <c r="AD111" s="12">
        <v>38.171399999999998</v>
      </c>
      <c r="AE111" s="12">
        <v>43.339199999999998</v>
      </c>
      <c r="AF111" s="12">
        <v>23.119599999999998</v>
      </c>
      <c r="AG111" s="12">
        <v>16.192399999999999</v>
      </c>
      <c r="AH111" s="12">
        <v>24.320599999999999</v>
      </c>
      <c r="AI111" s="12">
        <v>34.040199999999999</v>
      </c>
      <c r="AJ111" s="11" t="s">
        <v>110</v>
      </c>
      <c r="AK111" s="12">
        <f>G111*W111</f>
        <v>0</v>
      </c>
      <c r="AL111" s="12"/>
      <c r="AM111" s="12"/>
      <c r="AN111" s="12"/>
      <c r="AO111" s="12"/>
      <c r="AP111" s="12"/>
      <c r="AQ111" s="12"/>
    </row>
    <row r="112" spans="1:43" x14ac:dyDescent="0.25">
      <c r="A112" s="12" t="s">
        <v>157</v>
      </c>
      <c r="B112" s="12" t="s">
        <v>40</v>
      </c>
      <c r="C112" s="12">
        <v>89.655000000000001</v>
      </c>
      <c r="D112" s="12"/>
      <c r="E112" s="12"/>
      <c r="F112" s="12">
        <v>89.655000000000001</v>
      </c>
      <c r="G112" s="13">
        <v>1</v>
      </c>
      <c r="H112" s="12">
        <v>50</v>
      </c>
      <c r="I112" s="12" t="s">
        <v>41</v>
      </c>
      <c r="J112" s="12"/>
      <c r="K112" s="12">
        <v>20</v>
      </c>
      <c r="L112" s="12">
        <f t="shared" si="21"/>
        <v>-20</v>
      </c>
      <c r="M112" s="12"/>
      <c r="N112" s="12"/>
      <c r="O112" s="12"/>
      <c r="P112" s="12"/>
      <c r="Q112" s="12"/>
      <c r="R112" s="12">
        <v>0</v>
      </c>
      <c r="S112" s="12"/>
      <c r="T112" s="12"/>
      <c r="U112" s="12"/>
      <c r="V112" s="12">
        <f t="shared" si="22"/>
        <v>0</v>
      </c>
      <c r="W112" s="4"/>
      <c r="X112" s="12" t="e">
        <f t="shared" si="23"/>
        <v>#DIV/0!</v>
      </c>
      <c r="Y112" s="12" t="e">
        <f t="shared" si="24"/>
        <v>#DIV/0!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-0.2356</v>
      </c>
      <c r="AF112" s="12">
        <v>-0.3604</v>
      </c>
      <c r="AG112" s="12">
        <v>-0.12479999999999999</v>
      </c>
      <c r="AH112" s="12">
        <v>-0.17460000000000001</v>
      </c>
      <c r="AI112" s="12">
        <v>-0.35780000000000001</v>
      </c>
      <c r="AJ112" s="11" t="s">
        <v>110</v>
      </c>
      <c r="AK112" s="12">
        <f>G112*W112</f>
        <v>0</v>
      </c>
      <c r="AL112" s="12"/>
      <c r="AM112" s="12"/>
      <c r="AN112" s="12"/>
      <c r="AO112" s="12"/>
      <c r="AP112" s="12"/>
      <c r="AQ112" s="12"/>
    </row>
    <row r="113" spans="1:43" x14ac:dyDescent="0.25">
      <c r="A113" s="12" t="s">
        <v>158</v>
      </c>
      <c r="B113" s="12" t="s">
        <v>45</v>
      </c>
      <c r="C113" s="12">
        <v>115</v>
      </c>
      <c r="D113" s="12">
        <v>3</v>
      </c>
      <c r="E113" s="12">
        <v>101</v>
      </c>
      <c r="F113" s="12">
        <v>12</v>
      </c>
      <c r="G113" s="13">
        <v>0.09</v>
      </c>
      <c r="H113" s="12"/>
      <c r="I113" s="12" t="s">
        <v>41</v>
      </c>
      <c r="J113" s="12"/>
      <c r="K113" s="12">
        <v>109</v>
      </c>
      <c r="L113" s="12">
        <f t="shared" si="21"/>
        <v>-8</v>
      </c>
      <c r="M113" s="12"/>
      <c r="N113" s="12"/>
      <c r="O113" s="12"/>
      <c r="P113" s="12"/>
      <c r="Q113" s="12"/>
      <c r="R113" s="12">
        <v>29.3</v>
      </c>
      <c r="S113" s="12"/>
      <c r="T113" s="12"/>
      <c r="U113" s="12"/>
      <c r="V113" s="12">
        <f t="shared" si="22"/>
        <v>20.2</v>
      </c>
      <c r="W113" s="4">
        <f>8*V113-U113-T113-S113-R113-Q113-P113-O113-F113</f>
        <v>120.29999999999998</v>
      </c>
      <c r="X113" s="12">
        <f t="shared" si="23"/>
        <v>7.9999999999999982</v>
      </c>
      <c r="Y113" s="12">
        <f t="shared" si="24"/>
        <v>2.0445544554455446</v>
      </c>
      <c r="Z113" s="12">
        <v>8.1999999999999993</v>
      </c>
      <c r="AA113" s="12">
        <v>2</v>
      </c>
      <c r="AB113" s="12">
        <v>1.4</v>
      </c>
      <c r="AC113" s="12">
        <v>4</v>
      </c>
      <c r="AD113" s="12">
        <v>13.6</v>
      </c>
      <c r="AE113" s="12">
        <v>12.6</v>
      </c>
      <c r="AF113" s="12">
        <v>2.6</v>
      </c>
      <c r="AG113" s="12">
        <v>8.1999999999999993</v>
      </c>
      <c r="AH113" s="12">
        <v>8.1999999999999993</v>
      </c>
      <c r="AI113" s="12">
        <v>0</v>
      </c>
      <c r="AJ113" s="12"/>
      <c r="AK113" s="12">
        <f>G113*W113</f>
        <v>10.826999999999998</v>
      </c>
      <c r="AL113" s="12"/>
      <c r="AM113" s="12"/>
      <c r="AN113" s="12"/>
      <c r="AO113" s="12"/>
      <c r="AP113" s="12"/>
      <c r="AQ113" s="12"/>
    </row>
    <row r="114" spans="1:43" x14ac:dyDescent="0.25">
      <c r="A114" s="8" t="s">
        <v>159</v>
      </c>
      <c r="B114" s="8" t="s">
        <v>45</v>
      </c>
      <c r="C114" s="8"/>
      <c r="D114" s="8"/>
      <c r="E114" s="8"/>
      <c r="F114" s="8"/>
      <c r="G114" s="9">
        <v>0</v>
      </c>
      <c r="H114" s="8"/>
      <c r="I114" s="8" t="s">
        <v>41</v>
      </c>
      <c r="J114" s="8"/>
      <c r="K114" s="8"/>
      <c r="L114" s="8">
        <f t="shared" si="21"/>
        <v>0</v>
      </c>
      <c r="M114" s="8"/>
      <c r="N114" s="8"/>
      <c r="O114" s="8"/>
      <c r="P114" s="8"/>
      <c r="Q114" s="8"/>
      <c r="R114" s="8">
        <v>0</v>
      </c>
      <c r="S114" s="8"/>
      <c r="T114" s="8"/>
      <c r="U114" s="8"/>
      <c r="V114" s="8">
        <f t="shared" si="22"/>
        <v>0</v>
      </c>
      <c r="W114" s="10"/>
      <c r="X114" s="8" t="e">
        <f t="shared" si="23"/>
        <v>#DIV/0!</v>
      </c>
      <c r="Y114" s="8" t="e">
        <f t="shared" si="24"/>
        <v>#DIV/0!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8">
        <v>0</v>
      </c>
      <c r="AH114" s="8">
        <v>0</v>
      </c>
      <c r="AI114" s="8">
        <v>0</v>
      </c>
      <c r="AJ114" s="8" t="s">
        <v>46</v>
      </c>
      <c r="AK114" s="8"/>
      <c r="AL114" s="12"/>
      <c r="AM114" s="12"/>
      <c r="AN114" s="12"/>
      <c r="AO114" s="12"/>
      <c r="AP114" s="12"/>
      <c r="AQ114" s="12"/>
    </row>
    <row r="115" spans="1:43" x14ac:dyDescent="0.25">
      <c r="A115" s="12" t="s">
        <v>160</v>
      </c>
      <c r="B115" s="12" t="s">
        <v>40</v>
      </c>
      <c r="C115" s="12">
        <v>365.553</v>
      </c>
      <c r="D115" s="12">
        <v>446.33600000000001</v>
      </c>
      <c r="E115" s="12">
        <v>499.61399999999998</v>
      </c>
      <c r="F115" s="12">
        <v>274.54300000000001</v>
      </c>
      <c r="G115" s="13">
        <v>1</v>
      </c>
      <c r="H115" s="12">
        <v>60</v>
      </c>
      <c r="I115" s="12" t="s">
        <v>41</v>
      </c>
      <c r="J115" s="12"/>
      <c r="K115" s="12">
        <v>487.3</v>
      </c>
      <c r="L115" s="12">
        <f t="shared" si="21"/>
        <v>12.313999999999965</v>
      </c>
      <c r="M115" s="12"/>
      <c r="N115" s="12"/>
      <c r="O115" s="12">
        <v>199.13066319999999</v>
      </c>
      <c r="P115" s="12"/>
      <c r="Q115" s="12"/>
      <c r="R115" s="12">
        <v>135.80000000000001</v>
      </c>
      <c r="S115" s="12"/>
      <c r="T115" s="12"/>
      <c r="U115" s="12">
        <v>214.2</v>
      </c>
      <c r="V115" s="12">
        <f t="shared" si="22"/>
        <v>99.922799999999995</v>
      </c>
      <c r="W115" s="4">
        <f>11*V115-U115-T115-S115-R115-Q115-P115-O115-F115</f>
        <v>275.47713679999993</v>
      </c>
      <c r="X115" s="12">
        <f t="shared" si="23"/>
        <v>11</v>
      </c>
      <c r="Y115" s="12">
        <f t="shared" si="24"/>
        <v>8.2431003054357959</v>
      </c>
      <c r="Z115" s="12">
        <v>94.257800000000003</v>
      </c>
      <c r="AA115" s="12">
        <v>86.013800000000003</v>
      </c>
      <c r="AB115" s="12">
        <v>49.147399999999998</v>
      </c>
      <c r="AC115" s="12">
        <v>53.992400000000004</v>
      </c>
      <c r="AD115" s="12">
        <v>69.008799999999994</v>
      </c>
      <c r="AE115" s="12">
        <v>70.288600000000002</v>
      </c>
      <c r="AF115" s="12">
        <v>78.236599999999996</v>
      </c>
      <c r="AG115" s="12">
        <v>83.537400000000005</v>
      </c>
      <c r="AH115" s="12">
        <v>65.344999999999999</v>
      </c>
      <c r="AI115" s="12">
        <v>56.364999999999988</v>
      </c>
      <c r="AJ115" s="12"/>
      <c r="AK115" s="12">
        <f t="shared" ref="AK115:AK121" si="25">G115*W115</f>
        <v>275.47713679999993</v>
      </c>
      <c r="AL115" s="12"/>
      <c r="AM115" s="12"/>
      <c r="AN115" s="12"/>
      <c r="AO115" s="12"/>
      <c r="AP115" s="12"/>
      <c r="AQ115" s="12"/>
    </row>
    <row r="116" spans="1:43" x14ac:dyDescent="0.25">
      <c r="A116" s="12" t="s">
        <v>161</v>
      </c>
      <c r="B116" s="12" t="s">
        <v>40</v>
      </c>
      <c r="C116" s="12">
        <v>584.69500000000005</v>
      </c>
      <c r="D116" s="12">
        <v>514.30899999999997</v>
      </c>
      <c r="E116" s="12">
        <v>634.78599999999994</v>
      </c>
      <c r="F116" s="12">
        <v>405.16800000000001</v>
      </c>
      <c r="G116" s="13">
        <v>1</v>
      </c>
      <c r="H116" s="12">
        <v>60</v>
      </c>
      <c r="I116" s="12" t="s">
        <v>41</v>
      </c>
      <c r="J116" s="12"/>
      <c r="K116" s="12">
        <v>615.57299999999998</v>
      </c>
      <c r="L116" s="12">
        <f t="shared" si="21"/>
        <v>19.212999999999965</v>
      </c>
      <c r="M116" s="12"/>
      <c r="N116" s="12"/>
      <c r="O116" s="12">
        <v>203.51585600000001</v>
      </c>
      <c r="P116" s="12"/>
      <c r="Q116" s="12"/>
      <c r="R116" s="12">
        <v>174.6</v>
      </c>
      <c r="S116" s="12"/>
      <c r="T116" s="12"/>
      <c r="U116" s="12">
        <v>275.39999999999998</v>
      </c>
      <c r="V116" s="12">
        <f t="shared" si="22"/>
        <v>126.95719999999999</v>
      </c>
      <c r="W116" s="4">
        <f>11*V116-U116-T116-S116-R116-Q116-P116-O116-F116</f>
        <v>337.84534399999984</v>
      </c>
      <c r="X116" s="12">
        <f t="shared" si="23"/>
        <v>11</v>
      </c>
      <c r="Y116" s="12">
        <f t="shared" si="24"/>
        <v>8.3389036305148529</v>
      </c>
      <c r="Z116" s="12">
        <v>118.0086</v>
      </c>
      <c r="AA116" s="12">
        <v>112.2222</v>
      </c>
      <c r="AB116" s="12">
        <v>68.132000000000005</v>
      </c>
      <c r="AC116" s="12">
        <v>70.727800000000002</v>
      </c>
      <c r="AD116" s="12">
        <v>89.804999999999993</v>
      </c>
      <c r="AE116" s="12">
        <v>93.597000000000008</v>
      </c>
      <c r="AF116" s="12">
        <v>92.200800000000001</v>
      </c>
      <c r="AG116" s="12">
        <v>92.7684</v>
      </c>
      <c r="AH116" s="12">
        <v>92.423599999999993</v>
      </c>
      <c r="AI116" s="12">
        <v>83.889399999999995</v>
      </c>
      <c r="AJ116" s="12"/>
      <c r="AK116" s="12">
        <f t="shared" si="25"/>
        <v>337.84534399999984</v>
      </c>
      <c r="AL116" s="12"/>
      <c r="AM116" s="12"/>
      <c r="AN116" s="12"/>
      <c r="AO116" s="12"/>
      <c r="AP116" s="12"/>
      <c r="AQ116" s="12"/>
    </row>
    <row r="117" spans="1:43" x14ac:dyDescent="0.25">
      <c r="A117" s="12" t="s">
        <v>162</v>
      </c>
      <c r="B117" s="12" t="s">
        <v>40</v>
      </c>
      <c r="C117" s="12">
        <v>219.935</v>
      </c>
      <c r="D117" s="12">
        <v>208.05500000000001</v>
      </c>
      <c r="E117" s="12">
        <v>244.25800000000001</v>
      </c>
      <c r="F117" s="12">
        <v>157.01599999999999</v>
      </c>
      <c r="G117" s="13">
        <v>1</v>
      </c>
      <c r="H117" s="12">
        <v>60</v>
      </c>
      <c r="I117" s="12" t="s">
        <v>41</v>
      </c>
      <c r="J117" s="12"/>
      <c r="K117" s="12">
        <v>238.15</v>
      </c>
      <c r="L117" s="12">
        <f t="shared" si="21"/>
        <v>6.1080000000000041</v>
      </c>
      <c r="M117" s="12"/>
      <c r="N117" s="12"/>
      <c r="O117" s="12"/>
      <c r="P117" s="12"/>
      <c r="Q117" s="12"/>
      <c r="R117" s="12">
        <v>108.64</v>
      </c>
      <c r="S117" s="12"/>
      <c r="T117" s="12"/>
      <c r="U117" s="12">
        <v>171.36</v>
      </c>
      <c r="V117" s="12">
        <f t="shared" si="22"/>
        <v>48.851600000000005</v>
      </c>
      <c r="W117" s="4">
        <f>11*V117-U117-T117-S117-R117-Q117-P117-O117-F117</f>
        <v>100.35160000000005</v>
      </c>
      <c r="X117" s="12">
        <f t="shared" si="23"/>
        <v>11</v>
      </c>
      <c r="Y117" s="12">
        <f t="shared" si="24"/>
        <v>8.945786831956374</v>
      </c>
      <c r="Z117" s="12">
        <v>46.164200000000001</v>
      </c>
      <c r="AA117" s="12">
        <v>43.4572</v>
      </c>
      <c r="AB117" s="12">
        <v>25.361000000000001</v>
      </c>
      <c r="AC117" s="12">
        <v>30.110399999999998</v>
      </c>
      <c r="AD117" s="12">
        <v>35.292999999999999</v>
      </c>
      <c r="AE117" s="12">
        <v>31.552</v>
      </c>
      <c r="AF117" s="12">
        <v>45.125</v>
      </c>
      <c r="AG117" s="12">
        <v>47.799799999999998</v>
      </c>
      <c r="AH117" s="12">
        <v>34.2012</v>
      </c>
      <c r="AI117" s="12">
        <v>29.3096</v>
      </c>
      <c r="AJ117" s="12"/>
      <c r="AK117" s="12">
        <f t="shared" si="25"/>
        <v>100.35160000000005</v>
      </c>
      <c r="AL117" s="12"/>
      <c r="AM117" s="12"/>
      <c r="AN117" s="12"/>
      <c r="AO117" s="12"/>
      <c r="AP117" s="12"/>
      <c r="AQ117" s="12"/>
    </row>
    <row r="118" spans="1:43" x14ac:dyDescent="0.25">
      <c r="A118" s="12" t="s">
        <v>163</v>
      </c>
      <c r="B118" s="12" t="s">
        <v>40</v>
      </c>
      <c r="C118" s="12">
        <v>1699.6610000000001</v>
      </c>
      <c r="D118" s="12">
        <v>1655.163</v>
      </c>
      <c r="E118" s="12">
        <v>1771.673</v>
      </c>
      <c r="F118" s="12">
        <v>1435.222</v>
      </c>
      <c r="G118" s="13">
        <v>1</v>
      </c>
      <c r="H118" s="12">
        <v>60</v>
      </c>
      <c r="I118" s="12" t="s">
        <v>41</v>
      </c>
      <c r="J118" s="12"/>
      <c r="K118" s="12">
        <v>1813.2</v>
      </c>
      <c r="L118" s="12">
        <f t="shared" si="21"/>
        <v>-41.527000000000044</v>
      </c>
      <c r="M118" s="12"/>
      <c r="N118" s="12"/>
      <c r="O118" s="12">
        <v>161.53694033080009</v>
      </c>
      <c r="P118" s="12"/>
      <c r="Q118" s="12"/>
      <c r="R118" s="12">
        <v>562.6</v>
      </c>
      <c r="S118" s="12"/>
      <c r="T118" s="12">
        <v>330</v>
      </c>
      <c r="U118" s="12">
        <v>887.4</v>
      </c>
      <c r="V118" s="12">
        <f t="shared" si="22"/>
        <v>354.33460000000002</v>
      </c>
      <c r="W118" s="4">
        <f>11*V118-U118-T118-S118-R118-Q118-P118-O118-F118</f>
        <v>520.92165966920015</v>
      </c>
      <c r="X118" s="12">
        <f t="shared" si="23"/>
        <v>11.000000000000002</v>
      </c>
      <c r="Y118" s="12">
        <f t="shared" si="24"/>
        <v>9.5298594614547945</v>
      </c>
      <c r="Z118" s="12">
        <v>335.30160000000001</v>
      </c>
      <c r="AA118" s="12">
        <v>299.90980000000002</v>
      </c>
      <c r="AB118" s="12">
        <v>264.20240000000001</v>
      </c>
      <c r="AC118" s="12">
        <v>254.80359999999999</v>
      </c>
      <c r="AD118" s="12">
        <v>300.63580000000002</v>
      </c>
      <c r="AE118" s="12">
        <v>316.26139999999998</v>
      </c>
      <c r="AF118" s="12">
        <v>312.13819999999998</v>
      </c>
      <c r="AG118" s="12">
        <v>312.54939999999999</v>
      </c>
      <c r="AH118" s="12">
        <v>297.05020000000002</v>
      </c>
      <c r="AI118" s="12">
        <v>289.678</v>
      </c>
      <c r="AJ118" s="12"/>
      <c r="AK118" s="12">
        <f t="shared" si="25"/>
        <v>520.92165966920015</v>
      </c>
      <c r="AL118" s="12"/>
      <c r="AM118" s="12"/>
      <c r="AN118" s="12"/>
      <c r="AO118" s="12"/>
      <c r="AP118" s="12"/>
      <c r="AQ118" s="12"/>
    </row>
    <row r="119" spans="1:43" x14ac:dyDescent="0.25">
      <c r="A119" s="12" t="s">
        <v>164</v>
      </c>
      <c r="B119" s="12" t="s">
        <v>45</v>
      </c>
      <c r="C119" s="12">
        <v>385</v>
      </c>
      <c r="D119" s="12"/>
      <c r="E119" s="12">
        <v>76</v>
      </c>
      <c r="F119" s="12">
        <v>300</v>
      </c>
      <c r="G119" s="13">
        <v>0.25</v>
      </c>
      <c r="H119" s="12">
        <v>1096</v>
      </c>
      <c r="I119" s="12" t="s">
        <v>41</v>
      </c>
      <c r="J119" s="12"/>
      <c r="K119" s="12">
        <v>74</v>
      </c>
      <c r="L119" s="12">
        <f t="shared" si="21"/>
        <v>2</v>
      </c>
      <c r="M119" s="12"/>
      <c r="N119" s="12"/>
      <c r="O119" s="12"/>
      <c r="P119" s="12"/>
      <c r="Q119" s="12"/>
      <c r="R119" s="12">
        <v>0</v>
      </c>
      <c r="S119" s="12"/>
      <c r="T119" s="12"/>
      <c r="U119" s="12"/>
      <c r="V119" s="12">
        <f t="shared" si="22"/>
        <v>15.2</v>
      </c>
      <c r="W119" s="4"/>
      <c r="X119" s="12">
        <f t="shared" si="23"/>
        <v>19.736842105263158</v>
      </c>
      <c r="Y119" s="12">
        <f t="shared" si="24"/>
        <v>19.736842105263158</v>
      </c>
      <c r="Z119" s="12">
        <v>11.8</v>
      </c>
      <c r="AA119" s="12">
        <v>7.4</v>
      </c>
      <c r="AB119" s="12">
        <v>3.2</v>
      </c>
      <c r="AC119" s="12">
        <v>4.2</v>
      </c>
      <c r="AD119" s="12">
        <v>5.8</v>
      </c>
      <c r="AE119" s="12">
        <v>8</v>
      </c>
      <c r="AF119" s="12">
        <v>4.2</v>
      </c>
      <c r="AG119" s="12">
        <v>0</v>
      </c>
      <c r="AH119" s="12">
        <v>0</v>
      </c>
      <c r="AI119" s="12">
        <v>0</v>
      </c>
      <c r="AJ119" s="12"/>
      <c r="AK119" s="12">
        <f t="shared" si="25"/>
        <v>0</v>
      </c>
      <c r="AL119" s="12"/>
      <c r="AM119" s="12"/>
      <c r="AN119" s="12"/>
      <c r="AO119" s="12"/>
      <c r="AP119" s="12"/>
      <c r="AQ119" s="12"/>
    </row>
    <row r="120" spans="1:43" x14ac:dyDescent="0.25">
      <c r="A120" s="12" t="s">
        <v>165</v>
      </c>
      <c r="B120" s="12" t="s">
        <v>45</v>
      </c>
      <c r="C120" s="12">
        <v>413</v>
      </c>
      <c r="D120" s="12">
        <v>1</v>
      </c>
      <c r="E120" s="12">
        <v>41</v>
      </c>
      <c r="F120" s="12">
        <v>365</v>
      </c>
      <c r="G120" s="13">
        <v>0.32500000000000001</v>
      </c>
      <c r="H120" s="12">
        <v>1096</v>
      </c>
      <c r="I120" s="12" t="s">
        <v>41</v>
      </c>
      <c r="J120" s="12"/>
      <c r="K120" s="12">
        <v>41</v>
      </c>
      <c r="L120" s="12">
        <f t="shared" si="21"/>
        <v>0</v>
      </c>
      <c r="M120" s="12"/>
      <c r="N120" s="12"/>
      <c r="O120" s="12"/>
      <c r="P120" s="12"/>
      <c r="Q120" s="12"/>
      <c r="R120" s="12">
        <v>0</v>
      </c>
      <c r="S120" s="12"/>
      <c r="T120" s="12"/>
      <c r="U120" s="12"/>
      <c r="V120" s="12">
        <f t="shared" si="22"/>
        <v>8.1999999999999993</v>
      </c>
      <c r="W120" s="4"/>
      <c r="X120" s="12">
        <f t="shared" si="23"/>
        <v>44.512195121951223</v>
      </c>
      <c r="Y120" s="12">
        <f t="shared" si="24"/>
        <v>44.512195121951223</v>
      </c>
      <c r="Z120" s="12">
        <v>8.1999999999999993</v>
      </c>
      <c r="AA120" s="12">
        <v>6.8</v>
      </c>
      <c r="AB120" s="12">
        <v>4.4000000000000004</v>
      </c>
      <c r="AC120" s="12">
        <v>7</v>
      </c>
      <c r="AD120" s="12">
        <v>5.6</v>
      </c>
      <c r="AE120" s="12">
        <v>5.4</v>
      </c>
      <c r="AF120" s="12">
        <v>3.4</v>
      </c>
      <c r="AG120" s="12">
        <v>0</v>
      </c>
      <c r="AH120" s="12">
        <v>0.4</v>
      </c>
      <c r="AI120" s="12">
        <v>3.6</v>
      </c>
      <c r="AJ120" s="11" t="s">
        <v>110</v>
      </c>
      <c r="AK120" s="12">
        <f t="shared" si="25"/>
        <v>0</v>
      </c>
      <c r="AL120" s="12"/>
      <c r="AM120" s="12"/>
      <c r="AN120" s="12"/>
      <c r="AO120" s="12"/>
      <c r="AP120" s="12"/>
      <c r="AQ120" s="12"/>
    </row>
    <row r="121" spans="1:43" x14ac:dyDescent="0.25">
      <c r="A121" s="12" t="s">
        <v>166</v>
      </c>
      <c r="B121" s="12" t="s">
        <v>45</v>
      </c>
      <c r="C121" s="12">
        <v>48</v>
      </c>
      <c r="D121" s="12">
        <v>204</v>
      </c>
      <c r="E121" s="12">
        <v>56</v>
      </c>
      <c r="F121" s="12">
        <v>177</v>
      </c>
      <c r="G121" s="13">
        <v>0.25</v>
      </c>
      <c r="H121" s="12">
        <v>1096</v>
      </c>
      <c r="I121" s="12" t="s">
        <v>41</v>
      </c>
      <c r="J121" s="12"/>
      <c r="K121" s="12">
        <v>56</v>
      </c>
      <c r="L121" s="12">
        <f t="shared" si="21"/>
        <v>0</v>
      </c>
      <c r="M121" s="12"/>
      <c r="N121" s="12"/>
      <c r="O121" s="12"/>
      <c r="P121" s="12"/>
      <c r="Q121" s="12"/>
      <c r="R121" s="12">
        <v>0</v>
      </c>
      <c r="S121" s="12"/>
      <c r="T121" s="12"/>
      <c r="U121" s="12"/>
      <c r="V121" s="12">
        <f t="shared" si="22"/>
        <v>11.2</v>
      </c>
      <c r="W121" s="4"/>
      <c r="X121" s="12">
        <f t="shared" si="23"/>
        <v>15.803571428571429</v>
      </c>
      <c r="Y121" s="12">
        <f t="shared" si="24"/>
        <v>15.803571428571429</v>
      </c>
      <c r="Z121" s="12">
        <v>12.4</v>
      </c>
      <c r="AA121" s="12">
        <v>6.6</v>
      </c>
      <c r="AB121" s="12">
        <v>3.6</v>
      </c>
      <c r="AC121" s="12">
        <v>3.2</v>
      </c>
      <c r="AD121" s="12">
        <v>5.2</v>
      </c>
      <c r="AE121" s="12">
        <v>7.8</v>
      </c>
      <c r="AF121" s="12">
        <v>6.4</v>
      </c>
      <c r="AG121" s="12">
        <v>2.6</v>
      </c>
      <c r="AH121" s="12">
        <v>0.4</v>
      </c>
      <c r="AI121" s="12">
        <v>9.4</v>
      </c>
      <c r="AJ121" s="12" t="s">
        <v>167</v>
      </c>
      <c r="AK121" s="12">
        <f t="shared" si="25"/>
        <v>0</v>
      </c>
      <c r="AL121" s="12"/>
      <c r="AM121" s="12"/>
      <c r="AN121" s="12"/>
      <c r="AO121" s="12"/>
      <c r="AP121" s="12"/>
      <c r="AQ121" s="12"/>
    </row>
    <row r="122" spans="1:43" x14ac:dyDescent="0.25">
      <c r="A122" s="8" t="s">
        <v>168</v>
      </c>
      <c r="B122" s="8" t="s">
        <v>40</v>
      </c>
      <c r="C122" s="8">
        <v>96.81</v>
      </c>
      <c r="D122" s="8"/>
      <c r="E122" s="8">
        <v>1.37</v>
      </c>
      <c r="F122" s="8">
        <v>95.44</v>
      </c>
      <c r="G122" s="9">
        <v>0</v>
      </c>
      <c r="H122" s="8"/>
      <c r="I122" s="8" t="s">
        <v>169</v>
      </c>
      <c r="J122" s="8"/>
      <c r="K122" s="8">
        <v>2.7</v>
      </c>
      <c r="L122" s="8">
        <f t="shared" si="21"/>
        <v>-1.33</v>
      </c>
      <c r="M122" s="8"/>
      <c r="N122" s="8"/>
      <c r="O122" s="8"/>
      <c r="P122" s="8"/>
      <c r="Q122" s="8"/>
      <c r="R122" s="8">
        <v>0</v>
      </c>
      <c r="S122" s="8"/>
      <c r="T122" s="8"/>
      <c r="U122" s="8"/>
      <c r="V122" s="8">
        <f t="shared" si="22"/>
        <v>0.27400000000000002</v>
      </c>
      <c r="W122" s="10"/>
      <c r="X122" s="8">
        <f t="shared" si="23"/>
        <v>348.32116788321167</v>
      </c>
      <c r="Y122" s="8">
        <f t="shared" si="24"/>
        <v>348.32116788321167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8">
        <v>0</v>
      </c>
      <c r="AH122" s="8">
        <v>0</v>
      </c>
      <c r="AI122" s="8">
        <v>0</v>
      </c>
      <c r="AJ122" s="11" t="s">
        <v>170</v>
      </c>
      <c r="AK122" s="8"/>
      <c r="AL122" s="12"/>
      <c r="AM122" s="12"/>
      <c r="AN122" s="12"/>
      <c r="AO122" s="12"/>
      <c r="AP122" s="12"/>
      <c r="AQ122" s="12"/>
    </row>
    <row r="123" spans="1:43" x14ac:dyDescent="0.25">
      <c r="A123" s="12" t="s">
        <v>171</v>
      </c>
      <c r="B123" s="12" t="s">
        <v>45</v>
      </c>
      <c r="C123" s="12">
        <v>42</v>
      </c>
      <c r="D123" s="12"/>
      <c r="E123" s="12">
        <v>31</v>
      </c>
      <c r="F123" s="12"/>
      <c r="G123" s="13">
        <v>0.3</v>
      </c>
      <c r="H123" s="12">
        <v>40</v>
      </c>
      <c r="I123" s="7" t="s">
        <v>52</v>
      </c>
      <c r="J123" s="12"/>
      <c r="K123" s="12">
        <v>145</v>
      </c>
      <c r="L123" s="12">
        <f t="shared" si="21"/>
        <v>-114</v>
      </c>
      <c r="M123" s="12"/>
      <c r="N123" s="12"/>
      <c r="O123" s="12"/>
      <c r="P123" s="12"/>
      <c r="Q123" s="12"/>
      <c r="R123" s="12">
        <v>100</v>
      </c>
      <c r="S123" s="12"/>
      <c r="T123" s="12"/>
      <c r="U123" s="12">
        <v>100</v>
      </c>
      <c r="V123" s="12">
        <f t="shared" si="22"/>
        <v>6.2</v>
      </c>
      <c r="W123" s="4">
        <v>50</v>
      </c>
      <c r="X123" s="12">
        <f t="shared" si="23"/>
        <v>40.322580645161288</v>
      </c>
      <c r="Y123" s="12">
        <f t="shared" si="24"/>
        <v>32.258064516129032</v>
      </c>
      <c r="Z123" s="12">
        <v>26</v>
      </c>
      <c r="AA123" s="12">
        <v>17</v>
      </c>
      <c r="AB123" s="12">
        <v>-2.4</v>
      </c>
      <c r="AC123" s="12">
        <v>-1.4</v>
      </c>
      <c r="AD123" s="12">
        <v>-1.6</v>
      </c>
      <c r="AE123" s="12">
        <v>-1</v>
      </c>
      <c r="AF123" s="12">
        <v>74.599999999999994</v>
      </c>
      <c r="AG123" s="12">
        <v>112.4</v>
      </c>
      <c r="AH123" s="12">
        <v>109.2</v>
      </c>
      <c r="AI123" s="12">
        <v>112</v>
      </c>
      <c r="AJ123" s="12"/>
      <c r="AK123" s="12">
        <f>G123*W123</f>
        <v>15</v>
      </c>
      <c r="AL123" s="12"/>
      <c r="AM123" s="12"/>
      <c r="AN123" s="12"/>
      <c r="AO123" s="12"/>
      <c r="AP123" s="12"/>
      <c r="AQ123" s="12"/>
    </row>
    <row r="124" spans="1:43" x14ac:dyDescent="0.25">
      <c r="A124" s="12" t="s">
        <v>172</v>
      </c>
      <c r="B124" s="12" t="s">
        <v>45</v>
      </c>
      <c r="C124" s="12"/>
      <c r="D124" s="12"/>
      <c r="E124" s="12">
        <v>-14</v>
      </c>
      <c r="F124" s="12"/>
      <c r="G124" s="13">
        <v>0.3</v>
      </c>
      <c r="H124" s="12">
        <v>40</v>
      </c>
      <c r="I124" s="7" t="s">
        <v>52</v>
      </c>
      <c r="J124" s="12"/>
      <c r="K124" s="12">
        <v>10</v>
      </c>
      <c r="L124" s="12">
        <f t="shared" si="21"/>
        <v>-24</v>
      </c>
      <c r="M124" s="12"/>
      <c r="N124" s="12"/>
      <c r="O124" s="12"/>
      <c r="P124" s="12"/>
      <c r="Q124" s="12"/>
      <c r="R124" s="12">
        <v>40</v>
      </c>
      <c r="S124" s="12">
        <v>-42</v>
      </c>
      <c r="T124" s="12"/>
      <c r="U124" s="12">
        <v>20</v>
      </c>
      <c r="V124" s="12">
        <f t="shared" si="22"/>
        <v>-2.8</v>
      </c>
      <c r="W124" s="4">
        <v>50</v>
      </c>
      <c r="X124" s="12">
        <f t="shared" si="23"/>
        <v>-24.285714285714288</v>
      </c>
      <c r="Y124" s="12">
        <f t="shared" si="24"/>
        <v>-6.4285714285714288</v>
      </c>
      <c r="Z124" s="12">
        <v>-3.4</v>
      </c>
      <c r="AA124" s="12">
        <v>-4.2</v>
      </c>
      <c r="AB124" s="12">
        <v>-3.2</v>
      </c>
      <c r="AC124" s="12">
        <v>-1.8</v>
      </c>
      <c r="AD124" s="12">
        <v>-2.8</v>
      </c>
      <c r="AE124" s="12">
        <v>-3</v>
      </c>
      <c r="AF124" s="12">
        <v>-2</v>
      </c>
      <c r="AG124" s="12">
        <v>-2.4</v>
      </c>
      <c r="AH124" s="12">
        <v>24.4</v>
      </c>
      <c r="AI124" s="12">
        <v>53.6</v>
      </c>
      <c r="AJ124" s="12"/>
      <c r="AK124" s="12">
        <f>G124*W124</f>
        <v>15</v>
      </c>
      <c r="AL124" s="12"/>
      <c r="AM124" s="12"/>
      <c r="AN124" s="12"/>
      <c r="AO124" s="12"/>
      <c r="AP124" s="12"/>
      <c r="AQ124" s="12"/>
    </row>
    <row r="125" spans="1:43" x14ac:dyDescent="0.25">
      <c r="A125" s="12" t="s">
        <v>173</v>
      </c>
      <c r="B125" s="12" t="s">
        <v>40</v>
      </c>
      <c r="C125" s="12">
        <v>357.83699999999999</v>
      </c>
      <c r="D125" s="12">
        <v>251.27</v>
      </c>
      <c r="E125" s="12">
        <v>264.529</v>
      </c>
      <c r="F125" s="12">
        <v>319.39600000000002</v>
      </c>
      <c r="G125" s="13">
        <v>1</v>
      </c>
      <c r="H125" s="12">
        <v>50</v>
      </c>
      <c r="I125" s="12" t="s">
        <v>41</v>
      </c>
      <c r="J125" s="12"/>
      <c r="K125" s="12">
        <v>259.8</v>
      </c>
      <c r="L125" s="12">
        <f t="shared" si="21"/>
        <v>4.728999999999985</v>
      </c>
      <c r="M125" s="12"/>
      <c r="N125" s="12"/>
      <c r="O125" s="12"/>
      <c r="P125" s="12"/>
      <c r="Q125" s="12"/>
      <c r="R125" s="12">
        <v>173.55629999999991</v>
      </c>
      <c r="S125" s="12"/>
      <c r="T125" s="12"/>
      <c r="U125" s="12"/>
      <c r="V125" s="12">
        <f t="shared" si="22"/>
        <v>52.905799999999999</v>
      </c>
      <c r="W125" s="4">
        <f>11*V125-U125-T125-S125-R125-Q125-P125-O125-F125</f>
        <v>89.011500000000069</v>
      </c>
      <c r="X125" s="12">
        <f t="shared" si="23"/>
        <v>11</v>
      </c>
      <c r="Y125" s="12">
        <f t="shared" si="24"/>
        <v>9.3175474144611723</v>
      </c>
      <c r="Z125" s="12">
        <v>54.902999999999999</v>
      </c>
      <c r="AA125" s="12">
        <v>50.931199999999997</v>
      </c>
      <c r="AB125" s="12">
        <v>40.594000000000001</v>
      </c>
      <c r="AC125" s="12">
        <v>43.313800000000001</v>
      </c>
      <c r="AD125" s="12">
        <v>51.1004</v>
      </c>
      <c r="AE125" s="12">
        <v>57.784999999999997</v>
      </c>
      <c r="AF125" s="12">
        <v>63.404400000000003</v>
      </c>
      <c r="AG125" s="12">
        <v>59.213000000000001</v>
      </c>
      <c r="AH125" s="12">
        <v>48.825200000000002</v>
      </c>
      <c r="AI125" s="12">
        <v>45.4114</v>
      </c>
      <c r="AJ125" s="12"/>
      <c r="AK125" s="12">
        <f>G125*W125</f>
        <v>89.011500000000069</v>
      </c>
      <c r="AL125" s="12"/>
      <c r="AM125" s="12"/>
      <c r="AN125" s="12"/>
      <c r="AO125" s="12"/>
      <c r="AP125" s="12"/>
      <c r="AQ125" s="12"/>
    </row>
    <row r="126" spans="1:43" x14ac:dyDescent="0.25">
      <c r="A126" s="12" t="s">
        <v>174</v>
      </c>
      <c r="B126" s="12" t="s">
        <v>45</v>
      </c>
      <c r="C126" s="12">
        <v>1</v>
      </c>
      <c r="D126" s="12"/>
      <c r="E126" s="12">
        <v>-5</v>
      </c>
      <c r="F126" s="12">
        <v>1</v>
      </c>
      <c r="G126" s="13">
        <v>0.3</v>
      </c>
      <c r="H126" s="12">
        <v>40</v>
      </c>
      <c r="I126" s="7" t="s">
        <v>52</v>
      </c>
      <c r="J126" s="12"/>
      <c r="K126" s="12">
        <v>42</v>
      </c>
      <c r="L126" s="12">
        <f t="shared" si="21"/>
        <v>-47</v>
      </c>
      <c r="M126" s="12"/>
      <c r="N126" s="12"/>
      <c r="O126" s="12"/>
      <c r="P126" s="12"/>
      <c r="Q126" s="12"/>
      <c r="R126" s="12">
        <v>100</v>
      </c>
      <c r="S126" s="12">
        <v>-102</v>
      </c>
      <c r="T126" s="12"/>
      <c r="U126" s="12">
        <v>100</v>
      </c>
      <c r="V126" s="12">
        <f t="shared" si="22"/>
        <v>-1</v>
      </c>
      <c r="W126" s="4">
        <v>100</v>
      </c>
      <c r="X126" s="12">
        <f t="shared" si="23"/>
        <v>-199</v>
      </c>
      <c r="Y126" s="12">
        <f t="shared" si="24"/>
        <v>-99</v>
      </c>
      <c r="Z126" s="12">
        <v>-0.6</v>
      </c>
      <c r="AA126" s="12">
        <v>1.6</v>
      </c>
      <c r="AB126" s="12">
        <v>17.2</v>
      </c>
      <c r="AC126" s="12">
        <v>42.4</v>
      </c>
      <c r="AD126" s="12">
        <v>33.799999999999997</v>
      </c>
      <c r="AE126" s="12">
        <v>44.6</v>
      </c>
      <c r="AF126" s="12">
        <v>75.2</v>
      </c>
      <c r="AG126" s="12">
        <v>37.6</v>
      </c>
      <c r="AH126" s="12">
        <v>25.8</v>
      </c>
      <c r="AI126" s="12">
        <v>48.8</v>
      </c>
      <c r="AJ126" s="12"/>
      <c r="AK126" s="12">
        <f>G126*W126</f>
        <v>30</v>
      </c>
      <c r="AL126" s="12"/>
      <c r="AM126" s="12"/>
      <c r="AN126" s="12"/>
      <c r="AO126" s="12"/>
      <c r="AP126" s="12"/>
      <c r="AQ126" s="12"/>
    </row>
    <row r="127" spans="1:43" x14ac:dyDescent="0.25">
      <c r="A127" s="12" t="s">
        <v>175</v>
      </c>
      <c r="B127" s="12" t="s">
        <v>45</v>
      </c>
      <c r="C127" s="12">
        <v>-1</v>
      </c>
      <c r="D127" s="12">
        <v>105</v>
      </c>
      <c r="E127" s="12">
        <v>48</v>
      </c>
      <c r="F127" s="12">
        <v>53</v>
      </c>
      <c r="G127" s="13">
        <v>0.12</v>
      </c>
      <c r="H127" s="12">
        <v>45</v>
      </c>
      <c r="I127" s="7" t="s">
        <v>52</v>
      </c>
      <c r="J127" s="12"/>
      <c r="K127" s="12">
        <v>58</v>
      </c>
      <c r="L127" s="12">
        <f t="shared" si="21"/>
        <v>-10</v>
      </c>
      <c r="M127" s="12"/>
      <c r="N127" s="12"/>
      <c r="O127" s="12"/>
      <c r="P127" s="12"/>
      <c r="Q127" s="12"/>
      <c r="R127" s="12">
        <v>40</v>
      </c>
      <c r="S127" s="12"/>
      <c r="T127" s="12"/>
      <c r="U127" s="12">
        <v>40</v>
      </c>
      <c r="V127" s="12">
        <f t="shared" si="22"/>
        <v>9.6</v>
      </c>
      <c r="W127" s="4">
        <v>20</v>
      </c>
      <c r="X127" s="12">
        <f t="shared" si="23"/>
        <v>15.9375</v>
      </c>
      <c r="Y127" s="12">
        <f t="shared" si="24"/>
        <v>13.854166666666668</v>
      </c>
      <c r="Z127" s="12">
        <v>11.6</v>
      </c>
      <c r="AA127" s="12">
        <v>10.4</v>
      </c>
      <c r="AB127" s="12">
        <v>9.1999999999999993</v>
      </c>
      <c r="AC127" s="12">
        <v>12.4</v>
      </c>
      <c r="AD127" s="12">
        <v>20.6</v>
      </c>
      <c r="AE127" s="12">
        <v>19.8</v>
      </c>
      <c r="AF127" s="12">
        <v>13.6</v>
      </c>
      <c r="AG127" s="12">
        <v>12.4</v>
      </c>
      <c r="AH127" s="12">
        <v>11.6</v>
      </c>
      <c r="AI127" s="12">
        <v>13.4</v>
      </c>
      <c r="AJ127" s="12"/>
      <c r="AK127" s="12">
        <f>G127*W127</f>
        <v>2.4</v>
      </c>
      <c r="AL127" s="12"/>
      <c r="AM127" s="12"/>
      <c r="AN127" s="12"/>
      <c r="AO127" s="12"/>
      <c r="AP127" s="12"/>
      <c r="AQ127" s="12"/>
    </row>
    <row r="128" spans="1:43" x14ac:dyDescent="0.25">
      <c r="A128" s="8" t="s">
        <v>176</v>
      </c>
      <c r="B128" s="8" t="s">
        <v>45</v>
      </c>
      <c r="C128" s="8">
        <v>103</v>
      </c>
      <c r="D128" s="8">
        <v>100</v>
      </c>
      <c r="E128" s="15">
        <v>143</v>
      </c>
      <c r="F128" s="15">
        <v>52</v>
      </c>
      <c r="G128" s="9">
        <v>0</v>
      </c>
      <c r="H128" s="8"/>
      <c r="I128" s="8" t="s">
        <v>177</v>
      </c>
      <c r="J128" s="8" t="s">
        <v>96</v>
      </c>
      <c r="K128" s="8">
        <v>147</v>
      </c>
      <c r="L128" s="8">
        <f t="shared" si="21"/>
        <v>-4</v>
      </c>
      <c r="M128" s="8"/>
      <c r="N128" s="8"/>
      <c r="O128" s="8"/>
      <c r="P128" s="8"/>
      <c r="Q128" s="8"/>
      <c r="R128" s="8">
        <v>0</v>
      </c>
      <c r="S128" s="8"/>
      <c r="T128" s="8"/>
      <c r="U128" s="8"/>
      <c r="V128" s="8">
        <f t="shared" si="22"/>
        <v>28.6</v>
      </c>
      <c r="W128" s="10"/>
      <c r="X128" s="8">
        <f t="shared" si="23"/>
        <v>1.8181818181818181</v>
      </c>
      <c r="Y128" s="8">
        <f t="shared" si="24"/>
        <v>1.8181818181818181</v>
      </c>
      <c r="Z128" s="8">
        <v>14.4</v>
      </c>
      <c r="AA128" s="8">
        <v>9.4</v>
      </c>
      <c r="AB128" s="8">
        <v>0.8</v>
      </c>
      <c r="AC128" s="8">
        <v>0</v>
      </c>
      <c r="AD128" s="8">
        <v>0</v>
      </c>
      <c r="AE128" s="8">
        <v>0</v>
      </c>
      <c r="AF128" s="8">
        <v>0</v>
      </c>
      <c r="AG128" s="8">
        <v>0</v>
      </c>
      <c r="AH128" s="8">
        <v>0</v>
      </c>
      <c r="AI128" s="8">
        <v>0</v>
      </c>
      <c r="AJ128" s="8"/>
      <c r="AK128" s="8"/>
      <c r="AL128" s="12"/>
      <c r="AM128" s="12"/>
      <c r="AN128" s="12"/>
      <c r="AO128" s="12"/>
      <c r="AP128" s="12"/>
      <c r="AQ128" s="12"/>
    </row>
    <row r="129" spans="1:43" x14ac:dyDescent="0.25">
      <c r="A129" s="8" t="s">
        <v>178</v>
      </c>
      <c r="B129" s="8" t="s">
        <v>45</v>
      </c>
      <c r="C129" s="8">
        <v>1</v>
      </c>
      <c r="D129" s="8"/>
      <c r="E129" s="8"/>
      <c r="F129" s="8"/>
      <c r="G129" s="9">
        <v>0</v>
      </c>
      <c r="H129" s="8"/>
      <c r="I129" s="8" t="s">
        <v>177</v>
      </c>
      <c r="J129" s="8" t="s">
        <v>165</v>
      </c>
      <c r="K129" s="8">
        <v>1</v>
      </c>
      <c r="L129" s="8">
        <f t="shared" si="21"/>
        <v>-1</v>
      </c>
      <c r="M129" s="8"/>
      <c r="N129" s="8"/>
      <c r="O129" s="8"/>
      <c r="P129" s="8"/>
      <c r="Q129" s="8"/>
      <c r="R129" s="8">
        <v>0</v>
      </c>
      <c r="S129" s="8"/>
      <c r="T129" s="8"/>
      <c r="U129" s="8"/>
      <c r="V129" s="8">
        <f t="shared" si="22"/>
        <v>0</v>
      </c>
      <c r="W129" s="10"/>
      <c r="X129" s="8" t="e">
        <f t="shared" si="23"/>
        <v>#DIV/0!</v>
      </c>
      <c r="Y129" s="8" t="e">
        <f t="shared" si="24"/>
        <v>#DIV/0!</v>
      </c>
      <c r="Z129" s="8">
        <v>0</v>
      </c>
      <c r="AA129" s="8">
        <v>0</v>
      </c>
      <c r="AB129" s="8">
        <v>0.2</v>
      </c>
      <c r="AC129" s="8">
        <v>0.4</v>
      </c>
      <c r="AD129" s="8">
        <v>0.4</v>
      </c>
      <c r="AE129" s="8">
        <v>0.4</v>
      </c>
      <c r="AF129" s="8">
        <v>0.2</v>
      </c>
      <c r="AG129" s="8">
        <v>0</v>
      </c>
      <c r="AH129" s="8">
        <v>0</v>
      </c>
      <c r="AI129" s="8">
        <v>0</v>
      </c>
      <c r="AJ129" s="8"/>
      <c r="AK129" s="8"/>
      <c r="AL129" s="12"/>
      <c r="AM129" s="12"/>
      <c r="AN129" s="12"/>
      <c r="AO129" s="12"/>
      <c r="AP129" s="12"/>
      <c r="AQ129" s="12"/>
    </row>
    <row r="130" spans="1:43" x14ac:dyDescent="0.25">
      <c r="A130" s="12"/>
      <c r="B130" s="12"/>
      <c r="C130" s="12"/>
      <c r="D130" s="12"/>
      <c r="E130" s="12"/>
      <c r="F130" s="12"/>
      <c r="G130" s="13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</row>
    <row r="131" spans="1:43" x14ac:dyDescent="0.25">
      <c r="A131" s="12"/>
      <c r="B131" s="12"/>
      <c r="C131" s="12"/>
      <c r="D131" s="12"/>
      <c r="E131" s="12"/>
      <c r="F131" s="12"/>
      <c r="G131" s="13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</row>
    <row r="132" spans="1:43" x14ac:dyDescent="0.25">
      <c r="A132" s="12"/>
      <c r="B132" s="12"/>
      <c r="C132" s="12"/>
      <c r="D132" s="12"/>
      <c r="E132" s="12"/>
      <c r="F132" s="12"/>
      <c r="G132" s="13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</row>
    <row r="133" spans="1:43" x14ac:dyDescent="0.25">
      <c r="A133" s="12"/>
      <c r="B133" s="12"/>
      <c r="C133" s="12"/>
      <c r="D133" s="12"/>
      <c r="E133" s="12"/>
      <c r="F133" s="12"/>
      <c r="G133" s="13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</row>
    <row r="134" spans="1:43" x14ac:dyDescent="0.25">
      <c r="A134" s="12"/>
      <c r="B134" s="12"/>
      <c r="C134" s="12"/>
      <c r="D134" s="12"/>
      <c r="E134" s="12"/>
      <c r="F134" s="12"/>
      <c r="G134" s="13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</row>
    <row r="135" spans="1:43" x14ac:dyDescent="0.25">
      <c r="A135" s="12"/>
      <c r="B135" s="12"/>
      <c r="C135" s="12"/>
      <c r="D135" s="12"/>
      <c r="E135" s="12"/>
      <c r="F135" s="12"/>
      <c r="G135" s="13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</row>
    <row r="136" spans="1:43" x14ac:dyDescent="0.25">
      <c r="A136" s="12"/>
      <c r="B136" s="12"/>
      <c r="C136" s="12"/>
      <c r="D136" s="12"/>
      <c r="E136" s="12"/>
      <c r="F136" s="12"/>
      <c r="G136" s="13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</row>
    <row r="137" spans="1:43" x14ac:dyDescent="0.25">
      <c r="A137" s="12"/>
      <c r="B137" s="12"/>
      <c r="C137" s="12"/>
      <c r="D137" s="12"/>
      <c r="E137" s="12"/>
      <c r="F137" s="12"/>
      <c r="G137" s="13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</row>
    <row r="138" spans="1:43" x14ac:dyDescent="0.25">
      <c r="A138" s="12"/>
      <c r="B138" s="12"/>
      <c r="C138" s="12"/>
      <c r="D138" s="12"/>
      <c r="E138" s="12"/>
      <c r="F138" s="12"/>
      <c r="G138" s="13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</row>
    <row r="139" spans="1:43" x14ac:dyDescent="0.25">
      <c r="A139" s="12"/>
      <c r="B139" s="12"/>
      <c r="C139" s="12"/>
      <c r="D139" s="12"/>
      <c r="E139" s="12"/>
      <c r="F139" s="12"/>
      <c r="G139" s="13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</row>
    <row r="140" spans="1:43" x14ac:dyDescent="0.25">
      <c r="A140" s="12"/>
      <c r="B140" s="12"/>
      <c r="C140" s="12"/>
      <c r="D140" s="12"/>
      <c r="E140" s="12"/>
      <c r="F140" s="12"/>
      <c r="G140" s="13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</row>
    <row r="141" spans="1:43" x14ac:dyDescent="0.25">
      <c r="A141" s="12"/>
      <c r="B141" s="12"/>
      <c r="C141" s="12"/>
      <c r="D141" s="12"/>
      <c r="E141" s="12"/>
      <c r="F141" s="12"/>
      <c r="G141" s="13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</row>
    <row r="142" spans="1:43" x14ac:dyDescent="0.25">
      <c r="A142" s="12"/>
      <c r="B142" s="12"/>
      <c r="C142" s="12"/>
      <c r="D142" s="12"/>
      <c r="E142" s="12"/>
      <c r="F142" s="12"/>
      <c r="G142" s="13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</row>
    <row r="143" spans="1:43" x14ac:dyDescent="0.25">
      <c r="A143" s="12"/>
      <c r="B143" s="12"/>
      <c r="C143" s="12"/>
      <c r="D143" s="12"/>
      <c r="E143" s="12"/>
      <c r="F143" s="12"/>
      <c r="G143" s="13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</row>
    <row r="144" spans="1:43" x14ac:dyDescent="0.25">
      <c r="A144" s="12"/>
      <c r="B144" s="12"/>
      <c r="C144" s="12"/>
      <c r="D144" s="12"/>
      <c r="E144" s="12"/>
      <c r="F144" s="12"/>
      <c r="G144" s="13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</row>
    <row r="145" spans="1:43" x14ac:dyDescent="0.25">
      <c r="A145" s="12"/>
      <c r="B145" s="12"/>
      <c r="C145" s="12"/>
      <c r="D145" s="12"/>
      <c r="E145" s="12"/>
      <c r="F145" s="12"/>
      <c r="G145" s="13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</row>
    <row r="146" spans="1:43" x14ac:dyDescent="0.25">
      <c r="A146" s="12"/>
      <c r="B146" s="12"/>
      <c r="C146" s="12"/>
      <c r="D146" s="12"/>
      <c r="E146" s="12"/>
      <c r="F146" s="12"/>
      <c r="G146" s="13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</row>
    <row r="147" spans="1:43" x14ac:dyDescent="0.25">
      <c r="A147" s="12"/>
      <c r="B147" s="12"/>
      <c r="C147" s="12"/>
      <c r="D147" s="12"/>
      <c r="E147" s="12"/>
      <c r="F147" s="12"/>
      <c r="G147" s="13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</row>
    <row r="148" spans="1:43" x14ac:dyDescent="0.25">
      <c r="A148" s="12"/>
      <c r="B148" s="12"/>
      <c r="C148" s="12"/>
      <c r="D148" s="12"/>
      <c r="E148" s="12"/>
      <c r="F148" s="12"/>
      <c r="G148" s="13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</row>
    <row r="149" spans="1:43" x14ac:dyDescent="0.25">
      <c r="A149" s="12"/>
      <c r="B149" s="12"/>
      <c r="C149" s="12"/>
      <c r="D149" s="12"/>
      <c r="E149" s="12"/>
      <c r="F149" s="12"/>
      <c r="G149" s="13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</row>
    <row r="150" spans="1:43" x14ac:dyDescent="0.25">
      <c r="A150" s="12"/>
      <c r="B150" s="12"/>
      <c r="C150" s="12"/>
      <c r="D150" s="12"/>
      <c r="E150" s="12"/>
      <c r="F150" s="12"/>
      <c r="G150" s="13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</row>
    <row r="151" spans="1:43" x14ac:dyDescent="0.25">
      <c r="A151" s="12"/>
      <c r="B151" s="12"/>
      <c r="C151" s="12"/>
      <c r="D151" s="12"/>
      <c r="E151" s="12"/>
      <c r="F151" s="12"/>
      <c r="G151" s="13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</row>
    <row r="152" spans="1:43" x14ac:dyDescent="0.25">
      <c r="A152" s="12"/>
      <c r="B152" s="12"/>
      <c r="C152" s="12"/>
      <c r="D152" s="12"/>
      <c r="E152" s="12"/>
      <c r="F152" s="12"/>
      <c r="G152" s="13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</row>
    <row r="153" spans="1:43" x14ac:dyDescent="0.25">
      <c r="A153" s="12"/>
      <c r="B153" s="12"/>
      <c r="C153" s="12"/>
      <c r="D153" s="12"/>
      <c r="E153" s="12"/>
      <c r="F153" s="12"/>
      <c r="G153" s="13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</row>
    <row r="154" spans="1:43" x14ac:dyDescent="0.25">
      <c r="A154" s="12"/>
      <c r="B154" s="12"/>
      <c r="C154" s="12"/>
      <c r="D154" s="12"/>
      <c r="E154" s="12"/>
      <c r="F154" s="12"/>
      <c r="G154" s="13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</row>
    <row r="155" spans="1:43" x14ac:dyDescent="0.25">
      <c r="A155" s="12"/>
      <c r="B155" s="12"/>
      <c r="C155" s="12"/>
      <c r="D155" s="12"/>
      <c r="E155" s="12"/>
      <c r="F155" s="12"/>
      <c r="G155" s="13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</row>
    <row r="156" spans="1:43" x14ac:dyDescent="0.25">
      <c r="A156" s="12"/>
      <c r="B156" s="12"/>
      <c r="C156" s="12"/>
      <c r="D156" s="12"/>
      <c r="E156" s="12"/>
      <c r="F156" s="12"/>
      <c r="G156" s="13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</row>
    <row r="157" spans="1:43" x14ac:dyDescent="0.25">
      <c r="A157" s="12"/>
      <c r="B157" s="12"/>
      <c r="C157" s="12"/>
      <c r="D157" s="12"/>
      <c r="E157" s="12"/>
      <c r="F157" s="12"/>
      <c r="G157" s="13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</row>
    <row r="158" spans="1:43" x14ac:dyDescent="0.25">
      <c r="A158" s="12"/>
      <c r="B158" s="12"/>
      <c r="C158" s="12"/>
      <c r="D158" s="12"/>
      <c r="E158" s="12"/>
      <c r="F158" s="12"/>
      <c r="G158" s="13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</row>
    <row r="159" spans="1:43" x14ac:dyDescent="0.25">
      <c r="A159" s="12"/>
      <c r="B159" s="12"/>
      <c r="C159" s="12"/>
      <c r="D159" s="12"/>
      <c r="E159" s="12"/>
      <c r="F159" s="12"/>
      <c r="G159" s="13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</row>
    <row r="160" spans="1:43" x14ac:dyDescent="0.25">
      <c r="A160" s="12"/>
      <c r="B160" s="12"/>
      <c r="C160" s="12"/>
      <c r="D160" s="12"/>
      <c r="E160" s="12"/>
      <c r="F160" s="12"/>
      <c r="G160" s="13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</row>
    <row r="161" spans="1:43" x14ac:dyDescent="0.25">
      <c r="A161" s="12"/>
      <c r="B161" s="12"/>
      <c r="C161" s="12"/>
      <c r="D161" s="12"/>
      <c r="E161" s="12"/>
      <c r="F161" s="12"/>
      <c r="G161" s="13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</row>
    <row r="162" spans="1:43" x14ac:dyDescent="0.25">
      <c r="A162" s="12"/>
      <c r="B162" s="12"/>
      <c r="C162" s="12"/>
      <c r="D162" s="12"/>
      <c r="E162" s="12"/>
      <c r="F162" s="12"/>
      <c r="G162" s="13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</row>
    <row r="163" spans="1:43" x14ac:dyDescent="0.25">
      <c r="A163" s="12"/>
      <c r="B163" s="12"/>
      <c r="C163" s="12"/>
      <c r="D163" s="12"/>
      <c r="E163" s="12"/>
      <c r="F163" s="12"/>
      <c r="G163" s="13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</row>
    <row r="164" spans="1:43" x14ac:dyDescent="0.25">
      <c r="A164" s="12"/>
      <c r="B164" s="12"/>
      <c r="C164" s="12"/>
      <c r="D164" s="12"/>
      <c r="E164" s="12"/>
      <c r="F164" s="12"/>
      <c r="G164" s="13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</row>
    <row r="165" spans="1:43" x14ac:dyDescent="0.25">
      <c r="A165" s="12"/>
      <c r="B165" s="12"/>
      <c r="C165" s="12"/>
      <c r="D165" s="12"/>
      <c r="E165" s="12"/>
      <c r="F165" s="12"/>
      <c r="G165" s="13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</row>
    <row r="166" spans="1:43" x14ac:dyDescent="0.25">
      <c r="A166" s="12"/>
      <c r="B166" s="12"/>
      <c r="C166" s="12"/>
      <c r="D166" s="12"/>
      <c r="E166" s="12"/>
      <c r="F166" s="12"/>
      <c r="G166" s="13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</row>
    <row r="167" spans="1:43" x14ac:dyDescent="0.25">
      <c r="A167" s="12"/>
      <c r="B167" s="12"/>
      <c r="C167" s="12"/>
      <c r="D167" s="12"/>
      <c r="E167" s="12"/>
      <c r="F167" s="12"/>
      <c r="G167" s="13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</row>
    <row r="168" spans="1:43" x14ac:dyDescent="0.25">
      <c r="A168" s="12"/>
      <c r="B168" s="12"/>
      <c r="C168" s="12"/>
      <c r="D168" s="12"/>
      <c r="E168" s="12"/>
      <c r="F168" s="12"/>
      <c r="G168" s="13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</row>
    <row r="169" spans="1:43" x14ac:dyDescent="0.25">
      <c r="A169" s="12"/>
      <c r="B169" s="12"/>
      <c r="C169" s="12"/>
      <c r="D169" s="12"/>
      <c r="E169" s="12"/>
      <c r="F169" s="12"/>
      <c r="G169" s="13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</row>
    <row r="170" spans="1:43" x14ac:dyDescent="0.25">
      <c r="A170" s="12"/>
      <c r="B170" s="12"/>
      <c r="C170" s="12"/>
      <c r="D170" s="12"/>
      <c r="E170" s="12"/>
      <c r="F170" s="12"/>
      <c r="G170" s="13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</row>
    <row r="171" spans="1:43" x14ac:dyDescent="0.25">
      <c r="A171" s="12"/>
      <c r="B171" s="12"/>
      <c r="C171" s="12"/>
      <c r="D171" s="12"/>
      <c r="E171" s="12"/>
      <c r="F171" s="12"/>
      <c r="G171" s="13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</row>
    <row r="172" spans="1:43" x14ac:dyDescent="0.25">
      <c r="A172" s="12"/>
      <c r="B172" s="12"/>
      <c r="C172" s="12"/>
      <c r="D172" s="12"/>
      <c r="E172" s="12"/>
      <c r="F172" s="12"/>
      <c r="G172" s="13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</row>
    <row r="173" spans="1:43" x14ac:dyDescent="0.25">
      <c r="A173" s="12"/>
      <c r="B173" s="12"/>
      <c r="C173" s="12"/>
      <c r="D173" s="12"/>
      <c r="E173" s="12"/>
      <c r="F173" s="12"/>
      <c r="G173" s="13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</row>
    <row r="174" spans="1:43" x14ac:dyDescent="0.25">
      <c r="A174" s="12"/>
      <c r="B174" s="12"/>
      <c r="C174" s="12"/>
      <c r="D174" s="12"/>
      <c r="E174" s="12"/>
      <c r="F174" s="12"/>
      <c r="G174" s="13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</row>
    <row r="175" spans="1:43" x14ac:dyDescent="0.25">
      <c r="A175" s="12"/>
      <c r="B175" s="12"/>
      <c r="C175" s="12"/>
      <c r="D175" s="12"/>
      <c r="E175" s="12"/>
      <c r="F175" s="12"/>
      <c r="G175" s="13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</row>
    <row r="176" spans="1:43" x14ac:dyDescent="0.25">
      <c r="A176" s="12"/>
      <c r="B176" s="12"/>
      <c r="C176" s="12"/>
      <c r="D176" s="12"/>
      <c r="E176" s="12"/>
      <c r="F176" s="12"/>
      <c r="G176" s="13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</row>
    <row r="177" spans="1:43" x14ac:dyDescent="0.25">
      <c r="A177" s="12"/>
      <c r="B177" s="12"/>
      <c r="C177" s="12"/>
      <c r="D177" s="12"/>
      <c r="E177" s="12"/>
      <c r="F177" s="12"/>
      <c r="G177" s="13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</row>
    <row r="178" spans="1:43" x14ac:dyDescent="0.25">
      <c r="A178" s="12"/>
      <c r="B178" s="12"/>
      <c r="C178" s="12"/>
      <c r="D178" s="12"/>
      <c r="E178" s="12"/>
      <c r="F178" s="12"/>
      <c r="G178" s="13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</row>
    <row r="179" spans="1:43" x14ac:dyDescent="0.25">
      <c r="A179" s="12"/>
      <c r="B179" s="12"/>
      <c r="C179" s="12"/>
      <c r="D179" s="12"/>
      <c r="E179" s="12"/>
      <c r="F179" s="12"/>
      <c r="G179" s="13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</row>
    <row r="180" spans="1:43" x14ac:dyDescent="0.25">
      <c r="A180" s="12"/>
      <c r="B180" s="12"/>
      <c r="C180" s="12"/>
      <c r="D180" s="12"/>
      <c r="E180" s="12"/>
      <c r="F180" s="12"/>
      <c r="G180" s="13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</row>
    <row r="181" spans="1:43" x14ac:dyDescent="0.25">
      <c r="A181" s="12"/>
      <c r="B181" s="12"/>
      <c r="C181" s="12"/>
      <c r="D181" s="12"/>
      <c r="E181" s="12"/>
      <c r="F181" s="12"/>
      <c r="G181" s="13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</row>
    <row r="182" spans="1:43" x14ac:dyDescent="0.25">
      <c r="A182" s="12"/>
      <c r="B182" s="12"/>
      <c r="C182" s="12"/>
      <c r="D182" s="12"/>
      <c r="E182" s="12"/>
      <c r="F182" s="12"/>
      <c r="G182" s="13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</row>
    <row r="183" spans="1:43" x14ac:dyDescent="0.25">
      <c r="A183" s="12"/>
      <c r="B183" s="12"/>
      <c r="C183" s="12"/>
      <c r="D183" s="12"/>
      <c r="E183" s="12"/>
      <c r="F183" s="12"/>
      <c r="G183" s="13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</row>
    <row r="184" spans="1:43" x14ac:dyDescent="0.25">
      <c r="A184" s="12"/>
      <c r="B184" s="12"/>
      <c r="C184" s="12"/>
      <c r="D184" s="12"/>
      <c r="E184" s="12"/>
      <c r="F184" s="12"/>
      <c r="G184" s="13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</row>
    <row r="185" spans="1:43" x14ac:dyDescent="0.25">
      <c r="A185" s="12"/>
      <c r="B185" s="12"/>
      <c r="C185" s="12"/>
      <c r="D185" s="12"/>
      <c r="E185" s="12"/>
      <c r="F185" s="12"/>
      <c r="G185" s="13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</row>
    <row r="186" spans="1:43" x14ac:dyDescent="0.25">
      <c r="A186" s="12"/>
      <c r="B186" s="12"/>
      <c r="C186" s="12"/>
      <c r="D186" s="12"/>
      <c r="E186" s="12"/>
      <c r="F186" s="12"/>
      <c r="G186" s="13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</row>
    <row r="187" spans="1:43" x14ac:dyDescent="0.25">
      <c r="A187" s="12"/>
      <c r="B187" s="12"/>
      <c r="C187" s="12"/>
      <c r="D187" s="12"/>
      <c r="E187" s="12"/>
      <c r="F187" s="12"/>
      <c r="G187" s="13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</row>
    <row r="188" spans="1:43" x14ac:dyDescent="0.25">
      <c r="A188" s="12"/>
      <c r="B188" s="12"/>
      <c r="C188" s="12"/>
      <c r="D188" s="12"/>
      <c r="E188" s="12"/>
      <c r="F188" s="12"/>
      <c r="G188" s="13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</row>
    <row r="189" spans="1:43" x14ac:dyDescent="0.25">
      <c r="A189" s="12"/>
      <c r="B189" s="12"/>
      <c r="C189" s="12"/>
      <c r="D189" s="12"/>
      <c r="E189" s="12"/>
      <c r="F189" s="12"/>
      <c r="G189" s="13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</row>
    <row r="190" spans="1:43" x14ac:dyDescent="0.25">
      <c r="A190" s="12"/>
      <c r="B190" s="12"/>
      <c r="C190" s="12"/>
      <c r="D190" s="12"/>
      <c r="E190" s="12"/>
      <c r="F190" s="12"/>
      <c r="G190" s="13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</row>
    <row r="191" spans="1:43" x14ac:dyDescent="0.25">
      <c r="A191" s="12"/>
      <c r="B191" s="12"/>
      <c r="C191" s="12"/>
      <c r="D191" s="12"/>
      <c r="E191" s="12"/>
      <c r="F191" s="12"/>
      <c r="G191" s="13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</row>
    <row r="192" spans="1:43" x14ac:dyDescent="0.25">
      <c r="A192" s="12"/>
      <c r="B192" s="12"/>
      <c r="C192" s="12"/>
      <c r="D192" s="12"/>
      <c r="E192" s="12"/>
      <c r="F192" s="12"/>
      <c r="G192" s="13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</row>
    <row r="193" spans="1:43" x14ac:dyDescent="0.25">
      <c r="A193" s="12"/>
      <c r="B193" s="12"/>
      <c r="C193" s="12"/>
      <c r="D193" s="12"/>
      <c r="E193" s="12"/>
      <c r="F193" s="12"/>
      <c r="G193" s="13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</row>
    <row r="194" spans="1:43" x14ac:dyDescent="0.25">
      <c r="A194" s="12"/>
      <c r="B194" s="12"/>
      <c r="C194" s="12"/>
      <c r="D194" s="12"/>
      <c r="E194" s="12"/>
      <c r="F194" s="12"/>
      <c r="G194" s="13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</row>
    <row r="195" spans="1:43" x14ac:dyDescent="0.25">
      <c r="A195" s="12"/>
      <c r="B195" s="12"/>
      <c r="C195" s="12"/>
      <c r="D195" s="12"/>
      <c r="E195" s="12"/>
      <c r="F195" s="12"/>
      <c r="G195" s="13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</row>
    <row r="196" spans="1:43" x14ac:dyDescent="0.25">
      <c r="A196" s="12"/>
      <c r="B196" s="12"/>
      <c r="C196" s="12"/>
      <c r="D196" s="12"/>
      <c r="E196" s="12"/>
      <c r="F196" s="12"/>
      <c r="G196" s="13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</row>
    <row r="197" spans="1:43" x14ac:dyDescent="0.25">
      <c r="A197" s="12"/>
      <c r="B197" s="12"/>
      <c r="C197" s="12"/>
      <c r="D197" s="12"/>
      <c r="E197" s="12"/>
      <c r="F197" s="12"/>
      <c r="G197" s="13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</row>
    <row r="198" spans="1:43" x14ac:dyDescent="0.25">
      <c r="A198" s="12"/>
      <c r="B198" s="12"/>
      <c r="C198" s="12"/>
      <c r="D198" s="12"/>
      <c r="E198" s="12"/>
      <c r="F198" s="12"/>
      <c r="G198" s="13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</row>
    <row r="199" spans="1:43" x14ac:dyDescent="0.25">
      <c r="A199" s="12"/>
      <c r="B199" s="12"/>
      <c r="C199" s="12"/>
      <c r="D199" s="12"/>
      <c r="E199" s="12"/>
      <c r="F199" s="12"/>
      <c r="G199" s="13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</row>
    <row r="200" spans="1:43" x14ac:dyDescent="0.25">
      <c r="A200" s="12"/>
      <c r="B200" s="12"/>
      <c r="C200" s="12"/>
      <c r="D200" s="12"/>
      <c r="E200" s="12"/>
      <c r="F200" s="12"/>
      <c r="G200" s="13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</row>
    <row r="201" spans="1:43" x14ac:dyDescent="0.25">
      <c r="A201" s="12"/>
      <c r="B201" s="12"/>
      <c r="C201" s="12"/>
      <c r="D201" s="12"/>
      <c r="E201" s="12"/>
      <c r="F201" s="12"/>
      <c r="G201" s="13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</row>
    <row r="202" spans="1:43" x14ac:dyDescent="0.25">
      <c r="A202" s="12"/>
      <c r="B202" s="12"/>
      <c r="C202" s="12"/>
      <c r="D202" s="12"/>
      <c r="E202" s="12"/>
      <c r="F202" s="12"/>
      <c r="G202" s="13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</row>
    <row r="203" spans="1:43" x14ac:dyDescent="0.25">
      <c r="A203" s="12"/>
      <c r="B203" s="12"/>
      <c r="C203" s="12"/>
      <c r="D203" s="12"/>
      <c r="E203" s="12"/>
      <c r="F203" s="12"/>
      <c r="G203" s="13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</row>
    <row r="204" spans="1:43" x14ac:dyDescent="0.25">
      <c r="A204" s="12"/>
      <c r="B204" s="12"/>
      <c r="C204" s="12"/>
      <c r="D204" s="12"/>
      <c r="E204" s="12"/>
      <c r="F204" s="12"/>
      <c r="G204" s="13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</row>
    <row r="205" spans="1:43" x14ac:dyDescent="0.25">
      <c r="A205" s="12"/>
      <c r="B205" s="12"/>
      <c r="C205" s="12"/>
      <c r="D205" s="12"/>
      <c r="E205" s="12"/>
      <c r="F205" s="12"/>
      <c r="G205" s="13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</row>
    <row r="206" spans="1:43" x14ac:dyDescent="0.25">
      <c r="A206" s="12"/>
      <c r="B206" s="12"/>
      <c r="C206" s="12"/>
      <c r="D206" s="12"/>
      <c r="E206" s="12"/>
      <c r="F206" s="12"/>
      <c r="G206" s="13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</row>
    <row r="207" spans="1:43" x14ac:dyDescent="0.25">
      <c r="A207" s="12"/>
      <c r="B207" s="12"/>
      <c r="C207" s="12"/>
      <c r="D207" s="12"/>
      <c r="E207" s="12"/>
      <c r="F207" s="12"/>
      <c r="G207" s="13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</row>
    <row r="208" spans="1:43" x14ac:dyDescent="0.25">
      <c r="A208" s="12"/>
      <c r="B208" s="12"/>
      <c r="C208" s="12"/>
      <c r="D208" s="12"/>
      <c r="E208" s="12"/>
      <c r="F208" s="12"/>
      <c r="G208" s="13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</row>
    <row r="209" spans="1:43" x14ac:dyDescent="0.25">
      <c r="A209" s="12"/>
      <c r="B209" s="12"/>
      <c r="C209" s="12"/>
      <c r="D209" s="12"/>
      <c r="E209" s="12"/>
      <c r="F209" s="12"/>
      <c r="G209" s="13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</row>
    <row r="210" spans="1:43" x14ac:dyDescent="0.25">
      <c r="A210" s="12"/>
      <c r="B210" s="12"/>
      <c r="C210" s="12"/>
      <c r="D210" s="12"/>
      <c r="E210" s="12"/>
      <c r="F210" s="12"/>
      <c r="G210" s="13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</row>
    <row r="211" spans="1:43" x14ac:dyDescent="0.25">
      <c r="A211" s="12"/>
      <c r="B211" s="12"/>
      <c r="C211" s="12"/>
      <c r="D211" s="12"/>
      <c r="E211" s="12"/>
      <c r="F211" s="12"/>
      <c r="G211" s="13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</row>
    <row r="212" spans="1:43" x14ac:dyDescent="0.25">
      <c r="A212" s="12"/>
      <c r="B212" s="12"/>
      <c r="C212" s="12"/>
      <c r="D212" s="12"/>
      <c r="E212" s="12"/>
      <c r="F212" s="12"/>
      <c r="G212" s="13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</row>
    <row r="213" spans="1:43" x14ac:dyDescent="0.25">
      <c r="A213" s="12"/>
      <c r="B213" s="12"/>
      <c r="C213" s="12"/>
      <c r="D213" s="12"/>
      <c r="E213" s="12"/>
      <c r="F213" s="12"/>
      <c r="G213" s="13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</row>
    <row r="214" spans="1:43" x14ac:dyDescent="0.25">
      <c r="A214" s="12"/>
      <c r="B214" s="12"/>
      <c r="C214" s="12"/>
      <c r="D214" s="12"/>
      <c r="E214" s="12"/>
      <c r="F214" s="12"/>
      <c r="G214" s="13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</row>
    <row r="215" spans="1:43" x14ac:dyDescent="0.25">
      <c r="A215" s="12"/>
      <c r="B215" s="12"/>
      <c r="C215" s="12"/>
      <c r="D215" s="12"/>
      <c r="E215" s="12"/>
      <c r="F215" s="12"/>
      <c r="G215" s="13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</row>
    <row r="216" spans="1:43" x14ac:dyDescent="0.25">
      <c r="A216" s="12"/>
      <c r="B216" s="12"/>
      <c r="C216" s="12"/>
      <c r="D216" s="12"/>
      <c r="E216" s="12"/>
      <c r="F216" s="12"/>
      <c r="G216" s="13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</row>
    <row r="217" spans="1:43" x14ac:dyDescent="0.25">
      <c r="A217" s="12"/>
      <c r="B217" s="12"/>
      <c r="C217" s="12"/>
      <c r="D217" s="12"/>
      <c r="E217" s="12"/>
      <c r="F217" s="12"/>
      <c r="G217" s="13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</row>
    <row r="218" spans="1:43" x14ac:dyDescent="0.25">
      <c r="A218" s="12"/>
      <c r="B218" s="12"/>
      <c r="C218" s="12"/>
      <c r="D218" s="12"/>
      <c r="E218" s="12"/>
      <c r="F218" s="12"/>
      <c r="G218" s="13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</row>
    <row r="219" spans="1:43" x14ac:dyDescent="0.25">
      <c r="A219" s="12"/>
      <c r="B219" s="12"/>
      <c r="C219" s="12"/>
      <c r="D219" s="12"/>
      <c r="E219" s="12"/>
      <c r="F219" s="12"/>
      <c r="G219" s="13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</row>
    <row r="220" spans="1:43" x14ac:dyDescent="0.25">
      <c r="A220" s="12"/>
      <c r="B220" s="12"/>
      <c r="C220" s="12"/>
      <c r="D220" s="12"/>
      <c r="E220" s="12"/>
      <c r="F220" s="12"/>
      <c r="G220" s="13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</row>
    <row r="221" spans="1:43" x14ac:dyDescent="0.25">
      <c r="A221" s="12"/>
      <c r="B221" s="12"/>
      <c r="C221" s="12"/>
      <c r="D221" s="12"/>
      <c r="E221" s="12"/>
      <c r="F221" s="12"/>
      <c r="G221" s="13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</row>
    <row r="222" spans="1:43" x14ac:dyDescent="0.25">
      <c r="A222" s="12"/>
      <c r="B222" s="12"/>
      <c r="C222" s="12"/>
      <c r="D222" s="12"/>
      <c r="E222" s="12"/>
      <c r="F222" s="12"/>
      <c r="G222" s="13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</row>
    <row r="223" spans="1:43" x14ac:dyDescent="0.25">
      <c r="A223" s="12"/>
      <c r="B223" s="12"/>
      <c r="C223" s="12"/>
      <c r="D223" s="12"/>
      <c r="E223" s="12"/>
      <c r="F223" s="12"/>
      <c r="G223" s="13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</row>
    <row r="224" spans="1:43" x14ac:dyDescent="0.25">
      <c r="A224" s="12"/>
      <c r="B224" s="12"/>
      <c r="C224" s="12"/>
      <c r="D224" s="12"/>
      <c r="E224" s="12"/>
      <c r="F224" s="12"/>
      <c r="G224" s="13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</row>
    <row r="225" spans="1:43" x14ac:dyDescent="0.25">
      <c r="A225" s="12"/>
      <c r="B225" s="12"/>
      <c r="C225" s="12"/>
      <c r="D225" s="12"/>
      <c r="E225" s="12"/>
      <c r="F225" s="12"/>
      <c r="G225" s="13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</row>
    <row r="226" spans="1:43" x14ac:dyDescent="0.25">
      <c r="A226" s="12"/>
      <c r="B226" s="12"/>
      <c r="C226" s="12"/>
      <c r="D226" s="12"/>
      <c r="E226" s="12"/>
      <c r="F226" s="12"/>
      <c r="G226" s="13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</row>
    <row r="227" spans="1:43" x14ac:dyDescent="0.25">
      <c r="A227" s="12"/>
      <c r="B227" s="12"/>
      <c r="C227" s="12"/>
      <c r="D227" s="12"/>
      <c r="E227" s="12"/>
      <c r="F227" s="12"/>
      <c r="G227" s="13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</row>
    <row r="228" spans="1:43" x14ac:dyDescent="0.25">
      <c r="A228" s="12"/>
      <c r="B228" s="12"/>
      <c r="C228" s="12"/>
      <c r="D228" s="12"/>
      <c r="E228" s="12"/>
      <c r="F228" s="12"/>
      <c r="G228" s="13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</row>
    <row r="229" spans="1:43" x14ac:dyDescent="0.25">
      <c r="A229" s="12"/>
      <c r="B229" s="12"/>
      <c r="C229" s="12"/>
      <c r="D229" s="12"/>
      <c r="E229" s="12"/>
      <c r="F229" s="12"/>
      <c r="G229" s="13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</row>
    <row r="230" spans="1:43" x14ac:dyDescent="0.25">
      <c r="A230" s="12"/>
      <c r="B230" s="12"/>
      <c r="C230" s="12"/>
      <c r="D230" s="12"/>
      <c r="E230" s="12"/>
      <c r="F230" s="12"/>
      <c r="G230" s="13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</row>
    <row r="231" spans="1:43" x14ac:dyDescent="0.25">
      <c r="A231" s="12"/>
      <c r="B231" s="12"/>
      <c r="C231" s="12"/>
      <c r="D231" s="12"/>
      <c r="E231" s="12"/>
      <c r="F231" s="12"/>
      <c r="G231" s="13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</row>
    <row r="232" spans="1:43" x14ac:dyDescent="0.25">
      <c r="A232" s="12"/>
      <c r="B232" s="12"/>
      <c r="C232" s="12"/>
      <c r="D232" s="12"/>
      <c r="E232" s="12"/>
      <c r="F232" s="12"/>
      <c r="G232" s="13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</row>
    <row r="233" spans="1:43" x14ac:dyDescent="0.25">
      <c r="A233" s="12"/>
      <c r="B233" s="12"/>
      <c r="C233" s="12"/>
      <c r="D233" s="12"/>
      <c r="E233" s="12"/>
      <c r="F233" s="12"/>
      <c r="G233" s="13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</row>
    <row r="234" spans="1:43" x14ac:dyDescent="0.25">
      <c r="A234" s="12"/>
      <c r="B234" s="12"/>
      <c r="C234" s="12"/>
      <c r="D234" s="12"/>
      <c r="E234" s="12"/>
      <c r="F234" s="12"/>
      <c r="G234" s="13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</row>
    <row r="235" spans="1:43" x14ac:dyDescent="0.25">
      <c r="A235" s="12"/>
      <c r="B235" s="12"/>
      <c r="C235" s="12"/>
      <c r="D235" s="12"/>
      <c r="E235" s="12"/>
      <c r="F235" s="12"/>
      <c r="G235" s="13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</row>
    <row r="236" spans="1:43" x14ac:dyDescent="0.25">
      <c r="A236" s="12"/>
      <c r="B236" s="12"/>
      <c r="C236" s="12"/>
      <c r="D236" s="12"/>
      <c r="E236" s="12"/>
      <c r="F236" s="12"/>
      <c r="G236" s="13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</row>
    <row r="237" spans="1:43" x14ac:dyDescent="0.25">
      <c r="A237" s="12"/>
      <c r="B237" s="12"/>
      <c r="C237" s="12"/>
      <c r="D237" s="12"/>
      <c r="E237" s="12"/>
      <c r="F237" s="12"/>
      <c r="G237" s="13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</row>
    <row r="238" spans="1:43" x14ac:dyDescent="0.25">
      <c r="A238" s="12"/>
      <c r="B238" s="12"/>
      <c r="C238" s="12"/>
      <c r="D238" s="12"/>
      <c r="E238" s="12"/>
      <c r="F238" s="12"/>
      <c r="G238" s="13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</row>
    <row r="239" spans="1:43" x14ac:dyDescent="0.25">
      <c r="A239" s="12"/>
      <c r="B239" s="12"/>
      <c r="C239" s="12"/>
      <c r="D239" s="12"/>
      <c r="E239" s="12"/>
      <c r="F239" s="12"/>
      <c r="G239" s="13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</row>
    <row r="240" spans="1:43" x14ac:dyDescent="0.25">
      <c r="A240" s="12"/>
      <c r="B240" s="12"/>
      <c r="C240" s="12"/>
      <c r="D240" s="12"/>
      <c r="E240" s="12"/>
      <c r="F240" s="12"/>
      <c r="G240" s="13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</row>
    <row r="241" spans="1:43" x14ac:dyDescent="0.25">
      <c r="A241" s="12"/>
      <c r="B241" s="12"/>
      <c r="C241" s="12"/>
      <c r="D241" s="12"/>
      <c r="E241" s="12"/>
      <c r="F241" s="12"/>
      <c r="G241" s="13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</row>
    <row r="242" spans="1:43" x14ac:dyDescent="0.25">
      <c r="A242" s="12"/>
      <c r="B242" s="12"/>
      <c r="C242" s="12"/>
      <c r="D242" s="12"/>
      <c r="E242" s="12"/>
      <c r="F242" s="12"/>
      <c r="G242" s="13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</row>
    <row r="243" spans="1:43" x14ac:dyDescent="0.25">
      <c r="A243" s="12"/>
      <c r="B243" s="12"/>
      <c r="C243" s="12"/>
      <c r="D243" s="12"/>
      <c r="E243" s="12"/>
      <c r="F243" s="12"/>
      <c r="G243" s="13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</row>
    <row r="244" spans="1:43" x14ac:dyDescent="0.25">
      <c r="A244" s="12"/>
      <c r="B244" s="12"/>
      <c r="C244" s="12"/>
      <c r="D244" s="12"/>
      <c r="E244" s="12"/>
      <c r="F244" s="12"/>
      <c r="G244" s="13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</row>
    <row r="245" spans="1:43" x14ac:dyDescent="0.25">
      <c r="A245" s="12"/>
      <c r="B245" s="12"/>
      <c r="C245" s="12"/>
      <c r="D245" s="12"/>
      <c r="E245" s="12"/>
      <c r="F245" s="12"/>
      <c r="G245" s="13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</row>
    <row r="246" spans="1:43" x14ac:dyDescent="0.25">
      <c r="A246" s="12"/>
      <c r="B246" s="12"/>
      <c r="C246" s="12"/>
      <c r="D246" s="12"/>
      <c r="E246" s="12"/>
      <c r="F246" s="12"/>
      <c r="G246" s="13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</row>
    <row r="247" spans="1:43" x14ac:dyDescent="0.25">
      <c r="A247" s="12"/>
      <c r="B247" s="12"/>
      <c r="C247" s="12"/>
      <c r="D247" s="12"/>
      <c r="E247" s="12"/>
      <c r="F247" s="12"/>
      <c r="G247" s="13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</row>
    <row r="248" spans="1:43" x14ac:dyDescent="0.25">
      <c r="A248" s="12"/>
      <c r="B248" s="12"/>
      <c r="C248" s="12"/>
      <c r="D248" s="12"/>
      <c r="E248" s="12"/>
      <c r="F248" s="12"/>
      <c r="G248" s="13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</row>
    <row r="249" spans="1:43" x14ac:dyDescent="0.25">
      <c r="A249" s="12"/>
      <c r="B249" s="12"/>
      <c r="C249" s="12"/>
      <c r="D249" s="12"/>
      <c r="E249" s="12"/>
      <c r="F249" s="12"/>
      <c r="G249" s="13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</row>
    <row r="250" spans="1:43" x14ac:dyDescent="0.25">
      <c r="A250" s="12"/>
      <c r="B250" s="12"/>
      <c r="C250" s="12"/>
      <c r="D250" s="12"/>
      <c r="E250" s="12"/>
      <c r="F250" s="12"/>
      <c r="G250" s="13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</row>
    <row r="251" spans="1:43" x14ac:dyDescent="0.25">
      <c r="A251" s="12"/>
      <c r="B251" s="12"/>
      <c r="C251" s="12"/>
      <c r="D251" s="12"/>
      <c r="E251" s="12"/>
      <c r="F251" s="12"/>
      <c r="G251" s="13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</row>
    <row r="252" spans="1:43" x14ac:dyDescent="0.25">
      <c r="A252" s="12"/>
      <c r="B252" s="12"/>
      <c r="C252" s="12"/>
      <c r="D252" s="12"/>
      <c r="E252" s="12"/>
      <c r="F252" s="12"/>
      <c r="G252" s="13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</row>
    <row r="253" spans="1:43" x14ac:dyDescent="0.25">
      <c r="A253" s="12"/>
      <c r="B253" s="12"/>
      <c r="C253" s="12"/>
      <c r="D253" s="12"/>
      <c r="E253" s="12"/>
      <c r="F253" s="12"/>
      <c r="G253" s="13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</row>
    <row r="254" spans="1:43" x14ac:dyDescent="0.25">
      <c r="A254" s="12"/>
      <c r="B254" s="12"/>
      <c r="C254" s="12"/>
      <c r="D254" s="12"/>
      <c r="E254" s="12"/>
      <c r="F254" s="12"/>
      <c r="G254" s="13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</row>
    <row r="255" spans="1:43" x14ac:dyDescent="0.25">
      <c r="A255" s="12"/>
      <c r="B255" s="12"/>
      <c r="C255" s="12"/>
      <c r="D255" s="12"/>
      <c r="E255" s="12"/>
      <c r="F255" s="12"/>
      <c r="G255" s="13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</row>
    <row r="256" spans="1:43" x14ac:dyDescent="0.25">
      <c r="A256" s="12"/>
      <c r="B256" s="12"/>
      <c r="C256" s="12"/>
      <c r="D256" s="12"/>
      <c r="E256" s="12"/>
      <c r="F256" s="12"/>
      <c r="G256" s="13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</row>
    <row r="257" spans="1:43" x14ac:dyDescent="0.25">
      <c r="A257" s="12"/>
      <c r="B257" s="12"/>
      <c r="C257" s="12"/>
      <c r="D257" s="12"/>
      <c r="E257" s="12"/>
      <c r="F257" s="12"/>
      <c r="G257" s="13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</row>
    <row r="258" spans="1:43" x14ac:dyDescent="0.25">
      <c r="A258" s="12"/>
      <c r="B258" s="12"/>
      <c r="C258" s="12"/>
      <c r="D258" s="12"/>
      <c r="E258" s="12"/>
      <c r="F258" s="12"/>
      <c r="G258" s="13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</row>
    <row r="259" spans="1:43" x14ac:dyDescent="0.25">
      <c r="A259" s="12"/>
      <c r="B259" s="12"/>
      <c r="C259" s="12"/>
      <c r="D259" s="12"/>
      <c r="E259" s="12"/>
      <c r="F259" s="12"/>
      <c r="G259" s="13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</row>
    <row r="260" spans="1:43" x14ac:dyDescent="0.25">
      <c r="A260" s="12"/>
      <c r="B260" s="12"/>
      <c r="C260" s="12"/>
      <c r="D260" s="12"/>
      <c r="E260" s="12"/>
      <c r="F260" s="12"/>
      <c r="G260" s="13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</row>
    <row r="261" spans="1:43" x14ac:dyDescent="0.25">
      <c r="A261" s="12"/>
      <c r="B261" s="12"/>
      <c r="C261" s="12"/>
      <c r="D261" s="12"/>
      <c r="E261" s="12"/>
      <c r="F261" s="12"/>
      <c r="G261" s="13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</row>
    <row r="262" spans="1:43" x14ac:dyDescent="0.25">
      <c r="A262" s="12"/>
      <c r="B262" s="12"/>
      <c r="C262" s="12"/>
      <c r="D262" s="12"/>
      <c r="E262" s="12"/>
      <c r="F262" s="12"/>
      <c r="G262" s="13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</row>
    <row r="263" spans="1:43" x14ac:dyDescent="0.25">
      <c r="A263" s="12"/>
      <c r="B263" s="12"/>
      <c r="C263" s="12"/>
      <c r="D263" s="12"/>
      <c r="E263" s="12"/>
      <c r="F263" s="12"/>
      <c r="G263" s="13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</row>
    <row r="264" spans="1:43" x14ac:dyDescent="0.25">
      <c r="A264" s="12"/>
      <c r="B264" s="12"/>
      <c r="C264" s="12"/>
      <c r="D264" s="12"/>
      <c r="E264" s="12"/>
      <c r="F264" s="12"/>
      <c r="G264" s="13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</row>
    <row r="265" spans="1:43" x14ac:dyDescent="0.25">
      <c r="A265" s="12"/>
      <c r="B265" s="12"/>
      <c r="C265" s="12"/>
      <c r="D265" s="12"/>
      <c r="E265" s="12"/>
      <c r="F265" s="12"/>
      <c r="G265" s="13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</row>
    <row r="266" spans="1:43" x14ac:dyDescent="0.25">
      <c r="A266" s="12"/>
      <c r="B266" s="12"/>
      <c r="C266" s="12"/>
      <c r="D266" s="12"/>
      <c r="E266" s="12"/>
      <c r="F266" s="12"/>
      <c r="G266" s="13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</row>
    <row r="267" spans="1:43" x14ac:dyDescent="0.25">
      <c r="A267" s="12"/>
      <c r="B267" s="12"/>
      <c r="C267" s="12"/>
      <c r="D267" s="12"/>
      <c r="E267" s="12"/>
      <c r="F267" s="12"/>
      <c r="G267" s="13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</row>
    <row r="268" spans="1:43" x14ac:dyDescent="0.25">
      <c r="A268" s="12"/>
      <c r="B268" s="12"/>
      <c r="C268" s="12"/>
      <c r="D268" s="12"/>
      <c r="E268" s="12"/>
      <c r="F268" s="12"/>
      <c r="G268" s="13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</row>
    <row r="269" spans="1:43" x14ac:dyDescent="0.25">
      <c r="A269" s="12"/>
      <c r="B269" s="12"/>
      <c r="C269" s="12"/>
      <c r="D269" s="12"/>
      <c r="E269" s="12"/>
      <c r="F269" s="12"/>
      <c r="G269" s="13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</row>
    <row r="270" spans="1:43" x14ac:dyDescent="0.25">
      <c r="A270" s="12"/>
      <c r="B270" s="12"/>
      <c r="C270" s="12"/>
      <c r="D270" s="12"/>
      <c r="E270" s="12"/>
      <c r="F270" s="12"/>
      <c r="G270" s="13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</row>
    <row r="271" spans="1:43" x14ac:dyDescent="0.25">
      <c r="A271" s="12"/>
      <c r="B271" s="12"/>
      <c r="C271" s="12"/>
      <c r="D271" s="12"/>
      <c r="E271" s="12"/>
      <c r="F271" s="12"/>
      <c r="G271" s="13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</row>
    <row r="272" spans="1:43" x14ac:dyDescent="0.25">
      <c r="A272" s="12"/>
      <c r="B272" s="12"/>
      <c r="C272" s="12"/>
      <c r="D272" s="12"/>
      <c r="E272" s="12"/>
      <c r="F272" s="12"/>
      <c r="G272" s="13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</row>
    <row r="273" spans="1:43" x14ac:dyDescent="0.25">
      <c r="A273" s="12"/>
      <c r="B273" s="12"/>
      <c r="C273" s="12"/>
      <c r="D273" s="12"/>
      <c r="E273" s="12"/>
      <c r="F273" s="12"/>
      <c r="G273" s="13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</row>
    <row r="274" spans="1:43" x14ac:dyDescent="0.25">
      <c r="A274" s="12"/>
      <c r="B274" s="12"/>
      <c r="C274" s="12"/>
      <c r="D274" s="12"/>
      <c r="E274" s="12"/>
      <c r="F274" s="12"/>
      <c r="G274" s="13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</row>
    <row r="275" spans="1:43" x14ac:dyDescent="0.25">
      <c r="A275" s="12"/>
      <c r="B275" s="12"/>
      <c r="C275" s="12"/>
      <c r="D275" s="12"/>
      <c r="E275" s="12"/>
      <c r="F275" s="12"/>
      <c r="G275" s="13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</row>
    <row r="276" spans="1:43" x14ac:dyDescent="0.25">
      <c r="A276" s="12"/>
      <c r="B276" s="12"/>
      <c r="C276" s="12"/>
      <c r="D276" s="12"/>
      <c r="E276" s="12"/>
      <c r="F276" s="12"/>
      <c r="G276" s="13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</row>
    <row r="277" spans="1:43" x14ac:dyDescent="0.25">
      <c r="A277" s="12"/>
      <c r="B277" s="12"/>
      <c r="C277" s="12"/>
      <c r="D277" s="12"/>
      <c r="E277" s="12"/>
      <c r="F277" s="12"/>
      <c r="G277" s="13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</row>
    <row r="278" spans="1:43" x14ac:dyDescent="0.25">
      <c r="A278" s="12"/>
      <c r="B278" s="12"/>
      <c r="C278" s="12"/>
      <c r="D278" s="12"/>
      <c r="E278" s="12"/>
      <c r="F278" s="12"/>
      <c r="G278" s="13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</row>
    <row r="279" spans="1:43" x14ac:dyDescent="0.25">
      <c r="A279" s="12"/>
      <c r="B279" s="12"/>
      <c r="C279" s="12"/>
      <c r="D279" s="12"/>
      <c r="E279" s="12"/>
      <c r="F279" s="12"/>
      <c r="G279" s="13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</row>
    <row r="280" spans="1:43" x14ac:dyDescent="0.25">
      <c r="A280" s="12"/>
      <c r="B280" s="12"/>
      <c r="C280" s="12"/>
      <c r="D280" s="12"/>
      <c r="E280" s="12"/>
      <c r="F280" s="12"/>
      <c r="G280" s="13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</row>
    <row r="281" spans="1:43" x14ac:dyDescent="0.25">
      <c r="A281" s="12"/>
      <c r="B281" s="12"/>
      <c r="C281" s="12"/>
      <c r="D281" s="12"/>
      <c r="E281" s="12"/>
      <c r="F281" s="12"/>
      <c r="G281" s="13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</row>
    <row r="282" spans="1:43" x14ac:dyDescent="0.25">
      <c r="A282" s="12"/>
      <c r="B282" s="12"/>
      <c r="C282" s="12"/>
      <c r="D282" s="12"/>
      <c r="E282" s="12"/>
      <c r="F282" s="12"/>
      <c r="G282" s="13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</row>
    <row r="283" spans="1:43" x14ac:dyDescent="0.25">
      <c r="A283" s="12"/>
      <c r="B283" s="12"/>
      <c r="C283" s="12"/>
      <c r="D283" s="12"/>
      <c r="E283" s="12"/>
      <c r="F283" s="12"/>
      <c r="G283" s="13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</row>
    <row r="284" spans="1:43" x14ac:dyDescent="0.25">
      <c r="A284" s="12"/>
      <c r="B284" s="12"/>
      <c r="C284" s="12"/>
      <c r="D284" s="12"/>
      <c r="E284" s="12"/>
      <c r="F284" s="12"/>
      <c r="G284" s="13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</row>
    <row r="285" spans="1:43" x14ac:dyDescent="0.25">
      <c r="A285" s="12"/>
      <c r="B285" s="12"/>
      <c r="C285" s="12"/>
      <c r="D285" s="12"/>
      <c r="E285" s="12"/>
      <c r="F285" s="12"/>
      <c r="G285" s="13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</row>
    <row r="286" spans="1:43" x14ac:dyDescent="0.25">
      <c r="A286" s="12"/>
      <c r="B286" s="12"/>
      <c r="C286" s="12"/>
      <c r="D286" s="12"/>
      <c r="E286" s="12"/>
      <c r="F286" s="12"/>
      <c r="G286" s="13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</row>
    <row r="287" spans="1:43" x14ac:dyDescent="0.25">
      <c r="A287" s="12"/>
      <c r="B287" s="12"/>
      <c r="C287" s="12"/>
      <c r="D287" s="12"/>
      <c r="E287" s="12"/>
      <c r="F287" s="12"/>
      <c r="G287" s="13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</row>
    <row r="288" spans="1:43" x14ac:dyDescent="0.25">
      <c r="A288" s="12"/>
      <c r="B288" s="12"/>
      <c r="C288" s="12"/>
      <c r="D288" s="12"/>
      <c r="E288" s="12"/>
      <c r="F288" s="12"/>
      <c r="G288" s="13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</row>
    <row r="289" spans="1:43" x14ac:dyDescent="0.25">
      <c r="A289" s="12"/>
      <c r="B289" s="12"/>
      <c r="C289" s="12"/>
      <c r="D289" s="12"/>
      <c r="E289" s="12"/>
      <c r="F289" s="12"/>
      <c r="G289" s="13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</row>
    <row r="290" spans="1:43" x14ac:dyDescent="0.25">
      <c r="A290" s="12"/>
      <c r="B290" s="12"/>
      <c r="C290" s="12"/>
      <c r="D290" s="12"/>
      <c r="E290" s="12"/>
      <c r="F290" s="12"/>
      <c r="G290" s="13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</row>
    <row r="291" spans="1:43" x14ac:dyDescent="0.25">
      <c r="A291" s="12"/>
      <c r="B291" s="12"/>
      <c r="C291" s="12"/>
      <c r="D291" s="12"/>
      <c r="E291" s="12"/>
      <c r="F291" s="12"/>
      <c r="G291" s="13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</row>
    <row r="292" spans="1:43" x14ac:dyDescent="0.25">
      <c r="A292" s="12"/>
      <c r="B292" s="12"/>
      <c r="C292" s="12"/>
      <c r="D292" s="12"/>
      <c r="E292" s="12"/>
      <c r="F292" s="12"/>
      <c r="G292" s="13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</row>
    <row r="293" spans="1:43" x14ac:dyDescent="0.25">
      <c r="A293" s="12"/>
      <c r="B293" s="12"/>
      <c r="C293" s="12"/>
      <c r="D293" s="12"/>
      <c r="E293" s="12"/>
      <c r="F293" s="12"/>
      <c r="G293" s="13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</row>
    <row r="294" spans="1:43" x14ac:dyDescent="0.25">
      <c r="A294" s="12"/>
      <c r="B294" s="12"/>
      <c r="C294" s="12"/>
      <c r="D294" s="12"/>
      <c r="E294" s="12"/>
      <c r="F294" s="12"/>
      <c r="G294" s="13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</row>
    <row r="295" spans="1:43" x14ac:dyDescent="0.25">
      <c r="A295" s="12"/>
      <c r="B295" s="12"/>
      <c r="C295" s="12"/>
      <c r="D295" s="12"/>
      <c r="E295" s="12"/>
      <c r="F295" s="12"/>
      <c r="G295" s="13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</row>
    <row r="296" spans="1:43" x14ac:dyDescent="0.25">
      <c r="A296" s="12"/>
      <c r="B296" s="12"/>
      <c r="C296" s="12"/>
      <c r="D296" s="12"/>
      <c r="E296" s="12"/>
      <c r="F296" s="12"/>
      <c r="G296" s="13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</row>
    <row r="297" spans="1:43" x14ac:dyDescent="0.25">
      <c r="A297" s="12"/>
      <c r="B297" s="12"/>
      <c r="C297" s="12"/>
      <c r="D297" s="12"/>
      <c r="E297" s="12"/>
      <c r="F297" s="12"/>
      <c r="G297" s="13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</row>
    <row r="298" spans="1:43" x14ac:dyDescent="0.25">
      <c r="A298" s="12"/>
      <c r="B298" s="12"/>
      <c r="C298" s="12"/>
      <c r="D298" s="12"/>
      <c r="E298" s="12"/>
      <c r="F298" s="12"/>
      <c r="G298" s="13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</row>
    <row r="299" spans="1:43" x14ac:dyDescent="0.25">
      <c r="A299" s="12"/>
      <c r="B299" s="12"/>
      <c r="C299" s="12"/>
      <c r="D299" s="12"/>
      <c r="E299" s="12"/>
      <c r="F299" s="12"/>
      <c r="G299" s="13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</row>
    <row r="300" spans="1:43" x14ac:dyDescent="0.25">
      <c r="A300" s="12"/>
      <c r="B300" s="12"/>
      <c r="C300" s="12"/>
      <c r="D300" s="12"/>
      <c r="E300" s="12"/>
      <c r="F300" s="12"/>
      <c r="G300" s="13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</row>
    <row r="301" spans="1:43" x14ac:dyDescent="0.25">
      <c r="A301" s="12"/>
      <c r="B301" s="12"/>
      <c r="C301" s="12"/>
      <c r="D301" s="12"/>
      <c r="E301" s="12"/>
      <c r="F301" s="12"/>
      <c r="G301" s="13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</row>
    <row r="302" spans="1:43" x14ac:dyDescent="0.25">
      <c r="A302" s="12"/>
      <c r="B302" s="12"/>
      <c r="C302" s="12"/>
      <c r="D302" s="12"/>
      <c r="E302" s="12"/>
      <c r="F302" s="12"/>
      <c r="G302" s="13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</row>
    <row r="303" spans="1:43" x14ac:dyDescent="0.25">
      <c r="A303" s="12"/>
      <c r="B303" s="12"/>
      <c r="C303" s="12"/>
      <c r="D303" s="12"/>
      <c r="E303" s="12"/>
      <c r="F303" s="12"/>
      <c r="G303" s="13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</row>
    <row r="304" spans="1:43" x14ac:dyDescent="0.25">
      <c r="A304" s="12"/>
      <c r="B304" s="12"/>
      <c r="C304" s="12"/>
      <c r="D304" s="12"/>
      <c r="E304" s="12"/>
      <c r="F304" s="12"/>
      <c r="G304" s="13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</row>
    <row r="305" spans="1:43" x14ac:dyDescent="0.25">
      <c r="A305" s="12"/>
      <c r="B305" s="12"/>
      <c r="C305" s="12"/>
      <c r="D305" s="12"/>
      <c r="E305" s="12"/>
      <c r="F305" s="12"/>
      <c r="G305" s="13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</row>
    <row r="306" spans="1:43" x14ac:dyDescent="0.25">
      <c r="A306" s="12"/>
      <c r="B306" s="12"/>
      <c r="C306" s="12"/>
      <c r="D306" s="12"/>
      <c r="E306" s="12"/>
      <c r="F306" s="12"/>
      <c r="G306" s="13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</row>
    <row r="307" spans="1:43" x14ac:dyDescent="0.25">
      <c r="A307" s="12"/>
      <c r="B307" s="12"/>
      <c r="C307" s="12"/>
      <c r="D307" s="12"/>
      <c r="E307" s="12"/>
      <c r="F307" s="12"/>
      <c r="G307" s="13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</row>
    <row r="308" spans="1:43" x14ac:dyDescent="0.25">
      <c r="A308" s="12"/>
      <c r="B308" s="12"/>
      <c r="C308" s="12"/>
      <c r="D308" s="12"/>
      <c r="E308" s="12"/>
      <c r="F308" s="12"/>
      <c r="G308" s="13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</row>
    <row r="309" spans="1:43" x14ac:dyDescent="0.25">
      <c r="A309" s="12"/>
      <c r="B309" s="12"/>
      <c r="C309" s="12"/>
      <c r="D309" s="12"/>
      <c r="E309" s="12"/>
      <c r="F309" s="12"/>
      <c r="G309" s="13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</row>
    <row r="310" spans="1:43" x14ac:dyDescent="0.25">
      <c r="A310" s="12"/>
      <c r="B310" s="12"/>
      <c r="C310" s="12"/>
      <c r="D310" s="12"/>
      <c r="E310" s="12"/>
      <c r="F310" s="12"/>
      <c r="G310" s="13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</row>
    <row r="311" spans="1:43" x14ac:dyDescent="0.25">
      <c r="A311" s="12"/>
      <c r="B311" s="12"/>
      <c r="C311" s="12"/>
      <c r="D311" s="12"/>
      <c r="E311" s="12"/>
      <c r="F311" s="12"/>
      <c r="G311" s="13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</row>
    <row r="312" spans="1:43" x14ac:dyDescent="0.25">
      <c r="A312" s="12"/>
      <c r="B312" s="12"/>
      <c r="C312" s="12"/>
      <c r="D312" s="12"/>
      <c r="E312" s="12"/>
      <c r="F312" s="12"/>
      <c r="G312" s="13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</row>
    <row r="313" spans="1:43" x14ac:dyDescent="0.25">
      <c r="A313" s="12"/>
      <c r="B313" s="12"/>
      <c r="C313" s="12"/>
      <c r="D313" s="12"/>
      <c r="E313" s="12"/>
      <c r="F313" s="12"/>
      <c r="G313" s="13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</row>
    <row r="314" spans="1:43" x14ac:dyDescent="0.25">
      <c r="A314" s="12"/>
      <c r="B314" s="12"/>
      <c r="C314" s="12"/>
      <c r="D314" s="12"/>
      <c r="E314" s="12"/>
      <c r="F314" s="12"/>
      <c r="G314" s="13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</row>
    <row r="315" spans="1:43" x14ac:dyDescent="0.25">
      <c r="A315" s="12"/>
      <c r="B315" s="12"/>
      <c r="C315" s="12"/>
      <c r="D315" s="12"/>
      <c r="E315" s="12"/>
      <c r="F315" s="12"/>
      <c r="G315" s="13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</row>
    <row r="316" spans="1:43" x14ac:dyDescent="0.25">
      <c r="A316" s="12"/>
      <c r="B316" s="12"/>
      <c r="C316" s="12"/>
      <c r="D316" s="12"/>
      <c r="E316" s="12"/>
      <c r="F316" s="12"/>
      <c r="G316" s="13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</row>
    <row r="317" spans="1:43" x14ac:dyDescent="0.25">
      <c r="A317" s="12"/>
      <c r="B317" s="12"/>
      <c r="C317" s="12"/>
      <c r="D317" s="12"/>
      <c r="E317" s="12"/>
      <c r="F317" s="12"/>
      <c r="G317" s="13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</row>
    <row r="318" spans="1:43" x14ac:dyDescent="0.25">
      <c r="A318" s="12"/>
      <c r="B318" s="12"/>
      <c r="C318" s="12"/>
      <c r="D318" s="12"/>
      <c r="E318" s="12"/>
      <c r="F318" s="12"/>
      <c r="G318" s="13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</row>
    <row r="319" spans="1:43" x14ac:dyDescent="0.25">
      <c r="A319" s="12"/>
      <c r="B319" s="12"/>
      <c r="C319" s="12"/>
      <c r="D319" s="12"/>
      <c r="E319" s="12"/>
      <c r="F319" s="12"/>
      <c r="G319" s="13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</row>
    <row r="320" spans="1:43" x14ac:dyDescent="0.25">
      <c r="A320" s="12"/>
      <c r="B320" s="12"/>
      <c r="C320" s="12"/>
      <c r="D320" s="12"/>
      <c r="E320" s="12"/>
      <c r="F320" s="12"/>
      <c r="G320" s="13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</row>
    <row r="321" spans="1:43" x14ac:dyDescent="0.25">
      <c r="A321" s="12"/>
      <c r="B321" s="12"/>
      <c r="C321" s="12"/>
      <c r="D321" s="12"/>
      <c r="E321" s="12"/>
      <c r="F321" s="12"/>
      <c r="G321" s="13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</row>
    <row r="322" spans="1:43" x14ac:dyDescent="0.25">
      <c r="A322" s="12"/>
      <c r="B322" s="12"/>
      <c r="C322" s="12"/>
      <c r="D322" s="12"/>
      <c r="E322" s="12"/>
      <c r="F322" s="12"/>
      <c r="G322" s="13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</row>
    <row r="323" spans="1:43" x14ac:dyDescent="0.25">
      <c r="A323" s="12"/>
      <c r="B323" s="12"/>
      <c r="C323" s="12"/>
      <c r="D323" s="12"/>
      <c r="E323" s="12"/>
      <c r="F323" s="12"/>
      <c r="G323" s="13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</row>
    <row r="324" spans="1:43" x14ac:dyDescent="0.25">
      <c r="A324" s="12"/>
      <c r="B324" s="12"/>
      <c r="C324" s="12"/>
      <c r="D324" s="12"/>
      <c r="E324" s="12"/>
      <c r="F324" s="12"/>
      <c r="G324" s="13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</row>
    <row r="325" spans="1:43" x14ac:dyDescent="0.25">
      <c r="A325" s="12"/>
      <c r="B325" s="12"/>
      <c r="C325" s="12"/>
      <c r="D325" s="12"/>
      <c r="E325" s="12"/>
      <c r="F325" s="12"/>
      <c r="G325" s="13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</row>
    <row r="326" spans="1:43" x14ac:dyDescent="0.25">
      <c r="A326" s="12"/>
      <c r="B326" s="12"/>
      <c r="C326" s="12"/>
      <c r="D326" s="12"/>
      <c r="E326" s="12"/>
      <c r="F326" s="12"/>
      <c r="G326" s="13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</row>
    <row r="327" spans="1:43" x14ac:dyDescent="0.25">
      <c r="A327" s="12"/>
      <c r="B327" s="12"/>
      <c r="C327" s="12"/>
      <c r="D327" s="12"/>
      <c r="E327" s="12"/>
      <c r="F327" s="12"/>
      <c r="G327" s="13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</row>
    <row r="328" spans="1:43" x14ac:dyDescent="0.25">
      <c r="A328" s="12"/>
      <c r="B328" s="12"/>
      <c r="C328" s="12"/>
      <c r="D328" s="12"/>
      <c r="E328" s="12"/>
      <c r="F328" s="12"/>
      <c r="G328" s="13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</row>
    <row r="329" spans="1:43" x14ac:dyDescent="0.25">
      <c r="A329" s="12"/>
      <c r="B329" s="12"/>
      <c r="C329" s="12"/>
      <c r="D329" s="12"/>
      <c r="E329" s="12"/>
      <c r="F329" s="12"/>
      <c r="G329" s="13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</row>
    <row r="330" spans="1:43" x14ac:dyDescent="0.25">
      <c r="A330" s="12"/>
      <c r="B330" s="12"/>
      <c r="C330" s="12"/>
      <c r="D330" s="12"/>
      <c r="E330" s="12"/>
      <c r="F330" s="12"/>
      <c r="G330" s="13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</row>
    <row r="331" spans="1:43" x14ac:dyDescent="0.25">
      <c r="A331" s="12"/>
      <c r="B331" s="12"/>
      <c r="C331" s="12"/>
      <c r="D331" s="12"/>
      <c r="E331" s="12"/>
      <c r="F331" s="12"/>
      <c r="G331" s="13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</row>
    <row r="332" spans="1:43" x14ac:dyDescent="0.25">
      <c r="A332" s="12"/>
      <c r="B332" s="12"/>
      <c r="C332" s="12"/>
      <c r="D332" s="12"/>
      <c r="E332" s="12"/>
      <c r="F332" s="12"/>
      <c r="G332" s="13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</row>
    <row r="333" spans="1:43" x14ac:dyDescent="0.25">
      <c r="A333" s="12"/>
      <c r="B333" s="12"/>
      <c r="C333" s="12"/>
      <c r="D333" s="12"/>
      <c r="E333" s="12"/>
      <c r="F333" s="12"/>
      <c r="G333" s="13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</row>
    <row r="334" spans="1:43" x14ac:dyDescent="0.25">
      <c r="A334" s="12"/>
      <c r="B334" s="12"/>
      <c r="C334" s="12"/>
      <c r="D334" s="12"/>
      <c r="E334" s="12"/>
      <c r="F334" s="12"/>
      <c r="G334" s="13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</row>
    <row r="335" spans="1:43" x14ac:dyDescent="0.25">
      <c r="A335" s="12"/>
      <c r="B335" s="12"/>
      <c r="C335" s="12"/>
      <c r="D335" s="12"/>
      <c r="E335" s="12"/>
      <c r="F335" s="12"/>
      <c r="G335" s="13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</row>
    <row r="336" spans="1:43" x14ac:dyDescent="0.25">
      <c r="A336" s="12"/>
      <c r="B336" s="12"/>
      <c r="C336" s="12"/>
      <c r="D336" s="12"/>
      <c r="E336" s="12"/>
      <c r="F336" s="12"/>
      <c r="G336" s="13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</row>
    <row r="337" spans="1:43" x14ac:dyDescent="0.25">
      <c r="A337" s="12"/>
      <c r="B337" s="12"/>
      <c r="C337" s="12"/>
      <c r="D337" s="12"/>
      <c r="E337" s="12"/>
      <c r="F337" s="12"/>
      <c r="G337" s="13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</row>
    <row r="338" spans="1:43" x14ac:dyDescent="0.25">
      <c r="A338" s="12"/>
      <c r="B338" s="12"/>
      <c r="C338" s="12"/>
      <c r="D338" s="12"/>
      <c r="E338" s="12"/>
      <c r="F338" s="12"/>
      <c r="G338" s="13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</row>
    <row r="339" spans="1:43" x14ac:dyDescent="0.25">
      <c r="A339" s="12"/>
      <c r="B339" s="12"/>
      <c r="C339" s="12"/>
      <c r="D339" s="12"/>
      <c r="E339" s="12"/>
      <c r="F339" s="12"/>
      <c r="G339" s="13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</row>
    <row r="340" spans="1:43" x14ac:dyDescent="0.25">
      <c r="A340" s="12"/>
      <c r="B340" s="12"/>
      <c r="C340" s="12"/>
      <c r="D340" s="12"/>
      <c r="E340" s="12"/>
      <c r="F340" s="12"/>
      <c r="G340" s="13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</row>
    <row r="341" spans="1:43" x14ac:dyDescent="0.25">
      <c r="A341" s="12"/>
      <c r="B341" s="12"/>
      <c r="C341" s="12"/>
      <c r="D341" s="12"/>
      <c r="E341" s="12"/>
      <c r="F341" s="12"/>
      <c r="G341" s="13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</row>
    <row r="342" spans="1:43" x14ac:dyDescent="0.25">
      <c r="A342" s="12"/>
      <c r="B342" s="12"/>
      <c r="C342" s="12"/>
      <c r="D342" s="12"/>
      <c r="E342" s="12"/>
      <c r="F342" s="12"/>
      <c r="G342" s="13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</row>
    <row r="343" spans="1:43" x14ac:dyDescent="0.25">
      <c r="A343" s="12"/>
      <c r="B343" s="12"/>
      <c r="C343" s="12"/>
      <c r="D343" s="12"/>
      <c r="E343" s="12"/>
      <c r="F343" s="12"/>
      <c r="G343" s="13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</row>
    <row r="344" spans="1:43" x14ac:dyDescent="0.25">
      <c r="A344" s="12"/>
      <c r="B344" s="12"/>
      <c r="C344" s="12"/>
      <c r="D344" s="12"/>
      <c r="E344" s="12"/>
      <c r="F344" s="12"/>
      <c r="G344" s="13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</row>
    <row r="345" spans="1:43" x14ac:dyDescent="0.25">
      <c r="A345" s="12"/>
      <c r="B345" s="12"/>
      <c r="C345" s="12"/>
      <c r="D345" s="12"/>
      <c r="E345" s="12"/>
      <c r="F345" s="12"/>
      <c r="G345" s="13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</row>
    <row r="346" spans="1:43" x14ac:dyDescent="0.25">
      <c r="A346" s="12"/>
      <c r="B346" s="12"/>
      <c r="C346" s="12"/>
      <c r="D346" s="12"/>
      <c r="E346" s="12"/>
      <c r="F346" s="12"/>
      <c r="G346" s="13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</row>
    <row r="347" spans="1:43" x14ac:dyDescent="0.25">
      <c r="A347" s="12"/>
      <c r="B347" s="12"/>
      <c r="C347" s="12"/>
      <c r="D347" s="12"/>
      <c r="E347" s="12"/>
      <c r="F347" s="12"/>
      <c r="G347" s="13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</row>
    <row r="348" spans="1:43" x14ac:dyDescent="0.25">
      <c r="A348" s="12"/>
      <c r="B348" s="12"/>
      <c r="C348" s="12"/>
      <c r="D348" s="12"/>
      <c r="E348" s="12"/>
      <c r="F348" s="12"/>
      <c r="G348" s="13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</row>
    <row r="349" spans="1:43" x14ac:dyDescent="0.25">
      <c r="A349" s="12"/>
      <c r="B349" s="12"/>
      <c r="C349" s="12"/>
      <c r="D349" s="12"/>
      <c r="E349" s="12"/>
      <c r="F349" s="12"/>
      <c r="G349" s="13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</row>
    <row r="350" spans="1:43" x14ac:dyDescent="0.25">
      <c r="A350" s="12"/>
      <c r="B350" s="12"/>
      <c r="C350" s="12"/>
      <c r="D350" s="12"/>
      <c r="E350" s="12"/>
      <c r="F350" s="12"/>
      <c r="G350" s="13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</row>
    <row r="351" spans="1:43" x14ac:dyDescent="0.25">
      <c r="A351" s="12"/>
      <c r="B351" s="12"/>
      <c r="C351" s="12"/>
      <c r="D351" s="12"/>
      <c r="E351" s="12"/>
      <c r="F351" s="12"/>
      <c r="G351" s="13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</row>
    <row r="352" spans="1:43" x14ac:dyDescent="0.25">
      <c r="A352" s="12"/>
      <c r="B352" s="12"/>
      <c r="C352" s="12"/>
      <c r="D352" s="12"/>
      <c r="E352" s="12"/>
      <c r="F352" s="12"/>
      <c r="G352" s="13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</row>
    <row r="353" spans="1:43" x14ac:dyDescent="0.25">
      <c r="A353" s="12"/>
      <c r="B353" s="12"/>
      <c r="C353" s="12"/>
      <c r="D353" s="12"/>
      <c r="E353" s="12"/>
      <c r="F353" s="12"/>
      <c r="G353" s="13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</row>
    <row r="354" spans="1:43" x14ac:dyDescent="0.25">
      <c r="A354" s="12"/>
      <c r="B354" s="12"/>
      <c r="C354" s="12"/>
      <c r="D354" s="12"/>
      <c r="E354" s="12"/>
      <c r="F354" s="12"/>
      <c r="G354" s="13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</row>
    <row r="355" spans="1:43" x14ac:dyDescent="0.25">
      <c r="A355" s="12"/>
      <c r="B355" s="12"/>
      <c r="C355" s="12"/>
      <c r="D355" s="12"/>
      <c r="E355" s="12"/>
      <c r="F355" s="12"/>
      <c r="G355" s="13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</row>
    <row r="356" spans="1:43" x14ac:dyDescent="0.25">
      <c r="A356" s="12"/>
      <c r="B356" s="12"/>
      <c r="C356" s="12"/>
      <c r="D356" s="12"/>
      <c r="E356" s="12"/>
      <c r="F356" s="12"/>
      <c r="G356" s="13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</row>
    <row r="357" spans="1:43" x14ac:dyDescent="0.25">
      <c r="A357" s="12"/>
      <c r="B357" s="12"/>
      <c r="C357" s="12"/>
      <c r="D357" s="12"/>
      <c r="E357" s="12"/>
      <c r="F357" s="12"/>
      <c r="G357" s="13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</row>
    <row r="358" spans="1:43" x14ac:dyDescent="0.25">
      <c r="A358" s="12"/>
      <c r="B358" s="12"/>
      <c r="C358" s="12"/>
      <c r="D358" s="12"/>
      <c r="E358" s="12"/>
      <c r="F358" s="12"/>
      <c r="G358" s="13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</row>
    <row r="359" spans="1:43" x14ac:dyDescent="0.25">
      <c r="A359" s="12"/>
      <c r="B359" s="12"/>
      <c r="C359" s="12"/>
      <c r="D359" s="12"/>
      <c r="E359" s="12"/>
      <c r="F359" s="12"/>
      <c r="G359" s="13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</row>
    <row r="360" spans="1:43" x14ac:dyDescent="0.25">
      <c r="A360" s="12"/>
      <c r="B360" s="12"/>
      <c r="C360" s="12"/>
      <c r="D360" s="12"/>
      <c r="E360" s="12"/>
      <c r="F360" s="12"/>
      <c r="G360" s="13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</row>
    <row r="361" spans="1:43" x14ac:dyDescent="0.25">
      <c r="A361" s="12"/>
      <c r="B361" s="12"/>
      <c r="C361" s="12"/>
      <c r="D361" s="12"/>
      <c r="E361" s="12"/>
      <c r="F361" s="12"/>
      <c r="G361" s="13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</row>
    <row r="362" spans="1:43" x14ac:dyDescent="0.25">
      <c r="A362" s="12"/>
      <c r="B362" s="12"/>
      <c r="C362" s="12"/>
      <c r="D362" s="12"/>
      <c r="E362" s="12"/>
      <c r="F362" s="12"/>
      <c r="G362" s="13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</row>
    <row r="363" spans="1:43" x14ac:dyDescent="0.25">
      <c r="A363" s="12"/>
      <c r="B363" s="12"/>
      <c r="C363" s="12"/>
      <c r="D363" s="12"/>
      <c r="E363" s="12"/>
      <c r="F363" s="12"/>
      <c r="G363" s="13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</row>
    <row r="364" spans="1:43" x14ac:dyDescent="0.25">
      <c r="A364" s="12"/>
      <c r="B364" s="12"/>
      <c r="C364" s="12"/>
      <c r="D364" s="12"/>
      <c r="E364" s="12"/>
      <c r="F364" s="12"/>
      <c r="G364" s="13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</row>
    <row r="365" spans="1:43" x14ac:dyDescent="0.25">
      <c r="A365" s="12"/>
      <c r="B365" s="12"/>
      <c r="C365" s="12"/>
      <c r="D365" s="12"/>
      <c r="E365" s="12"/>
      <c r="F365" s="12"/>
      <c r="G365" s="13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</row>
    <row r="366" spans="1:43" x14ac:dyDescent="0.25">
      <c r="A366" s="12"/>
      <c r="B366" s="12"/>
      <c r="C366" s="12"/>
      <c r="D366" s="12"/>
      <c r="E366" s="12"/>
      <c r="F366" s="12"/>
      <c r="G366" s="13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</row>
    <row r="367" spans="1:43" x14ac:dyDescent="0.25">
      <c r="A367" s="12"/>
      <c r="B367" s="12"/>
      <c r="C367" s="12"/>
      <c r="D367" s="12"/>
      <c r="E367" s="12"/>
      <c r="F367" s="12"/>
      <c r="G367" s="13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</row>
    <row r="368" spans="1:43" x14ac:dyDescent="0.25">
      <c r="A368" s="12"/>
      <c r="B368" s="12"/>
      <c r="C368" s="12"/>
      <c r="D368" s="12"/>
      <c r="E368" s="12"/>
      <c r="F368" s="12"/>
      <c r="G368" s="13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</row>
    <row r="369" spans="1:43" x14ac:dyDescent="0.25">
      <c r="A369" s="12"/>
      <c r="B369" s="12"/>
      <c r="C369" s="12"/>
      <c r="D369" s="12"/>
      <c r="E369" s="12"/>
      <c r="F369" s="12"/>
      <c r="G369" s="13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</row>
    <row r="370" spans="1:43" x14ac:dyDescent="0.25">
      <c r="A370" s="12"/>
      <c r="B370" s="12"/>
      <c r="C370" s="12"/>
      <c r="D370" s="12"/>
      <c r="E370" s="12"/>
      <c r="F370" s="12"/>
      <c r="G370" s="13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</row>
    <row r="371" spans="1:43" x14ac:dyDescent="0.25">
      <c r="A371" s="12"/>
      <c r="B371" s="12"/>
      <c r="C371" s="12"/>
      <c r="D371" s="12"/>
      <c r="E371" s="12"/>
      <c r="F371" s="12"/>
      <c r="G371" s="13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</row>
    <row r="372" spans="1:43" x14ac:dyDescent="0.25">
      <c r="A372" s="12"/>
      <c r="B372" s="12"/>
      <c r="C372" s="12"/>
      <c r="D372" s="12"/>
      <c r="E372" s="12"/>
      <c r="F372" s="12"/>
      <c r="G372" s="13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</row>
    <row r="373" spans="1:43" x14ac:dyDescent="0.25">
      <c r="A373" s="12"/>
      <c r="B373" s="12"/>
      <c r="C373" s="12"/>
      <c r="D373" s="12"/>
      <c r="E373" s="12"/>
      <c r="F373" s="12"/>
      <c r="G373" s="13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</row>
    <row r="374" spans="1:43" x14ac:dyDescent="0.25">
      <c r="A374" s="12"/>
      <c r="B374" s="12"/>
      <c r="C374" s="12"/>
      <c r="D374" s="12"/>
      <c r="E374" s="12"/>
      <c r="F374" s="12"/>
      <c r="G374" s="13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</row>
    <row r="375" spans="1:43" x14ac:dyDescent="0.25">
      <c r="A375" s="12"/>
      <c r="B375" s="12"/>
      <c r="C375" s="12"/>
      <c r="D375" s="12"/>
      <c r="E375" s="12"/>
      <c r="F375" s="12"/>
      <c r="G375" s="13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</row>
    <row r="376" spans="1:43" x14ac:dyDescent="0.25">
      <c r="A376" s="12"/>
      <c r="B376" s="12"/>
      <c r="C376" s="12"/>
      <c r="D376" s="12"/>
      <c r="E376" s="12"/>
      <c r="F376" s="12"/>
      <c r="G376" s="13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</row>
    <row r="377" spans="1:43" x14ac:dyDescent="0.25">
      <c r="A377" s="12"/>
      <c r="B377" s="12"/>
      <c r="C377" s="12"/>
      <c r="D377" s="12"/>
      <c r="E377" s="12"/>
      <c r="F377" s="12"/>
      <c r="G377" s="13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</row>
    <row r="378" spans="1:43" x14ac:dyDescent="0.25">
      <c r="A378" s="12"/>
      <c r="B378" s="12"/>
      <c r="C378" s="12"/>
      <c r="D378" s="12"/>
      <c r="E378" s="12"/>
      <c r="F378" s="12"/>
      <c r="G378" s="13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</row>
    <row r="379" spans="1:43" x14ac:dyDescent="0.25">
      <c r="A379" s="12"/>
      <c r="B379" s="12"/>
      <c r="C379" s="12"/>
      <c r="D379" s="12"/>
      <c r="E379" s="12"/>
      <c r="F379" s="12"/>
      <c r="G379" s="13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</row>
    <row r="380" spans="1:43" x14ac:dyDescent="0.25">
      <c r="A380" s="12"/>
      <c r="B380" s="12"/>
      <c r="C380" s="12"/>
      <c r="D380" s="12"/>
      <c r="E380" s="12"/>
      <c r="F380" s="12"/>
      <c r="G380" s="13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</row>
    <row r="381" spans="1:43" x14ac:dyDescent="0.25">
      <c r="A381" s="12"/>
      <c r="B381" s="12"/>
      <c r="C381" s="12"/>
      <c r="D381" s="12"/>
      <c r="E381" s="12"/>
      <c r="F381" s="12"/>
      <c r="G381" s="13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</row>
    <row r="382" spans="1:43" x14ac:dyDescent="0.25">
      <c r="A382" s="12"/>
      <c r="B382" s="12"/>
      <c r="C382" s="12"/>
      <c r="D382" s="12"/>
      <c r="E382" s="12"/>
      <c r="F382" s="12"/>
      <c r="G382" s="13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</row>
    <row r="383" spans="1:43" x14ac:dyDescent="0.25">
      <c r="A383" s="12"/>
      <c r="B383" s="12"/>
      <c r="C383" s="12"/>
      <c r="D383" s="12"/>
      <c r="E383" s="12"/>
      <c r="F383" s="12"/>
      <c r="G383" s="13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</row>
    <row r="384" spans="1:43" x14ac:dyDescent="0.25">
      <c r="A384" s="12"/>
      <c r="B384" s="12"/>
      <c r="C384" s="12"/>
      <c r="D384" s="12"/>
      <c r="E384" s="12"/>
      <c r="F384" s="12"/>
      <c r="G384" s="13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</row>
    <row r="385" spans="1:43" x14ac:dyDescent="0.25">
      <c r="A385" s="12"/>
      <c r="B385" s="12"/>
      <c r="C385" s="12"/>
      <c r="D385" s="12"/>
      <c r="E385" s="12"/>
      <c r="F385" s="12"/>
      <c r="G385" s="13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</row>
    <row r="386" spans="1:43" x14ac:dyDescent="0.25">
      <c r="A386" s="12"/>
      <c r="B386" s="12"/>
      <c r="C386" s="12"/>
      <c r="D386" s="12"/>
      <c r="E386" s="12"/>
      <c r="F386" s="12"/>
      <c r="G386" s="13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</row>
    <row r="387" spans="1:43" x14ac:dyDescent="0.25">
      <c r="A387" s="12"/>
      <c r="B387" s="12"/>
      <c r="C387" s="12"/>
      <c r="D387" s="12"/>
      <c r="E387" s="12"/>
      <c r="F387" s="12"/>
      <c r="G387" s="13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</row>
    <row r="388" spans="1:43" x14ac:dyDescent="0.25">
      <c r="A388" s="12"/>
      <c r="B388" s="12"/>
      <c r="C388" s="12"/>
      <c r="D388" s="12"/>
      <c r="E388" s="12"/>
      <c r="F388" s="12"/>
      <c r="G388" s="13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</row>
    <row r="389" spans="1:43" x14ac:dyDescent="0.25">
      <c r="A389" s="12"/>
      <c r="B389" s="12"/>
      <c r="C389" s="12"/>
      <c r="D389" s="12"/>
      <c r="E389" s="12"/>
      <c r="F389" s="12"/>
      <c r="G389" s="13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</row>
    <row r="390" spans="1:43" x14ac:dyDescent="0.25">
      <c r="A390" s="12"/>
      <c r="B390" s="12"/>
      <c r="C390" s="12"/>
      <c r="D390" s="12"/>
      <c r="E390" s="12"/>
      <c r="F390" s="12"/>
      <c r="G390" s="13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</row>
    <row r="391" spans="1:43" x14ac:dyDescent="0.25">
      <c r="A391" s="12"/>
      <c r="B391" s="12"/>
      <c r="C391" s="12"/>
      <c r="D391" s="12"/>
      <c r="E391" s="12"/>
      <c r="F391" s="12"/>
      <c r="G391" s="13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</row>
    <row r="392" spans="1:43" x14ac:dyDescent="0.25">
      <c r="A392" s="12"/>
      <c r="B392" s="12"/>
      <c r="C392" s="12"/>
      <c r="D392" s="12"/>
      <c r="E392" s="12"/>
      <c r="F392" s="12"/>
      <c r="G392" s="13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</row>
    <row r="393" spans="1:43" x14ac:dyDescent="0.25">
      <c r="A393" s="12"/>
      <c r="B393" s="12"/>
      <c r="C393" s="12"/>
      <c r="D393" s="12"/>
      <c r="E393" s="12"/>
      <c r="F393" s="12"/>
      <c r="G393" s="13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</row>
    <row r="394" spans="1:43" x14ac:dyDescent="0.25">
      <c r="A394" s="12"/>
      <c r="B394" s="12"/>
      <c r="C394" s="12"/>
      <c r="D394" s="12"/>
      <c r="E394" s="12"/>
      <c r="F394" s="12"/>
      <c r="G394" s="13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</row>
    <row r="395" spans="1:43" x14ac:dyDescent="0.25">
      <c r="A395" s="12"/>
      <c r="B395" s="12"/>
      <c r="C395" s="12"/>
      <c r="D395" s="12"/>
      <c r="E395" s="12"/>
      <c r="F395" s="12"/>
      <c r="G395" s="13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</row>
    <row r="396" spans="1:43" x14ac:dyDescent="0.25">
      <c r="A396" s="12"/>
      <c r="B396" s="12"/>
      <c r="C396" s="12"/>
      <c r="D396" s="12"/>
      <c r="E396" s="12"/>
      <c r="F396" s="12"/>
      <c r="G396" s="13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</row>
    <row r="397" spans="1:43" x14ac:dyDescent="0.25">
      <c r="A397" s="12"/>
      <c r="B397" s="12"/>
      <c r="C397" s="12"/>
      <c r="D397" s="12"/>
      <c r="E397" s="12"/>
      <c r="F397" s="12"/>
      <c r="G397" s="13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</row>
    <row r="398" spans="1:43" x14ac:dyDescent="0.25">
      <c r="A398" s="12"/>
      <c r="B398" s="12"/>
      <c r="C398" s="12"/>
      <c r="D398" s="12"/>
      <c r="E398" s="12"/>
      <c r="F398" s="12"/>
      <c r="G398" s="13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</row>
    <row r="399" spans="1:43" x14ac:dyDescent="0.25">
      <c r="A399" s="12"/>
      <c r="B399" s="12"/>
      <c r="C399" s="12"/>
      <c r="D399" s="12"/>
      <c r="E399" s="12"/>
      <c r="F399" s="12"/>
      <c r="G399" s="13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</row>
    <row r="400" spans="1:43" x14ac:dyDescent="0.25">
      <c r="A400" s="12"/>
      <c r="B400" s="12"/>
      <c r="C400" s="12"/>
      <c r="D400" s="12"/>
      <c r="E400" s="12"/>
      <c r="F400" s="12"/>
      <c r="G400" s="13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</row>
    <row r="401" spans="1:43" x14ac:dyDescent="0.25">
      <c r="A401" s="12"/>
      <c r="B401" s="12"/>
      <c r="C401" s="12"/>
      <c r="D401" s="12"/>
      <c r="E401" s="12"/>
      <c r="F401" s="12"/>
      <c r="G401" s="13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</row>
    <row r="402" spans="1:43" x14ac:dyDescent="0.25">
      <c r="A402" s="12"/>
      <c r="B402" s="12"/>
      <c r="C402" s="12"/>
      <c r="D402" s="12"/>
      <c r="E402" s="12"/>
      <c r="F402" s="12"/>
      <c r="G402" s="13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</row>
    <row r="403" spans="1:43" x14ac:dyDescent="0.25">
      <c r="A403" s="12"/>
      <c r="B403" s="12"/>
      <c r="C403" s="12"/>
      <c r="D403" s="12"/>
      <c r="E403" s="12"/>
      <c r="F403" s="12"/>
      <c r="G403" s="13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</row>
    <row r="404" spans="1:43" x14ac:dyDescent="0.25">
      <c r="A404" s="12"/>
      <c r="B404" s="12"/>
      <c r="C404" s="12"/>
      <c r="D404" s="12"/>
      <c r="E404" s="12"/>
      <c r="F404" s="12"/>
      <c r="G404" s="13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</row>
    <row r="405" spans="1:43" x14ac:dyDescent="0.25">
      <c r="A405" s="12"/>
      <c r="B405" s="12"/>
      <c r="C405" s="12"/>
      <c r="D405" s="12"/>
      <c r="E405" s="12"/>
      <c r="F405" s="12"/>
      <c r="G405" s="13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</row>
    <row r="406" spans="1:43" x14ac:dyDescent="0.25">
      <c r="A406" s="12"/>
      <c r="B406" s="12"/>
      <c r="C406" s="12"/>
      <c r="D406" s="12"/>
      <c r="E406" s="12"/>
      <c r="F406" s="12"/>
      <c r="G406" s="13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</row>
    <row r="407" spans="1:43" x14ac:dyDescent="0.25">
      <c r="A407" s="12"/>
      <c r="B407" s="12"/>
      <c r="C407" s="12"/>
      <c r="D407" s="12"/>
      <c r="E407" s="12"/>
      <c r="F407" s="12"/>
      <c r="G407" s="13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</row>
    <row r="408" spans="1:43" x14ac:dyDescent="0.25">
      <c r="A408" s="12"/>
      <c r="B408" s="12"/>
      <c r="C408" s="12"/>
      <c r="D408" s="12"/>
      <c r="E408" s="12"/>
      <c r="F408" s="12"/>
      <c r="G408" s="13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</row>
    <row r="409" spans="1:43" x14ac:dyDescent="0.25">
      <c r="A409" s="12"/>
      <c r="B409" s="12"/>
      <c r="C409" s="12"/>
      <c r="D409" s="12"/>
      <c r="E409" s="12"/>
      <c r="F409" s="12"/>
      <c r="G409" s="13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</row>
    <row r="410" spans="1:43" x14ac:dyDescent="0.25">
      <c r="A410" s="12"/>
      <c r="B410" s="12"/>
      <c r="C410" s="12"/>
      <c r="D410" s="12"/>
      <c r="E410" s="12"/>
      <c r="F410" s="12"/>
      <c r="G410" s="13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</row>
    <row r="411" spans="1:43" x14ac:dyDescent="0.25">
      <c r="A411" s="12"/>
      <c r="B411" s="12"/>
      <c r="C411" s="12"/>
      <c r="D411" s="12"/>
      <c r="E411" s="12"/>
      <c r="F411" s="12"/>
      <c r="G411" s="13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</row>
    <row r="412" spans="1:43" x14ac:dyDescent="0.25">
      <c r="A412" s="12"/>
      <c r="B412" s="12"/>
      <c r="C412" s="12"/>
      <c r="D412" s="12"/>
      <c r="E412" s="12"/>
      <c r="F412" s="12"/>
      <c r="G412" s="13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</row>
    <row r="413" spans="1:43" x14ac:dyDescent="0.25">
      <c r="A413" s="12"/>
      <c r="B413" s="12"/>
      <c r="C413" s="12"/>
      <c r="D413" s="12"/>
      <c r="E413" s="12"/>
      <c r="F413" s="12"/>
      <c r="G413" s="13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</row>
    <row r="414" spans="1:43" x14ac:dyDescent="0.25">
      <c r="A414" s="12"/>
      <c r="B414" s="12"/>
      <c r="C414" s="12"/>
      <c r="D414" s="12"/>
      <c r="E414" s="12"/>
      <c r="F414" s="12"/>
      <c r="G414" s="13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</row>
    <row r="415" spans="1:43" x14ac:dyDescent="0.25">
      <c r="A415" s="12"/>
      <c r="B415" s="12"/>
      <c r="C415" s="12"/>
      <c r="D415" s="12"/>
      <c r="E415" s="12"/>
      <c r="F415" s="12"/>
      <c r="G415" s="13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</row>
    <row r="416" spans="1:43" x14ac:dyDescent="0.25">
      <c r="A416" s="12"/>
      <c r="B416" s="12"/>
      <c r="C416" s="12"/>
      <c r="D416" s="12"/>
      <c r="E416" s="12"/>
      <c r="F416" s="12"/>
      <c r="G416" s="13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</row>
    <row r="417" spans="1:43" x14ac:dyDescent="0.25">
      <c r="A417" s="12"/>
      <c r="B417" s="12"/>
      <c r="C417" s="12"/>
      <c r="D417" s="12"/>
      <c r="E417" s="12"/>
      <c r="F417" s="12"/>
      <c r="G417" s="13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</row>
    <row r="418" spans="1:43" x14ac:dyDescent="0.25">
      <c r="A418" s="12"/>
      <c r="B418" s="12"/>
      <c r="C418" s="12"/>
      <c r="D418" s="12"/>
      <c r="E418" s="12"/>
      <c r="F418" s="12"/>
      <c r="G418" s="13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</row>
    <row r="419" spans="1:43" x14ac:dyDescent="0.25">
      <c r="A419" s="12"/>
      <c r="B419" s="12"/>
      <c r="C419" s="12"/>
      <c r="D419" s="12"/>
      <c r="E419" s="12"/>
      <c r="F419" s="12"/>
      <c r="G419" s="13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</row>
    <row r="420" spans="1:43" x14ac:dyDescent="0.25">
      <c r="A420" s="12"/>
      <c r="B420" s="12"/>
      <c r="C420" s="12"/>
      <c r="D420" s="12"/>
      <c r="E420" s="12"/>
      <c r="F420" s="12"/>
      <c r="G420" s="13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</row>
    <row r="421" spans="1:43" x14ac:dyDescent="0.25">
      <c r="A421" s="12"/>
      <c r="B421" s="12"/>
      <c r="C421" s="12"/>
      <c r="D421" s="12"/>
      <c r="E421" s="12"/>
      <c r="F421" s="12"/>
      <c r="G421" s="13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</row>
    <row r="422" spans="1:43" x14ac:dyDescent="0.25">
      <c r="A422" s="12"/>
      <c r="B422" s="12"/>
      <c r="C422" s="12"/>
      <c r="D422" s="12"/>
      <c r="E422" s="12"/>
      <c r="F422" s="12"/>
      <c r="G422" s="13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</row>
    <row r="423" spans="1:43" x14ac:dyDescent="0.25">
      <c r="A423" s="12"/>
      <c r="B423" s="12"/>
      <c r="C423" s="12"/>
      <c r="D423" s="12"/>
      <c r="E423" s="12"/>
      <c r="F423" s="12"/>
      <c r="G423" s="13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</row>
    <row r="424" spans="1:43" x14ac:dyDescent="0.25">
      <c r="A424" s="12"/>
      <c r="B424" s="12"/>
      <c r="C424" s="12"/>
      <c r="D424" s="12"/>
      <c r="E424" s="12"/>
      <c r="F424" s="12"/>
      <c r="G424" s="13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</row>
    <row r="425" spans="1:43" x14ac:dyDescent="0.25">
      <c r="A425" s="12"/>
      <c r="B425" s="12"/>
      <c r="C425" s="12"/>
      <c r="D425" s="12"/>
      <c r="E425" s="12"/>
      <c r="F425" s="12"/>
      <c r="G425" s="13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</row>
    <row r="426" spans="1:43" x14ac:dyDescent="0.25">
      <c r="A426" s="12"/>
      <c r="B426" s="12"/>
      <c r="C426" s="12"/>
      <c r="D426" s="12"/>
      <c r="E426" s="12"/>
      <c r="F426" s="12"/>
      <c r="G426" s="13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</row>
    <row r="427" spans="1:43" x14ac:dyDescent="0.25">
      <c r="A427" s="12"/>
      <c r="B427" s="12"/>
      <c r="C427" s="12"/>
      <c r="D427" s="12"/>
      <c r="E427" s="12"/>
      <c r="F427" s="12"/>
      <c r="G427" s="13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</row>
    <row r="428" spans="1:43" x14ac:dyDescent="0.25">
      <c r="A428" s="12"/>
      <c r="B428" s="12"/>
      <c r="C428" s="12"/>
      <c r="D428" s="12"/>
      <c r="E428" s="12"/>
      <c r="F428" s="12"/>
      <c r="G428" s="13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</row>
    <row r="429" spans="1:43" x14ac:dyDescent="0.25">
      <c r="A429" s="12"/>
      <c r="B429" s="12"/>
      <c r="C429" s="12"/>
      <c r="D429" s="12"/>
      <c r="E429" s="12"/>
      <c r="F429" s="12"/>
      <c r="G429" s="13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</row>
    <row r="430" spans="1:43" x14ac:dyDescent="0.25">
      <c r="A430" s="12"/>
      <c r="B430" s="12"/>
      <c r="C430" s="12"/>
      <c r="D430" s="12"/>
      <c r="E430" s="12"/>
      <c r="F430" s="12"/>
      <c r="G430" s="13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</row>
    <row r="431" spans="1:43" x14ac:dyDescent="0.25">
      <c r="A431" s="12"/>
      <c r="B431" s="12"/>
      <c r="C431" s="12"/>
      <c r="D431" s="12"/>
      <c r="E431" s="12"/>
      <c r="F431" s="12"/>
      <c r="G431" s="13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</row>
    <row r="432" spans="1:43" x14ac:dyDescent="0.25">
      <c r="A432" s="12"/>
      <c r="B432" s="12"/>
      <c r="C432" s="12"/>
      <c r="D432" s="12"/>
      <c r="E432" s="12"/>
      <c r="F432" s="12"/>
      <c r="G432" s="13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</row>
    <row r="433" spans="1:43" x14ac:dyDescent="0.25">
      <c r="A433" s="12"/>
      <c r="B433" s="12"/>
      <c r="C433" s="12"/>
      <c r="D433" s="12"/>
      <c r="E433" s="12"/>
      <c r="F433" s="12"/>
      <c r="G433" s="13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</row>
    <row r="434" spans="1:43" x14ac:dyDescent="0.25">
      <c r="A434" s="12"/>
      <c r="B434" s="12"/>
      <c r="C434" s="12"/>
      <c r="D434" s="12"/>
      <c r="E434" s="12"/>
      <c r="F434" s="12"/>
      <c r="G434" s="13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</row>
    <row r="435" spans="1:43" x14ac:dyDescent="0.25">
      <c r="A435" s="12"/>
      <c r="B435" s="12"/>
      <c r="C435" s="12"/>
      <c r="D435" s="12"/>
      <c r="E435" s="12"/>
      <c r="F435" s="12"/>
      <c r="G435" s="13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</row>
    <row r="436" spans="1:43" x14ac:dyDescent="0.25">
      <c r="A436" s="12"/>
      <c r="B436" s="12"/>
      <c r="C436" s="12"/>
      <c r="D436" s="12"/>
      <c r="E436" s="12"/>
      <c r="F436" s="12"/>
      <c r="G436" s="13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</row>
    <row r="437" spans="1:43" x14ac:dyDescent="0.25">
      <c r="A437" s="12"/>
      <c r="B437" s="12"/>
      <c r="C437" s="12"/>
      <c r="D437" s="12"/>
      <c r="E437" s="12"/>
      <c r="F437" s="12"/>
      <c r="G437" s="13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</row>
    <row r="438" spans="1:43" x14ac:dyDescent="0.25">
      <c r="A438" s="12"/>
      <c r="B438" s="12"/>
      <c r="C438" s="12"/>
      <c r="D438" s="12"/>
      <c r="E438" s="12"/>
      <c r="F438" s="12"/>
      <c r="G438" s="13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</row>
    <row r="439" spans="1:43" x14ac:dyDescent="0.25">
      <c r="A439" s="12"/>
      <c r="B439" s="12"/>
      <c r="C439" s="12"/>
      <c r="D439" s="12"/>
      <c r="E439" s="12"/>
      <c r="F439" s="12"/>
      <c r="G439" s="13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</row>
    <row r="440" spans="1:43" x14ac:dyDescent="0.25">
      <c r="A440" s="12"/>
      <c r="B440" s="12"/>
      <c r="C440" s="12"/>
      <c r="D440" s="12"/>
      <c r="E440" s="12"/>
      <c r="F440" s="12"/>
      <c r="G440" s="13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</row>
    <row r="441" spans="1:43" x14ac:dyDescent="0.25">
      <c r="A441" s="12"/>
      <c r="B441" s="12"/>
      <c r="C441" s="12"/>
      <c r="D441" s="12"/>
      <c r="E441" s="12"/>
      <c r="F441" s="12"/>
      <c r="G441" s="13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</row>
    <row r="442" spans="1:43" x14ac:dyDescent="0.25">
      <c r="A442" s="12"/>
      <c r="B442" s="12"/>
      <c r="C442" s="12"/>
      <c r="D442" s="12"/>
      <c r="E442" s="12"/>
      <c r="F442" s="12"/>
      <c r="G442" s="13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</row>
    <row r="443" spans="1:43" x14ac:dyDescent="0.25">
      <c r="A443" s="12"/>
      <c r="B443" s="12"/>
      <c r="C443" s="12"/>
      <c r="D443" s="12"/>
      <c r="E443" s="12"/>
      <c r="F443" s="12"/>
      <c r="G443" s="13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</row>
    <row r="444" spans="1:43" x14ac:dyDescent="0.25">
      <c r="A444" s="12"/>
      <c r="B444" s="12"/>
      <c r="C444" s="12"/>
      <c r="D444" s="12"/>
      <c r="E444" s="12"/>
      <c r="F444" s="12"/>
      <c r="G444" s="13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</row>
    <row r="445" spans="1:43" x14ac:dyDescent="0.25">
      <c r="A445" s="12"/>
      <c r="B445" s="12"/>
      <c r="C445" s="12"/>
      <c r="D445" s="12"/>
      <c r="E445" s="12"/>
      <c r="F445" s="12"/>
      <c r="G445" s="13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</row>
    <row r="446" spans="1:43" x14ac:dyDescent="0.25">
      <c r="A446" s="12"/>
      <c r="B446" s="12"/>
      <c r="C446" s="12"/>
      <c r="D446" s="12"/>
      <c r="E446" s="12"/>
      <c r="F446" s="12"/>
      <c r="G446" s="13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</row>
    <row r="447" spans="1:43" x14ac:dyDescent="0.25">
      <c r="A447" s="12"/>
      <c r="B447" s="12"/>
      <c r="C447" s="12"/>
      <c r="D447" s="12"/>
      <c r="E447" s="12"/>
      <c r="F447" s="12"/>
      <c r="G447" s="13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</row>
    <row r="448" spans="1:43" x14ac:dyDescent="0.25">
      <c r="A448" s="12"/>
      <c r="B448" s="12"/>
      <c r="C448" s="12"/>
      <c r="D448" s="12"/>
      <c r="E448" s="12"/>
      <c r="F448" s="12"/>
      <c r="G448" s="13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</row>
    <row r="449" spans="1:43" x14ac:dyDescent="0.25">
      <c r="A449" s="12"/>
      <c r="B449" s="12"/>
      <c r="C449" s="12"/>
      <c r="D449" s="12"/>
      <c r="E449" s="12"/>
      <c r="F449" s="12"/>
      <c r="G449" s="13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</row>
    <row r="450" spans="1:43" x14ac:dyDescent="0.25">
      <c r="A450" s="12"/>
      <c r="B450" s="12"/>
      <c r="C450" s="12"/>
      <c r="D450" s="12"/>
      <c r="E450" s="12"/>
      <c r="F450" s="12"/>
      <c r="G450" s="13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</row>
    <row r="451" spans="1:43" x14ac:dyDescent="0.25">
      <c r="A451" s="12"/>
      <c r="B451" s="12"/>
      <c r="C451" s="12"/>
      <c r="D451" s="12"/>
      <c r="E451" s="12"/>
      <c r="F451" s="12"/>
      <c r="G451" s="13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</row>
    <row r="452" spans="1:43" x14ac:dyDescent="0.25">
      <c r="A452" s="12"/>
      <c r="B452" s="12"/>
      <c r="C452" s="12"/>
      <c r="D452" s="12"/>
      <c r="E452" s="12"/>
      <c r="F452" s="12"/>
      <c r="G452" s="13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</row>
    <row r="453" spans="1:43" x14ac:dyDescent="0.25">
      <c r="A453" s="12"/>
      <c r="B453" s="12"/>
      <c r="C453" s="12"/>
      <c r="D453" s="12"/>
      <c r="E453" s="12"/>
      <c r="F453" s="12"/>
      <c r="G453" s="13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</row>
    <row r="454" spans="1:43" x14ac:dyDescent="0.25">
      <c r="A454" s="12"/>
      <c r="B454" s="12"/>
      <c r="C454" s="12"/>
      <c r="D454" s="12"/>
      <c r="E454" s="12"/>
      <c r="F454" s="12"/>
      <c r="G454" s="13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</row>
    <row r="455" spans="1:43" x14ac:dyDescent="0.25">
      <c r="A455" s="12"/>
      <c r="B455" s="12"/>
      <c r="C455" s="12"/>
      <c r="D455" s="12"/>
      <c r="E455" s="12"/>
      <c r="F455" s="12"/>
      <c r="G455" s="13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</row>
    <row r="456" spans="1:43" x14ac:dyDescent="0.25">
      <c r="A456" s="12"/>
      <c r="B456" s="12"/>
      <c r="C456" s="12"/>
      <c r="D456" s="12"/>
      <c r="E456" s="12"/>
      <c r="F456" s="12"/>
      <c r="G456" s="13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</row>
    <row r="457" spans="1:43" x14ac:dyDescent="0.25">
      <c r="A457" s="12"/>
      <c r="B457" s="12"/>
      <c r="C457" s="12"/>
      <c r="D457" s="12"/>
      <c r="E457" s="12"/>
      <c r="F457" s="12"/>
      <c r="G457" s="13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</row>
    <row r="458" spans="1:43" x14ac:dyDescent="0.25">
      <c r="A458" s="12"/>
      <c r="B458" s="12"/>
      <c r="C458" s="12"/>
      <c r="D458" s="12"/>
      <c r="E458" s="12"/>
      <c r="F458" s="12"/>
      <c r="G458" s="13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</row>
    <row r="459" spans="1:43" x14ac:dyDescent="0.25">
      <c r="A459" s="12"/>
      <c r="B459" s="12"/>
      <c r="C459" s="12"/>
      <c r="D459" s="12"/>
      <c r="E459" s="12"/>
      <c r="F459" s="12"/>
      <c r="G459" s="13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</row>
    <row r="460" spans="1:43" x14ac:dyDescent="0.25">
      <c r="A460" s="12"/>
      <c r="B460" s="12"/>
      <c r="C460" s="12"/>
      <c r="D460" s="12"/>
      <c r="E460" s="12"/>
      <c r="F460" s="12"/>
      <c r="G460" s="13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</row>
    <row r="461" spans="1:43" x14ac:dyDescent="0.25">
      <c r="A461" s="12"/>
      <c r="B461" s="12"/>
      <c r="C461" s="12"/>
      <c r="D461" s="12"/>
      <c r="E461" s="12"/>
      <c r="F461" s="12"/>
      <c r="G461" s="13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</row>
    <row r="462" spans="1:43" x14ac:dyDescent="0.25">
      <c r="A462" s="12"/>
      <c r="B462" s="12"/>
      <c r="C462" s="12"/>
      <c r="D462" s="12"/>
      <c r="E462" s="12"/>
      <c r="F462" s="12"/>
      <c r="G462" s="13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</row>
    <row r="463" spans="1:43" x14ac:dyDescent="0.25">
      <c r="A463" s="12"/>
      <c r="B463" s="12"/>
      <c r="C463" s="12"/>
      <c r="D463" s="12"/>
      <c r="E463" s="12"/>
      <c r="F463" s="12"/>
      <c r="G463" s="13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</row>
    <row r="464" spans="1:43" x14ac:dyDescent="0.25">
      <c r="A464" s="12"/>
      <c r="B464" s="12"/>
      <c r="C464" s="12"/>
      <c r="D464" s="12"/>
      <c r="E464" s="12"/>
      <c r="F464" s="12"/>
      <c r="G464" s="13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</row>
    <row r="465" spans="1:43" x14ac:dyDescent="0.25">
      <c r="A465" s="12"/>
      <c r="B465" s="12"/>
      <c r="C465" s="12"/>
      <c r="D465" s="12"/>
      <c r="E465" s="12"/>
      <c r="F465" s="12"/>
      <c r="G465" s="13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</row>
    <row r="466" spans="1:43" x14ac:dyDescent="0.25">
      <c r="A466" s="12"/>
      <c r="B466" s="12"/>
      <c r="C466" s="12"/>
      <c r="D466" s="12"/>
      <c r="E466" s="12"/>
      <c r="F466" s="12"/>
      <c r="G466" s="13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</row>
    <row r="467" spans="1:43" x14ac:dyDescent="0.25">
      <c r="A467" s="12"/>
      <c r="B467" s="12"/>
      <c r="C467" s="12"/>
      <c r="D467" s="12"/>
      <c r="E467" s="12"/>
      <c r="F467" s="12"/>
      <c r="G467" s="13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</row>
    <row r="468" spans="1:43" x14ac:dyDescent="0.25">
      <c r="A468" s="12"/>
      <c r="B468" s="12"/>
      <c r="C468" s="12"/>
      <c r="D468" s="12"/>
      <c r="E468" s="12"/>
      <c r="F468" s="12"/>
      <c r="G468" s="13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</row>
    <row r="469" spans="1:43" x14ac:dyDescent="0.25">
      <c r="A469" s="12"/>
      <c r="B469" s="12"/>
      <c r="C469" s="12"/>
      <c r="D469" s="12"/>
      <c r="E469" s="12"/>
      <c r="F469" s="12"/>
      <c r="G469" s="13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</row>
    <row r="470" spans="1:43" x14ac:dyDescent="0.25">
      <c r="A470" s="12"/>
      <c r="B470" s="12"/>
      <c r="C470" s="12"/>
      <c r="D470" s="12"/>
      <c r="E470" s="12"/>
      <c r="F470" s="12"/>
      <c r="G470" s="13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</row>
    <row r="471" spans="1:43" x14ac:dyDescent="0.25">
      <c r="A471" s="12"/>
      <c r="B471" s="12"/>
      <c r="C471" s="12"/>
      <c r="D471" s="12"/>
      <c r="E471" s="12"/>
      <c r="F471" s="12"/>
      <c r="G471" s="13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</row>
    <row r="472" spans="1:43" x14ac:dyDescent="0.25">
      <c r="A472" s="12"/>
      <c r="B472" s="12"/>
      <c r="C472" s="12"/>
      <c r="D472" s="12"/>
      <c r="E472" s="12"/>
      <c r="F472" s="12"/>
      <c r="G472" s="13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</row>
    <row r="473" spans="1:43" x14ac:dyDescent="0.25">
      <c r="A473" s="12"/>
      <c r="B473" s="12"/>
      <c r="C473" s="12"/>
      <c r="D473" s="12"/>
      <c r="E473" s="12"/>
      <c r="F473" s="12"/>
      <c r="G473" s="13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</row>
    <row r="474" spans="1:43" x14ac:dyDescent="0.25">
      <c r="A474" s="12"/>
      <c r="B474" s="12"/>
      <c r="C474" s="12"/>
      <c r="D474" s="12"/>
      <c r="E474" s="12"/>
      <c r="F474" s="12"/>
      <c r="G474" s="13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</row>
    <row r="475" spans="1:43" x14ac:dyDescent="0.25">
      <c r="A475" s="12"/>
      <c r="B475" s="12"/>
      <c r="C475" s="12"/>
      <c r="D475" s="12"/>
      <c r="E475" s="12"/>
      <c r="F475" s="12"/>
      <c r="G475" s="13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</row>
    <row r="476" spans="1:43" x14ac:dyDescent="0.25">
      <c r="A476" s="12"/>
      <c r="B476" s="12"/>
      <c r="C476" s="12"/>
      <c r="D476" s="12"/>
      <c r="E476" s="12"/>
      <c r="F476" s="12"/>
      <c r="G476" s="13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</row>
    <row r="477" spans="1:43" x14ac:dyDescent="0.25">
      <c r="A477" s="12"/>
      <c r="B477" s="12"/>
      <c r="C477" s="12"/>
      <c r="D477" s="12"/>
      <c r="E477" s="12"/>
      <c r="F477" s="12"/>
      <c r="G477" s="13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</row>
    <row r="478" spans="1:43" x14ac:dyDescent="0.25">
      <c r="A478" s="12"/>
      <c r="B478" s="12"/>
      <c r="C478" s="12"/>
      <c r="D478" s="12"/>
      <c r="E478" s="12"/>
      <c r="F478" s="12"/>
      <c r="G478" s="13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</row>
    <row r="479" spans="1:43" x14ac:dyDescent="0.25">
      <c r="A479" s="12"/>
      <c r="B479" s="12"/>
      <c r="C479" s="12"/>
      <c r="D479" s="12"/>
      <c r="E479" s="12"/>
      <c r="F479" s="12"/>
      <c r="G479" s="13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</row>
    <row r="480" spans="1:43" x14ac:dyDescent="0.25">
      <c r="A480" s="12"/>
      <c r="B480" s="12"/>
      <c r="C480" s="12"/>
      <c r="D480" s="12"/>
      <c r="E480" s="12"/>
      <c r="F480" s="12"/>
      <c r="G480" s="13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</row>
    <row r="481" spans="1:43" x14ac:dyDescent="0.25">
      <c r="A481" s="12"/>
      <c r="B481" s="12"/>
      <c r="C481" s="12"/>
      <c r="D481" s="12"/>
      <c r="E481" s="12"/>
      <c r="F481" s="12"/>
      <c r="G481" s="13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</row>
    <row r="482" spans="1:43" x14ac:dyDescent="0.25">
      <c r="A482" s="12"/>
      <c r="B482" s="12"/>
      <c r="C482" s="12"/>
      <c r="D482" s="12"/>
      <c r="E482" s="12"/>
      <c r="F482" s="12"/>
      <c r="G482" s="13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</row>
    <row r="483" spans="1:43" x14ac:dyDescent="0.25">
      <c r="A483" s="12"/>
      <c r="B483" s="12"/>
      <c r="C483" s="12"/>
      <c r="D483" s="12"/>
      <c r="E483" s="12"/>
      <c r="F483" s="12"/>
      <c r="G483" s="13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</row>
    <row r="484" spans="1:43" x14ac:dyDescent="0.25">
      <c r="A484" s="12"/>
      <c r="B484" s="12"/>
      <c r="C484" s="12"/>
      <c r="D484" s="12"/>
      <c r="E484" s="12"/>
      <c r="F484" s="12"/>
      <c r="G484" s="13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</row>
    <row r="485" spans="1:43" x14ac:dyDescent="0.25">
      <c r="A485" s="12"/>
      <c r="B485" s="12"/>
      <c r="C485" s="12"/>
      <c r="D485" s="12"/>
      <c r="E485" s="12"/>
      <c r="F485" s="12"/>
      <c r="G485" s="13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</row>
    <row r="486" spans="1:43" x14ac:dyDescent="0.25">
      <c r="A486" s="12"/>
      <c r="B486" s="12"/>
      <c r="C486" s="12"/>
      <c r="D486" s="12"/>
      <c r="E486" s="12"/>
      <c r="F486" s="12"/>
      <c r="G486" s="13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</row>
    <row r="487" spans="1:43" x14ac:dyDescent="0.25">
      <c r="A487" s="12"/>
      <c r="B487" s="12"/>
      <c r="C487" s="12"/>
      <c r="D487" s="12"/>
      <c r="E487" s="12"/>
      <c r="F487" s="12"/>
      <c r="G487" s="13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</row>
    <row r="488" spans="1:43" x14ac:dyDescent="0.25">
      <c r="A488" s="12"/>
      <c r="B488" s="12"/>
      <c r="C488" s="12"/>
      <c r="D488" s="12"/>
      <c r="E488" s="12"/>
      <c r="F488" s="12"/>
      <c r="G488" s="13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</row>
    <row r="489" spans="1:43" x14ac:dyDescent="0.25">
      <c r="A489" s="12"/>
      <c r="B489" s="12"/>
      <c r="C489" s="12"/>
      <c r="D489" s="12"/>
      <c r="E489" s="12"/>
      <c r="F489" s="12"/>
      <c r="G489" s="13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</row>
    <row r="490" spans="1:43" x14ac:dyDescent="0.25">
      <c r="A490" s="12"/>
      <c r="B490" s="12"/>
      <c r="C490" s="12"/>
      <c r="D490" s="12"/>
      <c r="E490" s="12"/>
      <c r="F490" s="12"/>
      <c r="G490" s="13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</row>
    <row r="491" spans="1:43" x14ac:dyDescent="0.25">
      <c r="A491" s="12"/>
      <c r="B491" s="12"/>
      <c r="C491" s="12"/>
      <c r="D491" s="12"/>
      <c r="E491" s="12"/>
      <c r="F491" s="12"/>
      <c r="G491" s="13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</row>
    <row r="492" spans="1:43" x14ac:dyDescent="0.25">
      <c r="A492" s="12"/>
      <c r="B492" s="12"/>
      <c r="C492" s="12"/>
      <c r="D492" s="12"/>
      <c r="E492" s="12"/>
      <c r="F492" s="12"/>
      <c r="G492" s="13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</row>
    <row r="493" spans="1:43" x14ac:dyDescent="0.25">
      <c r="A493" s="12"/>
      <c r="B493" s="12"/>
      <c r="C493" s="12"/>
      <c r="D493" s="12"/>
      <c r="E493" s="12"/>
      <c r="F493" s="12"/>
      <c r="G493" s="13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</row>
    <row r="494" spans="1:43" x14ac:dyDescent="0.25">
      <c r="A494" s="12"/>
      <c r="B494" s="12"/>
      <c r="C494" s="12"/>
      <c r="D494" s="12"/>
      <c r="E494" s="12"/>
      <c r="F494" s="12"/>
      <c r="G494" s="13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</row>
    <row r="495" spans="1:43" x14ac:dyDescent="0.25">
      <c r="A495" s="12"/>
      <c r="B495" s="12"/>
      <c r="C495" s="12"/>
      <c r="D495" s="12"/>
      <c r="E495" s="12"/>
      <c r="F495" s="12"/>
      <c r="G495" s="13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</row>
    <row r="496" spans="1:43" x14ac:dyDescent="0.25">
      <c r="A496" s="12"/>
      <c r="B496" s="12"/>
      <c r="C496" s="12"/>
      <c r="D496" s="12"/>
      <c r="E496" s="12"/>
      <c r="F496" s="12"/>
      <c r="G496" s="13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</row>
    <row r="497" spans="1:43" x14ac:dyDescent="0.25">
      <c r="A497" s="12"/>
      <c r="B497" s="12"/>
      <c r="C497" s="12"/>
      <c r="D497" s="12"/>
      <c r="E497" s="12"/>
      <c r="F497" s="12"/>
      <c r="G497" s="13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</row>
    <row r="498" spans="1:43" x14ac:dyDescent="0.25">
      <c r="A498" s="12"/>
      <c r="B498" s="12"/>
      <c r="C498" s="12"/>
      <c r="D498" s="12"/>
      <c r="E498" s="12"/>
      <c r="F498" s="12"/>
      <c r="G498" s="13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</row>
    <row r="499" spans="1:43" x14ac:dyDescent="0.25">
      <c r="A499" s="12"/>
      <c r="B499" s="12"/>
      <c r="C499" s="12"/>
      <c r="D499" s="12"/>
      <c r="E499" s="12"/>
      <c r="F499" s="12"/>
      <c r="G499" s="13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</row>
    <row r="500" spans="1:43" x14ac:dyDescent="0.25">
      <c r="A500" s="12"/>
      <c r="B500" s="12"/>
      <c r="C500" s="12"/>
      <c r="D500" s="12"/>
      <c r="E500" s="12"/>
      <c r="F500" s="12"/>
      <c r="G500" s="13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</row>
  </sheetData>
  <autoFilter ref="A3:AK129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2026-09-15T11:18:11Z</dcterms:created>
  <dcterms:modified xsi:type="dcterms:W3CDTF">2026-09-15T13:35:46Z</dcterms:modified>
</cp:coreProperties>
</file>