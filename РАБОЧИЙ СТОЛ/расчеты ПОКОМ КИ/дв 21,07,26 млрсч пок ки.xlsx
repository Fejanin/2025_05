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C782CAA-14A3-4D29-B6AD-175A891780C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AK19" i="1" s="1"/>
  <c r="V20" i="1"/>
  <c r="V21" i="1"/>
  <c r="AK21" i="1" s="1"/>
  <c r="V22" i="1"/>
  <c r="V23" i="1"/>
  <c r="AK23" i="1" s="1"/>
  <c r="V24" i="1"/>
  <c r="V25" i="1"/>
  <c r="V26" i="1"/>
  <c r="V27" i="1"/>
  <c r="AK27" i="1" s="1"/>
  <c r="V28" i="1"/>
  <c r="V29" i="1"/>
  <c r="V30" i="1"/>
  <c r="V31" i="1"/>
  <c r="V32" i="1"/>
  <c r="V33" i="1"/>
  <c r="V34" i="1"/>
  <c r="V35" i="1"/>
  <c r="V36" i="1"/>
  <c r="V37" i="1"/>
  <c r="V38" i="1"/>
  <c r="V39" i="1"/>
  <c r="AK39" i="1" s="1"/>
  <c r="V40" i="1"/>
  <c r="V41" i="1"/>
  <c r="V42" i="1"/>
  <c r="V43" i="1"/>
  <c r="AK43" i="1" s="1"/>
  <c r="V44" i="1"/>
  <c r="V45" i="1"/>
  <c r="V46" i="1"/>
  <c r="V47" i="1"/>
  <c r="V48" i="1"/>
  <c r="V49" i="1"/>
  <c r="V50" i="1"/>
  <c r="V51" i="1"/>
  <c r="AK51" i="1" s="1"/>
  <c r="V52" i="1"/>
  <c r="V53" i="1"/>
  <c r="V54" i="1"/>
  <c r="V55" i="1"/>
  <c r="V56" i="1"/>
  <c r="V57" i="1"/>
  <c r="V58" i="1"/>
  <c r="V59" i="1"/>
  <c r="V60" i="1"/>
  <c r="V61" i="1"/>
  <c r="V62" i="1"/>
  <c r="V63" i="1"/>
  <c r="AK63" i="1" s="1"/>
  <c r="V64" i="1"/>
  <c r="V65" i="1"/>
  <c r="V66" i="1"/>
  <c r="V67" i="1"/>
  <c r="AK67" i="1" s="1"/>
  <c r="V68" i="1"/>
  <c r="V69" i="1"/>
  <c r="V70" i="1"/>
  <c r="V71" i="1"/>
  <c r="V72" i="1"/>
  <c r="V73" i="1"/>
  <c r="V74" i="1"/>
  <c r="V75" i="1"/>
  <c r="V76" i="1"/>
  <c r="V77" i="1"/>
  <c r="AK77" i="1" s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AK105" i="1" s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AK131" i="1" s="1"/>
  <c r="V132" i="1"/>
  <c r="V133" i="1"/>
  <c r="AK133" i="1" s="1"/>
  <c r="V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20" i="1"/>
  <c r="AK22" i="1"/>
  <c r="AK24" i="1"/>
  <c r="AK25" i="1"/>
  <c r="AK26" i="1"/>
  <c r="AK28" i="1"/>
  <c r="AK29" i="1"/>
  <c r="AK30" i="1"/>
  <c r="AK31" i="1"/>
  <c r="AK32" i="1"/>
  <c r="AK33" i="1"/>
  <c r="AK34" i="1"/>
  <c r="AK35" i="1"/>
  <c r="AK36" i="1"/>
  <c r="AK37" i="1"/>
  <c r="AK38" i="1"/>
  <c r="AK40" i="1"/>
  <c r="AK41" i="1"/>
  <c r="AK42" i="1"/>
  <c r="AK44" i="1"/>
  <c r="AK45" i="1"/>
  <c r="AK46" i="1"/>
  <c r="AK47" i="1"/>
  <c r="AK48" i="1"/>
  <c r="AK49" i="1"/>
  <c r="AK50" i="1"/>
  <c r="AK52" i="1"/>
  <c r="AK53" i="1"/>
  <c r="AK54" i="1"/>
  <c r="AK55" i="1"/>
  <c r="AK56" i="1"/>
  <c r="AK57" i="1"/>
  <c r="AK58" i="1"/>
  <c r="AK59" i="1"/>
  <c r="AK60" i="1"/>
  <c r="AK61" i="1"/>
  <c r="AK62" i="1"/>
  <c r="AK64" i="1"/>
  <c r="AK65" i="1"/>
  <c r="AK66" i="1"/>
  <c r="AK68" i="1"/>
  <c r="AK69" i="1"/>
  <c r="AK70" i="1"/>
  <c r="AK71" i="1"/>
  <c r="AK72" i="1"/>
  <c r="AK73" i="1"/>
  <c r="AK74" i="1"/>
  <c r="AK75" i="1"/>
  <c r="AK76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2" i="1"/>
  <c r="AK6" i="1"/>
  <c r="W5" i="1"/>
  <c r="V5" i="1" l="1"/>
  <c r="AL5" i="1"/>
  <c r="U9" i="1"/>
  <c r="U13" i="1"/>
  <c r="U18" i="1"/>
  <c r="U20" i="1"/>
  <c r="U22" i="1"/>
  <c r="U24" i="1"/>
  <c r="U32" i="1"/>
  <c r="U38" i="1"/>
  <c r="U42" i="1"/>
  <c r="U44" i="1"/>
  <c r="U47" i="1"/>
  <c r="U48" i="1"/>
  <c r="U49" i="1"/>
  <c r="U50" i="1"/>
  <c r="U52" i="1"/>
  <c r="U55" i="1"/>
  <c r="U56" i="1"/>
  <c r="U57" i="1"/>
  <c r="U58" i="1"/>
  <c r="U59" i="1"/>
  <c r="U60" i="1"/>
  <c r="U61" i="1"/>
  <c r="U62" i="1"/>
  <c r="U65" i="1"/>
  <c r="U69" i="1"/>
  <c r="U74" i="1"/>
  <c r="U78" i="1"/>
  <c r="U79" i="1"/>
  <c r="U80" i="1"/>
  <c r="U81" i="1"/>
  <c r="U86" i="1"/>
  <c r="U87" i="1"/>
  <c r="U88" i="1"/>
  <c r="U90" i="1"/>
  <c r="U91" i="1"/>
  <c r="U92" i="1"/>
  <c r="U93" i="1"/>
  <c r="U95" i="1"/>
  <c r="U99" i="1"/>
  <c r="U104" i="1"/>
  <c r="U109" i="1"/>
  <c r="U111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X132" i="1" l="1"/>
  <c r="S131" i="1"/>
  <c r="X131" i="1" s="1"/>
  <c r="S132" i="1"/>
  <c r="Y132" i="1" s="1"/>
  <c r="S133" i="1"/>
  <c r="X133" i="1" s="1"/>
  <c r="Y133" i="1" l="1"/>
  <c r="Y131" i="1"/>
  <c r="S130" i="1" l="1"/>
  <c r="S129" i="1"/>
  <c r="S128" i="1"/>
  <c r="X128" i="1" s="1"/>
  <c r="S127" i="1"/>
  <c r="S126" i="1"/>
  <c r="S125" i="1"/>
  <c r="X125" i="1" s="1"/>
  <c r="S124" i="1"/>
  <c r="X124" i="1" s="1"/>
  <c r="S123" i="1"/>
  <c r="S122" i="1"/>
  <c r="X122" i="1" s="1"/>
  <c r="S121" i="1"/>
  <c r="X121" i="1" s="1"/>
  <c r="S120" i="1"/>
  <c r="S119" i="1"/>
  <c r="S118" i="1"/>
  <c r="S117" i="1"/>
  <c r="X117" i="1" s="1"/>
  <c r="S116" i="1"/>
  <c r="S115" i="1"/>
  <c r="X115" i="1" s="1"/>
  <c r="S114" i="1"/>
  <c r="X114" i="1" s="1"/>
  <c r="S113" i="1"/>
  <c r="X113" i="1" s="1"/>
  <c r="Y119" i="1" l="1"/>
  <c r="X119" i="1"/>
  <c r="Y123" i="1"/>
  <c r="X123" i="1"/>
  <c r="Y127" i="1"/>
  <c r="X127" i="1"/>
  <c r="Y129" i="1"/>
  <c r="X129" i="1"/>
  <c r="Y116" i="1"/>
  <c r="X116" i="1"/>
  <c r="Y118" i="1"/>
  <c r="X118" i="1"/>
  <c r="Y120" i="1"/>
  <c r="X120" i="1"/>
  <c r="Y126" i="1"/>
  <c r="X126" i="1"/>
  <c r="Y130" i="1"/>
  <c r="X130" i="1"/>
  <c r="Y115" i="1"/>
  <c r="Y128" i="1"/>
  <c r="Y122" i="1"/>
  <c r="Y113" i="1"/>
  <c r="Y124" i="1"/>
  <c r="Y114" i="1"/>
  <c r="Y117" i="1"/>
  <c r="Y125" i="1"/>
  <c r="Y121" i="1"/>
  <c r="S7" i="1" l="1"/>
  <c r="S8" i="1"/>
  <c r="S9" i="1"/>
  <c r="X9" i="1" s="1"/>
  <c r="S10" i="1"/>
  <c r="S11" i="1"/>
  <c r="S12" i="1"/>
  <c r="S13" i="1"/>
  <c r="X13" i="1" s="1"/>
  <c r="S14" i="1"/>
  <c r="S15" i="1"/>
  <c r="S16" i="1"/>
  <c r="S17" i="1"/>
  <c r="S18" i="1"/>
  <c r="X18" i="1" s="1"/>
  <c r="S19" i="1"/>
  <c r="S20" i="1"/>
  <c r="X20" i="1" s="1"/>
  <c r="S21" i="1"/>
  <c r="S22" i="1"/>
  <c r="X22" i="1" s="1"/>
  <c r="S23" i="1"/>
  <c r="S24" i="1"/>
  <c r="X24" i="1" s="1"/>
  <c r="S25" i="1"/>
  <c r="S26" i="1"/>
  <c r="S27" i="1"/>
  <c r="S28" i="1"/>
  <c r="S29" i="1"/>
  <c r="S30" i="1"/>
  <c r="T30" i="1" s="1"/>
  <c r="U30" i="1" s="1"/>
  <c r="S31" i="1"/>
  <c r="S32" i="1"/>
  <c r="X32" i="1" s="1"/>
  <c r="S33" i="1"/>
  <c r="S34" i="1"/>
  <c r="S35" i="1"/>
  <c r="S36" i="1"/>
  <c r="S37" i="1"/>
  <c r="T37" i="1" s="1"/>
  <c r="U37" i="1" s="1"/>
  <c r="S38" i="1"/>
  <c r="X38" i="1" s="1"/>
  <c r="S39" i="1"/>
  <c r="S40" i="1"/>
  <c r="T40" i="1" s="1"/>
  <c r="U40" i="1" s="1"/>
  <c r="S41" i="1"/>
  <c r="S42" i="1"/>
  <c r="X42" i="1" s="1"/>
  <c r="S43" i="1"/>
  <c r="S44" i="1"/>
  <c r="X44" i="1" s="1"/>
  <c r="S45" i="1"/>
  <c r="S46" i="1"/>
  <c r="S47" i="1"/>
  <c r="X47" i="1" s="1"/>
  <c r="S48" i="1"/>
  <c r="X48" i="1" s="1"/>
  <c r="S49" i="1"/>
  <c r="X49" i="1" s="1"/>
  <c r="S50" i="1"/>
  <c r="X50" i="1" s="1"/>
  <c r="S51" i="1"/>
  <c r="S52" i="1"/>
  <c r="X52" i="1" s="1"/>
  <c r="S53" i="1"/>
  <c r="S54" i="1"/>
  <c r="S55" i="1"/>
  <c r="X55" i="1" s="1"/>
  <c r="S56" i="1"/>
  <c r="X56" i="1" s="1"/>
  <c r="S57" i="1"/>
  <c r="X57" i="1" s="1"/>
  <c r="S58" i="1"/>
  <c r="X58" i="1" s="1"/>
  <c r="S59" i="1"/>
  <c r="X59" i="1" s="1"/>
  <c r="S60" i="1"/>
  <c r="X60" i="1" s="1"/>
  <c r="S61" i="1"/>
  <c r="X61" i="1" s="1"/>
  <c r="S62" i="1"/>
  <c r="X62" i="1" s="1"/>
  <c r="S63" i="1"/>
  <c r="S64" i="1"/>
  <c r="S65" i="1"/>
  <c r="X65" i="1" s="1"/>
  <c r="S66" i="1"/>
  <c r="S67" i="1"/>
  <c r="S68" i="1"/>
  <c r="S69" i="1"/>
  <c r="X69" i="1" s="1"/>
  <c r="S70" i="1"/>
  <c r="S71" i="1"/>
  <c r="T71" i="1" s="1"/>
  <c r="U71" i="1" s="1"/>
  <c r="S72" i="1"/>
  <c r="S73" i="1"/>
  <c r="S74" i="1"/>
  <c r="X74" i="1" s="1"/>
  <c r="S75" i="1"/>
  <c r="S76" i="1"/>
  <c r="S77" i="1"/>
  <c r="T77" i="1" s="1"/>
  <c r="U77" i="1" s="1"/>
  <c r="S78" i="1"/>
  <c r="X78" i="1" s="1"/>
  <c r="S79" i="1"/>
  <c r="X79" i="1" s="1"/>
  <c r="S80" i="1"/>
  <c r="X80" i="1" s="1"/>
  <c r="S81" i="1"/>
  <c r="X81" i="1" s="1"/>
  <c r="S82" i="1"/>
  <c r="S83" i="1"/>
  <c r="S84" i="1"/>
  <c r="S85" i="1"/>
  <c r="S86" i="1"/>
  <c r="X86" i="1" s="1"/>
  <c r="S87" i="1"/>
  <c r="X87" i="1" s="1"/>
  <c r="S88" i="1"/>
  <c r="X88" i="1" s="1"/>
  <c r="S89" i="1"/>
  <c r="S90" i="1"/>
  <c r="X90" i="1" s="1"/>
  <c r="S91" i="1"/>
  <c r="X91" i="1" s="1"/>
  <c r="S92" i="1"/>
  <c r="X92" i="1" s="1"/>
  <c r="S93" i="1"/>
  <c r="X93" i="1" s="1"/>
  <c r="S94" i="1"/>
  <c r="S95" i="1"/>
  <c r="X95" i="1" s="1"/>
  <c r="S96" i="1"/>
  <c r="S97" i="1"/>
  <c r="S98" i="1"/>
  <c r="S99" i="1"/>
  <c r="X99" i="1" s="1"/>
  <c r="S100" i="1"/>
  <c r="S101" i="1"/>
  <c r="S102" i="1"/>
  <c r="S103" i="1"/>
  <c r="S104" i="1"/>
  <c r="X104" i="1" s="1"/>
  <c r="S105" i="1"/>
  <c r="S106" i="1"/>
  <c r="T106" i="1" s="1"/>
  <c r="U106" i="1" s="1"/>
  <c r="S107" i="1"/>
  <c r="S108" i="1"/>
  <c r="T108" i="1" s="1"/>
  <c r="U108" i="1" s="1"/>
  <c r="S109" i="1"/>
  <c r="X109" i="1" s="1"/>
  <c r="S110" i="1"/>
  <c r="S111" i="1"/>
  <c r="X111" i="1" s="1"/>
  <c r="S112" i="1"/>
  <c r="S6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AA5" i="1"/>
  <c r="Z5" i="1"/>
  <c r="R5" i="1"/>
  <c r="Q5" i="1"/>
  <c r="P5" i="1"/>
  <c r="O5" i="1"/>
  <c r="N5" i="1"/>
  <c r="M5" i="1"/>
  <c r="K5" i="1"/>
  <c r="F5" i="1"/>
  <c r="E5" i="1"/>
  <c r="X108" i="1" l="1"/>
  <c r="X106" i="1"/>
  <c r="X40" i="1"/>
  <c r="X30" i="1"/>
  <c r="X77" i="1"/>
  <c r="X71" i="1"/>
  <c r="X37" i="1"/>
  <c r="Y106" i="1"/>
  <c r="Y45" i="1"/>
  <c r="T45" i="1"/>
  <c r="U45" i="1" s="1"/>
  <c r="T103" i="1"/>
  <c r="U103" i="1" s="1"/>
  <c r="T83" i="1"/>
  <c r="U83" i="1" s="1"/>
  <c r="T63" i="1"/>
  <c r="U63" i="1" s="1"/>
  <c r="T43" i="1"/>
  <c r="U43" i="1" s="1"/>
  <c r="T23" i="1"/>
  <c r="U23" i="1" s="1"/>
  <c r="Y85" i="1"/>
  <c r="T85" i="1"/>
  <c r="U85" i="1" s="1"/>
  <c r="T102" i="1"/>
  <c r="U102" i="1" s="1"/>
  <c r="T82" i="1"/>
  <c r="U82" i="1" s="1"/>
  <c r="T46" i="1"/>
  <c r="U46" i="1" s="1"/>
  <c r="T101" i="1"/>
  <c r="U101" i="1" s="1"/>
  <c r="T41" i="1"/>
  <c r="U41" i="1" s="1"/>
  <c r="T21" i="1"/>
  <c r="U21" i="1" s="1"/>
  <c r="T100" i="1"/>
  <c r="U100" i="1" s="1"/>
  <c r="T26" i="1"/>
  <c r="U26" i="1" s="1"/>
  <c r="T39" i="1"/>
  <c r="U39" i="1" s="1"/>
  <c r="T19" i="1"/>
  <c r="U19" i="1" s="1"/>
  <c r="Y105" i="1"/>
  <c r="T105" i="1"/>
  <c r="U105" i="1" s="1"/>
  <c r="Y98" i="1"/>
  <c r="T98" i="1"/>
  <c r="U98" i="1" s="1"/>
  <c r="Y78" i="1"/>
  <c r="Y58" i="1"/>
  <c r="Y38" i="1"/>
  <c r="Y18" i="1"/>
  <c r="T84" i="1"/>
  <c r="U84" i="1" s="1"/>
  <c r="T97" i="1"/>
  <c r="U97" i="1" s="1"/>
  <c r="T17" i="1"/>
  <c r="U17" i="1" s="1"/>
  <c r="T66" i="1"/>
  <c r="U66" i="1" s="1"/>
  <c r="T96" i="1"/>
  <c r="U96" i="1" s="1"/>
  <c r="T76" i="1"/>
  <c r="U76" i="1" s="1"/>
  <c r="T36" i="1"/>
  <c r="U36" i="1" s="1"/>
  <c r="T16" i="1"/>
  <c r="U16" i="1" s="1"/>
  <c r="Y65" i="1"/>
  <c r="Y95" i="1"/>
  <c r="Y75" i="1"/>
  <c r="T75" i="1"/>
  <c r="U75" i="1" s="1"/>
  <c r="Y55" i="1"/>
  <c r="T35" i="1"/>
  <c r="U35" i="1" s="1"/>
  <c r="T15" i="1"/>
  <c r="U15" i="1" s="1"/>
  <c r="T94" i="1"/>
  <c r="U94" i="1" s="1"/>
  <c r="T54" i="1"/>
  <c r="U54" i="1" s="1"/>
  <c r="T34" i="1"/>
  <c r="U34" i="1" s="1"/>
  <c r="T14" i="1"/>
  <c r="U14" i="1" s="1"/>
  <c r="Y6" i="1"/>
  <c r="T6" i="1"/>
  <c r="U6" i="1" s="1"/>
  <c r="X6" i="1" s="1"/>
  <c r="T73" i="1"/>
  <c r="U73" i="1" s="1"/>
  <c r="T53" i="1"/>
  <c r="U53" i="1" s="1"/>
  <c r="T33" i="1"/>
  <c r="U33" i="1" s="1"/>
  <c r="Y25" i="1"/>
  <c r="T25" i="1"/>
  <c r="U25" i="1" s="1"/>
  <c r="T112" i="1"/>
  <c r="U112" i="1" s="1"/>
  <c r="T72" i="1"/>
  <c r="U72" i="1" s="1"/>
  <c r="T12" i="1"/>
  <c r="U12" i="1" s="1"/>
  <c r="T51" i="1"/>
  <c r="U51" i="1" s="1"/>
  <c r="T31" i="1"/>
  <c r="U31" i="1" s="1"/>
  <c r="T11" i="1"/>
  <c r="U11" i="1" s="1"/>
  <c r="T110" i="1"/>
  <c r="U110" i="1" s="1"/>
  <c r="T70" i="1"/>
  <c r="U70" i="1" s="1"/>
  <c r="T10" i="1"/>
  <c r="U10" i="1" s="1"/>
  <c r="T89" i="1"/>
  <c r="U89" i="1" s="1"/>
  <c r="T29" i="1"/>
  <c r="U29" i="1" s="1"/>
  <c r="T64" i="1"/>
  <c r="U64" i="1" s="1"/>
  <c r="Y108" i="1"/>
  <c r="Y88" i="1"/>
  <c r="Y68" i="1"/>
  <c r="T68" i="1"/>
  <c r="U68" i="1" s="1"/>
  <c r="Y48" i="1"/>
  <c r="Y28" i="1"/>
  <c r="T28" i="1"/>
  <c r="U28" i="1" s="1"/>
  <c r="Y8" i="1"/>
  <c r="T8" i="1"/>
  <c r="U8" i="1" s="1"/>
  <c r="T107" i="1"/>
  <c r="U107" i="1" s="1"/>
  <c r="T67" i="1"/>
  <c r="U67" i="1" s="1"/>
  <c r="T27" i="1"/>
  <c r="U27" i="1" s="1"/>
  <c r="T7" i="1"/>
  <c r="U7" i="1" s="1"/>
  <c r="Y96" i="1"/>
  <c r="Y56" i="1"/>
  <c r="Y36" i="1"/>
  <c r="Y46" i="1"/>
  <c r="Y86" i="1"/>
  <c r="Y26" i="1"/>
  <c r="Y76" i="1"/>
  <c r="Y16" i="1"/>
  <c r="Y66" i="1"/>
  <c r="Y35" i="1"/>
  <c r="Y15" i="1"/>
  <c r="Y104" i="1"/>
  <c r="Y94" i="1"/>
  <c r="Y84" i="1"/>
  <c r="Y74" i="1"/>
  <c r="Y64" i="1"/>
  <c r="Y54" i="1"/>
  <c r="Y44" i="1"/>
  <c r="Y34" i="1"/>
  <c r="Y24" i="1"/>
  <c r="Y14" i="1"/>
  <c r="Y103" i="1"/>
  <c r="Y93" i="1"/>
  <c r="Y83" i="1"/>
  <c r="Y73" i="1"/>
  <c r="Y63" i="1"/>
  <c r="Y53" i="1"/>
  <c r="Y43" i="1"/>
  <c r="Y33" i="1"/>
  <c r="Y23" i="1"/>
  <c r="Y13" i="1"/>
  <c r="Y112" i="1"/>
  <c r="Y102" i="1"/>
  <c r="Y92" i="1"/>
  <c r="Y82" i="1"/>
  <c r="Y72" i="1"/>
  <c r="Y62" i="1"/>
  <c r="Y52" i="1"/>
  <c r="Y42" i="1"/>
  <c r="Y32" i="1"/>
  <c r="Y22" i="1"/>
  <c r="Y12" i="1"/>
  <c r="Y111" i="1"/>
  <c r="Y101" i="1"/>
  <c r="Y91" i="1"/>
  <c r="Y81" i="1"/>
  <c r="Y71" i="1"/>
  <c r="Y61" i="1"/>
  <c r="Y51" i="1"/>
  <c r="Y41" i="1"/>
  <c r="Y31" i="1"/>
  <c r="Y21" i="1"/>
  <c r="Y11" i="1"/>
  <c r="Y110" i="1"/>
  <c r="Y100" i="1"/>
  <c r="Y90" i="1"/>
  <c r="Y80" i="1"/>
  <c r="Y70" i="1"/>
  <c r="Y60" i="1"/>
  <c r="Y50" i="1"/>
  <c r="Y40" i="1"/>
  <c r="Y30" i="1"/>
  <c r="Y20" i="1"/>
  <c r="Y10" i="1"/>
  <c r="Y109" i="1"/>
  <c r="Y99" i="1"/>
  <c r="Y89" i="1"/>
  <c r="Y79" i="1"/>
  <c r="Y69" i="1"/>
  <c r="Y59" i="1"/>
  <c r="Y49" i="1"/>
  <c r="Y39" i="1"/>
  <c r="Y29" i="1"/>
  <c r="Y19" i="1"/>
  <c r="Y9" i="1"/>
  <c r="Y107" i="1"/>
  <c r="Y97" i="1"/>
  <c r="Y87" i="1"/>
  <c r="Y77" i="1"/>
  <c r="Y67" i="1"/>
  <c r="Y57" i="1"/>
  <c r="Y47" i="1"/>
  <c r="Y37" i="1"/>
  <c r="Y27" i="1"/>
  <c r="Y17" i="1"/>
  <c r="Y7" i="1"/>
  <c r="L5" i="1"/>
  <c r="S5" i="1"/>
  <c r="X27" i="1" l="1"/>
  <c r="X107" i="1"/>
  <c r="X68" i="1"/>
  <c r="X64" i="1"/>
  <c r="X89" i="1"/>
  <c r="X70" i="1"/>
  <c r="X11" i="1"/>
  <c r="X51" i="1"/>
  <c r="X72" i="1"/>
  <c r="X25" i="1"/>
  <c r="X33" i="1"/>
  <c r="X73" i="1"/>
  <c r="X34" i="1"/>
  <c r="X94" i="1"/>
  <c r="X35" i="1"/>
  <c r="X75" i="1"/>
  <c r="X16" i="1"/>
  <c r="X76" i="1"/>
  <c r="X66" i="1"/>
  <c r="X97" i="1"/>
  <c r="X98" i="1"/>
  <c r="X105" i="1"/>
  <c r="X19" i="1"/>
  <c r="X26" i="1"/>
  <c r="X21" i="1"/>
  <c r="X101" i="1"/>
  <c r="X82" i="1"/>
  <c r="X85" i="1"/>
  <c r="X23" i="1"/>
  <c r="X63" i="1"/>
  <c r="X103" i="1"/>
  <c r="X7" i="1"/>
  <c r="X67" i="1"/>
  <c r="X8" i="1"/>
  <c r="X28" i="1"/>
  <c r="X29" i="1"/>
  <c r="X10" i="1"/>
  <c r="X110" i="1"/>
  <c r="X31" i="1"/>
  <c r="X12" i="1"/>
  <c r="X112" i="1"/>
  <c r="X53" i="1"/>
  <c r="X14" i="1"/>
  <c r="X54" i="1"/>
  <c r="X15" i="1"/>
  <c r="X36" i="1"/>
  <c r="X96" i="1"/>
  <c r="X17" i="1"/>
  <c r="X84" i="1"/>
  <c r="X39" i="1"/>
  <c r="X100" i="1"/>
  <c r="X41" i="1"/>
  <c r="X46" i="1"/>
  <c r="X102" i="1"/>
  <c r="X43" i="1"/>
  <c r="X83" i="1"/>
  <c r="X45" i="1"/>
  <c r="U5" i="1"/>
  <c r="T5" i="1"/>
  <c r="AK5" i="1" l="1"/>
</calcChain>
</file>

<file path=xl/sharedStrings.xml><?xml version="1.0" encoding="utf-8"?>
<sst xmlns="http://schemas.openxmlformats.org/spreadsheetml/2006/main" count="480" uniqueCount="184">
  <si>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</si>
  <si>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</si>
  <si>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</si>
  <si>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</si>
  <si>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</si>
  <si>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</si>
  <si>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</si>
  <si>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</si>
  <si>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</si>
  <si>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</si>
  <si>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</si>
  <si>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</si>
  <si>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</si>
  <si>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</si>
  <si>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</si>
  <si>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</si>
  <si>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</si>
  <si>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</si>
  <si>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</si>
  <si>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</si>
  <si>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</si>
  <si>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</si>
  <si>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</si>
  <si>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18,07,</t>
  </si>
  <si>
    <t>18,07,(дозаказ)</t>
  </si>
  <si>
    <t>20,07,(дозаказ)</t>
  </si>
  <si>
    <t>20,07,</t>
  </si>
  <si>
    <t>21,07,</t>
  </si>
  <si>
    <t>16,07,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</si>
  <si>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</si>
  <si>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</si>
  <si>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</si>
  <si>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</si>
  <si>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</si>
  <si>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</si>
  <si>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</si>
  <si>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</si>
  <si>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</si>
  <si>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</si>
  <si>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</si>
  <si>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</si>
  <si>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</si>
  <si>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</si>
  <si>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</si>
  <si>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</si>
  <si>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</si>
  <si>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</si>
  <si>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</si>
  <si>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</si>
  <si>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</si>
  <si>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</si>
  <si>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</si>
  <si>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</si>
  <si>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</si>
  <si>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</si>
  <si>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</si>
  <si>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</si>
  <si>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</si>
  <si>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</si>
  <si>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</si>
  <si>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</si>
  <si>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</si>
  <si>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</si>
  <si>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</si>
  <si>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</si>
  <si>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</si>
  <si>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</si>
  <si>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</si>
  <si>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</si>
  <si>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</si>
  <si>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</si>
  <si>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</si>
  <si>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</si>
  <si>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</si>
  <si>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</si>
  <si>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</si>
  <si>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</si>
  <si>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</si>
  <si>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</si>
  <si>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</si>
  <si>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</si>
  <si>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</si>
  <si>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</si>
  <si>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</si>
  <si>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</si>
  <si>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</si>
  <si>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</si>
  <si>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</si>
  <si>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</si>
  <si>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</si>
  <si>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</si>
  <si>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</si>
  <si>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</si>
  <si>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</si>
  <si>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</si>
  <si>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</si>
  <si>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</si>
  <si>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</si>
  <si>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</si>
  <si>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</si>
  <si>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</si>
  <si>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</si>
  <si>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</si>
  <si>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</si>
  <si>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</si>
  <si>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</si>
  <si>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</si>
  <si>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</si>
  <si>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</si>
  <si>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</si>
  <si>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</si>
  <si>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</si>
  <si>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</si>
  <si>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</si>
  <si>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</si>
  <si>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</si>
  <si>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</si>
  <si>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продажи!!!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</si>
  <si>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</si>
  <si>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</si>
  <si>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</si>
  <si>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</si>
  <si>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</si>
  <si>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</si>
  <si>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</si>
  <si>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</si>
  <si>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</si>
  <si>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</si>
  <si>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нет в бланке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</si>
  <si>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</si>
  <si>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</si>
  <si>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>не в матрице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</si>
  <si>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</si>
  <si>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</si>
  <si>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</si>
  <si>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</si>
  <si>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</si>
  <si>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</si>
  <si>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</si>
  <si>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</si>
  <si>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</si>
  <si>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</si>
  <si>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</si>
  <si>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</si>
  <si>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</si>
  <si>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</si>
  <si>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</si>
  <si>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</si>
  <si>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</si>
  <si>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</si>
  <si>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</si>
  <si>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</si>
  <si>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</si>
  <si>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376  Колбаса Докторская Дугушка 0,6кг ГОСТ ТМ Стародворье  ПОКОМ </t>
  </si>
  <si>
    <t>нет потребности</t>
  </si>
  <si>
    <t xml:space="preserve"> 397  Ветчина Дугушка ТМ Стародворье ТС Дугушка в полиамидной оболочке 0,6 кг. ПОКОМ</t>
  </si>
  <si>
    <t xml:space="preserve"> 544  Сосиски Мясные для гриля ТС Ядрена копоть 0,3 кг  ПОКОМ</t>
  </si>
  <si>
    <t xml:space="preserve"> 517  Сосиски С сыром ТМ Ядрена копоть 0,3кг  ПОКОМ</t>
  </si>
  <si>
    <t xml:space="preserve"> 047  Кол Баварская, белков.обол. в термоусад. пакете 0.17 кг, ТМ Стародворье  ПОКОМ</t>
  </si>
  <si>
    <t xml:space="preserve"> 244  Колбаса Сервелат Кремлевский, ВЕС. ПОКОМ</t>
  </si>
  <si>
    <t xml:space="preserve"> 430  Колбаса Стародворская с окороком 0,4 кг. ТМ Стародворье в оболочке полиамид  ПОКОМ</t>
  </si>
  <si>
    <t xml:space="preserve"> 460  Колбаса Стародворская Традиционная ВЕС ТМ Стародворье в оболочке полиамид. ПОКОМ</t>
  </si>
  <si>
    <t xml:space="preserve"> 451 Сосиски Филейские ТМ Вязанка в оболочке целлофан 0,3 кг. ПОКОМ</t>
  </si>
  <si>
    <t xml:space="preserve"> 433 Колбаса Стародворская со шпиком  в оболочке полиамид. ТМ Стародворье ВЕС ПОКОМ</t>
  </si>
  <si>
    <t xml:space="preserve"> 564  Сосиски Сочные 0,3 кг ТМ Вязанка  ПОКОМ</t>
  </si>
  <si>
    <t xml:space="preserve"> 555  Колбаса Молокуша ТМ Вязанка в модифицированной газовой среде 0,17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</si>
  <si>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</si>
  <si>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567 Колбаса Со шпиком Стародворская ТМ Стародворье в оболочке полиамид ВЕС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</si>
  <si>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</si>
  <si>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</si>
  <si>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551  Колбаса Сливушка ТМ Вязанка в модифицированной газовой среде 0,11 кг нарезка  ПОКОМ</t>
  </si>
  <si>
    <t xml:space="preserve"> 584  Колбаса Сервелат Ореховый ТМ Вязанка в упаковке скин 0,09 кг нарезка  ПОКОМ</t>
  </si>
  <si>
    <t>Консервы Гречка по-купечески с говядиной и овощами ТМ Стародворье банка металлическая ф/в 0,325 кг РК</t>
  </si>
  <si>
    <t>матрица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</si>
  <si>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</si>
  <si>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</si>
  <si>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новинка</t>
  </si>
  <si>
    <t>80шт в заказ (22,07,26 Боярко)</t>
  </si>
  <si>
    <t>90шт в заказ (22,07,26 Боярко)</t>
  </si>
  <si>
    <t>заказ</t>
  </si>
  <si>
    <t>25,07,</t>
  </si>
  <si>
    <t>дн</t>
  </si>
  <si>
    <t>итого</t>
  </si>
  <si>
    <t>25,07,(2)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</si>
</sst>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6" borderId="1" xfId="1" applyNumberFormat="1" applyFont="1" applyFill="1"/>
    <xf numFmtId="165" fontId="1" fillId="0" borderId="1" xfId="1" applyNumberFormat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6" sqref="AJ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23" width="7" customWidth="1"/>
    <col min="24" max="25" width="5" customWidth="1"/>
    <col min="26" max="35" width="6" customWidth="1"/>
    <col min="36" max="36" width="36.28515625" customWidth="1"/>
    <col min="37" max="38" width="8.5703125" customWidth="1"/>
    <col min="3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8">
        <v>0.65</v>
      </c>
      <c r="V1" s="18"/>
      <c r="W1" s="18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9" t="s">
        <v>181</v>
      </c>
      <c r="V2" s="19"/>
      <c r="W2" s="19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7467</v>
      </c>
      <c r="AL2" s="1">
        <v>6000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182</v>
      </c>
      <c r="V3" s="3" t="s">
        <v>179</v>
      </c>
      <c r="W3" s="3" t="s">
        <v>179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  <c r="T4" s="1"/>
      <c r="U4" s="1"/>
      <c r="V4" s="1" t="s">
        <v>180</v>
      </c>
      <c r="W4" s="1" t="s">
        <v>183</v>
      </c>
      <c r="X4" s="1"/>
      <c r="Y4" s="1"/>
      <c r="Z4" s="1" t="s">
        <v>28</v>
      </c>
      <c r="AA4" s="1" t="s">
        <v>22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 t="s">
        <v>180</v>
      </c>
      <c r="AL4" s="1" t="s">
        <v>183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26558.594000000005</v>
      </c>
      <c r="F5" s="4">
        <f>SUM(F6:F500)</f>
        <v>19313.231000000003</v>
      </c>
      <c r="G5" s="7"/>
      <c r="H5" s="1"/>
      <c r="I5" s="1"/>
      <c r="J5" s="1"/>
      <c r="K5" s="4">
        <f t="shared" ref="K5:V5" si="0">SUM(K6:K500)</f>
        <v>27229.258999999998</v>
      </c>
      <c r="L5" s="4">
        <f t="shared" si="0"/>
        <v>-670.66500000000042</v>
      </c>
      <c r="M5" s="4">
        <f t="shared" si="0"/>
        <v>0</v>
      </c>
      <c r="N5" s="4">
        <f t="shared" si="0"/>
        <v>0</v>
      </c>
      <c r="O5" s="4">
        <f t="shared" si="0"/>
        <v>14044.124733999997</v>
      </c>
      <c r="P5" s="4">
        <f t="shared" si="0"/>
        <v>1000</v>
      </c>
      <c r="Q5" s="4">
        <f t="shared" si="0"/>
        <v>1500</v>
      </c>
      <c r="R5" s="4">
        <f t="shared" si="0"/>
        <v>9305.531376560004</v>
      </c>
      <c r="S5" s="4">
        <f t="shared" si="0"/>
        <v>5311.7188000000015</v>
      </c>
      <c r="T5" s="4">
        <f t="shared" si="0"/>
        <v>16073.017269440001</v>
      </c>
      <c r="U5" s="4">
        <f t="shared" si="0"/>
        <v>17822.599779439999</v>
      </c>
      <c r="V5" s="4">
        <f t="shared" si="0"/>
        <v>9988.5997794400009</v>
      </c>
      <c r="W5" s="4">
        <f t="shared" ref="W5" si="1">SUM(W6:W500)</f>
        <v>7834</v>
      </c>
      <c r="X5" s="1"/>
      <c r="Y5" s="1"/>
      <c r="Z5" s="4">
        <f t="shared" ref="Z5:AI5" si="2">SUM(Z6:Z500)</f>
        <v>4949.0583999999999</v>
      </c>
      <c r="AA5" s="4">
        <f t="shared" si="2"/>
        <v>5681.1398000000008</v>
      </c>
      <c r="AB5" s="4">
        <f t="shared" si="2"/>
        <v>4551.0276000000013</v>
      </c>
      <c r="AC5" s="4">
        <f t="shared" si="2"/>
        <v>4055.5027999999998</v>
      </c>
      <c r="AD5" s="4">
        <f t="shared" si="2"/>
        <v>4899.2521999999981</v>
      </c>
      <c r="AE5" s="4">
        <f t="shared" si="2"/>
        <v>4551.299799999997</v>
      </c>
      <c r="AF5" s="4">
        <f t="shared" si="2"/>
        <v>4262.4295999999977</v>
      </c>
      <c r="AG5" s="4">
        <f t="shared" si="2"/>
        <v>4449.9754000000012</v>
      </c>
      <c r="AH5" s="4">
        <f t="shared" si="2"/>
        <v>4569.6715999999988</v>
      </c>
      <c r="AI5" s="4">
        <f t="shared" si="2"/>
        <v>3542.7732000000005</v>
      </c>
      <c r="AJ5" s="1"/>
      <c r="AK5" s="4">
        <f>SUM(AK6:AK500)</f>
        <v>7467</v>
      </c>
      <c r="AL5" s="4">
        <f>SUM(AL6:AL500)</f>
        <v>6000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37</v>
      </c>
      <c r="B6" s="1" t="s">
        <v>38</v>
      </c>
      <c r="C6" s="1">
        <v>899.48</v>
      </c>
      <c r="D6" s="1">
        <v>5.4080000000000004</v>
      </c>
      <c r="E6" s="1">
        <v>311.28300000000002</v>
      </c>
      <c r="F6" s="1">
        <v>569.57399999999996</v>
      </c>
      <c r="G6" s="7">
        <v>1</v>
      </c>
      <c r="H6" s="1">
        <v>50</v>
      </c>
      <c r="I6" s="1" t="s">
        <v>173</v>
      </c>
      <c r="J6" s="1"/>
      <c r="K6" s="1">
        <v>282.74</v>
      </c>
      <c r="L6" s="1">
        <f t="shared" ref="L6:L37" si="3">E6-K6</f>
        <v>28.543000000000006</v>
      </c>
      <c r="M6" s="1"/>
      <c r="N6" s="1"/>
      <c r="O6" s="1">
        <v>0</v>
      </c>
      <c r="P6" s="1"/>
      <c r="Q6" s="1"/>
      <c r="R6" s="1">
        <v>89.779499999999871</v>
      </c>
      <c r="S6" s="1">
        <f>E6/5</f>
        <v>62.256600000000006</v>
      </c>
      <c r="T6" s="5">
        <f>11*S6-R6-Q6-P6-O6-F6</f>
        <v>25.469100000000253</v>
      </c>
      <c r="U6" s="5">
        <f>T6</f>
        <v>25.469100000000253</v>
      </c>
      <c r="V6" s="5">
        <f>U6-W6</f>
        <v>25.469100000000253</v>
      </c>
      <c r="W6" s="5"/>
      <c r="X6" s="1">
        <f>(F6+O6+P6+Q6+R6+U6)/S6</f>
        <v>11</v>
      </c>
      <c r="Y6" s="1">
        <f>(F6+O6+P6+Q6+R6)/S6</f>
        <v>10.5909012056553</v>
      </c>
      <c r="Z6" s="1">
        <v>66.852599999999995</v>
      </c>
      <c r="AA6" s="1">
        <v>82.294000000000011</v>
      </c>
      <c r="AB6" s="1">
        <v>60.082000000000008</v>
      </c>
      <c r="AC6" s="1">
        <v>55.816999999999993</v>
      </c>
      <c r="AD6" s="1">
        <v>53.811199999999999</v>
      </c>
      <c r="AE6" s="1">
        <v>54.4542</v>
      </c>
      <c r="AF6" s="1">
        <v>78.643600000000006</v>
      </c>
      <c r="AG6" s="1">
        <v>81.141999999999996</v>
      </c>
      <c r="AH6" s="1">
        <v>56.725999999999999</v>
      </c>
      <c r="AI6" s="1">
        <v>56.728200000000001</v>
      </c>
      <c r="AJ6" s="1"/>
      <c r="AK6" s="1">
        <f>ROUND(G6*V6,0)</f>
        <v>25</v>
      </c>
      <c r="AL6" s="1">
        <f>ROUND(G6*W6,0)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38</v>
      </c>
      <c r="C7" s="1">
        <v>1178.768</v>
      </c>
      <c r="D7" s="1">
        <v>347.24599999999998</v>
      </c>
      <c r="E7" s="1">
        <v>806.83399999999995</v>
      </c>
      <c r="F7" s="1">
        <v>579.577</v>
      </c>
      <c r="G7" s="7">
        <v>1</v>
      </c>
      <c r="H7" s="1">
        <v>45</v>
      </c>
      <c r="I7" s="1" t="s">
        <v>173</v>
      </c>
      <c r="J7" s="1"/>
      <c r="K7" s="1">
        <v>760.25</v>
      </c>
      <c r="L7" s="1">
        <f t="shared" si="3"/>
        <v>46.583999999999946</v>
      </c>
      <c r="M7" s="1"/>
      <c r="N7" s="1"/>
      <c r="O7" s="1">
        <v>332.08991999999961</v>
      </c>
      <c r="P7" s="1"/>
      <c r="Q7" s="1"/>
      <c r="R7" s="1">
        <v>276.68529999999993</v>
      </c>
      <c r="S7" s="1">
        <f t="shared" ref="S7:S70" si="4">E7/5</f>
        <v>161.36679999999998</v>
      </c>
      <c r="T7" s="5">
        <f t="shared" ref="T7:T23" si="5">11*S7-R7-Q7-P7-O7-F7</f>
        <v>586.68258000000037</v>
      </c>
      <c r="U7" s="5">
        <f>T7+$U$1*S7</f>
        <v>691.57100000000037</v>
      </c>
      <c r="V7" s="5">
        <f t="shared" ref="V7:V70" si="6">U7-W7</f>
        <v>291.57100000000037</v>
      </c>
      <c r="W7" s="5">
        <v>400</v>
      </c>
      <c r="X7" s="1">
        <f t="shared" ref="X7:X70" si="7">(F7+O7+P7+Q7+R7+U7)/S7</f>
        <v>11.65</v>
      </c>
      <c r="Y7" s="1">
        <f t="shared" ref="Y7:Y70" si="8">(F7+O7+P7+Q7+R7)/S7</f>
        <v>7.3642919113473138</v>
      </c>
      <c r="Z7" s="1">
        <v>149.6454</v>
      </c>
      <c r="AA7" s="1">
        <v>178.84819999999999</v>
      </c>
      <c r="AB7" s="1">
        <v>149.67179999999999</v>
      </c>
      <c r="AC7" s="1">
        <v>148.21080000000001</v>
      </c>
      <c r="AD7" s="1">
        <v>187.27260000000001</v>
      </c>
      <c r="AE7" s="1">
        <v>139.0446</v>
      </c>
      <c r="AF7" s="1">
        <v>77.631399999999999</v>
      </c>
      <c r="AG7" s="1">
        <v>85.131200000000007</v>
      </c>
      <c r="AH7" s="1">
        <v>120.83459999999999</v>
      </c>
      <c r="AI7" s="1">
        <v>53.919400000000003</v>
      </c>
      <c r="AJ7" s="1"/>
      <c r="AK7" s="1">
        <f t="shared" ref="AK7:AL70" si="9">ROUND(G7*V7,0)</f>
        <v>292</v>
      </c>
      <c r="AL7" s="1">
        <f t="shared" ref="AL7:AL70" si="10">ROUND(G7*W7,0)</f>
        <v>400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38</v>
      </c>
      <c r="C8" s="1">
        <v>1111.8869999999999</v>
      </c>
      <c r="D8" s="1">
        <v>485.18</v>
      </c>
      <c r="E8" s="1">
        <v>842.81399999999996</v>
      </c>
      <c r="F8" s="1">
        <v>621.62</v>
      </c>
      <c r="G8" s="7">
        <v>1</v>
      </c>
      <c r="H8" s="1">
        <v>45</v>
      </c>
      <c r="I8" s="1" t="s">
        <v>173</v>
      </c>
      <c r="J8" s="1"/>
      <c r="K8" s="1">
        <v>793.34</v>
      </c>
      <c r="L8" s="1">
        <f t="shared" si="3"/>
        <v>49.473999999999933</v>
      </c>
      <c r="M8" s="1"/>
      <c r="N8" s="1"/>
      <c r="O8" s="1">
        <v>362.17072000000007</v>
      </c>
      <c r="P8" s="1"/>
      <c r="Q8" s="1"/>
      <c r="R8" s="1">
        <v>185.8289199999997</v>
      </c>
      <c r="S8" s="1">
        <f t="shared" si="4"/>
        <v>168.56279999999998</v>
      </c>
      <c r="T8" s="5">
        <f t="shared" si="5"/>
        <v>684.57116000000008</v>
      </c>
      <c r="U8" s="5">
        <f>T8+$U$1*S8</f>
        <v>794.13698000000011</v>
      </c>
      <c r="V8" s="5">
        <f t="shared" si="6"/>
        <v>394.13698000000011</v>
      </c>
      <c r="W8" s="5">
        <v>400</v>
      </c>
      <c r="X8" s="1">
        <f t="shared" si="7"/>
        <v>11.650000000000002</v>
      </c>
      <c r="Y8" s="1">
        <f t="shared" si="8"/>
        <v>6.9387767645055733</v>
      </c>
      <c r="Z8" s="1">
        <v>152.89080000000001</v>
      </c>
      <c r="AA8" s="1">
        <v>189.7098</v>
      </c>
      <c r="AB8" s="1">
        <v>156.5736</v>
      </c>
      <c r="AC8" s="1">
        <v>142.0624</v>
      </c>
      <c r="AD8" s="1">
        <v>183.81639999999999</v>
      </c>
      <c r="AE8" s="1">
        <v>143.90119999999999</v>
      </c>
      <c r="AF8" s="1">
        <v>28.558599999999998</v>
      </c>
      <c r="AG8" s="1">
        <v>19.2348</v>
      </c>
      <c r="AH8" s="1">
        <v>136.8586</v>
      </c>
      <c r="AI8" s="1">
        <v>61.915200000000013</v>
      </c>
      <c r="AJ8" s="1"/>
      <c r="AK8" s="1">
        <f t="shared" si="9"/>
        <v>394</v>
      </c>
      <c r="AL8" s="1">
        <f t="shared" si="10"/>
        <v>400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/>
      <c r="D9" s="1">
        <v>20</v>
      </c>
      <c r="E9" s="1">
        <v>2</v>
      </c>
      <c r="F9" s="1">
        <v>17</v>
      </c>
      <c r="G9" s="7">
        <v>0.4</v>
      </c>
      <c r="H9" s="1">
        <v>50</v>
      </c>
      <c r="I9" s="1" t="s">
        <v>173</v>
      </c>
      <c r="J9" s="1"/>
      <c r="K9" s="1">
        <v>11</v>
      </c>
      <c r="L9" s="1">
        <f t="shared" si="3"/>
        <v>-9</v>
      </c>
      <c r="M9" s="1"/>
      <c r="N9" s="1"/>
      <c r="O9" s="1">
        <v>0</v>
      </c>
      <c r="P9" s="1"/>
      <c r="Q9" s="1"/>
      <c r="R9" s="1">
        <v>0</v>
      </c>
      <c r="S9" s="1">
        <f t="shared" si="4"/>
        <v>0.4</v>
      </c>
      <c r="T9" s="5"/>
      <c r="U9" s="5">
        <f t="shared" ref="U9:U70" si="11">T9</f>
        <v>0</v>
      </c>
      <c r="V9" s="5">
        <f t="shared" si="6"/>
        <v>0</v>
      </c>
      <c r="W9" s="5"/>
      <c r="X9" s="1">
        <f t="shared" si="7"/>
        <v>42.5</v>
      </c>
      <c r="Y9" s="1">
        <f t="shared" si="8"/>
        <v>42.5</v>
      </c>
      <c r="Z9" s="1">
        <v>0</v>
      </c>
      <c r="AA9" s="1">
        <v>0</v>
      </c>
      <c r="AB9" s="1">
        <v>0</v>
      </c>
      <c r="AC9" s="1">
        <v>0.4</v>
      </c>
      <c r="AD9" s="1">
        <v>1.4</v>
      </c>
      <c r="AE9" s="1">
        <v>2</v>
      </c>
      <c r="AF9" s="1">
        <v>2.2000000000000002</v>
      </c>
      <c r="AG9" s="1">
        <v>1.2</v>
      </c>
      <c r="AH9" s="1">
        <v>1</v>
      </c>
      <c r="AI9" s="1">
        <v>0</v>
      </c>
      <c r="AJ9" s="1" t="s">
        <v>43</v>
      </c>
      <c r="AK9" s="1">
        <f t="shared" si="9"/>
        <v>0</v>
      </c>
      <c r="AL9" s="1">
        <f t="shared" si="10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455</v>
      </c>
      <c r="D10" s="1">
        <v>51</v>
      </c>
      <c r="E10" s="1">
        <v>343</v>
      </c>
      <c r="F10" s="1">
        <v>140</v>
      </c>
      <c r="G10" s="7">
        <v>0.45</v>
      </c>
      <c r="H10" s="1">
        <v>45</v>
      </c>
      <c r="I10" s="1" t="s">
        <v>173</v>
      </c>
      <c r="J10" s="1"/>
      <c r="K10" s="1">
        <v>348</v>
      </c>
      <c r="L10" s="1">
        <f t="shared" si="3"/>
        <v>-5</v>
      </c>
      <c r="M10" s="1"/>
      <c r="N10" s="1"/>
      <c r="O10" s="1">
        <v>214.00000000000011</v>
      </c>
      <c r="P10" s="1"/>
      <c r="Q10" s="1"/>
      <c r="R10" s="1">
        <v>62.299999999999862</v>
      </c>
      <c r="S10" s="1">
        <f t="shared" si="4"/>
        <v>68.599999999999994</v>
      </c>
      <c r="T10" s="5">
        <f t="shared" si="5"/>
        <v>338.29999999999995</v>
      </c>
      <c r="U10" s="5">
        <f t="shared" si="11"/>
        <v>338.29999999999995</v>
      </c>
      <c r="V10" s="5">
        <f t="shared" si="6"/>
        <v>138.29999999999995</v>
      </c>
      <c r="W10" s="5">
        <v>200</v>
      </c>
      <c r="X10" s="1">
        <f t="shared" si="7"/>
        <v>11</v>
      </c>
      <c r="Y10" s="1">
        <f t="shared" si="8"/>
        <v>6.0685131195335273</v>
      </c>
      <c r="Z10" s="1">
        <v>57</v>
      </c>
      <c r="AA10" s="1">
        <v>64.400000000000006</v>
      </c>
      <c r="AB10" s="1">
        <v>51.8</v>
      </c>
      <c r="AC10" s="1">
        <v>54</v>
      </c>
      <c r="AD10" s="1">
        <v>66.599999999999994</v>
      </c>
      <c r="AE10" s="1">
        <v>69</v>
      </c>
      <c r="AF10" s="1">
        <v>72.599999999999994</v>
      </c>
      <c r="AG10" s="1">
        <v>51</v>
      </c>
      <c r="AH10" s="1">
        <v>59.6</v>
      </c>
      <c r="AI10" s="1">
        <v>-0.4</v>
      </c>
      <c r="AJ10" s="1"/>
      <c r="AK10" s="1">
        <f t="shared" si="9"/>
        <v>62</v>
      </c>
      <c r="AL10" s="1">
        <f t="shared" si="10"/>
        <v>90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45</v>
      </c>
      <c r="B11" s="1" t="s">
        <v>42</v>
      </c>
      <c r="C11" s="1">
        <v>435</v>
      </c>
      <c r="D11" s="1">
        <v>252</v>
      </c>
      <c r="E11" s="1">
        <v>443</v>
      </c>
      <c r="F11" s="1">
        <v>187</v>
      </c>
      <c r="G11" s="7">
        <v>0.45</v>
      </c>
      <c r="H11" s="1">
        <v>45</v>
      </c>
      <c r="I11" s="1" t="s">
        <v>173</v>
      </c>
      <c r="J11" s="1"/>
      <c r="K11" s="1">
        <v>467</v>
      </c>
      <c r="L11" s="1">
        <f t="shared" si="3"/>
        <v>-24</v>
      </c>
      <c r="M11" s="1"/>
      <c r="N11" s="1"/>
      <c r="O11" s="1">
        <v>269.31999999999982</v>
      </c>
      <c r="P11" s="1"/>
      <c r="Q11" s="1"/>
      <c r="R11" s="1">
        <v>225.54000000000019</v>
      </c>
      <c r="S11" s="1">
        <f t="shared" si="4"/>
        <v>88.6</v>
      </c>
      <c r="T11" s="5">
        <f t="shared" si="5"/>
        <v>292.7399999999999</v>
      </c>
      <c r="U11" s="5">
        <f t="shared" si="11"/>
        <v>292.7399999999999</v>
      </c>
      <c r="V11" s="5">
        <f t="shared" si="6"/>
        <v>142.7399999999999</v>
      </c>
      <c r="W11" s="5">
        <v>150</v>
      </c>
      <c r="X11" s="1">
        <f t="shared" si="7"/>
        <v>11</v>
      </c>
      <c r="Y11" s="1">
        <f t="shared" si="8"/>
        <v>7.6959367945823933</v>
      </c>
      <c r="Z11" s="1">
        <v>85.2</v>
      </c>
      <c r="AA11" s="1">
        <v>90.6</v>
      </c>
      <c r="AB11" s="1">
        <v>71.400000000000006</v>
      </c>
      <c r="AC11" s="1">
        <v>71.8</v>
      </c>
      <c r="AD11" s="1">
        <v>78</v>
      </c>
      <c r="AE11" s="1">
        <v>73.2</v>
      </c>
      <c r="AF11" s="1">
        <v>69</v>
      </c>
      <c r="AG11" s="1">
        <v>81.8</v>
      </c>
      <c r="AH11" s="1">
        <v>64.8</v>
      </c>
      <c r="AI11" s="1">
        <v>39.799999999999997</v>
      </c>
      <c r="AJ11" s="1"/>
      <c r="AK11" s="1">
        <f t="shared" si="9"/>
        <v>64</v>
      </c>
      <c r="AL11" s="1">
        <f t="shared" si="10"/>
        <v>68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42</v>
      </c>
      <c r="C12" s="1">
        <v>114</v>
      </c>
      <c r="D12" s="1">
        <v>119</v>
      </c>
      <c r="E12" s="1">
        <v>99</v>
      </c>
      <c r="F12" s="1">
        <v>102</v>
      </c>
      <c r="G12" s="7">
        <v>0.3</v>
      </c>
      <c r="H12" s="1">
        <v>40</v>
      </c>
      <c r="I12" s="1" t="s">
        <v>173</v>
      </c>
      <c r="J12" s="1"/>
      <c r="K12" s="1">
        <v>97</v>
      </c>
      <c r="L12" s="1">
        <f t="shared" si="3"/>
        <v>2</v>
      </c>
      <c r="M12" s="1"/>
      <c r="N12" s="1"/>
      <c r="O12" s="1">
        <v>53.800000000000011</v>
      </c>
      <c r="P12" s="1"/>
      <c r="Q12" s="1"/>
      <c r="R12" s="1">
        <v>0</v>
      </c>
      <c r="S12" s="1">
        <f t="shared" si="4"/>
        <v>19.8</v>
      </c>
      <c r="T12" s="5">
        <f t="shared" si="5"/>
        <v>62</v>
      </c>
      <c r="U12" s="5">
        <f t="shared" si="11"/>
        <v>62</v>
      </c>
      <c r="V12" s="5">
        <f t="shared" si="6"/>
        <v>62</v>
      </c>
      <c r="W12" s="5"/>
      <c r="X12" s="1">
        <f t="shared" si="7"/>
        <v>11</v>
      </c>
      <c r="Y12" s="1">
        <f t="shared" si="8"/>
        <v>7.8686868686868694</v>
      </c>
      <c r="Z12" s="1">
        <v>18</v>
      </c>
      <c r="AA12" s="1">
        <v>25.6</v>
      </c>
      <c r="AB12" s="1">
        <v>22.4</v>
      </c>
      <c r="AC12" s="1">
        <v>14</v>
      </c>
      <c r="AD12" s="1">
        <v>18</v>
      </c>
      <c r="AE12" s="1">
        <v>14.4</v>
      </c>
      <c r="AF12" s="1">
        <v>9.4</v>
      </c>
      <c r="AG12" s="1">
        <v>11.6</v>
      </c>
      <c r="AH12" s="1">
        <v>16</v>
      </c>
      <c r="AI12" s="1">
        <v>8.6</v>
      </c>
      <c r="AJ12" s="1"/>
      <c r="AK12" s="1">
        <f t="shared" si="9"/>
        <v>19</v>
      </c>
      <c r="AL12" s="1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42</v>
      </c>
      <c r="C13" s="1">
        <v>338</v>
      </c>
      <c r="D13" s="1">
        <v>3</v>
      </c>
      <c r="E13" s="1">
        <v>99</v>
      </c>
      <c r="F13" s="1">
        <v>231</v>
      </c>
      <c r="G13" s="7">
        <v>0.17</v>
      </c>
      <c r="H13" s="1">
        <v>180</v>
      </c>
      <c r="I13" s="1" t="s">
        <v>173</v>
      </c>
      <c r="J13" s="1"/>
      <c r="K13" s="1">
        <v>92</v>
      </c>
      <c r="L13" s="1">
        <f t="shared" si="3"/>
        <v>7</v>
      </c>
      <c r="M13" s="1"/>
      <c r="N13" s="1"/>
      <c r="O13" s="1">
        <v>0</v>
      </c>
      <c r="P13" s="1"/>
      <c r="Q13" s="1"/>
      <c r="R13" s="1">
        <v>0</v>
      </c>
      <c r="S13" s="1">
        <f t="shared" si="4"/>
        <v>19.8</v>
      </c>
      <c r="T13" s="5"/>
      <c r="U13" s="5">
        <f t="shared" si="11"/>
        <v>0</v>
      </c>
      <c r="V13" s="5">
        <f t="shared" si="6"/>
        <v>0</v>
      </c>
      <c r="W13" s="5"/>
      <c r="X13" s="1">
        <f t="shared" si="7"/>
        <v>11.666666666666666</v>
      </c>
      <c r="Y13" s="1">
        <f t="shared" si="8"/>
        <v>11.666666666666666</v>
      </c>
      <c r="Z13" s="1">
        <v>14.8</v>
      </c>
      <c r="AA13" s="1">
        <v>20.6</v>
      </c>
      <c r="AB13" s="1">
        <v>21.8</v>
      </c>
      <c r="AC13" s="1">
        <v>18.2</v>
      </c>
      <c r="AD13" s="1">
        <v>30.6</v>
      </c>
      <c r="AE13" s="1">
        <v>32.799999999999997</v>
      </c>
      <c r="AF13" s="1">
        <v>24.6</v>
      </c>
      <c r="AG13" s="1">
        <v>22.6</v>
      </c>
      <c r="AH13" s="1">
        <v>25</v>
      </c>
      <c r="AI13" s="1">
        <v>14.8</v>
      </c>
      <c r="AJ13" s="16" t="s">
        <v>48</v>
      </c>
      <c r="AK13" s="1">
        <f t="shared" si="9"/>
        <v>0</v>
      </c>
      <c r="AL13" s="1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38</v>
      </c>
      <c r="C14" s="1">
        <v>290.08600000000001</v>
      </c>
      <c r="D14" s="1">
        <v>711.01400000000001</v>
      </c>
      <c r="E14" s="1">
        <v>477.67099999999999</v>
      </c>
      <c r="F14" s="1">
        <v>465.91899999999998</v>
      </c>
      <c r="G14" s="7">
        <v>1</v>
      </c>
      <c r="H14" s="1">
        <v>70</v>
      </c>
      <c r="I14" s="1" t="s">
        <v>173</v>
      </c>
      <c r="J14" s="1"/>
      <c r="K14" s="1">
        <v>451.3</v>
      </c>
      <c r="L14" s="1">
        <f t="shared" si="3"/>
        <v>26.370999999999981</v>
      </c>
      <c r="M14" s="1"/>
      <c r="N14" s="1"/>
      <c r="O14" s="1">
        <v>0</v>
      </c>
      <c r="P14" s="1"/>
      <c r="Q14" s="1"/>
      <c r="R14" s="1">
        <v>0</v>
      </c>
      <c r="S14" s="1">
        <f t="shared" si="4"/>
        <v>95.534199999999998</v>
      </c>
      <c r="T14" s="5">
        <f t="shared" si="5"/>
        <v>584.95719999999994</v>
      </c>
      <c r="U14" s="5">
        <f t="shared" si="11"/>
        <v>584.95719999999994</v>
      </c>
      <c r="V14" s="5">
        <f t="shared" si="6"/>
        <v>284.95719999999994</v>
      </c>
      <c r="W14" s="5">
        <v>300</v>
      </c>
      <c r="X14" s="1">
        <f t="shared" si="7"/>
        <v>11</v>
      </c>
      <c r="Y14" s="1">
        <f t="shared" si="8"/>
        <v>4.8769864613928835</v>
      </c>
      <c r="Z14" s="1">
        <v>52.246799999999993</v>
      </c>
      <c r="AA14" s="1">
        <v>66.222200000000001</v>
      </c>
      <c r="AB14" s="1">
        <v>84.409000000000006</v>
      </c>
      <c r="AC14" s="1">
        <v>85.927999999999997</v>
      </c>
      <c r="AD14" s="1">
        <v>52.177999999999997</v>
      </c>
      <c r="AE14" s="1">
        <v>15.4452</v>
      </c>
      <c r="AF14" s="1">
        <v>54.483400000000003</v>
      </c>
      <c r="AG14" s="1">
        <v>91.662400000000005</v>
      </c>
      <c r="AH14" s="1">
        <v>84.409599999999998</v>
      </c>
      <c r="AI14" s="1">
        <v>76.513199999999998</v>
      </c>
      <c r="AJ14" s="1"/>
      <c r="AK14" s="1">
        <f t="shared" si="9"/>
        <v>285</v>
      </c>
      <c r="AL14" s="1">
        <f t="shared" si="10"/>
        <v>300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38</v>
      </c>
      <c r="C15" s="1">
        <v>1714.635</v>
      </c>
      <c r="D15" s="1">
        <v>2238.902</v>
      </c>
      <c r="E15" s="1">
        <v>1844.558</v>
      </c>
      <c r="F15" s="1">
        <v>1549.3710000000001</v>
      </c>
      <c r="G15" s="7">
        <v>1</v>
      </c>
      <c r="H15" s="1">
        <v>50</v>
      </c>
      <c r="I15" s="1" t="s">
        <v>173</v>
      </c>
      <c r="J15" s="1"/>
      <c r="K15" s="1">
        <v>1870.0170000000001</v>
      </c>
      <c r="L15" s="1">
        <f t="shared" si="3"/>
        <v>-25.45900000000006</v>
      </c>
      <c r="M15" s="1"/>
      <c r="N15" s="1"/>
      <c r="O15" s="1">
        <v>306.30567999999948</v>
      </c>
      <c r="P15" s="1"/>
      <c r="Q15" s="1"/>
      <c r="R15" s="1">
        <v>575.88681999999972</v>
      </c>
      <c r="S15" s="1">
        <f t="shared" si="4"/>
        <v>368.91160000000002</v>
      </c>
      <c r="T15" s="5">
        <f t="shared" si="5"/>
        <v>1626.4641000000011</v>
      </c>
      <c r="U15" s="5">
        <f>T15+$U$1*S15</f>
        <v>1866.256640000001</v>
      </c>
      <c r="V15" s="5">
        <f t="shared" si="6"/>
        <v>866.25664000000097</v>
      </c>
      <c r="W15" s="5">
        <v>1000</v>
      </c>
      <c r="X15" s="1">
        <f t="shared" si="7"/>
        <v>11.649999999999999</v>
      </c>
      <c r="Y15" s="1">
        <f t="shared" si="8"/>
        <v>6.5911820067463296</v>
      </c>
      <c r="Z15" s="1">
        <v>333.24779999999998</v>
      </c>
      <c r="AA15" s="1">
        <v>396.964</v>
      </c>
      <c r="AB15" s="1">
        <v>364.63580000000002</v>
      </c>
      <c r="AC15" s="1">
        <v>341.27480000000003</v>
      </c>
      <c r="AD15" s="1">
        <v>267.3186</v>
      </c>
      <c r="AE15" s="1">
        <v>211.0538</v>
      </c>
      <c r="AF15" s="1">
        <v>419.64319999999998</v>
      </c>
      <c r="AG15" s="1">
        <v>440.71100000000001</v>
      </c>
      <c r="AH15" s="1">
        <v>273.9434</v>
      </c>
      <c r="AI15" s="1">
        <v>349.3664</v>
      </c>
      <c r="AJ15" s="1"/>
      <c r="AK15" s="1">
        <f t="shared" si="9"/>
        <v>866</v>
      </c>
      <c r="AL15" s="1">
        <f t="shared" si="10"/>
        <v>1000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38</v>
      </c>
      <c r="C16" s="1">
        <v>150.71100000000001</v>
      </c>
      <c r="D16" s="1">
        <v>10.635999999999999</v>
      </c>
      <c r="E16" s="1">
        <v>83.010999999999996</v>
      </c>
      <c r="F16" s="1">
        <v>34.256</v>
      </c>
      <c r="G16" s="7">
        <v>1</v>
      </c>
      <c r="H16" s="1">
        <v>60</v>
      </c>
      <c r="I16" s="1" t="s">
        <v>173</v>
      </c>
      <c r="J16" s="1"/>
      <c r="K16" s="1">
        <v>86.1</v>
      </c>
      <c r="L16" s="1">
        <f t="shared" si="3"/>
        <v>-3.0889999999999986</v>
      </c>
      <c r="M16" s="1"/>
      <c r="N16" s="1"/>
      <c r="O16" s="1">
        <v>70.382600000000025</v>
      </c>
      <c r="P16" s="1"/>
      <c r="Q16" s="1"/>
      <c r="R16" s="1">
        <v>62.45389999999999</v>
      </c>
      <c r="S16" s="1">
        <f t="shared" si="4"/>
        <v>16.6022</v>
      </c>
      <c r="T16" s="5">
        <f t="shared" si="5"/>
        <v>15.531699999999987</v>
      </c>
      <c r="U16" s="5">
        <f t="shared" si="11"/>
        <v>15.531699999999987</v>
      </c>
      <c r="V16" s="5">
        <f t="shared" si="6"/>
        <v>15.531699999999987</v>
      </c>
      <c r="W16" s="5"/>
      <c r="X16" s="1">
        <f t="shared" si="7"/>
        <v>11.000000000000002</v>
      </c>
      <c r="Y16" s="1">
        <f t="shared" si="8"/>
        <v>10.064479406343739</v>
      </c>
      <c r="Z16" s="1">
        <v>18.7286</v>
      </c>
      <c r="AA16" s="1">
        <v>18.415600000000001</v>
      </c>
      <c r="AB16" s="1">
        <v>10.8032</v>
      </c>
      <c r="AC16" s="1">
        <v>8.2970000000000006</v>
      </c>
      <c r="AD16" s="1">
        <v>16.942399999999999</v>
      </c>
      <c r="AE16" s="1">
        <v>19.0762</v>
      </c>
      <c r="AF16" s="1">
        <v>18.809999999999999</v>
      </c>
      <c r="AG16" s="1">
        <v>20.7744</v>
      </c>
      <c r="AH16" s="1">
        <v>21.4712</v>
      </c>
      <c r="AI16" s="1">
        <v>20.5778</v>
      </c>
      <c r="AJ16" s="1"/>
      <c r="AK16" s="1">
        <f t="shared" si="9"/>
        <v>16</v>
      </c>
      <c r="AL16" s="1">
        <f t="shared" si="10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38</v>
      </c>
      <c r="C17" s="1">
        <v>95.338999999999999</v>
      </c>
      <c r="D17" s="1">
        <v>33.526000000000003</v>
      </c>
      <c r="E17" s="1">
        <v>53.5</v>
      </c>
      <c r="F17" s="1">
        <v>56.085000000000001</v>
      </c>
      <c r="G17" s="7">
        <v>1</v>
      </c>
      <c r="H17" s="1">
        <v>60</v>
      </c>
      <c r="I17" s="1" t="s">
        <v>173</v>
      </c>
      <c r="J17" s="1"/>
      <c r="K17" s="1">
        <v>47.3</v>
      </c>
      <c r="L17" s="1">
        <f t="shared" si="3"/>
        <v>6.2000000000000028</v>
      </c>
      <c r="M17" s="1"/>
      <c r="N17" s="1"/>
      <c r="O17" s="1">
        <v>0</v>
      </c>
      <c r="P17" s="1"/>
      <c r="Q17" s="1"/>
      <c r="R17" s="1">
        <v>26.545000000000002</v>
      </c>
      <c r="S17" s="1">
        <f t="shared" si="4"/>
        <v>10.7</v>
      </c>
      <c r="T17" s="5">
        <f t="shared" si="5"/>
        <v>35.069999999999986</v>
      </c>
      <c r="U17" s="5">
        <f t="shared" si="11"/>
        <v>35.069999999999986</v>
      </c>
      <c r="V17" s="5">
        <f t="shared" si="6"/>
        <v>35.069999999999986</v>
      </c>
      <c r="W17" s="5"/>
      <c r="X17" s="1">
        <f t="shared" si="7"/>
        <v>11</v>
      </c>
      <c r="Y17" s="1">
        <f t="shared" si="8"/>
        <v>7.7224299065420565</v>
      </c>
      <c r="Z17" s="1">
        <v>9.6920000000000002</v>
      </c>
      <c r="AA17" s="1">
        <v>6.7256</v>
      </c>
      <c r="AB17" s="1">
        <v>4.0734000000000004</v>
      </c>
      <c r="AC17" s="1">
        <v>4.6054000000000004</v>
      </c>
      <c r="AD17" s="1">
        <v>12.081200000000001</v>
      </c>
      <c r="AE17" s="1">
        <v>12.433199999999999</v>
      </c>
      <c r="AF17" s="1">
        <v>2.8418000000000001</v>
      </c>
      <c r="AG17" s="1">
        <v>0</v>
      </c>
      <c r="AH17" s="1">
        <v>7.9376000000000007</v>
      </c>
      <c r="AI17" s="1">
        <v>1.6040000000000001</v>
      </c>
      <c r="AJ17" s="1"/>
      <c r="AK17" s="1">
        <f t="shared" si="9"/>
        <v>35</v>
      </c>
      <c r="AL17" s="1">
        <f t="shared" si="10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38</v>
      </c>
      <c r="C18" s="1">
        <v>54.755000000000003</v>
      </c>
      <c r="D18" s="1">
        <v>9.9459999999999997</v>
      </c>
      <c r="E18" s="1">
        <v>13.398</v>
      </c>
      <c r="F18" s="1">
        <v>49.881</v>
      </c>
      <c r="G18" s="7">
        <v>1</v>
      </c>
      <c r="H18" s="1">
        <v>180</v>
      </c>
      <c r="I18" s="1" t="s">
        <v>173</v>
      </c>
      <c r="J18" s="1"/>
      <c r="K18" s="1">
        <v>14.85</v>
      </c>
      <c r="L18" s="1">
        <f t="shared" si="3"/>
        <v>-1.452</v>
      </c>
      <c r="M18" s="1"/>
      <c r="N18" s="1"/>
      <c r="O18" s="1">
        <v>4</v>
      </c>
      <c r="P18" s="1"/>
      <c r="Q18" s="1"/>
      <c r="R18" s="1">
        <v>7.2445000000000022</v>
      </c>
      <c r="S18" s="1">
        <f t="shared" si="4"/>
        <v>2.6795999999999998</v>
      </c>
      <c r="T18" s="5"/>
      <c r="U18" s="5">
        <f t="shared" si="11"/>
        <v>0</v>
      </c>
      <c r="V18" s="5">
        <f t="shared" si="6"/>
        <v>0</v>
      </c>
      <c r="W18" s="5"/>
      <c r="X18" s="1">
        <f t="shared" si="7"/>
        <v>22.811427078668462</v>
      </c>
      <c r="Y18" s="1">
        <f t="shared" si="8"/>
        <v>22.811427078668462</v>
      </c>
      <c r="Z18" s="1">
        <v>5.3262</v>
      </c>
      <c r="AA18" s="1">
        <v>5.8662000000000001</v>
      </c>
      <c r="AB18" s="1">
        <v>3.2307999999999999</v>
      </c>
      <c r="AC18" s="1">
        <v>3.8264</v>
      </c>
      <c r="AD18" s="1">
        <v>6.4126000000000003</v>
      </c>
      <c r="AE18" s="1">
        <v>4.5920000000000014</v>
      </c>
      <c r="AF18" s="1">
        <v>0.43180000000000002</v>
      </c>
      <c r="AG18" s="1">
        <v>1.2968</v>
      </c>
      <c r="AH18" s="1">
        <v>3.1156000000000001</v>
      </c>
      <c r="AI18" s="1">
        <v>1.7052</v>
      </c>
      <c r="AJ18" s="16" t="s">
        <v>48</v>
      </c>
      <c r="AK18" s="1">
        <f t="shared" si="9"/>
        <v>0</v>
      </c>
      <c r="AL18" s="1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38</v>
      </c>
      <c r="C19" s="1">
        <v>678.53399999999999</v>
      </c>
      <c r="D19" s="1">
        <v>200.94800000000001</v>
      </c>
      <c r="E19" s="1">
        <v>548.47400000000005</v>
      </c>
      <c r="F19" s="1">
        <v>259.67200000000003</v>
      </c>
      <c r="G19" s="7">
        <v>1</v>
      </c>
      <c r="H19" s="1">
        <v>60</v>
      </c>
      <c r="I19" s="1" t="s">
        <v>173</v>
      </c>
      <c r="J19" s="1"/>
      <c r="K19" s="1">
        <v>499.56</v>
      </c>
      <c r="L19" s="1">
        <f t="shared" si="3"/>
        <v>48.914000000000044</v>
      </c>
      <c r="M19" s="1"/>
      <c r="N19" s="1"/>
      <c r="O19" s="1">
        <v>475.11948000000012</v>
      </c>
      <c r="P19" s="1"/>
      <c r="Q19" s="1"/>
      <c r="R19" s="1">
        <v>136.2945599999999</v>
      </c>
      <c r="S19" s="1">
        <f t="shared" si="4"/>
        <v>109.69480000000001</v>
      </c>
      <c r="T19" s="5">
        <f t="shared" si="5"/>
        <v>335.55676000000017</v>
      </c>
      <c r="U19" s="5">
        <f>T19+$U$1*S19</f>
        <v>406.85838000000018</v>
      </c>
      <c r="V19" s="5">
        <f t="shared" si="6"/>
        <v>206.85838000000018</v>
      </c>
      <c r="W19" s="5">
        <v>200</v>
      </c>
      <c r="X19" s="1">
        <f t="shared" si="7"/>
        <v>11.65</v>
      </c>
      <c r="Y19" s="1">
        <f t="shared" si="8"/>
        <v>7.9409966561769556</v>
      </c>
      <c r="Z19" s="1">
        <v>108.2616</v>
      </c>
      <c r="AA19" s="1">
        <v>128.46600000000001</v>
      </c>
      <c r="AB19" s="1">
        <v>94.878799999999998</v>
      </c>
      <c r="AC19" s="1">
        <v>92.316800000000001</v>
      </c>
      <c r="AD19" s="1">
        <v>112.2612</v>
      </c>
      <c r="AE19" s="1">
        <v>109.2184</v>
      </c>
      <c r="AF19" s="1">
        <v>102.24079999999999</v>
      </c>
      <c r="AG19" s="1">
        <v>114.7664</v>
      </c>
      <c r="AH19" s="1">
        <v>94.618399999999994</v>
      </c>
      <c r="AI19" s="1">
        <v>100.66679999999999</v>
      </c>
      <c r="AJ19" s="1"/>
      <c r="AK19" s="1">
        <f t="shared" si="9"/>
        <v>207</v>
      </c>
      <c r="AL19" s="1">
        <f t="shared" si="10"/>
        <v>200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38</v>
      </c>
      <c r="C20" s="1">
        <v>73.486000000000004</v>
      </c>
      <c r="D20" s="1">
        <v>93.831000000000003</v>
      </c>
      <c r="E20" s="1">
        <v>82.912000000000006</v>
      </c>
      <c r="F20" s="1">
        <v>61.625</v>
      </c>
      <c r="G20" s="7">
        <v>1</v>
      </c>
      <c r="H20" s="1">
        <v>70</v>
      </c>
      <c r="I20" s="1" t="s">
        <v>173</v>
      </c>
      <c r="J20" s="1"/>
      <c r="K20" s="1">
        <v>117.2</v>
      </c>
      <c r="L20" s="1">
        <f t="shared" si="3"/>
        <v>-34.287999999999997</v>
      </c>
      <c r="M20" s="1"/>
      <c r="N20" s="1"/>
      <c r="O20" s="1">
        <v>131.87780000000001</v>
      </c>
      <c r="P20" s="1"/>
      <c r="Q20" s="1"/>
      <c r="R20" s="1">
        <v>34.102099999999993</v>
      </c>
      <c r="S20" s="1">
        <f t="shared" si="4"/>
        <v>16.5824</v>
      </c>
      <c r="T20" s="5"/>
      <c r="U20" s="5">
        <f t="shared" si="11"/>
        <v>0</v>
      </c>
      <c r="V20" s="5">
        <f t="shared" si="6"/>
        <v>0</v>
      </c>
      <c r="W20" s="5"/>
      <c r="X20" s="1">
        <f t="shared" si="7"/>
        <v>13.725691094172134</v>
      </c>
      <c r="Y20" s="1">
        <f t="shared" si="8"/>
        <v>13.725691094172134</v>
      </c>
      <c r="Z20" s="1">
        <v>21.981400000000001</v>
      </c>
      <c r="AA20" s="1">
        <v>25.205400000000001</v>
      </c>
      <c r="AB20" s="1">
        <v>18.808800000000002</v>
      </c>
      <c r="AC20" s="1">
        <v>8.6364000000000001</v>
      </c>
      <c r="AD20" s="1">
        <v>5.4560000000000004</v>
      </c>
      <c r="AE20" s="1">
        <v>17.258400000000002</v>
      </c>
      <c r="AF20" s="1">
        <v>23.96</v>
      </c>
      <c r="AG20" s="1">
        <v>16.3932</v>
      </c>
      <c r="AH20" s="1">
        <v>14.417999999999999</v>
      </c>
      <c r="AI20" s="1">
        <v>13.342599999999999</v>
      </c>
      <c r="AJ20" s="1"/>
      <c r="AK20" s="1">
        <f t="shared" si="9"/>
        <v>0</v>
      </c>
      <c r="AL20" s="1">
        <f t="shared" si="10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38</v>
      </c>
      <c r="C21" s="1">
        <v>416.74099999999999</v>
      </c>
      <c r="D21" s="1">
        <v>8.7919999999999998</v>
      </c>
      <c r="E21" s="1">
        <v>305.26100000000002</v>
      </c>
      <c r="F21" s="1">
        <v>71.617999999999995</v>
      </c>
      <c r="G21" s="7">
        <v>1</v>
      </c>
      <c r="H21" s="1">
        <v>70</v>
      </c>
      <c r="I21" s="1" t="s">
        <v>173</v>
      </c>
      <c r="J21" s="1"/>
      <c r="K21" s="1">
        <v>295.38</v>
      </c>
      <c r="L21" s="1">
        <f t="shared" si="3"/>
        <v>9.8810000000000286</v>
      </c>
      <c r="M21" s="1"/>
      <c r="N21" s="1"/>
      <c r="O21" s="1">
        <v>163.11019999999999</v>
      </c>
      <c r="P21" s="1"/>
      <c r="Q21" s="1"/>
      <c r="R21" s="1">
        <v>165.4927800000001</v>
      </c>
      <c r="S21" s="1">
        <f t="shared" si="4"/>
        <v>61.052200000000006</v>
      </c>
      <c r="T21" s="5">
        <f t="shared" si="5"/>
        <v>271.35321999999991</v>
      </c>
      <c r="U21" s="5">
        <f t="shared" si="11"/>
        <v>271.35321999999991</v>
      </c>
      <c r="V21" s="5">
        <f t="shared" si="6"/>
        <v>121.35321999999991</v>
      </c>
      <c r="W21" s="5">
        <v>150</v>
      </c>
      <c r="X21" s="1">
        <f t="shared" si="7"/>
        <v>11</v>
      </c>
      <c r="Y21" s="1">
        <f t="shared" si="8"/>
        <v>6.5553899777567395</v>
      </c>
      <c r="Z21" s="1">
        <v>53.941800000000001</v>
      </c>
      <c r="AA21" s="1">
        <v>51.120199999999997</v>
      </c>
      <c r="AB21" s="1">
        <v>36.6006</v>
      </c>
      <c r="AC21" s="1">
        <v>37.357199999999999</v>
      </c>
      <c r="AD21" s="1">
        <v>53.085400000000007</v>
      </c>
      <c r="AE21" s="1">
        <v>53.475800000000007</v>
      </c>
      <c r="AF21" s="1">
        <v>57.174599999999998</v>
      </c>
      <c r="AG21" s="1">
        <v>54.511600000000001</v>
      </c>
      <c r="AH21" s="1">
        <v>38.178800000000003</v>
      </c>
      <c r="AI21" s="1">
        <v>33.288400000000003</v>
      </c>
      <c r="AJ21" s="1"/>
      <c r="AK21" s="1">
        <f t="shared" si="9"/>
        <v>121</v>
      </c>
      <c r="AL21" s="1">
        <f t="shared" si="10"/>
        <v>150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38</v>
      </c>
      <c r="C22" s="1">
        <v>23.864999999999998</v>
      </c>
      <c r="D22" s="1">
        <v>2.359</v>
      </c>
      <c r="E22" s="1">
        <v>8.4390000000000001</v>
      </c>
      <c r="F22" s="1">
        <v>15.144</v>
      </c>
      <c r="G22" s="7">
        <v>1</v>
      </c>
      <c r="H22" s="1">
        <v>180</v>
      </c>
      <c r="I22" s="1" t="s">
        <v>173</v>
      </c>
      <c r="J22" s="1"/>
      <c r="K22" s="1">
        <v>10.74</v>
      </c>
      <c r="L22" s="1">
        <f t="shared" si="3"/>
        <v>-2.3010000000000002</v>
      </c>
      <c r="M22" s="1"/>
      <c r="N22" s="1"/>
      <c r="O22" s="1">
        <v>25.749400000000001</v>
      </c>
      <c r="P22" s="1"/>
      <c r="Q22" s="1"/>
      <c r="R22" s="1">
        <v>0</v>
      </c>
      <c r="S22" s="1">
        <f t="shared" si="4"/>
        <v>1.6878</v>
      </c>
      <c r="T22" s="5"/>
      <c r="U22" s="5">
        <f t="shared" si="11"/>
        <v>0</v>
      </c>
      <c r="V22" s="5">
        <f t="shared" si="6"/>
        <v>0</v>
      </c>
      <c r="W22" s="5"/>
      <c r="X22" s="1">
        <f t="shared" si="7"/>
        <v>24.228818580400521</v>
      </c>
      <c r="Y22" s="1">
        <f t="shared" si="8"/>
        <v>24.228818580400521</v>
      </c>
      <c r="Z22" s="1">
        <v>2.2938000000000001</v>
      </c>
      <c r="AA22" s="1">
        <v>4.5103999999999997</v>
      </c>
      <c r="AB22" s="1">
        <v>4.2845999999999993</v>
      </c>
      <c r="AC22" s="1">
        <v>3.5438000000000001</v>
      </c>
      <c r="AD22" s="1">
        <v>6.9477999999999991</v>
      </c>
      <c r="AE22" s="1">
        <v>5.1381999999999994</v>
      </c>
      <c r="AF22" s="1">
        <v>0.43819999999999998</v>
      </c>
      <c r="AG22" s="1">
        <v>0.87339999999999995</v>
      </c>
      <c r="AH22" s="1">
        <v>3.0621999999999998</v>
      </c>
      <c r="AI22" s="1">
        <v>3.3464</v>
      </c>
      <c r="AJ22" s="16" t="s">
        <v>48</v>
      </c>
      <c r="AK22" s="1">
        <f t="shared" si="9"/>
        <v>0</v>
      </c>
      <c r="AL22" s="1">
        <f t="shared" si="10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38</v>
      </c>
      <c r="C23" s="1">
        <v>551.63199999999995</v>
      </c>
      <c r="D23" s="1">
        <v>5.2510000000000003</v>
      </c>
      <c r="E23" s="1">
        <v>266.71300000000002</v>
      </c>
      <c r="F23" s="1">
        <v>240.99299999999999</v>
      </c>
      <c r="G23" s="7">
        <v>1</v>
      </c>
      <c r="H23" s="1">
        <v>70</v>
      </c>
      <c r="I23" s="1" t="s">
        <v>173</v>
      </c>
      <c r="J23" s="1"/>
      <c r="K23" s="1">
        <v>249.86</v>
      </c>
      <c r="L23" s="1">
        <f t="shared" si="3"/>
        <v>16.853000000000009</v>
      </c>
      <c r="M23" s="1"/>
      <c r="N23" s="1"/>
      <c r="O23" s="1">
        <v>114.91799999999991</v>
      </c>
      <c r="P23" s="1"/>
      <c r="Q23" s="1"/>
      <c r="R23" s="1">
        <v>42.288380000000117</v>
      </c>
      <c r="S23" s="1">
        <f t="shared" si="4"/>
        <v>53.342600000000004</v>
      </c>
      <c r="T23" s="5">
        <f t="shared" si="5"/>
        <v>188.56922000000014</v>
      </c>
      <c r="U23" s="5">
        <f t="shared" si="11"/>
        <v>188.56922000000014</v>
      </c>
      <c r="V23" s="5">
        <f t="shared" si="6"/>
        <v>138.56922000000014</v>
      </c>
      <c r="W23" s="5">
        <v>50</v>
      </c>
      <c r="X23" s="1">
        <f t="shared" si="7"/>
        <v>11.000000000000002</v>
      </c>
      <c r="Y23" s="1">
        <f t="shared" si="8"/>
        <v>7.4649413414419241</v>
      </c>
      <c r="Z23" s="1">
        <v>51.205800000000004</v>
      </c>
      <c r="AA23" s="1">
        <v>58.679999999999993</v>
      </c>
      <c r="AB23" s="1">
        <v>46.426400000000001</v>
      </c>
      <c r="AC23" s="1">
        <v>46.136600000000001</v>
      </c>
      <c r="AD23" s="1">
        <v>69.900199999999998</v>
      </c>
      <c r="AE23" s="1">
        <v>60.441600000000008</v>
      </c>
      <c r="AF23" s="1">
        <v>43.510000000000012</v>
      </c>
      <c r="AG23" s="1">
        <v>49.888800000000003</v>
      </c>
      <c r="AH23" s="1">
        <v>52.990400000000001</v>
      </c>
      <c r="AI23" s="1">
        <v>39.368600000000001</v>
      </c>
      <c r="AJ23" s="1"/>
      <c r="AK23" s="1">
        <f t="shared" si="9"/>
        <v>139</v>
      </c>
      <c r="AL23" s="1">
        <f t="shared" si="10"/>
        <v>50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3" t="s">
        <v>59</v>
      </c>
      <c r="B24" s="13" t="s">
        <v>38</v>
      </c>
      <c r="C24" s="13">
        <v>27.827999999999999</v>
      </c>
      <c r="D24" s="13">
        <v>25.16</v>
      </c>
      <c r="E24" s="13">
        <v>14.739000000000001</v>
      </c>
      <c r="F24" s="13">
        <v>34.731999999999999</v>
      </c>
      <c r="G24" s="14">
        <v>0</v>
      </c>
      <c r="H24" s="13">
        <v>35</v>
      </c>
      <c r="I24" s="13" t="s">
        <v>131</v>
      </c>
      <c r="J24" s="13"/>
      <c r="K24" s="13">
        <v>17.2</v>
      </c>
      <c r="L24" s="13">
        <f t="shared" si="3"/>
        <v>-2.4609999999999985</v>
      </c>
      <c r="M24" s="13"/>
      <c r="N24" s="13"/>
      <c r="O24" s="13">
        <v>25.405280000000008</v>
      </c>
      <c r="P24" s="13"/>
      <c r="Q24" s="13"/>
      <c r="R24" s="13">
        <v>0</v>
      </c>
      <c r="S24" s="13">
        <f t="shared" si="4"/>
        <v>2.9478</v>
      </c>
      <c r="T24" s="15"/>
      <c r="U24" s="5">
        <f t="shared" si="11"/>
        <v>0</v>
      </c>
      <c r="V24" s="5">
        <f t="shared" si="6"/>
        <v>0</v>
      </c>
      <c r="W24" s="5"/>
      <c r="X24" s="1">
        <f t="shared" si="7"/>
        <v>20.400732749847347</v>
      </c>
      <c r="Y24" s="13">
        <f t="shared" si="8"/>
        <v>20.400732749847347</v>
      </c>
      <c r="Z24" s="13">
        <v>4.7827999999999999</v>
      </c>
      <c r="AA24" s="13">
        <v>7.0242000000000004</v>
      </c>
      <c r="AB24" s="13">
        <v>5.6067999999999998</v>
      </c>
      <c r="AC24" s="13">
        <v>2.6564000000000001</v>
      </c>
      <c r="AD24" s="13">
        <v>4.1875999999999998</v>
      </c>
      <c r="AE24" s="13">
        <v>4.7523999999999997</v>
      </c>
      <c r="AF24" s="13">
        <v>1.1226</v>
      </c>
      <c r="AG24" s="13">
        <v>4.2080000000000002</v>
      </c>
      <c r="AH24" s="13">
        <v>8.168000000000001</v>
      </c>
      <c r="AI24" s="13">
        <v>2.4500000000000002</v>
      </c>
      <c r="AJ24" s="13"/>
      <c r="AK24" s="1">
        <f t="shared" si="9"/>
        <v>0</v>
      </c>
      <c r="AL24" s="1">
        <f t="shared" si="10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38</v>
      </c>
      <c r="C25" s="1">
        <v>236.143</v>
      </c>
      <c r="D25" s="1">
        <v>11.090999999999999</v>
      </c>
      <c r="E25" s="1">
        <v>198.553</v>
      </c>
      <c r="F25" s="1">
        <v>5.6689999999999996</v>
      </c>
      <c r="G25" s="7">
        <v>1</v>
      </c>
      <c r="H25" s="1">
        <v>30</v>
      </c>
      <c r="I25" s="1" t="s">
        <v>173</v>
      </c>
      <c r="J25" s="1"/>
      <c r="K25" s="1">
        <v>195.1</v>
      </c>
      <c r="L25" s="1">
        <f t="shared" si="3"/>
        <v>3.453000000000003</v>
      </c>
      <c r="M25" s="1"/>
      <c r="N25" s="1"/>
      <c r="O25" s="1">
        <v>209.71440000000001</v>
      </c>
      <c r="P25" s="1"/>
      <c r="Q25" s="1"/>
      <c r="R25" s="1">
        <v>59.47909999999996</v>
      </c>
      <c r="S25" s="1">
        <f t="shared" si="4"/>
        <v>39.710599999999999</v>
      </c>
      <c r="T25" s="5">
        <f t="shared" ref="T25:T31" si="12">11*S25-R25-Q25-P25-O25-F25</f>
        <v>161.95410000000001</v>
      </c>
      <c r="U25" s="5">
        <f t="shared" si="11"/>
        <v>161.95410000000001</v>
      </c>
      <c r="V25" s="5">
        <f t="shared" si="6"/>
        <v>161.95410000000001</v>
      </c>
      <c r="W25" s="5"/>
      <c r="X25" s="1">
        <f t="shared" si="7"/>
        <v>11</v>
      </c>
      <c r="Y25" s="1">
        <f t="shared" si="8"/>
        <v>6.9216405695204797</v>
      </c>
      <c r="Z25" s="1">
        <v>34.586599999999997</v>
      </c>
      <c r="AA25" s="1">
        <v>40.651400000000002</v>
      </c>
      <c r="AB25" s="1">
        <v>18.385000000000002</v>
      </c>
      <c r="AC25" s="1">
        <v>6.2451999999999996</v>
      </c>
      <c r="AD25" s="1">
        <v>23.9664</v>
      </c>
      <c r="AE25" s="1">
        <v>38.5518</v>
      </c>
      <c r="AF25" s="1">
        <v>15.353400000000001</v>
      </c>
      <c r="AG25" s="1">
        <v>1.7964</v>
      </c>
      <c r="AH25" s="1">
        <v>17.0366</v>
      </c>
      <c r="AI25" s="1">
        <v>5.8121999999999998</v>
      </c>
      <c r="AJ25" s="1"/>
      <c r="AK25" s="1">
        <f t="shared" si="9"/>
        <v>162</v>
      </c>
      <c r="AL25" s="1">
        <f t="shared" si="10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38</v>
      </c>
      <c r="C26" s="1">
        <v>424.15600000000001</v>
      </c>
      <c r="D26" s="1">
        <v>78.316000000000003</v>
      </c>
      <c r="E26" s="1">
        <v>449.54899999999998</v>
      </c>
      <c r="F26" s="1">
        <v>-9.2439999999999998</v>
      </c>
      <c r="G26" s="7">
        <v>1</v>
      </c>
      <c r="H26" s="1">
        <v>40</v>
      </c>
      <c r="I26" s="1" t="s">
        <v>173</v>
      </c>
      <c r="J26" s="1"/>
      <c r="K26" s="1">
        <v>414.7</v>
      </c>
      <c r="L26" s="1">
        <f t="shared" si="3"/>
        <v>34.84899999999999</v>
      </c>
      <c r="M26" s="1"/>
      <c r="N26" s="1"/>
      <c r="O26" s="1">
        <v>448.23163999999969</v>
      </c>
      <c r="P26" s="1"/>
      <c r="Q26" s="1"/>
      <c r="R26" s="1">
        <v>85.115880000000189</v>
      </c>
      <c r="S26" s="1">
        <f t="shared" si="4"/>
        <v>89.90979999999999</v>
      </c>
      <c r="T26" s="5">
        <f t="shared" si="12"/>
        <v>464.90427999999997</v>
      </c>
      <c r="U26" s="5">
        <f t="shared" si="11"/>
        <v>464.90427999999997</v>
      </c>
      <c r="V26" s="5">
        <f t="shared" si="6"/>
        <v>264.90427999999997</v>
      </c>
      <c r="W26" s="5">
        <v>200</v>
      </c>
      <c r="X26" s="1">
        <f t="shared" si="7"/>
        <v>11</v>
      </c>
      <c r="Y26" s="1">
        <f t="shared" si="8"/>
        <v>5.8292146128675624</v>
      </c>
      <c r="Z26" s="1">
        <v>73.314800000000005</v>
      </c>
      <c r="AA26" s="1">
        <v>79.865399999999994</v>
      </c>
      <c r="AB26" s="1">
        <v>55.552999999999997</v>
      </c>
      <c r="AC26" s="1">
        <v>47.498399999999997</v>
      </c>
      <c r="AD26" s="1">
        <v>64.634600000000006</v>
      </c>
      <c r="AE26" s="1">
        <v>63.067999999999998</v>
      </c>
      <c r="AF26" s="1">
        <v>57.167600000000007</v>
      </c>
      <c r="AG26" s="1">
        <v>56.127000000000002</v>
      </c>
      <c r="AH26" s="1">
        <v>46.794800000000002</v>
      </c>
      <c r="AI26" s="1">
        <v>46.891800000000003</v>
      </c>
      <c r="AJ26" s="1"/>
      <c r="AK26" s="1">
        <f t="shared" si="9"/>
        <v>265</v>
      </c>
      <c r="AL26" s="1">
        <f t="shared" si="10"/>
        <v>200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38</v>
      </c>
      <c r="C27" s="1">
        <v>473.51499999999999</v>
      </c>
      <c r="D27" s="1">
        <v>133.852</v>
      </c>
      <c r="E27" s="1">
        <v>532.851</v>
      </c>
      <c r="F27" s="1">
        <v>-5.1050000000000004</v>
      </c>
      <c r="G27" s="7">
        <v>1</v>
      </c>
      <c r="H27" s="1">
        <v>30</v>
      </c>
      <c r="I27" s="1" t="s">
        <v>173</v>
      </c>
      <c r="J27" s="1"/>
      <c r="K27" s="1">
        <v>522.53</v>
      </c>
      <c r="L27" s="1">
        <f t="shared" si="3"/>
        <v>10.321000000000026</v>
      </c>
      <c r="M27" s="1"/>
      <c r="N27" s="1"/>
      <c r="O27" s="1">
        <v>199.46140000000011</v>
      </c>
      <c r="P27" s="1"/>
      <c r="Q27" s="1"/>
      <c r="R27" s="1">
        <v>477.05939999999998</v>
      </c>
      <c r="S27" s="1">
        <f t="shared" si="4"/>
        <v>106.5702</v>
      </c>
      <c r="T27" s="5">
        <f t="shared" si="12"/>
        <v>500.85639999999978</v>
      </c>
      <c r="U27" s="5">
        <f t="shared" ref="U27:U28" si="13">T27+$U$1*S27</f>
        <v>570.12702999999976</v>
      </c>
      <c r="V27" s="5">
        <f t="shared" si="6"/>
        <v>270.12702999999976</v>
      </c>
      <c r="W27" s="5">
        <v>300</v>
      </c>
      <c r="X27" s="1">
        <f t="shared" si="7"/>
        <v>11.649999999999999</v>
      </c>
      <c r="Y27" s="1">
        <f t="shared" si="8"/>
        <v>6.3002208872649215</v>
      </c>
      <c r="Z27" s="1">
        <v>91.686000000000007</v>
      </c>
      <c r="AA27" s="1">
        <v>71.770200000000003</v>
      </c>
      <c r="AB27" s="1">
        <v>57.282799999999988</v>
      </c>
      <c r="AC27" s="1">
        <v>54.650399999999998</v>
      </c>
      <c r="AD27" s="1">
        <v>63.486400000000003</v>
      </c>
      <c r="AE27" s="1">
        <v>25.735800000000001</v>
      </c>
      <c r="AF27" s="1">
        <v>17.547999999999998</v>
      </c>
      <c r="AG27" s="1">
        <v>63.722400000000007</v>
      </c>
      <c r="AH27" s="1">
        <v>111.14619999999999</v>
      </c>
      <c r="AI27" s="1">
        <v>73.176400000000001</v>
      </c>
      <c r="AJ27" s="1"/>
      <c r="AK27" s="1">
        <f t="shared" si="9"/>
        <v>270</v>
      </c>
      <c r="AL27" s="1">
        <f t="shared" si="10"/>
        <v>300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38</v>
      </c>
      <c r="C28" s="1">
        <v>1335.414</v>
      </c>
      <c r="D28" s="1">
        <v>25.85</v>
      </c>
      <c r="E28" s="1">
        <v>886.13099999999997</v>
      </c>
      <c r="F28" s="1">
        <v>256.03199999999998</v>
      </c>
      <c r="G28" s="7">
        <v>1</v>
      </c>
      <c r="H28" s="1">
        <v>40</v>
      </c>
      <c r="I28" s="1" t="s">
        <v>173</v>
      </c>
      <c r="J28" s="1"/>
      <c r="K28" s="1">
        <v>920.52800000000002</v>
      </c>
      <c r="L28" s="1">
        <f t="shared" si="3"/>
        <v>-34.397000000000048</v>
      </c>
      <c r="M28" s="1"/>
      <c r="N28" s="1"/>
      <c r="O28" s="1">
        <v>662.78511999999989</v>
      </c>
      <c r="P28" s="1"/>
      <c r="Q28" s="1"/>
      <c r="R28" s="1">
        <v>784.03268000000025</v>
      </c>
      <c r="S28" s="1">
        <f t="shared" si="4"/>
        <v>177.22620000000001</v>
      </c>
      <c r="T28" s="5">
        <f t="shared" si="12"/>
        <v>246.63839999999988</v>
      </c>
      <c r="U28" s="5">
        <f t="shared" si="13"/>
        <v>361.83542999999986</v>
      </c>
      <c r="V28" s="5">
        <f t="shared" si="6"/>
        <v>161.83542999999986</v>
      </c>
      <c r="W28" s="5">
        <v>200</v>
      </c>
      <c r="X28" s="1">
        <f t="shared" si="7"/>
        <v>11.65</v>
      </c>
      <c r="Y28" s="1">
        <f t="shared" si="8"/>
        <v>9.6083412046300154</v>
      </c>
      <c r="Z28" s="1">
        <v>205.678</v>
      </c>
      <c r="AA28" s="1">
        <v>192.21559999999999</v>
      </c>
      <c r="AB28" s="1">
        <v>70.557199999999995</v>
      </c>
      <c r="AC28" s="1">
        <v>-0.49800000000000011</v>
      </c>
      <c r="AD28" s="1">
        <v>74.856799999999993</v>
      </c>
      <c r="AE28" s="1">
        <v>185.2568</v>
      </c>
      <c r="AF28" s="1">
        <v>162.31219999999999</v>
      </c>
      <c r="AG28" s="1">
        <v>71.218600000000009</v>
      </c>
      <c r="AH28" s="1">
        <v>218.88560000000001</v>
      </c>
      <c r="AI28" s="1">
        <v>80.849599999999995</v>
      </c>
      <c r="AJ28" s="1"/>
      <c r="AK28" s="1">
        <f t="shared" si="9"/>
        <v>162</v>
      </c>
      <c r="AL28" s="1">
        <f t="shared" si="10"/>
        <v>200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38</v>
      </c>
      <c r="C29" s="1">
        <v>43.122</v>
      </c>
      <c r="D29" s="1">
        <v>2.9860000000000002</v>
      </c>
      <c r="E29" s="1">
        <v>43.107999999999997</v>
      </c>
      <c r="F29" s="1">
        <v>1.4E-2</v>
      </c>
      <c r="G29" s="7">
        <v>1</v>
      </c>
      <c r="H29" s="1">
        <v>40</v>
      </c>
      <c r="I29" s="1" t="s">
        <v>173</v>
      </c>
      <c r="J29" s="1"/>
      <c r="K29" s="1">
        <v>45.9</v>
      </c>
      <c r="L29" s="1">
        <f t="shared" si="3"/>
        <v>-2.7920000000000016</v>
      </c>
      <c r="M29" s="1"/>
      <c r="N29" s="1"/>
      <c r="O29" s="1">
        <v>0</v>
      </c>
      <c r="P29" s="1"/>
      <c r="Q29" s="1"/>
      <c r="R29" s="1">
        <v>80</v>
      </c>
      <c r="S29" s="1">
        <f t="shared" si="4"/>
        <v>8.621599999999999</v>
      </c>
      <c r="T29" s="5">
        <f t="shared" si="12"/>
        <v>14.823599999999995</v>
      </c>
      <c r="U29" s="5">
        <f t="shared" si="11"/>
        <v>14.823599999999995</v>
      </c>
      <c r="V29" s="5">
        <f t="shared" si="6"/>
        <v>14.823599999999995</v>
      </c>
      <c r="W29" s="5"/>
      <c r="X29" s="1">
        <f t="shared" si="7"/>
        <v>11</v>
      </c>
      <c r="Y29" s="1">
        <f t="shared" si="8"/>
        <v>9.2806439639974023</v>
      </c>
      <c r="Z29" s="1">
        <v>7.7488000000000001</v>
      </c>
      <c r="AA29" s="1">
        <v>-0.42280000000000001</v>
      </c>
      <c r="AB29" s="1">
        <v>-0.42280000000000001</v>
      </c>
      <c r="AC29" s="1">
        <v>0</v>
      </c>
      <c r="AD29" s="1">
        <v>0</v>
      </c>
      <c r="AE29" s="1">
        <v>0.64379999999999993</v>
      </c>
      <c r="AF29" s="1">
        <v>5.3945999999999996</v>
      </c>
      <c r="AG29" s="1">
        <v>16.281400000000001</v>
      </c>
      <c r="AH29" s="1">
        <v>15.133800000000001</v>
      </c>
      <c r="AI29" s="1">
        <v>11.8508</v>
      </c>
      <c r="AJ29" s="1"/>
      <c r="AK29" s="1">
        <f t="shared" si="9"/>
        <v>15</v>
      </c>
      <c r="AL29" s="1">
        <f t="shared" si="10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38</v>
      </c>
      <c r="C30" s="1">
        <v>53.817999999999998</v>
      </c>
      <c r="D30" s="1">
        <v>37.19</v>
      </c>
      <c r="E30" s="1">
        <v>59.738</v>
      </c>
      <c r="F30" s="1">
        <v>17.937999999999999</v>
      </c>
      <c r="G30" s="7">
        <v>1</v>
      </c>
      <c r="H30" s="1">
        <v>30</v>
      </c>
      <c r="I30" s="1" t="s">
        <v>173</v>
      </c>
      <c r="J30" s="1"/>
      <c r="K30" s="1">
        <v>60.5</v>
      </c>
      <c r="L30" s="1">
        <f t="shared" si="3"/>
        <v>-0.76200000000000045</v>
      </c>
      <c r="M30" s="1"/>
      <c r="N30" s="1"/>
      <c r="O30" s="1">
        <v>0</v>
      </c>
      <c r="P30" s="1"/>
      <c r="Q30" s="1"/>
      <c r="R30" s="1">
        <v>0</v>
      </c>
      <c r="S30" s="1">
        <f t="shared" si="4"/>
        <v>11.9476</v>
      </c>
      <c r="T30" s="5">
        <f>7*S30-R30-Q30-P30-O30-F30</f>
        <v>65.6952</v>
      </c>
      <c r="U30" s="5">
        <f t="shared" si="11"/>
        <v>65.6952</v>
      </c>
      <c r="V30" s="5">
        <f t="shared" si="6"/>
        <v>65.6952</v>
      </c>
      <c r="W30" s="5"/>
      <c r="X30" s="1">
        <f t="shared" si="7"/>
        <v>7.0000000000000009</v>
      </c>
      <c r="Y30" s="1">
        <f t="shared" si="8"/>
        <v>1.5013894003816666</v>
      </c>
      <c r="Z30" s="1">
        <v>7.6019999999999994</v>
      </c>
      <c r="AA30" s="1">
        <v>9.0299999999999994</v>
      </c>
      <c r="AB30" s="1">
        <v>13.668799999999999</v>
      </c>
      <c r="AC30" s="1">
        <v>10.4878</v>
      </c>
      <c r="AD30" s="1">
        <v>6.930200000000001</v>
      </c>
      <c r="AE30" s="1">
        <v>4.702</v>
      </c>
      <c r="AF30" s="1">
        <v>11.2216</v>
      </c>
      <c r="AG30" s="1">
        <v>18.107199999999999</v>
      </c>
      <c r="AH30" s="1">
        <v>2.2928000000000002</v>
      </c>
      <c r="AI30" s="1">
        <v>11.4916</v>
      </c>
      <c r="AJ30" s="1"/>
      <c r="AK30" s="1">
        <f t="shared" si="9"/>
        <v>66</v>
      </c>
      <c r="AL30" s="1">
        <f t="shared" si="10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38</v>
      </c>
      <c r="C31" s="1">
        <v>241.678</v>
      </c>
      <c r="D31" s="1">
        <v>6.4139999999999997</v>
      </c>
      <c r="E31" s="1">
        <v>78.543000000000006</v>
      </c>
      <c r="F31" s="1">
        <v>155.9</v>
      </c>
      <c r="G31" s="7">
        <v>1</v>
      </c>
      <c r="H31" s="1">
        <v>50</v>
      </c>
      <c r="I31" s="1" t="s">
        <v>173</v>
      </c>
      <c r="J31" s="1"/>
      <c r="K31" s="1">
        <v>68.599999999999994</v>
      </c>
      <c r="L31" s="1">
        <f t="shared" si="3"/>
        <v>9.9430000000000121</v>
      </c>
      <c r="M31" s="1"/>
      <c r="N31" s="1"/>
      <c r="O31" s="1">
        <v>0</v>
      </c>
      <c r="P31" s="1"/>
      <c r="Q31" s="1"/>
      <c r="R31" s="1">
        <v>0</v>
      </c>
      <c r="S31" s="1">
        <f t="shared" si="4"/>
        <v>15.708600000000001</v>
      </c>
      <c r="T31" s="5">
        <f t="shared" si="12"/>
        <v>16.894599999999997</v>
      </c>
      <c r="U31" s="5">
        <f t="shared" si="11"/>
        <v>16.894599999999997</v>
      </c>
      <c r="V31" s="5">
        <f t="shared" si="6"/>
        <v>16.894599999999997</v>
      </c>
      <c r="W31" s="5"/>
      <c r="X31" s="1">
        <f t="shared" si="7"/>
        <v>11</v>
      </c>
      <c r="Y31" s="1">
        <f t="shared" si="8"/>
        <v>9.9244999554384226</v>
      </c>
      <c r="Z31" s="1">
        <v>12.254200000000001</v>
      </c>
      <c r="AA31" s="1">
        <v>11.743399999999999</v>
      </c>
      <c r="AB31" s="1">
        <v>12.266</v>
      </c>
      <c r="AC31" s="1">
        <v>12.967599999999999</v>
      </c>
      <c r="AD31" s="1">
        <v>22.8354</v>
      </c>
      <c r="AE31" s="1">
        <v>18.087</v>
      </c>
      <c r="AF31" s="1">
        <v>8.8298000000000005</v>
      </c>
      <c r="AG31" s="1">
        <v>14.561199999999999</v>
      </c>
      <c r="AH31" s="1">
        <v>13.348000000000001</v>
      </c>
      <c r="AI31" s="1">
        <v>11</v>
      </c>
      <c r="AJ31" s="1"/>
      <c r="AK31" s="1">
        <f t="shared" si="9"/>
        <v>17</v>
      </c>
      <c r="AL31" s="1">
        <f t="shared" si="10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3" t="s">
        <v>67</v>
      </c>
      <c r="B32" s="13" t="s">
        <v>38</v>
      </c>
      <c r="C32" s="13">
        <v>205.05699999999999</v>
      </c>
      <c r="D32" s="13">
        <v>5.5030000000000001</v>
      </c>
      <c r="E32" s="13">
        <v>45.405999999999999</v>
      </c>
      <c r="F32" s="13">
        <v>154.245</v>
      </c>
      <c r="G32" s="14">
        <v>0</v>
      </c>
      <c r="H32" s="13">
        <v>50</v>
      </c>
      <c r="I32" s="13" t="s">
        <v>131</v>
      </c>
      <c r="J32" s="13"/>
      <c r="K32" s="13">
        <v>42.2</v>
      </c>
      <c r="L32" s="13">
        <f t="shared" si="3"/>
        <v>3.205999999999996</v>
      </c>
      <c r="M32" s="13"/>
      <c r="N32" s="13"/>
      <c r="O32" s="13">
        <v>0</v>
      </c>
      <c r="P32" s="13"/>
      <c r="Q32" s="13"/>
      <c r="R32" s="13">
        <v>0</v>
      </c>
      <c r="S32" s="13">
        <f t="shared" si="4"/>
        <v>9.0811999999999991</v>
      </c>
      <c r="T32" s="15"/>
      <c r="U32" s="5">
        <f t="shared" si="11"/>
        <v>0</v>
      </c>
      <c r="V32" s="5">
        <f t="shared" si="6"/>
        <v>0</v>
      </c>
      <c r="W32" s="5"/>
      <c r="X32" s="1">
        <f t="shared" si="7"/>
        <v>16.985090076201384</v>
      </c>
      <c r="Y32" s="13">
        <f t="shared" si="8"/>
        <v>16.985090076201384</v>
      </c>
      <c r="Z32" s="13">
        <v>5.2960000000000003</v>
      </c>
      <c r="AA32" s="13">
        <v>9.1239999999999988</v>
      </c>
      <c r="AB32" s="13">
        <v>9.2742000000000004</v>
      </c>
      <c r="AC32" s="13">
        <v>7.9944000000000006</v>
      </c>
      <c r="AD32" s="13">
        <v>17.6374</v>
      </c>
      <c r="AE32" s="13">
        <v>15.8256</v>
      </c>
      <c r="AF32" s="13">
        <v>2.5464000000000002</v>
      </c>
      <c r="AG32" s="13">
        <v>3.4506000000000001</v>
      </c>
      <c r="AH32" s="13">
        <v>11.9902</v>
      </c>
      <c r="AI32" s="13">
        <v>6.7331999999999992</v>
      </c>
      <c r="AJ32" s="13"/>
      <c r="AK32" s="1">
        <f t="shared" si="9"/>
        <v>0</v>
      </c>
      <c r="AL32" s="1">
        <f t="shared" si="10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38</v>
      </c>
      <c r="C33" s="1">
        <v>146.05500000000001</v>
      </c>
      <c r="D33" s="1">
        <v>6.444</v>
      </c>
      <c r="E33" s="1">
        <v>49.447000000000003</v>
      </c>
      <c r="F33" s="1">
        <v>75.605000000000004</v>
      </c>
      <c r="G33" s="7">
        <v>1</v>
      </c>
      <c r="H33" s="1">
        <v>50</v>
      </c>
      <c r="I33" s="1" t="s">
        <v>173</v>
      </c>
      <c r="J33" s="1"/>
      <c r="K33" s="1">
        <v>42.5</v>
      </c>
      <c r="L33" s="1">
        <f t="shared" si="3"/>
        <v>6.9470000000000027</v>
      </c>
      <c r="M33" s="1"/>
      <c r="N33" s="1"/>
      <c r="O33" s="1">
        <v>0</v>
      </c>
      <c r="P33" s="1"/>
      <c r="Q33" s="1"/>
      <c r="R33" s="1">
        <v>0</v>
      </c>
      <c r="S33" s="1">
        <f t="shared" si="4"/>
        <v>9.8894000000000002</v>
      </c>
      <c r="T33" s="5">
        <f t="shared" ref="T33:T43" si="14">11*S33-R33-Q33-P33-O33-F33</f>
        <v>33.178399999999996</v>
      </c>
      <c r="U33" s="5">
        <f t="shared" si="11"/>
        <v>33.178399999999996</v>
      </c>
      <c r="V33" s="5">
        <f t="shared" si="6"/>
        <v>33.178399999999996</v>
      </c>
      <c r="W33" s="5"/>
      <c r="X33" s="1">
        <f t="shared" si="7"/>
        <v>11</v>
      </c>
      <c r="Y33" s="1">
        <f t="shared" si="8"/>
        <v>7.6450543005642411</v>
      </c>
      <c r="Z33" s="1">
        <v>6.7754000000000003</v>
      </c>
      <c r="AA33" s="1">
        <v>9.1257999999999999</v>
      </c>
      <c r="AB33" s="1">
        <v>9.4567999999999994</v>
      </c>
      <c r="AC33" s="1">
        <v>7.2782</v>
      </c>
      <c r="AD33" s="1">
        <v>13.0936</v>
      </c>
      <c r="AE33" s="1">
        <v>11.2852</v>
      </c>
      <c r="AF33" s="1">
        <v>0.90340000000000009</v>
      </c>
      <c r="AG33" s="1">
        <v>1.6257999999999999</v>
      </c>
      <c r="AH33" s="1">
        <v>9.5920000000000005</v>
      </c>
      <c r="AI33" s="1">
        <v>4.7031999999999998</v>
      </c>
      <c r="AJ33" s="1"/>
      <c r="AK33" s="1">
        <f t="shared" si="9"/>
        <v>33</v>
      </c>
      <c r="AL33" s="1">
        <f t="shared" si="10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42</v>
      </c>
      <c r="C34" s="1">
        <v>1647</v>
      </c>
      <c r="D34" s="1">
        <v>750</v>
      </c>
      <c r="E34" s="1">
        <v>1191</v>
      </c>
      <c r="F34" s="1">
        <v>1039</v>
      </c>
      <c r="G34" s="7">
        <v>0.4</v>
      </c>
      <c r="H34" s="1">
        <v>45</v>
      </c>
      <c r="I34" s="1" t="s">
        <v>173</v>
      </c>
      <c r="J34" s="1"/>
      <c r="K34" s="1">
        <v>1216</v>
      </c>
      <c r="L34" s="1">
        <f t="shared" si="3"/>
        <v>-25</v>
      </c>
      <c r="M34" s="1"/>
      <c r="N34" s="1"/>
      <c r="O34" s="1">
        <v>374.60799999999961</v>
      </c>
      <c r="P34" s="1"/>
      <c r="Q34" s="1"/>
      <c r="R34" s="1">
        <v>353.24800000000027</v>
      </c>
      <c r="S34" s="1">
        <f t="shared" si="4"/>
        <v>238.2</v>
      </c>
      <c r="T34" s="5">
        <f t="shared" si="14"/>
        <v>853.3439999999996</v>
      </c>
      <c r="U34" s="5">
        <f>T34+$U$1*S34</f>
        <v>1008.1739999999995</v>
      </c>
      <c r="V34" s="5">
        <f t="shared" si="6"/>
        <v>508.17399999999952</v>
      </c>
      <c r="W34" s="5">
        <v>500</v>
      </c>
      <c r="X34" s="1">
        <f t="shared" si="7"/>
        <v>11.65</v>
      </c>
      <c r="Y34" s="1">
        <f t="shared" si="8"/>
        <v>7.4175314861460961</v>
      </c>
      <c r="Z34" s="1">
        <v>222</v>
      </c>
      <c r="AA34" s="1">
        <v>266.76</v>
      </c>
      <c r="AB34" s="1">
        <v>234.56</v>
      </c>
      <c r="AC34" s="1">
        <v>209.4</v>
      </c>
      <c r="AD34" s="1">
        <v>257.60000000000002</v>
      </c>
      <c r="AE34" s="1">
        <v>219.4</v>
      </c>
      <c r="AF34" s="1">
        <v>128</v>
      </c>
      <c r="AG34" s="1">
        <v>182.4</v>
      </c>
      <c r="AH34" s="1">
        <v>197.2</v>
      </c>
      <c r="AI34" s="1">
        <v>91.4</v>
      </c>
      <c r="AJ34" s="1"/>
      <c r="AK34" s="1">
        <f t="shared" si="9"/>
        <v>203</v>
      </c>
      <c r="AL34" s="1">
        <f t="shared" si="10"/>
        <v>200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70</v>
      </c>
      <c r="B35" s="1" t="s">
        <v>42</v>
      </c>
      <c r="C35" s="1">
        <v>496</v>
      </c>
      <c r="D35" s="1">
        <v>23</v>
      </c>
      <c r="E35" s="1">
        <v>223</v>
      </c>
      <c r="F35" s="1">
        <v>289</v>
      </c>
      <c r="G35" s="7">
        <v>0.45</v>
      </c>
      <c r="H35" s="1">
        <v>50</v>
      </c>
      <c r="I35" s="1" t="s">
        <v>173</v>
      </c>
      <c r="J35" s="1"/>
      <c r="K35" s="1">
        <v>221</v>
      </c>
      <c r="L35" s="1">
        <f t="shared" si="3"/>
        <v>2</v>
      </c>
      <c r="M35" s="1"/>
      <c r="N35" s="1"/>
      <c r="O35" s="1">
        <v>0</v>
      </c>
      <c r="P35" s="1"/>
      <c r="Q35" s="1"/>
      <c r="R35" s="1">
        <v>0</v>
      </c>
      <c r="S35" s="1">
        <f t="shared" si="4"/>
        <v>44.6</v>
      </c>
      <c r="T35" s="5">
        <f t="shared" si="14"/>
        <v>201.60000000000002</v>
      </c>
      <c r="U35" s="5">
        <f t="shared" si="11"/>
        <v>201.60000000000002</v>
      </c>
      <c r="V35" s="5">
        <f t="shared" si="6"/>
        <v>101.60000000000002</v>
      </c>
      <c r="W35" s="5">
        <v>100</v>
      </c>
      <c r="X35" s="1">
        <f t="shared" si="7"/>
        <v>11</v>
      </c>
      <c r="Y35" s="1">
        <f t="shared" si="8"/>
        <v>6.47982062780269</v>
      </c>
      <c r="Z35" s="1">
        <v>24</v>
      </c>
      <c r="AA35" s="1">
        <v>40.4</v>
      </c>
      <c r="AB35" s="1">
        <v>47.8</v>
      </c>
      <c r="AC35" s="1">
        <v>42.4</v>
      </c>
      <c r="AD35" s="1">
        <v>58.6</v>
      </c>
      <c r="AE35" s="1">
        <v>62.8</v>
      </c>
      <c r="AF35" s="1">
        <v>53</v>
      </c>
      <c r="AG35" s="1">
        <v>51.6</v>
      </c>
      <c r="AH35" s="1">
        <v>32.6</v>
      </c>
      <c r="AI35" s="1">
        <v>47</v>
      </c>
      <c r="AJ35" s="1"/>
      <c r="AK35" s="1">
        <f t="shared" si="9"/>
        <v>46</v>
      </c>
      <c r="AL35" s="1">
        <f t="shared" si="10"/>
        <v>45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42</v>
      </c>
      <c r="C36" s="1">
        <v>476</v>
      </c>
      <c r="D36" s="1">
        <v>15</v>
      </c>
      <c r="E36" s="1">
        <v>352</v>
      </c>
      <c r="F36" s="1">
        <v>106</v>
      </c>
      <c r="G36" s="7">
        <v>0.4</v>
      </c>
      <c r="H36" s="1">
        <v>45</v>
      </c>
      <c r="I36" s="1" t="s">
        <v>173</v>
      </c>
      <c r="J36" s="1"/>
      <c r="K36" s="1">
        <v>371</v>
      </c>
      <c r="L36" s="1">
        <f t="shared" si="3"/>
        <v>-19</v>
      </c>
      <c r="M36" s="1"/>
      <c r="N36" s="1"/>
      <c r="O36" s="1">
        <v>407.31999999999988</v>
      </c>
      <c r="P36" s="1"/>
      <c r="Q36" s="1"/>
      <c r="R36" s="1">
        <v>67.460000000000136</v>
      </c>
      <c r="S36" s="1">
        <f t="shared" si="4"/>
        <v>70.400000000000006</v>
      </c>
      <c r="T36" s="5">
        <f t="shared" si="14"/>
        <v>193.62000000000006</v>
      </c>
      <c r="U36" s="5">
        <f t="shared" si="11"/>
        <v>193.62000000000006</v>
      </c>
      <c r="V36" s="5">
        <f t="shared" si="6"/>
        <v>93.620000000000061</v>
      </c>
      <c r="W36" s="5">
        <v>100</v>
      </c>
      <c r="X36" s="1">
        <f t="shared" si="7"/>
        <v>11</v>
      </c>
      <c r="Y36" s="1">
        <f t="shared" si="8"/>
        <v>8.2497159090909093</v>
      </c>
      <c r="Z36" s="1">
        <v>69.8</v>
      </c>
      <c r="AA36" s="1">
        <v>86.6</v>
      </c>
      <c r="AB36" s="1">
        <v>51.2</v>
      </c>
      <c r="AC36" s="1">
        <v>34.200000000000003</v>
      </c>
      <c r="AD36" s="1">
        <v>69.8</v>
      </c>
      <c r="AE36" s="1">
        <v>72.599999999999994</v>
      </c>
      <c r="AF36" s="1">
        <v>49.8</v>
      </c>
      <c r="AG36" s="1">
        <v>42.2</v>
      </c>
      <c r="AH36" s="1">
        <v>54.6</v>
      </c>
      <c r="AI36" s="1">
        <v>24.8</v>
      </c>
      <c r="AJ36" s="1"/>
      <c r="AK36" s="1">
        <f t="shared" si="9"/>
        <v>37</v>
      </c>
      <c r="AL36" s="1">
        <f t="shared" si="10"/>
        <v>40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72</v>
      </c>
      <c r="B37" s="1" t="s">
        <v>42</v>
      </c>
      <c r="C37" s="1">
        <v>128</v>
      </c>
      <c r="D37" s="1">
        <v>1</v>
      </c>
      <c r="E37" s="1">
        <v>77</v>
      </c>
      <c r="F37" s="1">
        <v>46</v>
      </c>
      <c r="G37" s="7">
        <v>0.4</v>
      </c>
      <c r="H37" s="1">
        <v>40</v>
      </c>
      <c r="I37" s="1" t="s">
        <v>173</v>
      </c>
      <c r="J37" s="1"/>
      <c r="K37" s="1">
        <v>79</v>
      </c>
      <c r="L37" s="1">
        <f t="shared" si="3"/>
        <v>-2</v>
      </c>
      <c r="M37" s="1"/>
      <c r="N37" s="1"/>
      <c r="O37" s="1">
        <v>0</v>
      </c>
      <c r="P37" s="1"/>
      <c r="Q37" s="1"/>
      <c r="R37" s="1">
        <v>6</v>
      </c>
      <c r="S37" s="1">
        <f t="shared" si="4"/>
        <v>15.4</v>
      </c>
      <c r="T37" s="5">
        <f>9*S37-R37-Q37-P37-O37-F37</f>
        <v>86.6</v>
      </c>
      <c r="U37" s="5">
        <f t="shared" si="11"/>
        <v>86.6</v>
      </c>
      <c r="V37" s="5">
        <f t="shared" si="6"/>
        <v>86.6</v>
      </c>
      <c r="W37" s="5"/>
      <c r="X37" s="1">
        <f t="shared" si="7"/>
        <v>9</v>
      </c>
      <c r="Y37" s="1">
        <f t="shared" si="8"/>
        <v>3.3766233766233764</v>
      </c>
      <c r="Z37" s="1">
        <v>8.1999999999999993</v>
      </c>
      <c r="AA37" s="1">
        <v>4.5999999999999996</v>
      </c>
      <c r="AB37" s="1">
        <v>2.4</v>
      </c>
      <c r="AC37" s="1">
        <v>0.6</v>
      </c>
      <c r="AD37" s="1">
        <v>9.8000000000000007</v>
      </c>
      <c r="AE37" s="1">
        <v>11.2</v>
      </c>
      <c r="AF37" s="1">
        <v>12.6</v>
      </c>
      <c r="AG37" s="1">
        <v>11.2</v>
      </c>
      <c r="AH37" s="1">
        <v>2.8</v>
      </c>
      <c r="AI37" s="1">
        <v>3.2</v>
      </c>
      <c r="AJ37" s="1"/>
      <c r="AK37" s="1">
        <f t="shared" si="9"/>
        <v>35</v>
      </c>
      <c r="AL37" s="1">
        <f t="shared" si="10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73</v>
      </c>
      <c r="B38" s="1" t="s">
        <v>38</v>
      </c>
      <c r="C38" s="1">
        <v>59.265000000000001</v>
      </c>
      <c r="D38" s="1"/>
      <c r="E38" s="1">
        <v>11.484</v>
      </c>
      <c r="F38" s="1">
        <v>40.569000000000003</v>
      </c>
      <c r="G38" s="7">
        <v>1</v>
      </c>
      <c r="H38" s="1">
        <v>45</v>
      </c>
      <c r="I38" s="1" t="s">
        <v>173</v>
      </c>
      <c r="J38" s="1"/>
      <c r="K38" s="1">
        <v>14.6</v>
      </c>
      <c r="L38" s="1">
        <f t="shared" ref="L38:L69" si="15">E38-K38</f>
        <v>-3.1159999999999997</v>
      </c>
      <c r="M38" s="1"/>
      <c r="N38" s="1"/>
      <c r="O38" s="1">
        <v>0</v>
      </c>
      <c r="P38" s="1"/>
      <c r="Q38" s="1"/>
      <c r="R38" s="1">
        <v>0</v>
      </c>
      <c r="S38" s="1">
        <f t="shared" si="4"/>
        <v>2.2968000000000002</v>
      </c>
      <c r="T38" s="5"/>
      <c r="U38" s="5">
        <f t="shared" si="11"/>
        <v>0</v>
      </c>
      <c r="V38" s="5">
        <f t="shared" si="6"/>
        <v>0</v>
      </c>
      <c r="W38" s="5"/>
      <c r="X38" s="1">
        <f t="shared" si="7"/>
        <v>17.663270637408569</v>
      </c>
      <c r="Y38" s="1">
        <f t="shared" si="8"/>
        <v>17.663270637408569</v>
      </c>
      <c r="Z38" s="1">
        <v>2.3052000000000001</v>
      </c>
      <c r="AA38" s="1">
        <v>2.8776000000000002</v>
      </c>
      <c r="AB38" s="1">
        <v>1.722</v>
      </c>
      <c r="AC38" s="1">
        <v>0</v>
      </c>
      <c r="AD38" s="1">
        <v>1.1624000000000001</v>
      </c>
      <c r="AE38" s="1">
        <v>4.9401999999999999</v>
      </c>
      <c r="AF38" s="1">
        <v>3.7778</v>
      </c>
      <c r="AG38" s="1">
        <v>0</v>
      </c>
      <c r="AH38" s="1">
        <v>1.9923999999999999</v>
      </c>
      <c r="AI38" s="1">
        <v>5.5179999999999998</v>
      </c>
      <c r="AJ38" s="16" t="s">
        <v>48</v>
      </c>
      <c r="AK38" s="1">
        <f t="shared" si="9"/>
        <v>0</v>
      </c>
      <c r="AL38" s="1">
        <f t="shared" si="10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74</v>
      </c>
      <c r="B39" s="1" t="s">
        <v>42</v>
      </c>
      <c r="C39" s="1">
        <v>764</v>
      </c>
      <c r="D39" s="1">
        <v>52</v>
      </c>
      <c r="E39" s="1">
        <v>327</v>
      </c>
      <c r="F39" s="1">
        <v>432</v>
      </c>
      <c r="G39" s="7">
        <v>0.1</v>
      </c>
      <c r="H39" s="1">
        <v>731</v>
      </c>
      <c r="I39" s="1" t="s">
        <v>173</v>
      </c>
      <c r="J39" s="1"/>
      <c r="K39" s="1">
        <v>245</v>
      </c>
      <c r="L39" s="1">
        <f t="shared" si="15"/>
        <v>82</v>
      </c>
      <c r="M39" s="1"/>
      <c r="N39" s="1"/>
      <c r="O39" s="1">
        <v>0</v>
      </c>
      <c r="P39" s="1"/>
      <c r="Q39" s="1"/>
      <c r="R39" s="1">
        <v>0</v>
      </c>
      <c r="S39" s="1">
        <f t="shared" si="4"/>
        <v>65.400000000000006</v>
      </c>
      <c r="T39" s="5">
        <f t="shared" si="14"/>
        <v>287.40000000000009</v>
      </c>
      <c r="U39" s="5">
        <f t="shared" si="11"/>
        <v>287.40000000000009</v>
      </c>
      <c r="V39" s="5">
        <f t="shared" si="6"/>
        <v>187.40000000000009</v>
      </c>
      <c r="W39" s="5">
        <v>100</v>
      </c>
      <c r="X39" s="1">
        <f t="shared" si="7"/>
        <v>11</v>
      </c>
      <c r="Y39" s="1">
        <f t="shared" si="8"/>
        <v>6.6055045871559628</v>
      </c>
      <c r="Z39" s="1">
        <v>37.6</v>
      </c>
      <c r="AA39" s="1">
        <v>47</v>
      </c>
      <c r="AB39" s="1">
        <v>61</v>
      </c>
      <c r="AC39" s="1">
        <v>70.8</v>
      </c>
      <c r="AD39" s="1">
        <v>84.6</v>
      </c>
      <c r="AE39" s="1">
        <v>73.8</v>
      </c>
      <c r="AF39" s="1">
        <v>21.4</v>
      </c>
      <c r="AG39" s="1">
        <v>7.4</v>
      </c>
      <c r="AH39" s="1">
        <v>77.599999999999994</v>
      </c>
      <c r="AI39" s="1">
        <v>32.4</v>
      </c>
      <c r="AJ39" s="1"/>
      <c r="AK39" s="1">
        <f t="shared" si="9"/>
        <v>19</v>
      </c>
      <c r="AL39" s="1">
        <f t="shared" si="10"/>
        <v>10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75</v>
      </c>
      <c r="B40" s="1" t="s">
        <v>42</v>
      </c>
      <c r="C40" s="1">
        <v>220</v>
      </c>
      <c r="D40" s="1">
        <v>177</v>
      </c>
      <c r="E40" s="1">
        <v>240</v>
      </c>
      <c r="F40" s="1">
        <v>130</v>
      </c>
      <c r="G40" s="7">
        <v>0.35</v>
      </c>
      <c r="H40" s="1">
        <v>40</v>
      </c>
      <c r="I40" s="1" t="s">
        <v>173</v>
      </c>
      <c r="J40" s="1"/>
      <c r="K40" s="1">
        <v>270</v>
      </c>
      <c r="L40" s="1">
        <f t="shared" si="15"/>
        <v>-30</v>
      </c>
      <c r="M40" s="1"/>
      <c r="N40" s="1"/>
      <c r="O40" s="1">
        <v>0</v>
      </c>
      <c r="P40" s="1"/>
      <c r="Q40" s="1"/>
      <c r="R40" s="1">
        <v>80.599999999999994</v>
      </c>
      <c r="S40" s="1">
        <f t="shared" si="4"/>
        <v>48</v>
      </c>
      <c r="T40" s="5">
        <f>10*S40-R40-Q40-P40-O40-F40</f>
        <v>269.39999999999998</v>
      </c>
      <c r="U40" s="5">
        <f t="shared" si="11"/>
        <v>269.39999999999998</v>
      </c>
      <c r="V40" s="5">
        <f t="shared" si="6"/>
        <v>169.39999999999998</v>
      </c>
      <c r="W40" s="5">
        <v>100</v>
      </c>
      <c r="X40" s="1">
        <f t="shared" si="7"/>
        <v>10</v>
      </c>
      <c r="Y40" s="1">
        <f t="shared" si="8"/>
        <v>4.3875000000000002</v>
      </c>
      <c r="Z40" s="1">
        <v>28</v>
      </c>
      <c r="AA40" s="1">
        <v>33.799999999999997</v>
      </c>
      <c r="AB40" s="1">
        <v>35.200000000000003</v>
      </c>
      <c r="AC40" s="1">
        <v>30.4</v>
      </c>
      <c r="AD40" s="1">
        <v>34</v>
      </c>
      <c r="AE40" s="1">
        <v>27.4</v>
      </c>
      <c r="AF40" s="1">
        <v>7.6</v>
      </c>
      <c r="AG40" s="1">
        <v>13.6</v>
      </c>
      <c r="AH40" s="1">
        <v>27.2</v>
      </c>
      <c r="AI40" s="1">
        <v>18.2</v>
      </c>
      <c r="AJ40" s="1"/>
      <c r="AK40" s="1">
        <f t="shared" si="9"/>
        <v>59</v>
      </c>
      <c r="AL40" s="1">
        <f t="shared" si="10"/>
        <v>35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76</v>
      </c>
      <c r="B41" s="1" t="s">
        <v>38</v>
      </c>
      <c r="C41" s="1">
        <v>153.32499999999999</v>
      </c>
      <c r="D41" s="1">
        <v>7.2869999999999999</v>
      </c>
      <c r="E41" s="1">
        <v>106.548</v>
      </c>
      <c r="F41" s="1">
        <v>21.8</v>
      </c>
      <c r="G41" s="7">
        <v>1</v>
      </c>
      <c r="H41" s="1">
        <v>40</v>
      </c>
      <c r="I41" s="1" t="s">
        <v>173</v>
      </c>
      <c r="J41" s="1"/>
      <c r="K41" s="1">
        <v>108.8</v>
      </c>
      <c r="L41" s="1">
        <f t="shared" si="15"/>
        <v>-2.2519999999999953</v>
      </c>
      <c r="M41" s="1"/>
      <c r="N41" s="1"/>
      <c r="O41" s="1">
        <v>153.0966</v>
      </c>
      <c r="P41" s="1"/>
      <c r="Q41" s="1"/>
      <c r="R41" s="1">
        <v>0</v>
      </c>
      <c r="S41" s="1">
        <f t="shared" si="4"/>
        <v>21.3096</v>
      </c>
      <c r="T41" s="5">
        <f t="shared" si="14"/>
        <v>59.509</v>
      </c>
      <c r="U41" s="5">
        <f t="shared" si="11"/>
        <v>59.509</v>
      </c>
      <c r="V41" s="5">
        <f t="shared" si="6"/>
        <v>59.509</v>
      </c>
      <c r="W41" s="5"/>
      <c r="X41" s="1">
        <f t="shared" si="7"/>
        <v>11</v>
      </c>
      <c r="Y41" s="1">
        <f t="shared" si="8"/>
        <v>8.2074088673649435</v>
      </c>
      <c r="Z41" s="1">
        <v>20.192399999999999</v>
      </c>
      <c r="AA41" s="1">
        <v>27.465599999999998</v>
      </c>
      <c r="AB41" s="1">
        <v>16.9666</v>
      </c>
      <c r="AC41" s="1">
        <v>11.3088</v>
      </c>
      <c r="AD41" s="1">
        <v>21.493200000000002</v>
      </c>
      <c r="AE41" s="1">
        <v>20.497599999999998</v>
      </c>
      <c r="AF41" s="1">
        <v>6.5640000000000001</v>
      </c>
      <c r="AG41" s="1">
        <v>8.2590000000000003</v>
      </c>
      <c r="AH41" s="1">
        <v>17.3644</v>
      </c>
      <c r="AI41" s="1">
        <v>10.4474</v>
      </c>
      <c r="AJ41" s="1"/>
      <c r="AK41" s="1">
        <f t="shared" si="9"/>
        <v>60</v>
      </c>
      <c r="AL41" s="1">
        <f t="shared" si="10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77</v>
      </c>
      <c r="B42" s="1" t="s">
        <v>42</v>
      </c>
      <c r="C42" s="1">
        <v>82</v>
      </c>
      <c r="D42" s="1">
        <v>6</v>
      </c>
      <c r="E42" s="1">
        <v>77</v>
      </c>
      <c r="F42" s="1">
        <v>1</v>
      </c>
      <c r="G42" s="7">
        <v>0.4</v>
      </c>
      <c r="H42" s="1">
        <v>40</v>
      </c>
      <c r="I42" s="1" t="s">
        <v>173</v>
      </c>
      <c r="J42" s="1"/>
      <c r="K42" s="1">
        <v>157</v>
      </c>
      <c r="L42" s="1">
        <f t="shared" si="15"/>
        <v>-80</v>
      </c>
      <c r="M42" s="1"/>
      <c r="N42" s="1"/>
      <c r="O42" s="1">
        <v>164.6</v>
      </c>
      <c r="P42" s="1"/>
      <c r="Q42" s="1"/>
      <c r="R42" s="1">
        <v>120.88</v>
      </c>
      <c r="S42" s="1">
        <f t="shared" si="4"/>
        <v>15.4</v>
      </c>
      <c r="T42" s="5"/>
      <c r="U42" s="5">
        <f t="shared" si="11"/>
        <v>0</v>
      </c>
      <c r="V42" s="5">
        <f t="shared" si="6"/>
        <v>0</v>
      </c>
      <c r="W42" s="5"/>
      <c r="X42" s="1">
        <f t="shared" si="7"/>
        <v>18.602597402597404</v>
      </c>
      <c r="Y42" s="1">
        <f t="shared" si="8"/>
        <v>18.602597402597404</v>
      </c>
      <c r="Z42" s="1">
        <v>26.8</v>
      </c>
      <c r="AA42" s="1">
        <v>22.6</v>
      </c>
      <c r="AB42" s="1">
        <v>12.6</v>
      </c>
      <c r="AC42" s="1">
        <v>16.8</v>
      </c>
      <c r="AD42" s="1">
        <v>27.2</v>
      </c>
      <c r="AE42" s="1">
        <v>28.8</v>
      </c>
      <c r="AF42" s="1">
        <v>33</v>
      </c>
      <c r="AG42" s="1">
        <v>28.78</v>
      </c>
      <c r="AH42" s="1">
        <v>18</v>
      </c>
      <c r="AI42" s="1">
        <v>15.6</v>
      </c>
      <c r="AJ42" s="1"/>
      <c r="AK42" s="1">
        <f t="shared" si="9"/>
        <v>0</v>
      </c>
      <c r="AL42" s="1">
        <f t="shared" si="10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78</v>
      </c>
      <c r="B43" s="1" t="s">
        <v>42</v>
      </c>
      <c r="C43" s="1">
        <v>245</v>
      </c>
      <c r="D43" s="1">
        <v>16</v>
      </c>
      <c r="E43" s="1">
        <v>151</v>
      </c>
      <c r="F43" s="1">
        <v>102</v>
      </c>
      <c r="G43" s="7">
        <v>0.4</v>
      </c>
      <c r="H43" s="1">
        <v>45</v>
      </c>
      <c r="I43" s="1" t="s">
        <v>173</v>
      </c>
      <c r="J43" s="1"/>
      <c r="K43" s="1">
        <v>154</v>
      </c>
      <c r="L43" s="1">
        <f t="shared" si="15"/>
        <v>-3</v>
      </c>
      <c r="M43" s="1"/>
      <c r="N43" s="1"/>
      <c r="O43" s="1">
        <v>0</v>
      </c>
      <c r="P43" s="1"/>
      <c r="Q43" s="1"/>
      <c r="R43" s="1">
        <v>83</v>
      </c>
      <c r="S43" s="1">
        <f t="shared" si="4"/>
        <v>30.2</v>
      </c>
      <c r="T43" s="5">
        <f t="shared" si="14"/>
        <v>147.19999999999999</v>
      </c>
      <c r="U43" s="5">
        <f t="shared" si="11"/>
        <v>147.19999999999999</v>
      </c>
      <c r="V43" s="5">
        <f t="shared" si="6"/>
        <v>97.199999999999989</v>
      </c>
      <c r="W43" s="5">
        <v>50</v>
      </c>
      <c r="X43" s="1">
        <f t="shared" si="7"/>
        <v>11</v>
      </c>
      <c r="Y43" s="1">
        <f t="shared" si="8"/>
        <v>6.1258278145695364</v>
      </c>
      <c r="Z43" s="1">
        <v>22.4</v>
      </c>
      <c r="AA43" s="1">
        <v>21.8</v>
      </c>
      <c r="AB43" s="1">
        <v>19.600000000000001</v>
      </c>
      <c r="AC43" s="1">
        <v>21.4</v>
      </c>
      <c r="AD43" s="1">
        <v>24.4</v>
      </c>
      <c r="AE43" s="1">
        <v>27.8</v>
      </c>
      <c r="AF43" s="1">
        <v>42</v>
      </c>
      <c r="AG43" s="1">
        <v>32</v>
      </c>
      <c r="AH43" s="1">
        <v>16.8</v>
      </c>
      <c r="AI43" s="1">
        <v>16</v>
      </c>
      <c r="AJ43" s="1"/>
      <c r="AK43" s="1">
        <f t="shared" si="9"/>
        <v>39</v>
      </c>
      <c r="AL43" s="1">
        <f t="shared" si="10"/>
        <v>20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3" t="s">
        <v>79</v>
      </c>
      <c r="B44" s="13" t="s">
        <v>38</v>
      </c>
      <c r="C44" s="13">
        <v>141.44200000000001</v>
      </c>
      <c r="D44" s="13">
        <v>1.423</v>
      </c>
      <c r="E44" s="13">
        <v>63.552999999999997</v>
      </c>
      <c r="F44" s="13">
        <v>67.688000000000002</v>
      </c>
      <c r="G44" s="14">
        <v>0</v>
      </c>
      <c r="H44" s="13">
        <v>40</v>
      </c>
      <c r="I44" s="13" t="s">
        <v>131</v>
      </c>
      <c r="J44" s="13"/>
      <c r="K44" s="13">
        <v>67.8</v>
      </c>
      <c r="L44" s="13">
        <f t="shared" si="15"/>
        <v>-4.2469999999999999</v>
      </c>
      <c r="M44" s="13"/>
      <c r="N44" s="13"/>
      <c r="O44" s="13">
        <v>0</v>
      </c>
      <c r="P44" s="13"/>
      <c r="Q44" s="13"/>
      <c r="R44" s="13">
        <v>0</v>
      </c>
      <c r="S44" s="13">
        <f t="shared" si="4"/>
        <v>12.710599999999999</v>
      </c>
      <c r="T44" s="15"/>
      <c r="U44" s="5">
        <f t="shared" si="11"/>
        <v>0</v>
      </c>
      <c r="V44" s="5">
        <f t="shared" si="6"/>
        <v>0</v>
      </c>
      <c r="W44" s="5"/>
      <c r="X44" s="1">
        <f t="shared" si="7"/>
        <v>5.3253190250656939</v>
      </c>
      <c r="Y44" s="13">
        <f t="shared" si="8"/>
        <v>5.3253190250656939</v>
      </c>
      <c r="Z44" s="13">
        <v>6.6037999999999997</v>
      </c>
      <c r="AA44" s="13">
        <v>9.2596000000000007</v>
      </c>
      <c r="AB44" s="13">
        <v>9.5682000000000009</v>
      </c>
      <c r="AC44" s="13">
        <v>11.018000000000001</v>
      </c>
      <c r="AD44" s="13">
        <v>14.236800000000001</v>
      </c>
      <c r="AE44" s="13">
        <v>11.3324</v>
      </c>
      <c r="AF44" s="13">
        <v>1.7376</v>
      </c>
      <c r="AG44" s="13">
        <v>1.3106</v>
      </c>
      <c r="AH44" s="13">
        <v>10.1592</v>
      </c>
      <c r="AI44" s="13">
        <v>6.6159999999999997</v>
      </c>
      <c r="AJ44" s="13"/>
      <c r="AK44" s="1">
        <f t="shared" si="9"/>
        <v>0</v>
      </c>
      <c r="AL44" s="1">
        <f t="shared" si="10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80</v>
      </c>
      <c r="B45" s="1" t="s">
        <v>38</v>
      </c>
      <c r="C45" s="1">
        <v>185.24600000000001</v>
      </c>
      <c r="D45" s="1">
        <v>5.835</v>
      </c>
      <c r="E45" s="1">
        <v>127.553</v>
      </c>
      <c r="F45" s="1">
        <v>25.798999999999999</v>
      </c>
      <c r="G45" s="7">
        <v>1</v>
      </c>
      <c r="H45" s="1">
        <v>40</v>
      </c>
      <c r="I45" s="1" t="s">
        <v>173</v>
      </c>
      <c r="J45" s="1"/>
      <c r="K45" s="1">
        <v>124.3</v>
      </c>
      <c r="L45" s="1">
        <f t="shared" si="15"/>
        <v>3.2530000000000001</v>
      </c>
      <c r="M45" s="1"/>
      <c r="N45" s="1"/>
      <c r="O45" s="1">
        <v>134.91399999999999</v>
      </c>
      <c r="P45" s="1"/>
      <c r="Q45" s="1"/>
      <c r="R45" s="1">
        <v>0</v>
      </c>
      <c r="S45" s="1">
        <f t="shared" si="4"/>
        <v>25.5106</v>
      </c>
      <c r="T45" s="5">
        <f t="shared" ref="T45:T76" si="16">11*S45-R45-Q45-P45-O45-F45</f>
        <v>119.90360000000001</v>
      </c>
      <c r="U45" s="5">
        <f t="shared" si="11"/>
        <v>119.90360000000001</v>
      </c>
      <c r="V45" s="5">
        <f t="shared" si="6"/>
        <v>69.903600000000012</v>
      </c>
      <c r="W45" s="5">
        <v>50</v>
      </c>
      <c r="X45" s="1">
        <f t="shared" si="7"/>
        <v>11</v>
      </c>
      <c r="Y45" s="1">
        <f t="shared" si="8"/>
        <v>6.2998518262996557</v>
      </c>
      <c r="Z45" s="1">
        <v>21.378599999999999</v>
      </c>
      <c r="AA45" s="1">
        <v>28.646000000000001</v>
      </c>
      <c r="AB45" s="1">
        <v>20.747199999999999</v>
      </c>
      <c r="AC45" s="1">
        <v>18.888000000000002</v>
      </c>
      <c r="AD45" s="1">
        <v>24.991</v>
      </c>
      <c r="AE45" s="1">
        <v>20.183199999999999</v>
      </c>
      <c r="AF45" s="1">
        <v>12.035600000000001</v>
      </c>
      <c r="AG45" s="1">
        <v>17.441600000000001</v>
      </c>
      <c r="AH45" s="1">
        <v>20.315000000000001</v>
      </c>
      <c r="AI45" s="1">
        <v>4.5293999999999999</v>
      </c>
      <c r="AJ45" s="1"/>
      <c r="AK45" s="1">
        <f t="shared" si="9"/>
        <v>70</v>
      </c>
      <c r="AL45" s="1">
        <f t="shared" si="10"/>
        <v>50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81</v>
      </c>
      <c r="B46" s="1" t="s">
        <v>42</v>
      </c>
      <c r="C46" s="1">
        <v>421</v>
      </c>
      <c r="D46" s="1">
        <v>430</v>
      </c>
      <c r="E46" s="1">
        <v>444</v>
      </c>
      <c r="F46" s="1">
        <v>338</v>
      </c>
      <c r="G46" s="7">
        <v>0.35</v>
      </c>
      <c r="H46" s="1">
        <v>40</v>
      </c>
      <c r="I46" s="1" t="s">
        <v>173</v>
      </c>
      <c r="J46" s="1"/>
      <c r="K46" s="1">
        <v>444</v>
      </c>
      <c r="L46" s="1">
        <f t="shared" si="15"/>
        <v>0</v>
      </c>
      <c r="M46" s="1"/>
      <c r="N46" s="1"/>
      <c r="O46" s="1">
        <v>156.31999999999991</v>
      </c>
      <c r="P46" s="1"/>
      <c r="Q46" s="1"/>
      <c r="R46" s="1">
        <v>2.2799999999999732</v>
      </c>
      <c r="S46" s="1">
        <f t="shared" si="4"/>
        <v>88.8</v>
      </c>
      <c r="T46" s="5">
        <f t="shared" si="16"/>
        <v>480.20000000000005</v>
      </c>
      <c r="U46" s="5">
        <f t="shared" si="11"/>
        <v>480.20000000000005</v>
      </c>
      <c r="V46" s="5">
        <f t="shared" si="6"/>
        <v>280.20000000000005</v>
      </c>
      <c r="W46" s="5">
        <v>200</v>
      </c>
      <c r="X46" s="1">
        <f t="shared" si="7"/>
        <v>11</v>
      </c>
      <c r="Y46" s="1">
        <f t="shared" si="8"/>
        <v>5.5923423423423415</v>
      </c>
      <c r="Z46" s="1">
        <v>72.599999999999994</v>
      </c>
      <c r="AA46" s="1">
        <v>95.6</v>
      </c>
      <c r="AB46" s="1">
        <v>83</v>
      </c>
      <c r="AC46" s="1">
        <v>71.8</v>
      </c>
      <c r="AD46" s="1">
        <v>77.2</v>
      </c>
      <c r="AE46" s="1">
        <v>67.97999999999999</v>
      </c>
      <c r="AF46" s="1">
        <v>25.58</v>
      </c>
      <c r="AG46" s="1">
        <v>37.4</v>
      </c>
      <c r="AH46" s="1">
        <v>78</v>
      </c>
      <c r="AI46" s="1">
        <v>40</v>
      </c>
      <c r="AJ46" s="1"/>
      <c r="AK46" s="1">
        <f t="shared" si="9"/>
        <v>98</v>
      </c>
      <c r="AL46" s="1">
        <f t="shared" si="10"/>
        <v>70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82</v>
      </c>
      <c r="B47" s="1" t="s">
        <v>42</v>
      </c>
      <c r="C47" s="1">
        <v>68</v>
      </c>
      <c r="D47" s="1">
        <v>409</v>
      </c>
      <c r="E47" s="1">
        <v>155</v>
      </c>
      <c r="F47" s="1">
        <v>298</v>
      </c>
      <c r="G47" s="7">
        <v>0.4</v>
      </c>
      <c r="H47" s="1">
        <v>40</v>
      </c>
      <c r="I47" s="1" t="s">
        <v>173</v>
      </c>
      <c r="J47" s="1"/>
      <c r="K47" s="1">
        <v>328</v>
      </c>
      <c r="L47" s="1">
        <f t="shared" si="15"/>
        <v>-173</v>
      </c>
      <c r="M47" s="1"/>
      <c r="N47" s="1"/>
      <c r="O47" s="1">
        <v>319.59999999999991</v>
      </c>
      <c r="P47" s="1"/>
      <c r="Q47" s="1"/>
      <c r="R47" s="1">
        <v>0</v>
      </c>
      <c r="S47" s="1">
        <f t="shared" si="4"/>
        <v>31</v>
      </c>
      <c r="T47" s="5"/>
      <c r="U47" s="5">
        <f t="shared" si="11"/>
        <v>0</v>
      </c>
      <c r="V47" s="5">
        <f t="shared" si="6"/>
        <v>0</v>
      </c>
      <c r="W47" s="5"/>
      <c r="X47" s="1">
        <f t="shared" si="7"/>
        <v>19.922580645161286</v>
      </c>
      <c r="Y47" s="1">
        <f t="shared" si="8"/>
        <v>19.922580645161286</v>
      </c>
      <c r="Z47" s="1">
        <v>47</v>
      </c>
      <c r="AA47" s="1">
        <v>79.599999999999994</v>
      </c>
      <c r="AB47" s="1">
        <v>60</v>
      </c>
      <c r="AC47" s="1">
        <v>42</v>
      </c>
      <c r="AD47" s="1">
        <v>28.6</v>
      </c>
      <c r="AE47" s="1">
        <v>26.6</v>
      </c>
      <c r="AF47" s="1">
        <v>50.2</v>
      </c>
      <c r="AG47" s="1">
        <v>51.4</v>
      </c>
      <c r="AH47" s="1">
        <v>73.400000000000006</v>
      </c>
      <c r="AI47" s="1">
        <v>46.6</v>
      </c>
      <c r="AJ47" s="1"/>
      <c r="AK47" s="1">
        <f t="shared" si="9"/>
        <v>0</v>
      </c>
      <c r="AL47" s="1">
        <f t="shared" si="10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83</v>
      </c>
      <c r="B48" s="1" t="s">
        <v>38</v>
      </c>
      <c r="C48" s="1">
        <v>63.414000000000001</v>
      </c>
      <c r="D48" s="1"/>
      <c r="E48" s="1">
        <v>27.971</v>
      </c>
      <c r="F48" s="1">
        <v>35.057000000000002</v>
      </c>
      <c r="G48" s="7">
        <v>1</v>
      </c>
      <c r="H48" s="1">
        <v>50</v>
      </c>
      <c r="I48" s="1" t="s">
        <v>173</v>
      </c>
      <c r="J48" s="1"/>
      <c r="K48" s="1">
        <v>25.9</v>
      </c>
      <c r="L48" s="1">
        <f t="shared" si="15"/>
        <v>2.0710000000000015</v>
      </c>
      <c r="M48" s="1"/>
      <c r="N48" s="1"/>
      <c r="O48" s="1">
        <v>62.085000000000008</v>
      </c>
      <c r="P48" s="1"/>
      <c r="Q48" s="1"/>
      <c r="R48" s="1">
        <v>0</v>
      </c>
      <c r="S48" s="1">
        <f t="shared" si="4"/>
        <v>5.5941999999999998</v>
      </c>
      <c r="T48" s="5"/>
      <c r="U48" s="5">
        <f t="shared" si="11"/>
        <v>0</v>
      </c>
      <c r="V48" s="5">
        <f t="shared" si="6"/>
        <v>0</v>
      </c>
      <c r="W48" s="5"/>
      <c r="X48" s="1">
        <f t="shared" si="7"/>
        <v>17.364770655321585</v>
      </c>
      <c r="Y48" s="1">
        <f t="shared" si="8"/>
        <v>17.364770655321585</v>
      </c>
      <c r="Z48" s="1">
        <v>8.6849999999999987</v>
      </c>
      <c r="AA48" s="1">
        <v>11.409000000000001</v>
      </c>
      <c r="AB48" s="1">
        <v>5.1622000000000003</v>
      </c>
      <c r="AC48" s="1">
        <v>2.6922000000000001</v>
      </c>
      <c r="AD48" s="1">
        <v>6.4640000000000004</v>
      </c>
      <c r="AE48" s="1">
        <v>7.74</v>
      </c>
      <c r="AF48" s="1">
        <v>4.5076000000000001</v>
      </c>
      <c r="AG48" s="1">
        <v>6.4640000000000004</v>
      </c>
      <c r="AH48" s="1">
        <v>6.4567999999999994</v>
      </c>
      <c r="AI48" s="1">
        <v>6.7715999999999994</v>
      </c>
      <c r="AJ48" s="1"/>
      <c r="AK48" s="1">
        <f t="shared" si="9"/>
        <v>0</v>
      </c>
      <c r="AL48" s="1">
        <f t="shared" si="10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84</v>
      </c>
      <c r="B49" s="1" t="s">
        <v>38</v>
      </c>
      <c r="C49" s="1">
        <v>232.9</v>
      </c>
      <c r="D49" s="1">
        <v>4.0819999999999999</v>
      </c>
      <c r="E49" s="1">
        <v>101.143</v>
      </c>
      <c r="F49" s="1">
        <v>121.38800000000001</v>
      </c>
      <c r="G49" s="7">
        <v>1</v>
      </c>
      <c r="H49" s="1">
        <v>50</v>
      </c>
      <c r="I49" s="1" t="s">
        <v>173</v>
      </c>
      <c r="J49" s="1"/>
      <c r="K49" s="1">
        <v>91.25</v>
      </c>
      <c r="L49" s="1">
        <f t="shared" si="15"/>
        <v>9.8930000000000007</v>
      </c>
      <c r="M49" s="1"/>
      <c r="N49" s="1"/>
      <c r="O49" s="1">
        <v>124.3558</v>
      </c>
      <c r="P49" s="1"/>
      <c r="Q49" s="1">
        <v>150</v>
      </c>
      <c r="R49" s="1">
        <v>90.47920000000002</v>
      </c>
      <c r="S49" s="1">
        <f t="shared" si="4"/>
        <v>20.2286</v>
      </c>
      <c r="T49" s="5"/>
      <c r="U49" s="5">
        <f t="shared" si="11"/>
        <v>0</v>
      </c>
      <c r="V49" s="5">
        <f t="shared" si="6"/>
        <v>0</v>
      </c>
      <c r="W49" s="5"/>
      <c r="X49" s="1">
        <f t="shared" si="7"/>
        <v>24.036413790376006</v>
      </c>
      <c r="Y49" s="1">
        <f t="shared" si="8"/>
        <v>24.036413790376006</v>
      </c>
      <c r="Z49" s="1">
        <v>30.904399999999999</v>
      </c>
      <c r="AA49" s="1">
        <v>32.477800000000002</v>
      </c>
      <c r="AB49" s="1">
        <v>18.959</v>
      </c>
      <c r="AC49" s="1">
        <v>17.484999999999999</v>
      </c>
      <c r="AD49" s="1">
        <v>29.415600000000001</v>
      </c>
      <c r="AE49" s="1">
        <v>25.074000000000002</v>
      </c>
      <c r="AF49" s="1">
        <v>17.300999999999998</v>
      </c>
      <c r="AG49" s="1">
        <v>22.004999999999999</v>
      </c>
      <c r="AH49" s="1">
        <v>25.757400000000001</v>
      </c>
      <c r="AI49" s="1">
        <v>6.9251999999999994</v>
      </c>
      <c r="AJ49" s="1"/>
      <c r="AK49" s="1">
        <f t="shared" si="9"/>
        <v>0</v>
      </c>
      <c r="AL49" s="1">
        <f t="shared" si="10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85</v>
      </c>
      <c r="B50" s="1" t="s">
        <v>38</v>
      </c>
      <c r="C50" s="1">
        <v>-0.17100000000000001</v>
      </c>
      <c r="D50" s="1">
        <v>89.03</v>
      </c>
      <c r="E50" s="1">
        <v>1.53</v>
      </c>
      <c r="F50" s="1">
        <v>-0.189</v>
      </c>
      <c r="G50" s="7">
        <v>1</v>
      </c>
      <c r="H50" s="1">
        <v>45</v>
      </c>
      <c r="I50" s="1" t="s">
        <v>173</v>
      </c>
      <c r="J50" s="1"/>
      <c r="K50" s="1">
        <v>54.9</v>
      </c>
      <c r="L50" s="1">
        <f t="shared" si="15"/>
        <v>-53.37</v>
      </c>
      <c r="M50" s="1"/>
      <c r="N50" s="1"/>
      <c r="O50" s="1">
        <v>38.280799999999992</v>
      </c>
      <c r="P50" s="1"/>
      <c r="Q50" s="1"/>
      <c r="R50" s="1">
        <v>0</v>
      </c>
      <c r="S50" s="1">
        <f t="shared" si="4"/>
        <v>0.30599999999999999</v>
      </c>
      <c r="T50" s="5"/>
      <c r="U50" s="5">
        <f t="shared" si="11"/>
        <v>0</v>
      </c>
      <c r="V50" s="5">
        <f t="shared" si="6"/>
        <v>0</v>
      </c>
      <c r="W50" s="5"/>
      <c r="X50" s="1">
        <f t="shared" si="7"/>
        <v>124.48300653594769</v>
      </c>
      <c r="Y50" s="1">
        <f t="shared" si="8"/>
        <v>124.48300653594769</v>
      </c>
      <c r="Z50" s="1">
        <v>1.5204</v>
      </c>
      <c r="AA50" s="1">
        <v>10.6396</v>
      </c>
      <c r="AB50" s="1">
        <v>9.4252000000000002</v>
      </c>
      <c r="AC50" s="1">
        <v>0</v>
      </c>
      <c r="AD50" s="1">
        <v>0</v>
      </c>
      <c r="AE50" s="1">
        <v>0</v>
      </c>
      <c r="AF50" s="1">
        <v>-0.30359999999999998</v>
      </c>
      <c r="AG50" s="1">
        <v>2.0486</v>
      </c>
      <c r="AH50" s="1">
        <v>29.5078</v>
      </c>
      <c r="AI50" s="1">
        <v>3.2395999999999998</v>
      </c>
      <c r="AJ50" s="1"/>
      <c r="AK50" s="1">
        <f t="shared" si="9"/>
        <v>0</v>
      </c>
      <c r="AL50" s="1">
        <f t="shared" si="10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86</v>
      </c>
      <c r="B51" s="1" t="s">
        <v>42</v>
      </c>
      <c r="C51" s="1">
        <v>149</v>
      </c>
      <c r="D51" s="1">
        <v>71</v>
      </c>
      <c r="E51" s="1">
        <v>159</v>
      </c>
      <c r="F51" s="1">
        <v>59</v>
      </c>
      <c r="G51" s="7">
        <v>0.45</v>
      </c>
      <c r="H51" s="1">
        <v>50</v>
      </c>
      <c r="I51" s="1" t="s">
        <v>173</v>
      </c>
      <c r="J51" s="1"/>
      <c r="K51" s="1">
        <v>178</v>
      </c>
      <c r="L51" s="1">
        <f t="shared" si="15"/>
        <v>-19</v>
      </c>
      <c r="M51" s="1"/>
      <c r="N51" s="1"/>
      <c r="O51" s="1">
        <v>25.199999999999989</v>
      </c>
      <c r="P51" s="1"/>
      <c r="Q51" s="1"/>
      <c r="R51" s="1">
        <v>72.61999999999999</v>
      </c>
      <c r="S51" s="1">
        <f t="shared" si="4"/>
        <v>31.8</v>
      </c>
      <c r="T51" s="5">
        <f t="shared" si="16"/>
        <v>192.98000000000002</v>
      </c>
      <c r="U51" s="5">
        <f t="shared" si="11"/>
        <v>192.98000000000002</v>
      </c>
      <c r="V51" s="5">
        <f t="shared" si="6"/>
        <v>92.980000000000018</v>
      </c>
      <c r="W51" s="5">
        <v>100</v>
      </c>
      <c r="X51" s="1">
        <f t="shared" si="7"/>
        <v>11</v>
      </c>
      <c r="Y51" s="1">
        <f t="shared" si="8"/>
        <v>4.9314465408805024</v>
      </c>
      <c r="Z51" s="1">
        <v>22.2</v>
      </c>
      <c r="AA51" s="1">
        <v>21.8</v>
      </c>
      <c r="AB51" s="1">
        <v>22.8</v>
      </c>
      <c r="AC51" s="1">
        <v>20.8</v>
      </c>
      <c r="AD51" s="1">
        <v>17.399999999999999</v>
      </c>
      <c r="AE51" s="1">
        <v>23</v>
      </c>
      <c r="AF51" s="1">
        <v>36</v>
      </c>
      <c r="AG51" s="1">
        <v>29</v>
      </c>
      <c r="AH51" s="1">
        <v>28</v>
      </c>
      <c r="AI51" s="1">
        <v>7.2</v>
      </c>
      <c r="AJ51" s="1"/>
      <c r="AK51" s="1">
        <f t="shared" si="9"/>
        <v>42</v>
      </c>
      <c r="AL51" s="1">
        <f t="shared" si="10"/>
        <v>45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87</v>
      </c>
      <c r="B52" s="1" t="s">
        <v>42</v>
      </c>
      <c r="C52" s="1">
        <v>251</v>
      </c>
      <c r="D52" s="1">
        <v>124</v>
      </c>
      <c r="E52" s="1">
        <v>133</v>
      </c>
      <c r="F52" s="1">
        <v>233</v>
      </c>
      <c r="G52" s="7">
        <v>0.45</v>
      </c>
      <c r="H52" s="1">
        <v>50</v>
      </c>
      <c r="I52" s="1" t="s">
        <v>173</v>
      </c>
      <c r="J52" s="1"/>
      <c r="K52" s="1">
        <v>132</v>
      </c>
      <c r="L52" s="1">
        <f t="shared" si="15"/>
        <v>1</v>
      </c>
      <c r="M52" s="1"/>
      <c r="N52" s="1"/>
      <c r="O52" s="1">
        <v>163.6</v>
      </c>
      <c r="P52" s="1"/>
      <c r="Q52" s="1"/>
      <c r="R52" s="1">
        <v>0</v>
      </c>
      <c r="S52" s="1">
        <f t="shared" si="4"/>
        <v>26.6</v>
      </c>
      <c r="T52" s="5"/>
      <c r="U52" s="5">
        <f t="shared" si="11"/>
        <v>0</v>
      </c>
      <c r="V52" s="5">
        <f t="shared" si="6"/>
        <v>0</v>
      </c>
      <c r="W52" s="5"/>
      <c r="X52" s="1">
        <f t="shared" si="7"/>
        <v>14.909774436090226</v>
      </c>
      <c r="Y52" s="1">
        <f t="shared" si="8"/>
        <v>14.909774436090226</v>
      </c>
      <c r="Z52" s="1">
        <v>33.4</v>
      </c>
      <c r="AA52" s="1">
        <v>48.6</v>
      </c>
      <c r="AB52" s="1">
        <v>40.6</v>
      </c>
      <c r="AC52" s="1">
        <v>35.6</v>
      </c>
      <c r="AD52" s="1">
        <v>40.6</v>
      </c>
      <c r="AE52" s="1">
        <v>40.4</v>
      </c>
      <c r="AF52" s="1">
        <v>42.6</v>
      </c>
      <c r="AG52" s="1">
        <v>49.2</v>
      </c>
      <c r="AH52" s="1">
        <v>37</v>
      </c>
      <c r="AI52" s="1">
        <v>23.4</v>
      </c>
      <c r="AJ52" s="1"/>
      <c r="AK52" s="1">
        <f t="shared" si="9"/>
        <v>0</v>
      </c>
      <c r="AL52" s="1">
        <f t="shared" si="10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88</v>
      </c>
      <c r="B53" s="1" t="s">
        <v>42</v>
      </c>
      <c r="C53" s="1">
        <v>222</v>
      </c>
      <c r="D53" s="1">
        <v>4</v>
      </c>
      <c r="E53" s="1">
        <v>139</v>
      </c>
      <c r="F53" s="1">
        <v>75</v>
      </c>
      <c r="G53" s="7">
        <v>0.4</v>
      </c>
      <c r="H53" s="1">
        <v>40</v>
      </c>
      <c r="I53" s="1" t="s">
        <v>173</v>
      </c>
      <c r="J53" s="1"/>
      <c r="K53" s="1">
        <v>143</v>
      </c>
      <c r="L53" s="1">
        <f t="shared" si="15"/>
        <v>-4</v>
      </c>
      <c r="M53" s="1"/>
      <c r="N53" s="1"/>
      <c r="O53" s="1">
        <v>0</v>
      </c>
      <c r="P53" s="1"/>
      <c r="Q53" s="1"/>
      <c r="R53" s="1">
        <v>62.5</v>
      </c>
      <c r="S53" s="1">
        <f t="shared" si="4"/>
        <v>27.8</v>
      </c>
      <c r="T53" s="5">
        <f t="shared" si="16"/>
        <v>168.3</v>
      </c>
      <c r="U53" s="5">
        <f t="shared" si="11"/>
        <v>168.3</v>
      </c>
      <c r="V53" s="5">
        <f t="shared" si="6"/>
        <v>118.30000000000001</v>
      </c>
      <c r="W53" s="5">
        <v>50</v>
      </c>
      <c r="X53" s="1">
        <f t="shared" si="7"/>
        <v>11</v>
      </c>
      <c r="Y53" s="1">
        <f t="shared" si="8"/>
        <v>4.9460431654676258</v>
      </c>
      <c r="Z53" s="1">
        <v>19</v>
      </c>
      <c r="AA53" s="1">
        <v>19</v>
      </c>
      <c r="AB53" s="1">
        <v>9.1999999999999993</v>
      </c>
      <c r="AC53" s="1">
        <v>1.2</v>
      </c>
      <c r="AD53" s="1">
        <v>11.8</v>
      </c>
      <c r="AE53" s="1">
        <v>23</v>
      </c>
      <c r="AF53" s="1">
        <v>16.399999999999999</v>
      </c>
      <c r="AG53" s="1">
        <v>12.2</v>
      </c>
      <c r="AH53" s="1">
        <v>18.399999999999999</v>
      </c>
      <c r="AI53" s="1">
        <v>16.2</v>
      </c>
      <c r="AJ53" s="1"/>
      <c r="AK53" s="1">
        <f t="shared" si="9"/>
        <v>47</v>
      </c>
      <c r="AL53" s="1">
        <f t="shared" si="10"/>
        <v>20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89</v>
      </c>
      <c r="B54" s="1" t="s">
        <v>42</v>
      </c>
      <c r="C54" s="1"/>
      <c r="D54" s="1">
        <v>186</v>
      </c>
      <c r="E54" s="1">
        <v>91</v>
      </c>
      <c r="F54" s="1">
        <v>90</v>
      </c>
      <c r="G54" s="7">
        <v>0.4</v>
      </c>
      <c r="H54" s="1">
        <v>40</v>
      </c>
      <c r="I54" s="1" t="s">
        <v>173</v>
      </c>
      <c r="J54" s="1"/>
      <c r="K54" s="1">
        <v>98</v>
      </c>
      <c r="L54" s="1">
        <f t="shared" si="15"/>
        <v>-7</v>
      </c>
      <c r="M54" s="1"/>
      <c r="N54" s="1"/>
      <c r="O54" s="1">
        <v>0</v>
      </c>
      <c r="P54" s="1"/>
      <c r="Q54" s="1"/>
      <c r="R54" s="1">
        <v>0</v>
      </c>
      <c r="S54" s="1">
        <f t="shared" si="4"/>
        <v>18.2</v>
      </c>
      <c r="T54" s="5">
        <f t="shared" si="16"/>
        <v>110.19999999999999</v>
      </c>
      <c r="U54" s="5">
        <f t="shared" si="11"/>
        <v>110.19999999999999</v>
      </c>
      <c r="V54" s="5">
        <f t="shared" si="6"/>
        <v>60.199999999999989</v>
      </c>
      <c r="W54" s="5">
        <v>50</v>
      </c>
      <c r="X54" s="1">
        <f t="shared" si="7"/>
        <v>11</v>
      </c>
      <c r="Y54" s="1">
        <f t="shared" si="8"/>
        <v>4.9450549450549453</v>
      </c>
      <c r="Z54" s="1">
        <v>-0.8</v>
      </c>
      <c r="AA54" s="1">
        <v>8.8000000000000007</v>
      </c>
      <c r="AB54" s="1">
        <v>15.6</v>
      </c>
      <c r="AC54" s="1">
        <v>14.2</v>
      </c>
      <c r="AD54" s="1">
        <v>6</v>
      </c>
      <c r="AE54" s="1">
        <v>0.4</v>
      </c>
      <c r="AF54" s="1">
        <v>11</v>
      </c>
      <c r="AG54" s="1">
        <v>18.8</v>
      </c>
      <c r="AH54" s="1">
        <v>16.600000000000001</v>
      </c>
      <c r="AI54" s="1">
        <v>18</v>
      </c>
      <c r="AJ54" s="1"/>
      <c r="AK54" s="1">
        <f t="shared" si="9"/>
        <v>24</v>
      </c>
      <c r="AL54" s="1">
        <f t="shared" si="10"/>
        <v>20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90</v>
      </c>
      <c r="B55" s="1" t="s">
        <v>38</v>
      </c>
      <c r="C55" s="1">
        <v>295.69299999999998</v>
      </c>
      <c r="D55" s="1">
        <v>4.0599999999999996</v>
      </c>
      <c r="E55" s="1">
        <v>93.114000000000004</v>
      </c>
      <c r="F55" s="1">
        <v>197.20500000000001</v>
      </c>
      <c r="G55" s="7">
        <v>1</v>
      </c>
      <c r="H55" s="1">
        <v>50</v>
      </c>
      <c r="I55" s="1" t="s">
        <v>173</v>
      </c>
      <c r="J55" s="1"/>
      <c r="K55" s="1">
        <v>90.85</v>
      </c>
      <c r="L55" s="1">
        <f t="shared" si="15"/>
        <v>2.26400000000001</v>
      </c>
      <c r="M55" s="1"/>
      <c r="N55" s="1"/>
      <c r="O55" s="1">
        <v>0</v>
      </c>
      <c r="P55" s="1"/>
      <c r="Q55" s="1">
        <v>50</v>
      </c>
      <c r="R55" s="1">
        <v>0</v>
      </c>
      <c r="S55" s="1">
        <f t="shared" si="4"/>
        <v>18.622800000000002</v>
      </c>
      <c r="T55" s="5"/>
      <c r="U55" s="5">
        <f t="shared" si="11"/>
        <v>0</v>
      </c>
      <c r="V55" s="5">
        <f t="shared" si="6"/>
        <v>0</v>
      </c>
      <c r="W55" s="5"/>
      <c r="X55" s="1">
        <f t="shared" si="7"/>
        <v>13.274319651180273</v>
      </c>
      <c r="Y55" s="1">
        <f t="shared" si="8"/>
        <v>13.274319651180273</v>
      </c>
      <c r="Z55" s="1">
        <v>15.298999999999999</v>
      </c>
      <c r="AA55" s="1">
        <v>19.466200000000001</v>
      </c>
      <c r="AB55" s="1">
        <v>19.613600000000002</v>
      </c>
      <c r="AC55" s="1">
        <v>23.474799999999998</v>
      </c>
      <c r="AD55" s="1">
        <v>30.131599999999999</v>
      </c>
      <c r="AE55" s="1">
        <v>27.6572</v>
      </c>
      <c r="AF55" s="1">
        <v>10.188000000000001</v>
      </c>
      <c r="AG55" s="1">
        <v>11.5906</v>
      </c>
      <c r="AH55" s="1">
        <v>24.2422</v>
      </c>
      <c r="AI55" s="1">
        <v>12.941000000000001</v>
      </c>
      <c r="AJ55" s="1"/>
      <c r="AK55" s="1">
        <f t="shared" si="9"/>
        <v>0</v>
      </c>
      <c r="AL55" s="1">
        <f t="shared" si="10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91</v>
      </c>
      <c r="B56" s="1" t="s">
        <v>42</v>
      </c>
      <c r="C56" s="1">
        <v>471</v>
      </c>
      <c r="D56" s="1">
        <v>12</v>
      </c>
      <c r="E56" s="1">
        <v>165</v>
      </c>
      <c r="F56" s="1">
        <v>287</v>
      </c>
      <c r="G56" s="7">
        <v>0.1</v>
      </c>
      <c r="H56" s="1">
        <v>731</v>
      </c>
      <c r="I56" s="1" t="s">
        <v>173</v>
      </c>
      <c r="J56" s="1"/>
      <c r="K56" s="1">
        <v>167</v>
      </c>
      <c r="L56" s="1">
        <f t="shared" si="15"/>
        <v>-2</v>
      </c>
      <c r="M56" s="1"/>
      <c r="N56" s="1"/>
      <c r="O56" s="1">
        <v>32.799999999999947</v>
      </c>
      <c r="P56" s="1"/>
      <c r="Q56" s="1"/>
      <c r="R56" s="1">
        <v>139.8000000000001</v>
      </c>
      <c r="S56" s="1">
        <f t="shared" si="4"/>
        <v>33</v>
      </c>
      <c r="T56" s="5"/>
      <c r="U56" s="5">
        <f t="shared" si="11"/>
        <v>0</v>
      </c>
      <c r="V56" s="5">
        <f t="shared" si="6"/>
        <v>0</v>
      </c>
      <c r="W56" s="5"/>
      <c r="X56" s="1">
        <f t="shared" si="7"/>
        <v>13.927272727272728</v>
      </c>
      <c r="Y56" s="1">
        <f t="shared" si="8"/>
        <v>13.927272727272728</v>
      </c>
      <c r="Z56" s="1">
        <v>46</v>
      </c>
      <c r="AA56" s="1">
        <v>45.8</v>
      </c>
      <c r="AB56" s="1">
        <v>44</v>
      </c>
      <c r="AC56" s="1">
        <v>22</v>
      </c>
      <c r="AD56" s="1">
        <v>45</v>
      </c>
      <c r="AE56" s="1">
        <v>59.4</v>
      </c>
      <c r="AF56" s="1">
        <v>43.8</v>
      </c>
      <c r="AG56" s="1">
        <v>44</v>
      </c>
      <c r="AH56" s="1">
        <v>24.6</v>
      </c>
      <c r="AI56" s="1">
        <v>34.6</v>
      </c>
      <c r="AJ56" s="1"/>
      <c r="AK56" s="1">
        <f t="shared" si="9"/>
        <v>0</v>
      </c>
      <c r="AL56" s="1">
        <f t="shared" si="10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92</v>
      </c>
      <c r="B57" s="1" t="s">
        <v>38</v>
      </c>
      <c r="C57" s="1">
        <v>165.59100000000001</v>
      </c>
      <c r="D57" s="1"/>
      <c r="E57" s="1">
        <v>72.314999999999998</v>
      </c>
      <c r="F57" s="1">
        <v>79.900000000000006</v>
      </c>
      <c r="G57" s="7">
        <v>1</v>
      </c>
      <c r="H57" s="1">
        <v>50</v>
      </c>
      <c r="I57" s="1" t="s">
        <v>173</v>
      </c>
      <c r="J57" s="1"/>
      <c r="K57" s="1">
        <v>65.150000000000006</v>
      </c>
      <c r="L57" s="1">
        <f t="shared" si="15"/>
        <v>7.164999999999992</v>
      </c>
      <c r="M57" s="1"/>
      <c r="N57" s="1"/>
      <c r="O57" s="1">
        <v>73.28279999999998</v>
      </c>
      <c r="P57" s="1"/>
      <c r="Q57" s="1"/>
      <c r="R57" s="1">
        <v>43.134700000000016</v>
      </c>
      <c r="S57" s="1">
        <f t="shared" si="4"/>
        <v>14.462999999999999</v>
      </c>
      <c r="T57" s="5"/>
      <c r="U57" s="5">
        <f t="shared" si="11"/>
        <v>0</v>
      </c>
      <c r="V57" s="5">
        <f t="shared" si="6"/>
        <v>0</v>
      </c>
      <c r="W57" s="5"/>
      <c r="X57" s="1">
        <f t="shared" si="7"/>
        <v>13.573774458964253</v>
      </c>
      <c r="Y57" s="1">
        <f t="shared" si="8"/>
        <v>13.573774458964253</v>
      </c>
      <c r="Z57" s="1">
        <v>19.234200000000001</v>
      </c>
      <c r="AA57" s="1">
        <v>21.715800000000002</v>
      </c>
      <c r="AB57" s="1">
        <v>16.465399999999999</v>
      </c>
      <c r="AC57" s="1">
        <v>16.174800000000001</v>
      </c>
      <c r="AD57" s="1">
        <v>20.6662</v>
      </c>
      <c r="AE57" s="1">
        <v>20.6676</v>
      </c>
      <c r="AF57" s="1">
        <v>20.402799999999999</v>
      </c>
      <c r="AG57" s="1">
        <v>18.515999999999998</v>
      </c>
      <c r="AH57" s="1">
        <v>5.1243999999999996</v>
      </c>
      <c r="AI57" s="1">
        <v>12.113200000000001</v>
      </c>
      <c r="AJ57" s="1"/>
      <c r="AK57" s="1">
        <f t="shared" si="9"/>
        <v>0</v>
      </c>
      <c r="AL57" s="1">
        <f t="shared" si="10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93</v>
      </c>
      <c r="B58" s="1" t="s">
        <v>38</v>
      </c>
      <c r="C58" s="1">
        <v>33.723999999999997</v>
      </c>
      <c r="D58" s="1">
        <v>5.407</v>
      </c>
      <c r="E58" s="1">
        <v>25.716999999999999</v>
      </c>
      <c r="F58" s="1">
        <v>13.414</v>
      </c>
      <c r="G58" s="7">
        <v>1</v>
      </c>
      <c r="H58" s="1">
        <v>55</v>
      </c>
      <c r="I58" s="1" t="s">
        <v>173</v>
      </c>
      <c r="J58" s="1"/>
      <c r="K58" s="1">
        <v>24.95</v>
      </c>
      <c r="L58" s="1">
        <f t="shared" si="15"/>
        <v>0.76699999999999946</v>
      </c>
      <c r="M58" s="1"/>
      <c r="N58" s="1"/>
      <c r="O58" s="1">
        <v>22.125</v>
      </c>
      <c r="P58" s="1"/>
      <c r="Q58" s="1"/>
      <c r="R58" s="1">
        <v>18.481200000000001</v>
      </c>
      <c r="S58" s="1">
        <f t="shared" si="4"/>
        <v>5.1433999999999997</v>
      </c>
      <c r="T58" s="5">
        <v>4</v>
      </c>
      <c r="U58" s="5">
        <f t="shared" si="11"/>
        <v>4</v>
      </c>
      <c r="V58" s="5">
        <f t="shared" si="6"/>
        <v>4</v>
      </c>
      <c r="W58" s="5"/>
      <c r="X58" s="1">
        <f t="shared" si="7"/>
        <v>11.280514834545244</v>
      </c>
      <c r="Y58" s="1">
        <f t="shared" si="8"/>
        <v>10.502819146867832</v>
      </c>
      <c r="Z58" s="1">
        <v>5.1475999999999997</v>
      </c>
      <c r="AA58" s="1">
        <v>5.4037999999999986</v>
      </c>
      <c r="AB58" s="1">
        <v>4.0573999999999986</v>
      </c>
      <c r="AC58" s="1">
        <v>2.7052</v>
      </c>
      <c r="AD58" s="1">
        <v>1.0808</v>
      </c>
      <c r="AE58" s="1">
        <v>2.1631999999999998</v>
      </c>
      <c r="AF58" s="1">
        <v>5.6636000000000006</v>
      </c>
      <c r="AG58" s="1">
        <v>6.7619999999999996</v>
      </c>
      <c r="AH58" s="1">
        <v>3.774</v>
      </c>
      <c r="AI58" s="1">
        <v>3.25</v>
      </c>
      <c r="AJ58" s="1"/>
      <c r="AK58" s="1">
        <f t="shared" si="9"/>
        <v>4</v>
      </c>
      <c r="AL58" s="1">
        <f t="shared" si="10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94</v>
      </c>
      <c r="B59" s="1" t="s">
        <v>42</v>
      </c>
      <c r="C59" s="1">
        <v>411</v>
      </c>
      <c r="D59" s="1">
        <v>12</v>
      </c>
      <c r="E59" s="1">
        <v>135</v>
      </c>
      <c r="F59" s="1">
        <v>257</v>
      </c>
      <c r="G59" s="7">
        <v>0.1</v>
      </c>
      <c r="H59" s="1">
        <v>731</v>
      </c>
      <c r="I59" s="1" t="s">
        <v>173</v>
      </c>
      <c r="J59" s="1"/>
      <c r="K59" s="1">
        <v>175</v>
      </c>
      <c r="L59" s="1">
        <f t="shared" si="15"/>
        <v>-40</v>
      </c>
      <c r="M59" s="1"/>
      <c r="N59" s="1"/>
      <c r="O59" s="1">
        <v>15.799999999999949</v>
      </c>
      <c r="P59" s="1"/>
      <c r="Q59" s="1"/>
      <c r="R59" s="1">
        <v>159.52000000000001</v>
      </c>
      <c r="S59" s="1">
        <f t="shared" si="4"/>
        <v>27</v>
      </c>
      <c r="T59" s="5"/>
      <c r="U59" s="5">
        <f t="shared" si="11"/>
        <v>0</v>
      </c>
      <c r="V59" s="5">
        <f t="shared" si="6"/>
        <v>0</v>
      </c>
      <c r="W59" s="5"/>
      <c r="X59" s="1">
        <f t="shared" si="7"/>
        <v>16.011851851851848</v>
      </c>
      <c r="Y59" s="1">
        <f t="shared" si="8"/>
        <v>16.011851851851848</v>
      </c>
      <c r="Z59" s="1">
        <v>41.2</v>
      </c>
      <c r="AA59" s="1">
        <v>38.799999999999997</v>
      </c>
      <c r="AB59" s="1">
        <v>36</v>
      </c>
      <c r="AC59" s="1">
        <v>32.6</v>
      </c>
      <c r="AD59" s="1">
        <v>50.2</v>
      </c>
      <c r="AE59" s="1">
        <v>53</v>
      </c>
      <c r="AF59" s="1">
        <v>35.6</v>
      </c>
      <c r="AG59" s="1">
        <v>34</v>
      </c>
      <c r="AH59" s="1">
        <v>33</v>
      </c>
      <c r="AI59" s="1">
        <v>26.2</v>
      </c>
      <c r="AJ59" s="1"/>
      <c r="AK59" s="1">
        <f t="shared" si="9"/>
        <v>0</v>
      </c>
      <c r="AL59" s="1">
        <f t="shared" si="10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95</v>
      </c>
      <c r="B60" s="1" t="s">
        <v>42</v>
      </c>
      <c r="C60" s="1">
        <v>4</v>
      </c>
      <c r="D60" s="1">
        <v>40</v>
      </c>
      <c r="E60" s="1">
        <v>6</v>
      </c>
      <c r="F60" s="1">
        <v>36</v>
      </c>
      <c r="G60" s="7">
        <v>0.4</v>
      </c>
      <c r="H60" s="1">
        <v>50</v>
      </c>
      <c r="I60" s="1" t="s">
        <v>173</v>
      </c>
      <c r="J60" s="1"/>
      <c r="K60" s="1">
        <v>10</v>
      </c>
      <c r="L60" s="1">
        <f t="shared" si="15"/>
        <v>-4</v>
      </c>
      <c r="M60" s="1"/>
      <c r="N60" s="1"/>
      <c r="O60" s="1">
        <v>47.000000000000007</v>
      </c>
      <c r="P60" s="1"/>
      <c r="Q60" s="1"/>
      <c r="R60" s="1">
        <v>0</v>
      </c>
      <c r="S60" s="1">
        <f t="shared" si="4"/>
        <v>1.2</v>
      </c>
      <c r="T60" s="5"/>
      <c r="U60" s="5">
        <f t="shared" si="11"/>
        <v>0</v>
      </c>
      <c r="V60" s="5">
        <f t="shared" si="6"/>
        <v>0</v>
      </c>
      <c r="W60" s="5"/>
      <c r="X60" s="1">
        <f t="shared" si="7"/>
        <v>69.166666666666671</v>
      </c>
      <c r="Y60" s="1">
        <f t="shared" si="8"/>
        <v>69.166666666666671</v>
      </c>
      <c r="Z60" s="1">
        <v>5</v>
      </c>
      <c r="AA60" s="1">
        <v>7.6</v>
      </c>
      <c r="AB60" s="1">
        <v>4.8</v>
      </c>
      <c r="AC60" s="1">
        <v>3.6</v>
      </c>
      <c r="AD60" s="1">
        <v>3</v>
      </c>
      <c r="AE60" s="1">
        <v>2.2000000000000002</v>
      </c>
      <c r="AF60" s="1">
        <v>5.2</v>
      </c>
      <c r="AG60" s="1">
        <v>5.4</v>
      </c>
      <c r="AH60" s="1">
        <v>4.2</v>
      </c>
      <c r="AI60" s="1">
        <v>4.4000000000000004</v>
      </c>
      <c r="AJ60" s="16" t="s">
        <v>48</v>
      </c>
      <c r="AK60" s="1">
        <f t="shared" si="9"/>
        <v>0</v>
      </c>
      <c r="AL60" s="1">
        <f t="shared" si="10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96</v>
      </c>
      <c r="B61" s="1" t="s">
        <v>38</v>
      </c>
      <c r="C61" s="1">
        <v>25.97</v>
      </c>
      <c r="D61" s="1"/>
      <c r="E61" s="1">
        <v>7.9459999999999997</v>
      </c>
      <c r="F61" s="1">
        <v>15.279</v>
      </c>
      <c r="G61" s="7">
        <v>1</v>
      </c>
      <c r="H61" s="1">
        <v>40</v>
      </c>
      <c r="I61" s="1" t="s">
        <v>173</v>
      </c>
      <c r="J61" s="1"/>
      <c r="K61" s="1">
        <v>10.199999999999999</v>
      </c>
      <c r="L61" s="1">
        <f t="shared" si="15"/>
        <v>-2.2539999999999996</v>
      </c>
      <c r="M61" s="1"/>
      <c r="N61" s="1"/>
      <c r="O61" s="1">
        <v>7.7032000000000016</v>
      </c>
      <c r="P61" s="1"/>
      <c r="Q61" s="1"/>
      <c r="R61" s="1">
        <v>12.0678</v>
      </c>
      <c r="S61" s="1">
        <f t="shared" si="4"/>
        <v>1.5891999999999999</v>
      </c>
      <c r="T61" s="5"/>
      <c r="U61" s="5">
        <f t="shared" si="11"/>
        <v>0</v>
      </c>
      <c r="V61" s="5">
        <f t="shared" si="6"/>
        <v>0</v>
      </c>
      <c r="W61" s="5"/>
      <c r="X61" s="1">
        <f t="shared" si="7"/>
        <v>22.055122073999499</v>
      </c>
      <c r="Y61" s="1">
        <f t="shared" si="8"/>
        <v>22.055122073999499</v>
      </c>
      <c r="Z61" s="1">
        <v>3.0236000000000001</v>
      </c>
      <c r="AA61" s="1">
        <v>3.0611999999999999</v>
      </c>
      <c r="AB61" s="1">
        <v>0.83219999999999994</v>
      </c>
      <c r="AC61" s="1">
        <v>0</v>
      </c>
      <c r="AD61" s="1">
        <v>0</v>
      </c>
      <c r="AE61" s="1">
        <v>0</v>
      </c>
      <c r="AF61" s="1">
        <v>3.2136</v>
      </c>
      <c r="AG61" s="1">
        <v>3.2136</v>
      </c>
      <c r="AH61" s="1">
        <v>1.5266</v>
      </c>
      <c r="AI61" s="1">
        <v>2.9758</v>
      </c>
      <c r="AJ61" s="1"/>
      <c r="AK61" s="1">
        <f t="shared" si="9"/>
        <v>0</v>
      </c>
      <c r="AL61" s="1">
        <f t="shared" si="10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97</v>
      </c>
      <c r="B62" s="1" t="s">
        <v>38</v>
      </c>
      <c r="C62" s="1">
        <v>143.94900000000001</v>
      </c>
      <c r="D62" s="1">
        <v>1.345</v>
      </c>
      <c r="E62" s="1">
        <v>18.257999999999999</v>
      </c>
      <c r="F62" s="1">
        <v>123.623</v>
      </c>
      <c r="G62" s="7">
        <v>1</v>
      </c>
      <c r="H62" s="1">
        <v>40</v>
      </c>
      <c r="I62" s="1" t="s">
        <v>173</v>
      </c>
      <c r="J62" s="1"/>
      <c r="K62" s="1">
        <v>21.9</v>
      </c>
      <c r="L62" s="1">
        <f t="shared" si="15"/>
        <v>-3.6419999999999995</v>
      </c>
      <c r="M62" s="1"/>
      <c r="N62" s="1"/>
      <c r="O62" s="1">
        <v>0</v>
      </c>
      <c r="P62" s="1"/>
      <c r="Q62" s="1"/>
      <c r="R62" s="1">
        <v>0</v>
      </c>
      <c r="S62" s="1">
        <f t="shared" si="4"/>
        <v>3.6515999999999997</v>
      </c>
      <c r="T62" s="5"/>
      <c r="U62" s="5">
        <f t="shared" si="11"/>
        <v>0</v>
      </c>
      <c r="V62" s="5">
        <f t="shared" si="6"/>
        <v>0</v>
      </c>
      <c r="W62" s="5"/>
      <c r="X62" s="1">
        <f t="shared" si="7"/>
        <v>33.854474750794175</v>
      </c>
      <c r="Y62" s="1">
        <f t="shared" si="8"/>
        <v>33.854474750794175</v>
      </c>
      <c r="Z62" s="1">
        <v>5.5808</v>
      </c>
      <c r="AA62" s="1">
        <v>9.1449999999999996</v>
      </c>
      <c r="AB62" s="1">
        <v>8.0937999999999999</v>
      </c>
      <c r="AC62" s="1">
        <v>4.8628</v>
      </c>
      <c r="AD62" s="1">
        <v>0</v>
      </c>
      <c r="AE62" s="1">
        <v>1.8466</v>
      </c>
      <c r="AF62" s="1">
        <v>17.136600000000001</v>
      </c>
      <c r="AG62" s="1">
        <v>19.513000000000002</v>
      </c>
      <c r="AH62" s="1">
        <v>-6.1999999999999998E-3</v>
      </c>
      <c r="AI62" s="1">
        <v>10.728199999999999</v>
      </c>
      <c r="AJ62" s="17" t="s">
        <v>117</v>
      </c>
      <c r="AK62" s="1">
        <f t="shared" si="9"/>
        <v>0</v>
      </c>
      <c r="AL62" s="1">
        <f t="shared" si="10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98</v>
      </c>
      <c r="B63" s="1" t="s">
        <v>42</v>
      </c>
      <c r="C63" s="1">
        <v>712</v>
      </c>
      <c r="D63" s="1">
        <v>152</v>
      </c>
      <c r="E63" s="1">
        <v>406</v>
      </c>
      <c r="F63" s="1">
        <v>398</v>
      </c>
      <c r="G63" s="7">
        <v>0.4</v>
      </c>
      <c r="H63" s="1">
        <v>40</v>
      </c>
      <c r="I63" s="1" t="s">
        <v>173</v>
      </c>
      <c r="J63" s="1"/>
      <c r="K63" s="1">
        <v>426</v>
      </c>
      <c r="L63" s="1">
        <f t="shared" si="15"/>
        <v>-20</v>
      </c>
      <c r="M63" s="1"/>
      <c r="N63" s="1"/>
      <c r="O63" s="1">
        <v>310.67999999999978</v>
      </c>
      <c r="P63" s="1"/>
      <c r="Q63" s="1"/>
      <c r="R63" s="1">
        <v>20.300000000000029</v>
      </c>
      <c r="S63" s="1">
        <f t="shared" si="4"/>
        <v>81.2</v>
      </c>
      <c r="T63" s="5">
        <f t="shared" si="16"/>
        <v>164.22000000000025</v>
      </c>
      <c r="U63" s="5">
        <f t="shared" si="11"/>
        <v>164.22000000000025</v>
      </c>
      <c r="V63" s="5">
        <f t="shared" si="6"/>
        <v>114.22000000000025</v>
      </c>
      <c r="W63" s="5">
        <v>50</v>
      </c>
      <c r="X63" s="1">
        <f t="shared" si="7"/>
        <v>11.000000000000002</v>
      </c>
      <c r="Y63" s="1">
        <f t="shared" si="8"/>
        <v>8.9775862068965502</v>
      </c>
      <c r="Z63" s="1">
        <v>86.2</v>
      </c>
      <c r="AA63" s="1">
        <v>112.6</v>
      </c>
      <c r="AB63" s="1">
        <v>85.6</v>
      </c>
      <c r="AC63" s="1">
        <v>71.599999999999994</v>
      </c>
      <c r="AD63" s="1">
        <v>109.6</v>
      </c>
      <c r="AE63" s="1">
        <v>96.8</v>
      </c>
      <c r="AF63" s="1">
        <v>28.4</v>
      </c>
      <c r="AG63" s="1">
        <v>40</v>
      </c>
      <c r="AH63" s="1">
        <v>106.4</v>
      </c>
      <c r="AI63" s="1">
        <v>50.4</v>
      </c>
      <c r="AJ63" s="1"/>
      <c r="AK63" s="1">
        <f t="shared" si="9"/>
        <v>46</v>
      </c>
      <c r="AL63" s="1">
        <f t="shared" si="10"/>
        <v>20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99</v>
      </c>
      <c r="B64" s="1" t="s">
        <v>42</v>
      </c>
      <c r="C64" s="1">
        <v>574</v>
      </c>
      <c r="D64" s="1">
        <v>12</v>
      </c>
      <c r="E64" s="1">
        <v>345</v>
      </c>
      <c r="F64" s="1">
        <v>214</v>
      </c>
      <c r="G64" s="7">
        <v>0.4</v>
      </c>
      <c r="H64" s="1">
        <v>40</v>
      </c>
      <c r="I64" s="1" t="s">
        <v>173</v>
      </c>
      <c r="J64" s="1"/>
      <c r="K64" s="1">
        <v>356</v>
      </c>
      <c r="L64" s="1">
        <f t="shared" si="15"/>
        <v>-11</v>
      </c>
      <c r="M64" s="1"/>
      <c r="N64" s="1"/>
      <c r="O64" s="1">
        <v>218.40000000000009</v>
      </c>
      <c r="P64" s="1"/>
      <c r="Q64" s="1"/>
      <c r="R64" s="1">
        <v>76.099999999999909</v>
      </c>
      <c r="S64" s="1">
        <f t="shared" si="4"/>
        <v>69</v>
      </c>
      <c r="T64" s="5">
        <f t="shared" si="16"/>
        <v>250.5</v>
      </c>
      <c r="U64" s="5">
        <f t="shared" si="11"/>
        <v>250.5</v>
      </c>
      <c r="V64" s="5">
        <f t="shared" si="6"/>
        <v>150.5</v>
      </c>
      <c r="W64" s="5">
        <v>100</v>
      </c>
      <c r="X64" s="1">
        <f t="shared" si="7"/>
        <v>11</v>
      </c>
      <c r="Y64" s="1">
        <f t="shared" si="8"/>
        <v>7.3695652173913047</v>
      </c>
      <c r="Z64" s="1">
        <v>57.4</v>
      </c>
      <c r="AA64" s="1">
        <v>72.400000000000006</v>
      </c>
      <c r="AB64" s="1">
        <v>47.8</v>
      </c>
      <c r="AC64" s="1">
        <v>37.4</v>
      </c>
      <c r="AD64" s="1">
        <v>71.599999999999994</v>
      </c>
      <c r="AE64" s="1">
        <v>76.599999999999994</v>
      </c>
      <c r="AF64" s="1">
        <v>54.2</v>
      </c>
      <c r="AG64" s="1">
        <v>24</v>
      </c>
      <c r="AH64" s="1">
        <v>59.8</v>
      </c>
      <c r="AI64" s="1">
        <v>28.2</v>
      </c>
      <c r="AJ64" s="1"/>
      <c r="AK64" s="1">
        <f t="shared" si="9"/>
        <v>60</v>
      </c>
      <c r="AL64" s="1">
        <f t="shared" si="10"/>
        <v>40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100</v>
      </c>
      <c r="B65" s="1" t="s">
        <v>38</v>
      </c>
      <c r="C65" s="1">
        <v>43.634999999999998</v>
      </c>
      <c r="D65" s="1">
        <v>221.685</v>
      </c>
      <c r="E65" s="1">
        <v>62.822000000000003</v>
      </c>
      <c r="F65" s="1">
        <v>168.77199999999999</v>
      </c>
      <c r="G65" s="7">
        <v>1</v>
      </c>
      <c r="H65" s="1">
        <v>40</v>
      </c>
      <c r="I65" s="1" t="s">
        <v>173</v>
      </c>
      <c r="J65" s="1"/>
      <c r="K65" s="1">
        <v>95.4</v>
      </c>
      <c r="L65" s="1">
        <f t="shared" si="15"/>
        <v>-32.578000000000003</v>
      </c>
      <c r="M65" s="1"/>
      <c r="N65" s="1"/>
      <c r="O65" s="1">
        <v>198.11680000000001</v>
      </c>
      <c r="P65" s="1"/>
      <c r="Q65" s="1"/>
      <c r="R65" s="1">
        <v>0</v>
      </c>
      <c r="S65" s="1">
        <f t="shared" si="4"/>
        <v>12.564400000000001</v>
      </c>
      <c r="T65" s="5"/>
      <c r="U65" s="5">
        <f t="shared" si="11"/>
        <v>0</v>
      </c>
      <c r="V65" s="5">
        <f t="shared" si="6"/>
        <v>0</v>
      </c>
      <c r="W65" s="5"/>
      <c r="X65" s="1">
        <f t="shared" si="7"/>
        <v>29.200662188405335</v>
      </c>
      <c r="Y65" s="1">
        <f t="shared" si="8"/>
        <v>29.200662188405335</v>
      </c>
      <c r="Z65" s="1">
        <v>29.346399999999999</v>
      </c>
      <c r="AA65" s="1">
        <v>40.2258</v>
      </c>
      <c r="AB65" s="1">
        <v>30.734999999999999</v>
      </c>
      <c r="AC65" s="1">
        <v>15.739000000000001</v>
      </c>
      <c r="AD65" s="1">
        <v>10.629</v>
      </c>
      <c r="AE65" s="1">
        <v>20.083200000000001</v>
      </c>
      <c r="AF65" s="1">
        <v>31.709599999999998</v>
      </c>
      <c r="AG65" s="1">
        <v>30.7652</v>
      </c>
      <c r="AH65" s="1">
        <v>27.3794</v>
      </c>
      <c r="AI65" s="1">
        <v>29.851400000000002</v>
      </c>
      <c r="AJ65" s="1"/>
      <c r="AK65" s="1">
        <f t="shared" si="9"/>
        <v>0</v>
      </c>
      <c r="AL65" s="1">
        <f t="shared" si="10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101</v>
      </c>
      <c r="B66" s="1" t="s">
        <v>38</v>
      </c>
      <c r="C66" s="1">
        <v>207.125</v>
      </c>
      <c r="D66" s="1">
        <v>29.832999999999998</v>
      </c>
      <c r="E66" s="1">
        <v>176.417</v>
      </c>
      <c r="F66" s="1">
        <v>7.7519999999999998</v>
      </c>
      <c r="G66" s="7">
        <v>1</v>
      </c>
      <c r="H66" s="1">
        <v>40</v>
      </c>
      <c r="I66" s="1" t="s">
        <v>173</v>
      </c>
      <c r="J66" s="1"/>
      <c r="K66" s="1">
        <v>167.5</v>
      </c>
      <c r="L66" s="1">
        <f t="shared" si="15"/>
        <v>8.9170000000000016</v>
      </c>
      <c r="M66" s="1"/>
      <c r="N66" s="1"/>
      <c r="O66" s="1">
        <v>185.57831999999991</v>
      </c>
      <c r="P66" s="1"/>
      <c r="Q66" s="1"/>
      <c r="R66" s="1">
        <v>63.932800000000043</v>
      </c>
      <c r="S66" s="1">
        <f t="shared" si="4"/>
        <v>35.2834</v>
      </c>
      <c r="T66" s="5">
        <f t="shared" si="16"/>
        <v>130.85428000000002</v>
      </c>
      <c r="U66" s="5">
        <f t="shared" si="11"/>
        <v>130.85428000000002</v>
      </c>
      <c r="V66" s="5">
        <f t="shared" si="6"/>
        <v>96.854280000000017</v>
      </c>
      <c r="W66" s="5">
        <v>34</v>
      </c>
      <c r="X66" s="1">
        <f t="shared" si="7"/>
        <v>11</v>
      </c>
      <c r="Y66" s="1">
        <f t="shared" si="8"/>
        <v>7.2913358689922161</v>
      </c>
      <c r="Z66" s="1">
        <v>31.5944</v>
      </c>
      <c r="AA66" s="1">
        <v>36.930199999999999</v>
      </c>
      <c r="AB66" s="1">
        <v>26.832999999999998</v>
      </c>
      <c r="AC66" s="1">
        <v>11.881</v>
      </c>
      <c r="AD66" s="1">
        <v>23.1356</v>
      </c>
      <c r="AE66" s="1">
        <v>31.2576</v>
      </c>
      <c r="AF66" s="1">
        <v>30.326599999999999</v>
      </c>
      <c r="AG66" s="1">
        <v>27.802</v>
      </c>
      <c r="AH66" s="1">
        <v>26.757999999999999</v>
      </c>
      <c r="AI66" s="1">
        <v>25.724399999999999</v>
      </c>
      <c r="AJ66" s="1"/>
      <c r="AK66" s="1">
        <f t="shared" si="9"/>
        <v>97</v>
      </c>
      <c r="AL66" s="1">
        <f t="shared" si="10"/>
        <v>34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102</v>
      </c>
      <c r="B67" s="1" t="s">
        <v>38</v>
      </c>
      <c r="C67" s="1">
        <v>947.95100000000002</v>
      </c>
      <c r="D67" s="1">
        <v>15.412000000000001</v>
      </c>
      <c r="E67" s="1">
        <v>424.10500000000002</v>
      </c>
      <c r="F67" s="1">
        <v>457.35700000000003</v>
      </c>
      <c r="G67" s="7">
        <v>1</v>
      </c>
      <c r="H67" s="1">
        <v>40</v>
      </c>
      <c r="I67" s="1" t="s">
        <v>173</v>
      </c>
      <c r="J67" s="1"/>
      <c r="K67" s="1">
        <v>391.214</v>
      </c>
      <c r="L67" s="1">
        <f t="shared" si="15"/>
        <v>32.89100000000002</v>
      </c>
      <c r="M67" s="1"/>
      <c r="N67" s="1"/>
      <c r="O67" s="1">
        <v>0</v>
      </c>
      <c r="P67" s="1"/>
      <c r="Q67" s="1"/>
      <c r="R67" s="1">
        <v>6.3483399999999506</v>
      </c>
      <c r="S67" s="1">
        <f t="shared" si="4"/>
        <v>84.820999999999998</v>
      </c>
      <c r="T67" s="5">
        <f t="shared" si="16"/>
        <v>469.32565999999991</v>
      </c>
      <c r="U67" s="5">
        <f t="shared" si="11"/>
        <v>469.32565999999991</v>
      </c>
      <c r="V67" s="5">
        <f t="shared" si="6"/>
        <v>269.32565999999991</v>
      </c>
      <c r="W67" s="5">
        <v>200</v>
      </c>
      <c r="X67" s="1">
        <f t="shared" si="7"/>
        <v>11</v>
      </c>
      <c r="Y67" s="1">
        <f t="shared" si="8"/>
        <v>5.466869525235496</v>
      </c>
      <c r="Z67" s="1">
        <v>67.469399999999993</v>
      </c>
      <c r="AA67" s="1">
        <v>80.919799999999995</v>
      </c>
      <c r="AB67" s="1">
        <v>73.772799999999989</v>
      </c>
      <c r="AC67" s="1">
        <v>73.477000000000004</v>
      </c>
      <c r="AD67" s="1">
        <v>111.7908</v>
      </c>
      <c r="AE67" s="1">
        <v>92.128999999999991</v>
      </c>
      <c r="AF67" s="1">
        <v>74.011400000000009</v>
      </c>
      <c r="AG67" s="1">
        <v>96.486999999999995</v>
      </c>
      <c r="AH67" s="1">
        <v>88.301000000000002</v>
      </c>
      <c r="AI67" s="1">
        <v>78.686999999999998</v>
      </c>
      <c r="AJ67" s="1"/>
      <c r="AK67" s="1">
        <f t="shared" si="9"/>
        <v>269</v>
      </c>
      <c r="AL67" s="1">
        <f t="shared" si="10"/>
        <v>200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103</v>
      </c>
      <c r="B68" s="1" t="s">
        <v>38</v>
      </c>
      <c r="C68" s="1">
        <v>221.66300000000001</v>
      </c>
      <c r="D68" s="1">
        <v>22.39</v>
      </c>
      <c r="E68" s="1">
        <v>159.38800000000001</v>
      </c>
      <c r="F68" s="1">
        <v>31.113</v>
      </c>
      <c r="G68" s="7">
        <v>1</v>
      </c>
      <c r="H68" s="1">
        <v>40</v>
      </c>
      <c r="I68" s="1" t="s">
        <v>173</v>
      </c>
      <c r="J68" s="1"/>
      <c r="K68" s="1">
        <v>154.1</v>
      </c>
      <c r="L68" s="1">
        <f t="shared" si="15"/>
        <v>5.2880000000000109</v>
      </c>
      <c r="M68" s="1"/>
      <c r="N68" s="1"/>
      <c r="O68" s="1">
        <v>141.01060000000001</v>
      </c>
      <c r="P68" s="1"/>
      <c r="Q68" s="1"/>
      <c r="R68" s="1">
        <v>49.600400000000008</v>
      </c>
      <c r="S68" s="1">
        <f t="shared" si="4"/>
        <v>31.877600000000001</v>
      </c>
      <c r="T68" s="5">
        <f t="shared" si="16"/>
        <v>128.92959999999994</v>
      </c>
      <c r="U68" s="5">
        <f t="shared" si="11"/>
        <v>128.92959999999994</v>
      </c>
      <c r="V68" s="5">
        <f t="shared" si="6"/>
        <v>128.92959999999994</v>
      </c>
      <c r="W68" s="5"/>
      <c r="X68" s="1">
        <f t="shared" si="7"/>
        <v>10.999999999999998</v>
      </c>
      <c r="Y68" s="1">
        <f t="shared" si="8"/>
        <v>6.9554797098903309</v>
      </c>
      <c r="Z68" s="1">
        <v>27.787199999999999</v>
      </c>
      <c r="AA68" s="1">
        <v>32.726599999999998</v>
      </c>
      <c r="AB68" s="1">
        <v>26.318200000000001</v>
      </c>
      <c r="AC68" s="1">
        <v>15.6272</v>
      </c>
      <c r="AD68" s="1">
        <v>17.955400000000001</v>
      </c>
      <c r="AE68" s="1">
        <v>33.378999999999998</v>
      </c>
      <c r="AF68" s="1">
        <v>41.163799999999988</v>
      </c>
      <c r="AG68" s="1">
        <v>30.2788</v>
      </c>
      <c r="AH68" s="1">
        <v>22.077200000000001</v>
      </c>
      <c r="AI68" s="1">
        <v>26.0336</v>
      </c>
      <c r="AJ68" s="1"/>
      <c r="AK68" s="1">
        <f t="shared" si="9"/>
        <v>129</v>
      </c>
      <c r="AL68" s="1">
        <f t="shared" si="10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104</v>
      </c>
      <c r="B69" s="1" t="s">
        <v>42</v>
      </c>
      <c r="C69" s="1">
        <v>25</v>
      </c>
      <c r="D69" s="1"/>
      <c r="E69" s="1">
        <v>8</v>
      </c>
      <c r="F69" s="1">
        <v>17</v>
      </c>
      <c r="G69" s="7">
        <v>0.6</v>
      </c>
      <c r="H69" s="1">
        <v>70</v>
      </c>
      <c r="I69" s="1" t="s">
        <v>173</v>
      </c>
      <c r="J69" s="1"/>
      <c r="K69" s="1">
        <v>8</v>
      </c>
      <c r="L69" s="1">
        <f t="shared" si="15"/>
        <v>0</v>
      </c>
      <c r="M69" s="1"/>
      <c r="N69" s="1"/>
      <c r="O69" s="1">
        <v>34.400000000000013</v>
      </c>
      <c r="P69" s="1"/>
      <c r="Q69" s="1"/>
      <c r="R69" s="1">
        <v>11.099999999999991</v>
      </c>
      <c r="S69" s="1">
        <f t="shared" si="4"/>
        <v>1.6</v>
      </c>
      <c r="T69" s="5"/>
      <c r="U69" s="5">
        <f t="shared" si="11"/>
        <v>0</v>
      </c>
      <c r="V69" s="5">
        <f t="shared" si="6"/>
        <v>0</v>
      </c>
      <c r="W69" s="5"/>
      <c r="X69" s="1">
        <f t="shared" si="7"/>
        <v>39.0625</v>
      </c>
      <c r="Y69" s="1">
        <f t="shared" si="8"/>
        <v>39.0625</v>
      </c>
      <c r="Z69" s="1">
        <v>5</v>
      </c>
      <c r="AA69" s="1">
        <v>5.4</v>
      </c>
      <c r="AB69" s="1">
        <v>2</v>
      </c>
      <c r="AC69" s="1">
        <v>1.8</v>
      </c>
      <c r="AD69" s="1">
        <v>2.8</v>
      </c>
      <c r="AE69" s="1">
        <v>2.2000000000000002</v>
      </c>
      <c r="AF69" s="1">
        <v>2</v>
      </c>
      <c r="AG69" s="1">
        <v>3</v>
      </c>
      <c r="AH69" s="1">
        <v>4.8</v>
      </c>
      <c r="AI69" s="1">
        <v>2.8</v>
      </c>
      <c r="AJ69" s="16" t="s">
        <v>48</v>
      </c>
      <c r="AK69" s="1">
        <f t="shared" si="9"/>
        <v>0</v>
      </c>
      <c r="AL69" s="1">
        <f t="shared" si="10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105</v>
      </c>
      <c r="B70" s="1" t="s">
        <v>38</v>
      </c>
      <c r="C70" s="1">
        <v>237.77199999999999</v>
      </c>
      <c r="D70" s="1">
        <v>745.30799999999999</v>
      </c>
      <c r="E70" s="1">
        <v>404.68700000000001</v>
      </c>
      <c r="F70" s="1">
        <v>501.55</v>
      </c>
      <c r="G70" s="7">
        <v>1</v>
      </c>
      <c r="H70" s="1">
        <v>30</v>
      </c>
      <c r="I70" s="1" t="s">
        <v>173</v>
      </c>
      <c r="J70" s="1"/>
      <c r="K70" s="1">
        <v>432.75</v>
      </c>
      <c r="L70" s="1">
        <f t="shared" ref="L70:L101" si="17">E70-K70</f>
        <v>-28.062999999999988</v>
      </c>
      <c r="M70" s="1"/>
      <c r="N70" s="1"/>
      <c r="O70" s="1">
        <v>0</v>
      </c>
      <c r="P70" s="1"/>
      <c r="Q70" s="1"/>
      <c r="R70" s="1">
        <v>0</v>
      </c>
      <c r="S70" s="1">
        <f t="shared" si="4"/>
        <v>80.937399999999997</v>
      </c>
      <c r="T70" s="5">
        <f t="shared" si="16"/>
        <v>388.76139999999992</v>
      </c>
      <c r="U70" s="5">
        <f t="shared" si="11"/>
        <v>388.76139999999992</v>
      </c>
      <c r="V70" s="5">
        <f t="shared" si="6"/>
        <v>188.76139999999992</v>
      </c>
      <c r="W70" s="5">
        <v>200</v>
      </c>
      <c r="X70" s="1">
        <f t="shared" si="7"/>
        <v>11</v>
      </c>
      <c r="Y70" s="1">
        <f t="shared" si="8"/>
        <v>6.1967644129907811</v>
      </c>
      <c r="Z70" s="1">
        <v>39.692799999999998</v>
      </c>
      <c r="AA70" s="1">
        <v>48.635199999999998</v>
      </c>
      <c r="AB70" s="1">
        <v>81.170600000000007</v>
      </c>
      <c r="AC70" s="1">
        <v>85.153199999999998</v>
      </c>
      <c r="AD70" s="1">
        <v>45.728400000000001</v>
      </c>
      <c r="AE70" s="1">
        <v>6.1534000000000004</v>
      </c>
      <c r="AF70" s="1">
        <v>39.178400000000003</v>
      </c>
      <c r="AG70" s="1">
        <v>76.381600000000006</v>
      </c>
      <c r="AH70" s="1">
        <v>39.561799999999998</v>
      </c>
      <c r="AI70" s="1">
        <v>37.741399999999999</v>
      </c>
      <c r="AJ70" s="1"/>
      <c r="AK70" s="1">
        <f t="shared" si="9"/>
        <v>189</v>
      </c>
      <c r="AL70" s="1">
        <f t="shared" si="10"/>
        <v>200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106</v>
      </c>
      <c r="B71" s="1" t="s">
        <v>42</v>
      </c>
      <c r="C71" s="1">
        <v>136</v>
      </c>
      <c r="D71" s="1"/>
      <c r="E71" s="1">
        <v>115</v>
      </c>
      <c r="F71" s="1">
        <v>21</v>
      </c>
      <c r="G71" s="7">
        <v>0.6</v>
      </c>
      <c r="H71" s="1">
        <v>60</v>
      </c>
      <c r="I71" s="1" t="s">
        <v>173</v>
      </c>
      <c r="J71" s="1"/>
      <c r="K71" s="1">
        <v>88</v>
      </c>
      <c r="L71" s="1">
        <f t="shared" si="17"/>
        <v>27</v>
      </c>
      <c r="M71" s="1"/>
      <c r="N71" s="1"/>
      <c r="O71" s="1">
        <v>0</v>
      </c>
      <c r="P71" s="1"/>
      <c r="Q71" s="1"/>
      <c r="R71" s="1">
        <v>30</v>
      </c>
      <c r="S71" s="1">
        <f t="shared" ref="S71:S112" si="18">E71/5</f>
        <v>23</v>
      </c>
      <c r="T71" s="5">
        <f>7*S71-R71-Q71-P71-O71-F71</f>
        <v>110</v>
      </c>
      <c r="U71" s="5">
        <f t="shared" ref="U71:U133" si="19">T71</f>
        <v>110</v>
      </c>
      <c r="V71" s="5">
        <f t="shared" ref="V71:V133" si="20">U71-W71</f>
        <v>110</v>
      </c>
      <c r="W71" s="5"/>
      <c r="X71" s="1">
        <f t="shared" ref="X71:X133" si="21">(F71+O71+P71+Q71+R71+U71)/S71</f>
        <v>7</v>
      </c>
      <c r="Y71" s="1">
        <f t="shared" ref="Y71:Y112" si="22">(F71+O71+P71+Q71+R71)/S71</f>
        <v>2.2173913043478262</v>
      </c>
      <c r="Z71" s="1">
        <v>12.4</v>
      </c>
      <c r="AA71" s="1">
        <v>11.8</v>
      </c>
      <c r="AB71" s="1">
        <v>3.8</v>
      </c>
      <c r="AC71" s="1">
        <v>3.8</v>
      </c>
      <c r="AD71" s="1">
        <v>12.6</v>
      </c>
      <c r="AE71" s="1">
        <v>15.2</v>
      </c>
      <c r="AF71" s="1">
        <v>13.6</v>
      </c>
      <c r="AG71" s="1">
        <v>12.6</v>
      </c>
      <c r="AH71" s="1">
        <v>14.2</v>
      </c>
      <c r="AI71" s="1">
        <v>5.8</v>
      </c>
      <c r="AJ71" s="1"/>
      <c r="AK71" s="1">
        <f t="shared" ref="AK71:AL133" si="23">ROUND(G71*V71,0)</f>
        <v>66</v>
      </c>
      <c r="AL71" s="1">
        <f t="shared" ref="AL71:AL133" si="24">ROUND(G71*W71,0)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107</v>
      </c>
      <c r="B72" s="1" t="s">
        <v>42</v>
      </c>
      <c r="C72" s="1">
        <v>244</v>
      </c>
      <c r="D72" s="1">
        <v>8</v>
      </c>
      <c r="E72" s="1">
        <v>100</v>
      </c>
      <c r="F72" s="1">
        <v>136</v>
      </c>
      <c r="G72" s="7">
        <v>0.4</v>
      </c>
      <c r="H72" s="1">
        <v>90</v>
      </c>
      <c r="I72" s="1" t="s">
        <v>173</v>
      </c>
      <c r="J72" s="1"/>
      <c r="K72" s="1">
        <v>101</v>
      </c>
      <c r="L72" s="1">
        <f t="shared" si="17"/>
        <v>-1</v>
      </c>
      <c r="M72" s="1"/>
      <c r="N72" s="1"/>
      <c r="O72" s="1">
        <v>35.399999999999977</v>
      </c>
      <c r="P72" s="1"/>
      <c r="Q72" s="1"/>
      <c r="R72" s="1">
        <v>28.100000000000019</v>
      </c>
      <c r="S72" s="1">
        <f t="shared" si="18"/>
        <v>20</v>
      </c>
      <c r="T72" s="5">
        <f t="shared" si="16"/>
        <v>20.5</v>
      </c>
      <c r="U72" s="5">
        <f t="shared" si="19"/>
        <v>20.5</v>
      </c>
      <c r="V72" s="5">
        <f t="shared" si="20"/>
        <v>20.5</v>
      </c>
      <c r="W72" s="5"/>
      <c r="X72" s="1">
        <f t="shared" si="21"/>
        <v>11</v>
      </c>
      <c r="Y72" s="1">
        <f t="shared" si="22"/>
        <v>9.9749999999999996</v>
      </c>
      <c r="Z72" s="1">
        <v>20.6</v>
      </c>
      <c r="AA72" s="1">
        <v>25.4</v>
      </c>
      <c r="AB72" s="1">
        <v>19.2</v>
      </c>
      <c r="AC72" s="1">
        <v>19.600000000000001</v>
      </c>
      <c r="AD72" s="1">
        <v>29.2</v>
      </c>
      <c r="AE72" s="1">
        <v>21</v>
      </c>
      <c r="AF72" s="1">
        <v>5.2</v>
      </c>
      <c r="AG72" s="1">
        <v>7.6</v>
      </c>
      <c r="AH72" s="1">
        <v>17.2</v>
      </c>
      <c r="AI72" s="1">
        <v>7</v>
      </c>
      <c r="AJ72" s="1"/>
      <c r="AK72" s="1">
        <f t="shared" si="23"/>
        <v>8</v>
      </c>
      <c r="AL72" s="1">
        <f t="shared" si="24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108</v>
      </c>
      <c r="B73" s="1" t="s">
        <v>42</v>
      </c>
      <c r="C73" s="1">
        <v>376</v>
      </c>
      <c r="D73" s="1">
        <v>8</v>
      </c>
      <c r="E73" s="1">
        <v>168</v>
      </c>
      <c r="F73" s="1">
        <v>183</v>
      </c>
      <c r="G73" s="7">
        <v>0.33</v>
      </c>
      <c r="H73" s="1">
        <v>60</v>
      </c>
      <c r="I73" s="1" t="s">
        <v>173</v>
      </c>
      <c r="J73" s="1"/>
      <c r="K73" s="1">
        <v>163</v>
      </c>
      <c r="L73" s="1">
        <f t="shared" si="17"/>
        <v>5</v>
      </c>
      <c r="M73" s="1"/>
      <c r="N73" s="1"/>
      <c r="O73" s="1">
        <v>0</v>
      </c>
      <c r="P73" s="1"/>
      <c r="Q73" s="1"/>
      <c r="R73" s="1">
        <v>64</v>
      </c>
      <c r="S73" s="1">
        <f t="shared" si="18"/>
        <v>33.6</v>
      </c>
      <c r="T73" s="5">
        <f t="shared" si="16"/>
        <v>122.60000000000002</v>
      </c>
      <c r="U73" s="5">
        <f t="shared" si="19"/>
        <v>122.60000000000002</v>
      </c>
      <c r="V73" s="5">
        <f t="shared" si="20"/>
        <v>122.60000000000002</v>
      </c>
      <c r="W73" s="5"/>
      <c r="X73" s="1">
        <f t="shared" si="21"/>
        <v>11</v>
      </c>
      <c r="Y73" s="1">
        <f t="shared" si="22"/>
        <v>7.3511904761904763</v>
      </c>
      <c r="Z73" s="1">
        <v>25.6</v>
      </c>
      <c r="AA73" s="1">
        <v>14.8</v>
      </c>
      <c r="AB73" s="1">
        <v>21</v>
      </c>
      <c r="AC73" s="1">
        <v>30.8</v>
      </c>
      <c r="AD73" s="1">
        <v>40.200000000000003</v>
      </c>
      <c r="AE73" s="1">
        <v>28.2</v>
      </c>
      <c r="AF73" s="1">
        <v>8</v>
      </c>
      <c r="AG73" s="1">
        <v>14</v>
      </c>
      <c r="AH73" s="1">
        <v>18.399999999999999</v>
      </c>
      <c r="AI73" s="1">
        <v>12.4</v>
      </c>
      <c r="AJ73" s="1"/>
      <c r="AK73" s="1">
        <f t="shared" si="23"/>
        <v>40</v>
      </c>
      <c r="AL73" s="1">
        <f t="shared" si="24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109</v>
      </c>
      <c r="B74" s="1" t="s">
        <v>42</v>
      </c>
      <c r="C74" s="1">
        <v>82</v>
      </c>
      <c r="D74" s="1">
        <v>174</v>
      </c>
      <c r="E74" s="1">
        <v>67</v>
      </c>
      <c r="F74" s="1">
        <v>175</v>
      </c>
      <c r="G74" s="7">
        <v>0.35</v>
      </c>
      <c r="H74" s="1">
        <v>90</v>
      </c>
      <c r="I74" s="1" t="s">
        <v>173</v>
      </c>
      <c r="J74" s="1"/>
      <c r="K74" s="1">
        <v>72</v>
      </c>
      <c r="L74" s="1">
        <f t="shared" si="17"/>
        <v>-5</v>
      </c>
      <c r="M74" s="1"/>
      <c r="N74" s="1"/>
      <c r="O74" s="1">
        <v>0</v>
      </c>
      <c r="P74" s="1"/>
      <c r="Q74" s="1"/>
      <c r="R74" s="1">
        <v>0</v>
      </c>
      <c r="S74" s="1">
        <f t="shared" si="18"/>
        <v>13.4</v>
      </c>
      <c r="T74" s="5"/>
      <c r="U74" s="5">
        <f t="shared" si="19"/>
        <v>0</v>
      </c>
      <c r="V74" s="5">
        <f t="shared" si="20"/>
        <v>0</v>
      </c>
      <c r="W74" s="5"/>
      <c r="X74" s="1">
        <f t="shared" si="21"/>
        <v>13.059701492537313</v>
      </c>
      <c r="Y74" s="1">
        <f t="shared" si="22"/>
        <v>13.059701492537313</v>
      </c>
      <c r="Z74" s="1">
        <v>13.6</v>
      </c>
      <c r="AA74" s="1">
        <v>20.8</v>
      </c>
      <c r="AB74" s="1">
        <v>21.8</v>
      </c>
      <c r="AC74" s="1">
        <v>18.2</v>
      </c>
      <c r="AD74" s="1">
        <v>15</v>
      </c>
      <c r="AE74" s="1">
        <v>7.4</v>
      </c>
      <c r="AF74" s="1">
        <v>9</v>
      </c>
      <c r="AG74" s="1">
        <v>16.2</v>
      </c>
      <c r="AH74" s="1">
        <v>9</v>
      </c>
      <c r="AI74" s="1">
        <v>5.8</v>
      </c>
      <c r="AJ74" s="1"/>
      <c r="AK74" s="1">
        <f t="shared" si="23"/>
        <v>0</v>
      </c>
      <c r="AL74" s="1">
        <f t="shared" si="24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110</v>
      </c>
      <c r="B75" s="1" t="s">
        <v>42</v>
      </c>
      <c r="C75" s="1">
        <v>440</v>
      </c>
      <c r="D75" s="1">
        <v>2</v>
      </c>
      <c r="E75" s="1">
        <v>160</v>
      </c>
      <c r="F75" s="1">
        <v>280</v>
      </c>
      <c r="G75" s="7">
        <v>0.37</v>
      </c>
      <c r="H75" s="1">
        <v>50</v>
      </c>
      <c r="I75" s="1" t="s">
        <v>173</v>
      </c>
      <c r="J75" s="1"/>
      <c r="K75" s="1">
        <v>158</v>
      </c>
      <c r="L75" s="1">
        <f t="shared" si="17"/>
        <v>2</v>
      </c>
      <c r="M75" s="1"/>
      <c r="N75" s="1"/>
      <c r="O75" s="1">
        <v>0</v>
      </c>
      <c r="P75" s="1"/>
      <c r="Q75" s="1"/>
      <c r="R75" s="1">
        <v>0</v>
      </c>
      <c r="S75" s="1">
        <f t="shared" si="18"/>
        <v>32</v>
      </c>
      <c r="T75" s="5">
        <f t="shared" si="16"/>
        <v>72</v>
      </c>
      <c r="U75" s="5">
        <f t="shared" si="19"/>
        <v>72</v>
      </c>
      <c r="V75" s="5">
        <f t="shared" si="20"/>
        <v>72</v>
      </c>
      <c r="W75" s="5"/>
      <c r="X75" s="1">
        <f t="shared" si="21"/>
        <v>11</v>
      </c>
      <c r="Y75" s="1">
        <f t="shared" si="22"/>
        <v>8.75</v>
      </c>
      <c r="Z75" s="1">
        <v>24.8</v>
      </c>
      <c r="AA75" s="1">
        <v>30.8</v>
      </c>
      <c r="AB75" s="1">
        <v>26.4</v>
      </c>
      <c r="AC75" s="1">
        <v>18.2</v>
      </c>
      <c r="AD75" s="1">
        <v>32.4</v>
      </c>
      <c r="AE75" s="1">
        <v>44</v>
      </c>
      <c r="AF75" s="1">
        <v>41.8</v>
      </c>
      <c r="AG75" s="1">
        <v>34</v>
      </c>
      <c r="AH75" s="1">
        <v>22.4</v>
      </c>
      <c r="AI75" s="1">
        <v>41.6</v>
      </c>
      <c r="AJ75" s="1"/>
      <c r="AK75" s="1">
        <f t="shared" si="23"/>
        <v>27</v>
      </c>
      <c r="AL75" s="1">
        <f t="shared" si="24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111</v>
      </c>
      <c r="B76" s="1" t="s">
        <v>42</v>
      </c>
      <c r="C76" s="1">
        <v>118</v>
      </c>
      <c r="D76" s="1"/>
      <c r="E76" s="1">
        <v>51</v>
      </c>
      <c r="F76" s="1">
        <v>63</v>
      </c>
      <c r="G76" s="7">
        <v>0.33</v>
      </c>
      <c r="H76" s="1">
        <v>40</v>
      </c>
      <c r="I76" s="1" t="s">
        <v>173</v>
      </c>
      <c r="J76" s="1"/>
      <c r="K76" s="1">
        <v>49</v>
      </c>
      <c r="L76" s="1">
        <f t="shared" si="17"/>
        <v>2</v>
      </c>
      <c r="M76" s="1"/>
      <c r="N76" s="1"/>
      <c r="O76" s="1">
        <v>0</v>
      </c>
      <c r="P76" s="1"/>
      <c r="Q76" s="1"/>
      <c r="R76" s="1">
        <v>8.5</v>
      </c>
      <c r="S76" s="1">
        <f t="shared" si="18"/>
        <v>10.199999999999999</v>
      </c>
      <c r="T76" s="5">
        <f t="shared" si="16"/>
        <v>40.699999999999989</v>
      </c>
      <c r="U76" s="5">
        <f t="shared" si="19"/>
        <v>40.699999999999989</v>
      </c>
      <c r="V76" s="5">
        <f t="shared" si="20"/>
        <v>40.699999999999989</v>
      </c>
      <c r="W76" s="5"/>
      <c r="X76" s="1">
        <f t="shared" si="21"/>
        <v>11</v>
      </c>
      <c r="Y76" s="1">
        <f t="shared" si="22"/>
        <v>7.0098039215686283</v>
      </c>
      <c r="Z76" s="1">
        <v>7.4</v>
      </c>
      <c r="AA76" s="1">
        <v>7.6</v>
      </c>
      <c r="AB76" s="1">
        <v>6</v>
      </c>
      <c r="AC76" s="1">
        <v>0.8</v>
      </c>
      <c r="AD76" s="1">
        <v>7.4</v>
      </c>
      <c r="AE76" s="1">
        <v>11.2</v>
      </c>
      <c r="AF76" s="1">
        <v>12.2</v>
      </c>
      <c r="AG76" s="1">
        <v>8.1999999999999993</v>
      </c>
      <c r="AH76" s="1">
        <v>1</v>
      </c>
      <c r="AI76" s="1">
        <v>11.6</v>
      </c>
      <c r="AJ76" s="1"/>
      <c r="AK76" s="1">
        <f t="shared" si="23"/>
        <v>13</v>
      </c>
      <c r="AL76" s="1">
        <f t="shared" si="24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112</v>
      </c>
      <c r="B77" s="1" t="s">
        <v>42</v>
      </c>
      <c r="C77" s="1">
        <v>114</v>
      </c>
      <c r="D77" s="1">
        <v>121</v>
      </c>
      <c r="E77" s="1">
        <v>197</v>
      </c>
      <c r="F77" s="1">
        <v>38</v>
      </c>
      <c r="G77" s="7">
        <v>0.4</v>
      </c>
      <c r="H77" s="1">
        <v>55</v>
      </c>
      <c r="I77" s="1" t="s">
        <v>173</v>
      </c>
      <c r="J77" s="1"/>
      <c r="K77" s="1">
        <v>171</v>
      </c>
      <c r="L77" s="1">
        <f t="shared" si="17"/>
        <v>26</v>
      </c>
      <c r="M77" s="1"/>
      <c r="N77" s="1"/>
      <c r="O77" s="1">
        <v>0</v>
      </c>
      <c r="P77" s="1"/>
      <c r="Q77" s="1"/>
      <c r="R77" s="1">
        <v>0</v>
      </c>
      <c r="S77" s="1">
        <f t="shared" si="18"/>
        <v>39.4</v>
      </c>
      <c r="T77" s="5">
        <f>6*S77-R77-Q77-P77-O77-F77</f>
        <v>198.39999999999998</v>
      </c>
      <c r="U77" s="5">
        <f t="shared" si="19"/>
        <v>198.39999999999998</v>
      </c>
      <c r="V77" s="5">
        <f t="shared" si="20"/>
        <v>98.399999999999977</v>
      </c>
      <c r="W77" s="5">
        <v>100</v>
      </c>
      <c r="X77" s="1">
        <f t="shared" si="21"/>
        <v>6</v>
      </c>
      <c r="Y77" s="1">
        <f t="shared" si="22"/>
        <v>0.96446700507614214</v>
      </c>
      <c r="Z77" s="1">
        <v>4</v>
      </c>
      <c r="AA77" s="1">
        <v>4.2</v>
      </c>
      <c r="AB77" s="1">
        <v>14.8</v>
      </c>
      <c r="AC77" s="1">
        <v>22.6</v>
      </c>
      <c r="AD77" s="1">
        <v>18</v>
      </c>
      <c r="AE77" s="1">
        <v>12.6</v>
      </c>
      <c r="AF77" s="1">
        <v>8.1999999999999993</v>
      </c>
      <c r="AG77" s="1">
        <v>11.4</v>
      </c>
      <c r="AH77" s="1">
        <v>16.2</v>
      </c>
      <c r="AI77" s="1">
        <v>8.4</v>
      </c>
      <c r="AJ77" s="1"/>
      <c r="AK77" s="1">
        <f t="shared" si="23"/>
        <v>39</v>
      </c>
      <c r="AL77" s="1">
        <f t="shared" si="24"/>
        <v>40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113</v>
      </c>
      <c r="B78" s="1" t="s">
        <v>42</v>
      </c>
      <c r="C78" s="1">
        <v>2</v>
      </c>
      <c r="D78" s="1">
        <v>98</v>
      </c>
      <c r="E78" s="1">
        <v>11</v>
      </c>
      <c r="F78" s="1">
        <v>87</v>
      </c>
      <c r="G78" s="7">
        <v>0.35</v>
      </c>
      <c r="H78" s="1">
        <v>40</v>
      </c>
      <c r="I78" s="1" t="s">
        <v>173</v>
      </c>
      <c r="J78" s="1"/>
      <c r="K78" s="1">
        <v>23</v>
      </c>
      <c r="L78" s="1">
        <f t="shared" si="17"/>
        <v>-12</v>
      </c>
      <c r="M78" s="1"/>
      <c r="N78" s="1"/>
      <c r="O78" s="1">
        <v>0</v>
      </c>
      <c r="P78" s="1"/>
      <c r="Q78" s="1"/>
      <c r="R78" s="1">
        <v>0</v>
      </c>
      <c r="S78" s="1">
        <f t="shared" si="18"/>
        <v>2.2000000000000002</v>
      </c>
      <c r="T78" s="5"/>
      <c r="U78" s="5">
        <f t="shared" si="19"/>
        <v>0</v>
      </c>
      <c r="V78" s="5">
        <f t="shared" si="20"/>
        <v>0</v>
      </c>
      <c r="W78" s="5"/>
      <c r="X78" s="1">
        <f t="shared" si="21"/>
        <v>39.54545454545454</v>
      </c>
      <c r="Y78" s="1">
        <f t="shared" si="22"/>
        <v>39.54545454545454</v>
      </c>
      <c r="Z78" s="1">
        <v>0.6</v>
      </c>
      <c r="AA78" s="1">
        <v>4.8</v>
      </c>
      <c r="AB78" s="1">
        <v>8.4</v>
      </c>
      <c r="AC78" s="1">
        <v>6.2</v>
      </c>
      <c r="AD78" s="1">
        <v>4.5999999999999996</v>
      </c>
      <c r="AE78" s="1">
        <v>7</v>
      </c>
      <c r="AF78" s="1">
        <v>11.8</v>
      </c>
      <c r="AG78" s="1">
        <v>13</v>
      </c>
      <c r="AH78" s="1">
        <v>0.6</v>
      </c>
      <c r="AI78" s="1">
        <v>5.8</v>
      </c>
      <c r="AJ78" s="1"/>
      <c r="AK78" s="1">
        <f t="shared" si="23"/>
        <v>0</v>
      </c>
      <c r="AL78" s="1">
        <f t="shared" si="24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114</v>
      </c>
      <c r="B79" s="1" t="s">
        <v>42</v>
      </c>
      <c r="C79" s="1">
        <v>117</v>
      </c>
      <c r="D79" s="1">
        <v>5</v>
      </c>
      <c r="E79" s="1">
        <v>31</v>
      </c>
      <c r="F79" s="1">
        <v>82</v>
      </c>
      <c r="G79" s="7">
        <v>0.35</v>
      </c>
      <c r="H79" s="1">
        <v>45</v>
      </c>
      <c r="I79" s="1" t="s">
        <v>173</v>
      </c>
      <c r="J79" s="1"/>
      <c r="K79" s="1">
        <v>35</v>
      </c>
      <c r="L79" s="1">
        <f t="shared" si="17"/>
        <v>-4</v>
      </c>
      <c r="M79" s="1"/>
      <c r="N79" s="1"/>
      <c r="O79" s="1">
        <v>0</v>
      </c>
      <c r="P79" s="1"/>
      <c r="Q79" s="1"/>
      <c r="R79" s="1">
        <v>0</v>
      </c>
      <c r="S79" s="1">
        <f t="shared" si="18"/>
        <v>6.2</v>
      </c>
      <c r="T79" s="5"/>
      <c r="U79" s="5">
        <f t="shared" si="19"/>
        <v>0</v>
      </c>
      <c r="V79" s="5">
        <f t="shared" si="20"/>
        <v>0</v>
      </c>
      <c r="W79" s="5"/>
      <c r="X79" s="1">
        <f t="shared" si="21"/>
        <v>13.225806451612902</v>
      </c>
      <c r="Y79" s="1">
        <f t="shared" si="22"/>
        <v>13.225806451612902</v>
      </c>
      <c r="Z79" s="1">
        <v>6.6</v>
      </c>
      <c r="AA79" s="1">
        <v>4</v>
      </c>
      <c r="AB79" s="1">
        <v>2.6</v>
      </c>
      <c r="AC79" s="1">
        <v>1.2</v>
      </c>
      <c r="AD79" s="1">
        <v>0</v>
      </c>
      <c r="AE79" s="1">
        <v>6</v>
      </c>
      <c r="AF79" s="1">
        <v>13.2</v>
      </c>
      <c r="AG79" s="1">
        <v>11.8</v>
      </c>
      <c r="AH79" s="1">
        <v>4</v>
      </c>
      <c r="AI79" s="1">
        <v>-2.2000000000000002</v>
      </c>
      <c r="AJ79" s="1"/>
      <c r="AK79" s="1">
        <f t="shared" si="23"/>
        <v>0</v>
      </c>
      <c r="AL79" s="1">
        <f t="shared" si="24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3" t="s">
        <v>115</v>
      </c>
      <c r="B80" s="13" t="s">
        <v>42</v>
      </c>
      <c r="C80" s="13">
        <v>90</v>
      </c>
      <c r="D80" s="13">
        <v>101</v>
      </c>
      <c r="E80" s="13">
        <v>93</v>
      </c>
      <c r="F80" s="13">
        <v>96</v>
      </c>
      <c r="G80" s="14">
        <v>0</v>
      </c>
      <c r="H80" s="13">
        <v>55</v>
      </c>
      <c r="I80" s="13" t="s">
        <v>131</v>
      </c>
      <c r="J80" s="13"/>
      <c r="K80" s="13">
        <v>94</v>
      </c>
      <c r="L80" s="13">
        <f t="shared" si="17"/>
        <v>-1</v>
      </c>
      <c r="M80" s="13"/>
      <c r="N80" s="13"/>
      <c r="O80" s="13">
        <v>0</v>
      </c>
      <c r="P80" s="13"/>
      <c r="Q80" s="13"/>
      <c r="R80" s="13">
        <v>0</v>
      </c>
      <c r="S80" s="13">
        <f t="shared" si="18"/>
        <v>18.600000000000001</v>
      </c>
      <c r="T80" s="15"/>
      <c r="U80" s="5">
        <f t="shared" si="19"/>
        <v>0</v>
      </c>
      <c r="V80" s="5">
        <f t="shared" si="20"/>
        <v>0</v>
      </c>
      <c r="W80" s="5"/>
      <c r="X80" s="1">
        <f t="shared" si="21"/>
        <v>5.161290322580645</v>
      </c>
      <c r="Y80" s="13">
        <f t="shared" si="22"/>
        <v>5.161290322580645</v>
      </c>
      <c r="Z80" s="13">
        <v>2.6</v>
      </c>
      <c r="AA80" s="13">
        <v>14.4</v>
      </c>
      <c r="AB80" s="13">
        <v>16.2</v>
      </c>
      <c r="AC80" s="13">
        <v>14.4</v>
      </c>
      <c r="AD80" s="13">
        <v>13.8</v>
      </c>
      <c r="AE80" s="13">
        <v>10.6</v>
      </c>
      <c r="AF80" s="13">
        <v>13.8</v>
      </c>
      <c r="AG80" s="13">
        <v>12.8</v>
      </c>
      <c r="AH80" s="13">
        <v>11.4</v>
      </c>
      <c r="AI80" s="13">
        <v>6.6</v>
      </c>
      <c r="AJ80" s="13"/>
      <c r="AK80" s="1">
        <f t="shared" si="23"/>
        <v>0</v>
      </c>
      <c r="AL80" s="1">
        <f t="shared" si="24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116</v>
      </c>
      <c r="B81" s="1" t="s">
        <v>38</v>
      </c>
      <c r="C81" s="1">
        <v>38.723999999999997</v>
      </c>
      <c r="D81" s="1"/>
      <c r="E81" s="1">
        <v>4.3319999999999999</v>
      </c>
      <c r="F81" s="1">
        <v>32.944000000000003</v>
      </c>
      <c r="G81" s="7">
        <v>1</v>
      </c>
      <c r="H81" s="1">
        <v>55</v>
      </c>
      <c r="I81" s="1" t="s">
        <v>173</v>
      </c>
      <c r="J81" s="1"/>
      <c r="K81" s="1">
        <v>3.5</v>
      </c>
      <c r="L81" s="1">
        <f t="shared" si="17"/>
        <v>0.83199999999999985</v>
      </c>
      <c r="M81" s="1"/>
      <c r="N81" s="1"/>
      <c r="O81" s="1">
        <v>0</v>
      </c>
      <c r="P81" s="1"/>
      <c r="Q81" s="1"/>
      <c r="R81" s="1">
        <v>0</v>
      </c>
      <c r="S81" s="1">
        <f t="shared" si="18"/>
        <v>0.86639999999999995</v>
      </c>
      <c r="T81" s="5"/>
      <c r="U81" s="5">
        <f t="shared" si="19"/>
        <v>0</v>
      </c>
      <c r="V81" s="5">
        <f t="shared" si="20"/>
        <v>0</v>
      </c>
      <c r="W81" s="5"/>
      <c r="X81" s="1">
        <f t="shared" si="21"/>
        <v>38.024007386888279</v>
      </c>
      <c r="Y81" s="1">
        <f t="shared" si="22"/>
        <v>38.024007386888279</v>
      </c>
      <c r="Z81" s="1">
        <v>1.159</v>
      </c>
      <c r="AA81" s="1">
        <v>1.4476</v>
      </c>
      <c r="AB81" s="1">
        <v>0.86639999999999995</v>
      </c>
      <c r="AC81" s="1">
        <v>0.28920000000000001</v>
      </c>
      <c r="AD81" s="1">
        <v>0.57919999999999994</v>
      </c>
      <c r="AE81" s="1">
        <v>2.3048000000000002</v>
      </c>
      <c r="AF81" s="1">
        <v>1.7256</v>
      </c>
      <c r="AG81" s="1">
        <v>2.31</v>
      </c>
      <c r="AH81" s="1">
        <v>2.3452000000000002</v>
      </c>
      <c r="AI81" s="1">
        <v>1.4443999999999999</v>
      </c>
      <c r="AJ81" s="17" t="s">
        <v>117</v>
      </c>
      <c r="AK81" s="1">
        <f t="shared" si="23"/>
        <v>0</v>
      </c>
      <c r="AL81" s="1">
        <f t="shared" si="24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118</v>
      </c>
      <c r="B82" s="1" t="s">
        <v>38</v>
      </c>
      <c r="C82" s="1">
        <v>435.452</v>
      </c>
      <c r="D82" s="1">
        <v>25.686</v>
      </c>
      <c r="E82" s="1">
        <v>273.26799999999997</v>
      </c>
      <c r="F82" s="1">
        <v>131.91</v>
      </c>
      <c r="G82" s="7">
        <v>1</v>
      </c>
      <c r="H82" s="1">
        <v>60</v>
      </c>
      <c r="I82" s="1" t="s">
        <v>173</v>
      </c>
      <c r="J82" s="1"/>
      <c r="K82" s="1">
        <v>270.44</v>
      </c>
      <c r="L82" s="1">
        <f t="shared" si="17"/>
        <v>2.8279999999999745</v>
      </c>
      <c r="M82" s="1"/>
      <c r="N82" s="1"/>
      <c r="O82" s="1">
        <v>322.92589199999998</v>
      </c>
      <c r="P82" s="1"/>
      <c r="Q82" s="1"/>
      <c r="R82" s="1">
        <v>0</v>
      </c>
      <c r="S82" s="1">
        <f t="shared" si="18"/>
        <v>54.653599999999997</v>
      </c>
      <c r="T82" s="5">
        <f t="shared" ref="T82:T89" si="25">11*S82-R82-Q82-P82-O82-F82</f>
        <v>146.35370799999995</v>
      </c>
      <c r="U82" s="5">
        <f t="shared" si="19"/>
        <v>146.35370799999995</v>
      </c>
      <c r="V82" s="5">
        <f t="shared" si="20"/>
        <v>146.35370799999995</v>
      </c>
      <c r="W82" s="5"/>
      <c r="X82" s="1">
        <f t="shared" si="21"/>
        <v>11</v>
      </c>
      <c r="Y82" s="1">
        <f t="shared" si="22"/>
        <v>8.3221579548282261</v>
      </c>
      <c r="Z82" s="1">
        <v>52.551599999999993</v>
      </c>
      <c r="AA82" s="1">
        <v>69.242800000000003</v>
      </c>
      <c r="AB82" s="1">
        <v>51.0944</v>
      </c>
      <c r="AC82" s="1">
        <v>33.292000000000002</v>
      </c>
      <c r="AD82" s="1">
        <v>50.997199999999999</v>
      </c>
      <c r="AE82" s="1">
        <v>63.35</v>
      </c>
      <c r="AF82" s="1">
        <v>57.907600000000002</v>
      </c>
      <c r="AG82" s="1">
        <v>54.795200000000001</v>
      </c>
      <c r="AH82" s="1">
        <v>50.4236</v>
      </c>
      <c r="AI82" s="1">
        <v>37.101199999999999</v>
      </c>
      <c r="AJ82" s="1"/>
      <c r="AK82" s="1">
        <f t="shared" si="23"/>
        <v>146</v>
      </c>
      <c r="AL82" s="1">
        <f t="shared" si="24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119</v>
      </c>
      <c r="B83" s="1" t="s">
        <v>38</v>
      </c>
      <c r="C83" s="1">
        <v>1260.6780000000001</v>
      </c>
      <c r="D83" s="1">
        <v>1566.798</v>
      </c>
      <c r="E83" s="1">
        <v>1732.8109999999999</v>
      </c>
      <c r="F83" s="1">
        <v>732</v>
      </c>
      <c r="G83" s="7">
        <v>1</v>
      </c>
      <c r="H83" s="1">
        <v>60</v>
      </c>
      <c r="I83" s="1" t="s">
        <v>173</v>
      </c>
      <c r="J83" s="1"/>
      <c r="K83" s="1">
        <v>1757</v>
      </c>
      <c r="L83" s="1">
        <f t="shared" si="17"/>
        <v>-24.189000000000078</v>
      </c>
      <c r="M83" s="1"/>
      <c r="N83" s="1"/>
      <c r="O83" s="1">
        <v>1505.961248080001</v>
      </c>
      <c r="P83" s="1"/>
      <c r="Q83" s="1"/>
      <c r="R83" s="1">
        <v>961.86855191999859</v>
      </c>
      <c r="S83" s="1">
        <f t="shared" si="18"/>
        <v>346.56219999999996</v>
      </c>
      <c r="T83" s="5">
        <f t="shared" si="25"/>
        <v>612.35440000000017</v>
      </c>
      <c r="U83" s="5">
        <f t="shared" ref="U83:U85" si="26">T83+$U$1*S83</f>
        <v>837.61983000000009</v>
      </c>
      <c r="V83" s="5">
        <f t="shared" si="20"/>
        <v>437.61983000000009</v>
      </c>
      <c r="W83" s="5">
        <v>400</v>
      </c>
      <c r="X83" s="1">
        <f t="shared" si="21"/>
        <v>11.65</v>
      </c>
      <c r="Y83" s="1">
        <f t="shared" si="22"/>
        <v>9.2330606165357896</v>
      </c>
      <c r="Z83" s="1">
        <v>373.70159999999998</v>
      </c>
      <c r="AA83" s="1">
        <v>399.83</v>
      </c>
      <c r="AB83" s="1">
        <v>296.8424</v>
      </c>
      <c r="AC83" s="1">
        <v>287.976</v>
      </c>
      <c r="AD83" s="1">
        <v>270.93779999999998</v>
      </c>
      <c r="AE83" s="1">
        <v>197.911</v>
      </c>
      <c r="AF83" s="1">
        <v>281.72179999999997</v>
      </c>
      <c r="AG83" s="1">
        <v>365.83620000000002</v>
      </c>
      <c r="AH83" s="1">
        <v>364.94260000000003</v>
      </c>
      <c r="AI83" s="1">
        <v>298.39519999999999</v>
      </c>
      <c r="AJ83" s="1"/>
      <c r="AK83" s="1">
        <f t="shared" si="23"/>
        <v>438</v>
      </c>
      <c r="AL83" s="1">
        <f t="shared" si="24"/>
        <v>400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120</v>
      </c>
      <c r="B84" s="1" t="s">
        <v>38</v>
      </c>
      <c r="C84" s="1">
        <v>2612.7269999999999</v>
      </c>
      <c r="D84" s="1">
        <v>565.99300000000005</v>
      </c>
      <c r="E84" s="1">
        <v>1499.028</v>
      </c>
      <c r="F84" s="1">
        <v>1156.979</v>
      </c>
      <c r="G84" s="7">
        <v>1</v>
      </c>
      <c r="H84" s="1">
        <v>60</v>
      </c>
      <c r="I84" s="1" t="s">
        <v>173</v>
      </c>
      <c r="J84" s="1"/>
      <c r="K84" s="1">
        <v>1557.5</v>
      </c>
      <c r="L84" s="1">
        <f t="shared" si="17"/>
        <v>-58.47199999999998</v>
      </c>
      <c r="M84" s="1"/>
      <c r="N84" s="1"/>
      <c r="O84" s="1">
        <v>1300.0737153600001</v>
      </c>
      <c r="P84" s="1">
        <v>300</v>
      </c>
      <c r="Q84" s="1">
        <v>400</v>
      </c>
      <c r="R84" s="1">
        <v>110.5612446399999</v>
      </c>
      <c r="S84" s="1">
        <f t="shared" si="18"/>
        <v>299.80560000000003</v>
      </c>
      <c r="T84" s="5">
        <f t="shared" si="25"/>
        <v>30.247640000000047</v>
      </c>
      <c r="U84" s="5">
        <f t="shared" si="26"/>
        <v>225.12128000000007</v>
      </c>
      <c r="V84" s="5">
        <f t="shared" si="20"/>
        <v>125.12128000000007</v>
      </c>
      <c r="W84" s="5">
        <v>100</v>
      </c>
      <c r="X84" s="1">
        <f t="shared" si="21"/>
        <v>11.649999999999999</v>
      </c>
      <c r="Y84" s="1">
        <f t="shared" si="22"/>
        <v>10.899109156066464</v>
      </c>
      <c r="Z84" s="1">
        <v>327.33319999999998</v>
      </c>
      <c r="AA84" s="1">
        <v>409.26220000000001</v>
      </c>
      <c r="AB84" s="1">
        <v>319.29379999999998</v>
      </c>
      <c r="AC84" s="1">
        <v>349.4932</v>
      </c>
      <c r="AD84" s="1">
        <v>374.82220000000001</v>
      </c>
      <c r="AE84" s="1">
        <v>291.64859999999999</v>
      </c>
      <c r="AF84" s="1">
        <v>348.50799999999998</v>
      </c>
      <c r="AG84" s="1">
        <v>351.85340000000002</v>
      </c>
      <c r="AH84" s="1">
        <v>259.17039999999997</v>
      </c>
      <c r="AI84" s="1">
        <v>199.94980000000001</v>
      </c>
      <c r="AJ84" s="1"/>
      <c r="AK84" s="1">
        <f t="shared" si="23"/>
        <v>125</v>
      </c>
      <c r="AL84" s="1">
        <f t="shared" si="24"/>
        <v>100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121</v>
      </c>
      <c r="B85" s="1" t="s">
        <v>38</v>
      </c>
      <c r="C85" s="1">
        <v>4249.4350000000004</v>
      </c>
      <c r="D85" s="1">
        <v>430.767</v>
      </c>
      <c r="E85" s="1">
        <v>2604.4569999999999</v>
      </c>
      <c r="F85" s="1">
        <v>1394.597</v>
      </c>
      <c r="G85" s="7">
        <v>1</v>
      </c>
      <c r="H85" s="1">
        <v>60</v>
      </c>
      <c r="I85" s="1" t="s">
        <v>173</v>
      </c>
      <c r="J85" s="1"/>
      <c r="K85" s="1">
        <v>2663.9</v>
      </c>
      <c r="L85" s="1">
        <f t="shared" si="17"/>
        <v>-59.443000000000211</v>
      </c>
      <c r="M85" s="1"/>
      <c r="N85" s="1"/>
      <c r="O85" s="1">
        <v>1529.418454079999</v>
      </c>
      <c r="P85" s="1">
        <v>500</v>
      </c>
      <c r="Q85" s="1">
        <v>700</v>
      </c>
      <c r="R85" s="1">
        <v>1335.8314600000019</v>
      </c>
      <c r="S85" s="1">
        <f t="shared" si="18"/>
        <v>520.89139999999998</v>
      </c>
      <c r="T85" s="5">
        <f t="shared" si="25"/>
        <v>269.95848591999811</v>
      </c>
      <c r="U85" s="5">
        <f t="shared" si="26"/>
        <v>608.53789591999816</v>
      </c>
      <c r="V85" s="5">
        <f t="shared" si="20"/>
        <v>308.53789591999816</v>
      </c>
      <c r="W85" s="5">
        <v>300</v>
      </c>
      <c r="X85" s="1">
        <f t="shared" si="21"/>
        <v>11.65</v>
      </c>
      <c r="Y85" s="1">
        <f t="shared" si="22"/>
        <v>10.481737487084644</v>
      </c>
      <c r="Z85" s="1">
        <v>526.52819999999997</v>
      </c>
      <c r="AA85" s="1">
        <v>579.12779999999998</v>
      </c>
      <c r="AB85" s="1">
        <v>471.89260000000002</v>
      </c>
      <c r="AC85" s="1">
        <v>469.8184</v>
      </c>
      <c r="AD85" s="1">
        <v>607.09460000000001</v>
      </c>
      <c r="AE85" s="1">
        <v>618.89179999999999</v>
      </c>
      <c r="AF85" s="1">
        <v>622.35180000000003</v>
      </c>
      <c r="AG85" s="1">
        <v>606.17020000000002</v>
      </c>
      <c r="AH85" s="1">
        <v>528.50659999999993</v>
      </c>
      <c r="AI85" s="1">
        <v>517.31659999999999</v>
      </c>
      <c r="AJ85" s="1"/>
      <c r="AK85" s="1">
        <f t="shared" si="23"/>
        <v>309</v>
      </c>
      <c r="AL85" s="1">
        <f t="shared" si="24"/>
        <v>300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122</v>
      </c>
      <c r="B86" s="1" t="s">
        <v>42</v>
      </c>
      <c r="C86" s="1">
        <v>39</v>
      </c>
      <c r="D86" s="1">
        <v>204</v>
      </c>
      <c r="E86" s="1">
        <v>63</v>
      </c>
      <c r="F86" s="1">
        <v>160</v>
      </c>
      <c r="G86" s="7">
        <v>0.3</v>
      </c>
      <c r="H86" s="1">
        <v>40</v>
      </c>
      <c r="I86" s="1" t="s">
        <v>173</v>
      </c>
      <c r="J86" s="1"/>
      <c r="K86" s="1">
        <v>105</v>
      </c>
      <c r="L86" s="1">
        <f t="shared" si="17"/>
        <v>-42</v>
      </c>
      <c r="M86" s="1"/>
      <c r="N86" s="1"/>
      <c r="O86" s="1">
        <v>115.2</v>
      </c>
      <c r="P86" s="1"/>
      <c r="Q86" s="1"/>
      <c r="R86" s="1">
        <v>6</v>
      </c>
      <c r="S86" s="1">
        <f t="shared" si="18"/>
        <v>12.6</v>
      </c>
      <c r="T86" s="5"/>
      <c r="U86" s="5">
        <f t="shared" si="19"/>
        <v>0</v>
      </c>
      <c r="V86" s="5">
        <f t="shared" si="20"/>
        <v>0</v>
      </c>
      <c r="W86" s="5"/>
      <c r="X86" s="1">
        <f t="shared" si="21"/>
        <v>22.317460317460316</v>
      </c>
      <c r="Y86" s="1">
        <f t="shared" si="22"/>
        <v>22.317460317460316</v>
      </c>
      <c r="Z86" s="1">
        <v>25</v>
      </c>
      <c r="AA86" s="1">
        <v>32.4</v>
      </c>
      <c r="AB86" s="1">
        <v>26.6</v>
      </c>
      <c r="AC86" s="1">
        <v>8</v>
      </c>
      <c r="AD86" s="1">
        <v>5</v>
      </c>
      <c r="AE86" s="1">
        <v>21</v>
      </c>
      <c r="AF86" s="1">
        <v>27.8</v>
      </c>
      <c r="AG86" s="1">
        <v>22.8</v>
      </c>
      <c r="AH86" s="1">
        <v>24</v>
      </c>
      <c r="AI86" s="1">
        <v>24.4</v>
      </c>
      <c r="AJ86" s="1"/>
      <c r="AK86" s="1">
        <f t="shared" si="23"/>
        <v>0</v>
      </c>
      <c r="AL86" s="1">
        <f t="shared" si="24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123</v>
      </c>
      <c r="B87" s="1" t="s">
        <v>42</v>
      </c>
      <c r="C87" s="1">
        <v>67</v>
      </c>
      <c r="D87" s="1">
        <v>25</v>
      </c>
      <c r="E87" s="1">
        <v>65</v>
      </c>
      <c r="F87" s="1">
        <v>9</v>
      </c>
      <c r="G87" s="7">
        <v>7.0000000000000007E-2</v>
      </c>
      <c r="H87" s="1">
        <v>90</v>
      </c>
      <c r="I87" s="1" t="s">
        <v>173</v>
      </c>
      <c r="J87" s="1"/>
      <c r="K87" s="1">
        <v>69</v>
      </c>
      <c r="L87" s="1">
        <f t="shared" si="17"/>
        <v>-4</v>
      </c>
      <c r="M87" s="1"/>
      <c r="N87" s="1"/>
      <c r="O87" s="1">
        <v>77.800000000000011</v>
      </c>
      <c r="P87" s="1"/>
      <c r="Q87" s="1"/>
      <c r="R87" s="1">
        <v>59.5</v>
      </c>
      <c r="S87" s="1">
        <f t="shared" si="18"/>
        <v>13</v>
      </c>
      <c r="T87" s="5">
        <v>80</v>
      </c>
      <c r="U87" s="5">
        <f t="shared" si="19"/>
        <v>80</v>
      </c>
      <c r="V87" s="5">
        <f t="shared" si="20"/>
        <v>80</v>
      </c>
      <c r="W87" s="5"/>
      <c r="X87" s="1">
        <f t="shared" si="21"/>
        <v>17.407692307692308</v>
      </c>
      <c r="Y87" s="1">
        <f t="shared" si="22"/>
        <v>11.253846153846155</v>
      </c>
      <c r="Z87" s="1">
        <v>14.6</v>
      </c>
      <c r="AA87" s="1">
        <v>15</v>
      </c>
      <c r="AB87" s="1">
        <v>10</v>
      </c>
      <c r="AC87" s="1">
        <v>9.1999999999999993</v>
      </c>
      <c r="AD87" s="1">
        <v>11.4</v>
      </c>
      <c r="AE87" s="1">
        <v>6.8</v>
      </c>
      <c r="AF87" s="1">
        <v>7.6</v>
      </c>
      <c r="AG87" s="1">
        <v>13.6</v>
      </c>
      <c r="AH87" s="1">
        <v>8.4</v>
      </c>
      <c r="AI87" s="1">
        <v>7.6</v>
      </c>
      <c r="AJ87" s="1" t="s">
        <v>177</v>
      </c>
      <c r="AK87" s="1">
        <f t="shared" si="23"/>
        <v>6</v>
      </c>
      <c r="AL87" s="1">
        <f t="shared" si="24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124</v>
      </c>
      <c r="B88" s="1" t="s">
        <v>42</v>
      </c>
      <c r="C88" s="1">
        <v>-2</v>
      </c>
      <c r="D88" s="1">
        <v>2</v>
      </c>
      <c r="E88" s="1"/>
      <c r="F88" s="1"/>
      <c r="G88" s="7">
        <v>7.0000000000000007E-2</v>
      </c>
      <c r="H88" s="1">
        <v>90</v>
      </c>
      <c r="I88" s="1" t="s">
        <v>173</v>
      </c>
      <c r="J88" s="1"/>
      <c r="K88" s="1">
        <v>3</v>
      </c>
      <c r="L88" s="1">
        <f t="shared" si="17"/>
        <v>-3</v>
      </c>
      <c r="M88" s="1"/>
      <c r="N88" s="1"/>
      <c r="O88" s="1">
        <v>74.8</v>
      </c>
      <c r="P88" s="1"/>
      <c r="Q88" s="1"/>
      <c r="R88" s="1">
        <v>0</v>
      </c>
      <c r="S88" s="1">
        <f t="shared" si="18"/>
        <v>0</v>
      </c>
      <c r="T88" s="5"/>
      <c r="U88" s="5">
        <f t="shared" si="19"/>
        <v>0</v>
      </c>
      <c r="V88" s="5">
        <f t="shared" si="20"/>
        <v>0</v>
      </c>
      <c r="W88" s="5"/>
      <c r="X88" s="1" t="e">
        <f t="shared" si="21"/>
        <v>#DIV/0!</v>
      </c>
      <c r="Y88" s="1" t="e">
        <f t="shared" si="22"/>
        <v>#DIV/0!</v>
      </c>
      <c r="Z88" s="1">
        <v>4</v>
      </c>
      <c r="AA88" s="1">
        <v>10.4</v>
      </c>
      <c r="AB88" s="1">
        <v>9.8000000000000007</v>
      </c>
      <c r="AC88" s="1">
        <v>10</v>
      </c>
      <c r="AD88" s="1">
        <v>12.4</v>
      </c>
      <c r="AE88" s="1">
        <v>6.6</v>
      </c>
      <c r="AF88" s="1">
        <v>1.8</v>
      </c>
      <c r="AG88" s="1">
        <v>0</v>
      </c>
      <c r="AH88" s="1">
        <v>0</v>
      </c>
      <c r="AI88" s="1">
        <v>0</v>
      </c>
      <c r="AJ88" s="1"/>
      <c r="AK88" s="1">
        <f t="shared" si="23"/>
        <v>0</v>
      </c>
      <c r="AL88" s="1">
        <f t="shared" si="24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125</v>
      </c>
      <c r="B89" s="1" t="s">
        <v>42</v>
      </c>
      <c r="C89" s="1">
        <v>117</v>
      </c>
      <c r="D89" s="1">
        <v>2</v>
      </c>
      <c r="E89" s="1">
        <v>71</v>
      </c>
      <c r="F89" s="1">
        <v>30</v>
      </c>
      <c r="G89" s="7">
        <v>7.0000000000000007E-2</v>
      </c>
      <c r="H89" s="1">
        <v>90</v>
      </c>
      <c r="I89" s="1" t="s">
        <v>173</v>
      </c>
      <c r="J89" s="1"/>
      <c r="K89" s="1">
        <v>67</v>
      </c>
      <c r="L89" s="1">
        <f t="shared" si="17"/>
        <v>4</v>
      </c>
      <c r="M89" s="1"/>
      <c r="N89" s="1"/>
      <c r="O89" s="1">
        <v>0</v>
      </c>
      <c r="P89" s="1"/>
      <c r="Q89" s="1"/>
      <c r="R89" s="1">
        <v>39.5</v>
      </c>
      <c r="S89" s="1">
        <f t="shared" si="18"/>
        <v>14.2</v>
      </c>
      <c r="T89" s="5">
        <f t="shared" si="25"/>
        <v>86.699999999999989</v>
      </c>
      <c r="U89" s="5">
        <f t="shared" si="19"/>
        <v>86.699999999999989</v>
      </c>
      <c r="V89" s="5">
        <f t="shared" si="20"/>
        <v>86.699999999999989</v>
      </c>
      <c r="W89" s="5"/>
      <c r="X89" s="1">
        <f t="shared" si="21"/>
        <v>11</v>
      </c>
      <c r="Y89" s="1">
        <f t="shared" si="22"/>
        <v>4.894366197183099</v>
      </c>
      <c r="Z89" s="1">
        <v>10.6</v>
      </c>
      <c r="AA89" s="1">
        <v>8.4</v>
      </c>
      <c r="AB89" s="1">
        <v>4.2</v>
      </c>
      <c r="AC89" s="1">
        <v>5</v>
      </c>
      <c r="AD89" s="1">
        <v>12.4</v>
      </c>
      <c r="AE89" s="1">
        <v>9</v>
      </c>
      <c r="AF89" s="1">
        <v>4.5999999999999996</v>
      </c>
      <c r="AG89" s="1">
        <v>7.2</v>
      </c>
      <c r="AH89" s="1">
        <v>6.8</v>
      </c>
      <c r="AI89" s="1">
        <v>7.4</v>
      </c>
      <c r="AJ89" s="1"/>
      <c r="AK89" s="1">
        <f t="shared" si="23"/>
        <v>6</v>
      </c>
      <c r="AL89" s="1">
        <f t="shared" si="24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3" t="s">
        <v>126</v>
      </c>
      <c r="B90" s="13" t="s">
        <v>42</v>
      </c>
      <c r="C90" s="13">
        <v>214</v>
      </c>
      <c r="D90" s="13">
        <v>2</v>
      </c>
      <c r="E90" s="13">
        <v>63</v>
      </c>
      <c r="F90" s="13">
        <v>142</v>
      </c>
      <c r="G90" s="14">
        <v>0</v>
      </c>
      <c r="H90" s="13">
        <v>90</v>
      </c>
      <c r="I90" s="13" t="s">
        <v>131</v>
      </c>
      <c r="J90" s="13"/>
      <c r="K90" s="13">
        <v>57</v>
      </c>
      <c r="L90" s="13">
        <f t="shared" si="17"/>
        <v>6</v>
      </c>
      <c r="M90" s="13"/>
      <c r="N90" s="13"/>
      <c r="O90" s="13">
        <v>0</v>
      </c>
      <c r="P90" s="13"/>
      <c r="Q90" s="13"/>
      <c r="R90" s="13">
        <v>0</v>
      </c>
      <c r="S90" s="13">
        <f t="shared" si="18"/>
        <v>12.6</v>
      </c>
      <c r="T90" s="15"/>
      <c r="U90" s="5">
        <f t="shared" si="19"/>
        <v>0</v>
      </c>
      <c r="V90" s="5">
        <f t="shared" si="20"/>
        <v>0</v>
      </c>
      <c r="W90" s="5"/>
      <c r="X90" s="1">
        <f t="shared" si="21"/>
        <v>11.269841269841271</v>
      </c>
      <c r="Y90" s="13">
        <f t="shared" si="22"/>
        <v>11.269841269841271</v>
      </c>
      <c r="Z90" s="13">
        <v>7.6</v>
      </c>
      <c r="AA90" s="13">
        <v>9.1999999999999993</v>
      </c>
      <c r="AB90" s="13">
        <v>8.8000000000000007</v>
      </c>
      <c r="AC90" s="13">
        <v>15.2</v>
      </c>
      <c r="AD90" s="13">
        <v>20.2</v>
      </c>
      <c r="AE90" s="13">
        <v>10</v>
      </c>
      <c r="AF90" s="13">
        <v>3.6</v>
      </c>
      <c r="AG90" s="13">
        <v>5.4</v>
      </c>
      <c r="AH90" s="13">
        <v>10.4</v>
      </c>
      <c r="AI90" s="13">
        <v>6</v>
      </c>
      <c r="AJ90" s="13"/>
      <c r="AK90" s="1">
        <f t="shared" si="23"/>
        <v>0</v>
      </c>
      <c r="AL90" s="1">
        <f t="shared" si="24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3" t="s">
        <v>127</v>
      </c>
      <c r="B91" s="13" t="s">
        <v>42</v>
      </c>
      <c r="C91" s="13">
        <v>1</v>
      </c>
      <c r="D91" s="13"/>
      <c r="E91" s="13">
        <v>-7</v>
      </c>
      <c r="F91" s="13"/>
      <c r="G91" s="14">
        <v>0</v>
      </c>
      <c r="H91" s="13"/>
      <c r="I91" s="13" t="s">
        <v>131</v>
      </c>
      <c r="J91" s="13"/>
      <c r="K91" s="13">
        <v>17</v>
      </c>
      <c r="L91" s="13">
        <f t="shared" si="17"/>
        <v>-24</v>
      </c>
      <c r="M91" s="13"/>
      <c r="N91" s="13"/>
      <c r="O91" s="13">
        <v>0</v>
      </c>
      <c r="P91" s="13"/>
      <c r="Q91" s="13"/>
      <c r="R91" s="13">
        <v>0</v>
      </c>
      <c r="S91" s="13">
        <f t="shared" si="18"/>
        <v>-1.4</v>
      </c>
      <c r="T91" s="15"/>
      <c r="U91" s="5">
        <f t="shared" si="19"/>
        <v>0</v>
      </c>
      <c r="V91" s="5">
        <f t="shared" si="20"/>
        <v>0</v>
      </c>
      <c r="W91" s="5"/>
      <c r="X91" s="1">
        <f t="shared" si="21"/>
        <v>0</v>
      </c>
      <c r="Y91" s="13">
        <f t="shared" si="22"/>
        <v>0</v>
      </c>
      <c r="Z91" s="13">
        <v>-0.6</v>
      </c>
      <c r="AA91" s="13">
        <v>-0.4</v>
      </c>
      <c r="AB91" s="13">
        <v>-0.4</v>
      </c>
      <c r="AC91" s="13">
        <v>-1</v>
      </c>
      <c r="AD91" s="13">
        <v>2</v>
      </c>
      <c r="AE91" s="13">
        <v>6.4</v>
      </c>
      <c r="AF91" s="13">
        <v>11</v>
      </c>
      <c r="AG91" s="13">
        <v>12.8</v>
      </c>
      <c r="AH91" s="13">
        <v>7</v>
      </c>
      <c r="AI91" s="13">
        <v>11</v>
      </c>
      <c r="AJ91" s="13" t="s">
        <v>128</v>
      </c>
      <c r="AK91" s="1">
        <f t="shared" si="23"/>
        <v>0</v>
      </c>
      <c r="AL91" s="1">
        <f t="shared" si="24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3" t="s">
        <v>129</v>
      </c>
      <c r="B92" s="13" t="s">
        <v>42</v>
      </c>
      <c r="C92" s="13"/>
      <c r="D92" s="13">
        <v>2</v>
      </c>
      <c r="E92" s="13">
        <v>-4</v>
      </c>
      <c r="F92" s="13">
        <v>1</v>
      </c>
      <c r="G92" s="14">
        <v>0</v>
      </c>
      <c r="H92" s="13"/>
      <c r="I92" s="13" t="s">
        <v>131</v>
      </c>
      <c r="J92" s="13"/>
      <c r="K92" s="13">
        <v>30</v>
      </c>
      <c r="L92" s="13">
        <f t="shared" si="17"/>
        <v>-34</v>
      </c>
      <c r="M92" s="13"/>
      <c r="N92" s="13"/>
      <c r="O92" s="13">
        <v>0</v>
      </c>
      <c r="P92" s="13"/>
      <c r="Q92" s="13"/>
      <c r="R92" s="13">
        <v>0</v>
      </c>
      <c r="S92" s="13">
        <f t="shared" si="18"/>
        <v>-0.8</v>
      </c>
      <c r="T92" s="15"/>
      <c r="U92" s="5">
        <f t="shared" si="19"/>
        <v>0</v>
      </c>
      <c r="V92" s="5">
        <f t="shared" si="20"/>
        <v>0</v>
      </c>
      <c r="W92" s="5"/>
      <c r="X92" s="1">
        <f t="shared" si="21"/>
        <v>-1.25</v>
      </c>
      <c r="Y92" s="13">
        <f t="shared" si="22"/>
        <v>-1.25</v>
      </c>
      <c r="Z92" s="13">
        <v>2.8</v>
      </c>
      <c r="AA92" s="13">
        <v>11</v>
      </c>
      <c r="AB92" s="13">
        <v>10</v>
      </c>
      <c r="AC92" s="13">
        <v>7.8</v>
      </c>
      <c r="AD92" s="13">
        <v>12.6</v>
      </c>
      <c r="AE92" s="13">
        <v>9.4</v>
      </c>
      <c r="AF92" s="13">
        <v>9.4</v>
      </c>
      <c r="AG92" s="13">
        <v>7.8</v>
      </c>
      <c r="AH92" s="13">
        <v>0.8</v>
      </c>
      <c r="AI92" s="13">
        <v>11.2</v>
      </c>
      <c r="AJ92" s="13" t="s">
        <v>128</v>
      </c>
      <c r="AK92" s="1">
        <f t="shared" si="23"/>
        <v>0</v>
      </c>
      <c r="AL92" s="1">
        <f t="shared" si="24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3" t="s">
        <v>130</v>
      </c>
      <c r="B93" s="13" t="s">
        <v>38</v>
      </c>
      <c r="C93" s="13">
        <v>100.93300000000001</v>
      </c>
      <c r="D93" s="13"/>
      <c r="E93" s="13">
        <v>17.663</v>
      </c>
      <c r="F93" s="13">
        <v>83.27</v>
      </c>
      <c r="G93" s="14">
        <v>0</v>
      </c>
      <c r="H93" s="13"/>
      <c r="I93" s="13" t="s">
        <v>173</v>
      </c>
      <c r="J93" s="13"/>
      <c r="K93" s="13">
        <v>14.1</v>
      </c>
      <c r="L93" s="13">
        <f t="shared" si="17"/>
        <v>3.5630000000000006</v>
      </c>
      <c r="M93" s="13"/>
      <c r="N93" s="13"/>
      <c r="O93" s="13">
        <v>0</v>
      </c>
      <c r="P93" s="13"/>
      <c r="Q93" s="13"/>
      <c r="R93" s="13">
        <v>0</v>
      </c>
      <c r="S93" s="13">
        <f t="shared" si="18"/>
        <v>3.5326</v>
      </c>
      <c r="T93" s="15"/>
      <c r="U93" s="5">
        <f t="shared" si="19"/>
        <v>0</v>
      </c>
      <c r="V93" s="5">
        <f t="shared" si="20"/>
        <v>0</v>
      </c>
      <c r="W93" s="5"/>
      <c r="X93" s="1">
        <f t="shared" si="21"/>
        <v>23.571873407688386</v>
      </c>
      <c r="Y93" s="13">
        <f t="shared" si="22"/>
        <v>23.571873407688386</v>
      </c>
      <c r="Z93" s="13">
        <v>2.8809999999999998</v>
      </c>
      <c r="AA93" s="13">
        <v>7.3634000000000004</v>
      </c>
      <c r="AB93" s="13">
        <v>8.003400000000001</v>
      </c>
      <c r="AC93" s="13">
        <v>10.226000000000001</v>
      </c>
      <c r="AD93" s="13">
        <v>11.8124</v>
      </c>
      <c r="AE93" s="13">
        <v>7.6684000000000001</v>
      </c>
      <c r="AF93" s="13">
        <v>0.9608000000000001</v>
      </c>
      <c r="AG93" s="13">
        <v>0</v>
      </c>
      <c r="AH93" s="13">
        <v>0</v>
      </c>
      <c r="AI93" s="13">
        <v>0</v>
      </c>
      <c r="AJ93" s="13" t="s">
        <v>154</v>
      </c>
      <c r="AK93" s="1">
        <f t="shared" si="23"/>
        <v>0</v>
      </c>
      <c r="AL93" s="1">
        <f t="shared" si="24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132</v>
      </c>
      <c r="B94" s="1" t="s">
        <v>42</v>
      </c>
      <c r="C94" s="1">
        <v>92</v>
      </c>
      <c r="D94" s="1">
        <v>2</v>
      </c>
      <c r="E94" s="1">
        <v>92</v>
      </c>
      <c r="F94" s="1">
        <v>-1</v>
      </c>
      <c r="G94" s="7">
        <v>0.08</v>
      </c>
      <c r="H94" s="1">
        <v>45</v>
      </c>
      <c r="I94" s="1" t="s">
        <v>173</v>
      </c>
      <c r="J94" s="1"/>
      <c r="K94" s="1">
        <v>97</v>
      </c>
      <c r="L94" s="1">
        <f t="shared" si="17"/>
        <v>-5</v>
      </c>
      <c r="M94" s="1"/>
      <c r="N94" s="1"/>
      <c r="O94" s="1">
        <v>97.199999999999989</v>
      </c>
      <c r="P94" s="1"/>
      <c r="Q94" s="1"/>
      <c r="R94" s="1">
        <v>89.800000000000011</v>
      </c>
      <c r="S94" s="1">
        <f t="shared" si="18"/>
        <v>18.399999999999999</v>
      </c>
      <c r="T94" s="5">
        <f t="shared" ref="T94:T112" si="27">11*S94-R94-Q94-P94-O94-F94</f>
        <v>16.399999999999977</v>
      </c>
      <c r="U94" s="5">
        <f t="shared" si="19"/>
        <v>16.399999999999977</v>
      </c>
      <c r="V94" s="5">
        <f t="shared" si="20"/>
        <v>16.399999999999977</v>
      </c>
      <c r="W94" s="5"/>
      <c r="X94" s="1">
        <f t="shared" si="21"/>
        <v>11</v>
      </c>
      <c r="Y94" s="1">
        <f t="shared" si="22"/>
        <v>10.108695652173914</v>
      </c>
      <c r="Z94" s="1">
        <v>18.8</v>
      </c>
      <c r="AA94" s="1">
        <v>17.2</v>
      </c>
      <c r="AB94" s="1">
        <v>7.4</v>
      </c>
      <c r="AC94" s="1">
        <v>1</v>
      </c>
      <c r="AD94" s="1">
        <v>8.8000000000000007</v>
      </c>
      <c r="AE94" s="1">
        <v>14.2</v>
      </c>
      <c r="AF94" s="1">
        <v>14.6</v>
      </c>
      <c r="AG94" s="1">
        <v>11.6</v>
      </c>
      <c r="AH94" s="1">
        <v>6.2</v>
      </c>
      <c r="AI94" s="1">
        <v>13.2</v>
      </c>
      <c r="AJ94" s="1"/>
      <c r="AK94" s="1">
        <f t="shared" si="23"/>
        <v>1</v>
      </c>
      <c r="AL94" s="1">
        <f t="shared" si="24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133</v>
      </c>
      <c r="B95" s="1" t="s">
        <v>42</v>
      </c>
      <c r="C95" s="1">
        <v>94</v>
      </c>
      <c r="D95" s="1">
        <v>16</v>
      </c>
      <c r="E95" s="1">
        <v>84</v>
      </c>
      <c r="F95" s="1">
        <v>9</v>
      </c>
      <c r="G95" s="7">
        <v>0.08</v>
      </c>
      <c r="H95" s="1">
        <v>45</v>
      </c>
      <c r="I95" s="1" t="s">
        <v>173</v>
      </c>
      <c r="J95" s="1"/>
      <c r="K95" s="1">
        <v>101</v>
      </c>
      <c r="L95" s="1">
        <f t="shared" si="17"/>
        <v>-17</v>
      </c>
      <c r="M95" s="1"/>
      <c r="N95" s="1"/>
      <c r="O95" s="1">
        <v>58.399999999999977</v>
      </c>
      <c r="P95" s="1"/>
      <c r="Q95" s="1"/>
      <c r="R95" s="1">
        <v>97.5</v>
      </c>
      <c r="S95" s="1">
        <f t="shared" si="18"/>
        <v>16.8</v>
      </c>
      <c r="T95" s="5">
        <v>110</v>
      </c>
      <c r="U95" s="5">
        <f t="shared" si="19"/>
        <v>110</v>
      </c>
      <c r="V95" s="5">
        <f t="shared" si="20"/>
        <v>110</v>
      </c>
      <c r="W95" s="5"/>
      <c r="X95" s="1">
        <f t="shared" si="21"/>
        <v>16.363095238095237</v>
      </c>
      <c r="Y95" s="1">
        <f t="shared" si="22"/>
        <v>9.815476190476188</v>
      </c>
      <c r="Z95" s="1">
        <v>22.2</v>
      </c>
      <c r="AA95" s="1">
        <v>22</v>
      </c>
      <c r="AB95" s="1">
        <v>19</v>
      </c>
      <c r="AC95" s="1">
        <v>16.2</v>
      </c>
      <c r="AD95" s="1">
        <v>17.2</v>
      </c>
      <c r="AE95" s="1">
        <v>13.8</v>
      </c>
      <c r="AF95" s="1">
        <v>19</v>
      </c>
      <c r="AG95" s="1">
        <v>20.8</v>
      </c>
      <c r="AH95" s="1">
        <v>6.4</v>
      </c>
      <c r="AI95" s="1">
        <v>16</v>
      </c>
      <c r="AJ95" s="1" t="s">
        <v>178</v>
      </c>
      <c r="AK95" s="1">
        <f t="shared" si="23"/>
        <v>9</v>
      </c>
      <c r="AL95" s="1">
        <f t="shared" si="24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134</v>
      </c>
      <c r="B96" s="1" t="s">
        <v>38</v>
      </c>
      <c r="C96" s="1">
        <v>420.06400000000002</v>
      </c>
      <c r="D96" s="1">
        <v>39.058</v>
      </c>
      <c r="E96" s="1">
        <v>236.79</v>
      </c>
      <c r="F96" s="1">
        <v>199.369</v>
      </c>
      <c r="G96" s="7">
        <v>1</v>
      </c>
      <c r="H96" s="1">
        <v>40</v>
      </c>
      <c r="I96" s="1" t="s">
        <v>173</v>
      </c>
      <c r="J96" s="1"/>
      <c r="K96" s="1">
        <v>235.94</v>
      </c>
      <c r="L96" s="1">
        <f t="shared" si="17"/>
        <v>0.84999999999999432</v>
      </c>
      <c r="M96" s="1"/>
      <c r="N96" s="1"/>
      <c r="O96" s="1">
        <v>91.716800000000092</v>
      </c>
      <c r="P96" s="1"/>
      <c r="Q96" s="1"/>
      <c r="R96" s="1">
        <v>47.670600000000007</v>
      </c>
      <c r="S96" s="1">
        <f t="shared" si="18"/>
        <v>47.357999999999997</v>
      </c>
      <c r="T96" s="5">
        <f t="shared" si="27"/>
        <v>182.18159999999986</v>
      </c>
      <c r="U96" s="5">
        <f t="shared" si="19"/>
        <v>182.18159999999986</v>
      </c>
      <c r="V96" s="5">
        <f t="shared" si="20"/>
        <v>182.18159999999986</v>
      </c>
      <c r="W96" s="5"/>
      <c r="X96" s="1">
        <f t="shared" si="21"/>
        <v>11</v>
      </c>
      <c r="Y96" s="1">
        <f t="shared" si="22"/>
        <v>7.1530976814899301</v>
      </c>
      <c r="Z96" s="1">
        <v>40.43</v>
      </c>
      <c r="AA96" s="1">
        <v>48.8384</v>
      </c>
      <c r="AB96" s="1">
        <v>44.055</v>
      </c>
      <c r="AC96" s="1">
        <v>44.2652</v>
      </c>
      <c r="AD96" s="1">
        <v>54.242199999999997</v>
      </c>
      <c r="AE96" s="1">
        <v>42.4114</v>
      </c>
      <c r="AF96" s="1">
        <v>28.562200000000001</v>
      </c>
      <c r="AG96" s="1">
        <v>39.197200000000002</v>
      </c>
      <c r="AH96" s="1">
        <v>41.034799999999997</v>
      </c>
      <c r="AI96" s="1">
        <v>31.838200000000001</v>
      </c>
      <c r="AJ96" s="1"/>
      <c r="AK96" s="1">
        <f t="shared" si="23"/>
        <v>182</v>
      </c>
      <c r="AL96" s="1">
        <f t="shared" si="24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135</v>
      </c>
      <c r="B97" s="1" t="s">
        <v>38</v>
      </c>
      <c r="C97" s="1">
        <v>391.83199999999999</v>
      </c>
      <c r="D97" s="1">
        <v>70.25</v>
      </c>
      <c r="E97" s="1">
        <v>223.185</v>
      </c>
      <c r="F97" s="1">
        <v>190.083</v>
      </c>
      <c r="G97" s="7">
        <v>1</v>
      </c>
      <c r="H97" s="1">
        <v>40</v>
      </c>
      <c r="I97" s="1" t="s">
        <v>173</v>
      </c>
      <c r="J97" s="1"/>
      <c r="K97" s="1">
        <v>211.2</v>
      </c>
      <c r="L97" s="1">
        <f t="shared" si="17"/>
        <v>11.985000000000014</v>
      </c>
      <c r="M97" s="1"/>
      <c r="N97" s="1"/>
      <c r="O97" s="1">
        <v>164.59374447999991</v>
      </c>
      <c r="P97" s="1"/>
      <c r="Q97" s="1"/>
      <c r="R97" s="1">
        <v>64.04789999999997</v>
      </c>
      <c r="S97" s="1">
        <f t="shared" si="18"/>
        <v>44.637</v>
      </c>
      <c r="T97" s="5">
        <f t="shared" si="27"/>
        <v>72.282355520000095</v>
      </c>
      <c r="U97" s="5">
        <f t="shared" si="19"/>
        <v>72.282355520000095</v>
      </c>
      <c r="V97" s="5">
        <f t="shared" si="20"/>
        <v>72.282355520000095</v>
      </c>
      <c r="W97" s="5"/>
      <c r="X97" s="1">
        <f t="shared" si="21"/>
        <v>10.999999999999998</v>
      </c>
      <c r="Y97" s="1">
        <f t="shared" si="22"/>
        <v>9.3806627793086417</v>
      </c>
      <c r="Z97" s="1">
        <v>44.8142</v>
      </c>
      <c r="AA97" s="1">
        <v>56.320599999999999</v>
      </c>
      <c r="AB97" s="1">
        <v>47.069200000000002</v>
      </c>
      <c r="AC97" s="1">
        <v>42.101199999999999</v>
      </c>
      <c r="AD97" s="1">
        <v>53.484000000000002</v>
      </c>
      <c r="AE97" s="1">
        <v>58.659000000000013</v>
      </c>
      <c r="AF97" s="1">
        <v>62.764200000000002</v>
      </c>
      <c r="AG97" s="1">
        <v>61.113199999999992</v>
      </c>
      <c r="AH97" s="1">
        <v>41.221800000000002</v>
      </c>
      <c r="AI97" s="1">
        <v>20.991399999999999</v>
      </c>
      <c r="AJ97" s="1"/>
      <c r="AK97" s="1">
        <f t="shared" si="23"/>
        <v>72</v>
      </c>
      <c r="AL97" s="1">
        <f t="shared" si="24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136</v>
      </c>
      <c r="B98" s="1" t="s">
        <v>38</v>
      </c>
      <c r="C98" s="1">
        <v>304.642</v>
      </c>
      <c r="D98" s="1">
        <v>197.387</v>
      </c>
      <c r="E98" s="1">
        <v>325.82600000000002</v>
      </c>
      <c r="F98" s="1">
        <v>112.68899999999999</v>
      </c>
      <c r="G98" s="7">
        <v>1</v>
      </c>
      <c r="H98" s="1">
        <v>40</v>
      </c>
      <c r="I98" s="1" t="s">
        <v>173</v>
      </c>
      <c r="J98" s="1"/>
      <c r="K98" s="1">
        <v>320.32</v>
      </c>
      <c r="L98" s="1">
        <f t="shared" si="17"/>
        <v>5.5060000000000286</v>
      </c>
      <c r="M98" s="1"/>
      <c r="N98" s="1"/>
      <c r="O98" s="1">
        <v>163.24152000000001</v>
      </c>
      <c r="P98" s="1"/>
      <c r="Q98" s="1"/>
      <c r="R98" s="1">
        <v>87.16352000000002</v>
      </c>
      <c r="S98" s="1">
        <f t="shared" si="18"/>
        <v>65.165199999999999</v>
      </c>
      <c r="T98" s="5">
        <f t="shared" si="27"/>
        <v>353.72315999999989</v>
      </c>
      <c r="U98" s="5">
        <f t="shared" si="19"/>
        <v>353.72315999999989</v>
      </c>
      <c r="V98" s="5">
        <f t="shared" si="20"/>
        <v>153.72315999999989</v>
      </c>
      <c r="W98" s="5">
        <v>200</v>
      </c>
      <c r="X98" s="1">
        <f t="shared" si="21"/>
        <v>11</v>
      </c>
      <c r="Y98" s="1">
        <f t="shared" si="22"/>
        <v>5.5719009532695365</v>
      </c>
      <c r="Z98" s="1">
        <v>60.9452</v>
      </c>
      <c r="AA98" s="1">
        <v>70.5732</v>
      </c>
      <c r="AB98" s="1">
        <v>62.651200000000003</v>
      </c>
      <c r="AC98" s="1">
        <v>44.876600000000003</v>
      </c>
      <c r="AD98" s="1">
        <v>53.498600000000003</v>
      </c>
      <c r="AE98" s="1">
        <v>56.879600000000003</v>
      </c>
      <c r="AF98" s="1">
        <v>47.910400000000003</v>
      </c>
      <c r="AG98" s="1">
        <v>60.2986</v>
      </c>
      <c r="AH98" s="1">
        <v>44.475000000000001</v>
      </c>
      <c r="AI98" s="1">
        <v>43.321599999999997</v>
      </c>
      <c r="AJ98" s="1"/>
      <c r="AK98" s="1">
        <f t="shared" si="23"/>
        <v>154</v>
      </c>
      <c r="AL98" s="1">
        <f t="shared" si="24"/>
        <v>200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137</v>
      </c>
      <c r="B99" s="1" t="s">
        <v>42</v>
      </c>
      <c r="C99" s="1">
        <v>101</v>
      </c>
      <c r="D99" s="1">
        <v>11</v>
      </c>
      <c r="E99" s="1">
        <v>100</v>
      </c>
      <c r="F99" s="1">
        <v>5</v>
      </c>
      <c r="G99" s="7">
        <v>0.28000000000000003</v>
      </c>
      <c r="H99" s="1">
        <v>40</v>
      </c>
      <c r="I99" s="1" t="s">
        <v>173</v>
      </c>
      <c r="J99" s="1"/>
      <c r="K99" s="1">
        <v>210</v>
      </c>
      <c r="L99" s="1">
        <f t="shared" si="17"/>
        <v>-110</v>
      </c>
      <c r="M99" s="1"/>
      <c r="N99" s="1"/>
      <c r="O99" s="1">
        <v>287</v>
      </c>
      <c r="P99" s="1"/>
      <c r="Q99" s="1"/>
      <c r="R99" s="1">
        <v>164.1</v>
      </c>
      <c r="S99" s="1">
        <f t="shared" si="18"/>
        <v>20</v>
      </c>
      <c r="T99" s="5"/>
      <c r="U99" s="5">
        <f t="shared" si="19"/>
        <v>0</v>
      </c>
      <c r="V99" s="5">
        <f t="shared" si="20"/>
        <v>0</v>
      </c>
      <c r="W99" s="5"/>
      <c r="X99" s="1">
        <f t="shared" si="21"/>
        <v>22.805</v>
      </c>
      <c r="Y99" s="1">
        <f t="shared" si="22"/>
        <v>22.805</v>
      </c>
      <c r="Z99" s="1">
        <v>41</v>
      </c>
      <c r="AA99" s="1">
        <v>38.799999999999997</v>
      </c>
      <c r="AB99" s="1">
        <v>14.8</v>
      </c>
      <c r="AC99" s="1">
        <v>-2.6</v>
      </c>
      <c r="AD99" s="1">
        <v>-1.8</v>
      </c>
      <c r="AE99" s="1">
        <v>10.4</v>
      </c>
      <c r="AF99" s="1">
        <v>23</v>
      </c>
      <c r="AG99" s="1">
        <v>12</v>
      </c>
      <c r="AH99" s="1">
        <v>46.2</v>
      </c>
      <c r="AI99" s="1">
        <v>35.4</v>
      </c>
      <c r="AJ99" s="1"/>
      <c r="AK99" s="1">
        <f t="shared" si="23"/>
        <v>0</v>
      </c>
      <c r="AL99" s="1">
        <f t="shared" si="24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138</v>
      </c>
      <c r="B100" s="1" t="s">
        <v>42</v>
      </c>
      <c r="C100" s="1">
        <v>434</v>
      </c>
      <c r="D100" s="1">
        <v>3</v>
      </c>
      <c r="E100" s="1">
        <v>193</v>
      </c>
      <c r="F100" s="1">
        <v>208</v>
      </c>
      <c r="G100" s="7">
        <v>0.28000000000000003</v>
      </c>
      <c r="H100" s="1">
        <v>40</v>
      </c>
      <c r="I100" s="1" t="s">
        <v>173</v>
      </c>
      <c r="J100" s="1"/>
      <c r="K100" s="1">
        <v>194</v>
      </c>
      <c r="L100" s="1">
        <f t="shared" si="17"/>
        <v>-1</v>
      </c>
      <c r="M100" s="1"/>
      <c r="N100" s="1"/>
      <c r="O100" s="1">
        <v>0</v>
      </c>
      <c r="P100" s="1"/>
      <c r="Q100" s="1"/>
      <c r="R100" s="1">
        <v>0</v>
      </c>
      <c r="S100" s="1">
        <f t="shared" si="18"/>
        <v>38.6</v>
      </c>
      <c r="T100" s="5">
        <f t="shared" si="27"/>
        <v>216.60000000000002</v>
      </c>
      <c r="U100" s="5">
        <f t="shared" si="19"/>
        <v>216.60000000000002</v>
      </c>
      <c r="V100" s="5">
        <f t="shared" si="20"/>
        <v>116.60000000000002</v>
      </c>
      <c r="W100" s="5">
        <v>100</v>
      </c>
      <c r="X100" s="1">
        <f t="shared" si="21"/>
        <v>11</v>
      </c>
      <c r="Y100" s="1">
        <f t="shared" si="22"/>
        <v>5.3886010362694297</v>
      </c>
      <c r="Z100" s="1">
        <v>25</v>
      </c>
      <c r="AA100" s="1">
        <v>12.8</v>
      </c>
      <c r="AB100" s="1">
        <v>8.6</v>
      </c>
      <c r="AC100" s="1">
        <v>24</v>
      </c>
      <c r="AD100" s="1">
        <v>42.6</v>
      </c>
      <c r="AE100" s="1">
        <v>28.8</v>
      </c>
      <c r="AF100" s="1">
        <v>4.2</v>
      </c>
      <c r="AG100" s="1">
        <v>0</v>
      </c>
      <c r="AH100" s="1">
        <v>0</v>
      </c>
      <c r="AI100" s="1">
        <v>0</v>
      </c>
      <c r="AJ100" s="1"/>
      <c r="AK100" s="1">
        <f t="shared" si="23"/>
        <v>33</v>
      </c>
      <c r="AL100" s="1">
        <f t="shared" si="24"/>
        <v>28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139</v>
      </c>
      <c r="B101" s="1" t="s">
        <v>42</v>
      </c>
      <c r="C101" s="1">
        <v>325</v>
      </c>
      <c r="D101" s="1">
        <v>9</v>
      </c>
      <c r="E101" s="1">
        <v>198</v>
      </c>
      <c r="F101" s="1">
        <v>97</v>
      </c>
      <c r="G101" s="7">
        <v>0.28000000000000003</v>
      </c>
      <c r="H101" s="1">
        <v>40</v>
      </c>
      <c r="I101" s="1" t="s">
        <v>173</v>
      </c>
      <c r="J101" s="1"/>
      <c r="K101" s="1">
        <v>200</v>
      </c>
      <c r="L101" s="1">
        <f t="shared" si="17"/>
        <v>-2</v>
      </c>
      <c r="M101" s="1"/>
      <c r="N101" s="1"/>
      <c r="O101" s="1">
        <v>103</v>
      </c>
      <c r="P101" s="1"/>
      <c r="Q101" s="1"/>
      <c r="R101" s="1">
        <v>70.5</v>
      </c>
      <c r="S101" s="1">
        <f t="shared" si="18"/>
        <v>39.6</v>
      </c>
      <c r="T101" s="5">
        <f t="shared" si="27"/>
        <v>165.10000000000002</v>
      </c>
      <c r="U101" s="5">
        <f t="shared" si="19"/>
        <v>165.10000000000002</v>
      </c>
      <c r="V101" s="5">
        <f t="shared" si="20"/>
        <v>165.10000000000002</v>
      </c>
      <c r="W101" s="5"/>
      <c r="X101" s="1">
        <f t="shared" si="21"/>
        <v>11</v>
      </c>
      <c r="Y101" s="1">
        <f t="shared" si="22"/>
        <v>6.8308080808080804</v>
      </c>
      <c r="Z101" s="1">
        <v>31.8</v>
      </c>
      <c r="AA101" s="1">
        <v>39</v>
      </c>
      <c r="AB101" s="1">
        <v>32.200000000000003</v>
      </c>
      <c r="AC101" s="1">
        <v>27.6</v>
      </c>
      <c r="AD101" s="1">
        <v>42.8</v>
      </c>
      <c r="AE101" s="1">
        <v>38.6</v>
      </c>
      <c r="AF101" s="1">
        <v>32.6</v>
      </c>
      <c r="AG101" s="1">
        <v>34.200000000000003</v>
      </c>
      <c r="AH101" s="1">
        <v>36.799999999999997</v>
      </c>
      <c r="AI101" s="1">
        <v>29</v>
      </c>
      <c r="AJ101" s="1"/>
      <c r="AK101" s="1">
        <f t="shared" si="23"/>
        <v>46</v>
      </c>
      <c r="AL101" s="1">
        <f t="shared" si="24"/>
        <v>0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140</v>
      </c>
      <c r="B102" s="1" t="s">
        <v>38</v>
      </c>
      <c r="C102" s="1">
        <v>263.99700000000001</v>
      </c>
      <c r="D102" s="1"/>
      <c r="E102" s="1">
        <v>92.063999999999993</v>
      </c>
      <c r="F102" s="1">
        <v>159.589</v>
      </c>
      <c r="G102" s="7">
        <v>1</v>
      </c>
      <c r="H102" s="1">
        <v>60</v>
      </c>
      <c r="I102" s="1" t="s">
        <v>173</v>
      </c>
      <c r="J102" s="1"/>
      <c r="K102" s="1">
        <v>102.5</v>
      </c>
      <c r="L102" s="1">
        <f t="shared" ref="L102:L112" si="28">E102-K102</f>
        <v>-10.436000000000007</v>
      </c>
      <c r="M102" s="1"/>
      <c r="N102" s="1"/>
      <c r="O102" s="1">
        <v>0</v>
      </c>
      <c r="P102" s="1"/>
      <c r="Q102" s="1"/>
      <c r="R102" s="1">
        <v>0</v>
      </c>
      <c r="S102" s="1">
        <f t="shared" si="18"/>
        <v>18.412799999999997</v>
      </c>
      <c r="T102" s="5">
        <f t="shared" si="27"/>
        <v>42.951799999999963</v>
      </c>
      <c r="U102" s="5">
        <f t="shared" si="19"/>
        <v>42.951799999999963</v>
      </c>
      <c r="V102" s="5">
        <f t="shared" si="20"/>
        <v>42.951799999999963</v>
      </c>
      <c r="W102" s="5"/>
      <c r="X102" s="1">
        <f t="shared" si="21"/>
        <v>11</v>
      </c>
      <c r="Y102" s="1">
        <f t="shared" si="22"/>
        <v>8.6672858011817873</v>
      </c>
      <c r="Z102" s="1">
        <v>15.7308</v>
      </c>
      <c r="AA102" s="1">
        <v>19.185199999999998</v>
      </c>
      <c r="AB102" s="1">
        <v>9.5001999999999995</v>
      </c>
      <c r="AC102" s="1">
        <v>4.1302000000000003</v>
      </c>
      <c r="AD102" s="1">
        <v>29.898199999999999</v>
      </c>
      <c r="AE102" s="1">
        <v>29.849799999999998</v>
      </c>
      <c r="AF102" s="1">
        <v>3.4443999999999999</v>
      </c>
      <c r="AG102" s="1">
        <v>3.4984000000000002</v>
      </c>
      <c r="AH102" s="1">
        <v>23.016400000000001</v>
      </c>
      <c r="AI102" s="1">
        <v>18.604199999999999</v>
      </c>
      <c r="AJ102" s="1"/>
      <c r="AK102" s="1">
        <f t="shared" si="23"/>
        <v>43</v>
      </c>
      <c r="AL102" s="1">
        <f t="shared" si="24"/>
        <v>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141</v>
      </c>
      <c r="B103" s="1" t="s">
        <v>38</v>
      </c>
      <c r="C103" s="1">
        <v>117.82899999999999</v>
      </c>
      <c r="D103" s="1">
        <v>17.48</v>
      </c>
      <c r="E103" s="1">
        <v>82.486000000000004</v>
      </c>
      <c r="F103" s="1">
        <v>17.864000000000001</v>
      </c>
      <c r="G103" s="7">
        <v>1</v>
      </c>
      <c r="H103" s="1">
        <v>50</v>
      </c>
      <c r="I103" s="1" t="s">
        <v>173</v>
      </c>
      <c r="J103" s="1"/>
      <c r="K103" s="1">
        <v>90</v>
      </c>
      <c r="L103" s="1">
        <f t="shared" si="28"/>
        <v>-7.5139999999999958</v>
      </c>
      <c r="M103" s="1"/>
      <c r="N103" s="1"/>
      <c r="O103" s="1">
        <v>47.145999999999972</v>
      </c>
      <c r="P103" s="1"/>
      <c r="Q103" s="1"/>
      <c r="R103" s="1">
        <v>45.138999999999982</v>
      </c>
      <c r="S103" s="1">
        <f t="shared" si="18"/>
        <v>16.497199999999999</v>
      </c>
      <c r="T103" s="5">
        <f t="shared" si="27"/>
        <v>71.320200000000042</v>
      </c>
      <c r="U103" s="5">
        <f t="shared" si="19"/>
        <v>71.320200000000042</v>
      </c>
      <c r="V103" s="5">
        <f t="shared" si="20"/>
        <v>71.320200000000042</v>
      </c>
      <c r="W103" s="5"/>
      <c r="X103" s="1">
        <f t="shared" si="21"/>
        <v>11</v>
      </c>
      <c r="Y103" s="1">
        <f t="shared" si="22"/>
        <v>6.6768300075164246</v>
      </c>
      <c r="Z103" s="1">
        <v>14.1732</v>
      </c>
      <c r="AA103" s="1">
        <v>15.641999999999999</v>
      </c>
      <c r="AB103" s="1">
        <v>12.287000000000001</v>
      </c>
      <c r="AC103" s="1">
        <v>4.1159999999999997</v>
      </c>
      <c r="AD103" s="1">
        <v>7.7904</v>
      </c>
      <c r="AE103" s="1">
        <v>13.495799999999999</v>
      </c>
      <c r="AF103" s="1">
        <v>18.490400000000001</v>
      </c>
      <c r="AG103" s="1">
        <v>21.981000000000002</v>
      </c>
      <c r="AH103" s="1">
        <v>8.9923999999999999</v>
      </c>
      <c r="AI103" s="1">
        <v>14.0106</v>
      </c>
      <c r="AJ103" s="1"/>
      <c r="AK103" s="1">
        <f t="shared" si="23"/>
        <v>71</v>
      </c>
      <c r="AL103" s="1">
        <f t="shared" si="24"/>
        <v>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142</v>
      </c>
      <c r="B104" s="1" t="s">
        <v>38</v>
      </c>
      <c r="C104" s="1">
        <v>45.04</v>
      </c>
      <c r="D104" s="1">
        <v>26.132999999999999</v>
      </c>
      <c r="E104" s="1">
        <v>56.642000000000003</v>
      </c>
      <c r="F104" s="1">
        <v>11.073</v>
      </c>
      <c r="G104" s="7">
        <v>1</v>
      </c>
      <c r="H104" s="1">
        <v>60</v>
      </c>
      <c r="I104" s="1" t="s">
        <v>173</v>
      </c>
      <c r="J104" s="1"/>
      <c r="K104" s="1">
        <v>61.3</v>
      </c>
      <c r="L104" s="1">
        <f t="shared" si="28"/>
        <v>-4.6579999999999941</v>
      </c>
      <c r="M104" s="1"/>
      <c r="N104" s="1"/>
      <c r="O104" s="1">
        <v>151.18600000000001</v>
      </c>
      <c r="P104" s="1"/>
      <c r="Q104" s="1"/>
      <c r="R104" s="1">
        <v>41.368999999999957</v>
      </c>
      <c r="S104" s="1">
        <f t="shared" si="18"/>
        <v>11.3284</v>
      </c>
      <c r="T104" s="5"/>
      <c r="U104" s="5">
        <f t="shared" si="19"/>
        <v>0</v>
      </c>
      <c r="V104" s="5">
        <f t="shared" si="20"/>
        <v>0</v>
      </c>
      <c r="W104" s="5"/>
      <c r="X104" s="1">
        <f t="shared" si="21"/>
        <v>17.975000882737191</v>
      </c>
      <c r="Y104" s="1">
        <f t="shared" si="22"/>
        <v>17.975000882737191</v>
      </c>
      <c r="Z104" s="1">
        <v>16.998000000000001</v>
      </c>
      <c r="AA104" s="1">
        <v>21.1784</v>
      </c>
      <c r="AB104" s="1">
        <v>9.8439999999999994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12.7134</v>
      </c>
      <c r="AI104" s="1">
        <v>23.990600000000001</v>
      </c>
      <c r="AJ104" s="1"/>
      <c r="AK104" s="1">
        <f t="shared" si="23"/>
        <v>0</v>
      </c>
      <c r="AL104" s="1">
        <f t="shared" si="24"/>
        <v>0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143</v>
      </c>
      <c r="B105" s="1" t="s">
        <v>38</v>
      </c>
      <c r="C105" s="1">
        <v>144.34800000000001</v>
      </c>
      <c r="D105" s="1">
        <v>242.75299999999999</v>
      </c>
      <c r="E105" s="1">
        <v>203.4</v>
      </c>
      <c r="F105" s="1">
        <v>148.33000000000001</v>
      </c>
      <c r="G105" s="7">
        <v>1</v>
      </c>
      <c r="H105" s="1">
        <v>60</v>
      </c>
      <c r="I105" s="1" t="s">
        <v>173</v>
      </c>
      <c r="J105" s="1"/>
      <c r="K105" s="1">
        <v>195.9</v>
      </c>
      <c r="L105" s="1">
        <f t="shared" si="28"/>
        <v>7.5</v>
      </c>
      <c r="M105" s="1"/>
      <c r="N105" s="1"/>
      <c r="O105" s="1">
        <v>53.68960000000007</v>
      </c>
      <c r="P105" s="1"/>
      <c r="Q105" s="1"/>
      <c r="R105" s="1">
        <v>48.586099999999902</v>
      </c>
      <c r="S105" s="1">
        <f t="shared" si="18"/>
        <v>40.68</v>
      </c>
      <c r="T105" s="5">
        <f t="shared" si="27"/>
        <v>196.87430000000009</v>
      </c>
      <c r="U105" s="5">
        <f t="shared" si="19"/>
        <v>196.87430000000009</v>
      </c>
      <c r="V105" s="5">
        <f t="shared" si="20"/>
        <v>96.87430000000009</v>
      </c>
      <c r="W105" s="5">
        <v>100</v>
      </c>
      <c r="X105" s="1">
        <f t="shared" si="21"/>
        <v>11.000000000000002</v>
      </c>
      <c r="Y105" s="1">
        <f t="shared" si="22"/>
        <v>6.160415437561455</v>
      </c>
      <c r="Z105" s="1">
        <v>30.541399999999999</v>
      </c>
      <c r="AA105" s="1">
        <v>38.330199999999998</v>
      </c>
      <c r="AB105" s="1">
        <v>36.979799999999997</v>
      </c>
      <c r="AC105" s="1">
        <v>37.952800000000003</v>
      </c>
      <c r="AD105" s="1">
        <v>20.715</v>
      </c>
      <c r="AE105" s="1">
        <v>10.0794</v>
      </c>
      <c r="AF105" s="1">
        <v>31.320399999999999</v>
      </c>
      <c r="AG105" s="1">
        <v>42.749200000000002</v>
      </c>
      <c r="AH105" s="1">
        <v>29.668399999999998</v>
      </c>
      <c r="AI105" s="1">
        <v>23.665400000000002</v>
      </c>
      <c r="AJ105" s="1"/>
      <c r="AK105" s="1">
        <f t="shared" si="23"/>
        <v>97</v>
      </c>
      <c r="AL105" s="1">
        <f t="shared" si="24"/>
        <v>100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144</v>
      </c>
      <c r="B106" s="1" t="s">
        <v>38</v>
      </c>
      <c r="C106" s="1">
        <v>135.52699999999999</v>
      </c>
      <c r="D106" s="1">
        <v>4.1100000000000003</v>
      </c>
      <c r="E106" s="1">
        <v>93.284000000000006</v>
      </c>
      <c r="F106" s="1">
        <v>38.119</v>
      </c>
      <c r="G106" s="7">
        <v>1</v>
      </c>
      <c r="H106" s="1">
        <v>60</v>
      </c>
      <c r="I106" s="1" t="s">
        <v>173</v>
      </c>
      <c r="J106" s="1"/>
      <c r="K106" s="1">
        <v>83.1</v>
      </c>
      <c r="L106" s="1">
        <f t="shared" si="28"/>
        <v>10.184000000000012</v>
      </c>
      <c r="M106" s="1"/>
      <c r="N106" s="1"/>
      <c r="O106" s="1">
        <v>0</v>
      </c>
      <c r="P106" s="1"/>
      <c r="Q106" s="1"/>
      <c r="R106" s="1">
        <v>23.1965</v>
      </c>
      <c r="S106" s="1">
        <f t="shared" si="18"/>
        <v>18.6568</v>
      </c>
      <c r="T106" s="5">
        <f>9*S106-R106-Q106-P106-O106-F106</f>
        <v>106.59569999999999</v>
      </c>
      <c r="U106" s="5">
        <f t="shared" si="19"/>
        <v>106.59569999999999</v>
      </c>
      <c r="V106" s="5">
        <f t="shared" si="20"/>
        <v>106.59569999999999</v>
      </c>
      <c r="W106" s="5"/>
      <c r="X106" s="1">
        <f t="shared" si="21"/>
        <v>9</v>
      </c>
      <c r="Y106" s="1">
        <f t="shared" si="22"/>
        <v>3.2864960764975772</v>
      </c>
      <c r="Z106" s="1">
        <v>9.5117999999999991</v>
      </c>
      <c r="AA106" s="1">
        <v>9.5025999999999993</v>
      </c>
      <c r="AB106" s="1">
        <v>9.9976000000000003</v>
      </c>
      <c r="AC106" s="1">
        <v>8.3857999999999997</v>
      </c>
      <c r="AD106" s="1">
        <v>12.8756</v>
      </c>
      <c r="AE106" s="1">
        <v>14.671799999999999</v>
      </c>
      <c r="AF106" s="1">
        <v>8.1275999999999993</v>
      </c>
      <c r="AG106" s="1">
        <v>5.9496000000000002</v>
      </c>
      <c r="AH106" s="1">
        <v>7.8940000000000001</v>
      </c>
      <c r="AI106" s="1">
        <v>7.8569999999999993</v>
      </c>
      <c r="AJ106" s="1"/>
      <c r="AK106" s="1">
        <f t="shared" si="23"/>
        <v>107</v>
      </c>
      <c r="AL106" s="1">
        <f t="shared" si="24"/>
        <v>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145</v>
      </c>
      <c r="B107" s="1" t="s">
        <v>38</v>
      </c>
      <c r="C107" s="1">
        <v>1633.2619999999999</v>
      </c>
      <c r="D107" s="1">
        <v>17.574000000000002</v>
      </c>
      <c r="E107" s="1">
        <v>969.36900000000003</v>
      </c>
      <c r="F107" s="1">
        <v>527.69200000000001</v>
      </c>
      <c r="G107" s="7">
        <v>1</v>
      </c>
      <c r="H107" s="1">
        <v>60</v>
      </c>
      <c r="I107" s="1" t="s">
        <v>173</v>
      </c>
      <c r="J107" s="1"/>
      <c r="K107" s="1">
        <v>982.5</v>
      </c>
      <c r="L107" s="1">
        <f t="shared" si="28"/>
        <v>-13.130999999999972</v>
      </c>
      <c r="M107" s="1"/>
      <c r="N107" s="1"/>
      <c r="O107" s="1">
        <v>0</v>
      </c>
      <c r="P107" s="1">
        <v>200</v>
      </c>
      <c r="Q107" s="1">
        <v>200</v>
      </c>
      <c r="R107" s="1">
        <v>891.41624000000013</v>
      </c>
      <c r="S107" s="1">
        <f t="shared" si="18"/>
        <v>193.87380000000002</v>
      </c>
      <c r="T107" s="5">
        <f t="shared" si="27"/>
        <v>313.50356000000011</v>
      </c>
      <c r="U107" s="5">
        <f>T107+$U$1*S107</f>
        <v>439.5215300000001</v>
      </c>
      <c r="V107" s="5">
        <f t="shared" si="20"/>
        <v>239.5215300000001</v>
      </c>
      <c r="W107" s="5">
        <v>200</v>
      </c>
      <c r="X107" s="1">
        <f t="shared" si="21"/>
        <v>11.649999999999999</v>
      </c>
      <c r="Y107" s="1">
        <f t="shared" si="22"/>
        <v>9.3829503522394457</v>
      </c>
      <c r="Z107" s="1">
        <v>177.26840000000001</v>
      </c>
      <c r="AA107" s="1">
        <v>143.54259999999999</v>
      </c>
      <c r="AB107" s="1">
        <v>73.318599999999989</v>
      </c>
      <c r="AC107" s="1">
        <v>37.800199999999997</v>
      </c>
      <c r="AD107" s="1">
        <v>16.512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 t="s">
        <v>146</v>
      </c>
      <c r="AK107" s="1">
        <f t="shared" si="23"/>
        <v>240</v>
      </c>
      <c r="AL107" s="1">
        <f t="shared" si="24"/>
        <v>200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147</v>
      </c>
      <c r="B108" s="1" t="s">
        <v>42</v>
      </c>
      <c r="C108" s="1">
        <v>364</v>
      </c>
      <c r="D108" s="1">
        <v>28</v>
      </c>
      <c r="E108" s="1">
        <v>300</v>
      </c>
      <c r="F108" s="1">
        <v>69</v>
      </c>
      <c r="G108" s="7">
        <v>0.3</v>
      </c>
      <c r="H108" s="1">
        <v>40</v>
      </c>
      <c r="I108" s="1" t="s">
        <v>173</v>
      </c>
      <c r="J108" s="1"/>
      <c r="K108" s="1">
        <v>293.7</v>
      </c>
      <c r="L108" s="1">
        <f t="shared" si="28"/>
        <v>6.3000000000000114</v>
      </c>
      <c r="M108" s="1"/>
      <c r="N108" s="1"/>
      <c r="O108" s="1">
        <v>103.39999999999991</v>
      </c>
      <c r="P108" s="1"/>
      <c r="Q108" s="1"/>
      <c r="R108" s="1">
        <v>75.600000000000023</v>
      </c>
      <c r="S108" s="1">
        <f t="shared" si="18"/>
        <v>60</v>
      </c>
      <c r="T108" s="5">
        <f>10*S108-R108-Q108-P108-O108-F108</f>
        <v>352.00000000000006</v>
      </c>
      <c r="U108" s="5">
        <f t="shared" si="19"/>
        <v>352.00000000000006</v>
      </c>
      <c r="V108" s="5">
        <f t="shared" si="20"/>
        <v>152.00000000000006</v>
      </c>
      <c r="W108" s="5">
        <v>200</v>
      </c>
      <c r="X108" s="1">
        <f t="shared" si="21"/>
        <v>10</v>
      </c>
      <c r="Y108" s="1">
        <f t="shared" si="22"/>
        <v>4.133333333333332</v>
      </c>
      <c r="Z108" s="1">
        <v>36.4</v>
      </c>
      <c r="AA108" s="1">
        <v>44.4</v>
      </c>
      <c r="AB108" s="1">
        <v>39</v>
      </c>
      <c r="AC108" s="1">
        <v>37.200000000000003</v>
      </c>
      <c r="AD108" s="1">
        <v>48.4</v>
      </c>
      <c r="AE108" s="1">
        <v>47.6</v>
      </c>
      <c r="AF108" s="1">
        <v>37.4</v>
      </c>
      <c r="AG108" s="1">
        <v>29</v>
      </c>
      <c r="AH108" s="1">
        <v>50.2</v>
      </c>
      <c r="AI108" s="1">
        <v>31.6</v>
      </c>
      <c r="AJ108" s="1"/>
      <c r="AK108" s="1">
        <f t="shared" si="23"/>
        <v>46</v>
      </c>
      <c r="AL108" s="1">
        <f t="shared" si="24"/>
        <v>60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148</v>
      </c>
      <c r="B109" s="1" t="s">
        <v>42</v>
      </c>
      <c r="C109" s="1"/>
      <c r="D109" s="1">
        <v>91</v>
      </c>
      <c r="E109" s="1">
        <v>80</v>
      </c>
      <c r="F109" s="1">
        <v>1</v>
      </c>
      <c r="G109" s="7">
        <v>0.3</v>
      </c>
      <c r="H109" s="1">
        <v>40</v>
      </c>
      <c r="I109" s="1" t="s">
        <v>173</v>
      </c>
      <c r="J109" s="1"/>
      <c r="K109" s="1">
        <v>136</v>
      </c>
      <c r="L109" s="1">
        <f t="shared" si="28"/>
        <v>-56</v>
      </c>
      <c r="M109" s="1"/>
      <c r="N109" s="1"/>
      <c r="O109" s="1">
        <v>0</v>
      </c>
      <c r="P109" s="1"/>
      <c r="Q109" s="1"/>
      <c r="R109" s="1">
        <v>0</v>
      </c>
      <c r="S109" s="1">
        <f t="shared" si="18"/>
        <v>16</v>
      </c>
      <c r="T109" s="5">
        <v>130</v>
      </c>
      <c r="U109" s="5">
        <f t="shared" si="19"/>
        <v>130</v>
      </c>
      <c r="V109" s="5">
        <f t="shared" si="20"/>
        <v>130</v>
      </c>
      <c r="W109" s="5"/>
      <c r="X109" s="1">
        <f t="shared" si="21"/>
        <v>8.1875</v>
      </c>
      <c r="Y109" s="1">
        <f t="shared" si="22"/>
        <v>6.25E-2</v>
      </c>
      <c r="Z109" s="1">
        <v>-1.2</v>
      </c>
      <c r="AA109" s="1">
        <v>-0.6</v>
      </c>
      <c r="AB109" s="1">
        <v>-1.2</v>
      </c>
      <c r="AC109" s="1">
        <v>-3.6</v>
      </c>
      <c r="AD109" s="1">
        <v>-6.6</v>
      </c>
      <c r="AE109" s="1">
        <v>4.4000000000000004</v>
      </c>
      <c r="AF109" s="1">
        <v>6.8</v>
      </c>
      <c r="AG109" s="1">
        <v>2.8</v>
      </c>
      <c r="AH109" s="1">
        <v>20.399999999999999</v>
      </c>
      <c r="AI109" s="1">
        <v>27.2</v>
      </c>
      <c r="AJ109" s="1" t="s">
        <v>149</v>
      </c>
      <c r="AK109" s="1">
        <f t="shared" si="23"/>
        <v>39</v>
      </c>
      <c r="AL109" s="1">
        <f t="shared" si="24"/>
        <v>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150</v>
      </c>
      <c r="B110" s="1" t="s">
        <v>38</v>
      </c>
      <c r="C110" s="1">
        <v>20.391999999999999</v>
      </c>
      <c r="D110" s="1"/>
      <c r="E110" s="1">
        <v>9.5050000000000008</v>
      </c>
      <c r="F110" s="1">
        <v>9.5250000000000004</v>
      </c>
      <c r="G110" s="7">
        <v>1</v>
      </c>
      <c r="H110" s="1">
        <v>50</v>
      </c>
      <c r="I110" s="1" t="s">
        <v>173</v>
      </c>
      <c r="J110" s="1"/>
      <c r="K110" s="1">
        <v>8.4</v>
      </c>
      <c r="L110" s="1">
        <f t="shared" si="28"/>
        <v>1.1050000000000004</v>
      </c>
      <c r="M110" s="1"/>
      <c r="N110" s="1"/>
      <c r="O110" s="1">
        <v>6.3732000000000042</v>
      </c>
      <c r="P110" s="1"/>
      <c r="Q110" s="1"/>
      <c r="R110" s="1">
        <v>0</v>
      </c>
      <c r="S110" s="1">
        <f t="shared" si="18"/>
        <v>1.9010000000000002</v>
      </c>
      <c r="T110" s="5">
        <f t="shared" si="27"/>
        <v>5.0127999999999968</v>
      </c>
      <c r="U110" s="5">
        <f t="shared" si="19"/>
        <v>5.0127999999999968</v>
      </c>
      <c r="V110" s="5">
        <f t="shared" si="20"/>
        <v>5.0127999999999968</v>
      </c>
      <c r="W110" s="5"/>
      <c r="X110" s="1">
        <f t="shared" si="21"/>
        <v>11</v>
      </c>
      <c r="Y110" s="1">
        <f t="shared" si="22"/>
        <v>8.3630720673329844</v>
      </c>
      <c r="Z110" s="1">
        <v>1.0864</v>
      </c>
      <c r="AA110" s="1">
        <v>2.4331999999999998</v>
      </c>
      <c r="AB110" s="1">
        <v>1.623</v>
      </c>
      <c r="AC110" s="1">
        <v>0</v>
      </c>
      <c r="AD110" s="1">
        <v>0</v>
      </c>
      <c r="AE110" s="1">
        <v>-4.7E-2</v>
      </c>
      <c r="AF110" s="1">
        <v>2.073</v>
      </c>
      <c r="AG110" s="1">
        <v>2.12</v>
      </c>
      <c r="AH110" s="1">
        <v>3.0232000000000001</v>
      </c>
      <c r="AI110" s="1">
        <v>2.4927999999999999</v>
      </c>
      <c r="AJ110" s="1" t="s">
        <v>48</v>
      </c>
      <c r="AK110" s="1">
        <f t="shared" si="23"/>
        <v>5</v>
      </c>
      <c r="AL110" s="1">
        <f t="shared" si="24"/>
        <v>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151</v>
      </c>
      <c r="B111" s="1" t="s">
        <v>42</v>
      </c>
      <c r="C111" s="1">
        <v>56</v>
      </c>
      <c r="D111" s="1">
        <v>142</v>
      </c>
      <c r="E111" s="1">
        <v>73</v>
      </c>
      <c r="F111" s="1">
        <v>112</v>
      </c>
      <c r="G111" s="7">
        <v>0.3</v>
      </c>
      <c r="H111" s="1">
        <v>40</v>
      </c>
      <c r="I111" s="1" t="s">
        <v>173</v>
      </c>
      <c r="J111" s="1"/>
      <c r="K111" s="1">
        <v>122</v>
      </c>
      <c r="L111" s="1">
        <f t="shared" si="28"/>
        <v>-49</v>
      </c>
      <c r="M111" s="1"/>
      <c r="N111" s="1"/>
      <c r="O111" s="1">
        <v>276.27999999999992</v>
      </c>
      <c r="P111" s="1"/>
      <c r="Q111" s="1"/>
      <c r="R111" s="1">
        <v>0</v>
      </c>
      <c r="S111" s="1">
        <f t="shared" si="18"/>
        <v>14.6</v>
      </c>
      <c r="T111" s="5"/>
      <c r="U111" s="5">
        <f t="shared" si="19"/>
        <v>0</v>
      </c>
      <c r="V111" s="5">
        <f t="shared" si="20"/>
        <v>0</v>
      </c>
      <c r="W111" s="5"/>
      <c r="X111" s="1">
        <f t="shared" si="21"/>
        <v>26.594520547945201</v>
      </c>
      <c r="Y111" s="1">
        <f t="shared" si="22"/>
        <v>26.594520547945201</v>
      </c>
      <c r="Z111" s="1">
        <v>30</v>
      </c>
      <c r="AA111" s="1">
        <v>42.6</v>
      </c>
      <c r="AB111" s="1">
        <v>23.8</v>
      </c>
      <c r="AC111" s="1">
        <v>8</v>
      </c>
      <c r="AD111" s="1">
        <v>18.8</v>
      </c>
      <c r="AE111" s="1">
        <v>20.399999999999999</v>
      </c>
      <c r="AF111" s="1">
        <v>20.399999999999999</v>
      </c>
      <c r="AG111" s="1">
        <v>16.600000000000001</v>
      </c>
      <c r="AH111" s="1">
        <v>16</v>
      </c>
      <c r="AI111" s="1">
        <v>15.4</v>
      </c>
      <c r="AJ111" s="1"/>
      <c r="AK111" s="1">
        <f t="shared" si="23"/>
        <v>0</v>
      </c>
      <c r="AL111" s="1">
        <f t="shared" si="24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152</v>
      </c>
      <c r="B112" s="1" t="s">
        <v>42</v>
      </c>
      <c r="C112" s="1">
        <v>150</v>
      </c>
      <c r="D112" s="1"/>
      <c r="E112" s="1">
        <v>73</v>
      </c>
      <c r="F112" s="1">
        <v>71</v>
      </c>
      <c r="G112" s="7">
        <v>0.12</v>
      </c>
      <c r="H112" s="1">
        <v>45</v>
      </c>
      <c r="I112" s="1" t="s">
        <v>173</v>
      </c>
      <c r="J112" s="1"/>
      <c r="K112" s="1">
        <v>73</v>
      </c>
      <c r="L112" s="1">
        <f t="shared" si="28"/>
        <v>0</v>
      </c>
      <c r="M112" s="1"/>
      <c r="N112" s="1"/>
      <c r="O112" s="1">
        <v>0</v>
      </c>
      <c r="P112" s="1"/>
      <c r="Q112" s="1"/>
      <c r="R112" s="1">
        <v>0</v>
      </c>
      <c r="S112" s="1">
        <f t="shared" si="18"/>
        <v>14.6</v>
      </c>
      <c r="T112" s="5">
        <f t="shared" si="27"/>
        <v>89.6</v>
      </c>
      <c r="U112" s="5">
        <f t="shared" si="19"/>
        <v>89.6</v>
      </c>
      <c r="V112" s="5">
        <f t="shared" si="20"/>
        <v>89.6</v>
      </c>
      <c r="W112" s="5"/>
      <c r="X112" s="1">
        <f t="shared" si="21"/>
        <v>11</v>
      </c>
      <c r="Y112" s="1">
        <f t="shared" si="22"/>
        <v>4.8630136986301373</v>
      </c>
      <c r="Z112" s="1">
        <v>7.4</v>
      </c>
      <c r="AA112" s="1">
        <v>3.6</v>
      </c>
      <c r="AB112" s="1">
        <v>3.2</v>
      </c>
      <c r="AC112" s="1">
        <v>6.2</v>
      </c>
      <c r="AD112" s="1">
        <v>12.2</v>
      </c>
      <c r="AE112" s="1">
        <v>7.6</v>
      </c>
      <c r="AF112" s="1">
        <v>0.4</v>
      </c>
      <c r="AG112" s="1">
        <v>1.8</v>
      </c>
      <c r="AH112" s="1">
        <v>7.6</v>
      </c>
      <c r="AI112" s="1">
        <v>2.8</v>
      </c>
      <c r="AJ112" s="1"/>
      <c r="AK112" s="1">
        <f t="shared" si="23"/>
        <v>11</v>
      </c>
      <c r="AL112" s="1">
        <f t="shared" si="24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3" t="s">
        <v>153</v>
      </c>
      <c r="B113" s="13" t="s">
        <v>42</v>
      </c>
      <c r="C113" s="13"/>
      <c r="D113" s="13"/>
      <c r="E113" s="13"/>
      <c r="F113" s="13"/>
      <c r="G113" s="14">
        <v>0</v>
      </c>
      <c r="H113" s="13"/>
      <c r="I113" s="13" t="s">
        <v>173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>
        <f t="shared" ref="S113" si="29">E113/5</f>
        <v>0</v>
      </c>
      <c r="T113" s="15"/>
      <c r="U113" s="5">
        <f t="shared" si="19"/>
        <v>0</v>
      </c>
      <c r="V113" s="5">
        <f t="shared" si="20"/>
        <v>0</v>
      </c>
      <c r="W113" s="5"/>
      <c r="X113" s="1" t="e">
        <f t="shared" si="21"/>
        <v>#DIV/0!</v>
      </c>
      <c r="Y113" s="13" t="e">
        <f t="shared" ref="Y113" si="30">(F113+O113+P113+Q113+R113)/S113</f>
        <v>#DIV/0!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13">
        <v>0</v>
      </c>
      <c r="AI113" s="13">
        <v>0</v>
      </c>
      <c r="AJ113" s="13" t="s">
        <v>154</v>
      </c>
      <c r="AK113" s="1">
        <f t="shared" si="23"/>
        <v>0</v>
      </c>
      <c r="AL113" s="1">
        <f t="shared" si="24"/>
        <v>0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3" t="s">
        <v>155</v>
      </c>
      <c r="B114" s="13" t="s">
        <v>42</v>
      </c>
      <c r="C114" s="13"/>
      <c r="D114" s="13"/>
      <c r="E114" s="13"/>
      <c r="F114" s="13"/>
      <c r="G114" s="14">
        <v>0</v>
      </c>
      <c r="H114" s="13"/>
      <c r="I114" s="13" t="s">
        <v>173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>
        <f t="shared" ref="S114" si="31">E114/5</f>
        <v>0</v>
      </c>
      <c r="T114" s="15"/>
      <c r="U114" s="5">
        <f t="shared" si="19"/>
        <v>0</v>
      </c>
      <c r="V114" s="5">
        <f t="shared" si="20"/>
        <v>0</v>
      </c>
      <c r="W114" s="5"/>
      <c r="X114" s="1" t="e">
        <f t="shared" si="21"/>
        <v>#DIV/0!</v>
      </c>
      <c r="Y114" s="13" t="e">
        <f t="shared" ref="Y114" si="32">(F114+O114+P114+Q114+R114)/S114</f>
        <v>#DIV/0!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13">
        <v>0</v>
      </c>
      <c r="AI114" s="13">
        <v>0</v>
      </c>
      <c r="AJ114" s="13" t="s">
        <v>154</v>
      </c>
      <c r="AK114" s="1">
        <f t="shared" si="23"/>
        <v>0</v>
      </c>
      <c r="AL114" s="1">
        <f t="shared" si="24"/>
        <v>0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3" t="s">
        <v>156</v>
      </c>
      <c r="B115" s="13" t="s">
        <v>42</v>
      </c>
      <c r="C115" s="13"/>
      <c r="D115" s="13"/>
      <c r="E115" s="13"/>
      <c r="F115" s="13"/>
      <c r="G115" s="14">
        <v>0</v>
      </c>
      <c r="H115" s="13"/>
      <c r="I115" s="13" t="s">
        <v>173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>
        <f t="shared" ref="S115" si="33">E115/5</f>
        <v>0</v>
      </c>
      <c r="T115" s="15"/>
      <c r="U115" s="5">
        <f t="shared" si="19"/>
        <v>0</v>
      </c>
      <c r="V115" s="5">
        <f t="shared" si="20"/>
        <v>0</v>
      </c>
      <c r="W115" s="5"/>
      <c r="X115" s="1" t="e">
        <f t="shared" si="21"/>
        <v>#DIV/0!</v>
      </c>
      <c r="Y115" s="13" t="e">
        <f t="shared" ref="Y115" si="34">(F115+O115+P115+Q115+R115)/S115</f>
        <v>#DIV/0!</v>
      </c>
      <c r="Z115" s="13">
        <v>0</v>
      </c>
      <c r="AA115" s="13">
        <v>0</v>
      </c>
      <c r="AB115" s="13">
        <v>0</v>
      </c>
      <c r="AC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J115" s="13" t="s">
        <v>154</v>
      </c>
      <c r="AK115" s="1">
        <f t="shared" si="23"/>
        <v>0</v>
      </c>
      <c r="AL115" s="1">
        <f t="shared" si="24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3" t="s">
        <v>157</v>
      </c>
      <c r="B116" s="13" t="s">
        <v>42</v>
      </c>
      <c r="C116" s="13"/>
      <c r="D116" s="13"/>
      <c r="E116" s="13"/>
      <c r="F116" s="13"/>
      <c r="G116" s="14">
        <v>0</v>
      </c>
      <c r="H116" s="13"/>
      <c r="I116" s="13" t="s">
        <v>173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>
        <f t="shared" ref="S116" si="35">E116/5</f>
        <v>0</v>
      </c>
      <c r="T116" s="15"/>
      <c r="U116" s="5">
        <f t="shared" si="19"/>
        <v>0</v>
      </c>
      <c r="V116" s="5">
        <f t="shared" si="20"/>
        <v>0</v>
      </c>
      <c r="W116" s="5"/>
      <c r="X116" s="1" t="e">
        <f t="shared" si="21"/>
        <v>#DIV/0!</v>
      </c>
      <c r="Y116" s="13" t="e">
        <f t="shared" ref="Y116" si="36">(F116+O116+P116+Q116+R116)/S116</f>
        <v>#DIV/0!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J116" s="13" t="s">
        <v>154</v>
      </c>
      <c r="AK116" s="1">
        <f t="shared" si="23"/>
        <v>0</v>
      </c>
      <c r="AL116" s="1">
        <f t="shared" si="24"/>
        <v>0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3" t="s">
        <v>158</v>
      </c>
      <c r="B117" s="13" t="s">
        <v>42</v>
      </c>
      <c r="C117" s="13"/>
      <c r="D117" s="13"/>
      <c r="E117" s="13"/>
      <c r="F117" s="13"/>
      <c r="G117" s="14">
        <v>0</v>
      </c>
      <c r="H117" s="13"/>
      <c r="I117" s="13" t="s">
        <v>173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>
        <f t="shared" ref="S117" si="37">E117/5</f>
        <v>0</v>
      </c>
      <c r="T117" s="15"/>
      <c r="U117" s="5">
        <f t="shared" si="19"/>
        <v>0</v>
      </c>
      <c r="V117" s="5">
        <f t="shared" si="20"/>
        <v>0</v>
      </c>
      <c r="W117" s="5"/>
      <c r="X117" s="1" t="e">
        <f t="shared" si="21"/>
        <v>#DIV/0!</v>
      </c>
      <c r="Y117" s="13" t="e">
        <f t="shared" ref="Y117" si="38">(F117+O117+P117+Q117+R117)/S117</f>
        <v>#DIV/0!</v>
      </c>
      <c r="Z117" s="13">
        <v>0</v>
      </c>
      <c r="AA117" s="13">
        <v>0</v>
      </c>
      <c r="AB117" s="13">
        <v>0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13">
        <v>0</v>
      </c>
      <c r="AI117" s="13">
        <v>0</v>
      </c>
      <c r="AJ117" s="13" t="s">
        <v>154</v>
      </c>
      <c r="AK117" s="1">
        <f t="shared" si="23"/>
        <v>0</v>
      </c>
      <c r="AL117" s="1">
        <f t="shared" si="24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3" t="s">
        <v>159</v>
      </c>
      <c r="B118" s="13" t="s">
        <v>38</v>
      </c>
      <c r="C118" s="13"/>
      <c r="D118" s="13"/>
      <c r="E118" s="13"/>
      <c r="F118" s="13"/>
      <c r="G118" s="14">
        <v>0</v>
      </c>
      <c r="H118" s="13"/>
      <c r="I118" s="13" t="s">
        <v>173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>
        <f t="shared" ref="S118:S119" si="39">E118/5</f>
        <v>0</v>
      </c>
      <c r="T118" s="15"/>
      <c r="U118" s="5">
        <f t="shared" si="19"/>
        <v>0</v>
      </c>
      <c r="V118" s="5">
        <f t="shared" si="20"/>
        <v>0</v>
      </c>
      <c r="W118" s="5"/>
      <c r="X118" s="1" t="e">
        <f t="shared" si="21"/>
        <v>#DIV/0!</v>
      </c>
      <c r="Y118" s="13" t="e">
        <f t="shared" ref="Y118:Y119" si="40">(F118+O118+P118+Q118+R118)/S118</f>
        <v>#DIV/0!</v>
      </c>
      <c r="Z118" s="13">
        <v>0</v>
      </c>
      <c r="AA118" s="13">
        <v>0</v>
      </c>
      <c r="AB118" s="13">
        <v>0</v>
      </c>
      <c r="AC118" s="13">
        <v>0</v>
      </c>
      <c r="AD118" s="13">
        <v>0</v>
      </c>
      <c r="AE118" s="13">
        <v>0</v>
      </c>
      <c r="AF118" s="13">
        <v>0</v>
      </c>
      <c r="AG118" s="13">
        <v>0</v>
      </c>
      <c r="AH118" s="13">
        <v>0</v>
      </c>
      <c r="AI118" s="13">
        <v>0</v>
      </c>
      <c r="AJ118" s="13" t="s">
        <v>154</v>
      </c>
      <c r="AK118" s="1">
        <f t="shared" si="23"/>
        <v>0</v>
      </c>
      <c r="AL118" s="1">
        <f t="shared" si="24"/>
        <v>0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3" t="s">
        <v>160</v>
      </c>
      <c r="B119" s="13" t="s">
        <v>42</v>
      </c>
      <c r="C119" s="13"/>
      <c r="D119" s="13"/>
      <c r="E119" s="13"/>
      <c r="F119" s="13"/>
      <c r="G119" s="14">
        <v>0</v>
      </c>
      <c r="H119" s="13"/>
      <c r="I119" s="13" t="s">
        <v>173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>
        <f t="shared" si="39"/>
        <v>0</v>
      </c>
      <c r="T119" s="15"/>
      <c r="U119" s="5">
        <f t="shared" si="19"/>
        <v>0</v>
      </c>
      <c r="V119" s="5">
        <f t="shared" si="20"/>
        <v>0</v>
      </c>
      <c r="W119" s="5"/>
      <c r="X119" s="1" t="e">
        <f t="shared" si="21"/>
        <v>#DIV/0!</v>
      </c>
      <c r="Y119" s="13" t="e">
        <f t="shared" si="40"/>
        <v>#DIV/0!</v>
      </c>
      <c r="Z119" s="13">
        <v>0</v>
      </c>
      <c r="AA119" s="13">
        <v>0</v>
      </c>
      <c r="AB119" s="13">
        <v>0</v>
      </c>
      <c r="AC119" s="13">
        <v>0</v>
      </c>
      <c r="AD119" s="13">
        <v>0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J119" s="13" t="s">
        <v>154</v>
      </c>
      <c r="AK119" s="1">
        <f t="shared" si="23"/>
        <v>0</v>
      </c>
      <c r="AL119" s="1">
        <f t="shared" si="24"/>
        <v>0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3" t="s">
        <v>161</v>
      </c>
      <c r="B120" s="13" t="s">
        <v>38</v>
      </c>
      <c r="C120" s="13"/>
      <c r="D120" s="13"/>
      <c r="E120" s="13"/>
      <c r="F120" s="13"/>
      <c r="G120" s="14">
        <v>0</v>
      </c>
      <c r="H120" s="13"/>
      <c r="I120" s="13" t="s">
        <v>173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>
        <f t="shared" ref="S120:S121" si="41">E120/5</f>
        <v>0</v>
      </c>
      <c r="T120" s="15"/>
      <c r="U120" s="5">
        <f t="shared" si="19"/>
        <v>0</v>
      </c>
      <c r="V120" s="5">
        <f t="shared" si="20"/>
        <v>0</v>
      </c>
      <c r="W120" s="5"/>
      <c r="X120" s="1" t="e">
        <f t="shared" si="21"/>
        <v>#DIV/0!</v>
      </c>
      <c r="Y120" s="13" t="e">
        <f t="shared" ref="Y120:Y121" si="42">(F120+O120+P120+Q120+R120)/S120</f>
        <v>#DIV/0!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 t="s">
        <v>154</v>
      </c>
      <c r="AK120" s="1">
        <f t="shared" si="23"/>
        <v>0</v>
      </c>
      <c r="AL120" s="1">
        <f t="shared" si="24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3" t="s">
        <v>162</v>
      </c>
      <c r="B121" s="13" t="s">
        <v>42</v>
      </c>
      <c r="C121" s="13"/>
      <c r="D121" s="13"/>
      <c r="E121" s="13"/>
      <c r="F121" s="13"/>
      <c r="G121" s="14">
        <v>0</v>
      </c>
      <c r="H121" s="13"/>
      <c r="I121" s="13" t="s">
        <v>173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>
        <f t="shared" si="41"/>
        <v>0</v>
      </c>
      <c r="T121" s="15"/>
      <c r="U121" s="5">
        <f t="shared" si="19"/>
        <v>0</v>
      </c>
      <c r="V121" s="5">
        <f t="shared" si="20"/>
        <v>0</v>
      </c>
      <c r="W121" s="5"/>
      <c r="X121" s="1" t="e">
        <f t="shared" si="21"/>
        <v>#DIV/0!</v>
      </c>
      <c r="Y121" s="13" t="e">
        <f t="shared" si="42"/>
        <v>#DIV/0!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 t="s">
        <v>154</v>
      </c>
      <c r="AK121" s="1">
        <f t="shared" si="23"/>
        <v>0</v>
      </c>
      <c r="AL121" s="1">
        <f t="shared" si="24"/>
        <v>0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3" t="s">
        <v>163</v>
      </c>
      <c r="B122" s="13" t="s">
        <v>38</v>
      </c>
      <c r="C122" s="13"/>
      <c r="D122" s="13"/>
      <c r="E122" s="13"/>
      <c r="F122" s="13"/>
      <c r="G122" s="14">
        <v>0</v>
      </c>
      <c r="H122" s="13"/>
      <c r="I122" s="13" t="s">
        <v>173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>
        <f t="shared" ref="S122:S123" si="43">E122/5</f>
        <v>0</v>
      </c>
      <c r="T122" s="15"/>
      <c r="U122" s="5">
        <f t="shared" si="19"/>
        <v>0</v>
      </c>
      <c r="V122" s="5">
        <f t="shared" si="20"/>
        <v>0</v>
      </c>
      <c r="W122" s="5"/>
      <c r="X122" s="1" t="e">
        <f t="shared" si="21"/>
        <v>#DIV/0!</v>
      </c>
      <c r="Y122" s="13" t="e">
        <f t="shared" ref="Y122:Y123" si="44">(F122+O122+P122+Q122+R122)/S122</f>
        <v>#DIV/0!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  <c r="AG122" s="13">
        <v>0</v>
      </c>
      <c r="AH122" s="13">
        <v>0</v>
      </c>
      <c r="AI122" s="13">
        <v>0</v>
      </c>
      <c r="AJ122" s="13" t="s">
        <v>154</v>
      </c>
      <c r="AK122" s="1">
        <f t="shared" si="23"/>
        <v>0</v>
      </c>
      <c r="AL122" s="1">
        <f t="shared" si="24"/>
        <v>0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3" t="s">
        <v>164</v>
      </c>
      <c r="B123" s="13" t="s">
        <v>42</v>
      </c>
      <c r="C123" s="13"/>
      <c r="D123" s="13"/>
      <c r="E123" s="13"/>
      <c r="F123" s="13"/>
      <c r="G123" s="14">
        <v>0</v>
      </c>
      <c r="H123" s="13"/>
      <c r="I123" s="13" t="s">
        <v>173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>
        <f t="shared" si="43"/>
        <v>0</v>
      </c>
      <c r="T123" s="15"/>
      <c r="U123" s="5">
        <f t="shared" si="19"/>
        <v>0</v>
      </c>
      <c r="V123" s="5">
        <f t="shared" si="20"/>
        <v>0</v>
      </c>
      <c r="W123" s="5"/>
      <c r="X123" s="1" t="e">
        <f t="shared" si="21"/>
        <v>#DIV/0!</v>
      </c>
      <c r="Y123" s="13" t="e">
        <f t="shared" si="44"/>
        <v>#DIV/0!</v>
      </c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0</v>
      </c>
      <c r="AF123" s="13">
        <v>0</v>
      </c>
      <c r="AG123" s="13">
        <v>0</v>
      </c>
      <c r="AH123" s="13">
        <v>0</v>
      </c>
      <c r="AI123" s="13">
        <v>0</v>
      </c>
      <c r="AJ123" s="13" t="s">
        <v>154</v>
      </c>
      <c r="AK123" s="1">
        <f t="shared" si="23"/>
        <v>0</v>
      </c>
      <c r="AL123" s="1">
        <f t="shared" si="24"/>
        <v>0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3" t="s">
        <v>165</v>
      </c>
      <c r="B124" s="13" t="s">
        <v>42</v>
      </c>
      <c r="C124" s="13"/>
      <c r="D124" s="13"/>
      <c r="E124" s="13"/>
      <c r="F124" s="13"/>
      <c r="G124" s="14">
        <v>0</v>
      </c>
      <c r="H124" s="13"/>
      <c r="I124" s="13" t="s">
        <v>173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>
        <f t="shared" ref="S124:S125" si="45">E124/5</f>
        <v>0</v>
      </c>
      <c r="T124" s="15"/>
      <c r="U124" s="5">
        <f t="shared" si="19"/>
        <v>0</v>
      </c>
      <c r="V124" s="5">
        <f t="shared" si="20"/>
        <v>0</v>
      </c>
      <c r="W124" s="5"/>
      <c r="X124" s="1" t="e">
        <f t="shared" si="21"/>
        <v>#DIV/0!</v>
      </c>
      <c r="Y124" s="13" t="e">
        <f t="shared" ref="Y124:Y125" si="46">(F124+O124+P124+Q124+R124)/S124</f>
        <v>#DIV/0!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 t="s">
        <v>154</v>
      </c>
      <c r="AK124" s="1">
        <f t="shared" si="23"/>
        <v>0</v>
      </c>
      <c r="AL124" s="1">
        <f t="shared" si="24"/>
        <v>0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3" t="s">
        <v>166</v>
      </c>
      <c r="B125" s="13" t="s">
        <v>42</v>
      </c>
      <c r="C125" s="13"/>
      <c r="D125" s="13"/>
      <c r="E125" s="13"/>
      <c r="F125" s="13"/>
      <c r="G125" s="14">
        <v>0</v>
      </c>
      <c r="H125" s="13"/>
      <c r="I125" s="13" t="s">
        <v>173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>
        <f t="shared" si="45"/>
        <v>0</v>
      </c>
      <c r="T125" s="15"/>
      <c r="U125" s="5">
        <f t="shared" si="19"/>
        <v>0</v>
      </c>
      <c r="V125" s="5">
        <f t="shared" si="20"/>
        <v>0</v>
      </c>
      <c r="W125" s="5"/>
      <c r="X125" s="1" t="e">
        <f t="shared" si="21"/>
        <v>#DIV/0!</v>
      </c>
      <c r="Y125" s="13" t="e">
        <f t="shared" si="46"/>
        <v>#DIV/0!</v>
      </c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13">
        <v>0</v>
      </c>
      <c r="AI125" s="13">
        <v>0</v>
      </c>
      <c r="AJ125" s="13" t="s">
        <v>154</v>
      </c>
      <c r="AK125" s="1">
        <f t="shared" si="23"/>
        <v>0</v>
      </c>
      <c r="AL125" s="1">
        <f t="shared" si="24"/>
        <v>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3" t="s">
        <v>167</v>
      </c>
      <c r="B126" s="13" t="s">
        <v>42</v>
      </c>
      <c r="C126" s="13"/>
      <c r="D126" s="13"/>
      <c r="E126" s="13"/>
      <c r="F126" s="13"/>
      <c r="G126" s="14">
        <v>0</v>
      </c>
      <c r="H126" s="13"/>
      <c r="I126" s="13" t="s">
        <v>173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>
        <f t="shared" ref="S126:S133" si="47">E126/5</f>
        <v>0</v>
      </c>
      <c r="T126" s="15"/>
      <c r="U126" s="5">
        <f t="shared" si="19"/>
        <v>0</v>
      </c>
      <c r="V126" s="5">
        <f t="shared" si="20"/>
        <v>0</v>
      </c>
      <c r="W126" s="5"/>
      <c r="X126" s="1" t="e">
        <f t="shared" si="21"/>
        <v>#DIV/0!</v>
      </c>
      <c r="Y126" s="13" t="e">
        <f t="shared" ref="Y126:Y130" si="48">(F126+O126+P126+Q126+R126)/S126</f>
        <v>#DIV/0!</v>
      </c>
      <c r="Z126" s="13">
        <v>0</v>
      </c>
      <c r="AA126" s="13">
        <v>0</v>
      </c>
      <c r="AB126" s="13">
        <v>0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13">
        <v>0</v>
      </c>
      <c r="AI126" s="13">
        <v>0</v>
      </c>
      <c r="AJ126" s="13" t="s">
        <v>154</v>
      </c>
      <c r="AK126" s="1">
        <f t="shared" si="23"/>
        <v>0</v>
      </c>
      <c r="AL126" s="1">
        <f t="shared" si="24"/>
        <v>0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3" t="s">
        <v>168</v>
      </c>
      <c r="B127" s="13" t="s">
        <v>42</v>
      </c>
      <c r="C127" s="13"/>
      <c r="D127" s="13"/>
      <c r="E127" s="13"/>
      <c r="F127" s="13"/>
      <c r="G127" s="14">
        <v>0</v>
      </c>
      <c r="H127" s="13"/>
      <c r="I127" s="13" t="s">
        <v>173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>
        <f t="shared" si="47"/>
        <v>0</v>
      </c>
      <c r="T127" s="15"/>
      <c r="U127" s="5">
        <f t="shared" si="19"/>
        <v>0</v>
      </c>
      <c r="V127" s="5">
        <f t="shared" si="20"/>
        <v>0</v>
      </c>
      <c r="W127" s="5"/>
      <c r="X127" s="1" t="e">
        <f t="shared" si="21"/>
        <v>#DIV/0!</v>
      </c>
      <c r="Y127" s="13" t="e">
        <f t="shared" si="48"/>
        <v>#DIV/0!</v>
      </c>
      <c r="Z127" s="13">
        <v>0</v>
      </c>
      <c r="AA127" s="13">
        <v>0</v>
      </c>
      <c r="AB127" s="13">
        <v>0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13">
        <v>0</v>
      </c>
      <c r="AI127" s="13">
        <v>0</v>
      </c>
      <c r="AJ127" s="13" t="s">
        <v>154</v>
      </c>
      <c r="AK127" s="1">
        <f t="shared" si="23"/>
        <v>0</v>
      </c>
      <c r="AL127" s="1">
        <f t="shared" si="24"/>
        <v>0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3" t="s">
        <v>169</v>
      </c>
      <c r="B128" s="13" t="s">
        <v>42</v>
      </c>
      <c r="C128" s="13"/>
      <c r="D128" s="13"/>
      <c r="E128" s="13"/>
      <c r="F128" s="13"/>
      <c r="G128" s="14">
        <v>0</v>
      </c>
      <c r="H128" s="13"/>
      <c r="I128" s="13" t="s">
        <v>173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>
        <f t="shared" si="47"/>
        <v>0</v>
      </c>
      <c r="T128" s="15"/>
      <c r="U128" s="5">
        <f t="shared" si="19"/>
        <v>0</v>
      </c>
      <c r="V128" s="5">
        <f t="shared" si="20"/>
        <v>0</v>
      </c>
      <c r="W128" s="5"/>
      <c r="X128" s="1" t="e">
        <f t="shared" si="21"/>
        <v>#DIV/0!</v>
      </c>
      <c r="Y128" s="13" t="e">
        <f t="shared" si="48"/>
        <v>#DIV/0!</v>
      </c>
      <c r="Z128" s="13">
        <v>0</v>
      </c>
      <c r="AA128" s="13">
        <v>0</v>
      </c>
      <c r="AB128" s="13">
        <v>0</v>
      </c>
      <c r="AC128" s="13">
        <v>0</v>
      </c>
      <c r="AD128" s="13">
        <v>0</v>
      </c>
      <c r="AE128" s="13">
        <v>0</v>
      </c>
      <c r="AF128" s="13">
        <v>0</v>
      </c>
      <c r="AG128" s="13">
        <v>0</v>
      </c>
      <c r="AH128" s="13">
        <v>0</v>
      </c>
      <c r="AI128" s="13">
        <v>0</v>
      </c>
      <c r="AJ128" s="13" t="s">
        <v>154</v>
      </c>
      <c r="AK128" s="1">
        <f t="shared" si="23"/>
        <v>0</v>
      </c>
      <c r="AL128" s="1">
        <f t="shared" si="24"/>
        <v>0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3" t="s">
        <v>170</v>
      </c>
      <c r="B129" s="13" t="s">
        <v>42</v>
      </c>
      <c r="C129" s="13"/>
      <c r="D129" s="13"/>
      <c r="E129" s="13"/>
      <c r="F129" s="13"/>
      <c r="G129" s="14">
        <v>0</v>
      </c>
      <c r="H129" s="13"/>
      <c r="I129" s="13" t="s">
        <v>173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>
        <f t="shared" si="47"/>
        <v>0</v>
      </c>
      <c r="T129" s="15"/>
      <c r="U129" s="5">
        <f t="shared" si="19"/>
        <v>0</v>
      </c>
      <c r="V129" s="5">
        <f t="shared" si="20"/>
        <v>0</v>
      </c>
      <c r="W129" s="5"/>
      <c r="X129" s="1" t="e">
        <f t="shared" si="21"/>
        <v>#DIV/0!</v>
      </c>
      <c r="Y129" s="13" t="e">
        <f t="shared" si="48"/>
        <v>#DIV/0!</v>
      </c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13">
        <v>0</v>
      </c>
      <c r="AI129" s="13">
        <v>0</v>
      </c>
      <c r="AJ129" s="13" t="s">
        <v>154</v>
      </c>
      <c r="AK129" s="1">
        <f t="shared" si="23"/>
        <v>0</v>
      </c>
      <c r="AL129" s="1">
        <f t="shared" si="24"/>
        <v>0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3" t="s">
        <v>171</v>
      </c>
      <c r="B130" s="13" t="s">
        <v>42</v>
      </c>
      <c r="C130" s="13"/>
      <c r="D130" s="13"/>
      <c r="E130" s="13"/>
      <c r="F130" s="13"/>
      <c r="G130" s="14">
        <v>0</v>
      </c>
      <c r="H130" s="13"/>
      <c r="I130" s="13" t="s">
        <v>173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>
        <f t="shared" si="47"/>
        <v>0</v>
      </c>
      <c r="T130" s="15"/>
      <c r="U130" s="5">
        <f t="shared" si="19"/>
        <v>0</v>
      </c>
      <c r="V130" s="5">
        <f t="shared" si="20"/>
        <v>0</v>
      </c>
      <c r="W130" s="5"/>
      <c r="X130" s="1" t="e">
        <f t="shared" si="21"/>
        <v>#DIV/0!</v>
      </c>
      <c r="Y130" s="13" t="e">
        <f t="shared" si="48"/>
        <v>#DIV/0!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 t="s">
        <v>154</v>
      </c>
      <c r="AK130" s="1">
        <f t="shared" si="23"/>
        <v>0</v>
      </c>
      <c r="AL130" s="1">
        <f t="shared" si="24"/>
        <v>0</v>
      </c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9" t="s">
        <v>172</v>
      </c>
      <c r="B131" s="9" t="s">
        <v>42</v>
      </c>
      <c r="C131" s="10"/>
      <c r="D131" s="10"/>
      <c r="E131" s="10"/>
      <c r="F131" s="10"/>
      <c r="G131" s="11">
        <v>0.32500000000000001</v>
      </c>
      <c r="H131" s="10"/>
      <c r="I131" s="9" t="s">
        <v>173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>
        <f t="shared" si="47"/>
        <v>0</v>
      </c>
      <c r="T131" s="12">
        <v>200</v>
      </c>
      <c r="U131" s="5">
        <f t="shared" si="19"/>
        <v>200</v>
      </c>
      <c r="V131" s="5">
        <f t="shared" si="20"/>
        <v>0</v>
      </c>
      <c r="W131" s="5">
        <v>200</v>
      </c>
      <c r="X131" s="1" t="e">
        <f t="shared" si="21"/>
        <v>#DIV/0!</v>
      </c>
      <c r="Y131" s="10" t="e">
        <f t="shared" ref="Y131:Y133" si="49">(F131+O131+P131+Q131+R131)/S131</f>
        <v>#DIV/0!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9" t="s">
        <v>176</v>
      </c>
      <c r="AK131" s="1">
        <f t="shared" si="23"/>
        <v>0</v>
      </c>
      <c r="AL131" s="1">
        <f t="shared" si="24"/>
        <v>65</v>
      </c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9" t="s">
        <v>174</v>
      </c>
      <c r="B132" s="9" t="s">
        <v>42</v>
      </c>
      <c r="C132" s="10"/>
      <c r="D132" s="10"/>
      <c r="E132" s="10"/>
      <c r="F132" s="10"/>
      <c r="G132" s="11">
        <v>0.25</v>
      </c>
      <c r="H132" s="10"/>
      <c r="I132" s="9" t="s">
        <v>173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>
        <f t="shared" si="47"/>
        <v>0</v>
      </c>
      <c r="T132" s="12">
        <v>200</v>
      </c>
      <c r="U132" s="5">
        <f t="shared" si="19"/>
        <v>200</v>
      </c>
      <c r="V132" s="5">
        <f t="shared" si="20"/>
        <v>0</v>
      </c>
      <c r="W132" s="5">
        <v>200</v>
      </c>
      <c r="X132" s="1" t="e">
        <f t="shared" si="21"/>
        <v>#DIV/0!</v>
      </c>
      <c r="Y132" s="10" t="e">
        <f t="shared" si="49"/>
        <v>#DIV/0!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9" t="s">
        <v>176</v>
      </c>
      <c r="AK132" s="1">
        <f t="shared" si="23"/>
        <v>0</v>
      </c>
      <c r="AL132" s="1">
        <f t="shared" si="24"/>
        <v>50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9" t="s">
        <v>175</v>
      </c>
      <c r="B133" s="9" t="s">
        <v>42</v>
      </c>
      <c r="C133" s="10"/>
      <c r="D133" s="10"/>
      <c r="E133" s="10"/>
      <c r="F133" s="10"/>
      <c r="G133" s="11">
        <v>0.25</v>
      </c>
      <c r="H133" s="10"/>
      <c r="I133" s="9" t="s">
        <v>173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>
        <f t="shared" si="47"/>
        <v>0</v>
      </c>
      <c r="T133" s="12">
        <v>200</v>
      </c>
      <c r="U133" s="5">
        <f t="shared" si="19"/>
        <v>200</v>
      </c>
      <c r="V133" s="5">
        <f t="shared" si="20"/>
        <v>0</v>
      </c>
      <c r="W133" s="5">
        <v>200</v>
      </c>
      <c r="X133" s="1" t="e">
        <f t="shared" si="21"/>
        <v>#DIV/0!</v>
      </c>
      <c r="Y133" s="10" t="e">
        <f t="shared" si="49"/>
        <v>#DIV/0!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9" t="s">
        <v>176</v>
      </c>
      <c r="AK133" s="1">
        <f t="shared" si="23"/>
        <v>0</v>
      </c>
      <c r="AL133" s="1">
        <f t="shared" si="24"/>
        <v>50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K133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2026-07-21T13:42:57Z</dcterms:created>
  <dcterms:modified xsi:type="dcterms:W3CDTF">2026-07-22T09:37:25Z</dcterms:modified>
</cp:coreProperties>
</file>