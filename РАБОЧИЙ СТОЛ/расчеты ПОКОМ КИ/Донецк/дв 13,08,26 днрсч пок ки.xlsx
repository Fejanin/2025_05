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7977966A-7D3F-4DBB-8F1B-70C573FDFE1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16,08,26" sheetId="2" r:id="rId2"/>
    <sheet name="недогруз 17,08,26" sheetId="3" r:id="rId3"/>
    <sheet name="недогруз 18,08,26" sheetId="4" r:id="rId4"/>
  </sheets>
  <definedNames>
    <definedName name="_xlnm._FilterDatabase" localSheetId="0" hidden="1">Sheet!$A$3:$AR$136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" i="1" l="1"/>
  <c r="Y5" i="1" l="1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1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1" i="3"/>
  <c r="H2" i="2"/>
  <c r="H3" i="2"/>
  <c r="H4" i="2"/>
  <c r="H5" i="2"/>
  <c r="H6" i="2"/>
  <c r="H7" i="2"/>
  <c r="H8" i="2"/>
  <c r="H9" i="2"/>
  <c r="H10" i="2"/>
  <c r="H11" i="2"/>
  <c r="H12" i="2"/>
  <c r="H13" i="2"/>
  <c r="H1" i="2"/>
  <c r="B2" i="2"/>
  <c r="B3" i="2"/>
  <c r="B4" i="2"/>
  <c r="B5" i="2"/>
  <c r="B6" i="2"/>
  <c r="B7" i="2"/>
  <c r="B8" i="2"/>
  <c r="B9" i="2"/>
  <c r="B10" i="2"/>
  <c r="B11" i="2"/>
  <c r="B12" i="2"/>
  <c r="B13" i="2"/>
  <c r="B1" i="2"/>
  <c r="S5" i="1"/>
  <c r="AC5" i="1" l="1"/>
  <c r="Z5" i="1" l="1"/>
  <c r="T5" i="1" l="1"/>
  <c r="AS136" i="1"/>
  <c r="W136" i="1"/>
  <c r="X136" i="1" s="1"/>
  <c r="M136" i="1"/>
  <c r="U136" i="1" s="1"/>
  <c r="L136" i="1"/>
  <c r="AS135" i="1"/>
  <c r="M135" i="1"/>
  <c r="U135" i="1" s="1"/>
  <c r="L135" i="1"/>
  <c r="AS134" i="1"/>
  <c r="W134" i="1"/>
  <c r="X134" i="1" s="1"/>
  <c r="M134" i="1"/>
  <c r="U134" i="1" s="1"/>
  <c r="L134" i="1"/>
  <c r="AS133" i="1"/>
  <c r="M133" i="1"/>
  <c r="U133" i="1" s="1"/>
  <c r="L133" i="1"/>
  <c r="AS132" i="1"/>
  <c r="W132" i="1"/>
  <c r="X132" i="1" s="1"/>
  <c r="M132" i="1"/>
  <c r="U132" i="1" s="1"/>
  <c r="L132" i="1"/>
  <c r="AS131" i="1"/>
  <c r="M131" i="1"/>
  <c r="U131" i="1" s="1"/>
  <c r="L131" i="1"/>
  <c r="AS130" i="1"/>
  <c r="W130" i="1"/>
  <c r="X130" i="1" s="1"/>
  <c r="M130" i="1"/>
  <c r="U130" i="1" s="1"/>
  <c r="L130" i="1"/>
  <c r="AS129" i="1"/>
  <c r="M129" i="1"/>
  <c r="U129" i="1" s="1"/>
  <c r="L129" i="1"/>
  <c r="AS128" i="1"/>
  <c r="M128" i="1"/>
  <c r="U128" i="1" s="1"/>
  <c r="L128" i="1"/>
  <c r="M127" i="1"/>
  <c r="U127" i="1" s="1"/>
  <c r="L127" i="1"/>
  <c r="AS126" i="1"/>
  <c r="W126" i="1"/>
  <c r="X126" i="1" s="1"/>
  <c r="M126" i="1"/>
  <c r="U126" i="1" s="1"/>
  <c r="L126" i="1"/>
  <c r="M125" i="1"/>
  <c r="U125" i="1" s="1"/>
  <c r="L125" i="1"/>
  <c r="AS124" i="1"/>
  <c r="M124" i="1"/>
  <c r="U124" i="1" s="1"/>
  <c r="V124" i="1" s="1"/>
  <c r="L124" i="1"/>
  <c r="AS123" i="1"/>
  <c r="W123" i="1"/>
  <c r="X123" i="1" s="1"/>
  <c r="M123" i="1"/>
  <c r="U123" i="1" s="1"/>
  <c r="L123" i="1"/>
  <c r="AS122" i="1"/>
  <c r="W122" i="1"/>
  <c r="X122" i="1" s="1"/>
  <c r="M122" i="1"/>
  <c r="U122" i="1" s="1"/>
  <c r="L122" i="1"/>
  <c r="AS121" i="1"/>
  <c r="M121" i="1"/>
  <c r="U121" i="1" s="1"/>
  <c r="L121" i="1"/>
  <c r="AS120" i="1"/>
  <c r="W120" i="1"/>
  <c r="X120" i="1" s="1"/>
  <c r="M120" i="1"/>
  <c r="U120" i="1" s="1"/>
  <c r="L120" i="1"/>
  <c r="AS119" i="1"/>
  <c r="W119" i="1"/>
  <c r="X119" i="1" s="1"/>
  <c r="M119" i="1"/>
  <c r="U119" i="1" s="1"/>
  <c r="L119" i="1"/>
  <c r="AS118" i="1"/>
  <c r="M118" i="1"/>
  <c r="U118" i="1" s="1"/>
  <c r="AF118" i="1" s="1"/>
  <c r="L118" i="1"/>
  <c r="AR117" i="1"/>
  <c r="W117" i="1"/>
  <c r="AA117" i="1" s="1"/>
  <c r="M117" i="1"/>
  <c r="U117" i="1" s="1"/>
  <c r="L117" i="1"/>
  <c r="M116" i="1"/>
  <c r="U116" i="1" s="1"/>
  <c r="AF116" i="1" s="1"/>
  <c r="L116" i="1"/>
  <c r="AS115" i="1"/>
  <c r="M115" i="1"/>
  <c r="U115" i="1" s="1"/>
  <c r="L115" i="1"/>
  <c r="AS114" i="1"/>
  <c r="W114" i="1"/>
  <c r="X114" i="1" s="1"/>
  <c r="M114" i="1"/>
  <c r="U114" i="1" s="1"/>
  <c r="L114" i="1"/>
  <c r="AS113" i="1"/>
  <c r="W113" i="1"/>
  <c r="X113" i="1" s="1"/>
  <c r="M113" i="1"/>
  <c r="U113" i="1" s="1"/>
  <c r="L113" i="1"/>
  <c r="M112" i="1"/>
  <c r="U112" i="1" s="1"/>
  <c r="L112" i="1"/>
  <c r="AS111" i="1"/>
  <c r="M111" i="1"/>
  <c r="U111" i="1" s="1"/>
  <c r="AF111" i="1" s="1"/>
  <c r="L111" i="1"/>
  <c r="M110" i="1"/>
  <c r="U110" i="1" s="1"/>
  <c r="AF110" i="1" s="1"/>
  <c r="L110" i="1"/>
  <c r="AS109" i="1"/>
  <c r="M109" i="1"/>
  <c r="U109" i="1" s="1"/>
  <c r="L109" i="1"/>
  <c r="AS108" i="1"/>
  <c r="W108" i="1"/>
  <c r="X108" i="1" s="1"/>
  <c r="M108" i="1"/>
  <c r="U108" i="1" s="1"/>
  <c r="L108" i="1"/>
  <c r="AS107" i="1"/>
  <c r="W107" i="1"/>
  <c r="X107" i="1" s="1"/>
  <c r="M107" i="1"/>
  <c r="U107" i="1" s="1"/>
  <c r="L107" i="1"/>
  <c r="AS106" i="1"/>
  <c r="W106" i="1"/>
  <c r="X106" i="1" s="1"/>
  <c r="M106" i="1"/>
  <c r="U106" i="1" s="1"/>
  <c r="L106" i="1"/>
  <c r="AS105" i="1"/>
  <c r="W105" i="1"/>
  <c r="X105" i="1" s="1"/>
  <c r="M105" i="1"/>
  <c r="U105" i="1" s="1"/>
  <c r="L105" i="1"/>
  <c r="AS104" i="1"/>
  <c r="W104" i="1"/>
  <c r="X104" i="1" s="1"/>
  <c r="M104" i="1"/>
  <c r="U104" i="1" s="1"/>
  <c r="L104" i="1"/>
  <c r="AS103" i="1"/>
  <c r="W103" i="1"/>
  <c r="X103" i="1" s="1"/>
  <c r="M103" i="1"/>
  <c r="U103" i="1" s="1"/>
  <c r="L103" i="1"/>
  <c r="AS102" i="1"/>
  <c r="W102" i="1"/>
  <c r="X102" i="1" s="1"/>
  <c r="M102" i="1"/>
  <c r="U102" i="1" s="1"/>
  <c r="L102" i="1"/>
  <c r="AS101" i="1"/>
  <c r="W101" i="1"/>
  <c r="X101" i="1" s="1"/>
  <c r="M101" i="1"/>
  <c r="U101" i="1" s="1"/>
  <c r="L101" i="1"/>
  <c r="AS100" i="1"/>
  <c r="W100" i="1"/>
  <c r="X100" i="1" s="1"/>
  <c r="M100" i="1"/>
  <c r="U100" i="1" s="1"/>
  <c r="L100" i="1"/>
  <c r="AS99" i="1"/>
  <c r="W99" i="1"/>
  <c r="X99" i="1" s="1"/>
  <c r="M99" i="1"/>
  <c r="U99" i="1" s="1"/>
  <c r="L99" i="1"/>
  <c r="AS98" i="1"/>
  <c r="M98" i="1"/>
  <c r="U98" i="1" s="1"/>
  <c r="L98" i="1"/>
  <c r="AS97" i="1"/>
  <c r="M97" i="1"/>
  <c r="U97" i="1" s="1"/>
  <c r="AF97" i="1" s="1"/>
  <c r="L97" i="1"/>
  <c r="AS96" i="1"/>
  <c r="W96" i="1"/>
  <c r="X96" i="1" s="1"/>
  <c r="M96" i="1"/>
  <c r="U96" i="1" s="1"/>
  <c r="L96" i="1"/>
  <c r="AS95" i="1"/>
  <c r="W95" i="1"/>
  <c r="X95" i="1" s="1"/>
  <c r="M95" i="1"/>
  <c r="U95" i="1" s="1"/>
  <c r="L95" i="1"/>
  <c r="AS94" i="1"/>
  <c r="W94" i="1"/>
  <c r="X94" i="1" s="1"/>
  <c r="M94" i="1"/>
  <c r="U94" i="1" s="1"/>
  <c r="L94" i="1"/>
  <c r="M93" i="1"/>
  <c r="U93" i="1" s="1"/>
  <c r="AF93" i="1" s="1"/>
  <c r="L93" i="1"/>
  <c r="M92" i="1"/>
  <c r="U92" i="1" s="1"/>
  <c r="V92" i="1" s="1"/>
  <c r="L92" i="1"/>
  <c r="M91" i="1"/>
  <c r="U91" i="1" s="1"/>
  <c r="AF91" i="1" s="1"/>
  <c r="L91" i="1"/>
  <c r="AR90" i="1"/>
  <c r="M90" i="1"/>
  <c r="U90" i="1" s="1"/>
  <c r="L90" i="1"/>
  <c r="M89" i="1"/>
  <c r="U89" i="1" s="1"/>
  <c r="L89" i="1"/>
  <c r="AS88" i="1"/>
  <c r="W88" i="1"/>
  <c r="X88" i="1" s="1"/>
  <c r="M88" i="1"/>
  <c r="U88" i="1" s="1"/>
  <c r="L88" i="1"/>
  <c r="AS87" i="1"/>
  <c r="W87" i="1"/>
  <c r="X87" i="1" s="1"/>
  <c r="M87" i="1"/>
  <c r="U87" i="1" s="1"/>
  <c r="L87" i="1"/>
  <c r="AS86" i="1"/>
  <c r="M86" i="1"/>
  <c r="U86" i="1" s="1"/>
  <c r="AF86" i="1" s="1"/>
  <c r="L86" i="1"/>
  <c r="AS85" i="1"/>
  <c r="W85" i="1"/>
  <c r="X85" i="1" s="1"/>
  <c r="M85" i="1"/>
  <c r="U85" i="1" s="1"/>
  <c r="L85" i="1"/>
  <c r="AS84" i="1"/>
  <c r="AR84" i="1"/>
  <c r="W84" i="1"/>
  <c r="M84" i="1"/>
  <c r="U84" i="1" s="1"/>
  <c r="AE84" i="1" s="1"/>
  <c r="L84" i="1"/>
  <c r="AS83" i="1"/>
  <c r="AR83" i="1"/>
  <c r="W83" i="1"/>
  <c r="M83" i="1"/>
  <c r="U83" i="1" s="1"/>
  <c r="AE83" i="1" s="1"/>
  <c r="L83" i="1"/>
  <c r="AS82" i="1"/>
  <c r="M82" i="1"/>
  <c r="U82" i="1" s="1"/>
  <c r="V82" i="1" s="1"/>
  <c r="L82" i="1"/>
  <c r="M81" i="1"/>
  <c r="U81" i="1" s="1"/>
  <c r="L81" i="1"/>
  <c r="AS80" i="1"/>
  <c r="W80" i="1"/>
  <c r="X80" i="1" s="1"/>
  <c r="M80" i="1"/>
  <c r="U80" i="1" s="1"/>
  <c r="L80" i="1"/>
  <c r="AS79" i="1"/>
  <c r="W79" i="1"/>
  <c r="X79" i="1" s="1"/>
  <c r="M79" i="1"/>
  <c r="U79" i="1" s="1"/>
  <c r="L79" i="1"/>
  <c r="AS78" i="1"/>
  <c r="M78" i="1"/>
  <c r="U78" i="1" s="1"/>
  <c r="L78" i="1"/>
  <c r="AS77" i="1"/>
  <c r="W77" i="1"/>
  <c r="X77" i="1" s="1"/>
  <c r="M77" i="1"/>
  <c r="U77" i="1" s="1"/>
  <c r="L77" i="1"/>
  <c r="AS76" i="1"/>
  <c r="X76" i="1"/>
  <c r="M76" i="1"/>
  <c r="U76" i="1" s="1"/>
  <c r="L76" i="1"/>
  <c r="M75" i="1"/>
  <c r="U75" i="1" s="1"/>
  <c r="AF75" i="1" s="1"/>
  <c r="L75" i="1"/>
  <c r="AS74" i="1"/>
  <c r="M74" i="1"/>
  <c r="U74" i="1" s="1"/>
  <c r="AF74" i="1" s="1"/>
  <c r="L74" i="1"/>
  <c r="AS73" i="1"/>
  <c r="M73" i="1"/>
  <c r="U73" i="1" s="1"/>
  <c r="AF73" i="1" s="1"/>
  <c r="L73" i="1"/>
  <c r="AS72" i="1"/>
  <c r="W72" i="1"/>
  <c r="X72" i="1" s="1"/>
  <c r="M72" i="1"/>
  <c r="U72" i="1" s="1"/>
  <c r="L72" i="1"/>
  <c r="AS71" i="1"/>
  <c r="W71" i="1"/>
  <c r="X71" i="1" s="1"/>
  <c r="M71" i="1"/>
  <c r="U71" i="1" s="1"/>
  <c r="L71" i="1"/>
  <c r="AS70" i="1"/>
  <c r="W70" i="1"/>
  <c r="X70" i="1" s="1"/>
  <c r="M70" i="1"/>
  <c r="U70" i="1" s="1"/>
  <c r="L70" i="1"/>
  <c r="AS69" i="1"/>
  <c r="M69" i="1"/>
  <c r="U69" i="1" s="1"/>
  <c r="L69" i="1"/>
  <c r="AS68" i="1"/>
  <c r="M68" i="1"/>
  <c r="U68" i="1" s="1"/>
  <c r="AF68" i="1" s="1"/>
  <c r="L68" i="1"/>
  <c r="AS67" i="1"/>
  <c r="AR67" i="1"/>
  <c r="W67" i="1"/>
  <c r="M67" i="1"/>
  <c r="U67" i="1" s="1"/>
  <c r="AE67" i="1" s="1"/>
  <c r="L67" i="1"/>
  <c r="AS66" i="1"/>
  <c r="W66" i="1"/>
  <c r="X66" i="1" s="1"/>
  <c r="M66" i="1"/>
  <c r="U66" i="1" s="1"/>
  <c r="L66" i="1"/>
  <c r="AS65" i="1"/>
  <c r="W65" i="1"/>
  <c r="X65" i="1" s="1"/>
  <c r="M65" i="1"/>
  <c r="U65" i="1" s="1"/>
  <c r="L65" i="1"/>
  <c r="AS64" i="1"/>
  <c r="W64" i="1"/>
  <c r="X64" i="1" s="1"/>
  <c r="M64" i="1"/>
  <c r="U64" i="1" s="1"/>
  <c r="L64" i="1"/>
  <c r="AS63" i="1"/>
  <c r="W63" i="1"/>
  <c r="X63" i="1" s="1"/>
  <c r="M63" i="1"/>
  <c r="U63" i="1" s="1"/>
  <c r="L63" i="1"/>
  <c r="AS62" i="1"/>
  <c r="M62" i="1"/>
  <c r="U62" i="1" s="1"/>
  <c r="L62" i="1"/>
  <c r="AS61" i="1"/>
  <c r="M61" i="1"/>
  <c r="U61" i="1" s="1"/>
  <c r="V61" i="1" s="1"/>
  <c r="L61" i="1"/>
  <c r="AS60" i="1"/>
  <c r="M60" i="1"/>
  <c r="U60" i="1" s="1"/>
  <c r="L60" i="1"/>
  <c r="AS59" i="1"/>
  <c r="M59" i="1"/>
  <c r="U59" i="1" s="1"/>
  <c r="L59" i="1"/>
  <c r="M58" i="1"/>
  <c r="U58" i="1" s="1"/>
  <c r="L58" i="1"/>
  <c r="AS57" i="1"/>
  <c r="W57" i="1"/>
  <c r="X57" i="1" s="1"/>
  <c r="M57" i="1"/>
  <c r="U57" i="1" s="1"/>
  <c r="L57" i="1"/>
  <c r="AS56" i="1"/>
  <c r="W56" i="1"/>
  <c r="X56" i="1" s="1"/>
  <c r="M56" i="1"/>
  <c r="U56" i="1" s="1"/>
  <c r="L56" i="1"/>
  <c r="M55" i="1"/>
  <c r="U55" i="1" s="1"/>
  <c r="L55" i="1"/>
  <c r="M54" i="1"/>
  <c r="U54" i="1" s="1"/>
  <c r="L54" i="1"/>
  <c r="AS53" i="1"/>
  <c r="W53" i="1"/>
  <c r="X53" i="1" s="1"/>
  <c r="M53" i="1"/>
  <c r="U53" i="1" s="1"/>
  <c r="L53" i="1"/>
  <c r="AS52" i="1"/>
  <c r="W52" i="1"/>
  <c r="X52" i="1" s="1"/>
  <c r="M52" i="1"/>
  <c r="U52" i="1" s="1"/>
  <c r="L52" i="1"/>
  <c r="AS51" i="1"/>
  <c r="M51" i="1"/>
  <c r="U51" i="1" s="1"/>
  <c r="L51" i="1"/>
  <c r="AS50" i="1"/>
  <c r="AR50" i="1"/>
  <c r="W50" i="1"/>
  <c r="M50" i="1"/>
  <c r="U50" i="1" s="1"/>
  <c r="AE50" i="1" s="1"/>
  <c r="L50" i="1"/>
  <c r="M49" i="1"/>
  <c r="U49" i="1" s="1"/>
  <c r="L49" i="1"/>
  <c r="AS48" i="1"/>
  <c r="M48" i="1"/>
  <c r="U48" i="1" s="1"/>
  <c r="AF48" i="1" s="1"/>
  <c r="L48" i="1"/>
  <c r="AS47" i="1"/>
  <c r="AR47" i="1"/>
  <c r="W47" i="1"/>
  <c r="M47" i="1"/>
  <c r="U47" i="1" s="1"/>
  <c r="AE47" i="1" s="1"/>
  <c r="L47" i="1"/>
  <c r="AS46" i="1"/>
  <c r="W46" i="1"/>
  <c r="X46" i="1" s="1"/>
  <c r="M46" i="1"/>
  <c r="U46" i="1" s="1"/>
  <c r="L46" i="1"/>
  <c r="AS45" i="1"/>
  <c r="W45" i="1"/>
  <c r="X45" i="1" s="1"/>
  <c r="M45" i="1"/>
  <c r="U45" i="1" s="1"/>
  <c r="L45" i="1"/>
  <c r="AS44" i="1"/>
  <c r="AR44" i="1"/>
  <c r="W44" i="1"/>
  <c r="M44" i="1"/>
  <c r="U44" i="1" s="1"/>
  <c r="AE44" i="1" s="1"/>
  <c r="L44" i="1"/>
  <c r="AS43" i="1"/>
  <c r="M43" i="1"/>
  <c r="U43" i="1" s="1"/>
  <c r="L43" i="1"/>
  <c r="AS42" i="1"/>
  <c r="AR42" i="1"/>
  <c r="W42" i="1"/>
  <c r="M42" i="1"/>
  <c r="U42" i="1" s="1"/>
  <c r="AE42" i="1" s="1"/>
  <c r="L42" i="1"/>
  <c r="AS41" i="1"/>
  <c r="AR41" i="1"/>
  <c r="W41" i="1"/>
  <c r="M41" i="1"/>
  <c r="U41" i="1" s="1"/>
  <c r="AE41" i="1" s="1"/>
  <c r="L41" i="1"/>
  <c r="AR40" i="1"/>
  <c r="W40" i="1"/>
  <c r="AA40" i="1" s="1"/>
  <c r="M40" i="1"/>
  <c r="U40" i="1" s="1"/>
  <c r="L40" i="1"/>
  <c r="AS39" i="1"/>
  <c r="X39" i="1"/>
  <c r="M39" i="1"/>
  <c r="U39" i="1" s="1"/>
  <c r="L39" i="1"/>
  <c r="W38" i="1"/>
  <c r="AA38" i="1" s="1"/>
  <c r="AS38" i="1" s="1"/>
  <c r="M38" i="1"/>
  <c r="U38" i="1" s="1"/>
  <c r="L38" i="1"/>
  <c r="AS37" i="1"/>
  <c r="W37" i="1"/>
  <c r="X37" i="1" s="1"/>
  <c r="M37" i="1"/>
  <c r="U37" i="1" s="1"/>
  <c r="L37" i="1"/>
  <c r="AS36" i="1"/>
  <c r="W36" i="1"/>
  <c r="X36" i="1" s="1"/>
  <c r="M36" i="1"/>
  <c r="U36" i="1" s="1"/>
  <c r="L36" i="1"/>
  <c r="AS35" i="1"/>
  <c r="W35" i="1"/>
  <c r="X35" i="1" s="1"/>
  <c r="M35" i="1"/>
  <c r="U35" i="1" s="1"/>
  <c r="L35" i="1"/>
  <c r="AS34" i="1"/>
  <c r="W34" i="1"/>
  <c r="X34" i="1" s="1"/>
  <c r="M34" i="1"/>
  <c r="U34" i="1" s="1"/>
  <c r="L34" i="1"/>
  <c r="W33" i="1"/>
  <c r="AA33" i="1" s="1"/>
  <c r="X33" i="1" s="1"/>
  <c r="M33" i="1"/>
  <c r="U33" i="1" s="1"/>
  <c r="L33" i="1"/>
  <c r="AS32" i="1"/>
  <c r="W32" i="1"/>
  <c r="X32" i="1" s="1"/>
  <c r="M32" i="1"/>
  <c r="U32" i="1" s="1"/>
  <c r="L32" i="1"/>
  <c r="AR31" i="1"/>
  <c r="W31" i="1"/>
  <c r="AA31" i="1" s="1"/>
  <c r="M31" i="1"/>
  <c r="U31" i="1" s="1"/>
  <c r="L31" i="1"/>
  <c r="AS30" i="1"/>
  <c r="W30" i="1"/>
  <c r="X30" i="1" s="1"/>
  <c r="M30" i="1"/>
  <c r="U30" i="1" s="1"/>
  <c r="L30" i="1"/>
  <c r="AS29" i="1"/>
  <c r="W29" i="1"/>
  <c r="X29" i="1" s="1"/>
  <c r="M29" i="1"/>
  <c r="U29" i="1" s="1"/>
  <c r="L29" i="1"/>
  <c r="AS28" i="1"/>
  <c r="W28" i="1"/>
  <c r="X28" i="1" s="1"/>
  <c r="M28" i="1"/>
  <c r="U28" i="1" s="1"/>
  <c r="L28" i="1"/>
  <c r="W27" i="1"/>
  <c r="AA27" i="1" s="1"/>
  <c r="AS27" i="1" s="1"/>
  <c r="M27" i="1"/>
  <c r="U27" i="1" s="1"/>
  <c r="L27" i="1"/>
  <c r="AS26" i="1"/>
  <c r="W26" i="1"/>
  <c r="X26" i="1" s="1"/>
  <c r="M26" i="1"/>
  <c r="U26" i="1" s="1"/>
  <c r="L26" i="1"/>
  <c r="M25" i="1"/>
  <c r="U25" i="1" s="1"/>
  <c r="L25" i="1"/>
  <c r="AS24" i="1"/>
  <c r="W24" i="1"/>
  <c r="X24" i="1" s="1"/>
  <c r="M24" i="1"/>
  <c r="U24" i="1" s="1"/>
  <c r="L24" i="1"/>
  <c r="AS23" i="1"/>
  <c r="W23" i="1"/>
  <c r="X23" i="1" s="1"/>
  <c r="M23" i="1"/>
  <c r="U23" i="1" s="1"/>
  <c r="L23" i="1"/>
  <c r="M22" i="1"/>
  <c r="U22" i="1" s="1"/>
  <c r="L22" i="1"/>
  <c r="AS21" i="1"/>
  <c r="M21" i="1"/>
  <c r="U21" i="1" s="1"/>
  <c r="AF21" i="1" s="1"/>
  <c r="L21" i="1"/>
  <c r="AS20" i="1"/>
  <c r="W20" i="1"/>
  <c r="X20" i="1" s="1"/>
  <c r="M20" i="1"/>
  <c r="U20" i="1" s="1"/>
  <c r="L20" i="1"/>
  <c r="AS19" i="1"/>
  <c r="W19" i="1"/>
  <c r="X19" i="1" s="1"/>
  <c r="M19" i="1"/>
  <c r="U19" i="1" s="1"/>
  <c r="L19" i="1"/>
  <c r="AS18" i="1"/>
  <c r="W18" i="1"/>
  <c r="X18" i="1" s="1"/>
  <c r="M18" i="1"/>
  <c r="U18" i="1" s="1"/>
  <c r="L18" i="1"/>
  <c r="M17" i="1"/>
  <c r="U17" i="1" s="1"/>
  <c r="L17" i="1"/>
  <c r="M16" i="1"/>
  <c r="U16" i="1" s="1"/>
  <c r="L16" i="1"/>
  <c r="AS15" i="1"/>
  <c r="W15" i="1"/>
  <c r="X15" i="1" s="1"/>
  <c r="M15" i="1"/>
  <c r="U15" i="1" s="1"/>
  <c r="L15" i="1"/>
  <c r="AS14" i="1"/>
  <c r="M14" i="1"/>
  <c r="U14" i="1" s="1"/>
  <c r="L14" i="1"/>
  <c r="AS13" i="1"/>
  <c r="W13" i="1"/>
  <c r="X13" i="1" s="1"/>
  <c r="M13" i="1"/>
  <c r="U13" i="1" s="1"/>
  <c r="L13" i="1"/>
  <c r="AS12" i="1"/>
  <c r="W12" i="1"/>
  <c r="X12" i="1" s="1"/>
  <c r="M12" i="1"/>
  <c r="U12" i="1" s="1"/>
  <c r="L12" i="1"/>
  <c r="W11" i="1"/>
  <c r="AA11" i="1" s="1"/>
  <c r="AS11" i="1" s="1"/>
  <c r="M11" i="1"/>
  <c r="U11" i="1" s="1"/>
  <c r="L11" i="1"/>
  <c r="M10" i="1"/>
  <c r="U10" i="1" s="1"/>
  <c r="AF10" i="1" s="1"/>
  <c r="L10" i="1"/>
  <c r="AS9" i="1"/>
  <c r="W9" i="1"/>
  <c r="X9" i="1" s="1"/>
  <c r="M9" i="1"/>
  <c r="U9" i="1" s="1"/>
  <c r="L9" i="1"/>
  <c r="M8" i="1"/>
  <c r="U8" i="1" s="1"/>
  <c r="AF8" i="1" s="1"/>
  <c r="L8" i="1"/>
  <c r="M7" i="1"/>
  <c r="U7" i="1" s="1"/>
  <c r="L7" i="1"/>
  <c r="M6" i="1"/>
  <c r="U6" i="1" s="1"/>
  <c r="L6" i="1"/>
  <c r="AP5" i="1"/>
  <c r="AO5" i="1"/>
  <c r="AN5" i="1"/>
  <c r="AM5" i="1"/>
  <c r="AL5" i="1"/>
  <c r="AK5" i="1"/>
  <c r="AJ5" i="1"/>
  <c r="AI5" i="1"/>
  <c r="AH5" i="1"/>
  <c r="AG5" i="1"/>
  <c r="R5" i="1"/>
  <c r="Q5" i="1"/>
  <c r="P5" i="1"/>
  <c r="O5" i="1"/>
  <c r="N5" i="1"/>
  <c r="K5" i="1"/>
  <c r="F5" i="1"/>
  <c r="E5" i="1"/>
  <c r="AR33" i="1" l="1"/>
  <c r="AE33" i="1"/>
  <c r="AR9" i="1"/>
  <c r="AE9" i="1"/>
  <c r="AR15" i="1"/>
  <c r="AE15" i="1"/>
  <c r="AR18" i="1"/>
  <c r="AE18" i="1"/>
  <c r="AR19" i="1"/>
  <c r="AE19" i="1"/>
  <c r="AR20" i="1"/>
  <c r="AE20" i="1"/>
  <c r="AR28" i="1"/>
  <c r="AE28" i="1"/>
  <c r="AR29" i="1"/>
  <c r="AE29" i="1"/>
  <c r="AR30" i="1"/>
  <c r="AE30" i="1"/>
  <c r="AS31" i="1"/>
  <c r="AE31" i="1"/>
  <c r="AR32" i="1"/>
  <c r="AE32" i="1"/>
  <c r="AR34" i="1"/>
  <c r="AE34" i="1"/>
  <c r="AR35" i="1"/>
  <c r="AE35" i="1"/>
  <c r="AR36" i="1"/>
  <c r="AE36" i="1"/>
  <c r="AR37" i="1"/>
  <c r="AE37" i="1"/>
  <c r="AR70" i="1"/>
  <c r="AE70" i="1"/>
  <c r="AR71" i="1"/>
  <c r="AE71" i="1"/>
  <c r="AR72" i="1"/>
  <c r="AE72" i="1"/>
  <c r="AR76" i="1"/>
  <c r="AE76" i="1"/>
  <c r="AR77" i="1"/>
  <c r="AE77" i="1"/>
  <c r="AR85" i="1"/>
  <c r="AE85" i="1"/>
  <c r="AR94" i="1"/>
  <c r="AE94" i="1"/>
  <c r="AR95" i="1"/>
  <c r="AE95" i="1"/>
  <c r="AR96" i="1"/>
  <c r="AE96" i="1"/>
  <c r="AR99" i="1"/>
  <c r="AE99" i="1"/>
  <c r="AR100" i="1"/>
  <c r="AE100" i="1"/>
  <c r="AR101" i="1"/>
  <c r="AE101" i="1"/>
  <c r="AR102" i="1"/>
  <c r="AE102" i="1"/>
  <c r="AR103" i="1"/>
  <c r="AE103" i="1"/>
  <c r="AR104" i="1"/>
  <c r="AE104" i="1"/>
  <c r="AR105" i="1"/>
  <c r="AE105" i="1"/>
  <c r="AR106" i="1"/>
  <c r="AE106" i="1"/>
  <c r="AR107" i="1"/>
  <c r="AE107" i="1"/>
  <c r="AR108" i="1"/>
  <c r="AE108" i="1"/>
  <c r="AR113" i="1"/>
  <c r="AE113" i="1"/>
  <c r="AR114" i="1"/>
  <c r="AE114" i="1"/>
  <c r="AR119" i="1"/>
  <c r="AE119" i="1"/>
  <c r="AR120" i="1"/>
  <c r="AE120" i="1"/>
  <c r="AR126" i="1"/>
  <c r="AE126" i="1"/>
  <c r="AR130" i="1"/>
  <c r="AE130" i="1"/>
  <c r="AR134" i="1"/>
  <c r="AE134" i="1"/>
  <c r="AR12" i="1"/>
  <c r="AE12" i="1"/>
  <c r="AR13" i="1"/>
  <c r="AE13" i="1"/>
  <c r="AR23" i="1"/>
  <c r="AE23" i="1"/>
  <c r="AR24" i="1"/>
  <c r="AE24" i="1"/>
  <c r="AR26" i="1"/>
  <c r="AE26" i="1"/>
  <c r="AR39" i="1"/>
  <c r="AE39" i="1"/>
  <c r="AS40" i="1"/>
  <c r="AE40" i="1"/>
  <c r="AR45" i="1"/>
  <c r="AE45" i="1"/>
  <c r="AR46" i="1"/>
  <c r="AE46" i="1"/>
  <c r="AR52" i="1"/>
  <c r="AE52" i="1"/>
  <c r="AR53" i="1"/>
  <c r="AE53" i="1"/>
  <c r="AR56" i="1"/>
  <c r="AE56" i="1"/>
  <c r="AR57" i="1"/>
  <c r="AE57" i="1"/>
  <c r="AR63" i="1"/>
  <c r="AE63" i="1"/>
  <c r="AR64" i="1"/>
  <c r="AE64" i="1"/>
  <c r="AR65" i="1"/>
  <c r="AE65" i="1"/>
  <c r="AR66" i="1"/>
  <c r="AE66" i="1"/>
  <c r="AR79" i="1"/>
  <c r="AE79" i="1"/>
  <c r="AR80" i="1"/>
  <c r="AE80" i="1"/>
  <c r="AR87" i="1"/>
  <c r="AE87" i="1"/>
  <c r="AR88" i="1"/>
  <c r="AE88" i="1"/>
  <c r="AS117" i="1"/>
  <c r="AE117" i="1"/>
  <c r="AR122" i="1"/>
  <c r="AE122" i="1"/>
  <c r="AR123" i="1"/>
  <c r="AE123" i="1"/>
  <c r="AR132" i="1"/>
  <c r="AE132" i="1"/>
  <c r="AR136" i="1"/>
  <c r="AE136" i="1"/>
  <c r="AF99" i="1"/>
  <c r="AF42" i="1"/>
  <c r="AF83" i="1"/>
  <c r="AF120" i="1"/>
  <c r="AF35" i="1"/>
  <c r="AF56" i="1"/>
  <c r="AF72" i="1"/>
  <c r="AF96" i="1"/>
  <c r="AF101" i="1"/>
  <c r="AF9" i="1"/>
  <c r="AF30" i="1"/>
  <c r="AF117" i="1"/>
  <c r="AF95" i="1"/>
  <c r="AF33" i="1"/>
  <c r="AF85" i="1"/>
  <c r="AF47" i="1"/>
  <c r="AF38" i="1"/>
  <c r="AF53" i="1"/>
  <c r="AF70" i="1"/>
  <c r="AF100" i="1"/>
  <c r="AF34" i="1"/>
  <c r="AF76" i="1"/>
  <c r="AF134" i="1"/>
  <c r="AF18" i="1"/>
  <c r="AF122" i="1"/>
  <c r="AF71" i="1"/>
  <c r="AF133" i="1"/>
  <c r="V133" i="1"/>
  <c r="AF55" i="1"/>
  <c r="V55" i="1"/>
  <c r="AF136" i="1"/>
  <c r="AF57" i="1"/>
  <c r="AF61" i="1"/>
  <c r="AF65" i="1"/>
  <c r="AF80" i="1"/>
  <c r="AF11" i="1"/>
  <c r="V127" i="1"/>
  <c r="AF127" i="1"/>
  <c r="W61" i="1"/>
  <c r="X61" i="1" s="1"/>
  <c r="AF51" i="1"/>
  <c r="V51" i="1"/>
  <c r="W51" i="1" s="1"/>
  <c r="X51" i="1" s="1"/>
  <c r="AF12" i="1"/>
  <c r="AF81" i="1"/>
  <c r="V81" i="1"/>
  <c r="AF52" i="1"/>
  <c r="AF13" i="1"/>
  <c r="AF63" i="1"/>
  <c r="V43" i="1"/>
  <c r="AF43" i="1"/>
  <c r="AF44" i="1"/>
  <c r="V131" i="1"/>
  <c r="AF131" i="1"/>
  <c r="AF31" i="1"/>
  <c r="V125" i="1"/>
  <c r="AF125" i="1"/>
  <c r="AF59" i="1"/>
  <c r="V59" i="1"/>
  <c r="AF132" i="1"/>
  <c r="AF103" i="1"/>
  <c r="AF89" i="1"/>
  <c r="V89" i="1"/>
  <c r="V8" i="1"/>
  <c r="V74" i="1"/>
  <c r="AF82" i="1"/>
  <c r="AF66" i="1"/>
  <c r="V10" i="1"/>
  <c r="AF104" i="1"/>
  <c r="AF124" i="1"/>
  <c r="X11" i="1"/>
  <c r="AF16" i="1"/>
  <c r="V16" i="1"/>
  <c r="AF26" i="1"/>
  <c r="AF79" i="1"/>
  <c r="AF106" i="1"/>
  <c r="AF17" i="1"/>
  <c r="V17" i="1"/>
  <c r="AF37" i="1"/>
  <c r="AF112" i="1"/>
  <c r="V112" i="1"/>
  <c r="AF126" i="1"/>
  <c r="W82" i="1"/>
  <c r="X82" i="1" s="1"/>
  <c r="AF27" i="1"/>
  <c r="W92" i="1"/>
  <c r="V48" i="1"/>
  <c r="AF87" i="1"/>
  <c r="AF107" i="1"/>
  <c r="AF113" i="1"/>
  <c r="AF60" i="1"/>
  <c r="V60" i="1"/>
  <c r="AF22" i="1"/>
  <c r="V22" i="1"/>
  <c r="AF45" i="1"/>
  <c r="AF64" i="1"/>
  <c r="AF6" i="1"/>
  <c r="V6" i="1"/>
  <c r="U5" i="1"/>
  <c r="AF28" i="1"/>
  <c r="AF49" i="1"/>
  <c r="V49" i="1"/>
  <c r="AF67" i="1"/>
  <c r="AF119" i="1"/>
  <c r="AF123" i="1"/>
  <c r="AF88" i="1"/>
  <c r="AF94" i="1"/>
  <c r="V98" i="1"/>
  <c r="AF98" i="1"/>
  <c r="AF108" i="1"/>
  <c r="AF114" i="1"/>
  <c r="AF135" i="1"/>
  <c r="V135" i="1"/>
  <c r="L5" i="1"/>
  <c r="AF23" i="1"/>
  <c r="AF50" i="1"/>
  <c r="AF84" i="1"/>
  <c r="V14" i="1"/>
  <c r="AF14" i="1"/>
  <c r="AF19" i="1"/>
  <c r="AF29" i="1"/>
  <c r="AF46" i="1"/>
  <c r="V128" i="1"/>
  <c r="AF128" i="1"/>
  <c r="AF7" i="1"/>
  <c r="V7" i="1"/>
  <c r="AF39" i="1"/>
  <c r="V39" i="1"/>
  <c r="AF77" i="1"/>
  <c r="AF102" i="1"/>
  <c r="V109" i="1"/>
  <c r="AF109" i="1"/>
  <c r="V115" i="1"/>
  <c r="AF115" i="1"/>
  <c r="AF24" i="1"/>
  <c r="AF32" i="1"/>
  <c r="AF105" i="1"/>
  <c r="AF15" i="1"/>
  <c r="AF54" i="1"/>
  <c r="V54" i="1"/>
  <c r="W124" i="1"/>
  <c r="X124" i="1" s="1"/>
  <c r="AF129" i="1"/>
  <c r="V129" i="1"/>
  <c r="AF62" i="1"/>
  <c r="V62" i="1"/>
  <c r="AF41" i="1"/>
  <c r="AF20" i="1"/>
  <c r="AF58" i="1"/>
  <c r="V58" i="1"/>
  <c r="V78" i="1"/>
  <c r="AF78" i="1"/>
  <c r="V90" i="1"/>
  <c r="AF90" i="1"/>
  <c r="AF121" i="1"/>
  <c r="V121" i="1"/>
  <c r="AF69" i="1"/>
  <c r="V69" i="1"/>
  <c r="V25" i="1"/>
  <c r="AF25" i="1"/>
  <c r="AF36" i="1"/>
  <c r="AF40" i="1"/>
  <c r="AF130" i="1"/>
  <c r="V91" i="1"/>
  <c r="V97" i="1"/>
  <c r="V110" i="1"/>
  <c r="V116" i="1"/>
  <c r="V118" i="1"/>
  <c r="V68" i="1"/>
  <c r="V93" i="1"/>
  <c r="V21" i="1"/>
  <c r="X27" i="1"/>
  <c r="AS33" i="1"/>
  <c r="X38" i="1"/>
  <c r="M5" i="1"/>
  <c r="V73" i="1"/>
  <c r="V75" i="1"/>
  <c r="AF92" i="1"/>
  <c r="V86" i="1"/>
  <c r="V111" i="1"/>
  <c r="AR51" i="1" l="1"/>
  <c r="AE51" i="1"/>
  <c r="AR38" i="1"/>
  <c r="AE38" i="1"/>
  <c r="AR27" i="1"/>
  <c r="AE27" i="1"/>
  <c r="AR82" i="1"/>
  <c r="AE82" i="1"/>
  <c r="AR11" i="1"/>
  <c r="AE11" i="1"/>
  <c r="AR61" i="1"/>
  <c r="AE61" i="1"/>
  <c r="AR124" i="1"/>
  <c r="AE124" i="1"/>
  <c r="W43" i="1"/>
  <c r="X43" i="1" s="1"/>
  <c r="W55" i="1"/>
  <c r="AA55" i="1" s="1"/>
  <c r="AS55" i="1" s="1"/>
  <c r="W125" i="1"/>
  <c r="AA125" i="1" s="1"/>
  <c r="AS125" i="1" s="1"/>
  <c r="W81" i="1"/>
  <c r="W133" i="1"/>
  <c r="X133" i="1" s="1"/>
  <c r="W74" i="1"/>
  <c r="X74" i="1" s="1"/>
  <c r="W59" i="1"/>
  <c r="X59" i="1" s="1"/>
  <c r="W10" i="1"/>
  <c r="AA10" i="1" s="1"/>
  <c r="AS10" i="1" s="1"/>
  <c r="W127" i="1"/>
  <c r="AA127" i="1" s="1"/>
  <c r="AS127" i="1" s="1"/>
  <c r="W131" i="1"/>
  <c r="X131" i="1" s="1"/>
  <c r="W89" i="1"/>
  <c r="W8" i="1"/>
  <c r="AA8" i="1" s="1"/>
  <c r="AS8" i="1" s="1"/>
  <c r="W98" i="1"/>
  <c r="X98" i="1" s="1"/>
  <c r="W22" i="1"/>
  <c r="W112" i="1"/>
  <c r="W60" i="1"/>
  <c r="X60" i="1" s="1"/>
  <c r="W25" i="1"/>
  <c r="W75" i="1"/>
  <c r="W17" i="1"/>
  <c r="W21" i="1"/>
  <c r="X21" i="1" s="1"/>
  <c r="W86" i="1"/>
  <c r="X86" i="1" s="1"/>
  <c r="W69" i="1"/>
  <c r="X69" i="1" s="1"/>
  <c r="W121" i="1"/>
  <c r="X121" i="1" s="1"/>
  <c r="W135" i="1"/>
  <c r="X135" i="1" s="1"/>
  <c r="W49" i="1"/>
  <c r="W48" i="1"/>
  <c r="X48" i="1" s="1"/>
  <c r="W62" i="1"/>
  <c r="X62" i="1" s="1"/>
  <c r="W93" i="1"/>
  <c r="W116" i="1"/>
  <c r="W129" i="1"/>
  <c r="X129" i="1" s="1"/>
  <c r="W54" i="1"/>
  <c r="W91" i="1"/>
  <c r="W78" i="1"/>
  <c r="X78" i="1" s="1"/>
  <c r="W111" i="1"/>
  <c r="X111" i="1" s="1"/>
  <c r="W14" i="1"/>
  <c r="X14" i="1" s="1"/>
  <c r="W118" i="1"/>
  <c r="X118" i="1" s="1"/>
  <c r="W110" i="1"/>
  <c r="W58" i="1"/>
  <c r="AA92" i="1"/>
  <c r="AS92" i="1" s="1"/>
  <c r="W68" i="1"/>
  <c r="X68" i="1" s="1"/>
  <c r="W90" i="1"/>
  <c r="AA90" i="1" s="1"/>
  <c r="AA81" i="1"/>
  <c r="AS81" i="1" s="1"/>
  <c r="W6" i="1"/>
  <c r="V5" i="1"/>
  <c r="W115" i="1"/>
  <c r="X115" i="1" s="1"/>
  <c r="W16" i="1"/>
  <c r="W109" i="1"/>
  <c r="X109" i="1" s="1"/>
  <c r="W73" i="1"/>
  <c r="X73" i="1" s="1"/>
  <c r="W7" i="1"/>
  <c r="W97" i="1"/>
  <c r="X97" i="1" s="1"/>
  <c r="W128" i="1"/>
  <c r="X128" i="1" s="1"/>
  <c r="X55" i="1" l="1"/>
  <c r="AR97" i="1"/>
  <c r="AE97" i="1"/>
  <c r="AR73" i="1"/>
  <c r="AE73" i="1"/>
  <c r="AR68" i="1"/>
  <c r="AE68" i="1"/>
  <c r="AR118" i="1"/>
  <c r="AE118" i="1"/>
  <c r="AR111" i="1"/>
  <c r="AE111" i="1"/>
  <c r="AR78" i="1"/>
  <c r="AE78" i="1"/>
  <c r="AR62" i="1"/>
  <c r="AE62" i="1"/>
  <c r="AR121" i="1"/>
  <c r="AE121" i="1"/>
  <c r="AR86" i="1"/>
  <c r="AE86" i="1"/>
  <c r="AR21" i="1"/>
  <c r="AE21" i="1"/>
  <c r="AR60" i="1"/>
  <c r="AE60" i="1"/>
  <c r="AR131" i="1"/>
  <c r="AE131" i="1"/>
  <c r="AR55" i="1"/>
  <c r="AE55" i="1"/>
  <c r="AR133" i="1"/>
  <c r="AE133" i="1"/>
  <c r="AR43" i="1"/>
  <c r="AE43" i="1"/>
  <c r="AR128" i="1"/>
  <c r="AE128" i="1"/>
  <c r="AR109" i="1"/>
  <c r="AE109" i="1"/>
  <c r="AR115" i="1"/>
  <c r="AE115" i="1"/>
  <c r="AS90" i="1"/>
  <c r="AE90" i="1"/>
  <c r="AR14" i="1"/>
  <c r="AE14" i="1"/>
  <c r="X8" i="1"/>
  <c r="AR129" i="1"/>
  <c r="AE129" i="1"/>
  <c r="X10" i="1"/>
  <c r="AR48" i="1"/>
  <c r="AE48" i="1"/>
  <c r="AR135" i="1"/>
  <c r="AE135" i="1"/>
  <c r="AR69" i="1"/>
  <c r="AE69" i="1"/>
  <c r="AR98" i="1"/>
  <c r="AE98" i="1"/>
  <c r="AR59" i="1"/>
  <c r="AE59" i="1"/>
  <c r="AR74" i="1"/>
  <c r="AE74" i="1"/>
  <c r="X81" i="1"/>
  <c r="X125" i="1"/>
  <c r="X92" i="1"/>
  <c r="AA89" i="1"/>
  <c r="AS89" i="1" s="1"/>
  <c r="AA17" i="1"/>
  <c r="AS17" i="1" s="1"/>
  <c r="AA110" i="1"/>
  <c r="AS110" i="1" s="1"/>
  <c r="AA93" i="1"/>
  <c r="AS93" i="1" s="1"/>
  <c r="AA75" i="1"/>
  <c r="AS75" i="1" s="1"/>
  <c r="AA25" i="1"/>
  <c r="AS25" i="1" s="1"/>
  <c r="X127" i="1"/>
  <c r="AA58" i="1"/>
  <c r="AS58" i="1" s="1"/>
  <c r="AA112" i="1"/>
  <c r="AS112" i="1" s="1"/>
  <c r="AA91" i="1"/>
  <c r="AS91" i="1" s="1"/>
  <c r="AA22" i="1"/>
  <c r="AS22" i="1" s="1"/>
  <c r="AA16" i="1"/>
  <c r="AS16" i="1" s="1"/>
  <c r="AA49" i="1"/>
  <c r="AS49" i="1" s="1"/>
  <c r="AA54" i="1"/>
  <c r="AS54" i="1" s="1"/>
  <c r="W5" i="1"/>
  <c r="AA6" i="1"/>
  <c r="AA116" i="1"/>
  <c r="AS116" i="1" s="1"/>
  <c r="AA7" i="1"/>
  <c r="AS7" i="1" s="1"/>
  <c r="X110" i="1" l="1"/>
  <c r="AR110" i="1" s="1"/>
  <c r="AR127" i="1"/>
  <c r="AE127" i="1"/>
  <c r="AR92" i="1"/>
  <c r="AE92" i="1"/>
  <c r="AR81" i="1"/>
  <c r="AE81" i="1"/>
  <c r="AR8" i="1"/>
  <c r="AE8" i="1"/>
  <c r="AR125" i="1"/>
  <c r="AE125" i="1"/>
  <c r="AR10" i="1"/>
  <c r="AE10" i="1"/>
  <c r="X7" i="1"/>
  <c r="X116" i="1"/>
  <c r="X93" i="1"/>
  <c r="X91" i="1"/>
  <c r="X54" i="1"/>
  <c r="X112" i="1"/>
  <c r="X25" i="1"/>
  <c r="X89" i="1"/>
  <c r="X49" i="1"/>
  <c r="X16" i="1"/>
  <c r="X58" i="1"/>
  <c r="X22" i="1"/>
  <c r="X75" i="1"/>
  <c r="AA5" i="1"/>
  <c r="AS6" i="1"/>
  <c r="AS5" i="1" s="1"/>
  <c r="X6" i="1"/>
  <c r="AE6" i="1" s="1"/>
  <c r="X17" i="1"/>
  <c r="AE110" i="1" l="1"/>
  <c r="AR22" i="1"/>
  <c r="AE22" i="1"/>
  <c r="AR16" i="1"/>
  <c r="AE16" i="1"/>
  <c r="AR89" i="1"/>
  <c r="AE89" i="1"/>
  <c r="AR112" i="1"/>
  <c r="AE112" i="1"/>
  <c r="AR91" i="1"/>
  <c r="AE91" i="1"/>
  <c r="AR116" i="1"/>
  <c r="AE116" i="1"/>
  <c r="AR17" i="1"/>
  <c r="AE17" i="1"/>
  <c r="AR75" i="1"/>
  <c r="AE75" i="1"/>
  <c r="AR58" i="1"/>
  <c r="AE58" i="1"/>
  <c r="AR49" i="1"/>
  <c r="AE49" i="1"/>
  <c r="AR25" i="1"/>
  <c r="AE25" i="1"/>
  <c r="AR54" i="1"/>
  <c r="AE54" i="1"/>
  <c r="AR93" i="1"/>
  <c r="AE93" i="1"/>
  <c r="AR7" i="1"/>
  <c r="AE7" i="1"/>
  <c r="X5" i="1"/>
  <c r="AR6" i="1"/>
  <c r="AR5" i="1" l="1"/>
  <c r="AR1" i="1" s="1"/>
</calcChain>
</file>

<file path=xl/sharedStrings.xml><?xml version="1.0" encoding="utf-8"?>
<sst xmlns="http://schemas.openxmlformats.org/spreadsheetml/2006/main" count="939" uniqueCount="476">
  <si>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</si>
  <si>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</si>
  <si>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</si>
  <si>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</si>
  <si>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</si>
  <si>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</si>
  <si>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</si>
  <si>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</si>
  <si>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</si>
  <si>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</si>
  <si>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</si>
  <si>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</si>
  <si>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</si>
  <si>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</si>
  <si>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</si>
  <si>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</si>
  <si>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</si>
  <si>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</si>
  <si>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</si>
  <si>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</si>
  <si>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</si>
  <si>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</si>
  <si>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</si>
  <si>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</si>
  <si>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</si>
  <si>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</si>
  <si>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</si>
  <si>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10,08,(2)</t>
  </si>
  <si>
    <t>10,08,(2)недогруз</t>
  </si>
  <si>
    <t>10,08,(2)доз</t>
  </si>
  <si>
    <t>16,08,</t>
  </si>
  <si>
    <t>13,08,</t>
  </si>
  <si>
    <t>17,08,</t>
  </si>
  <si>
    <t>18,08,</t>
  </si>
  <si>
    <t>Рекуто</t>
  </si>
  <si>
    <t>11,08,</t>
  </si>
  <si>
    <t>06,08,</t>
  </si>
  <si>
    <t>04,08,</t>
  </si>
  <si>
    <t>30,07,</t>
  </si>
  <si>
    <t>28,07,</t>
  </si>
  <si>
    <t>23,07,</t>
  </si>
  <si>
    <t>21,07,</t>
  </si>
  <si>
    <t>20,07,</t>
  </si>
  <si>
    <t>16,07,</t>
  </si>
  <si>
    <t>14,07,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</si>
  <si>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</si>
  <si>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</si>
  <si>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</si>
  <si>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</si>
  <si>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</si>
  <si>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</si>
  <si>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</si>
  <si>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</si>
  <si>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</si>
  <si>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</si>
  <si>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19 шт списано (12,07,26)</t>
  </si>
  <si>
    <t>SU001485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</si>
  <si>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</si>
  <si>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</si>
  <si>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</si>
  <si>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</si>
  <si>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</si>
  <si>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1000 сеть МКД (05,08,26)</t>
  </si>
  <si>
    <t>SU001720</t>
  </si>
  <si>
    <t xml:space="preserve"> 047  Кол Баварская, белков.обол. в термоусад. пакете 0.17 кг, ТМ Стародворье  ПОКОМ</t>
  </si>
  <si>
    <t>нужно увеличить продажи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</si>
  <si>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</si>
  <si>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</si>
  <si>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</si>
  <si>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</si>
  <si>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</si>
  <si>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</si>
  <si>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</si>
  <si>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</si>
  <si>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</si>
  <si>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</si>
  <si>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</si>
  <si>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</si>
  <si>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</si>
  <si>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</si>
  <si>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нужно увеличить продажи!!!</t>
  </si>
  <si>
    <t>SU002011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</si>
  <si>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</si>
  <si>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</si>
  <si>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</si>
  <si>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</si>
  <si>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</si>
  <si>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</si>
  <si>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</si>
  <si>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</si>
  <si>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</si>
  <si>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</si>
  <si>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</si>
  <si>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</si>
  <si>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</si>
  <si>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</si>
  <si>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</si>
  <si>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</si>
  <si>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</si>
  <si>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</si>
  <si>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</si>
  <si>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</si>
  <si>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НЕДОГРУЗ / матрица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</si>
  <si>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</si>
  <si>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</si>
  <si>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</si>
  <si>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</si>
  <si>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</si>
  <si>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</si>
  <si>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</si>
  <si>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</si>
  <si>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</si>
  <si>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</si>
  <si>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</si>
  <si>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</si>
  <si>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</si>
  <si>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</si>
  <si>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</si>
  <si>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</si>
  <si>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</si>
  <si>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</si>
  <si>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</si>
  <si>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</si>
  <si>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</si>
  <si>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</si>
  <si>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</si>
  <si>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</si>
  <si>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уменьшить до 200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</si>
  <si>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</si>
  <si>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</si>
  <si>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</si>
  <si>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</si>
  <si>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</si>
  <si>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</si>
  <si>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300кг под задачи ТК (05,08,26) / 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</si>
  <si>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</si>
  <si>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</si>
  <si>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</si>
  <si>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</si>
  <si>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</si>
  <si>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</si>
  <si>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</si>
  <si>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</si>
  <si>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</si>
  <si>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</si>
  <si>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</si>
  <si>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</si>
  <si>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</si>
  <si>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</si>
  <si>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</si>
  <si>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</si>
  <si>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</si>
  <si>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</si>
  <si>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</si>
  <si>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</si>
  <si>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</si>
  <si>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</si>
  <si>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</si>
  <si>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</si>
  <si>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</si>
  <si>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</si>
  <si>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</si>
  <si>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</si>
  <si>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</si>
  <si>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</si>
  <si>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</si>
  <si>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</si>
  <si>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</si>
  <si>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</si>
  <si>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</si>
  <si>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</si>
  <si>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</si>
  <si>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</si>
  <si>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</si>
  <si>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</si>
  <si>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</si>
  <si>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</si>
  <si>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</si>
  <si>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</si>
  <si>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</si>
  <si>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</si>
  <si>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</si>
  <si>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</si>
  <si>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</si>
  <si>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</si>
  <si>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</si>
  <si>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</si>
  <si>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</si>
  <si>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</si>
  <si>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</si>
  <si>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</si>
  <si>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</si>
  <si>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</si>
  <si>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</si>
  <si>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</si>
  <si>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</si>
  <si>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</si>
  <si>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</si>
  <si>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</si>
  <si>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</si>
  <si>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</si>
  <si>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</si>
  <si>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</si>
  <si>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</si>
  <si>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</si>
  <si>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</si>
  <si>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</si>
  <si>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</si>
  <si>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</si>
  <si>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</si>
  <si>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</si>
  <si>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</si>
  <si>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</si>
  <si>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</si>
  <si>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</si>
  <si>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</si>
  <si>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</si>
  <si>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</si>
  <si>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</si>
  <si>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</si>
  <si>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</si>
  <si>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</si>
  <si>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</si>
  <si>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</si>
  <si>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</si>
  <si>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</si>
  <si>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</si>
  <si>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</si>
  <si>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</si>
  <si>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</si>
  <si>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</si>
  <si>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</si>
  <si>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</si>
  <si>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</si>
  <si>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</si>
  <si>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</si>
  <si>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</si>
  <si>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</si>
  <si>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</si>
  <si>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</si>
  <si>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</si>
  <si>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</si>
  <si>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</si>
  <si>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</si>
  <si>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</si>
  <si>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</si>
  <si>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</si>
  <si>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</si>
  <si>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плюсом 300шт сеть Молоко (05,08,26)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</si>
  <si>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</si>
  <si>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</si>
  <si>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</si>
  <si>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</si>
  <si>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</si>
  <si>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</si>
  <si>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</si>
  <si>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</si>
  <si>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</si>
  <si>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</si>
  <si>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</si>
  <si>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</si>
  <si>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</si>
  <si>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</si>
  <si>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</si>
  <si>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</si>
  <si>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</si>
  <si>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</si>
  <si>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</si>
  <si>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</si>
  <si>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</si>
  <si>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</si>
  <si>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</si>
  <si>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</si>
  <si>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</si>
  <si>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</si>
  <si>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</si>
  <si>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</si>
  <si>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</si>
  <si>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</si>
  <si>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</si>
  <si>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</si>
  <si>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</si>
  <si>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</si>
  <si>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</si>
  <si>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</si>
  <si>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</si>
  <si>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</si>
  <si>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</si>
  <si>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</si>
  <si>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</si>
  <si>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</si>
  <si>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</si>
  <si>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</si>
  <si>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</si>
  <si>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</si>
  <si>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</si>
  <si>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</si>
  <si>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</si>
  <si>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</si>
  <si>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</si>
  <si>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</si>
  <si>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</si>
  <si>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</si>
  <si>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</si>
  <si>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>SU004106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</si>
  <si>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</si>
  <si>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</si>
  <si>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</si>
  <si>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</si>
  <si>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</si>
  <si>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</si>
  <si>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</si>
  <si>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</si>
  <si>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</si>
  <si>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</si>
  <si>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</si>
  <si>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</si>
  <si>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</si>
  <si>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</si>
  <si>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</si>
  <si>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</si>
  <si>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</si>
  <si>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</si>
  <si>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</si>
  <si>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16,08,доз</t>
  </si>
  <si>
    <t>17,08,доз</t>
  </si>
  <si>
    <t>18,08,доз</t>
  </si>
  <si>
    <t>16,08,недогр</t>
  </si>
  <si>
    <t> SU002074 </t>
  </si>
  <si>
    <t> Сосиски «Молочные для завтрака» Весовой п/а ТМ «Особый рецепт» </t>
  </si>
  <si>
    <t> 1 008 </t>
  </si>
  <si>
    <t> 0 </t>
  </si>
  <si>
    <t> -1 008 </t>
  </si>
  <si>
    <t> SU002205 </t>
  </si>
  <si>
    <t> Сосиски «Молочные для завтрака» Фикс.вес 0,4 П/а мгс ТМ «Особый рецепт» </t>
  </si>
  <si>
    <t> 101 </t>
  </si>
  <si>
    <t> -101 </t>
  </si>
  <si>
    <t> SU002621 </t>
  </si>
  <si>
    <t> Сосиски «Сочинки с сочным окороком» Фикс.вес 0,4 П/а мгс ТМ «Стародворье» </t>
  </si>
  <si>
    <t> 84 </t>
  </si>
  <si>
    <t> -84 </t>
  </si>
  <si>
    <t> SU002660 </t>
  </si>
  <si>
    <t> Колбаса Мясорубская ТМ Стародворье с рубленой грудинкой в оболочке фиброуз в вакуумной упаковке 0,35 кг срез </t>
  </si>
  <si>
    <t> 19 </t>
  </si>
  <si>
    <t> -19 </t>
  </si>
  <si>
    <t> SU002847 </t>
  </si>
  <si>
    <t> В/к колбасы Сервелат Мясорубский с мелкорубленным окороком Бордо Весовой фиброуз Стародворье </t>
  </si>
  <si>
    <t> 21 </t>
  </si>
  <si>
    <t> -21 </t>
  </si>
  <si>
    <t> SU002942 </t>
  </si>
  <si>
    <t> В/к колбасы «Сочинка по-фински с сочным окороком» срез Фикс.вес 0,3 фиброуз ТМ «Стародворье» </t>
  </si>
  <si>
    <t> 22 </t>
  </si>
  <si>
    <t> -22 </t>
  </si>
  <si>
    <t> SU002944 </t>
  </si>
  <si>
    <t> В/к колбасы «Сочинка по-европейски с сочной грудинкой» срез Фикс.вес 0,3 фиброуз ТМ «Стародворье» </t>
  </si>
  <si>
    <t> 52 </t>
  </si>
  <si>
    <t> -52 </t>
  </si>
  <si>
    <t> SU002948 </t>
  </si>
  <si>
    <t> П/к колбасы «Сочинка рубленая с сочным окороком» срез Фикс.вес 0,3 фиброуз ТМ «Стародворье» </t>
  </si>
  <si>
    <t> 16 </t>
  </si>
  <si>
    <t> -16 </t>
  </si>
  <si>
    <t> SU002985 </t>
  </si>
  <si>
    <t> П/к колбасы «Аль-Ислами халяль» ф/в 0,35 фиброуз ТМ «Вязанка» </t>
  </si>
  <si>
    <t> 11 </t>
  </si>
  <si>
    <t> -11 </t>
  </si>
  <si>
    <t> SU003829 </t>
  </si>
  <si>
    <t> Копченые колбасы «Сервелат Мясорубский Делюкс» Фикс.вес 0,3 фиброуз ТМ «Стародворье» </t>
  </si>
  <si>
    <t> 7 </t>
  </si>
  <si>
    <t> -7 </t>
  </si>
  <si>
    <t> SU004044 </t>
  </si>
  <si>
    <t> Копченые колбасы «Сервелат Ореховый» Весовой фиброуз ТМ «Вязанка» </t>
  </si>
  <si>
    <t> 112 </t>
  </si>
  <si>
    <t> -112 </t>
  </si>
  <si>
    <t> SU004045 </t>
  </si>
  <si>
    <t> Копченые колбасы «Сервелат Финский» Фикс.вес 0,28 фиброуз срез ТМ «Вязанка» </t>
  </si>
  <si>
    <t> 131 </t>
  </si>
  <si>
    <t> -131 </t>
  </si>
  <si>
    <t> SU004146 </t>
  </si>
  <si>
    <t> Консервы «Буженина в пряном маринаде» Фикс.вес 0,25 ТМ «Стародворье» </t>
  </si>
  <si>
    <t> 6 </t>
  </si>
  <si>
    <t> -6 </t>
  </si>
  <si>
    <t> 486 </t>
  </si>
  <si>
    <t> -486 </t>
  </si>
  <si>
    <t> 82 </t>
  </si>
  <si>
    <t> -82 </t>
  </si>
  <si>
    <t> SU002833 </t>
  </si>
  <si>
    <t> Ветчины «Сливушка с индейкой» Весовой п/а ТМ «Вязанка» </t>
  </si>
  <si>
    <t> 43 </t>
  </si>
  <si>
    <t> 32 </t>
  </si>
  <si>
    <t> 29 </t>
  </si>
  <si>
    <t> -29 </t>
  </si>
  <si>
    <t> SU002848 </t>
  </si>
  <si>
    <t> В/к колбасы Сервелат Мясорубский с мелкорубленным окороком срез Бордо Фикс.вес 0,35 фиброуз Стародворье </t>
  </si>
  <si>
    <t> 53 </t>
  </si>
  <si>
    <t> -53 </t>
  </si>
  <si>
    <t> 59 </t>
  </si>
  <si>
    <t> -59 </t>
  </si>
  <si>
    <t> SU003168 </t>
  </si>
  <si>
    <t> Сосиски «Баварские с сыром» Фикс.вес 0,35 п/а ТМ «Стародворье» </t>
  </si>
  <si>
    <t> 55 </t>
  </si>
  <si>
    <t> 48 </t>
  </si>
  <si>
    <t> SU003686 </t>
  </si>
  <si>
    <t> Ветчины «Нежная с индейкой» Весовой п/а ТМ «Особый рецепт» </t>
  </si>
  <si>
    <t> 15 </t>
  </si>
  <si>
    <t> -15 </t>
  </si>
  <si>
    <t> 5 </t>
  </si>
  <si>
    <t> -5 </t>
  </si>
  <si>
    <t> SU003893 </t>
  </si>
  <si>
    <t> Сырокопченые колбасы «Сальчичон» Фикс.вес 0,07 нарезка ТМ «Стародворье» </t>
  </si>
  <si>
    <t> 8 </t>
  </si>
  <si>
    <t> -8 </t>
  </si>
  <si>
    <t> SU003894 </t>
  </si>
  <si>
    <t> Сырокопченые колбасы «Сервелат Ореховый» Фикс.вес 0,07 нарезка ТМ «Стародворье» </t>
  </si>
  <si>
    <t> SU003896 </t>
  </si>
  <si>
    <t> Сыровяленые колбасы «Фуэт» Фикс.вес 0,07 нарезка ТМ «Стародворье» </t>
  </si>
  <si>
    <t> SU004039 </t>
  </si>
  <si>
    <t> Копченые колбасы «Балыковая» Фикс.вес 0,28 фиброуз срез ТМ «Вязанка» </t>
  </si>
  <si>
    <t> 50 </t>
  </si>
  <si>
    <t> -50 </t>
  </si>
  <si>
    <t> SU004041 </t>
  </si>
  <si>
    <t> Копченые колбасы «Балыковая» Весовой фиброуз ТМ «Вязанка» </t>
  </si>
  <si>
    <t> 105 </t>
  </si>
  <si>
    <t> -105 </t>
  </si>
  <si>
    <t> SU004042 </t>
  </si>
  <si>
    <t> Копченые колбасы «Сервелат Ореховый» Фикс.вес 0,28 фиброуз срез ТМ «Вязанка» </t>
  </si>
  <si>
    <t> 42 </t>
  </si>
  <si>
    <t> -42 </t>
  </si>
  <si>
    <t> 49 </t>
  </si>
  <si>
    <t> -49 </t>
  </si>
  <si>
    <t> SU004047 </t>
  </si>
  <si>
    <t> Копченые колбасы «Сервелат Финский» Весовой фиброуз ТМ «Вязанка» </t>
  </si>
  <si>
    <t> 28 </t>
  </si>
  <si>
    <t> -28 </t>
  </si>
  <si>
    <t> 12 </t>
  </si>
  <si>
    <t> -12 </t>
  </si>
  <si>
    <t>17,08,недогр</t>
  </si>
  <si>
    <t>Ветчины Нежная Особая Особая Весовые П/а Особый рецепт большой батон</t>
  </si>
  <si>
    <t>Сардельки «Стародворские с говядиной» Весовые NDX ТМ «Стародворье»</t>
  </si>
  <si>
    <t>Вареные колбасы Докторская ГОСТ Вязанка Весовые Вектор Вязанка</t>
  </si>
  <si>
    <t>Сосиски «Молокуши (Вязанка Молочные)» Весовой п/а мгс ТМ «Вязанка»</t>
  </si>
  <si>
    <t>Сосиски «Молокуши» ф/в 0,45 п/а мгс ТМ «Вязанка»</t>
  </si>
  <si>
    <t>Сосиски «Сливочные» ф/в 0,45 п/а мгс ТМ «Вязанка»</t>
  </si>
  <si>
    <t>Сосиски «Сливочные Вязанка» Весовой п/а мгс ТМ «Вязанка»</t>
  </si>
  <si>
    <t>Вареные колбасы «Молочная Дугушка» Весовые Вектор ТМ «Дугушка»</t>
  </si>
  <si>
    <t>Ветчины Дугушка Дугушка Вес б/о Дугушка</t>
  </si>
  <si>
    <t>Сосиски «Молочные для завтрака» Весовой п/а ТМ «Особый рецепт»</t>
  </si>
  <si>
    <t>В/к колбасы «Сервелат Запеченный» Весовые Вектор ТМ «Дугушка»</t>
  </si>
  <si>
    <t>В/к колбасы «Салями Запеченая» Весовые ТМ «Дугушка»</t>
  </si>
  <si>
    <t>Сосиски «Молочные для завтрака» Фикс.вес 0,4 П/а мгс ТМ «Особый рецепт»</t>
  </si>
  <si>
    <t>Сардельки «Сливушки» фикс.вес 0,33 п/а мгс ТМ «Вязанка»</t>
  </si>
  <si>
    <t>Сосиски «Сочинки с сочной грудинкой» Фикс.вес 0,4 П/а мгс ТМ «Стародворье»</t>
  </si>
  <si>
    <t>Сосиски «Сочинки с сочным окороком» Фикс.вес 0,4 П/а мгс ТМ «Стародворье»</t>
  </si>
  <si>
    <t>Вареные колбасы «Молочная Дугушка» Фикс.вес 0,6 П/а ТМ «Дугушка»</t>
  </si>
  <si>
    <t>Вареные колбасы «Дугушка Стародворская» Вес п/а ТМ «Дугушка»</t>
  </si>
  <si>
    <t>Колбаса Мясорубская ТМ Стародворье с рубленой грудинкой в оболочке фиброуз в вакуумной упаковке 0,35 кг срез</t>
  </si>
  <si>
    <t>Сосиски Сочинки с сыром Бордо ф/в 0,4 кг п/а Стародворье</t>
  </si>
  <si>
    <t>Сосиски «Сочинки» Весовой п/а ТМ «Стародворье»</t>
  </si>
  <si>
    <t>Сосиски Сочинки по-баварски Бавария Фикс.вес 0,4 П/а мгс Стародворье</t>
  </si>
  <si>
    <t>Вареные колбасы «Филейская» Фикс.вес 0,45 Вектор ТМ «Вязанка»</t>
  </si>
  <si>
    <t>Вареные колбасы Молокуша Вязанка Фикс.вес 0,45 п/а Вязанка</t>
  </si>
  <si>
    <t>Сосиски «Филейские» Фикс.вес 0,3 ц/о мгс ТМ «Вязанка»</t>
  </si>
  <si>
    <t>Вареные колбасы «Филейская» Весовые Вектор ТМ «Вязанка»</t>
  </si>
  <si>
    <t>Сосиски «Сочинки Сливочные» Фикс.вес 0,4 п/а мгс ТМ «Стародворье»</t>
  </si>
  <si>
    <t>В/к колбасы Сервелат Мясорубский с мелкорубленным окороком срез Бордо Фикс.вес 0,35 фиброуз Стародворье</t>
  </si>
  <si>
    <t>Сосиски «Баварские» Фикс.вес 0,35 П/а ТМ «Стародворье»</t>
  </si>
  <si>
    <t>Сосиски «Баварские с сыром» Фикс.вес 0,35 п/а ТМ «Стародворье»</t>
  </si>
  <si>
    <t>Вареные колбасы «Филейная» Весовой п/а ТМ «Особый рецепт» большой батон</t>
  </si>
  <si>
    <t>Вареные колбасы «Молочная» Весовой п/а ТМ «Особый рецепт»</t>
  </si>
  <si>
    <t>Вареные колбасы «Со шпиком» Весовой п/а ТМ «Особый рецепт» большой батон</t>
  </si>
  <si>
    <t>Копченые колбасы «Балыковая» Весовой фиброуз ТМ «Вязанка»</t>
  </si>
  <si>
    <t>Копченые колбасы «Сервелат Ореховый» Фикс.вес 0,28 фиброуз срез ТМ «Вязанка»</t>
  </si>
  <si>
    <t>Копченые колбасы «Сервелат Ореховый» Весовой фиброуз ТМ «Вязанка»</t>
  </si>
  <si>
    <t>Копченые колбасы «Сервелат Финский» Фикс.вес 0,28 фиброуз срез ТМ «Вязанка»</t>
  </si>
  <si>
    <t>Вареные колбасы «Мясная» Весовой п/а ТМ «Стародворье»</t>
  </si>
  <si>
    <t>Вареные колбасы «Докторская Классическая» Весовой п/а ТМ «Особый рецепт»</t>
  </si>
  <si>
    <t>18,08,недогр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</si>
</sst>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5" fillId="0" borderId="1"/>
  </cellStyleXfs>
  <cellXfs count="30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164" fontId="1" fillId="5" borderId="1" xfId="1" applyNumberFormat="1" applyFont="1" applyFill="1"/>
    <xf numFmtId="2" fontId="1" fillId="5" borderId="1" xfId="1" applyNumberFormat="1" applyFont="1" applyFill="1"/>
    <xf numFmtId="164" fontId="1" fillId="5" borderId="2" xfId="1" applyNumberFormat="1" applyFont="1" applyFill="1" applyBorder="1"/>
    <xf numFmtId="164" fontId="4" fillId="4" borderId="1" xfId="1" applyNumberFormat="1" applyFont="1" applyFill="1"/>
    <xf numFmtId="164" fontId="1" fillId="6" borderId="1" xfId="1" applyNumberFormat="1" applyFont="1" applyFill="1"/>
    <xf numFmtId="164" fontId="1" fillId="7" borderId="1" xfId="1" applyNumberFormat="1" applyFont="1" applyFill="1"/>
    <xf numFmtId="164" fontId="5" fillId="0" borderId="1" xfId="1" applyNumberFormat="1"/>
    <xf numFmtId="164" fontId="5" fillId="7" borderId="1" xfId="1" applyNumberFormat="1" applyFill="1"/>
    <xf numFmtId="0" fontId="0" fillId="0" borderId="1" xfId="0"/>
    <xf numFmtId="165" fontId="1" fillId="0" borderId="1" xfId="1" applyNumberFormat="1" applyFont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1" xfId="1" applyNumberFormat="1" applyFont="1" applyFill="1"/>
    <xf numFmtId="0" fontId="6" fillId="0" borderId="1" xfId="0" applyFont="1" applyBorder="1"/>
    <xf numFmtId="164" fontId="4" fillId="0" borderId="1" xfId="1" applyNumberFormat="1" applyFont="1"/>
    <xf numFmtId="164" fontId="1" fillId="8" borderId="1" xfId="1" applyNumberFormat="1" applyFont="1" applyFill="1"/>
    <xf numFmtId="164" fontId="7" fillId="0" borderId="2" xfId="1" applyNumberFormat="1" applyFont="1" applyBorder="1"/>
    <xf numFmtId="165" fontId="7" fillId="0" borderId="1" xfId="1" applyNumberFormat="1" applyFont="1"/>
    <xf numFmtId="0" fontId="6" fillId="0" borderId="0" xfId="0" applyFon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6" sqref="AD6"/>
    </sheetView>
  </sheetViews>
  <sheetFormatPr defaultRowHeight="15" x14ac:dyDescent="0.25"/>
  <cols>
    <col min="1" max="1" width="52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42578125" customWidth="1"/>
    <col min="10" max="10" width="1" customWidth="1"/>
    <col min="11" max="18" width="7" customWidth="1"/>
    <col min="19" max="19" width="7" style="29" customWidth="1"/>
    <col min="20" max="20" width="7" style="23" customWidth="1"/>
    <col min="21" max="24" width="7" customWidth="1"/>
    <col min="25" max="25" width="7" style="29" customWidth="1"/>
    <col min="26" max="26" width="7" style="23" customWidth="1"/>
    <col min="27" max="27" width="7" customWidth="1"/>
    <col min="28" max="28" width="7" style="29" customWidth="1"/>
    <col min="29" max="29" width="7" style="28" customWidth="1"/>
    <col min="30" max="30" width="7" style="18" customWidth="1"/>
    <col min="31" max="32" width="5" customWidth="1"/>
    <col min="33" max="34" width="6.7109375" customWidth="1"/>
    <col min="35" max="40" width="6.7109375" hidden="1" customWidth="1"/>
    <col min="41" max="42" width="6.7109375" customWidth="1"/>
    <col min="43" max="43" width="6.5703125" customWidth="1"/>
    <col min="44" max="45" width="7" customWidth="1"/>
    <col min="46" max="46" width="10.85546875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0"/>
      <c r="U1" s="1"/>
      <c r="V1" s="1"/>
      <c r="W1" s="19">
        <v>0.2</v>
      </c>
      <c r="X1" s="1"/>
      <c r="Y1" s="1"/>
      <c r="Z1" s="20"/>
      <c r="AA1" s="19">
        <v>0.52</v>
      </c>
      <c r="AB1" s="19"/>
      <c r="AC1" s="2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>
        <f>AR5+AS5</f>
        <v>34809</v>
      </c>
      <c r="AS1" s="1">
        <v>34780</v>
      </c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4">
        <v>1480</v>
      </c>
      <c r="U2" s="1"/>
      <c r="V2" s="1"/>
      <c r="W2" s="1" t="s">
        <v>0</v>
      </c>
      <c r="X2" s="1"/>
      <c r="Y2" s="1"/>
      <c r="Z2" s="20"/>
      <c r="AA2" s="1" t="s">
        <v>1</v>
      </c>
      <c r="AB2" s="1"/>
      <c r="AC2" s="20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>
        <v>17600</v>
      </c>
      <c r="AS2" s="1">
        <v>17200</v>
      </c>
    </row>
    <row r="3" spans="1:46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" t="s">
        <v>16</v>
      </c>
      <c r="R3" s="2" t="s">
        <v>16</v>
      </c>
      <c r="S3" s="2" t="s">
        <v>16</v>
      </c>
      <c r="T3" s="2" t="s">
        <v>16</v>
      </c>
      <c r="U3" s="2" t="s">
        <v>17</v>
      </c>
      <c r="V3" s="3" t="s">
        <v>18</v>
      </c>
      <c r="W3" s="3" t="s">
        <v>19</v>
      </c>
      <c r="X3" s="3" t="s">
        <v>20</v>
      </c>
      <c r="Y3" s="3" t="s">
        <v>20</v>
      </c>
      <c r="Z3" s="3" t="s">
        <v>20</v>
      </c>
      <c r="AA3" s="3" t="s">
        <v>20</v>
      </c>
      <c r="AB3" s="3" t="s">
        <v>20</v>
      </c>
      <c r="AC3" s="3" t="s">
        <v>20</v>
      </c>
      <c r="AD3" s="3" t="s">
        <v>21</v>
      </c>
      <c r="AE3" s="2" t="s">
        <v>22</v>
      </c>
      <c r="AF3" s="2" t="s">
        <v>23</v>
      </c>
      <c r="AG3" s="2" t="s">
        <v>24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24</v>
      </c>
      <c r="AM3" s="2" t="s">
        <v>24</v>
      </c>
      <c r="AN3" s="2" t="s">
        <v>24</v>
      </c>
      <c r="AO3" s="2" t="s">
        <v>24</v>
      </c>
      <c r="AP3" s="2" t="s">
        <v>24</v>
      </c>
      <c r="AQ3" s="2" t="s">
        <v>25</v>
      </c>
      <c r="AR3" s="2" t="s">
        <v>26</v>
      </c>
      <c r="AS3" s="2" t="s">
        <v>26</v>
      </c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1" t="s">
        <v>30</v>
      </c>
      <c r="S4" s="1" t="s">
        <v>327</v>
      </c>
      <c r="T4" s="20" t="s">
        <v>324</v>
      </c>
      <c r="U4" s="1" t="s">
        <v>31</v>
      </c>
      <c r="V4" s="1"/>
      <c r="W4" s="1"/>
      <c r="X4" s="1" t="s">
        <v>32</v>
      </c>
      <c r="Y4" s="1" t="s">
        <v>435</v>
      </c>
      <c r="Z4" s="20" t="s">
        <v>325</v>
      </c>
      <c r="AA4" s="1" t="s">
        <v>33</v>
      </c>
      <c r="AB4" s="1" t="s">
        <v>475</v>
      </c>
      <c r="AC4" s="20" t="s">
        <v>326</v>
      </c>
      <c r="AD4" s="1" t="s">
        <v>34</v>
      </c>
      <c r="AE4" s="1"/>
      <c r="AF4" s="1"/>
      <c r="AG4" s="1" t="s">
        <v>35</v>
      </c>
      <c r="AH4" s="1" t="s">
        <v>36</v>
      </c>
      <c r="AI4" s="1" t="s">
        <v>37</v>
      </c>
      <c r="AJ4" s="1" t="s">
        <v>38</v>
      </c>
      <c r="AK4" s="1" t="s">
        <v>39</v>
      </c>
      <c r="AL4" s="1" t="s">
        <v>40</v>
      </c>
      <c r="AM4" s="1" t="s">
        <v>41</v>
      </c>
      <c r="AN4" s="1" t="s">
        <v>42</v>
      </c>
      <c r="AO4" s="1" t="s">
        <v>43</v>
      </c>
      <c r="AP4" s="1" t="s">
        <v>44</v>
      </c>
      <c r="AQ4" s="1"/>
      <c r="AR4" s="1" t="s">
        <v>32</v>
      </c>
      <c r="AS4" s="1" t="s">
        <v>33</v>
      </c>
    </row>
    <row r="5" spans="1:46" x14ac:dyDescent="0.25">
      <c r="A5" s="1"/>
      <c r="B5" s="1"/>
      <c r="C5" s="1"/>
      <c r="D5" s="1"/>
      <c r="E5" s="4">
        <f>SUM(E6:E500)</f>
        <v>68016.385999999999</v>
      </c>
      <c r="F5" s="4">
        <f>SUM(F6:F500)</f>
        <v>68356.864000000016</v>
      </c>
      <c r="G5" s="7"/>
      <c r="H5" s="1"/>
      <c r="I5" s="1"/>
      <c r="J5" s="1"/>
      <c r="K5" s="4">
        <f t="shared" ref="K5:AA5" si="0">SUM(K6:K500)</f>
        <v>80949.000000000015</v>
      </c>
      <c r="L5" s="4">
        <f t="shared" si="0"/>
        <v>-12932.614</v>
      </c>
      <c r="M5" s="4">
        <f t="shared" si="0"/>
        <v>63347.309000000001</v>
      </c>
      <c r="N5" s="4">
        <f t="shared" si="0"/>
        <v>4669.0769999999993</v>
      </c>
      <c r="O5" s="4">
        <f t="shared" si="0"/>
        <v>21297.715385295993</v>
      </c>
      <c r="P5" s="4">
        <f t="shared" si="0"/>
        <v>-2944.8</v>
      </c>
      <c r="Q5" s="4">
        <f t="shared" si="0"/>
        <v>2080</v>
      </c>
      <c r="R5" s="4">
        <f t="shared" si="0"/>
        <v>21005.302231599999</v>
      </c>
      <c r="S5" s="4">
        <f t="shared" ref="S5" si="1">SUM(S6:S500)</f>
        <v>-2504.4047619047619</v>
      </c>
      <c r="T5" s="21">
        <f t="shared" ref="T5" si="2">SUM(T6:T500)</f>
        <v>1480</v>
      </c>
      <c r="U5" s="4">
        <f t="shared" si="0"/>
        <v>12669.461800000005</v>
      </c>
      <c r="V5" s="4">
        <f t="shared" si="0"/>
        <v>39784.55222055201</v>
      </c>
      <c r="W5" s="4">
        <f t="shared" si="0"/>
        <v>40872.452340552016</v>
      </c>
      <c r="X5" s="4">
        <f t="shared" si="0"/>
        <v>21801.238411600003</v>
      </c>
      <c r="Y5" s="4">
        <f t="shared" ref="Y5" si="3">SUM(Y6:Y500)</f>
        <v>-2643.4285714285711</v>
      </c>
      <c r="Z5" s="21">
        <f t="shared" ref="Z5" si="4">SUM(Z6:Z500)</f>
        <v>1250</v>
      </c>
      <c r="AA5" s="4">
        <f t="shared" si="0"/>
        <v>19603.011368952004</v>
      </c>
      <c r="AB5" s="4">
        <f t="shared" ref="AB5" si="5">SUM(AB6:AB500)</f>
        <v>-1273.5</v>
      </c>
      <c r="AC5" s="21">
        <f t="shared" ref="AC5" si="6">SUM(AC6:AC500)</f>
        <v>840</v>
      </c>
      <c r="AD5" s="4"/>
      <c r="AE5" s="1"/>
      <c r="AF5" s="1"/>
      <c r="AG5" s="4">
        <f t="shared" ref="AG5:AP5" si="7">SUM(AG6:AG500)</f>
        <v>10646.113600000001</v>
      </c>
      <c r="AH5" s="4">
        <f t="shared" si="7"/>
        <v>10433.826400000007</v>
      </c>
      <c r="AI5" s="4">
        <f t="shared" si="7"/>
        <v>11173.737200000001</v>
      </c>
      <c r="AJ5" s="4">
        <f t="shared" si="7"/>
        <v>12763.749600000005</v>
      </c>
      <c r="AK5" s="4">
        <f t="shared" si="7"/>
        <v>14118.473</v>
      </c>
      <c r="AL5" s="4">
        <f t="shared" si="7"/>
        <v>10392.847799999996</v>
      </c>
      <c r="AM5" s="4">
        <f t="shared" si="7"/>
        <v>11560.837400000002</v>
      </c>
      <c r="AN5" s="4">
        <f t="shared" si="7"/>
        <v>11734.1994</v>
      </c>
      <c r="AO5" s="4">
        <f t="shared" si="7"/>
        <v>14138.868400000007</v>
      </c>
      <c r="AP5" s="4">
        <f t="shared" si="7"/>
        <v>14537.335200000001</v>
      </c>
      <c r="AQ5" s="1"/>
      <c r="AR5" s="4">
        <f>SUM(AR6:AR500)</f>
        <v>17590</v>
      </c>
      <c r="AS5" s="4">
        <f>SUM(AS6:AS500)</f>
        <v>17219</v>
      </c>
    </row>
    <row r="6" spans="1:46" x14ac:dyDescent="0.25">
      <c r="A6" s="25" t="s">
        <v>45</v>
      </c>
      <c r="B6" s="1" t="s">
        <v>46</v>
      </c>
      <c r="C6" s="1">
        <v>1453.7539999999999</v>
      </c>
      <c r="D6" s="1">
        <v>3341.9050000000002</v>
      </c>
      <c r="E6" s="1">
        <v>2096.0340000000001</v>
      </c>
      <c r="F6" s="1">
        <v>2031.607</v>
      </c>
      <c r="G6" s="7">
        <v>1</v>
      </c>
      <c r="H6" s="1">
        <v>50</v>
      </c>
      <c r="I6" s="1" t="s">
        <v>47</v>
      </c>
      <c r="J6" s="1"/>
      <c r="K6" s="1">
        <v>2240.6759999999999</v>
      </c>
      <c r="L6" s="1">
        <f t="shared" ref="L6:L37" si="8">E6-K6</f>
        <v>-144.64199999999983</v>
      </c>
      <c r="M6" s="1">
        <f t="shared" ref="M6:M37" si="9">E6-N6</f>
        <v>2096.0340000000001</v>
      </c>
      <c r="N6" s="1"/>
      <c r="O6" s="1">
        <v>1107.5438154119979</v>
      </c>
      <c r="P6" s="1">
        <v>0</v>
      </c>
      <c r="Q6" s="1"/>
      <c r="R6" s="1">
        <v>875.79089540000291</v>
      </c>
      <c r="S6" s="1"/>
      <c r="T6" s="20">
        <v>500</v>
      </c>
      <c r="U6" s="1">
        <f t="shared" ref="U6:U37" si="10">M6/5</f>
        <v>419.20680000000004</v>
      </c>
      <c r="V6" s="5">
        <f>12*U6-R6-Q6-P6-O6-F6</f>
        <v>1015.539889188</v>
      </c>
      <c r="W6" s="5">
        <f>V6+$W$1*U6</f>
        <v>1099.3812491879999</v>
      </c>
      <c r="X6" s="5">
        <f>W6-AA6</f>
        <v>527.70299961023989</v>
      </c>
      <c r="Y6" s="5"/>
      <c r="Z6" s="26"/>
      <c r="AA6" s="5">
        <f>W6*$AA$1</f>
        <v>571.67824957775997</v>
      </c>
      <c r="AB6" s="5"/>
      <c r="AC6" s="26">
        <v>420</v>
      </c>
      <c r="AD6" s="1"/>
      <c r="AE6" s="1">
        <f>(F6+O6+P6+Q6+R6+X6+Z6+AA6+T6+AC6)/U6</f>
        <v>14.394620888783292</v>
      </c>
      <c r="AF6" s="1">
        <f>(F6+O6+P6+Q6+R6)/U6</f>
        <v>9.5774727671688531</v>
      </c>
      <c r="AG6" s="1">
        <v>402.01659999999998</v>
      </c>
      <c r="AH6" s="1">
        <v>337.73419999999999</v>
      </c>
      <c r="AI6" s="1">
        <v>348.79259999999999</v>
      </c>
      <c r="AJ6" s="1">
        <v>383.91660000000002</v>
      </c>
      <c r="AK6" s="1">
        <v>414.53539999999992</v>
      </c>
      <c r="AL6" s="1">
        <v>309.1234</v>
      </c>
      <c r="AM6" s="1">
        <v>397.22059999999999</v>
      </c>
      <c r="AN6" s="1">
        <v>387.44979999999998</v>
      </c>
      <c r="AO6" s="1">
        <v>475.30520000000001</v>
      </c>
      <c r="AP6" s="1">
        <v>548.64239999999995</v>
      </c>
      <c r="AQ6" s="1"/>
      <c r="AR6" s="1">
        <f>ROUND(G6*X6,0)</f>
        <v>528</v>
      </c>
      <c r="AS6" s="1">
        <f>ROUND(G6*AA6,0)</f>
        <v>572</v>
      </c>
      <c r="AT6" t="s">
        <v>48</v>
      </c>
    </row>
    <row r="7" spans="1:46" x14ac:dyDescent="0.25">
      <c r="A7" s="1" t="s">
        <v>49</v>
      </c>
      <c r="B7" s="1" t="s">
        <v>46</v>
      </c>
      <c r="C7" s="1">
        <v>656.28099999999995</v>
      </c>
      <c r="D7" s="1">
        <v>2119.8539999999998</v>
      </c>
      <c r="E7" s="1">
        <v>1773.222</v>
      </c>
      <c r="F7" s="1">
        <v>469.65199999999999</v>
      </c>
      <c r="G7" s="7">
        <v>1</v>
      </c>
      <c r="H7" s="1">
        <v>45</v>
      </c>
      <c r="I7" s="1" t="s">
        <v>47</v>
      </c>
      <c r="J7" s="1"/>
      <c r="K7" s="1">
        <v>1786.1980000000001</v>
      </c>
      <c r="L7" s="1">
        <f t="shared" si="8"/>
        <v>-12.976000000000113</v>
      </c>
      <c r="M7" s="1">
        <f t="shared" si="9"/>
        <v>1429.875</v>
      </c>
      <c r="N7" s="1">
        <v>343.34699999999998</v>
      </c>
      <c r="O7" s="1">
        <v>500</v>
      </c>
      <c r="P7" s="1">
        <v>0</v>
      </c>
      <c r="Q7" s="1"/>
      <c r="R7" s="1">
        <v>1069.8124</v>
      </c>
      <c r="S7" s="1"/>
      <c r="T7" s="20"/>
      <c r="U7" s="1">
        <f t="shared" si="10"/>
        <v>285.97500000000002</v>
      </c>
      <c r="V7" s="5">
        <f>12*U7-R7-Q7-P7-O7-F7</f>
        <v>1392.2356</v>
      </c>
      <c r="W7" s="5">
        <f>V7+$W$1*U7</f>
        <v>1449.4305999999999</v>
      </c>
      <c r="X7" s="5">
        <f>W7-AA7</f>
        <v>695.72668799999997</v>
      </c>
      <c r="Y7" s="5"/>
      <c r="Z7" s="26"/>
      <c r="AA7" s="5">
        <f>W7*$AA$1</f>
        <v>753.70391199999995</v>
      </c>
      <c r="AB7" s="5"/>
      <c r="AC7" s="26"/>
      <c r="AD7" s="1"/>
      <c r="AE7" s="1">
        <f>(F7+O7+P7+Q7+R7+X7+Z7+AA7+T7+AC7)/U7</f>
        <v>12.2</v>
      </c>
      <c r="AF7" s="1">
        <f>(F7+O7+P7+Q7+R7)/U7</f>
        <v>7.131617798758632</v>
      </c>
      <c r="AG7" s="1">
        <v>246.8064</v>
      </c>
      <c r="AH7" s="1">
        <v>136.39259999999999</v>
      </c>
      <c r="AI7" s="1">
        <v>175.6748</v>
      </c>
      <c r="AJ7" s="1">
        <v>232.39340000000001</v>
      </c>
      <c r="AK7" s="1">
        <v>194.2758</v>
      </c>
      <c r="AL7" s="1">
        <v>139.5838</v>
      </c>
      <c r="AM7" s="1">
        <v>139.13839999999999</v>
      </c>
      <c r="AN7" s="1">
        <v>153.54400000000001</v>
      </c>
      <c r="AO7" s="1">
        <v>198.9838</v>
      </c>
      <c r="AP7" s="1">
        <v>211.20099999999999</v>
      </c>
      <c r="AQ7" s="1"/>
      <c r="AR7" s="1">
        <f>ROUND(G7*X7,0)</f>
        <v>696</v>
      </c>
      <c r="AS7" s="1">
        <f>ROUND(G7*AA7,0)</f>
        <v>754</v>
      </c>
      <c r="AT7" t="s">
        <v>50</v>
      </c>
    </row>
    <row r="8" spans="1:46" x14ac:dyDescent="0.25">
      <c r="A8" s="1" t="s">
        <v>51</v>
      </c>
      <c r="B8" s="1" t="s">
        <v>46</v>
      </c>
      <c r="C8" s="1">
        <v>2258.42</v>
      </c>
      <c r="D8" s="1">
        <v>6690.3620000000001</v>
      </c>
      <c r="E8" s="1">
        <v>4639.7439999999997</v>
      </c>
      <c r="F8" s="1">
        <v>2786.913</v>
      </c>
      <c r="G8" s="7">
        <v>1</v>
      </c>
      <c r="H8" s="1">
        <v>45</v>
      </c>
      <c r="I8" s="1" t="s">
        <v>47</v>
      </c>
      <c r="J8" s="1"/>
      <c r="K8" s="1">
        <v>4824.1480000000001</v>
      </c>
      <c r="L8" s="1">
        <f t="shared" si="8"/>
        <v>-184.40400000000045</v>
      </c>
      <c r="M8" s="1">
        <f t="shared" si="9"/>
        <v>3367.1329999999998</v>
      </c>
      <c r="N8" s="1">
        <v>1272.6110000000001</v>
      </c>
      <c r="O8" s="1">
        <v>1062.075561379999</v>
      </c>
      <c r="P8" s="1">
        <v>0</v>
      </c>
      <c r="Q8" s="1"/>
      <c r="R8" s="1">
        <v>2488.476901</v>
      </c>
      <c r="S8" s="1"/>
      <c r="T8" s="20"/>
      <c r="U8" s="1">
        <f t="shared" si="10"/>
        <v>673.42660000000001</v>
      </c>
      <c r="V8" s="5">
        <f>12*U8-R8-Q8-P8-O8-F8</f>
        <v>1743.6537376200008</v>
      </c>
      <c r="W8" s="5">
        <f>V8+$W$1*U8</f>
        <v>1878.3390576200009</v>
      </c>
      <c r="X8" s="5">
        <f>W8-AA8</f>
        <v>901.60274765760039</v>
      </c>
      <c r="Y8" s="5"/>
      <c r="Z8" s="26"/>
      <c r="AA8" s="5">
        <f>W8*$AA$1</f>
        <v>976.73630996240047</v>
      </c>
      <c r="AB8" s="5"/>
      <c r="AC8" s="26"/>
      <c r="AD8" s="1"/>
      <c r="AE8" s="1">
        <f>(F8+O8+P8+Q8+R8+X8+Z8+AA8+T8+AC8)/U8</f>
        <v>12.2</v>
      </c>
      <c r="AF8" s="1">
        <f>(F8+O8+P8+Q8+R8)/U8</f>
        <v>9.4107738874288582</v>
      </c>
      <c r="AG8" s="1">
        <v>716.37299999999993</v>
      </c>
      <c r="AH8" s="1">
        <v>543.649</v>
      </c>
      <c r="AI8" s="1">
        <v>613.56360000000006</v>
      </c>
      <c r="AJ8" s="1">
        <v>603.60799999999995</v>
      </c>
      <c r="AK8" s="1">
        <v>601.60220000000004</v>
      </c>
      <c r="AL8" s="1">
        <v>449.45300000000009</v>
      </c>
      <c r="AM8" s="1">
        <v>483.47179999999997</v>
      </c>
      <c r="AN8" s="1">
        <v>504.71640000000002</v>
      </c>
      <c r="AO8" s="1">
        <v>603.90640000000008</v>
      </c>
      <c r="AP8" s="1">
        <v>611.28559999999993</v>
      </c>
      <c r="AQ8" s="1"/>
      <c r="AR8" s="1">
        <f>ROUND(G8*X8,0)</f>
        <v>902</v>
      </c>
      <c r="AS8" s="1">
        <f>ROUND(G8*AA8,0)</f>
        <v>977</v>
      </c>
      <c r="AT8" t="s">
        <v>52</v>
      </c>
    </row>
    <row r="9" spans="1:46" x14ac:dyDescent="0.25">
      <c r="A9" s="1" t="s">
        <v>53</v>
      </c>
      <c r="B9" s="1" t="s">
        <v>54</v>
      </c>
      <c r="C9" s="1">
        <v>19</v>
      </c>
      <c r="D9" s="1">
        <v>15</v>
      </c>
      <c r="E9" s="1">
        <v>9</v>
      </c>
      <c r="F9" s="1">
        <v>23</v>
      </c>
      <c r="G9" s="7">
        <v>0.4</v>
      </c>
      <c r="H9" s="1">
        <v>50</v>
      </c>
      <c r="I9" s="1" t="s">
        <v>47</v>
      </c>
      <c r="J9" s="1"/>
      <c r="K9" s="1">
        <v>12</v>
      </c>
      <c r="L9" s="1">
        <f t="shared" si="8"/>
        <v>-3</v>
      </c>
      <c r="M9" s="1">
        <f t="shared" si="9"/>
        <v>9</v>
      </c>
      <c r="N9" s="1"/>
      <c r="O9" s="1">
        <v>0</v>
      </c>
      <c r="P9" s="1"/>
      <c r="Q9" s="1"/>
      <c r="R9" s="1">
        <v>6</v>
      </c>
      <c r="S9" s="1"/>
      <c r="T9" s="20"/>
      <c r="U9" s="1">
        <f t="shared" si="10"/>
        <v>1.8</v>
      </c>
      <c r="V9" s="5"/>
      <c r="W9" s="5">
        <f t="shared" ref="W9:W15" si="11">V9</f>
        <v>0</v>
      </c>
      <c r="X9" s="5">
        <f>W9-AA9</f>
        <v>0</v>
      </c>
      <c r="Y9" s="5"/>
      <c r="Z9" s="26"/>
      <c r="AA9" s="5"/>
      <c r="AB9" s="5"/>
      <c r="AC9" s="26"/>
      <c r="AD9" s="1"/>
      <c r="AE9" s="1">
        <f>(F9+O9+P9+Q9+R9+X9+Z9+AA9+T9+AC9)/U9</f>
        <v>16.111111111111111</v>
      </c>
      <c r="AF9" s="1">
        <f>(F9+O9+P9+Q9+R9)/U9</f>
        <v>16.111111111111111</v>
      </c>
      <c r="AG9" s="1">
        <v>2.4</v>
      </c>
      <c r="AH9" s="1">
        <v>1</v>
      </c>
      <c r="AI9" s="1">
        <v>1.2</v>
      </c>
      <c r="AJ9" s="1">
        <v>2.6</v>
      </c>
      <c r="AK9" s="1">
        <v>2.2000000000000002</v>
      </c>
      <c r="AL9" s="1">
        <v>0</v>
      </c>
      <c r="AM9" s="1">
        <v>0</v>
      </c>
      <c r="AN9" s="1">
        <v>0</v>
      </c>
      <c r="AO9" s="1">
        <v>0</v>
      </c>
      <c r="AP9" s="1">
        <v>0.6</v>
      </c>
      <c r="AQ9" s="1" t="s">
        <v>55</v>
      </c>
      <c r="AR9" s="1">
        <f>ROUND(G9*X9,0)</f>
        <v>0</v>
      </c>
      <c r="AS9" s="1">
        <f>ROUND(G9*AA9,0)</f>
        <v>0</v>
      </c>
      <c r="AT9" t="s">
        <v>56</v>
      </c>
    </row>
    <row r="10" spans="1:46" x14ac:dyDescent="0.25">
      <c r="A10" s="1" t="s">
        <v>57</v>
      </c>
      <c r="B10" s="1" t="s">
        <v>54</v>
      </c>
      <c r="C10" s="1">
        <v>887.64499999999998</v>
      </c>
      <c r="D10" s="1">
        <v>3666</v>
      </c>
      <c r="E10" s="1">
        <v>2192.0949999999998</v>
      </c>
      <c r="F10" s="1">
        <v>1946.55</v>
      </c>
      <c r="G10" s="7">
        <v>0.45</v>
      </c>
      <c r="H10" s="1">
        <v>45</v>
      </c>
      <c r="I10" s="14" t="s">
        <v>58</v>
      </c>
      <c r="J10" s="1"/>
      <c r="K10" s="1">
        <v>2607</v>
      </c>
      <c r="L10" s="1">
        <f t="shared" si="8"/>
        <v>-414.9050000000002</v>
      </c>
      <c r="M10" s="1">
        <f t="shared" si="9"/>
        <v>2132.0949999999998</v>
      </c>
      <c r="N10" s="1">
        <v>60</v>
      </c>
      <c r="O10" s="1">
        <v>0</v>
      </c>
      <c r="P10" s="1"/>
      <c r="Q10" s="1"/>
      <c r="R10" s="1">
        <v>998.65899999999965</v>
      </c>
      <c r="S10" s="1"/>
      <c r="T10" s="20"/>
      <c r="U10" s="1">
        <f t="shared" si="10"/>
        <v>426.41899999999998</v>
      </c>
      <c r="V10" s="5">
        <f>11*U10-R10-Q10-P10-O10-F10</f>
        <v>1745.3999999999999</v>
      </c>
      <c r="W10" s="5">
        <f t="shared" si="11"/>
        <v>1745.3999999999999</v>
      </c>
      <c r="X10" s="5">
        <f>W10-AA10</f>
        <v>837.79199999999992</v>
      </c>
      <c r="Y10" s="5"/>
      <c r="Z10" s="26"/>
      <c r="AA10" s="5">
        <f>W10*$AA$1</f>
        <v>907.60799999999995</v>
      </c>
      <c r="AB10" s="5"/>
      <c r="AC10" s="26"/>
      <c r="AD10" s="1"/>
      <c r="AE10" s="1">
        <f>(F10+O10+P10+Q10+R10+X10+Z10+AA10+T10+AC10)/U10</f>
        <v>11</v>
      </c>
      <c r="AF10" s="1">
        <f>(F10+O10+P10+Q10+R10)/U10</f>
        <v>6.9068428001566531</v>
      </c>
      <c r="AG10" s="1">
        <v>373.01900000000001</v>
      </c>
      <c r="AH10" s="1">
        <v>298</v>
      </c>
      <c r="AI10" s="1">
        <v>339</v>
      </c>
      <c r="AJ10" s="1">
        <v>705.87099999999998</v>
      </c>
      <c r="AK10" s="1">
        <v>624.67100000000005</v>
      </c>
      <c r="AL10" s="1">
        <v>265.39999999999998</v>
      </c>
      <c r="AM10" s="1">
        <v>547.20000000000005</v>
      </c>
      <c r="AN10" s="1">
        <v>563.6</v>
      </c>
      <c r="AO10" s="1">
        <v>673.6</v>
      </c>
      <c r="AP10" s="1">
        <v>380.8</v>
      </c>
      <c r="AQ10" s="1" t="s">
        <v>59</v>
      </c>
      <c r="AR10" s="1">
        <f>ROUND(G10*X10,0)</f>
        <v>377</v>
      </c>
      <c r="AS10" s="1">
        <f>ROUND(G10*AA10,0)</f>
        <v>408</v>
      </c>
      <c r="AT10" t="s">
        <v>60</v>
      </c>
    </row>
    <row r="11" spans="1:46" x14ac:dyDescent="0.25">
      <c r="A11" s="1" t="s">
        <v>61</v>
      </c>
      <c r="B11" s="1" t="s">
        <v>54</v>
      </c>
      <c r="C11" s="1">
        <v>3189.1709999999998</v>
      </c>
      <c r="D11" s="1">
        <v>7297.2219999999998</v>
      </c>
      <c r="E11" s="1">
        <v>3896.15</v>
      </c>
      <c r="F11" s="1">
        <v>5834.0209999999997</v>
      </c>
      <c r="G11" s="7">
        <v>0.45</v>
      </c>
      <c r="H11" s="1">
        <v>45</v>
      </c>
      <c r="I11" s="14" t="s">
        <v>58</v>
      </c>
      <c r="J11" s="1"/>
      <c r="K11" s="1">
        <v>4433</v>
      </c>
      <c r="L11" s="1">
        <f t="shared" si="8"/>
        <v>-536.84999999999991</v>
      </c>
      <c r="M11" s="1">
        <f t="shared" si="9"/>
        <v>3590.15</v>
      </c>
      <c r="N11" s="1">
        <v>306</v>
      </c>
      <c r="O11" s="1">
        <v>845.89736083999912</v>
      </c>
      <c r="P11" s="1">
        <v>0</v>
      </c>
      <c r="Q11" s="1"/>
      <c r="R11" s="1">
        <v>0</v>
      </c>
      <c r="S11" s="1"/>
      <c r="T11" s="20"/>
      <c r="U11" s="1">
        <f t="shared" si="10"/>
        <v>718.03</v>
      </c>
      <c r="V11" s="5">
        <v>500</v>
      </c>
      <c r="W11" s="5">
        <f t="shared" si="11"/>
        <v>500</v>
      </c>
      <c r="X11" s="5">
        <f>W11-AA11</f>
        <v>240</v>
      </c>
      <c r="Y11" s="5"/>
      <c r="Z11" s="26"/>
      <c r="AA11" s="5">
        <f>W11*$AA$1</f>
        <v>260</v>
      </c>
      <c r="AB11" s="5"/>
      <c r="AC11" s="26"/>
      <c r="AD11" s="1"/>
      <c r="AE11" s="1">
        <f>(F11+O11+P11+Q11+R11+X11+Z11+AA11+T11+AC11)/U11</f>
        <v>9.9994684913443717</v>
      </c>
      <c r="AF11" s="1">
        <f>(F11+O11+P11+Q11+R11)/U11</f>
        <v>9.3031187566536211</v>
      </c>
      <c r="AG11" s="1">
        <v>763.07439999999997</v>
      </c>
      <c r="AH11" s="1">
        <v>683.4</v>
      </c>
      <c r="AI11" s="1">
        <v>536.79999999999995</v>
      </c>
      <c r="AJ11" s="1">
        <v>707.36580000000004</v>
      </c>
      <c r="AK11" s="1">
        <v>771.7657999999999</v>
      </c>
      <c r="AL11" s="1">
        <v>431.2</v>
      </c>
      <c r="AM11" s="1">
        <v>445.4</v>
      </c>
      <c r="AN11" s="1">
        <v>495.2</v>
      </c>
      <c r="AO11" s="1">
        <v>660.46</v>
      </c>
      <c r="AP11" s="1">
        <v>717.66000000000008</v>
      </c>
      <c r="AQ11" s="1" t="s">
        <v>62</v>
      </c>
      <c r="AR11" s="1">
        <f>ROUND(G11*X11,0)</f>
        <v>108</v>
      </c>
      <c r="AS11" s="1">
        <f>ROUND(G11*AA11,0)</f>
        <v>117</v>
      </c>
      <c r="AT11" t="s">
        <v>63</v>
      </c>
    </row>
    <row r="12" spans="1:46" x14ac:dyDescent="0.25">
      <c r="A12" s="1" t="s">
        <v>64</v>
      </c>
      <c r="B12" s="1" t="s">
        <v>54</v>
      </c>
      <c r="C12" s="1">
        <v>90.83</v>
      </c>
      <c r="D12" s="1">
        <v>263.17</v>
      </c>
      <c r="E12" s="1">
        <v>66</v>
      </c>
      <c r="F12" s="1">
        <v>279</v>
      </c>
      <c r="G12" s="7">
        <v>0.17</v>
      </c>
      <c r="H12" s="1">
        <v>180</v>
      </c>
      <c r="I12" s="1" t="s">
        <v>47</v>
      </c>
      <c r="J12" s="1"/>
      <c r="K12" s="1">
        <v>77</v>
      </c>
      <c r="L12" s="1">
        <f t="shared" si="8"/>
        <v>-11</v>
      </c>
      <c r="M12" s="1">
        <f t="shared" si="9"/>
        <v>66</v>
      </c>
      <c r="N12" s="1"/>
      <c r="O12" s="1">
        <v>0</v>
      </c>
      <c r="P12" s="1"/>
      <c r="Q12" s="1"/>
      <c r="R12" s="1">
        <v>0</v>
      </c>
      <c r="S12" s="1"/>
      <c r="T12" s="20"/>
      <c r="U12" s="1">
        <f t="shared" si="10"/>
        <v>13.2</v>
      </c>
      <c r="V12" s="5"/>
      <c r="W12" s="5">
        <f t="shared" si="11"/>
        <v>0</v>
      </c>
      <c r="X12" s="5">
        <f>W12-AA12</f>
        <v>0</v>
      </c>
      <c r="Y12" s="5"/>
      <c r="Z12" s="26"/>
      <c r="AA12" s="5"/>
      <c r="AB12" s="5"/>
      <c r="AC12" s="26"/>
      <c r="AD12" s="1"/>
      <c r="AE12" s="1">
        <f>(F12+O12+P12+Q12+R12+X12+Z12+AA12+T12+AC12)/U12</f>
        <v>21.136363636363637</v>
      </c>
      <c r="AF12" s="1">
        <f>(F12+O12+P12+Q12+R12)/U12</f>
        <v>21.136363636363637</v>
      </c>
      <c r="AG12" s="1">
        <v>20</v>
      </c>
      <c r="AH12" s="1">
        <v>19.234000000000002</v>
      </c>
      <c r="AI12" s="1">
        <v>23.6</v>
      </c>
      <c r="AJ12" s="1">
        <v>35</v>
      </c>
      <c r="AK12" s="1">
        <v>24.6</v>
      </c>
      <c r="AL12" s="1">
        <v>9</v>
      </c>
      <c r="AM12" s="1">
        <v>5.4</v>
      </c>
      <c r="AN12" s="1">
        <v>12.6</v>
      </c>
      <c r="AO12" s="1">
        <v>17.2</v>
      </c>
      <c r="AP12" s="1">
        <v>21</v>
      </c>
      <c r="AQ12" s="9" t="s">
        <v>65</v>
      </c>
      <c r="AR12" s="1">
        <f>ROUND(G12*X12,0)</f>
        <v>0</v>
      </c>
      <c r="AS12" s="1">
        <f>ROUND(G12*AA12,0)</f>
        <v>0</v>
      </c>
      <c r="AT12" t="s">
        <v>66</v>
      </c>
    </row>
    <row r="13" spans="1:46" x14ac:dyDescent="0.25">
      <c r="A13" s="1" t="s">
        <v>67</v>
      </c>
      <c r="B13" s="1" t="s">
        <v>54</v>
      </c>
      <c r="C13" s="1">
        <v>19</v>
      </c>
      <c r="D13" s="1">
        <v>124</v>
      </c>
      <c r="E13" s="1">
        <v>36</v>
      </c>
      <c r="F13" s="1">
        <v>96</v>
      </c>
      <c r="G13" s="7">
        <v>0.3</v>
      </c>
      <c r="H13" s="1">
        <v>40</v>
      </c>
      <c r="I13" s="1" t="s">
        <v>47</v>
      </c>
      <c r="J13" s="1"/>
      <c r="K13" s="1">
        <v>55</v>
      </c>
      <c r="L13" s="1">
        <f t="shared" si="8"/>
        <v>-19</v>
      </c>
      <c r="M13" s="1">
        <f t="shared" si="9"/>
        <v>36</v>
      </c>
      <c r="N13" s="1"/>
      <c r="O13" s="1">
        <v>0</v>
      </c>
      <c r="P13" s="1"/>
      <c r="Q13" s="1"/>
      <c r="R13" s="1">
        <v>0</v>
      </c>
      <c r="S13" s="1"/>
      <c r="T13" s="20"/>
      <c r="U13" s="1">
        <f t="shared" si="10"/>
        <v>7.2</v>
      </c>
      <c r="V13" s="5"/>
      <c r="W13" s="5">
        <f t="shared" si="11"/>
        <v>0</v>
      </c>
      <c r="X13" s="5">
        <f>W13-AA13</f>
        <v>0</v>
      </c>
      <c r="Y13" s="5"/>
      <c r="Z13" s="26"/>
      <c r="AA13" s="5"/>
      <c r="AB13" s="5"/>
      <c r="AC13" s="26"/>
      <c r="AD13" s="1"/>
      <c r="AE13" s="1">
        <f>(F13+O13+P13+Q13+R13+X13+Z13+AA13+T13+AC13)/U13</f>
        <v>13.333333333333332</v>
      </c>
      <c r="AF13" s="1">
        <f>(F13+O13+P13+Q13+R13)/U13</f>
        <v>13.333333333333332</v>
      </c>
      <c r="AG13" s="1">
        <v>4.2</v>
      </c>
      <c r="AH13" s="1">
        <v>8.1999999999999993</v>
      </c>
      <c r="AI13" s="1">
        <v>11.8</v>
      </c>
      <c r="AJ13" s="1">
        <v>8.4</v>
      </c>
      <c r="AK13" s="1">
        <v>3.2</v>
      </c>
      <c r="AL13" s="1">
        <v>1</v>
      </c>
      <c r="AM13" s="1">
        <v>0.8</v>
      </c>
      <c r="AN13" s="1">
        <v>2.6</v>
      </c>
      <c r="AO13" s="1">
        <v>9.4</v>
      </c>
      <c r="AP13" s="1">
        <v>13.4</v>
      </c>
      <c r="AQ13" s="1"/>
      <c r="AR13" s="1">
        <f>ROUND(G13*X13,0)</f>
        <v>0</v>
      </c>
      <c r="AS13" s="1">
        <f>ROUND(G13*AA13,0)</f>
        <v>0</v>
      </c>
      <c r="AT13" t="s">
        <v>68</v>
      </c>
    </row>
    <row r="14" spans="1:46" x14ac:dyDescent="0.25">
      <c r="A14" s="1" t="s">
        <v>69</v>
      </c>
      <c r="B14" s="1" t="s">
        <v>54</v>
      </c>
      <c r="C14" s="1">
        <v>497.83</v>
      </c>
      <c r="D14" s="1">
        <v>125.17</v>
      </c>
      <c r="E14" s="1">
        <v>231</v>
      </c>
      <c r="F14" s="1">
        <v>380</v>
      </c>
      <c r="G14" s="7">
        <v>0.17</v>
      </c>
      <c r="H14" s="1">
        <v>180</v>
      </c>
      <c r="I14" s="1" t="s">
        <v>47</v>
      </c>
      <c r="J14" s="1"/>
      <c r="K14" s="1">
        <v>241</v>
      </c>
      <c r="L14" s="1">
        <f t="shared" si="8"/>
        <v>-10</v>
      </c>
      <c r="M14" s="1">
        <f t="shared" si="9"/>
        <v>171</v>
      </c>
      <c r="N14" s="1">
        <v>60</v>
      </c>
      <c r="O14" s="1">
        <v>0</v>
      </c>
      <c r="P14" s="1"/>
      <c r="Q14" s="1"/>
      <c r="R14" s="1">
        <v>0</v>
      </c>
      <c r="S14" s="1"/>
      <c r="T14" s="20"/>
      <c r="U14" s="1">
        <f t="shared" si="10"/>
        <v>34.200000000000003</v>
      </c>
      <c r="V14" s="5">
        <f>12*U14-R14-Q14-P14-O14-F14</f>
        <v>30.400000000000034</v>
      </c>
      <c r="W14" s="5">
        <f t="shared" si="11"/>
        <v>30.400000000000034</v>
      </c>
      <c r="X14" s="5">
        <f>W14-AA14</f>
        <v>30.400000000000034</v>
      </c>
      <c r="Y14" s="5"/>
      <c r="Z14" s="26"/>
      <c r="AA14" s="5"/>
      <c r="AB14" s="5"/>
      <c r="AC14" s="26"/>
      <c r="AD14" s="1"/>
      <c r="AE14" s="1">
        <f>(F14+O14+P14+Q14+R14+X14+Z14+AA14+T14+AC14)/U14</f>
        <v>12</v>
      </c>
      <c r="AF14" s="1">
        <f>(F14+O14+P14+Q14+R14)/U14</f>
        <v>11.111111111111111</v>
      </c>
      <c r="AG14" s="1">
        <v>26</v>
      </c>
      <c r="AH14" s="1">
        <v>27.634</v>
      </c>
      <c r="AI14" s="1">
        <v>36.799999999999997</v>
      </c>
      <c r="AJ14" s="1">
        <v>60.2</v>
      </c>
      <c r="AK14" s="1">
        <v>65.2</v>
      </c>
      <c r="AL14" s="1">
        <v>36.6</v>
      </c>
      <c r="AM14" s="1">
        <v>21.4</v>
      </c>
      <c r="AN14" s="1">
        <v>16.2</v>
      </c>
      <c r="AO14" s="1">
        <v>29.4</v>
      </c>
      <c r="AP14" s="1">
        <v>74.2</v>
      </c>
      <c r="AQ14" s="1"/>
      <c r="AR14" s="1">
        <f>ROUND(G14*X14,0)</f>
        <v>5</v>
      </c>
      <c r="AS14" s="1">
        <f>ROUND(G14*AA14,0)</f>
        <v>0</v>
      </c>
      <c r="AT14" t="s">
        <v>70</v>
      </c>
    </row>
    <row r="15" spans="1:46" x14ac:dyDescent="0.25">
      <c r="A15" s="10" t="s">
        <v>71</v>
      </c>
      <c r="B15" s="10" t="s">
        <v>54</v>
      </c>
      <c r="C15" s="10">
        <v>362</v>
      </c>
      <c r="D15" s="10"/>
      <c r="E15" s="10">
        <v>26</v>
      </c>
      <c r="F15" s="10">
        <v>336</v>
      </c>
      <c r="G15" s="11">
        <v>0</v>
      </c>
      <c r="H15" s="10"/>
      <c r="I15" s="10" t="s">
        <v>72</v>
      </c>
      <c r="J15" s="10"/>
      <c r="K15" s="10">
        <v>27</v>
      </c>
      <c r="L15" s="10">
        <f t="shared" si="8"/>
        <v>-1</v>
      </c>
      <c r="M15" s="10">
        <f t="shared" si="9"/>
        <v>26</v>
      </c>
      <c r="N15" s="10"/>
      <c r="O15" s="10">
        <v>0</v>
      </c>
      <c r="P15" s="10"/>
      <c r="Q15" s="10"/>
      <c r="R15" s="10">
        <v>0</v>
      </c>
      <c r="S15" s="10"/>
      <c r="T15" s="22"/>
      <c r="U15" s="10">
        <f t="shared" si="10"/>
        <v>5.2</v>
      </c>
      <c r="V15" s="12"/>
      <c r="W15" s="5">
        <f t="shared" si="11"/>
        <v>0</v>
      </c>
      <c r="X15" s="5">
        <f>W15-AA15</f>
        <v>0</v>
      </c>
      <c r="Y15" s="5"/>
      <c r="Z15" s="26"/>
      <c r="AA15" s="5"/>
      <c r="AB15" s="5"/>
      <c r="AC15" s="26"/>
      <c r="AD15" s="1"/>
      <c r="AE15" s="1">
        <f>(F15+O15+P15+Q15+R15+X15+Z15+AA15+T15+AC15)/U15</f>
        <v>64.615384615384613</v>
      </c>
      <c r="AF15" s="10">
        <f>(F15+O15+P15+Q15+R15)/U15</f>
        <v>64.615384615384613</v>
      </c>
      <c r="AG15" s="10">
        <v>4.4000000000000004</v>
      </c>
      <c r="AH15" s="10">
        <v>0.2</v>
      </c>
      <c r="AI15" s="10">
        <v>4.4000000000000004</v>
      </c>
      <c r="AJ15" s="10">
        <v>4.2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3" t="s">
        <v>73</v>
      </c>
      <c r="AR15" s="1">
        <f>ROUND(G15*X15,0)</f>
        <v>0</v>
      </c>
      <c r="AS15" s="1">
        <f>ROUND(G15*AA15,0)</f>
        <v>0</v>
      </c>
      <c r="AT15" t="s">
        <v>74</v>
      </c>
    </row>
    <row r="16" spans="1:46" x14ac:dyDescent="0.25">
      <c r="A16" s="25" t="s">
        <v>75</v>
      </c>
      <c r="B16" s="1" t="s">
        <v>46</v>
      </c>
      <c r="C16" s="1">
        <v>2425.2130000000002</v>
      </c>
      <c r="D16" s="1">
        <v>7053.3980000000001</v>
      </c>
      <c r="E16" s="1">
        <v>4452.2860000000001</v>
      </c>
      <c r="F16" s="1">
        <v>3948.3220000000001</v>
      </c>
      <c r="G16" s="7">
        <v>1</v>
      </c>
      <c r="H16" s="1">
        <v>70</v>
      </c>
      <c r="I16" s="1" t="s">
        <v>47</v>
      </c>
      <c r="J16" s="1"/>
      <c r="K16" s="1">
        <v>4614.442</v>
      </c>
      <c r="L16" s="1">
        <f t="shared" si="8"/>
        <v>-162.15599999999995</v>
      </c>
      <c r="M16" s="1">
        <f t="shared" si="9"/>
        <v>3634.703</v>
      </c>
      <c r="N16" s="1">
        <v>817.58299999999997</v>
      </c>
      <c r="O16" s="1">
        <v>1201.544169664</v>
      </c>
      <c r="P16" s="1">
        <v>0</v>
      </c>
      <c r="Q16" s="1"/>
      <c r="R16" s="1">
        <v>644.17741280000041</v>
      </c>
      <c r="S16" s="1"/>
      <c r="T16" s="20"/>
      <c r="U16" s="1">
        <f t="shared" si="10"/>
        <v>726.94060000000002</v>
      </c>
      <c r="V16" s="5">
        <f>12*U16-R16-Q16-P16-O16-F16</f>
        <v>2929.2436175359999</v>
      </c>
      <c r="W16" s="5">
        <f>V16+$W$1*U16</f>
        <v>3074.6317375359999</v>
      </c>
      <c r="X16" s="5">
        <f>W16-AA16</f>
        <v>1475.8232340172799</v>
      </c>
      <c r="Y16" s="5"/>
      <c r="Z16" s="26">
        <v>450</v>
      </c>
      <c r="AA16" s="5">
        <f>W16*$AA$1</f>
        <v>1598.80850351872</v>
      </c>
      <c r="AB16" s="5"/>
      <c r="AC16" s="26">
        <v>420</v>
      </c>
      <c r="AD16" s="1"/>
      <c r="AE16" s="1">
        <f>(F16+O16+P16+Q16+R16+X16+Z16+AA16+T16+AC16)/U16</f>
        <v>13.396796547063131</v>
      </c>
      <c r="AF16" s="1">
        <f>(F16+O16+P16+Q16+R16)/U16</f>
        <v>7.9704498310646024</v>
      </c>
      <c r="AG16" s="1">
        <v>643.96600000000001</v>
      </c>
      <c r="AH16" s="1">
        <v>609.90919999999994</v>
      </c>
      <c r="AI16" s="1">
        <v>693.11580000000004</v>
      </c>
      <c r="AJ16" s="1">
        <v>746.79539999999997</v>
      </c>
      <c r="AK16" s="1">
        <v>794.77139999999997</v>
      </c>
      <c r="AL16" s="1">
        <v>554.79759999999999</v>
      </c>
      <c r="AM16" s="1">
        <v>546.93779999999992</v>
      </c>
      <c r="AN16" s="1">
        <v>609.09219999999993</v>
      </c>
      <c r="AO16" s="1">
        <v>717.98599999999999</v>
      </c>
      <c r="AP16" s="1">
        <v>729.06079999999997</v>
      </c>
      <c r="AQ16" s="1"/>
      <c r="AR16" s="1">
        <f>ROUND(G16*X16,0)</f>
        <v>1476</v>
      </c>
      <c r="AS16" s="1">
        <f>ROUND(G16*AA16,0)</f>
        <v>1599</v>
      </c>
      <c r="AT16" t="s">
        <v>76</v>
      </c>
    </row>
    <row r="17" spans="1:46" x14ac:dyDescent="0.25">
      <c r="A17" s="25" t="s">
        <v>77</v>
      </c>
      <c r="B17" s="1" t="s">
        <v>46</v>
      </c>
      <c r="C17" s="1">
        <v>3476.5320000000002</v>
      </c>
      <c r="D17" s="1">
        <v>3516.91</v>
      </c>
      <c r="E17" s="1">
        <v>2994.5949999999998</v>
      </c>
      <c r="F17" s="1">
        <v>3025.1759999999999</v>
      </c>
      <c r="G17" s="7">
        <v>1</v>
      </c>
      <c r="H17" s="1">
        <v>50</v>
      </c>
      <c r="I17" s="1" t="s">
        <v>47</v>
      </c>
      <c r="J17" s="1"/>
      <c r="K17" s="1">
        <v>3152.17</v>
      </c>
      <c r="L17" s="1">
        <f t="shared" si="8"/>
        <v>-157.57500000000027</v>
      </c>
      <c r="M17" s="1">
        <f t="shared" si="9"/>
        <v>2182.375</v>
      </c>
      <c r="N17" s="1">
        <v>812.22</v>
      </c>
      <c r="O17" s="1">
        <v>903.47630625600084</v>
      </c>
      <c r="P17" s="1">
        <v>0</v>
      </c>
      <c r="Q17" s="1">
        <v>580</v>
      </c>
      <c r="R17" s="1">
        <v>296.33760799999999</v>
      </c>
      <c r="S17" s="1"/>
      <c r="T17" s="20"/>
      <c r="U17" s="1">
        <f t="shared" si="10"/>
        <v>436.47500000000002</v>
      </c>
      <c r="V17" s="5">
        <f>12*U17-R17-Q17-P17-O17-F17</f>
        <v>432.71008574400003</v>
      </c>
      <c r="W17" s="5">
        <f>V17+$W$1*U17</f>
        <v>520.0050857440001</v>
      </c>
      <c r="X17" s="5">
        <f>W17-AA17</f>
        <v>249.60244115712004</v>
      </c>
      <c r="Y17" s="5"/>
      <c r="Z17" s="26">
        <v>400</v>
      </c>
      <c r="AA17" s="5">
        <f>W17*$AA$1</f>
        <v>270.40264458688006</v>
      </c>
      <c r="AB17" s="5"/>
      <c r="AC17" s="26"/>
      <c r="AD17" s="1"/>
      <c r="AE17" s="1">
        <f>(F17+O17+P17+Q17+R17+X17+Z17+AA17+T17+AC17)/U17</f>
        <v>13.116432785382898</v>
      </c>
      <c r="AF17" s="1">
        <f>(F17+O17+P17+Q17+R17)/U17</f>
        <v>11.008625727145885</v>
      </c>
      <c r="AG17" s="1">
        <v>435.79059999999993</v>
      </c>
      <c r="AH17" s="1">
        <v>509.04079999999999</v>
      </c>
      <c r="AI17" s="1">
        <v>530.1232</v>
      </c>
      <c r="AJ17" s="1">
        <v>537.54300000000001</v>
      </c>
      <c r="AK17" s="1">
        <v>623.73239999999998</v>
      </c>
      <c r="AL17" s="1">
        <v>623.553</v>
      </c>
      <c r="AM17" s="1">
        <v>655.59559999999999</v>
      </c>
      <c r="AN17" s="1">
        <v>514.53160000000003</v>
      </c>
      <c r="AO17" s="1">
        <v>650.99779999999998</v>
      </c>
      <c r="AP17" s="1">
        <v>665.4226000000001</v>
      </c>
      <c r="AQ17" s="1"/>
      <c r="AR17" s="1">
        <f>ROUND(G17*X17,0)</f>
        <v>250</v>
      </c>
      <c r="AS17" s="1">
        <f>ROUND(G17*AA17,0)</f>
        <v>270</v>
      </c>
      <c r="AT17" t="s">
        <v>78</v>
      </c>
    </row>
    <row r="18" spans="1:46" x14ac:dyDescent="0.25">
      <c r="A18" s="1" t="s">
        <v>79</v>
      </c>
      <c r="B18" s="1" t="s">
        <v>46</v>
      </c>
      <c r="C18" s="1">
        <v>288.24</v>
      </c>
      <c r="D18" s="1">
        <v>161.23699999999999</v>
      </c>
      <c r="E18" s="1">
        <v>111.786</v>
      </c>
      <c r="F18" s="1">
        <v>325.07100000000003</v>
      </c>
      <c r="G18" s="7">
        <v>1</v>
      </c>
      <c r="H18" s="1">
        <v>60</v>
      </c>
      <c r="I18" s="1" t="s">
        <v>47</v>
      </c>
      <c r="J18" s="1"/>
      <c r="K18" s="1">
        <v>477.3</v>
      </c>
      <c r="L18" s="1">
        <f t="shared" si="8"/>
        <v>-365.51400000000001</v>
      </c>
      <c r="M18" s="1">
        <f t="shared" si="9"/>
        <v>111.786</v>
      </c>
      <c r="N18" s="1"/>
      <c r="O18" s="1">
        <v>0</v>
      </c>
      <c r="P18" s="1"/>
      <c r="Q18" s="1"/>
      <c r="R18" s="1">
        <v>0</v>
      </c>
      <c r="S18" s="1"/>
      <c r="T18" s="20"/>
      <c r="U18" s="1">
        <f t="shared" si="10"/>
        <v>22.357199999999999</v>
      </c>
      <c r="V18" s="5"/>
      <c r="W18" s="5">
        <f>V18</f>
        <v>0</v>
      </c>
      <c r="X18" s="5">
        <f>W18-AA18</f>
        <v>0</v>
      </c>
      <c r="Y18" s="5"/>
      <c r="Z18" s="26"/>
      <c r="AA18" s="5"/>
      <c r="AB18" s="5"/>
      <c r="AC18" s="26"/>
      <c r="AD18" s="1"/>
      <c r="AE18" s="1">
        <f>(F18+O18+P18+Q18+R18+X18+Z18+AA18+T18+AC18)/U18</f>
        <v>14.53987977027535</v>
      </c>
      <c r="AF18" s="1">
        <f>(F18+O18+P18+Q18+R18)/U18</f>
        <v>14.53987977027535</v>
      </c>
      <c r="AG18" s="1">
        <v>-0.251</v>
      </c>
      <c r="AH18" s="1">
        <v>23.059200000000001</v>
      </c>
      <c r="AI18" s="1">
        <v>27.917000000000002</v>
      </c>
      <c r="AJ18" s="1">
        <v>18.902000000000001</v>
      </c>
      <c r="AK18" s="1">
        <v>36.507800000000003</v>
      </c>
      <c r="AL18" s="1">
        <v>45.231999999999992</v>
      </c>
      <c r="AM18" s="1">
        <v>39.912599999999998</v>
      </c>
      <c r="AN18" s="1">
        <v>46.755800000000001</v>
      </c>
      <c r="AO18" s="1">
        <v>52.686199999999999</v>
      </c>
      <c r="AP18" s="1">
        <v>53.1126</v>
      </c>
      <c r="AQ18" s="13" t="s">
        <v>80</v>
      </c>
      <c r="AR18" s="1">
        <f>ROUND(G18*X18,0)</f>
        <v>0</v>
      </c>
      <c r="AS18" s="1">
        <f>ROUND(G18*AA18,0)</f>
        <v>0</v>
      </c>
      <c r="AT18" t="s">
        <v>81</v>
      </c>
    </row>
    <row r="19" spans="1:46" x14ac:dyDescent="0.25">
      <c r="A19" s="10" t="s">
        <v>82</v>
      </c>
      <c r="B19" s="10" t="s">
        <v>46</v>
      </c>
      <c r="C19" s="10">
        <v>-4.9740000000000002</v>
      </c>
      <c r="D19" s="10"/>
      <c r="E19" s="10">
        <v>-1.825</v>
      </c>
      <c r="F19" s="10">
        <v>-4.9740000000000002</v>
      </c>
      <c r="G19" s="11">
        <v>0</v>
      </c>
      <c r="H19" s="10"/>
      <c r="I19" s="10" t="s">
        <v>72</v>
      </c>
      <c r="J19" s="10" t="s">
        <v>83</v>
      </c>
      <c r="K19" s="10">
        <v>300</v>
      </c>
      <c r="L19" s="10">
        <f t="shared" si="8"/>
        <v>-301.82499999999999</v>
      </c>
      <c r="M19" s="10">
        <f t="shared" si="9"/>
        <v>-1.825</v>
      </c>
      <c r="N19" s="10"/>
      <c r="O19" s="10">
        <v>0</v>
      </c>
      <c r="P19" s="10"/>
      <c r="Q19" s="10"/>
      <c r="R19" s="10">
        <v>0</v>
      </c>
      <c r="S19" s="10"/>
      <c r="T19" s="22"/>
      <c r="U19" s="10">
        <f t="shared" si="10"/>
        <v>-0.36499999999999999</v>
      </c>
      <c r="V19" s="12"/>
      <c r="W19" s="5">
        <f>V19</f>
        <v>0</v>
      </c>
      <c r="X19" s="5">
        <f>W19-AA19</f>
        <v>0</v>
      </c>
      <c r="Y19" s="5"/>
      <c r="Z19" s="26"/>
      <c r="AA19" s="5"/>
      <c r="AB19" s="5"/>
      <c r="AC19" s="26"/>
      <c r="AD19" s="1"/>
      <c r="AE19" s="1">
        <f>(F19+O19+P19+Q19+R19+X19+Z19+AA19+T19+AC19)/U19</f>
        <v>13.627397260273973</v>
      </c>
      <c r="AF19" s="10">
        <f>(F19+O19+P19+Q19+R19)/U19</f>
        <v>13.627397260273973</v>
      </c>
      <c r="AG19" s="10">
        <v>-0.51300000000000001</v>
      </c>
      <c r="AH19" s="10">
        <v>-0.14799999999999999</v>
      </c>
      <c r="AI19" s="10">
        <v>0</v>
      </c>
      <c r="AJ19" s="10">
        <v>0.49480000000000002</v>
      </c>
      <c r="AK19" s="10">
        <v>0.49480000000000002</v>
      </c>
      <c r="AL19" s="10">
        <v>0</v>
      </c>
      <c r="AM19" s="10">
        <v>0</v>
      </c>
      <c r="AN19" s="10">
        <v>0</v>
      </c>
      <c r="AO19" s="10">
        <v>0</v>
      </c>
      <c r="AP19" s="10">
        <v>0</v>
      </c>
      <c r="AQ19" s="10"/>
      <c r="AR19" s="1">
        <f>ROUND(G19*X19,0)</f>
        <v>0</v>
      </c>
      <c r="AS19" s="1">
        <f>ROUND(G19*AA19,0)</f>
        <v>0</v>
      </c>
      <c r="AT19" t="s">
        <v>84</v>
      </c>
    </row>
    <row r="20" spans="1:46" x14ac:dyDescent="0.25">
      <c r="A20" s="10" t="s">
        <v>85</v>
      </c>
      <c r="B20" s="10" t="s">
        <v>46</v>
      </c>
      <c r="C20" s="10"/>
      <c r="D20" s="10"/>
      <c r="E20" s="10"/>
      <c r="F20" s="10"/>
      <c r="G20" s="11">
        <v>0</v>
      </c>
      <c r="H20" s="10"/>
      <c r="I20" s="10" t="s">
        <v>47</v>
      </c>
      <c r="J20" s="10"/>
      <c r="K20" s="10">
        <v>80</v>
      </c>
      <c r="L20" s="10">
        <f t="shared" si="8"/>
        <v>-80</v>
      </c>
      <c r="M20" s="10">
        <f t="shared" si="9"/>
        <v>0</v>
      </c>
      <c r="N20" s="10"/>
      <c r="O20" s="10">
        <v>0</v>
      </c>
      <c r="P20" s="10"/>
      <c r="Q20" s="10"/>
      <c r="R20" s="10">
        <v>0</v>
      </c>
      <c r="S20" s="10"/>
      <c r="T20" s="22"/>
      <c r="U20" s="10">
        <f t="shared" si="10"/>
        <v>0</v>
      </c>
      <c r="V20" s="12"/>
      <c r="W20" s="5">
        <f>V20</f>
        <v>0</v>
      </c>
      <c r="X20" s="5">
        <f>W20-AA20</f>
        <v>0</v>
      </c>
      <c r="Y20" s="5"/>
      <c r="Z20" s="26"/>
      <c r="AA20" s="5"/>
      <c r="AB20" s="5"/>
      <c r="AC20" s="26"/>
      <c r="AD20" s="1"/>
      <c r="AE20" s="1" t="e">
        <f>(F20+O20+P20+Q20+R20+X20+Z20+AA20+T20+AC20)/U20</f>
        <v>#DIV/0!</v>
      </c>
      <c r="AF20" s="10" t="e">
        <f>(F20+O20+P20+Q20+R20)/U20</f>
        <v>#DIV/0!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 t="s">
        <v>86</v>
      </c>
      <c r="AR20" s="1">
        <f>ROUND(G20*X20,0)</f>
        <v>0</v>
      </c>
      <c r="AS20" s="1">
        <f>ROUND(G20*AA20,0)</f>
        <v>0</v>
      </c>
      <c r="AT20" t="s">
        <v>87</v>
      </c>
    </row>
    <row r="21" spans="1:46" x14ac:dyDescent="0.25">
      <c r="A21" s="1" t="s">
        <v>88</v>
      </c>
      <c r="B21" s="1" t="s">
        <v>46</v>
      </c>
      <c r="C21" s="1">
        <v>14.776</v>
      </c>
      <c r="D21" s="1">
        <v>4.0720000000000001</v>
      </c>
      <c r="E21" s="1">
        <v>7.3090000000000002</v>
      </c>
      <c r="F21" s="1">
        <v>7.4669999999999996</v>
      </c>
      <c r="G21" s="7">
        <v>1</v>
      </c>
      <c r="H21" s="1">
        <v>180</v>
      </c>
      <c r="I21" s="1" t="s">
        <v>47</v>
      </c>
      <c r="J21" s="1"/>
      <c r="K21" s="1">
        <v>11.2</v>
      </c>
      <c r="L21" s="1">
        <f t="shared" si="8"/>
        <v>-3.8909999999999991</v>
      </c>
      <c r="M21" s="1">
        <f t="shared" si="9"/>
        <v>7.3090000000000002</v>
      </c>
      <c r="N21" s="1"/>
      <c r="O21" s="1">
        <v>0</v>
      </c>
      <c r="P21" s="1"/>
      <c r="Q21" s="1"/>
      <c r="R21" s="1">
        <v>4</v>
      </c>
      <c r="S21" s="1"/>
      <c r="T21" s="20"/>
      <c r="U21" s="1">
        <f t="shared" si="10"/>
        <v>1.4618</v>
      </c>
      <c r="V21" s="5">
        <f>12*U21-R21-Q21-P21-O21-F21</f>
        <v>6.0745999999999993</v>
      </c>
      <c r="W21" s="5">
        <f>V21</f>
        <v>6.0745999999999993</v>
      </c>
      <c r="X21" s="5">
        <f>W21-AA21</f>
        <v>6.0745999999999993</v>
      </c>
      <c r="Y21" s="5"/>
      <c r="Z21" s="26"/>
      <c r="AA21" s="5"/>
      <c r="AB21" s="5"/>
      <c r="AC21" s="26"/>
      <c r="AD21" s="1"/>
      <c r="AE21" s="1">
        <f>(F21+O21+P21+Q21+R21+X21+Z21+AA21+T21+AC21)/U21</f>
        <v>12</v>
      </c>
      <c r="AF21" s="1">
        <f>(F21+O21+P21+Q21+R21)/U21</f>
        <v>7.8444383636612391</v>
      </c>
      <c r="AG21" s="1">
        <v>1.1292</v>
      </c>
      <c r="AH21" s="1">
        <v>0.64200000000000002</v>
      </c>
      <c r="AI21" s="1">
        <v>0.42899999999999999</v>
      </c>
      <c r="AJ21" s="1">
        <v>1.0448</v>
      </c>
      <c r="AK21" s="1">
        <v>1.1863999999999999</v>
      </c>
      <c r="AL21" s="1">
        <v>0.42980000000000002</v>
      </c>
      <c r="AM21" s="1">
        <v>0.57140000000000002</v>
      </c>
      <c r="AN21" s="1">
        <v>0.63460000000000005</v>
      </c>
      <c r="AO21" s="1">
        <v>1.0533999999999999</v>
      </c>
      <c r="AP21" s="1">
        <v>1.054</v>
      </c>
      <c r="AQ21" s="1"/>
      <c r="AR21" s="1">
        <f>ROUND(G21*X21,0)</f>
        <v>6</v>
      </c>
      <c r="AS21" s="1">
        <f>ROUND(G21*AA21,0)</f>
        <v>0</v>
      </c>
      <c r="AT21" t="s">
        <v>89</v>
      </c>
    </row>
    <row r="22" spans="1:46" x14ac:dyDescent="0.25">
      <c r="A22" s="1" t="s">
        <v>90</v>
      </c>
      <c r="B22" s="1" t="s">
        <v>46</v>
      </c>
      <c r="C22" s="1">
        <v>4315.8850000000002</v>
      </c>
      <c r="D22" s="1">
        <v>7469.9179999999997</v>
      </c>
      <c r="E22" s="1">
        <v>6022.77</v>
      </c>
      <c r="F22" s="1">
        <v>4117.0219999999999</v>
      </c>
      <c r="G22" s="7">
        <v>1</v>
      </c>
      <c r="H22" s="1">
        <v>60</v>
      </c>
      <c r="I22" s="1" t="s">
        <v>47</v>
      </c>
      <c r="J22" s="1"/>
      <c r="K22" s="1">
        <v>6082.232</v>
      </c>
      <c r="L22" s="1">
        <f t="shared" si="8"/>
        <v>-59.461999999999534</v>
      </c>
      <c r="M22" s="1">
        <f t="shared" si="9"/>
        <v>6022.77</v>
      </c>
      <c r="N22" s="1"/>
      <c r="O22" s="1">
        <v>0</v>
      </c>
      <c r="P22" s="1"/>
      <c r="Q22" s="1"/>
      <c r="R22" s="1">
        <v>3868.4727839999991</v>
      </c>
      <c r="S22" s="1"/>
      <c r="T22" s="20"/>
      <c r="U22" s="1">
        <f t="shared" si="10"/>
        <v>1204.5540000000001</v>
      </c>
      <c r="V22" s="5">
        <f>12*U22-R22-Q22-P22-O22-F22</f>
        <v>6469.1532160000015</v>
      </c>
      <c r="W22" s="5">
        <f>V22+$W$1*U22</f>
        <v>6710.0640160000012</v>
      </c>
      <c r="X22" s="5">
        <f>W22-AA22</f>
        <v>3220.8307276800006</v>
      </c>
      <c r="Y22" s="5"/>
      <c r="Z22" s="26"/>
      <c r="AA22" s="5">
        <f>W22*$AA$1</f>
        <v>3489.2332883200006</v>
      </c>
      <c r="AB22" s="5"/>
      <c r="AC22" s="26"/>
      <c r="AD22" s="1"/>
      <c r="AE22" s="1">
        <f>(F22+O22+P22+Q22+R22+X22+Z22+AA22+T22+AC22)/U22</f>
        <v>12.199999999999998</v>
      </c>
      <c r="AF22" s="1">
        <f>(F22+O22+P22+Q22+R22)/U22</f>
        <v>6.6294203364896864</v>
      </c>
      <c r="AG22" s="1">
        <v>901.40879999999993</v>
      </c>
      <c r="AH22" s="1">
        <v>763.35619999999994</v>
      </c>
      <c r="AI22" s="1">
        <v>859.37340000000006</v>
      </c>
      <c r="AJ22" s="1">
        <v>796.55060000000003</v>
      </c>
      <c r="AK22" s="1">
        <v>870.48359999999991</v>
      </c>
      <c r="AL22" s="1">
        <v>625.42460000000005</v>
      </c>
      <c r="AM22" s="1">
        <v>675.56319999999994</v>
      </c>
      <c r="AN22" s="1">
        <v>724.81880000000001</v>
      </c>
      <c r="AO22" s="1">
        <v>877.02520000000004</v>
      </c>
      <c r="AP22" s="1">
        <v>881.83860000000004</v>
      </c>
      <c r="AQ22" s="1"/>
      <c r="AR22" s="1">
        <f>ROUND(G22*X22,0)</f>
        <v>3221</v>
      </c>
      <c r="AS22" s="1">
        <f>ROUND(G22*AA22,0)</f>
        <v>3489</v>
      </c>
      <c r="AT22" t="s">
        <v>91</v>
      </c>
    </row>
    <row r="23" spans="1:46" x14ac:dyDescent="0.25">
      <c r="A23" s="10" t="s">
        <v>92</v>
      </c>
      <c r="B23" s="10" t="s">
        <v>46</v>
      </c>
      <c r="C23" s="10">
        <v>-7.4930000000000003</v>
      </c>
      <c r="D23" s="10"/>
      <c r="E23" s="10"/>
      <c r="F23" s="10">
        <v>-7.4930000000000003</v>
      </c>
      <c r="G23" s="11">
        <v>0</v>
      </c>
      <c r="H23" s="10"/>
      <c r="I23" s="10" t="s">
        <v>72</v>
      </c>
      <c r="J23" s="10" t="s">
        <v>93</v>
      </c>
      <c r="K23" s="10"/>
      <c r="L23" s="10">
        <f t="shared" si="8"/>
        <v>0</v>
      </c>
      <c r="M23" s="10">
        <f t="shared" si="9"/>
        <v>0</v>
      </c>
      <c r="N23" s="10"/>
      <c r="O23" s="10">
        <v>0</v>
      </c>
      <c r="P23" s="10"/>
      <c r="Q23" s="10"/>
      <c r="R23" s="10">
        <v>0</v>
      </c>
      <c r="S23" s="10"/>
      <c r="T23" s="22"/>
      <c r="U23" s="10">
        <f t="shared" si="10"/>
        <v>0</v>
      </c>
      <c r="V23" s="12"/>
      <c r="W23" s="5">
        <f>V23</f>
        <v>0</v>
      </c>
      <c r="X23" s="5">
        <f>W23-AA23</f>
        <v>0</v>
      </c>
      <c r="Y23" s="5"/>
      <c r="Z23" s="26"/>
      <c r="AA23" s="5"/>
      <c r="AB23" s="5"/>
      <c r="AC23" s="26"/>
      <c r="AD23" s="1"/>
      <c r="AE23" s="1" t="e">
        <f>(F23+O23+P23+Q23+R23+X23+Z23+AA23+T23+AC23)/U23</f>
        <v>#DIV/0!</v>
      </c>
      <c r="AF23" s="10" t="e">
        <f>(F23+O23+P23+Q23+R23)/U23</f>
        <v>#DIV/0!</v>
      </c>
      <c r="AG23" s="10">
        <v>0</v>
      </c>
      <c r="AH23" s="10">
        <v>0</v>
      </c>
      <c r="AI23" s="10">
        <v>0</v>
      </c>
      <c r="AJ23" s="10">
        <v>1.4985999999999999</v>
      </c>
      <c r="AK23" s="10">
        <v>1.4985999999999999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/>
      <c r="AR23" s="1">
        <f>ROUND(G23*X23,0)</f>
        <v>0</v>
      </c>
      <c r="AS23" s="1">
        <f>ROUND(G23*AA23,0)</f>
        <v>0</v>
      </c>
      <c r="AT23" t="s">
        <v>94</v>
      </c>
    </row>
    <row r="24" spans="1:46" x14ac:dyDescent="0.25">
      <c r="A24" s="1" t="s">
        <v>95</v>
      </c>
      <c r="B24" s="1" t="s">
        <v>46</v>
      </c>
      <c r="C24" s="1">
        <v>659.71699999999998</v>
      </c>
      <c r="D24" s="1">
        <v>204.20599999999999</v>
      </c>
      <c r="E24" s="1">
        <v>385.35300000000001</v>
      </c>
      <c r="F24" s="1">
        <v>337.49599999999998</v>
      </c>
      <c r="G24" s="7">
        <v>1</v>
      </c>
      <c r="H24" s="1">
        <v>70</v>
      </c>
      <c r="I24" s="1" t="s">
        <v>47</v>
      </c>
      <c r="J24" s="1"/>
      <c r="K24" s="1">
        <v>593.65</v>
      </c>
      <c r="L24" s="1">
        <f t="shared" si="8"/>
        <v>-208.29699999999997</v>
      </c>
      <c r="M24" s="1">
        <f t="shared" si="9"/>
        <v>385.35300000000001</v>
      </c>
      <c r="N24" s="1"/>
      <c r="O24" s="1">
        <v>346.72190259999979</v>
      </c>
      <c r="P24" s="1">
        <v>0</v>
      </c>
      <c r="Q24" s="1"/>
      <c r="R24" s="1">
        <v>710.49136940000017</v>
      </c>
      <c r="S24" s="1"/>
      <c r="T24" s="20"/>
      <c r="U24" s="1">
        <f t="shared" si="10"/>
        <v>77.070599999999999</v>
      </c>
      <c r="V24" s="5"/>
      <c r="W24" s="5">
        <f>V24</f>
        <v>0</v>
      </c>
      <c r="X24" s="5">
        <f>W24-AA24</f>
        <v>0</v>
      </c>
      <c r="Y24" s="5"/>
      <c r="Z24" s="26"/>
      <c r="AA24" s="5"/>
      <c r="AB24" s="5"/>
      <c r="AC24" s="26"/>
      <c r="AD24" s="1"/>
      <c r="AE24" s="1">
        <f>(F24+O24+P24+Q24+R24+X24+Z24+AA24+T24+AC24)/U24</f>
        <v>18.09651503945733</v>
      </c>
      <c r="AF24" s="1">
        <f>(F24+O24+P24+Q24+R24)/U24</f>
        <v>18.09651503945733</v>
      </c>
      <c r="AG24" s="1">
        <v>121.82040000000001</v>
      </c>
      <c r="AH24" s="1">
        <v>64.7166</v>
      </c>
      <c r="AI24" s="1">
        <v>29.255199999999999</v>
      </c>
      <c r="AJ24" s="1">
        <v>86.518400000000014</v>
      </c>
      <c r="AK24" s="1">
        <v>112.26900000000001</v>
      </c>
      <c r="AL24" s="1">
        <v>80.832799999999992</v>
      </c>
      <c r="AM24" s="1">
        <v>82.780600000000007</v>
      </c>
      <c r="AN24" s="1">
        <v>84.445999999999998</v>
      </c>
      <c r="AO24" s="1">
        <v>87.766999999999996</v>
      </c>
      <c r="AP24" s="1">
        <v>81.984399999999994</v>
      </c>
      <c r="AQ24" s="9" t="s">
        <v>65</v>
      </c>
      <c r="AR24" s="1">
        <f>ROUND(G24*X24,0)</f>
        <v>0</v>
      </c>
      <c r="AS24" s="1">
        <f>ROUND(G24*AA24,0)</f>
        <v>0</v>
      </c>
      <c r="AT24" t="s">
        <v>96</v>
      </c>
    </row>
    <row r="25" spans="1:46" x14ac:dyDescent="0.25">
      <c r="A25" s="1" t="s">
        <v>97</v>
      </c>
      <c r="B25" s="1" t="s">
        <v>46</v>
      </c>
      <c r="C25" s="1">
        <v>995.21500000000003</v>
      </c>
      <c r="D25" s="1">
        <v>2238.7130000000002</v>
      </c>
      <c r="E25" s="1">
        <v>1535.1669999999999</v>
      </c>
      <c r="F25" s="1">
        <v>1311.777</v>
      </c>
      <c r="G25" s="7">
        <v>1</v>
      </c>
      <c r="H25" s="1">
        <v>70</v>
      </c>
      <c r="I25" s="1" t="s">
        <v>47</v>
      </c>
      <c r="J25" s="1"/>
      <c r="K25" s="1">
        <v>1560.145</v>
      </c>
      <c r="L25" s="1">
        <f t="shared" si="8"/>
        <v>-24.978000000000065</v>
      </c>
      <c r="M25" s="1">
        <f t="shared" si="9"/>
        <v>1223.942</v>
      </c>
      <c r="N25" s="1">
        <v>311.22500000000002</v>
      </c>
      <c r="O25" s="1">
        <v>319.57028490800002</v>
      </c>
      <c r="P25" s="1">
        <v>0</v>
      </c>
      <c r="Q25" s="1"/>
      <c r="R25" s="1">
        <v>475.64276859999973</v>
      </c>
      <c r="S25" s="1"/>
      <c r="T25" s="20"/>
      <c r="U25" s="1">
        <f t="shared" si="10"/>
        <v>244.7884</v>
      </c>
      <c r="V25" s="5">
        <f>12*U25-R25-Q25-P25-O25-F25</f>
        <v>830.47074649200022</v>
      </c>
      <c r="W25" s="5">
        <f>V25+$W$1*U25</f>
        <v>879.4284264920002</v>
      </c>
      <c r="X25" s="5">
        <f>W25-AA25</f>
        <v>422.12564471616008</v>
      </c>
      <c r="Y25" s="5"/>
      <c r="Z25" s="26"/>
      <c r="AA25" s="5">
        <f>W25*$AA$1</f>
        <v>457.30278177584012</v>
      </c>
      <c r="AB25" s="5"/>
      <c r="AC25" s="26"/>
      <c r="AD25" s="1"/>
      <c r="AE25" s="1">
        <f>(F25+O25+P25+Q25+R25+X25+Z25+AA25+T25+AC25)/U25</f>
        <v>12.2</v>
      </c>
      <c r="AF25" s="1">
        <f>(F25+O25+P25+Q25+R25)/U25</f>
        <v>8.6073933793758179</v>
      </c>
      <c r="AG25" s="1">
        <v>233.47839999999999</v>
      </c>
      <c r="AH25" s="1">
        <v>197.40940000000001</v>
      </c>
      <c r="AI25" s="1">
        <v>248.37119999999999</v>
      </c>
      <c r="AJ25" s="1">
        <v>254.24639999999999</v>
      </c>
      <c r="AK25" s="1">
        <v>255.9778</v>
      </c>
      <c r="AL25" s="1">
        <v>183.00020000000001</v>
      </c>
      <c r="AM25" s="1">
        <v>190.50559999999999</v>
      </c>
      <c r="AN25" s="1">
        <v>210.42779999999999</v>
      </c>
      <c r="AO25" s="1">
        <v>235.95099999999999</v>
      </c>
      <c r="AP25" s="1">
        <v>225.54</v>
      </c>
      <c r="AQ25" s="1"/>
      <c r="AR25" s="1">
        <f>ROUND(G25*X25,0)</f>
        <v>422</v>
      </c>
      <c r="AS25" s="1">
        <f>ROUND(G25*AA25,0)</f>
        <v>457</v>
      </c>
      <c r="AT25" t="s">
        <v>98</v>
      </c>
    </row>
    <row r="26" spans="1:46" x14ac:dyDescent="0.25">
      <c r="A26" s="10" t="s">
        <v>99</v>
      </c>
      <c r="B26" s="10" t="s">
        <v>46</v>
      </c>
      <c r="C26" s="10"/>
      <c r="D26" s="10"/>
      <c r="E26" s="10"/>
      <c r="F26" s="10"/>
      <c r="G26" s="11">
        <v>0</v>
      </c>
      <c r="H26" s="10"/>
      <c r="I26" s="10" t="s">
        <v>47</v>
      </c>
      <c r="J26" s="10"/>
      <c r="K26" s="10"/>
      <c r="L26" s="10">
        <f t="shared" si="8"/>
        <v>0</v>
      </c>
      <c r="M26" s="10">
        <f t="shared" si="9"/>
        <v>0</v>
      </c>
      <c r="N26" s="10"/>
      <c r="O26" s="10">
        <v>0</v>
      </c>
      <c r="P26" s="10"/>
      <c r="Q26" s="10"/>
      <c r="R26" s="10">
        <v>0</v>
      </c>
      <c r="S26" s="10"/>
      <c r="T26" s="22"/>
      <c r="U26" s="10">
        <f t="shared" si="10"/>
        <v>0</v>
      </c>
      <c r="V26" s="12"/>
      <c r="W26" s="5">
        <f t="shared" ref="W26:W38" si="12">V26</f>
        <v>0</v>
      </c>
      <c r="X26" s="5">
        <f>W26-AA26</f>
        <v>0</v>
      </c>
      <c r="Y26" s="5"/>
      <c r="Z26" s="26"/>
      <c r="AA26" s="5"/>
      <c r="AB26" s="5"/>
      <c r="AC26" s="26"/>
      <c r="AD26" s="1"/>
      <c r="AE26" s="1" t="e">
        <f>(F26+O26+P26+Q26+R26+X26+Z26+AA26+T26+AC26)/U26</f>
        <v>#DIV/0!</v>
      </c>
      <c r="AF26" s="10" t="e">
        <f>(F26+O26+P26+Q26+R26)/U26</f>
        <v>#DIV/0!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 t="s">
        <v>86</v>
      </c>
      <c r="AR26" s="1">
        <f>ROUND(G26*X26,0)</f>
        <v>0</v>
      </c>
      <c r="AS26" s="1">
        <f>ROUND(G26*AA26,0)</f>
        <v>0</v>
      </c>
      <c r="AT26" t="s">
        <v>100</v>
      </c>
    </row>
    <row r="27" spans="1:46" x14ac:dyDescent="0.25">
      <c r="A27" s="1" t="s">
        <v>101</v>
      </c>
      <c r="B27" s="1" t="s">
        <v>46</v>
      </c>
      <c r="C27" s="1">
        <v>1612.579</v>
      </c>
      <c r="D27" s="1">
        <v>4079.2809999999999</v>
      </c>
      <c r="E27" s="1">
        <v>2403.5349999999999</v>
      </c>
      <c r="F27" s="1">
        <v>2320.9810000000002</v>
      </c>
      <c r="G27" s="7">
        <v>1</v>
      </c>
      <c r="H27" s="1">
        <v>70</v>
      </c>
      <c r="I27" s="15" t="s">
        <v>102</v>
      </c>
      <c r="J27" s="1"/>
      <c r="K27" s="1">
        <v>2479.9340000000002</v>
      </c>
      <c r="L27" s="1">
        <f t="shared" si="8"/>
        <v>-76.399000000000342</v>
      </c>
      <c r="M27" s="1">
        <f t="shared" si="9"/>
        <v>2183.23</v>
      </c>
      <c r="N27" s="1">
        <v>220.30500000000001</v>
      </c>
      <c r="O27" s="1">
        <v>1634.8816684159999</v>
      </c>
      <c r="P27" s="1">
        <v>-1636.8</v>
      </c>
      <c r="Q27" s="1"/>
      <c r="R27" s="1">
        <v>655.11233600000003</v>
      </c>
      <c r="S27" s="1"/>
      <c r="T27" s="20"/>
      <c r="U27" s="1">
        <f t="shared" si="10"/>
        <v>436.64600000000002</v>
      </c>
      <c r="V27" s="5">
        <v>800</v>
      </c>
      <c r="W27" s="5">
        <f t="shared" si="12"/>
        <v>800</v>
      </c>
      <c r="X27" s="5">
        <f>W27-AA27</f>
        <v>384</v>
      </c>
      <c r="Y27" s="5"/>
      <c r="Z27" s="26"/>
      <c r="AA27" s="5">
        <f>W27*$AA$1</f>
        <v>416</v>
      </c>
      <c r="AB27" s="5"/>
      <c r="AC27" s="26"/>
      <c r="AD27" s="1"/>
      <c r="AE27" s="1">
        <f>(F27+O27+P27+Q27+R27+X27+Z27+AA27+T27+AC27)/U27</f>
        <v>8.6435579494968451</v>
      </c>
      <c r="AF27" s="1">
        <f>(F27+O27+P27+Q27+R27)/U27</f>
        <v>6.8114101684568276</v>
      </c>
      <c r="AG27" s="1">
        <v>375.16520000000003</v>
      </c>
      <c r="AH27" s="1">
        <v>497.58879999999999</v>
      </c>
      <c r="AI27" s="1">
        <v>453.67960000000011</v>
      </c>
      <c r="AJ27" s="1">
        <v>417.40320000000003</v>
      </c>
      <c r="AK27" s="1">
        <v>457.06279999999998</v>
      </c>
      <c r="AL27" s="1">
        <v>304.71480000000003</v>
      </c>
      <c r="AM27" s="1">
        <v>332.03960000000001</v>
      </c>
      <c r="AN27" s="1">
        <v>377.9864</v>
      </c>
      <c r="AO27" s="1">
        <v>429.1764</v>
      </c>
      <c r="AP27" s="1">
        <v>423.87560000000002</v>
      </c>
      <c r="AQ27" s="1"/>
      <c r="AR27" s="1">
        <f>ROUND(G27*X27,0)</f>
        <v>384</v>
      </c>
      <c r="AS27" s="1">
        <f>ROUND(G27*AA27,0)</f>
        <v>416</v>
      </c>
      <c r="AT27" t="s">
        <v>103</v>
      </c>
    </row>
    <row r="28" spans="1:46" x14ac:dyDescent="0.25">
      <c r="A28" s="1" t="s">
        <v>104</v>
      </c>
      <c r="B28" s="1" t="s">
        <v>46</v>
      </c>
      <c r="C28" s="1">
        <v>52.256999999999998</v>
      </c>
      <c r="D28" s="1">
        <v>39.143999999999998</v>
      </c>
      <c r="E28" s="1">
        <v>9.9030000000000005</v>
      </c>
      <c r="F28" s="1">
        <v>81.498000000000005</v>
      </c>
      <c r="G28" s="7">
        <v>1</v>
      </c>
      <c r="H28" s="1">
        <v>40</v>
      </c>
      <c r="I28" s="1" t="s">
        <v>47</v>
      </c>
      <c r="J28" s="1"/>
      <c r="K28" s="1">
        <v>10.7</v>
      </c>
      <c r="L28" s="1">
        <f t="shared" si="8"/>
        <v>-0.79699999999999882</v>
      </c>
      <c r="M28" s="1">
        <f t="shared" si="9"/>
        <v>9.9030000000000005</v>
      </c>
      <c r="N28" s="1"/>
      <c r="O28" s="1">
        <v>0</v>
      </c>
      <c r="P28" s="1"/>
      <c r="Q28" s="1"/>
      <c r="R28" s="1">
        <v>0</v>
      </c>
      <c r="S28" s="1"/>
      <c r="T28" s="20"/>
      <c r="U28" s="1">
        <f t="shared" si="10"/>
        <v>1.9806000000000001</v>
      </c>
      <c r="V28" s="5"/>
      <c r="W28" s="5">
        <f t="shared" si="12"/>
        <v>0</v>
      </c>
      <c r="X28" s="5">
        <f>W28-AA28</f>
        <v>0</v>
      </c>
      <c r="Y28" s="5"/>
      <c r="Z28" s="26"/>
      <c r="AA28" s="5"/>
      <c r="AB28" s="5"/>
      <c r="AC28" s="26"/>
      <c r="AD28" s="1"/>
      <c r="AE28" s="1">
        <f>(F28+O28+P28+Q28+R28+X28+Z28+AA28+T28+AC28)/U28</f>
        <v>41.148136928203577</v>
      </c>
      <c r="AF28" s="1">
        <f>(F28+O28+P28+Q28+R28)/U28</f>
        <v>41.148136928203577</v>
      </c>
      <c r="AG28" s="1">
        <v>1.2582</v>
      </c>
      <c r="AH28" s="1">
        <v>0.73199999999999998</v>
      </c>
      <c r="AI28" s="1">
        <v>1.3146</v>
      </c>
      <c r="AJ28" s="1">
        <v>7.8512000000000004</v>
      </c>
      <c r="AK28" s="1">
        <v>8.7356000000000016</v>
      </c>
      <c r="AL28" s="1">
        <v>3.5047999999999999</v>
      </c>
      <c r="AM28" s="1">
        <v>4.6479999999999997</v>
      </c>
      <c r="AN28" s="1">
        <v>5.9480000000000004</v>
      </c>
      <c r="AO28" s="1">
        <v>7.4024000000000001</v>
      </c>
      <c r="AP28" s="1">
        <v>6.2479999999999993</v>
      </c>
      <c r="AQ28" s="13" t="s">
        <v>80</v>
      </c>
      <c r="AR28" s="1">
        <f>ROUND(G28*X28,0)</f>
        <v>0</v>
      </c>
      <c r="AS28" s="1">
        <f>ROUND(G28*AA28,0)</f>
        <v>0</v>
      </c>
      <c r="AT28" t="s">
        <v>105</v>
      </c>
    </row>
    <row r="29" spans="1:46" x14ac:dyDescent="0.25">
      <c r="A29" s="10" t="s">
        <v>106</v>
      </c>
      <c r="B29" s="10" t="s">
        <v>46</v>
      </c>
      <c r="C29" s="10"/>
      <c r="D29" s="10"/>
      <c r="E29" s="10"/>
      <c r="F29" s="10"/>
      <c r="G29" s="11">
        <v>0</v>
      </c>
      <c r="H29" s="10"/>
      <c r="I29" s="10" t="s">
        <v>47</v>
      </c>
      <c r="J29" s="10"/>
      <c r="K29" s="10"/>
      <c r="L29" s="10">
        <f t="shared" si="8"/>
        <v>0</v>
      </c>
      <c r="M29" s="10">
        <f t="shared" si="9"/>
        <v>0</v>
      </c>
      <c r="N29" s="10"/>
      <c r="O29" s="10">
        <v>0</v>
      </c>
      <c r="P29" s="10"/>
      <c r="Q29" s="10"/>
      <c r="R29" s="10">
        <v>0</v>
      </c>
      <c r="S29" s="10"/>
      <c r="T29" s="22"/>
      <c r="U29" s="10">
        <f t="shared" si="10"/>
        <v>0</v>
      </c>
      <c r="V29" s="12"/>
      <c r="W29" s="5">
        <f t="shared" si="12"/>
        <v>0</v>
      </c>
      <c r="X29" s="5">
        <f>W29-AA29</f>
        <v>0</v>
      </c>
      <c r="Y29" s="5"/>
      <c r="Z29" s="26"/>
      <c r="AA29" s="5"/>
      <c r="AB29" s="5"/>
      <c r="AC29" s="26"/>
      <c r="AD29" s="1"/>
      <c r="AE29" s="1" t="e">
        <f>(F29+O29+P29+Q29+R29+X29+Z29+AA29+T29+AC29)/U29</f>
        <v>#DIV/0!</v>
      </c>
      <c r="AF29" s="10" t="e">
        <f>(F29+O29+P29+Q29+R29)/U29</f>
        <v>#DIV/0!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 t="s">
        <v>86</v>
      </c>
      <c r="AR29" s="1">
        <f>ROUND(G29*X29,0)</f>
        <v>0</v>
      </c>
      <c r="AS29" s="1">
        <f>ROUND(G29*AA29,0)</f>
        <v>0</v>
      </c>
      <c r="AT29" t="s">
        <v>107</v>
      </c>
    </row>
    <row r="30" spans="1:46" x14ac:dyDescent="0.25">
      <c r="A30" s="10" t="s">
        <v>108</v>
      </c>
      <c r="B30" s="10" t="s">
        <v>46</v>
      </c>
      <c r="C30" s="10"/>
      <c r="D30" s="10"/>
      <c r="E30" s="10"/>
      <c r="F30" s="10"/>
      <c r="G30" s="11">
        <v>0</v>
      </c>
      <c r="H30" s="10"/>
      <c r="I30" s="10" t="s">
        <v>102</v>
      </c>
      <c r="J30" s="10"/>
      <c r="K30" s="10"/>
      <c r="L30" s="10">
        <f t="shared" si="8"/>
        <v>0</v>
      </c>
      <c r="M30" s="10">
        <f t="shared" si="9"/>
        <v>0</v>
      </c>
      <c r="N30" s="10"/>
      <c r="O30" s="10">
        <v>0</v>
      </c>
      <c r="P30" s="10"/>
      <c r="Q30" s="10"/>
      <c r="R30" s="10">
        <v>0</v>
      </c>
      <c r="S30" s="10"/>
      <c r="T30" s="22"/>
      <c r="U30" s="10">
        <f t="shared" si="10"/>
        <v>0</v>
      </c>
      <c r="V30" s="12"/>
      <c r="W30" s="5">
        <f t="shared" si="12"/>
        <v>0</v>
      </c>
      <c r="X30" s="5">
        <f>W30-AA30</f>
        <v>0</v>
      </c>
      <c r="Y30" s="5"/>
      <c r="Z30" s="26"/>
      <c r="AA30" s="5"/>
      <c r="AB30" s="5"/>
      <c r="AC30" s="26"/>
      <c r="AD30" s="1"/>
      <c r="AE30" s="1" t="e">
        <f>(F30+O30+P30+Q30+R30+X30+Z30+AA30+T30+AC30)/U30</f>
        <v>#DIV/0!</v>
      </c>
      <c r="AF30" s="10" t="e">
        <f>(F30+O30+P30+Q30+R30)/U30</f>
        <v>#DIV/0!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 t="s">
        <v>86</v>
      </c>
      <c r="AR30" s="1">
        <f>ROUND(G30*X30,0)</f>
        <v>0</v>
      </c>
      <c r="AS30" s="1">
        <f>ROUND(G30*AA30,0)</f>
        <v>0</v>
      </c>
      <c r="AT30" t="s">
        <v>109</v>
      </c>
    </row>
    <row r="31" spans="1:46" x14ac:dyDescent="0.25">
      <c r="A31" s="1" t="s">
        <v>110</v>
      </c>
      <c r="B31" s="1" t="s">
        <v>46</v>
      </c>
      <c r="C31" s="1">
        <v>201.64599999999999</v>
      </c>
      <c r="D31" s="1">
        <v>2928.973</v>
      </c>
      <c r="E31" s="1">
        <v>1601.5619999999999</v>
      </c>
      <c r="F31" s="1">
        <v>1389.64</v>
      </c>
      <c r="G31" s="7">
        <v>1</v>
      </c>
      <c r="H31" s="1">
        <v>30</v>
      </c>
      <c r="I31" s="15" t="s">
        <v>102</v>
      </c>
      <c r="J31" s="1"/>
      <c r="K31" s="1">
        <v>1901.646</v>
      </c>
      <c r="L31" s="1">
        <f t="shared" si="8"/>
        <v>-300.08400000000006</v>
      </c>
      <c r="M31" s="1">
        <f t="shared" si="9"/>
        <v>1554.3639999999998</v>
      </c>
      <c r="N31" s="1">
        <v>47.198</v>
      </c>
      <c r="O31" s="1">
        <v>434</v>
      </c>
      <c r="P31" s="1">
        <v>0</v>
      </c>
      <c r="Q31" s="1">
        <v>500</v>
      </c>
      <c r="R31" s="1">
        <v>0</v>
      </c>
      <c r="S31" s="1"/>
      <c r="T31" s="20"/>
      <c r="U31" s="1">
        <f t="shared" si="10"/>
        <v>310.87279999999998</v>
      </c>
      <c r="V31" s="5">
        <v>800</v>
      </c>
      <c r="W31" s="5">
        <f t="shared" si="12"/>
        <v>800</v>
      </c>
      <c r="X31" s="5">
        <v>400</v>
      </c>
      <c r="Y31" s="5"/>
      <c r="Z31" s="26"/>
      <c r="AA31" s="5">
        <f>W31*$AA$1</f>
        <v>416</v>
      </c>
      <c r="AB31" s="5"/>
      <c r="AC31" s="26"/>
      <c r="AD31" s="1"/>
      <c r="AE31" s="1">
        <f>(F31+O31+P31+Q31+R31+X31+Z31+AA31+T31+AC31)/U31</f>
        <v>10.09943616810477</v>
      </c>
      <c r="AF31" s="1">
        <f>(F31+O31+P31+Q31+R31)/U31</f>
        <v>7.4745683765192723</v>
      </c>
      <c r="AG31" s="1">
        <v>178.89779999999999</v>
      </c>
      <c r="AH31" s="1">
        <v>437.43319999999989</v>
      </c>
      <c r="AI31" s="1">
        <v>568.72439999999995</v>
      </c>
      <c r="AJ31" s="1">
        <v>251.48259999999999</v>
      </c>
      <c r="AK31" s="1">
        <v>368.85539999999997</v>
      </c>
      <c r="AL31" s="1">
        <v>396.49419999999998</v>
      </c>
      <c r="AM31" s="1">
        <v>440.45499999999998</v>
      </c>
      <c r="AN31" s="1">
        <v>413.21019999999999</v>
      </c>
      <c r="AO31" s="1">
        <v>344.91699999999997</v>
      </c>
      <c r="AP31" s="1">
        <v>256.0514</v>
      </c>
      <c r="AQ31" s="1"/>
      <c r="AR31" s="1">
        <f>ROUND(G31*X31,0)</f>
        <v>400</v>
      </c>
      <c r="AS31" s="1">
        <f>ROUND(G31*AA31,0)</f>
        <v>416</v>
      </c>
      <c r="AT31" t="s">
        <v>111</v>
      </c>
    </row>
    <row r="32" spans="1:46" x14ac:dyDescent="0.25">
      <c r="A32" s="10" t="s">
        <v>112</v>
      </c>
      <c r="B32" s="10" t="s">
        <v>46</v>
      </c>
      <c r="C32" s="10">
        <v>-0.23</v>
      </c>
      <c r="D32" s="10"/>
      <c r="E32" s="10"/>
      <c r="F32" s="10">
        <v>-0.23</v>
      </c>
      <c r="G32" s="11">
        <v>0</v>
      </c>
      <c r="H32" s="10">
        <v>40</v>
      </c>
      <c r="I32" s="10" t="s">
        <v>72</v>
      </c>
      <c r="J32" s="10"/>
      <c r="K32" s="10">
        <v>10</v>
      </c>
      <c r="L32" s="10">
        <f t="shared" si="8"/>
        <v>-10</v>
      </c>
      <c r="M32" s="10">
        <f t="shared" si="9"/>
        <v>0</v>
      </c>
      <c r="N32" s="10"/>
      <c r="O32" s="10">
        <v>0</v>
      </c>
      <c r="P32" s="10"/>
      <c r="Q32" s="10"/>
      <c r="R32" s="10">
        <v>0</v>
      </c>
      <c r="S32" s="10"/>
      <c r="T32" s="22"/>
      <c r="U32" s="10">
        <f t="shared" si="10"/>
        <v>0</v>
      </c>
      <c r="V32" s="12"/>
      <c r="W32" s="5">
        <f t="shared" si="12"/>
        <v>0</v>
      </c>
      <c r="X32" s="5">
        <f>W32-AA32</f>
        <v>0</v>
      </c>
      <c r="Y32" s="5"/>
      <c r="Z32" s="26"/>
      <c r="AA32" s="5"/>
      <c r="AB32" s="5"/>
      <c r="AC32" s="26"/>
      <c r="AD32" s="1"/>
      <c r="AE32" s="1" t="e">
        <f>(F32+O32+P32+Q32+R32+X32+Z32+AA32+T32+AC32)/U32</f>
        <v>#DIV/0!</v>
      </c>
      <c r="AF32" s="10" t="e">
        <f>(F32+O32+P32+Q32+R32)/U32</f>
        <v>#DIV/0!</v>
      </c>
      <c r="AG32" s="10">
        <v>0</v>
      </c>
      <c r="AH32" s="10">
        <v>0</v>
      </c>
      <c r="AI32" s="10">
        <v>-9.8000000000000004E-2</v>
      </c>
      <c r="AJ32" s="10">
        <v>12.5518</v>
      </c>
      <c r="AK32" s="10">
        <v>13.9894</v>
      </c>
      <c r="AL32" s="10">
        <v>4.5703999999999994</v>
      </c>
      <c r="AM32" s="10">
        <v>4.0182000000000002</v>
      </c>
      <c r="AN32" s="10">
        <v>1.0573999999999999</v>
      </c>
      <c r="AO32" s="10">
        <v>8.8558000000000003</v>
      </c>
      <c r="AP32" s="10">
        <v>9.4266000000000005</v>
      </c>
      <c r="AQ32" s="10"/>
      <c r="AR32" s="1">
        <f>ROUND(G32*X32,0)</f>
        <v>0</v>
      </c>
      <c r="AS32" s="1">
        <f>ROUND(G32*AA32,0)</f>
        <v>0</v>
      </c>
      <c r="AT32" t="s">
        <v>113</v>
      </c>
    </row>
    <row r="33" spans="1:46" x14ac:dyDescent="0.25">
      <c r="A33" s="1" t="s">
        <v>114</v>
      </c>
      <c r="B33" s="1" t="s">
        <v>46</v>
      </c>
      <c r="C33" s="1">
        <v>-112.038</v>
      </c>
      <c r="D33" s="1">
        <v>2984.57</v>
      </c>
      <c r="E33" s="1">
        <v>1640.7650000000001</v>
      </c>
      <c r="F33" s="1">
        <v>1130.2159999999999</v>
      </c>
      <c r="G33" s="7">
        <v>1</v>
      </c>
      <c r="H33" s="1">
        <v>40</v>
      </c>
      <c r="I33" s="15" t="s">
        <v>102</v>
      </c>
      <c r="J33" s="1"/>
      <c r="K33" s="1">
        <v>3104.2759999999998</v>
      </c>
      <c r="L33" s="1">
        <f t="shared" si="8"/>
        <v>-1463.5109999999997</v>
      </c>
      <c r="M33" s="1">
        <f t="shared" si="9"/>
        <v>1640.7650000000001</v>
      </c>
      <c r="N33" s="1"/>
      <c r="O33" s="1">
        <v>936</v>
      </c>
      <c r="P33" s="1">
        <v>0</v>
      </c>
      <c r="Q33" s="1">
        <v>1000</v>
      </c>
      <c r="R33" s="1">
        <v>1000</v>
      </c>
      <c r="S33" s="1">
        <v>-1008</v>
      </c>
      <c r="T33" s="20"/>
      <c r="U33" s="1">
        <f t="shared" si="10"/>
        <v>328.15300000000002</v>
      </c>
      <c r="V33" s="5">
        <v>1000</v>
      </c>
      <c r="W33" s="5">
        <f t="shared" si="12"/>
        <v>1000</v>
      </c>
      <c r="X33" s="5">
        <f>W33-AA33</f>
        <v>480</v>
      </c>
      <c r="Y33" s="5">
        <v>-486</v>
      </c>
      <c r="Z33" s="26"/>
      <c r="AA33" s="5">
        <f>W33*$AA$1</f>
        <v>520</v>
      </c>
      <c r="AB33" s="5">
        <v>-522</v>
      </c>
      <c r="AC33" s="26"/>
      <c r="AD33" s="1"/>
      <c r="AE33" s="1">
        <f>(F33+O33+P33+Q33+R33+X33+Z33+AA33+T33+AC33)/U33</f>
        <v>15.438578955548174</v>
      </c>
      <c r="AF33" s="1">
        <f>(F33+O33+P33+Q33+R33)/U33</f>
        <v>12.391219949230997</v>
      </c>
      <c r="AG33" s="1">
        <v>-0.84619999999999995</v>
      </c>
      <c r="AH33" s="1">
        <v>8.5924000000000014</v>
      </c>
      <c r="AI33" s="1">
        <v>9.855599999999999</v>
      </c>
      <c r="AJ33" s="1">
        <v>688.04320000000007</v>
      </c>
      <c r="AK33" s="1">
        <v>1184.2532000000001</v>
      </c>
      <c r="AL33" s="1">
        <v>1031.4698000000001</v>
      </c>
      <c r="AM33" s="1">
        <v>1271.6156000000001</v>
      </c>
      <c r="AN33" s="1">
        <v>1208.7454</v>
      </c>
      <c r="AO33" s="1">
        <v>1373.8782000000001</v>
      </c>
      <c r="AP33" s="1">
        <v>1608.1394</v>
      </c>
      <c r="AQ33" s="1"/>
      <c r="AR33" s="1">
        <f>ROUND(G33*X33,0)</f>
        <v>480</v>
      </c>
      <c r="AS33" s="1">
        <f>ROUND(G33*AA33,0)</f>
        <v>520</v>
      </c>
      <c r="AT33" t="s">
        <v>115</v>
      </c>
    </row>
    <row r="34" spans="1:46" x14ac:dyDescent="0.25">
      <c r="A34" s="10" t="s">
        <v>116</v>
      </c>
      <c r="B34" s="10" t="s">
        <v>46</v>
      </c>
      <c r="C34" s="10"/>
      <c r="D34" s="10"/>
      <c r="E34" s="10"/>
      <c r="F34" s="10"/>
      <c r="G34" s="11">
        <v>0</v>
      </c>
      <c r="H34" s="10"/>
      <c r="I34" s="10" t="s">
        <v>47</v>
      </c>
      <c r="J34" s="10"/>
      <c r="K34" s="10"/>
      <c r="L34" s="10">
        <f t="shared" si="8"/>
        <v>0</v>
      </c>
      <c r="M34" s="10">
        <f t="shared" si="9"/>
        <v>0</v>
      </c>
      <c r="N34" s="10"/>
      <c r="O34" s="10">
        <v>0</v>
      </c>
      <c r="P34" s="10"/>
      <c r="Q34" s="10"/>
      <c r="R34" s="10">
        <v>0</v>
      </c>
      <c r="S34" s="10"/>
      <c r="T34" s="22"/>
      <c r="U34" s="10">
        <f t="shared" si="10"/>
        <v>0</v>
      </c>
      <c r="V34" s="12"/>
      <c r="W34" s="5">
        <f t="shared" si="12"/>
        <v>0</v>
      </c>
      <c r="X34" s="5">
        <f>W34-AA34</f>
        <v>0</v>
      </c>
      <c r="Y34" s="5"/>
      <c r="Z34" s="26"/>
      <c r="AA34" s="5"/>
      <c r="AB34" s="5"/>
      <c r="AC34" s="26"/>
      <c r="AD34" s="1"/>
      <c r="AE34" s="1" t="e">
        <f>(F34+O34+P34+Q34+R34+X34+Z34+AA34+T34+AC34)/U34</f>
        <v>#DIV/0!</v>
      </c>
      <c r="AF34" s="10" t="e">
        <f>(F34+O34+P34+Q34+R34)/U34</f>
        <v>#DIV/0!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 t="s">
        <v>86</v>
      </c>
      <c r="AR34" s="1">
        <f>ROUND(G34*X34,0)</f>
        <v>0</v>
      </c>
      <c r="AS34" s="1">
        <f>ROUND(G34*AA34,0)</f>
        <v>0</v>
      </c>
      <c r="AT34" t="s">
        <v>117</v>
      </c>
    </row>
    <row r="35" spans="1:46" x14ac:dyDescent="0.25">
      <c r="A35" s="10" t="s">
        <v>118</v>
      </c>
      <c r="B35" s="10" t="s">
        <v>46</v>
      </c>
      <c r="C35" s="10"/>
      <c r="D35" s="10"/>
      <c r="E35" s="10"/>
      <c r="F35" s="10"/>
      <c r="G35" s="11">
        <v>0</v>
      </c>
      <c r="H35" s="10"/>
      <c r="I35" s="10" t="s">
        <v>47</v>
      </c>
      <c r="J35" s="10"/>
      <c r="K35" s="10"/>
      <c r="L35" s="10">
        <f t="shared" si="8"/>
        <v>0</v>
      </c>
      <c r="M35" s="10">
        <f t="shared" si="9"/>
        <v>0</v>
      </c>
      <c r="N35" s="10"/>
      <c r="O35" s="10">
        <v>0</v>
      </c>
      <c r="P35" s="10"/>
      <c r="Q35" s="10"/>
      <c r="R35" s="10">
        <v>0</v>
      </c>
      <c r="S35" s="10"/>
      <c r="T35" s="22"/>
      <c r="U35" s="10">
        <f t="shared" si="10"/>
        <v>0</v>
      </c>
      <c r="V35" s="12"/>
      <c r="W35" s="5">
        <f t="shared" si="12"/>
        <v>0</v>
      </c>
      <c r="X35" s="5">
        <f>W35-AA35</f>
        <v>0</v>
      </c>
      <c r="Y35" s="5"/>
      <c r="Z35" s="26"/>
      <c r="AA35" s="5"/>
      <c r="AB35" s="5"/>
      <c r="AC35" s="26"/>
      <c r="AD35" s="1"/>
      <c r="AE35" s="1" t="e">
        <f>(F35+O35+P35+Q35+R35+X35+Z35+AA35+T35+AC35)/U35</f>
        <v>#DIV/0!</v>
      </c>
      <c r="AF35" s="10" t="e">
        <f>(F35+O35+P35+Q35+R35)/U35</f>
        <v>#DIV/0!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 t="s">
        <v>86</v>
      </c>
      <c r="AR35" s="1">
        <f>ROUND(G35*X35,0)</f>
        <v>0</v>
      </c>
      <c r="AS35" s="1">
        <f>ROUND(G35*AA35,0)</f>
        <v>0</v>
      </c>
      <c r="AT35" t="s">
        <v>119</v>
      </c>
    </row>
    <row r="36" spans="1:46" x14ac:dyDescent="0.25">
      <c r="A36" s="10" t="s">
        <v>120</v>
      </c>
      <c r="B36" s="10" t="s">
        <v>46</v>
      </c>
      <c r="C36" s="10"/>
      <c r="D36" s="10"/>
      <c r="E36" s="10"/>
      <c r="F36" s="10"/>
      <c r="G36" s="11">
        <v>0</v>
      </c>
      <c r="H36" s="10"/>
      <c r="I36" s="10" t="s">
        <v>47</v>
      </c>
      <c r="J36" s="10"/>
      <c r="K36" s="10"/>
      <c r="L36" s="10">
        <f t="shared" si="8"/>
        <v>0</v>
      </c>
      <c r="M36" s="10">
        <f t="shared" si="9"/>
        <v>0</v>
      </c>
      <c r="N36" s="10"/>
      <c r="O36" s="10">
        <v>0</v>
      </c>
      <c r="P36" s="10"/>
      <c r="Q36" s="10"/>
      <c r="R36" s="10">
        <v>0</v>
      </c>
      <c r="S36" s="10"/>
      <c r="T36" s="22"/>
      <c r="U36" s="10">
        <f t="shared" si="10"/>
        <v>0</v>
      </c>
      <c r="V36" s="12"/>
      <c r="W36" s="5">
        <f t="shared" si="12"/>
        <v>0</v>
      </c>
      <c r="X36" s="5">
        <f>W36-AA36</f>
        <v>0</v>
      </c>
      <c r="Y36" s="5"/>
      <c r="Z36" s="26"/>
      <c r="AA36" s="5"/>
      <c r="AB36" s="5"/>
      <c r="AC36" s="26"/>
      <c r="AD36" s="1"/>
      <c r="AE36" s="1" t="e">
        <f>(F36+O36+P36+Q36+R36+X36+Z36+AA36+T36+AC36)/U36</f>
        <v>#DIV/0!</v>
      </c>
      <c r="AF36" s="10" t="e">
        <f>(F36+O36+P36+Q36+R36)/U36</f>
        <v>#DIV/0!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 t="s">
        <v>86</v>
      </c>
      <c r="AR36" s="1">
        <f>ROUND(G36*X36,0)</f>
        <v>0</v>
      </c>
      <c r="AS36" s="1">
        <f>ROUND(G36*AA36,0)</f>
        <v>0</v>
      </c>
      <c r="AT36" t="s">
        <v>121</v>
      </c>
    </row>
    <row r="37" spans="1:46" x14ac:dyDescent="0.25">
      <c r="A37" s="10" t="s">
        <v>122</v>
      </c>
      <c r="B37" s="10" t="s">
        <v>46</v>
      </c>
      <c r="C37" s="10"/>
      <c r="D37" s="10"/>
      <c r="E37" s="10"/>
      <c r="F37" s="10"/>
      <c r="G37" s="11">
        <v>0</v>
      </c>
      <c r="H37" s="10"/>
      <c r="I37" s="10" t="s">
        <v>47</v>
      </c>
      <c r="J37" s="10"/>
      <c r="K37" s="10"/>
      <c r="L37" s="10">
        <f t="shared" si="8"/>
        <v>0</v>
      </c>
      <c r="M37" s="10">
        <f t="shared" si="9"/>
        <v>0</v>
      </c>
      <c r="N37" s="10"/>
      <c r="O37" s="10">
        <v>0</v>
      </c>
      <c r="P37" s="10"/>
      <c r="Q37" s="10"/>
      <c r="R37" s="10">
        <v>0</v>
      </c>
      <c r="S37" s="10"/>
      <c r="T37" s="22"/>
      <c r="U37" s="10">
        <f t="shared" si="10"/>
        <v>0</v>
      </c>
      <c r="V37" s="12"/>
      <c r="W37" s="5">
        <f t="shared" si="12"/>
        <v>0</v>
      </c>
      <c r="X37" s="5">
        <f>W37-AA37</f>
        <v>0</v>
      </c>
      <c r="Y37" s="5"/>
      <c r="Z37" s="26"/>
      <c r="AA37" s="5"/>
      <c r="AB37" s="5"/>
      <c r="AC37" s="26"/>
      <c r="AD37" s="1"/>
      <c r="AE37" s="1" t="e">
        <f>(F37+O37+P37+Q37+R37+X37+Z37+AA37+T37+AC37)/U37</f>
        <v>#DIV/0!</v>
      </c>
      <c r="AF37" s="10" t="e">
        <f>(F37+O37+P37+Q37+R37)/U37</f>
        <v>#DIV/0!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 t="s">
        <v>86</v>
      </c>
      <c r="AR37" s="1">
        <f>ROUND(G37*X37,0)</f>
        <v>0</v>
      </c>
      <c r="AS37" s="1">
        <f>ROUND(G37*AA37,0)</f>
        <v>0</v>
      </c>
      <c r="AT37" t="s">
        <v>123</v>
      </c>
    </row>
    <row r="38" spans="1:46" x14ac:dyDescent="0.25">
      <c r="A38" s="1" t="s">
        <v>124</v>
      </c>
      <c r="B38" s="1" t="s">
        <v>54</v>
      </c>
      <c r="C38" s="1">
        <v>101</v>
      </c>
      <c r="D38" s="1">
        <v>4604</v>
      </c>
      <c r="E38" s="1">
        <v>3348</v>
      </c>
      <c r="F38" s="1">
        <v>997</v>
      </c>
      <c r="G38" s="7">
        <v>0.4</v>
      </c>
      <c r="H38" s="1">
        <v>45</v>
      </c>
      <c r="I38" s="15" t="s">
        <v>102</v>
      </c>
      <c r="J38" s="1"/>
      <c r="K38" s="1">
        <v>5052</v>
      </c>
      <c r="L38" s="1">
        <f t="shared" ref="L38:L69" si="13">E38-K38</f>
        <v>-1704</v>
      </c>
      <c r="M38" s="1">
        <f t="shared" ref="M38:M69" si="14">E38-N38</f>
        <v>3168</v>
      </c>
      <c r="N38" s="1">
        <v>180</v>
      </c>
      <c r="O38" s="1">
        <v>992</v>
      </c>
      <c r="P38" s="1">
        <v>0</v>
      </c>
      <c r="Q38" s="1"/>
      <c r="R38" s="1">
        <v>1000</v>
      </c>
      <c r="S38" s="1"/>
      <c r="T38" s="20"/>
      <c r="U38" s="1">
        <f t="shared" ref="U38:U69" si="15">M38/5</f>
        <v>633.6</v>
      </c>
      <c r="V38" s="5">
        <v>1500</v>
      </c>
      <c r="W38" s="5">
        <f t="shared" si="12"/>
        <v>1500</v>
      </c>
      <c r="X38" s="5">
        <f>W38-AA38</f>
        <v>720</v>
      </c>
      <c r="Y38" s="5"/>
      <c r="Z38" s="26"/>
      <c r="AA38" s="5">
        <f>W38*$AA$1</f>
        <v>780</v>
      </c>
      <c r="AB38" s="5"/>
      <c r="AC38" s="26"/>
      <c r="AD38" s="1"/>
      <c r="AE38" s="1">
        <f>(F38+O38+P38+Q38+R38+X38+Z38+AA38+T38+AC38)/U38</f>
        <v>7.0849116161616159</v>
      </c>
      <c r="AF38" s="1">
        <f>(F38+O38+P38+Q38+R38)/U38</f>
        <v>4.7174873737373737</v>
      </c>
      <c r="AG38" s="1">
        <v>113.2</v>
      </c>
      <c r="AH38" s="1">
        <v>461.2</v>
      </c>
      <c r="AI38" s="1">
        <v>811.2</v>
      </c>
      <c r="AJ38" s="1">
        <v>861.6</v>
      </c>
      <c r="AK38" s="1">
        <v>877.4</v>
      </c>
      <c r="AL38" s="1">
        <v>623.4</v>
      </c>
      <c r="AM38" s="1">
        <v>584.79999999999995</v>
      </c>
      <c r="AN38" s="1">
        <v>637.6</v>
      </c>
      <c r="AO38" s="1">
        <v>816</v>
      </c>
      <c r="AP38" s="1">
        <v>898.6</v>
      </c>
      <c r="AQ38" s="1"/>
      <c r="AR38" s="1">
        <f>ROUND(G38*X38,0)</f>
        <v>288</v>
      </c>
      <c r="AS38" s="1">
        <f>ROUND(G38*AA38,0)</f>
        <v>312</v>
      </c>
      <c r="AT38" t="s">
        <v>125</v>
      </c>
    </row>
    <row r="39" spans="1:46" x14ac:dyDescent="0.25">
      <c r="A39" s="1" t="s">
        <v>126</v>
      </c>
      <c r="B39" s="1" t="s">
        <v>54</v>
      </c>
      <c r="C39" s="1">
        <v>887.75</v>
      </c>
      <c r="D39" s="1">
        <v>634</v>
      </c>
      <c r="E39" s="1">
        <v>563</v>
      </c>
      <c r="F39" s="1">
        <v>837.75</v>
      </c>
      <c r="G39" s="7">
        <v>0.45</v>
      </c>
      <c r="H39" s="1">
        <v>50</v>
      </c>
      <c r="I39" s="1" t="s">
        <v>47</v>
      </c>
      <c r="J39" s="1"/>
      <c r="K39" s="1">
        <v>785</v>
      </c>
      <c r="L39" s="1">
        <f t="shared" si="13"/>
        <v>-222</v>
      </c>
      <c r="M39" s="1">
        <f t="shared" si="14"/>
        <v>563</v>
      </c>
      <c r="N39" s="1"/>
      <c r="O39" s="1">
        <v>0</v>
      </c>
      <c r="P39" s="1"/>
      <c r="Q39" s="1"/>
      <c r="R39" s="1">
        <v>0</v>
      </c>
      <c r="S39" s="1"/>
      <c r="T39" s="20"/>
      <c r="U39" s="1">
        <f t="shared" si="15"/>
        <v>112.6</v>
      </c>
      <c r="V39" s="5">
        <f>12*U39-R39-Q39-P39-O39-F39</f>
        <v>513.44999999999982</v>
      </c>
      <c r="W39" s="5">
        <v>200</v>
      </c>
      <c r="X39" s="5">
        <f>W39-AA39</f>
        <v>200</v>
      </c>
      <c r="Y39" s="5"/>
      <c r="Z39" s="26"/>
      <c r="AA39" s="5"/>
      <c r="AB39" s="5"/>
      <c r="AC39" s="26"/>
      <c r="AD39" s="1" t="s">
        <v>127</v>
      </c>
      <c r="AE39" s="1">
        <f>(F39+O39+P39+Q39+R39+X39+Z39+AA39+T39+AC39)/U39</f>
        <v>9.2162522202486681</v>
      </c>
      <c r="AF39" s="1">
        <f>(F39+O39+P39+Q39+R39)/U39</f>
        <v>7.4400532859680286</v>
      </c>
      <c r="AG39" s="1">
        <v>71</v>
      </c>
      <c r="AH39" s="1">
        <v>70.400000000000006</v>
      </c>
      <c r="AI39" s="1">
        <v>98.4</v>
      </c>
      <c r="AJ39" s="1">
        <v>126.8</v>
      </c>
      <c r="AK39" s="1">
        <v>127.8</v>
      </c>
      <c r="AL39" s="1">
        <v>67.2</v>
      </c>
      <c r="AM39" s="1">
        <v>118.2</v>
      </c>
      <c r="AN39" s="1">
        <v>109.4</v>
      </c>
      <c r="AO39" s="1">
        <v>109.6</v>
      </c>
      <c r="AP39" s="1">
        <v>174.8</v>
      </c>
      <c r="AQ39" s="1"/>
      <c r="AR39" s="1">
        <f>ROUND(G39*X39,0)</f>
        <v>90</v>
      </c>
      <c r="AS39" s="1">
        <f>ROUND(G39*AA39,0)</f>
        <v>0</v>
      </c>
      <c r="AT39" t="s">
        <v>128</v>
      </c>
    </row>
    <row r="40" spans="1:46" x14ac:dyDescent="0.25">
      <c r="A40" s="1" t="s">
        <v>129</v>
      </c>
      <c r="B40" s="1" t="s">
        <v>54</v>
      </c>
      <c r="C40" s="1">
        <v>265</v>
      </c>
      <c r="D40" s="1">
        <v>450</v>
      </c>
      <c r="E40" s="1">
        <v>611</v>
      </c>
      <c r="F40" s="1">
        <v>-5</v>
      </c>
      <c r="G40" s="7">
        <v>0.4</v>
      </c>
      <c r="H40" s="1">
        <v>45</v>
      </c>
      <c r="I40" s="15" t="s">
        <v>102</v>
      </c>
      <c r="J40" s="1"/>
      <c r="K40" s="1">
        <v>1585</v>
      </c>
      <c r="L40" s="1">
        <f t="shared" si="13"/>
        <v>-974</v>
      </c>
      <c r="M40" s="1">
        <f t="shared" si="14"/>
        <v>611</v>
      </c>
      <c r="N40" s="1"/>
      <c r="O40" s="1">
        <v>500</v>
      </c>
      <c r="P40" s="1">
        <v>0</v>
      </c>
      <c r="Q40" s="1"/>
      <c r="R40" s="1">
        <v>210.8</v>
      </c>
      <c r="S40" s="1">
        <v>-210</v>
      </c>
      <c r="T40" s="20"/>
      <c r="U40" s="1">
        <f t="shared" si="15"/>
        <v>122.2</v>
      </c>
      <c r="V40" s="5">
        <v>400</v>
      </c>
      <c r="W40" s="5">
        <f t="shared" ref="W40:W75" si="16">V40</f>
        <v>400</v>
      </c>
      <c r="X40" s="5">
        <v>200</v>
      </c>
      <c r="Y40" s="5">
        <v>-205</v>
      </c>
      <c r="Z40" s="26"/>
      <c r="AA40" s="5">
        <f>W40*$AA$1</f>
        <v>208</v>
      </c>
      <c r="AB40" s="5"/>
      <c r="AC40" s="26"/>
      <c r="AD40" s="1"/>
      <c r="AE40" s="1">
        <f>(F40+O40+P40+Q40+R40+X40+Z40+AA40+T40+AC40)/U40</f>
        <v>9.1145662847790501</v>
      </c>
      <c r="AF40" s="1">
        <f>(F40+O40+P40+Q40+R40)/U40</f>
        <v>5.7757774140752858</v>
      </c>
      <c r="AG40" s="1">
        <v>91.8</v>
      </c>
      <c r="AH40" s="1">
        <v>163.6</v>
      </c>
      <c r="AI40" s="1">
        <v>166.8</v>
      </c>
      <c r="AJ40" s="1">
        <v>188.8</v>
      </c>
      <c r="AK40" s="1">
        <v>301.60000000000002</v>
      </c>
      <c r="AL40" s="1">
        <v>192.2</v>
      </c>
      <c r="AM40" s="1">
        <v>141.6</v>
      </c>
      <c r="AN40" s="1">
        <v>149</v>
      </c>
      <c r="AO40" s="1">
        <v>204.2</v>
      </c>
      <c r="AP40" s="1">
        <v>235.2</v>
      </c>
      <c r="AQ40" s="1"/>
      <c r="AR40" s="1">
        <f>ROUND(G40*X40,0)</f>
        <v>80</v>
      </c>
      <c r="AS40" s="1">
        <f>ROUND(G40*AA40,0)</f>
        <v>83</v>
      </c>
      <c r="AT40" t="s">
        <v>130</v>
      </c>
    </row>
    <row r="41" spans="1:46" x14ac:dyDescent="0.25">
      <c r="A41" s="1" t="s">
        <v>131</v>
      </c>
      <c r="B41" s="1" t="s">
        <v>54</v>
      </c>
      <c r="C41" s="1">
        <v>131</v>
      </c>
      <c r="D41" s="1">
        <v>127</v>
      </c>
      <c r="E41" s="1">
        <v>230</v>
      </c>
      <c r="F41" s="1">
        <v>-33</v>
      </c>
      <c r="G41" s="7">
        <v>0.4</v>
      </c>
      <c r="H41" s="1">
        <v>40</v>
      </c>
      <c r="I41" s="15" t="s">
        <v>102</v>
      </c>
      <c r="J41" s="1"/>
      <c r="K41" s="1">
        <v>835</v>
      </c>
      <c r="L41" s="1">
        <f t="shared" si="13"/>
        <v>-605</v>
      </c>
      <c r="M41" s="1">
        <f t="shared" si="14"/>
        <v>230</v>
      </c>
      <c r="N41" s="1"/>
      <c r="O41" s="1">
        <v>400</v>
      </c>
      <c r="P41" s="1">
        <v>-402</v>
      </c>
      <c r="Q41" s="1"/>
      <c r="R41" s="1">
        <v>250</v>
      </c>
      <c r="S41" s="1">
        <v>-252.5</v>
      </c>
      <c r="T41" s="20"/>
      <c r="U41" s="1">
        <f t="shared" si="15"/>
        <v>46</v>
      </c>
      <c r="V41" s="5">
        <v>200</v>
      </c>
      <c r="W41" s="5">
        <f t="shared" si="16"/>
        <v>200</v>
      </c>
      <c r="X41" s="5">
        <v>200</v>
      </c>
      <c r="Y41" s="5">
        <v>-205</v>
      </c>
      <c r="Z41" s="26"/>
      <c r="AA41" s="5">
        <v>100</v>
      </c>
      <c r="AB41" s="5">
        <v>-101.99999999999999</v>
      </c>
      <c r="AC41" s="26"/>
      <c r="AD41" s="1"/>
      <c r="AE41" s="1">
        <f>(F41+O41+P41+Q41+R41+X41+Z41+AA41+T41+AC41)/U41</f>
        <v>11.195652173913043</v>
      </c>
      <c r="AF41" s="1">
        <f>(F41+O41+P41+Q41+R41)/U41</f>
        <v>4.6739130434782608</v>
      </c>
      <c r="AG41" s="1">
        <v>64.400000000000006</v>
      </c>
      <c r="AH41" s="1">
        <v>125</v>
      </c>
      <c r="AI41" s="1">
        <v>116.2</v>
      </c>
      <c r="AJ41" s="1">
        <v>86.8</v>
      </c>
      <c r="AK41" s="1">
        <v>126.8</v>
      </c>
      <c r="AL41" s="1">
        <v>86</v>
      </c>
      <c r="AM41" s="1">
        <v>78.400000000000006</v>
      </c>
      <c r="AN41" s="1">
        <v>89</v>
      </c>
      <c r="AO41" s="1">
        <v>117.4</v>
      </c>
      <c r="AP41" s="1">
        <v>80.400000000000006</v>
      </c>
      <c r="AQ41" s="1"/>
      <c r="AR41" s="1">
        <f>ROUND(G41*X41,0)</f>
        <v>80</v>
      </c>
      <c r="AS41" s="1">
        <f>ROUND(G41*AA41,0)</f>
        <v>40</v>
      </c>
      <c r="AT41" t="s">
        <v>132</v>
      </c>
    </row>
    <row r="42" spans="1:46" x14ac:dyDescent="0.25">
      <c r="A42" s="1" t="s">
        <v>133</v>
      </c>
      <c r="B42" s="1" t="s">
        <v>46</v>
      </c>
      <c r="C42" s="1"/>
      <c r="D42" s="1"/>
      <c r="E42" s="1"/>
      <c r="F42" s="1"/>
      <c r="G42" s="7">
        <v>1</v>
      </c>
      <c r="H42" s="1"/>
      <c r="I42" s="15" t="s">
        <v>102</v>
      </c>
      <c r="J42" s="1"/>
      <c r="K42" s="1"/>
      <c r="L42" s="1">
        <f t="shared" si="13"/>
        <v>0</v>
      </c>
      <c r="M42" s="1">
        <f t="shared" si="14"/>
        <v>0</v>
      </c>
      <c r="N42" s="1"/>
      <c r="O42" s="1">
        <v>0</v>
      </c>
      <c r="P42" s="1"/>
      <c r="Q42" s="1"/>
      <c r="R42" s="1">
        <v>20</v>
      </c>
      <c r="S42" s="1"/>
      <c r="T42" s="20"/>
      <c r="U42" s="1">
        <f t="shared" si="15"/>
        <v>0</v>
      </c>
      <c r="V42" s="5">
        <v>20</v>
      </c>
      <c r="W42" s="5">
        <f t="shared" si="16"/>
        <v>20</v>
      </c>
      <c r="X42" s="5">
        <v>20</v>
      </c>
      <c r="Y42" s="5"/>
      <c r="Z42" s="26"/>
      <c r="AA42" s="5">
        <v>20</v>
      </c>
      <c r="AB42" s="5"/>
      <c r="AC42" s="26"/>
      <c r="AD42" s="1"/>
      <c r="AE42" s="1" t="e">
        <f>(F42+O42+P42+Q42+R42+X42+Z42+AA42+T42+AC42)/U42</f>
        <v>#DIV/0!</v>
      </c>
      <c r="AF42" s="1" t="e">
        <f>(F42+O42+P42+Q42+R42)/U42</f>
        <v>#DIV/0!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 t="s">
        <v>134</v>
      </c>
      <c r="AR42" s="1">
        <f>ROUND(G42*X42,0)</f>
        <v>20</v>
      </c>
      <c r="AS42" s="1">
        <f>ROUND(G42*AA42,0)</f>
        <v>20</v>
      </c>
      <c r="AT42" t="s">
        <v>135</v>
      </c>
    </row>
    <row r="43" spans="1:46" x14ac:dyDescent="0.25">
      <c r="A43" s="1" t="s">
        <v>136</v>
      </c>
      <c r="B43" s="1" t="s">
        <v>54</v>
      </c>
      <c r="C43" s="1">
        <v>346</v>
      </c>
      <c r="D43" s="1">
        <v>245</v>
      </c>
      <c r="E43" s="1">
        <v>207</v>
      </c>
      <c r="F43" s="1">
        <v>327</v>
      </c>
      <c r="G43" s="7">
        <v>0.1</v>
      </c>
      <c r="H43" s="1">
        <v>731</v>
      </c>
      <c r="I43" s="1" t="s">
        <v>47</v>
      </c>
      <c r="J43" s="1"/>
      <c r="K43" s="1">
        <v>262</v>
      </c>
      <c r="L43" s="1">
        <f t="shared" si="13"/>
        <v>-55</v>
      </c>
      <c r="M43" s="1">
        <f t="shared" si="14"/>
        <v>207</v>
      </c>
      <c r="N43" s="1"/>
      <c r="O43" s="1">
        <v>0</v>
      </c>
      <c r="P43" s="1"/>
      <c r="Q43" s="1"/>
      <c r="R43" s="1">
        <v>0</v>
      </c>
      <c r="S43" s="1"/>
      <c r="T43" s="20"/>
      <c r="U43" s="1">
        <f t="shared" si="15"/>
        <v>41.4</v>
      </c>
      <c r="V43" s="5">
        <f>12*U43-R43-Q43-P43-O43-F43</f>
        <v>169.79999999999995</v>
      </c>
      <c r="W43" s="5">
        <f t="shared" si="16"/>
        <v>169.79999999999995</v>
      </c>
      <c r="X43" s="5">
        <f>W43-AA43</f>
        <v>169.79999999999995</v>
      </c>
      <c r="Y43" s="5"/>
      <c r="Z43" s="26"/>
      <c r="AA43" s="5"/>
      <c r="AB43" s="5"/>
      <c r="AC43" s="26"/>
      <c r="AD43" s="1"/>
      <c r="AE43" s="1">
        <f>(F43+O43+P43+Q43+R43+X43+Z43+AA43+T43+AC43)/U43</f>
        <v>12</v>
      </c>
      <c r="AF43" s="1">
        <f>(F43+O43+P43+Q43+R43)/U43</f>
        <v>7.8985507246376816</v>
      </c>
      <c r="AG43" s="1">
        <v>35</v>
      </c>
      <c r="AH43" s="1">
        <v>35.4</v>
      </c>
      <c r="AI43" s="1">
        <v>37.4</v>
      </c>
      <c r="AJ43" s="1">
        <v>57.4</v>
      </c>
      <c r="AK43" s="1">
        <v>55.2</v>
      </c>
      <c r="AL43" s="1">
        <v>30.6</v>
      </c>
      <c r="AM43" s="1">
        <v>40</v>
      </c>
      <c r="AN43" s="1">
        <v>46</v>
      </c>
      <c r="AO43" s="1">
        <v>46</v>
      </c>
      <c r="AP43" s="1">
        <v>42</v>
      </c>
      <c r="AQ43" s="1"/>
      <c r="AR43" s="1">
        <f>ROUND(G43*X43,0)</f>
        <v>17</v>
      </c>
      <c r="AS43" s="1">
        <f>ROUND(G43*AA43,0)</f>
        <v>0</v>
      </c>
      <c r="AT43" t="s">
        <v>137</v>
      </c>
    </row>
    <row r="44" spans="1:46" x14ac:dyDescent="0.25">
      <c r="A44" s="1" t="s">
        <v>138</v>
      </c>
      <c r="B44" s="1" t="s">
        <v>54</v>
      </c>
      <c r="C44" s="1">
        <v>80</v>
      </c>
      <c r="D44" s="1">
        <v>13</v>
      </c>
      <c r="E44" s="1">
        <v>79</v>
      </c>
      <c r="F44" s="1"/>
      <c r="G44" s="7">
        <v>0.35</v>
      </c>
      <c r="H44" s="1">
        <v>40</v>
      </c>
      <c r="I44" s="15" t="s">
        <v>102</v>
      </c>
      <c r="J44" s="1"/>
      <c r="K44" s="1">
        <v>103</v>
      </c>
      <c r="L44" s="1">
        <f t="shared" si="13"/>
        <v>-24</v>
      </c>
      <c r="M44" s="1">
        <f t="shared" si="14"/>
        <v>79</v>
      </c>
      <c r="N44" s="1"/>
      <c r="O44" s="1">
        <v>30.800000000000011</v>
      </c>
      <c r="P44" s="1">
        <v>-36</v>
      </c>
      <c r="Q44" s="1"/>
      <c r="R44" s="1">
        <v>50</v>
      </c>
      <c r="S44" s="1">
        <v>-54.285714285714292</v>
      </c>
      <c r="T44" s="20"/>
      <c r="U44" s="1">
        <f t="shared" si="15"/>
        <v>15.8</v>
      </c>
      <c r="V44" s="5">
        <v>50</v>
      </c>
      <c r="W44" s="5">
        <f t="shared" si="16"/>
        <v>50</v>
      </c>
      <c r="X44" s="5">
        <v>50</v>
      </c>
      <c r="Y44" s="5">
        <v>-54.285714285714292</v>
      </c>
      <c r="Z44" s="26"/>
      <c r="AA44" s="5">
        <v>50</v>
      </c>
      <c r="AB44" s="5">
        <v>-54</v>
      </c>
      <c r="AC44" s="26"/>
      <c r="AD44" s="1"/>
      <c r="AE44" s="1">
        <f>(F44+O44+P44+Q44+R44+X44+Z44+AA44+T44+AC44)/U44</f>
        <v>9.1645569620253173</v>
      </c>
      <c r="AF44" s="1">
        <f>(F44+O44+P44+Q44+R44)/U44</f>
        <v>2.835443037974684</v>
      </c>
      <c r="AG44" s="1">
        <v>18.2</v>
      </c>
      <c r="AH44" s="1">
        <v>15.8</v>
      </c>
      <c r="AI44" s="1">
        <v>18.8</v>
      </c>
      <c r="AJ44" s="1">
        <v>28.4</v>
      </c>
      <c r="AK44" s="1">
        <v>24.4</v>
      </c>
      <c r="AL44" s="1">
        <v>10.199999999999999</v>
      </c>
      <c r="AM44" s="1">
        <v>3.8</v>
      </c>
      <c r="AN44" s="1">
        <v>4.8</v>
      </c>
      <c r="AO44" s="1">
        <v>13</v>
      </c>
      <c r="AP44" s="1">
        <v>28.4</v>
      </c>
      <c r="AQ44" s="1"/>
      <c r="AR44" s="1">
        <f>ROUND(G44*X44,0)</f>
        <v>18</v>
      </c>
      <c r="AS44" s="1">
        <f>ROUND(G44*AA44,0)</f>
        <v>18</v>
      </c>
      <c r="AT44" t="s">
        <v>139</v>
      </c>
    </row>
    <row r="45" spans="1:46" x14ac:dyDescent="0.25">
      <c r="A45" s="1" t="s">
        <v>140</v>
      </c>
      <c r="B45" s="1" t="s">
        <v>46</v>
      </c>
      <c r="C45" s="1">
        <v>20.041</v>
      </c>
      <c r="D45" s="1">
        <v>13.919</v>
      </c>
      <c r="E45" s="1">
        <v>13.12</v>
      </c>
      <c r="F45" s="1">
        <v>17.940000000000001</v>
      </c>
      <c r="G45" s="7">
        <v>1</v>
      </c>
      <c r="H45" s="1">
        <v>40</v>
      </c>
      <c r="I45" s="1" t="s">
        <v>47</v>
      </c>
      <c r="J45" s="1"/>
      <c r="K45" s="1">
        <v>24.5</v>
      </c>
      <c r="L45" s="1">
        <f t="shared" si="13"/>
        <v>-11.38</v>
      </c>
      <c r="M45" s="1">
        <f t="shared" si="14"/>
        <v>13.12</v>
      </c>
      <c r="N45" s="1"/>
      <c r="O45" s="1">
        <v>22.741199999999999</v>
      </c>
      <c r="P45" s="1">
        <v>0</v>
      </c>
      <c r="Q45" s="1"/>
      <c r="R45" s="1">
        <v>0</v>
      </c>
      <c r="S45" s="1"/>
      <c r="T45" s="20"/>
      <c r="U45" s="1">
        <f t="shared" si="15"/>
        <v>2.6239999999999997</v>
      </c>
      <c r="V45" s="5"/>
      <c r="W45" s="5">
        <f t="shared" si="16"/>
        <v>0</v>
      </c>
      <c r="X45" s="5">
        <f>W45-AA45</f>
        <v>0</v>
      </c>
      <c r="Y45" s="5"/>
      <c r="Z45" s="26"/>
      <c r="AA45" s="5"/>
      <c r="AB45" s="5"/>
      <c r="AC45" s="26"/>
      <c r="AD45" s="1"/>
      <c r="AE45" s="1">
        <f>(F45+O45+P45+Q45+R45+X45+Z45+AA45+T45+AC45)/U45</f>
        <v>15.50350609756098</v>
      </c>
      <c r="AF45" s="1">
        <f>(F45+O45+P45+Q45+R45)/U45</f>
        <v>15.50350609756098</v>
      </c>
      <c r="AG45" s="1">
        <v>3.7808000000000002</v>
      </c>
      <c r="AH45" s="1">
        <v>4.3208000000000002</v>
      </c>
      <c r="AI45" s="1">
        <v>3.3064</v>
      </c>
      <c r="AJ45" s="1">
        <v>1.6506000000000001</v>
      </c>
      <c r="AK45" s="1">
        <v>2.6989999999999998</v>
      </c>
      <c r="AL45" s="1">
        <v>4.2096</v>
      </c>
      <c r="AM45" s="1">
        <v>3.2993999999999999</v>
      </c>
      <c r="AN45" s="1">
        <v>1.956</v>
      </c>
      <c r="AO45" s="1">
        <v>1.4396</v>
      </c>
      <c r="AP45" s="1">
        <v>2.4447999999999999</v>
      </c>
      <c r="AQ45" s="1"/>
      <c r="AR45" s="1">
        <f>ROUND(G45*X45,0)</f>
        <v>0</v>
      </c>
      <c r="AS45" s="1">
        <f>ROUND(G45*AA45,0)</f>
        <v>0</v>
      </c>
      <c r="AT45" t="s">
        <v>141</v>
      </c>
    </row>
    <row r="46" spans="1:46" x14ac:dyDescent="0.25">
      <c r="A46" s="1" t="s">
        <v>142</v>
      </c>
      <c r="B46" s="1" t="s">
        <v>54</v>
      </c>
      <c r="C46" s="1">
        <v>-29</v>
      </c>
      <c r="D46" s="1">
        <v>24</v>
      </c>
      <c r="E46" s="1">
        <v>24</v>
      </c>
      <c r="F46" s="1">
        <v>-32</v>
      </c>
      <c r="G46" s="7">
        <v>0.4</v>
      </c>
      <c r="H46" s="1">
        <v>40</v>
      </c>
      <c r="I46" s="15" t="s">
        <v>102</v>
      </c>
      <c r="J46" s="1"/>
      <c r="K46" s="1">
        <v>259</v>
      </c>
      <c r="L46" s="1">
        <f t="shared" si="13"/>
        <v>-235</v>
      </c>
      <c r="M46" s="1">
        <f t="shared" si="14"/>
        <v>24</v>
      </c>
      <c r="N46" s="1"/>
      <c r="O46" s="1">
        <v>150</v>
      </c>
      <c r="P46" s="1">
        <v>0</v>
      </c>
      <c r="Q46" s="1"/>
      <c r="R46" s="1">
        <v>100</v>
      </c>
      <c r="S46" s="1"/>
      <c r="T46" s="20"/>
      <c r="U46" s="1">
        <f t="shared" si="15"/>
        <v>4.8</v>
      </c>
      <c r="V46" s="5"/>
      <c r="W46" s="5">
        <f t="shared" si="16"/>
        <v>0</v>
      </c>
      <c r="X46" s="5">
        <f>W46-AA46</f>
        <v>0</v>
      </c>
      <c r="Y46" s="5"/>
      <c r="Z46" s="26"/>
      <c r="AA46" s="5"/>
      <c r="AB46" s="5"/>
      <c r="AC46" s="26"/>
      <c r="AD46" s="1"/>
      <c r="AE46" s="1">
        <f>(F46+O46+P46+Q46+R46+X46+Z46+AA46+T46+AC46)/U46</f>
        <v>45.416666666666671</v>
      </c>
      <c r="AF46" s="1">
        <f>(F46+O46+P46+Q46+R46)/U46</f>
        <v>45.416666666666671</v>
      </c>
      <c r="AG46" s="1">
        <v>0.4</v>
      </c>
      <c r="AH46" s="1">
        <v>-0.2</v>
      </c>
      <c r="AI46" s="1">
        <v>-0.8</v>
      </c>
      <c r="AJ46" s="1">
        <v>0.6</v>
      </c>
      <c r="AK46" s="1">
        <v>1.4</v>
      </c>
      <c r="AL46" s="1">
        <v>0.2</v>
      </c>
      <c r="AM46" s="1">
        <v>-1</v>
      </c>
      <c r="AN46" s="1">
        <v>-1.2</v>
      </c>
      <c r="AO46" s="1">
        <v>-1</v>
      </c>
      <c r="AP46" s="1">
        <v>-1</v>
      </c>
      <c r="AQ46" s="1"/>
      <c r="AR46" s="1">
        <f>ROUND(G46*X46,0)</f>
        <v>0</v>
      </c>
      <c r="AS46" s="1">
        <f>ROUND(G46*AA46,0)</f>
        <v>0</v>
      </c>
      <c r="AT46" t="s">
        <v>143</v>
      </c>
    </row>
    <row r="47" spans="1:46" x14ac:dyDescent="0.25">
      <c r="A47" s="1" t="s">
        <v>144</v>
      </c>
      <c r="B47" s="1" t="s">
        <v>54</v>
      </c>
      <c r="C47" s="1">
        <v>2</v>
      </c>
      <c r="D47" s="1">
        <v>65</v>
      </c>
      <c r="E47" s="1">
        <v>44</v>
      </c>
      <c r="F47" s="1">
        <v>9</v>
      </c>
      <c r="G47" s="7">
        <v>0.4</v>
      </c>
      <c r="H47" s="1">
        <v>45</v>
      </c>
      <c r="I47" s="15" t="s">
        <v>102</v>
      </c>
      <c r="J47" s="1"/>
      <c r="K47" s="1">
        <v>428</v>
      </c>
      <c r="L47" s="1">
        <f t="shared" si="13"/>
        <v>-384</v>
      </c>
      <c r="M47" s="1">
        <f t="shared" si="14"/>
        <v>44</v>
      </c>
      <c r="N47" s="1"/>
      <c r="O47" s="1">
        <v>100</v>
      </c>
      <c r="P47" s="1">
        <v>0</v>
      </c>
      <c r="Q47" s="1"/>
      <c r="R47" s="1">
        <v>100</v>
      </c>
      <c r="S47" s="1"/>
      <c r="T47" s="20"/>
      <c r="U47" s="1">
        <f t="shared" si="15"/>
        <v>8.8000000000000007</v>
      </c>
      <c r="V47" s="5">
        <v>100</v>
      </c>
      <c r="W47" s="5">
        <f t="shared" si="16"/>
        <v>100</v>
      </c>
      <c r="X47" s="5">
        <v>100</v>
      </c>
      <c r="Y47" s="5"/>
      <c r="Z47" s="26"/>
      <c r="AA47" s="5">
        <v>50</v>
      </c>
      <c r="AB47" s="5"/>
      <c r="AC47" s="26"/>
      <c r="AD47" s="1"/>
      <c r="AE47" s="1">
        <f>(F47+O47+P47+Q47+R47+X47+Z47+AA47+T47+AC47)/U47</f>
        <v>40.79545454545454</v>
      </c>
      <c r="AF47" s="1">
        <f>(F47+O47+P47+Q47+R47)/U47</f>
        <v>23.749999999999996</v>
      </c>
      <c r="AG47" s="1">
        <v>0</v>
      </c>
      <c r="AH47" s="1">
        <v>0.4</v>
      </c>
      <c r="AI47" s="1">
        <v>26</v>
      </c>
      <c r="AJ47" s="1">
        <v>58.6</v>
      </c>
      <c r="AK47" s="1">
        <v>50</v>
      </c>
      <c r="AL47" s="1">
        <v>30.6</v>
      </c>
      <c r="AM47" s="1">
        <v>40.799999999999997</v>
      </c>
      <c r="AN47" s="1">
        <v>47</v>
      </c>
      <c r="AO47" s="1">
        <v>52.2</v>
      </c>
      <c r="AP47" s="1">
        <v>48.4</v>
      </c>
      <c r="AQ47" s="1"/>
      <c r="AR47" s="1">
        <f>ROUND(G47*X47,0)</f>
        <v>40</v>
      </c>
      <c r="AS47" s="1">
        <f>ROUND(G47*AA47,0)</f>
        <v>20</v>
      </c>
      <c r="AT47" t="s">
        <v>145</v>
      </c>
    </row>
    <row r="48" spans="1:46" x14ac:dyDescent="0.25">
      <c r="A48" s="1" t="s">
        <v>146</v>
      </c>
      <c r="B48" s="1" t="s">
        <v>46</v>
      </c>
      <c r="C48" s="1">
        <v>54.34</v>
      </c>
      <c r="D48" s="1">
        <v>20.206</v>
      </c>
      <c r="E48" s="1">
        <v>35.046999999999997</v>
      </c>
      <c r="F48" s="1">
        <v>35.165999999999997</v>
      </c>
      <c r="G48" s="7">
        <v>1</v>
      </c>
      <c r="H48" s="1">
        <v>40</v>
      </c>
      <c r="I48" s="1" t="s">
        <v>47</v>
      </c>
      <c r="J48" s="1"/>
      <c r="K48" s="1">
        <v>39.799999999999997</v>
      </c>
      <c r="L48" s="1">
        <f t="shared" si="13"/>
        <v>-4.7530000000000001</v>
      </c>
      <c r="M48" s="1">
        <f t="shared" si="14"/>
        <v>35.046999999999997</v>
      </c>
      <c r="N48" s="1"/>
      <c r="O48" s="1">
        <v>0</v>
      </c>
      <c r="P48" s="1"/>
      <c r="Q48" s="1"/>
      <c r="R48" s="1">
        <v>20.827000000000009</v>
      </c>
      <c r="S48" s="1">
        <v>-21</v>
      </c>
      <c r="T48" s="20"/>
      <c r="U48" s="1">
        <f t="shared" si="15"/>
        <v>7.0093999999999994</v>
      </c>
      <c r="V48" s="5">
        <f>12*U48-R48-Q48-P48-O48-F48</f>
        <v>28.119799999999984</v>
      </c>
      <c r="W48" s="5">
        <f t="shared" si="16"/>
        <v>28.119799999999984</v>
      </c>
      <c r="X48" s="5">
        <f>W48-AA48</f>
        <v>28.119799999999984</v>
      </c>
      <c r="Y48" s="5">
        <v>-29</v>
      </c>
      <c r="Z48" s="26"/>
      <c r="AA48" s="5"/>
      <c r="AB48" s="5"/>
      <c r="AC48" s="26"/>
      <c r="AD48" s="1"/>
      <c r="AE48" s="1">
        <f>(F48+O48+P48+Q48+R48+X48+Z48+AA48+T48+AC48)/U48</f>
        <v>12</v>
      </c>
      <c r="AF48" s="1">
        <f>(F48+O48+P48+Q48+R48)/U48</f>
        <v>7.9882728906896476</v>
      </c>
      <c r="AG48" s="1">
        <v>6.5449999999999999</v>
      </c>
      <c r="AH48" s="1">
        <v>3.3479999999999999</v>
      </c>
      <c r="AI48" s="1">
        <v>1.8211999999999999</v>
      </c>
      <c r="AJ48" s="1">
        <v>7.1238000000000001</v>
      </c>
      <c r="AK48" s="1">
        <v>8.9621999999999993</v>
      </c>
      <c r="AL48" s="1">
        <v>4.3483999999999998</v>
      </c>
      <c r="AM48" s="1">
        <v>3.9114</v>
      </c>
      <c r="AN48" s="1">
        <v>4.0561999999999996</v>
      </c>
      <c r="AO48" s="1">
        <v>5.2270000000000003</v>
      </c>
      <c r="AP48" s="1">
        <v>5.5009999999999986</v>
      </c>
      <c r="AQ48" s="1"/>
      <c r="AR48" s="1">
        <f>ROUND(G48*X48,0)</f>
        <v>28</v>
      </c>
      <c r="AS48" s="1">
        <f>ROUND(G48*AA48,0)</f>
        <v>0</v>
      </c>
      <c r="AT48" t="s">
        <v>147</v>
      </c>
    </row>
    <row r="49" spans="1:46" x14ac:dyDescent="0.25">
      <c r="A49" s="1" t="s">
        <v>148</v>
      </c>
      <c r="B49" s="1" t="s">
        <v>54</v>
      </c>
      <c r="C49" s="1">
        <v>504</v>
      </c>
      <c r="D49" s="1">
        <v>490</v>
      </c>
      <c r="E49" s="1">
        <v>449</v>
      </c>
      <c r="F49" s="1">
        <v>503</v>
      </c>
      <c r="G49" s="7">
        <v>0.35</v>
      </c>
      <c r="H49" s="1">
        <v>40</v>
      </c>
      <c r="I49" s="1" t="s">
        <v>47</v>
      </c>
      <c r="J49" s="1"/>
      <c r="K49" s="1">
        <v>487</v>
      </c>
      <c r="L49" s="1">
        <f t="shared" si="13"/>
        <v>-38</v>
      </c>
      <c r="M49" s="1">
        <f t="shared" si="14"/>
        <v>443</v>
      </c>
      <c r="N49" s="1">
        <v>6</v>
      </c>
      <c r="O49" s="1">
        <v>0</v>
      </c>
      <c r="P49" s="1"/>
      <c r="Q49" s="1"/>
      <c r="R49" s="1">
        <v>254.8</v>
      </c>
      <c r="S49" s="1"/>
      <c r="T49" s="20"/>
      <c r="U49" s="1">
        <f t="shared" si="15"/>
        <v>88.6</v>
      </c>
      <c r="V49" s="5">
        <f>12*U49-R49-Q49-P49-O49-F49</f>
        <v>305.39999999999986</v>
      </c>
      <c r="W49" s="5">
        <f t="shared" si="16"/>
        <v>305.39999999999986</v>
      </c>
      <c r="X49" s="5">
        <f>W49-AA49</f>
        <v>146.59199999999993</v>
      </c>
      <c r="Y49" s="5">
        <v>-151.42857142857144</v>
      </c>
      <c r="Z49" s="26"/>
      <c r="AA49" s="5">
        <f>W49*$AA$1</f>
        <v>158.80799999999994</v>
      </c>
      <c r="AB49" s="5">
        <v>-162.00000000000003</v>
      </c>
      <c r="AC49" s="26"/>
      <c r="AD49" s="1"/>
      <c r="AE49" s="1">
        <f>(F49+O49+P49+Q49+R49+X49+Z49+AA49+T49+AC49)/U49</f>
        <v>11.999999999999998</v>
      </c>
      <c r="AF49" s="1">
        <f>(F49+O49+P49+Q49+R49)/U49</f>
        <v>8.5530474040632054</v>
      </c>
      <c r="AG49" s="1">
        <v>86.8</v>
      </c>
      <c r="AH49" s="1">
        <v>80.2</v>
      </c>
      <c r="AI49" s="1">
        <v>92.8</v>
      </c>
      <c r="AJ49" s="1">
        <v>120.2</v>
      </c>
      <c r="AK49" s="1">
        <v>117.4</v>
      </c>
      <c r="AL49" s="1">
        <v>88</v>
      </c>
      <c r="AM49" s="1">
        <v>80.8</v>
      </c>
      <c r="AN49" s="1">
        <v>89.4</v>
      </c>
      <c r="AO49" s="1">
        <v>110</v>
      </c>
      <c r="AP49" s="1">
        <v>269.2</v>
      </c>
      <c r="AQ49" s="1"/>
      <c r="AR49" s="1">
        <f>ROUND(G49*X49,0)</f>
        <v>51</v>
      </c>
      <c r="AS49" s="1">
        <f>ROUND(G49*AA49,0)</f>
        <v>56</v>
      </c>
      <c r="AT49" t="s">
        <v>149</v>
      </c>
    </row>
    <row r="50" spans="1:46" x14ac:dyDescent="0.25">
      <c r="A50" s="1" t="s">
        <v>150</v>
      </c>
      <c r="B50" s="1" t="s">
        <v>54</v>
      </c>
      <c r="C50" s="1">
        <v>150</v>
      </c>
      <c r="D50" s="1">
        <v>55</v>
      </c>
      <c r="E50" s="1">
        <v>139</v>
      </c>
      <c r="F50" s="1">
        <v>61</v>
      </c>
      <c r="G50" s="7">
        <v>0.4</v>
      </c>
      <c r="H50" s="1">
        <v>40</v>
      </c>
      <c r="I50" s="15" t="s">
        <v>102</v>
      </c>
      <c r="J50" s="1"/>
      <c r="K50" s="1">
        <v>615</v>
      </c>
      <c r="L50" s="1">
        <f t="shared" si="13"/>
        <v>-476</v>
      </c>
      <c r="M50" s="1">
        <f t="shared" si="14"/>
        <v>139</v>
      </c>
      <c r="N50" s="1"/>
      <c r="O50" s="1">
        <v>150</v>
      </c>
      <c r="P50" s="1">
        <v>0</v>
      </c>
      <c r="Q50" s="1"/>
      <c r="R50" s="1">
        <v>200</v>
      </c>
      <c r="S50" s="1"/>
      <c r="T50" s="20"/>
      <c r="U50" s="1">
        <f t="shared" si="15"/>
        <v>27.8</v>
      </c>
      <c r="V50" s="5">
        <v>150</v>
      </c>
      <c r="W50" s="5">
        <f t="shared" si="16"/>
        <v>150</v>
      </c>
      <c r="X50" s="5">
        <v>150</v>
      </c>
      <c r="Y50" s="5"/>
      <c r="Z50" s="26"/>
      <c r="AA50" s="5">
        <v>100</v>
      </c>
      <c r="AB50" s="5"/>
      <c r="AC50" s="26"/>
      <c r="AD50" s="1"/>
      <c r="AE50" s="1">
        <f>(F50+O50+P50+Q50+R50+X50+Z50+AA50+T50+AC50)/U50</f>
        <v>23.776978417266186</v>
      </c>
      <c r="AF50" s="1">
        <f>(F50+O50+P50+Q50+R50)/U50</f>
        <v>14.784172661870503</v>
      </c>
      <c r="AG50" s="1">
        <v>53.4</v>
      </c>
      <c r="AH50" s="1">
        <v>47</v>
      </c>
      <c r="AI50" s="1">
        <v>48.6</v>
      </c>
      <c r="AJ50" s="1">
        <v>78.8</v>
      </c>
      <c r="AK50" s="1">
        <v>51</v>
      </c>
      <c r="AL50" s="1">
        <v>35.799999999999997</v>
      </c>
      <c r="AM50" s="1">
        <v>61</v>
      </c>
      <c r="AN50" s="1">
        <v>63.8</v>
      </c>
      <c r="AO50" s="1">
        <v>76</v>
      </c>
      <c r="AP50" s="1">
        <v>54.6</v>
      </c>
      <c r="AQ50" s="1"/>
      <c r="AR50" s="1">
        <f>ROUND(G50*X50,0)</f>
        <v>60</v>
      </c>
      <c r="AS50" s="1">
        <f>ROUND(G50*AA50,0)</f>
        <v>40</v>
      </c>
      <c r="AT50" t="s">
        <v>151</v>
      </c>
    </row>
    <row r="51" spans="1:46" x14ac:dyDescent="0.25">
      <c r="A51" s="1" t="s">
        <v>152</v>
      </c>
      <c r="B51" s="1" t="s">
        <v>46</v>
      </c>
      <c r="C51" s="1">
        <v>113.252</v>
      </c>
      <c r="D51" s="1">
        <v>64</v>
      </c>
      <c r="E51" s="1">
        <v>93.757999999999996</v>
      </c>
      <c r="F51" s="1">
        <v>73.911000000000001</v>
      </c>
      <c r="G51" s="7">
        <v>1</v>
      </c>
      <c r="H51" s="1">
        <v>50</v>
      </c>
      <c r="I51" s="1" t="s">
        <v>47</v>
      </c>
      <c r="J51" s="1"/>
      <c r="K51" s="1">
        <v>248.5</v>
      </c>
      <c r="L51" s="1">
        <f t="shared" si="13"/>
        <v>-154.74200000000002</v>
      </c>
      <c r="M51" s="1">
        <f t="shared" si="14"/>
        <v>93.757999999999996</v>
      </c>
      <c r="N51" s="1"/>
      <c r="O51" s="1">
        <v>13.243199999999961</v>
      </c>
      <c r="P51" s="1">
        <v>0</v>
      </c>
      <c r="Q51" s="1"/>
      <c r="R51" s="1">
        <v>68.753000000000029</v>
      </c>
      <c r="S51" s="1"/>
      <c r="T51" s="20"/>
      <c r="U51" s="1">
        <f t="shared" si="15"/>
        <v>18.7516</v>
      </c>
      <c r="V51" s="5">
        <f>12*U51-R51-Q51-P51-O51-F51</f>
        <v>69.111999999999995</v>
      </c>
      <c r="W51" s="5">
        <f t="shared" si="16"/>
        <v>69.111999999999995</v>
      </c>
      <c r="X51" s="5">
        <f>W51-AA51</f>
        <v>69.111999999999995</v>
      </c>
      <c r="Y51" s="5"/>
      <c r="Z51" s="26"/>
      <c r="AA51" s="5"/>
      <c r="AB51" s="5"/>
      <c r="AC51" s="26"/>
      <c r="AD51" s="1"/>
      <c r="AE51" s="1">
        <f>(F51+O51+P51+Q51+R51+X51+Z51+AA51+T51+AC51)/U51</f>
        <v>12</v>
      </c>
      <c r="AF51" s="1">
        <f>(F51+O51+P51+Q51+R51)/U51</f>
        <v>8.314341176219628</v>
      </c>
      <c r="AG51" s="1">
        <v>17.372199999999999</v>
      </c>
      <c r="AH51" s="1">
        <v>14.885999999999999</v>
      </c>
      <c r="AI51" s="1">
        <v>16.802199999999999</v>
      </c>
      <c r="AJ51" s="1">
        <v>14.042400000000001</v>
      </c>
      <c r="AK51" s="1">
        <v>19.11</v>
      </c>
      <c r="AL51" s="1">
        <v>17.2288</v>
      </c>
      <c r="AM51" s="1">
        <v>15.883800000000001</v>
      </c>
      <c r="AN51" s="1">
        <v>16.6876</v>
      </c>
      <c r="AO51" s="1">
        <v>20.451000000000001</v>
      </c>
      <c r="AP51" s="1">
        <v>20.7852</v>
      </c>
      <c r="AQ51" s="1"/>
      <c r="AR51" s="1">
        <f>ROUND(G51*X51,0)</f>
        <v>69</v>
      </c>
      <c r="AS51" s="1">
        <f>ROUND(G51*AA51,0)</f>
        <v>0</v>
      </c>
      <c r="AT51" t="s">
        <v>153</v>
      </c>
    </row>
    <row r="52" spans="1:46" x14ac:dyDescent="0.25">
      <c r="A52" s="1" t="s">
        <v>154</v>
      </c>
      <c r="B52" s="1" t="s">
        <v>46</v>
      </c>
      <c r="C52" s="1">
        <v>106.563</v>
      </c>
      <c r="D52" s="1">
        <v>1533.6569999999999</v>
      </c>
      <c r="E52" s="1">
        <v>643.81600000000003</v>
      </c>
      <c r="F52" s="1">
        <v>902.90599999999995</v>
      </c>
      <c r="G52" s="7">
        <v>1</v>
      </c>
      <c r="H52" s="1">
        <v>50</v>
      </c>
      <c r="I52" s="1" t="s">
        <v>47</v>
      </c>
      <c r="J52" s="1"/>
      <c r="K52" s="1">
        <v>675.45</v>
      </c>
      <c r="L52" s="1">
        <f t="shared" si="13"/>
        <v>-31.634000000000015</v>
      </c>
      <c r="M52" s="1">
        <f t="shared" si="14"/>
        <v>643.81600000000003</v>
      </c>
      <c r="N52" s="1"/>
      <c r="O52" s="1">
        <v>656.87827059200026</v>
      </c>
      <c r="P52" s="1">
        <v>0</v>
      </c>
      <c r="Q52" s="1"/>
      <c r="R52" s="1">
        <v>0</v>
      </c>
      <c r="S52" s="1"/>
      <c r="T52" s="20"/>
      <c r="U52" s="1">
        <f t="shared" si="15"/>
        <v>128.76320000000001</v>
      </c>
      <c r="V52" s="5"/>
      <c r="W52" s="5">
        <f t="shared" si="16"/>
        <v>0</v>
      </c>
      <c r="X52" s="5">
        <f>W52-AA52</f>
        <v>0</v>
      </c>
      <c r="Y52" s="5"/>
      <c r="Z52" s="26"/>
      <c r="AA52" s="5"/>
      <c r="AB52" s="5"/>
      <c r="AC52" s="26"/>
      <c r="AD52" s="1"/>
      <c r="AE52" s="1">
        <f>(F52+O52+P52+Q52+R52+X52+Z52+AA52+T52+AC52)/U52</f>
        <v>12.11358734942903</v>
      </c>
      <c r="AF52" s="1">
        <f>(F52+O52+P52+Q52+R52)/U52</f>
        <v>12.11358734942903</v>
      </c>
      <c r="AG52" s="1">
        <v>111.2424</v>
      </c>
      <c r="AH52" s="1">
        <v>138.00559999999999</v>
      </c>
      <c r="AI52" s="1">
        <v>108.6206</v>
      </c>
      <c r="AJ52" s="1">
        <v>78.2346</v>
      </c>
      <c r="AK52" s="1">
        <v>79.395399999999995</v>
      </c>
      <c r="AL52" s="1">
        <v>52.078800000000022</v>
      </c>
      <c r="AM52" s="1">
        <v>97.671800000000005</v>
      </c>
      <c r="AN52" s="1">
        <v>62.823599999999999</v>
      </c>
      <c r="AO52" s="1">
        <v>78.122199999999992</v>
      </c>
      <c r="AP52" s="1">
        <v>85.384200000000007</v>
      </c>
      <c r="AQ52" s="1"/>
      <c r="AR52" s="1">
        <f>ROUND(G52*X52,0)</f>
        <v>0</v>
      </c>
      <c r="AS52" s="1">
        <f>ROUND(G52*AA52,0)</f>
        <v>0</v>
      </c>
      <c r="AT52" t="s">
        <v>155</v>
      </c>
    </row>
    <row r="53" spans="1:46" x14ac:dyDescent="0.25">
      <c r="A53" s="10" t="s">
        <v>156</v>
      </c>
      <c r="B53" s="10" t="s">
        <v>46</v>
      </c>
      <c r="C53" s="10"/>
      <c r="D53" s="10"/>
      <c r="E53" s="10"/>
      <c r="F53" s="10"/>
      <c r="G53" s="11">
        <v>0</v>
      </c>
      <c r="H53" s="10"/>
      <c r="I53" s="10" t="s">
        <v>47</v>
      </c>
      <c r="J53" s="10"/>
      <c r="K53" s="10"/>
      <c r="L53" s="10">
        <f t="shared" si="13"/>
        <v>0</v>
      </c>
      <c r="M53" s="10">
        <f t="shared" si="14"/>
        <v>0</v>
      </c>
      <c r="N53" s="10"/>
      <c r="O53" s="10">
        <v>0</v>
      </c>
      <c r="P53" s="10"/>
      <c r="Q53" s="10"/>
      <c r="R53" s="10">
        <v>0</v>
      </c>
      <c r="S53" s="10"/>
      <c r="T53" s="22"/>
      <c r="U53" s="10">
        <f t="shared" si="15"/>
        <v>0</v>
      </c>
      <c r="V53" s="12"/>
      <c r="W53" s="5">
        <f t="shared" si="16"/>
        <v>0</v>
      </c>
      <c r="X53" s="5">
        <f>W53-AA53</f>
        <v>0</v>
      </c>
      <c r="Y53" s="5"/>
      <c r="Z53" s="26"/>
      <c r="AA53" s="5"/>
      <c r="AB53" s="5"/>
      <c r="AC53" s="26"/>
      <c r="AD53" s="1"/>
      <c r="AE53" s="1" t="e">
        <f>(F53+O53+P53+Q53+R53+X53+Z53+AA53+T53+AC53)/U53</f>
        <v>#DIV/0!</v>
      </c>
      <c r="AF53" s="10" t="e">
        <f>(F53+O53+P53+Q53+R53)/U53</f>
        <v>#DIV/0!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 t="s">
        <v>86</v>
      </c>
      <c r="AR53" s="1">
        <f>ROUND(G53*X53,0)</f>
        <v>0</v>
      </c>
      <c r="AS53" s="1">
        <f>ROUND(G53*AA53,0)</f>
        <v>0</v>
      </c>
      <c r="AT53" t="s">
        <v>157</v>
      </c>
    </row>
    <row r="54" spans="1:46" x14ac:dyDescent="0.25">
      <c r="A54" s="1" t="s">
        <v>158</v>
      </c>
      <c r="B54" s="1" t="s">
        <v>54</v>
      </c>
      <c r="C54" s="1">
        <v>354</v>
      </c>
      <c r="D54" s="1">
        <v>484</v>
      </c>
      <c r="E54" s="1">
        <v>410</v>
      </c>
      <c r="F54" s="1">
        <v>366</v>
      </c>
      <c r="G54" s="7">
        <v>0.45</v>
      </c>
      <c r="H54" s="1">
        <v>50</v>
      </c>
      <c r="I54" s="1" t="s">
        <v>47</v>
      </c>
      <c r="J54" s="1"/>
      <c r="K54" s="1">
        <v>485</v>
      </c>
      <c r="L54" s="1">
        <f t="shared" si="13"/>
        <v>-75</v>
      </c>
      <c r="M54" s="1">
        <f t="shared" si="14"/>
        <v>410</v>
      </c>
      <c r="N54" s="1"/>
      <c r="O54" s="1">
        <v>377.6472</v>
      </c>
      <c r="P54" s="1">
        <v>0</v>
      </c>
      <c r="Q54" s="1"/>
      <c r="R54" s="1">
        <v>0</v>
      </c>
      <c r="S54" s="1"/>
      <c r="T54" s="20"/>
      <c r="U54" s="1">
        <f t="shared" si="15"/>
        <v>82</v>
      </c>
      <c r="V54" s="5">
        <f>12*U54-R54-Q54-P54-O54-F54</f>
        <v>240.3528</v>
      </c>
      <c r="W54" s="5">
        <f t="shared" si="16"/>
        <v>240.3528</v>
      </c>
      <c r="X54" s="5">
        <f>W54-AA54</f>
        <v>115.369344</v>
      </c>
      <c r="Y54" s="5"/>
      <c r="Z54" s="26"/>
      <c r="AA54" s="5">
        <f>W54*$AA$1</f>
        <v>124.983456</v>
      </c>
      <c r="AB54" s="5"/>
      <c r="AC54" s="26"/>
      <c r="AD54" s="1"/>
      <c r="AE54" s="1">
        <f>(F54+O54+P54+Q54+R54+X54+Z54+AA54+T54+AC54)/U54</f>
        <v>12</v>
      </c>
      <c r="AF54" s="1">
        <f>(F54+O54+P54+Q54+R54)/U54</f>
        <v>9.0688682926829269</v>
      </c>
      <c r="AG54" s="1">
        <v>69.599999999999994</v>
      </c>
      <c r="AH54" s="1">
        <v>75.2</v>
      </c>
      <c r="AI54" s="1">
        <v>79.400000000000006</v>
      </c>
      <c r="AJ54" s="1">
        <v>86.2</v>
      </c>
      <c r="AK54" s="1">
        <v>84</v>
      </c>
      <c r="AL54" s="1">
        <v>66.400000000000006</v>
      </c>
      <c r="AM54" s="1">
        <v>64.8</v>
      </c>
      <c r="AN54" s="1">
        <v>74.2</v>
      </c>
      <c r="AO54" s="1">
        <v>96</v>
      </c>
      <c r="AP54" s="1">
        <v>96.8</v>
      </c>
      <c r="AQ54" s="1"/>
      <c r="AR54" s="1">
        <f>ROUND(G54*X54,0)</f>
        <v>52</v>
      </c>
      <c r="AS54" s="1">
        <f>ROUND(G54*AA54,0)</f>
        <v>56</v>
      </c>
      <c r="AT54" t="s">
        <v>159</v>
      </c>
    </row>
    <row r="55" spans="1:46" x14ac:dyDescent="0.25">
      <c r="A55" s="1" t="s">
        <v>160</v>
      </c>
      <c r="B55" s="1" t="s">
        <v>54</v>
      </c>
      <c r="C55" s="1">
        <v>951</v>
      </c>
      <c r="D55" s="1">
        <v>428</v>
      </c>
      <c r="E55" s="1">
        <v>608</v>
      </c>
      <c r="F55" s="1">
        <v>677</v>
      </c>
      <c r="G55" s="7">
        <v>0.45</v>
      </c>
      <c r="H55" s="1">
        <v>50</v>
      </c>
      <c r="I55" s="1" t="s">
        <v>47</v>
      </c>
      <c r="J55" s="1"/>
      <c r="K55" s="1">
        <v>713</v>
      </c>
      <c r="L55" s="1">
        <f t="shared" si="13"/>
        <v>-105</v>
      </c>
      <c r="M55" s="1">
        <f t="shared" si="14"/>
        <v>608</v>
      </c>
      <c r="N55" s="1"/>
      <c r="O55" s="1">
        <v>384.15138000000002</v>
      </c>
      <c r="P55" s="1">
        <v>0</v>
      </c>
      <c r="Q55" s="1"/>
      <c r="R55" s="1">
        <v>78.2</v>
      </c>
      <c r="S55" s="1"/>
      <c r="T55" s="20"/>
      <c r="U55" s="1">
        <f t="shared" si="15"/>
        <v>121.6</v>
      </c>
      <c r="V55" s="5">
        <f>12*U55-R55-Q55-P55-O55-F55</f>
        <v>319.84861999999976</v>
      </c>
      <c r="W55" s="5">
        <f t="shared" si="16"/>
        <v>319.84861999999976</v>
      </c>
      <c r="X55" s="5">
        <f>W55-AA55</f>
        <v>153.52733759999987</v>
      </c>
      <c r="Y55" s="5"/>
      <c r="Z55" s="26"/>
      <c r="AA55" s="5">
        <f>W55*$AA$1</f>
        <v>166.32128239999989</v>
      </c>
      <c r="AB55" s="5"/>
      <c r="AC55" s="26"/>
      <c r="AD55" s="1"/>
      <c r="AE55" s="1">
        <f>(F55+O55+P55+Q55+R55+X55+Z55+AA55+T55+AC55)/U55</f>
        <v>11.999999999999998</v>
      </c>
      <c r="AF55" s="1">
        <f>(F55+O55+P55+Q55+R55)/U55</f>
        <v>9.3696659539473686</v>
      </c>
      <c r="AG55" s="1">
        <v>115</v>
      </c>
      <c r="AH55" s="1">
        <v>109</v>
      </c>
      <c r="AI55" s="1">
        <v>86</v>
      </c>
      <c r="AJ55" s="1">
        <v>112.8</v>
      </c>
      <c r="AK55" s="1">
        <v>148.19999999999999</v>
      </c>
      <c r="AL55" s="1">
        <v>93.6</v>
      </c>
      <c r="AM55" s="1">
        <v>89.2</v>
      </c>
      <c r="AN55" s="1">
        <v>95.2</v>
      </c>
      <c r="AO55" s="1">
        <v>128.6</v>
      </c>
      <c r="AP55" s="1">
        <v>132</v>
      </c>
      <c r="AQ55" s="1"/>
      <c r="AR55" s="1">
        <f>ROUND(G55*X55,0)</f>
        <v>69</v>
      </c>
      <c r="AS55" s="1">
        <f>ROUND(G55*AA55,0)</f>
        <v>75</v>
      </c>
      <c r="AT55" t="s">
        <v>161</v>
      </c>
    </row>
    <row r="56" spans="1:46" x14ac:dyDescent="0.25">
      <c r="A56" s="10" t="s">
        <v>162</v>
      </c>
      <c r="B56" s="10" t="s">
        <v>54</v>
      </c>
      <c r="C56" s="10"/>
      <c r="D56" s="10"/>
      <c r="E56" s="10"/>
      <c r="F56" s="10"/>
      <c r="G56" s="11">
        <v>0</v>
      </c>
      <c r="H56" s="10"/>
      <c r="I56" s="10" t="s">
        <v>47</v>
      </c>
      <c r="J56" s="10"/>
      <c r="K56" s="10"/>
      <c r="L56" s="10">
        <f t="shared" si="13"/>
        <v>0</v>
      </c>
      <c r="M56" s="10">
        <f t="shared" si="14"/>
        <v>0</v>
      </c>
      <c r="N56" s="10"/>
      <c r="O56" s="10">
        <v>0</v>
      </c>
      <c r="P56" s="10"/>
      <c r="Q56" s="10"/>
      <c r="R56" s="10">
        <v>0</v>
      </c>
      <c r="S56" s="10"/>
      <c r="T56" s="22"/>
      <c r="U56" s="10">
        <f t="shared" si="15"/>
        <v>0</v>
      </c>
      <c r="V56" s="12"/>
      <c r="W56" s="5">
        <f t="shared" si="16"/>
        <v>0</v>
      </c>
      <c r="X56" s="5">
        <f>W56-AA56</f>
        <v>0</v>
      </c>
      <c r="Y56" s="5"/>
      <c r="Z56" s="26"/>
      <c r="AA56" s="5"/>
      <c r="AB56" s="5"/>
      <c r="AC56" s="26"/>
      <c r="AD56" s="1"/>
      <c r="AE56" s="1" t="e">
        <f>(F56+O56+P56+Q56+R56+X56+Z56+AA56+T56+AC56)/U56</f>
        <v>#DIV/0!</v>
      </c>
      <c r="AF56" s="10" t="e">
        <f>(F56+O56+P56+Q56+R56)/U56</f>
        <v>#DIV/0!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 t="s">
        <v>86</v>
      </c>
      <c r="AR56" s="1">
        <f>ROUND(G56*X56,0)</f>
        <v>0</v>
      </c>
      <c r="AS56" s="1">
        <f>ROUND(G56*AA56,0)</f>
        <v>0</v>
      </c>
      <c r="AT56" t="s">
        <v>163</v>
      </c>
    </row>
    <row r="57" spans="1:46" x14ac:dyDescent="0.25">
      <c r="A57" s="1" t="s">
        <v>164</v>
      </c>
      <c r="B57" s="1" t="s">
        <v>54</v>
      </c>
      <c r="C57" s="1">
        <v>1</v>
      </c>
      <c r="D57" s="1"/>
      <c r="E57" s="1">
        <v>-2</v>
      </c>
      <c r="F57" s="1"/>
      <c r="G57" s="7">
        <v>0.4</v>
      </c>
      <c r="H57" s="1">
        <v>40</v>
      </c>
      <c r="I57" s="15" t="s">
        <v>102</v>
      </c>
      <c r="J57" s="1"/>
      <c r="K57" s="1">
        <v>17</v>
      </c>
      <c r="L57" s="1">
        <f t="shared" si="13"/>
        <v>-19</v>
      </c>
      <c r="M57" s="1">
        <f t="shared" si="14"/>
        <v>-2</v>
      </c>
      <c r="N57" s="1"/>
      <c r="O57" s="1">
        <v>20</v>
      </c>
      <c r="P57" s="1">
        <v>0</v>
      </c>
      <c r="Q57" s="1"/>
      <c r="R57" s="1">
        <v>10</v>
      </c>
      <c r="S57" s="1"/>
      <c r="T57" s="20"/>
      <c r="U57" s="1">
        <f t="shared" si="15"/>
        <v>-0.4</v>
      </c>
      <c r="V57" s="5">
        <v>10</v>
      </c>
      <c r="W57" s="5">
        <f t="shared" si="16"/>
        <v>10</v>
      </c>
      <c r="X57" s="5">
        <f>W57-AA57</f>
        <v>10</v>
      </c>
      <c r="Y57" s="5"/>
      <c r="Z57" s="26"/>
      <c r="AA57" s="5"/>
      <c r="AB57" s="5"/>
      <c r="AC57" s="26"/>
      <c r="AD57" s="1"/>
      <c r="AE57" s="1">
        <f>(F57+O57+P57+Q57+R57+X57+Z57+AA57+T57+AC57)/U57</f>
        <v>-100</v>
      </c>
      <c r="AF57" s="1">
        <f>(F57+O57+P57+Q57+R57)/U57</f>
        <v>-75</v>
      </c>
      <c r="AG57" s="1">
        <v>0.2</v>
      </c>
      <c r="AH57" s="1">
        <v>2.4</v>
      </c>
      <c r="AI57" s="1">
        <v>2.8</v>
      </c>
      <c r="AJ57" s="1">
        <v>4.8</v>
      </c>
      <c r="AK57" s="1">
        <v>5.6</v>
      </c>
      <c r="AL57" s="1">
        <v>3</v>
      </c>
      <c r="AM57" s="1">
        <v>3.2</v>
      </c>
      <c r="AN57" s="1">
        <v>3.8</v>
      </c>
      <c r="AO57" s="1">
        <v>3.8</v>
      </c>
      <c r="AP57" s="1">
        <v>-0.6</v>
      </c>
      <c r="AQ57" s="1"/>
      <c r="AR57" s="1">
        <f>ROUND(G57*X57,0)</f>
        <v>4</v>
      </c>
      <c r="AS57" s="1">
        <f>ROUND(G57*AA57,0)</f>
        <v>0</v>
      </c>
      <c r="AT57" t="s">
        <v>165</v>
      </c>
    </row>
    <row r="58" spans="1:46" x14ac:dyDescent="0.25">
      <c r="A58" s="1" t="s">
        <v>166</v>
      </c>
      <c r="B58" s="1" t="s">
        <v>46</v>
      </c>
      <c r="C58" s="1">
        <v>565.93600000000004</v>
      </c>
      <c r="D58" s="1">
        <v>290.70499999999998</v>
      </c>
      <c r="E58" s="1">
        <v>526.88699999999994</v>
      </c>
      <c r="F58" s="1">
        <v>235.99700000000001</v>
      </c>
      <c r="G58" s="7">
        <v>1</v>
      </c>
      <c r="H58" s="1">
        <v>50</v>
      </c>
      <c r="I58" s="1" t="s">
        <v>47</v>
      </c>
      <c r="J58" s="1"/>
      <c r="K58" s="1">
        <v>545.82500000000005</v>
      </c>
      <c r="L58" s="1">
        <f t="shared" si="13"/>
        <v>-18.938000000000102</v>
      </c>
      <c r="M58" s="1">
        <f t="shared" si="14"/>
        <v>472.38799999999992</v>
      </c>
      <c r="N58" s="1">
        <v>54.499000000000002</v>
      </c>
      <c r="O58" s="1">
        <v>311.09920370399988</v>
      </c>
      <c r="P58" s="1">
        <v>0</v>
      </c>
      <c r="Q58" s="1"/>
      <c r="R58" s="1">
        <v>140.97589080000009</v>
      </c>
      <c r="S58" s="1"/>
      <c r="T58" s="20"/>
      <c r="U58" s="1">
        <f t="shared" si="15"/>
        <v>94.477599999999981</v>
      </c>
      <c r="V58" s="5">
        <f>12*U58-R58-Q58-P58-O58-F58</f>
        <v>445.65910549599977</v>
      </c>
      <c r="W58" s="5">
        <f t="shared" si="16"/>
        <v>445.65910549599977</v>
      </c>
      <c r="X58" s="5">
        <f>W58-AA58</f>
        <v>213.91637063807988</v>
      </c>
      <c r="Y58" s="5"/>
      <c r="Z58" s="26"/>
      <c r="AA58" s="5">
        <f>W58*$AA$1</f>
        <v>231.74273485791988</v>
      </c>
      <c r="AB58" s="5"/>
      <c r="AC58" s="26"/>
      <c r="AD58" s="1"/>
      <c r="AE58" s="1">
        <f>(F58+O58+P58+Q58+R58+X58+Z58+AA58+T58+AC58)/U58</f>
        <v>12</v>
      </c>
      <c r="AF58" s="1">
        <f>(F58+O58+P58+Q58+R58)/U58</f>
        <v>7.2829125052287544</v>
      </c>
      <c r="AG58" s="1">
        <v>78.927799999999991</v>
      </c>
      <c r="AH58" s="1">
        <v>65.617199999999997</v>
      </c>
      <c r="AI58" s="1">
        <v>68.840999999999994</v>
      </c>
      <c r="AJ58" s="1">
        <v>74.638599999999997</v>
      </c>
      <c r="AK58" s="1">
        <v>99.823999999999998</v>
      </c>
      <c r="AL58" s="1">
        <v>124.6264</v>
      </c>
      <c r="AM58" s="1">
        <v>103.889</v>
      </c>
      <c r="AN58" s="1">
        <v>63.091200000000001</v>
      </c>
      <c r="AO58" s="1">
        <v>69.980199999999996</v>
      </c>
      <c r="AP58" s="1">
        <v>120.0566</v>
      </c>
      <c r="AQ58" s="1"/>
      <c r="AR58" s="1">
        <f>ROUND(G58*X58,0)</f>
        <v>214</v>
      </c>
      <c r="AS58" s="1">
        <f>ROUND(G58*AA58,0)</f>
        <v>232</v>
      </c>
      <c r="AT58" t="s">
        <v>167</v>
      </c>
    </row>
    <row r="59" spans="1:46" x14ac:dyDescent="0.25">
      <c r="A59" s="1" t="s">
        <v>168</v>
      </c>
      <c r="B59" s="1" t="s">
        <v>54</v>
      </c>
      <c r="C59" s="1">
        <v>107</v>
      </c>
      <c r="D59" s="1">
        <v>162</v>
      </c>
      <c r="E59" s="1">
        <v>131</v>
      </c>
      <c r="F59" s="1">
        <v>104</v>
      </c>
      <c r="G59" s="7">
        <v>0.1</v>
      </c>
      <c r="H59" s="1">
        <v>731</v>
      </c>
      <c r="I59" s="1" t="s">
        <v>47</v>
      </c>
      <c r="J59" s="1"/>
      <c r="K59" s="1">
        <v>163</v>
      </c>
      <c r="L59" s="1">
        <f t="shared" si="13"/>
        <v>-32</v>
      </c>
      <c r="M59" s="1">
        <f t="shared" si="14"/>
        <v>131</v>
      </c>
      <c r="N59" s="1"/>
      <c r="O59" s="1">
        <v>133.40000000000009</v>
      </c>
      <c r="P59" s="1">
        <v>0</v>
      </c>
      <c r="Q59" s="1"/>
      <c r="R59" s="1">
        <v>14.39999999999992</v>
      </c>
      <c r="S59" s="1"/>
      <c r="T59" s="20"/>
      <c r="U59" s="1">
        <f t="shared" si="15"/>
        <v>26.2</v>
      </c>
      <c r="V59" s="5">
        <f>12*U59-R59-Q59-P59-O59-F59</f>
        <v>62.599999999999966</v>
      </c>
      <c r="W59" s="5">
        <f t="shared" si="16"/>
        <v>62.599999999999966</v>
      </c>
      <c r="X59" s="5">
        <f>W59-AA59</f>
        <v>62.599999999999966</v>
      </c>
      <c r="Y59" s="5"/>
      <c r="Z59" s="26"/>
      <c r="AA59" s="5"/>
      <c r="AB59" s="5"/>
      <c r="AC59" s="26"/>
      <c r="AD59" s="1"/>
      <c r="AE59" s="1">
        <f>(F59+O59+P59+Q59+R59+X59+Z59+AA59+T59+AC59)/U59</f>
        <v>12</v>
      </c>
      <c r="AF59" s="1">
        <f>(F59+O59+P59+Q59+R59)/U59</f>
        <v>9.6106870229007644</v>
      </c>
      <c r="AG59" s="1">
        <v>26.8</v>
      </c>
      <c r="AH59" s="1">
        <v>27.6</v>
      </c>
      <c r="AI59" s="1">
        <v>24.4</v>
      </c>
      <c r="AJ59" s="1">
        <v>26.4</v>
      </c>
      <c r="AK59" s="1">
        <v>26.6</v>
      </c>
      <c r="AL59" s="1">
        <v>17.600000000000001</v>
      </c>
      <c r="AM59" s="1">
        <v>20.2</v>
      </c>
      <c r="AN59" s="1">
        <v>21.8</v>
      </c>
      <c r="AO59" s="1">
        <v>26.4</v>
      </c>
      <c r="AP59" s="1">
        <v>29.2</v>
      </c>
      <c r="AQ59" s="1"/>
      <c r="AR59" s="1">
        <f>ROUND(G59*X59,0)</f>
        <v>6</v>
      </c>
      <c r="AS59" s="1">
        <f>ROUND(G59*AA59,0)</f>
        <v>0</v>
      </c>
      <c r="AT59" t="s">
        <v>169</v>
      </c>
    </row>
    <row r="60" spans="1:46" x14ac:dyDescent="0.25">
      <c r="A60" s="1" t="s">
        <v>170</v>
      </c>
      <c r="B60" s="1" t="s">
        <v>46</v>
      </c>
      <c r="C60" s="1">
        <v>448.75900000000001</v>
      </c>
      <c r="D60" s="1">
        <v>546.85900000000004</v>
      </c>
      <c r="E60" s="1">
        <v>466.46300000000002</v>
      </c>
      <c r="F60" s="1">
        <v>489.17899999999997</v>
      </c>
      <c r="G60" s="7">
        <v>1</v>
      </c>
      <c r="H60" s="1">
        <v>50</v>
      </c>
      <c r="I60" s="1" t="s">
        <v>47</v>
      </c>
      <c r="J60" s="1"/>
      <c r="K60" s="1">
        <v>484.1</v>
      </c>
      <c r="L60" s="1">
        <f t="shared" si="13"/>
        <v>-17.637</v>
      </c>
      <c r="M60" s="1">
        <f t="shared" si="14"/>
        <v>466.46300000000002</v>
      </c>
      <c r="N60" s="1"/>
      <c r="O60" s="1">
        <v>368.89529444800007</v>
      </c>
      <c r="P60" s="1">
        <v>0</v>
      </c>
      <c r="Q60" s="1"/>
      <c r="R60" s="1">
        <v>139.7601895999999</v>
      </c>
      <c r="S60" s="1"/>
      <c r="T60" s="20"/>
      <c r="U60" s="1">
        <f t="shared" si="15"/>
        <v>93.292600000000007</v>
      </c>
      <c r="V60" s="5">
        <f>12*U60-R60-Q60-P60-O60-F60</f>
        <v>121.67671595200022</v>
      </c>
      <c r="W60" s="5">
        <f t="shared" si="16"/>
        <v>121.67671595200022</v>
      </c>
      <c r="X60" s="5">
        <f>W60-AA60</f>
        <v>121.67671595200022</v>
      </c>
      <c r="Y60" s="5"/>
      <c r="Z60" s="26"/>
      <c r="AA60" s="5"/>
      <c r="AB60" s="5"/>
      <c r="AC60" s="26"/>
      <c r="AD60" s="1"/>
      <c r="AE60" s="1">
        <f>(F60+O60+P60+Q60+R60+X60+Z60+AA60+T60+AC60)/U60</f>
        <v>12</v>
      </c>
      <c r="AF60" s="1">
        <f>(F60+O60+P60+Q60+R60)/U60</f>
        <v>10.695751689287251</v>
      </c>
      <c r="AG60" s="1">
        <v>105.92659999999999</v>
      </c>
      <c r="AH60" s="1">
        <v>80.308399999999992</v>
      </c>
      <c r="AI60" s="1">
        <v>57.7956</v>
      </c>
      <c r="AJ60" s="1">
        <v>86.590799999999987</v>
      </c>
      <c r="AK60" s="1">
        <v>102.032</v>
      </c>
      <c r="AL60" s="1">
        <v>70.132199999999997</v>
      </c>
      <c r="AM60" s="1">
        <v>63.280999999999992</v>
      </c>
      <c r="AN60" s="1">
        <v>79.756600000000006</v>
      </c>
      <c r="AO60" s="1">
        <v>81.925600000000003</v>
      </c>
      <c r="AP60" s="1">
        <v>86.080600000000004</v>
      </c>
      <c r="AQ60" s="1"/>
      <c r="AR60" s="1">
        <f>ROUND(G60*X60,0)</f>
        <v>122</v>
      </c>
      <c r="AS60" s="1">
        <f>ROUND(G60*AA60,0)</f>
        <v>0</v>
      </c>
      <c r="AT60" t="s">
        <v>171</v>
      </c>
    </row>
    <row r="61" spans="1:46" x14ac:dyDescent="0.25">
      <c r="A61" s="1" t="s">
        <v>172</v>
      </c>
      <c r="B61" s="1" t="s">
        <v>46</v>
      </c>
      <c r="C61" s="1">
        <v>54.762999999999998</v>
      </c>
      <c r="D61" s="1">
        <v>34.393000000000001</v>
      </c>
      <c r="E61" s="1">
        <v>41.088000000000001</v>
      </c>
      <c r="F61" s="1">
        <v>48.067999999999998</v>
      </c>
      <c r="G61" s="7">
        <v>1</v>
      </c>
      <c r="H61" s="1">
        <v>55</v>
      </c>
      <c r="I61" s="1" t="s">
        <v>47</v>
      </c>
      <c r="J61" s="1"/>
      <c r="K61" s="1">
        <v>39.1</v>
      </c>
      <c r="L61" s="1">
        <f t="shared" si="13"/>
        <v>1.9879999999999995</v>
      </c>
      <c r="M61" s="1">
        <f t="shared" si="14"/>
        <v>41.088000000000001</v>
      </c>
      <c r="N61" s="1"/>
      <c r="O61" s="1">
        <v>0</v>
      </c>
      <c r="P61" s="1"/>
      <c r="Q61" s="1"/>
      <c r="R61" s="1">
        <v>11.89340000000001</v>
      </c>
      <c r="S61" s="1"/>
      <c r="T61" s="20"/>
      <c r="U61" s="1">
        <f t="shared" si="15"/>
        <v>8.2176000000000009</v>
      </c>
      <c r="V61" s="5">
        <f>12*U61-R61-Q61-P61-O61-F61</f>
        <v>38.649799999999999</v>
      </c>
      <c r="W61" s="5">
        <f t="shared" si="16"/>
        <v>38.649799999999999</v>
      </c>
      <c r="X61" s="5">
        <f>W61-AA61</f>
        <v>38.649799999999999</v>
      </c>
      <c r="Y61" s="5">
        <v>-11</v>
      </c>
      <c r="Z61" s="26"/>
      <c r="AA61" s="5"/>
      <c r="AB61" s="5"/>
      <c r="AC61" s="26"/>
      <c r="AD61" s="1"/>
      <c r="AE61" s="1">
        <f>(F61+O61+P61+Q61+R61+X61+Z61+AA61+T61+AC61)/U61</f>
        <v>12</v>
      </c>
      <c r="AF61" s="1">
        <f>(F61+O61+P61+Q61+R61)/U61</f>
        <v>7.296704633956387</v>
      </c>
      <c r="AG61" s="1">
        <v>6.5724</v>
      </c>
      <c r="AH61" s="1">
        <v>2.7147999999999999</v>
      </c>
      <c r="AI61" s="1">
        <v>3.7801999999999998</v>
      </c>
      <c r="AJ61" s="1">
        <v>7.5739999999999998</v>
      </c>
      <c r="AK61" s="1">
        <v>8.3827999999999996</v>
      </c>
      <c r="AL61" s="1">
        <v>3.4996</v>
      </c>
      <c r="AM61" s="1">
        <v>4.0301999999999998</v>
      </c>
      <c r="AN61" s="1">
        <v>4.2412000000000001</v>
      </c>
      <c r="AO61" s="1">
        <v>5.3171999999999997</v>
      </c>
      <c r="AP61" s="1">
        <v>3.4356</v>
      </c>
      <c r="AQ61" s="1"/>
      <c r="AR61" s="1">
        <f>ROUND(G61*X61,0)</f>
        <v>39</v>
      </c>
      <c r="AS61" s="1">
        <f>ROUND(G61*AA61,0)</f>
        <v>0</v>
      </c>
      <c r="AT61" t="s">
        <v>173</v>
      </c>
    </row>
    <row r="62" spans="1:46" x14ac:dyDescent="0.25">
      <c r="A62" s="1" t="s">
        <v>174</v>
      </c>
      <c r="B62" s="1" t="s">
        <v>54</v>
      </c>
      <c r="C62" s="1">
        <v>95</v>
      </c>
      <c r="D62" s="1">
        <v>145</v>
      </c>
      <c r="E62" s="1">
        <v>101</v>
      </c>
      <c r="F62" s="1">
        <v>105</v>
      </c>
      <c r="G62" s="7">
        <v>0.1</v>
      </c>
      <c r="H62" s="1">
        <v>731</v>
      </c>
      <c r="I62" s="1" t="s">
        <v>47</v>
      </c>
      <c r="J62" s="1"/>
      <c r="K62" s="1">
        <v>115</v>
      </c>
      <c r="L62" s="1">
        <f t="shared" si="13"/>
        <v>-14</v>
      </c>
      <c r="M62" s="1">
        <f t="shared" si="14"/>
        <v>101</v>
      </c>
      <c r="N62" s="1"/>
      <c r="O62" s="1">
        <v>75.599999999999966</v>
      </c>
      <c r="P62" s="1">
        <v>0</v>
      </c>
      <c r="Q62" s="1"/>
      <c r="R62" s="1">
        <v>44.400000000000027</v>
      </c>
      <c r="S62" s="1"/>
      <c r="T62" s="20"/>
      <c r="U62" s="1">
        <f t="shared" si="15"/>
        <v>20.2</v>
      </c>
      <c r="V62" s="5">
        <f>12*U62-R62-Q62-P62-O62-F62</f>
        <v>17.399999999999977</v>
      </c>
      <c r="W62" s="5">
        <f t="shared" si="16"/>
        <v>17.399999999999977</v>
      </c>
      <c r="X62" s="5">
        <f>W62-AA62</f>
        <v>17.399999999999977</v>
      </c>
      <c r="Y62" s="5"/>
      <c r="Z62" s="26"/>
      <c r="AA62" s="5"/>
      <c r="AB62" s="5"/>
      <c r="AC62" s="26"/>
      <c r="AD62" s="1"/>
      <c r="AE62" s="1">
        <f>(F62+O62+P62+Q62+R62+X62+Z62+AA62+T62+AC62)/U62</f>
        <v>12</v>
      </c>
      <c r="AF62" s="1">
        <f>(F62+O62+P62+Q62+R62)/U62</f>
        <v>11.138613861386139</v>
      </c>
      <c r="AG62" s="1">
        <v>24</v>
      </c>
      <c r="AH62" s="1">
        <v>23</v>
      </c>
      <c r="AI62" s="1">
        <v>23.6</v>
      </c>
      <c r="AJ62" s="1">
        <v>23</v>
      </c>
      <c r="AK62" s="1">
        <v>24.2</v>
      </c>
      <c r="AL62" s="1">
        <v>17.600000000000001</v>
      </c>
      <c r="AM62" s="1">
        <v>17.600000000000001</v>
      </c>
      <c r="AN62" s="1">
        <v>20.8</v>
      </c>
      <c r="AO62" s="1">
        <v>23.6</v>
      </c>
      <c r="AP62" s="1">
        <v>27.2</v>
      </c>
      <c r="AQ62" s="1"/>
      <c r="AR62" s="1">
        <f>ROUND(G62*X62,0)</f>
        <v>2</v>
      </c>
      <c r="AS62" s="1">
        <f>ROUND(G62*AA62,0)</f>
        <v>0</v>
      </c>
      <c r="AT62" t="s">
        <v>175</v>
      </c>
    </row>
    <row r="63" spans="1:46" x14ac:dyDescent="0.25">
      <c r="A63" s="1" t="s">
        <v>176</v>
      </c>
      <c r="B63" s="1" t="s">
        <v>54</v>
      </c>
      <c r="C63" s="1">
        <v>20</v>
      </c>
      <c r="D63" s="1">
        <v>2</v>
      </c>
      <c r="E63" s="1">
        <v>4</v>
      </c>
      <c r="F63" s="1">
        <v>18</v>
      </c>
      <c r="G63" s="7">
        <v>0.4</v>
      </c>
      <c r="H63" s="1">
        <v>50</v>
      </c>
      <c r="I63" s="1" t="s">
        <v>47</v>
      </c>
      <c r="J63" s="1"/>
      <c r="K63" s="1">
        <v>15</v>
      </c>
      <c r="L63" s="1">
        <f t="shared" si="13"/>
        <v>-11</v>
      </c>
      <c r="M63" s="1">
        <f t="shared" si="14"/>
        <v>4</v>
      </c>
      <c r="N63" s="1"/>
      <c r="O63" s="1">
        <v>6.4000000000000021</v>
      </c>
      <c r="P63" s="1">
        <v>0</v>
      </c>
      <c r="Q63" s="1"/>
      <c r="R63" s="1">
        <v>0</v>
      </c>
      <c r="S63" s="1"/>
      <c r="T63" s="20"/>
      <c r="U63" s="1">
        <f t="shared" si="15"/>
        <v>0.8</v>
      </c>
      <c r="V63" s="5"/>
      <c r="W63" s="5">
        <f t="shared" si="16"/>
        <v>0</v>
      </c>
      <c r="X63" s="5">
        <f>W63-AA63</f>
        <v>0</v>
      </c>
      <c r="Y63" s="5"/>
      <c r="Z63" s="26"/>
      <c r="AA63" s="5"/>
      <c r="AB63" s="5"/>
      <c r="AC63" s="26"/>
      <c r="AD63" s="1"/>
      <c r="AE63" s="1">
        <f>(F63+O63+P63+Q63+R63+X63+Z63+AA63+T63+AC63)/U63</f>
        <v>30.5</v>
      </c>
      <c r="AF63" s="1">
        <f>(F63+O63+P63+Q63+R63)/U63</f>
        <v>30.5</v>
      </c>
      <c r="AG63" s="1">
        <v>1.4</v>
      </c>
      <c r="AH63" s="1">
        <v>2.2000000000000002</v>
      </c>
      <c r="AI63" s="1">
        <v>2.2000000000000002</v>
      </c>
      <c r="AJ63" s="1">
        <v>1</v>
      </c>
      <c r="AK63" s="1">
        <v>1.6</v>
      </c>
      <c r="AL63" s="1">
        <v>2.8</v>
      </c>
      <c r="AM63" s="1">
        <v>1.2</v>
      </c>
      <c r="AN63" s="1">
        <v>0.2</v>
      </c>
      <c r="AO63" s="1">
        <v>1.6</v>
      </c>
      <c r="AP63" s="1">
        <v>2.8</v>
      </c>
      <c r="AQ63" s="9" t="s">
        <v>65</v>
      </c>
      <c r="AR63" s="1">
        <f>ROUND(G63*X63,0)</f>
        <v>0</v>
      </c>
      <c r="AS63" s="1">
        <f>ROUND(G63*AA63,0)</f>
        <v>0</v>
      </c>
      <c r="AT63" t="s">
        <v>177</v>
      </c>
    </row>
    <row r="64" spans="1:46" x14ac:dyDescent="0.25">
      <c r="A64" s="1" t="s">
        <v>178</v>
      </c>
      <c r="B64" s="1" t="s">
        <v>46</v>
      </c>
      <c r="C64" s="1">
        <v>-1.1850000000000001</v>
      </c>
      <c r="D64" s="1">
        <v>159.56399999999999</v>
      </c>
      <c r="E64" s="1">
        <v>179.65199999999999</v>
      </c>
      <c r="F64" s="1">
        <v>-26.584</v>
      </c>
      <c r="G64" s="7">
        <v>1</v>
      </c>
      <c r="H64" s="1">
        <v>40</v>
      </c>
      <c r="I64" s="17" t="s">
        <v>102</v>
      </c>
      <c r="J64" s="1"/>
      <c r="K64" s="1">
        <v>201</v>
      </c>
      <c r="L64" s="1">
        <f t="shared" si="13"/>
        <v>-21.348000000000013</v>
      </c>
      <c r="M64" s="1">
        <f t="shared" si="14"/>
        <v>179.65199999999999</v>
      </c>
      <c r="N64" s="1"/>
      <c r="O64" s="1">
        <v>0</v>
      </c>
      <c r="P64" s="1"/>
      <c r="Q64" s="1"/>
      <c r="R64" s="1">
        <v>186.208</v>
      </c>
      <c r="S64" s="1"/>
      <c r="T64" s="20"/>
      <c r="U64" s="1">
        <f t="shared" si="15"/>
        <v>35.930399999999999</v>
      </c>
      <c r="V64" s="5">
        <v>100</v>
      </c>
      <c r="W64" s="5">
        <f t="shared" si="16"/>
        <v>100</v>
      </c>
      <c r="X64" s="5">
        <f>W64-AA64</f>
        <v>100</v>
      </c>
      <c r="Y64" s="5"/>
      <c r="Z64" s="26"/>
      <c r="AA64" s="5"/>
      <c r="AB64" s="5"/>
      <c r="AC64" s="26"/>
      <c r="AD64" s="1"/>
      <c r="AE64" s="1">
        <f>(F64+O64+P64+Q64+R64+X64+Z64+AA64+T64+AC64)/U64</f>
        <v>7.2257475563867928</v>
      </c>
      <c r="AF64" s="1">
        <f>(F64+O64+P64+Q64+R64)/U64</f>
        <v>4.4425890054104604</v>
      </c>
      <c r="AG64" s="1">
        <v>33.767200000000003</v>
      </c>
      <c r="AH64" s="1">
        <v>5.1779999999999999</v>
      </c>
      <c r="AI64" s="1">
        <v>12.8698</v>
      </c>
      <c r="AJ64" s="1">
        <v>11.319000000000001</v>
      </c>
      <c r="AK64" s="1">
        <v>7.4388000000000014</v>
      </c>
      <c r="AL64" s="1">
        <v>8.8168000000000006</v>
      </c>
      <c r="AM64" s="1">
        <v>9.9623999999999988</v>
      </c>
      <c r="AN64" s="1">
        <v>9.6790000000000003</v>
      </c>
      <c r="AO64" s="1">
        <v>10.668799999999999</v>
      </c>
      <c r="AP64" s="1">
        <v>14.4322</v>
      </c>
      <c r="AQ64" s="1" t="s">
        <v>179</v>
      </c>
      <c r="AR64" s="1">
        <f>ROUND(G64*X64,0)</f>
        <v>100</v>
      </c>
      <c r="AS64" s="1">
        <f>ROUND(G64*AA64,0)</f>
        <v>0</v>
      </c>
      <c r="AT64" t="s">
        <v>180</v>
      </c>
    </row>
    <row r="65" spans="1:46" x14ac:dyDescent="0.25">
      <c r="A65" s="1" t="s">
        <v>181</v>
      </c>
      <c r="B65" s="1" t="s">
        <v>46</v>
      </c>
      <c r="C65" s="1">
        <v>-15.063000000000001</v>
      </c>
      <c r="D65" s="1">
        <v>213.54300000000001</v>
      </c>
      <c r="E65" s="1">
        <v>179.41900000000001</v>
      </c>
      <c r="F65" s="1">
        <v>-40.819000000000003</v>
      </c>
      <c r="G65" s="7">
        <v>1</v>
      </c>
      <c r="H65" s="1">
        <v>40</v>
      </c>
      <c r="I65" s="17" t="s">
        <v>102</v>
      </c>
      <c r="J65" s="1"/>
      <c r="K65" s="1">
        <v>310.375</v>
      </c>
      <c r="L65" s="1">
        <f t="shared" si="13"/>
        <v>-130.95599999999999</v>
      </c>
      <c r="M65" s="1">
        <f t="shared" si="14"/>
        <v>179.41900000000001</v>
      </c>
      <c r="N65" s="1"/>
      <c r="O65" s="1">
        <v>0</v>
      </c>
      <c r="P65" s="1"/>
      <c r="Q65" s="1"/>
      <c r="R65" s="1">
        <v>100</v>
      </c>
      <c r="S65" s="1"/>
      <c r="T65" s="20"/>
      <c r="U65" s="1">
        <f t="shared" si="15"/>
        <v>35.883800000000001</v>
      </c>
      <c r="V65" s="5">
        <v>100</v>
      </c>
      <c r="W65" s="5">
        <f t="shared" si="16"/>
        <v>100</v>
      </c>
      <c r="X65" s="5">
        <f>W65-AA65</f>
        <v>100</v>
      </c>
      <c r="Y65" s="5"/>
      <c r="Z65" s="26"/>
      <c r="AA65" s="5"/>
      <c r="AB65" s="5"/>
      <c r="AC65" s="26"/>
      <c r="AD65" s="1"/>
      <c r="AE65" s="1">
        <f>(F65+O65+P65+Q65+R65+X65+Z65+AA65+T65+AC65)/U65</f>
        <v>4.4360129083318931</v>
      </c>
      <c r="AF65" s="1">
        <f>(F65+O65+P65+Q65+R65)/U65</f>
        <v>1.6492400470407258</v>
      </c>
      <c r="AG65" s="1">
        <v>36.3566</v>
      </c>
      <c r="AH65" s="1">
        <v>15.0884</v>
      </c>
      <c r="AI65" s="1">
        <v>0.26879999999999998</v>
      </c>
      <c r="AJ65" s="1">
        <v>0.55599999999999994</v>
      </c>
      <c r="AK65" s="1">
        <v>8.0599999999999987</v>
      </c>
      <c r="AL65" s="1">
        <v>8.0434000000000001</v>
      </c>
      <c r="AM65" s="1">
        <v>1.6077999999999999</v>
      </c>
      <c r="AN65" s="1">
        <v>1.6077999999999999</v>
      </c>
      <c r="AO65" s="1">
        <v>1.6292</v>
      </c>
      <c r="AP65" s="1">
        <v>1.1017999999999999</v>
      </c>
      <c r="AQ65" s="1" t="s">
        <v>179</v>
      </c>
      <c r="AR65" s="1">
        <f>ROUND(G65*X65,0)</f>
        <v>100</v>
      </c>
      <c r="AS65" s="1">
        <f>ROUND(G65*AA65,0)</f>
        <v>0</v>
      </c>
      <c r="AT65" t="s">
        <v>182</v>
      </c>
    </row>
    <row r="66" spans="1:46" x14ac:dyDescent="0.25">
      <c r="A66" s="1" t="s">
        <v>183</v>
      </c>
      <c r="B66" s="1" t="s">
        <v>54</v>
      </c>
      <c r="C66" s="1">
        <v>161</v>
      </c>
      <c r="D66" s="1">
        <v>1228</v>
      </c>
      <c r="E66" s="1">
        <v>481</v>
      </c>
      <c r="F66" s="1">
        <v>869</v>
      </c>
      <c r="G66" s="7">
        <v>0.4</v>
      </c>
      <c r="H66" s="1">
        <v>40</v>
      </c>
      <c r="I66" s="1" t="s">
        <v>47</v>
      </c>
      <c r="J66" s="1"/>
      <c r="K66" s="1">
        <v>596</v>
      </c>
      <c r="L66" s="1">
        <f t="shared" si="13"/>
        <v>-115</v>
      </c>
      <c r="M66" s="1">
        <f t="shared" si="14"/>
        <v>481</v>
      </c>
      <c r="N66" s="1"/>
      <c r="O66" s="1">
        <v>857.63112000000012</v>
      </c>
      <c r="P66" s="1">
        <v>0</v>
      </c>
      <c r="Q66" s="1"/>
      <c r="R66" s="1">
        <v>0</v>
      </c>
      <c r="S66" s="1"/>
      <c r="T66" s="20"/>
      <c r="U66" s="1">
        <f t="shared" si="15"/>
        <v>96.2</v>
      </c>
      <c r="V66" s="5"/>
      <c r="W66" s="5">
        <f t="shared" si="16"/>
        <v>0</v>
      </c>
      <c r="X66" s="5">
        <f>W66-AA66</f>
        <v>0</v>
      </c>
      <c r="Y66" s="5"/>
      <c r="Z66" s="26"/>
      <c r="AA66" s="5"/>
      <c r="AB66" s="5"/>
      <c r="AC66" s="26"/>
      <c r="AD66" s="1"/>
      <c r="AE66" s="1">
        <f>(F66+O66+P66+Q66+R66+X66+Z66+AA66+T66+AC66)/U66</f>
        <v>17.94834844074844</v>
      </c>
      <c r="AF66" s="1">
        <f>(F66+O66+P66+Q66+R66)/U66</f>
        <v>17.94834844074844</v>
      </c>
      <c r="AG66" s="1">
        <v>124.2</v>
      </c>
      <c r="AH66" s="1">
        <v>168</v>
      </c>
      <c r="AI66" s="1">
        <v>89.6</v>
      </c>
      <c r="AJ66" s="1">
        <v>26.4</v>
      </c>
      <c r="AK66" s="1">
        <v>94.8</v>
      </c>
      <c r="AL66" s="1">
        <v>113.2</v>
      </c>
      <c r="AM66" s="1">
        <v>99</v>
      </c>
      <c r="AN66" s="1">
        <v>107.8</v>
      </c>
      <c r="AO66" s="1">
        <v>129.19999999999999</v>
      </c>
      <c r="AP66" s="1">
        <v>139.4</v>
      </c>
      <c r="AQ66" s="9" t="s">
        <v>65</v>
      </c>
      <c r="AR66" s="1">
        <f>ROUND(G66*X66,0)</f>
        <v>0</v>
      </c>
      <c r="AS66" s="1">
        <f>ROUND(G66*AA66,0)</f>
        <v>0</v>
      </c>
      <c r="AT66" t="s">
        <v>184</v>
      </c>
    </row>
    <row r="67" spans="1:46" x14ac:dyDescent="0.25">
      <c r="A67" s="1" t="s">
        <v>185</v>
      </c>
      <c r="B67" s="1" t="s">
        <v>54</v>
      </c>
      <c r="C67" s="1">
        <v>-7</v>
      </c>
      <c r="D67" s="1">
        <v>90</v>
      </c>
      <c r="E67" s="1">
        <v>3</v>
      </c>
      <c r="F67" s="1">
        <v>79</v>
      </c>
      <c r="G67" s="7">
        <v>0.4</v>
      </c>
      <c r="H67" s="1">
        <v>40</v>
      </c>
      <c r="I67" s="15" t="s">
        <v>102</v>
      </c>
      <c r="J67" s="1"/>
      <c r="K67" s="1">
        <v>175</v>
      </c>
      <c r="L67" s="1">
        <f t="shared" si="13"/>
        <v>-172</v>
      </c>
      <c r="M67" s="1">
        <f t="shared" si="14"/>
        <v>3</v>
      </c>
      <c r="N67" s="1"/>
      <c r="O67" s="1">
        <v>150</v>
      </c>
      <c r="P67" s="1">
        <v>0</v>
      </c>
      <c r="Q67" s="1"/>
      <c r="R67" s="1">
        <v>50</v>
      </c>
      <c r="S67" s="1"/>
      <c r="T67" s="20"/>
      <c r="U67" s="1">
        <f t="shared" si="15"/>
        <v>0.6</v>
      </c>
      <c r="V67" s="5">
        <v>100</v>
      </c>
      <c r="W67" s="5">
        <f t="shared" si="16"/>
        <v>100</v>
      </c>
      <c r="X67" s="5">
        <v>100</v>
      </c>
      <c r="Y67" s="5"/>
      <c r="Z67" s="26"/>
      <c r="AA67" s="5">
        <v>50</v>
      </c>
      <c r="AB67" s="5"/>
      <c r="AC67" s="26"/>
      <c r="AD67" s="1"/>
      <c r="AE67" s="1">
        <f>(F67+O67+P67+Q67+R67+X67+Z67+AA67+T67+AC67)/U67</f>
        <v>715</v>
      </c>
      <c r="AF67" s="1">
        <f>(F67+O67+P67+Q67+R67)/U67</f>
        <v>465</v>
      </c>
      <c r="AG67" s="1">
        <v>0</v>
      </c>
      <c r="AH67" s="1">
        <v>0.4</v>
      </c>
      <c r="AI67" s="1">
        <v>0.8</v>
      </c>
      <c r="AJ67" s="1">
        <v>45.6</v>
      </c>
      <c r="AK67" s="1">
        <v>95.8</v>
      </c>
      <c r="AL67" s="1">
        <v>80.400000000000006</v>
      </c>
      <c r="AM67" s="1">
        <v>83.4</v>
      </c>
      <c r="AN67" s="1">
        <v>95.6</v>
      </c>
      <c r="AO67" s="1">
        <v>103.6</v>
      </c>
      <c r="AP67" s="1">
        <v>96.2</v>
      </c>
      <c r="AQ67" s="1"/>
      <c r="AR67" s="1">
        <f>ROUND(G67*X67,0)</f>
        <v>40</v>
      </c>
      <c r="AS67" s="1">
        <f>ROUND(G67*AA67,0)</f>
        <v>20</v>
      </c>
      <c r="AT67" t="s">
        <v>186</v>
      </c>
    </row>
    <row r="68" spans="1:46" x14ac:dyDescent="0.25">
      <c r="A68" s="1" t="s">
        <v>187</v>
      </c>
      <c r="B68" s="1" t="s">
        <v>46</v>
      </c>
      <c r="C68" s="1">
        <v>63.65</v>
      </c>
      <c r="D68" s="1">
        <v>172.18700000000001</v>
      </c>
      <c r="E68" s="1">
        <v>94.153000000000006</v>
      </c>
      <c r="F68" s="1">
        <v>131.67500000000001</v>
      </c>
      <c r="G68" s="7">
        <v>1</v>
      </c>
      <c r="H68" s="1">
        <v>40</v>
      </c>
      <c r="I68" s="1" t="s">
        <v>47</v>
      </c>
      <c r="J68" s="1"/>
      <c r="K68" s="1">
        <v>96.271000000000001</v>
      </c>
      <c r="L68" s="1">
        <f t="shared" si="13"/>
        <v>-2.117999999999995</v>
      </c>
      <c r="M68" s="1">
        <f t="shared" si="14"/>
        <v>88.682000000000002</v>
      </c>
      <c r="N68" s="1">
        <v>5.4710000000000001</v>
      </c>
      <c r="O68" s="1">
        <v>0</v>
      </c>
      <c r="P68" s="1"/>
      <c r="Q68" s="1"/>
      <c r="R68" s="1">
        <v>0</v>
      </c>
      <c r="S68" s="1"/>
      <c r="T68" s="20"/>
      <c r="U68" s="1">
        <f t="shared" si="15"/>
        <v>17.7364</v>
      </c>
      <c r="V68" s="5">
        <f>12*U68-R68-Q68-P68-O68-F68</f>
        <v>81.161799999999971</v>
      </c>
      <c r="W68" s="5">
        <f t="shared" si="16"/>
        <v>81.161799999999971</v>
      </c>
      <c r="X68" s="5">
        <f>W68-AA68</f>
        <v>81.161799999999971</v>
      </c>
      <c r="Y68" s="5"/>
      <c r="Z68" s="26"/>
      <c r="AA68" s="5"/>
      <c r="AB68" s="5"/>
      <c r="AC68" s="26"/>
      <c r="AD68" s="1"/>
      <c r="AE68" s="1">
        <f>(F68+O68+P68+Q68+R68+X68+Z68+AA68+T68+AC68)/U68</f>
        <v>12</v>
      </c>
      <c r="AF68" s="1">
        <f>(F68+O68+P68+Q68+R68)/U68</f>
        <v>7.4239981055907629</v>
      </c>
      <c r="AG68" s="1">
        <v>6.0776000000000003</v>
      </c>
      <c r="AH68" s="1">
        <v>4.7904</v>
      </c>
      <c r="AI68" s="1">
        <v>12.265599999999999</v>
      </c>
      <c r="AJ68" s="1">
        <v>17.055599999999998</v>
      </c>
      <c r="AK68" s="1">
        <v>11.9252</v>
      </c>
      <c r="AL68" s="1">
        <v>7.8718000000000004</v>
      </c>
      <c r="AM68" s="1">
        <v>7.6943999999999999</v>
      </c>
      <c r="AN68" s="1">
        <v>8.5982000000000003</v>
      </c>
      <c r="AO68" s="1">
        <v>10.3788</v>
      </c>
      <c r="AP68" s="1">
        <v>10.9048</v>
      </c>
      <c r="AQ68" s="1"/>
      <c r="AR68" s="1">
        <f>ROUND(G68*X68,0)</f>
        <v>81</v>
      </c>
      <c r="AS68" s="1">
        <f>ROUND(G68*AA68,0)</f>
        <v>0</v>
      </c>
      <c r="AT68" t="s">
        <v>188</v>
      </c>
    </row>
    <row r="69" spans="1:46" x14ac:dyDescent="0.25">
      <c r="A69" s="1" t="s">
        <v>189</v>
      </c>
      <c r="B69" s="1" t="s">
        <v>46</v>
      </c>
      <c r="C69" s="1">
        <v>113.092</v>
      </c>
      <c r="D69" s="1">
        <v>214.15100000000001</v>
      </c>
      <c r="E69" s="1">
        <v>154.80600000000001</v>
      </c>
      <c r="F69" s="1">
        <v>59.363</v>
      </c>
      <c r="G69" s="7">
        <v>1</v>
      </c>
      <c r="H69" s="1">
        <v>40</v>
      </c>
      <c r="I69" s="1" t="s">
        <v>47</v>
      </c>
      <c r="J69" s="1"/>
      <c r="K69" s="1">
        <v>211.48400000000001</v>
      </c>
      <c r="L69" s="1">
        <f t="shared" si="13"/>
        <v>-56.677999999999997</v>
      </c>
      <c r="M69" s="1">
        <f t="shared" si="14"/>
        <v>154.80600000000001</v>
      </c>
      <c r="N69" s="1"/>
      <c r="O69" s="1">
        <v>49.051800000000092</v>
      </c>
      <c r="P69" s="1">
        <v>0</v>
      </c>
      <c r="Q69" s="1"/>
      <c r="R69" s="1">
        <v>157.82699999999991</v>
      </c>
      <c r="S69" s="1"/>
      <c r="T69" s="20"/>
      <c r="U69" s="1">
        <f t="shared" si="15"/>
        <v>30.961200000000002</v>
      </c>
      <c r="V69" s="5">
        <f>12*U69-R69-Q69-P69-O69-F69</f>
        <v>105.29259999999999</v>
      </c>
      <c r="W69" s="5">
        <f t="shared" si="16"/>
        <v>105.29259999999999</v>
      </c>
      <c r="X69" s="5">
        <f>W69-AA69</f>
        <v>105.29259999999999</v>
      </c>
      <c r="Y69" s="5"/>
      <c r="Z69" s="26"/>
      <c r="AA69" s="5"/>
      <c r="AB69" s="5"/>
      <c r="AC69" s="26"/>
      <c r="AD69" s="1"/>
      <c r="AE69" s="1">
        <f>(F69+O69+P69+Q69+R69+X69+Z69+AA69+T69+AC69)/U69</f>
        <v>12</v>
      </c>
      <c r="AF69" s="1">
        <f>(F69+O69+P69+Q69+R69)/U69</f>
        <v>8.5992080410320018</v>
      </c>
      <c r="AG69" s="1">
        <v>27.160799999999998</v>
      </c>
      <c r="AH69" s="1">
        <v>17.945</v>
      </c>
      <c r="AI69" s="1">
        <v>16.682200000000002</v>
      </c>
      <c r="AJ69" s="1">
        <v>20.416399999999999</v>
      </c>
      <c r="AK69" s="1">
        <v>21.869800000000001</v>
      </c>
      <c r="AL69" s="1">
        <v>14.438000000000001</v>
      </c>
      <c r="AM69" s="1">
        <v>14.6104</v>
      </c>
      <c r="AN69" s="1">
        <v>11.178800000000001</v>
      </c>
      <c r="AO69" s="1">
        <v>12.990399999999999</v>
      </c>
      <c r="AP69" s="1">
        <v>13.3424</v>
      </c>
      <c r="AQ69" s="1"/>
      <c r="AR69" s="1">
        <f>ROUND(G69*X69,0)</f>
        <v>105</v>
      </c>
      <c r="AS69" s="1">
        <f>ROUND(G69*AA69,0)</f>
        <v>0</v>
      </c>
      <c r="AT69" t="s">
        <v>190</v>
      </c>
    </row>
    <row r="70" spans="1:46" x14ac:dyDescent="0.25">
      <c r="A70" s="1" t="s">
        <v>191</v>
      </c>
      <c r="B70" s="1" t="s">
        <v>46</v>
      </c>
      <c r="C70" s="1">
        <v>723.54100000000005</v>
      </c>
      <c r="D70" s="1">
        <v>504.68599999999998</v>
      </c>
      <c r="E70" s="1">
        <v>428.78100000000001</v>
      </c>
      <c r="F70" s="1">
        <v>760.68600000000004</v>
      </c>
      <c r="G70" s="7">
        <v>1</v>
      </c>
      <c r="H70" s="1">
        <v>40</v>
      </c>
      <c r="I70" s="1" t="s">
        <v>47</v>
      </c>
      <c r="J70" s="1"/>
      <c r="K70" s="1">
        <v>437.59800000000001</v>
      </c>
      <c r="L70" s="1">
        <f t="shared" ref="L70:L101" si="17">E70-K70</f>
        <v>-8.8170000000000073</v>
      </c>
      <c r="M70" s="1">
        <f t="shared" ref="M70:M101" si="18">E70-N70</f>
        <v>407.08199999999999</v>
      </c>
      <c r="N70" s="1">
        <v>21.699000000000002</v>
      </c>
      <c r="O70" s="1">
        <v>233.04114960000001</v>
      </c>
      <c r="P70" s="1">
        <v>0</v>
      </c>
      <c r="Q70" s="1"/>
      <c r="R70" s="1">
        <v>0</v>
      </c>
      <c r="S70" s="1"/>
      <c r="T70" s="20"/>
      <c r="U70" s="1">
        <f t="shared" ref="U70:U101" si="19">M70/5</f>
        <v>81.416399999999996</v>
      </c>
      <c r="V70" s="5"/>
      <c r="W70" s="5">
        <f t="shared" si="16"/>
        <v>0</v>
      </c>
      <c r="X70" s="5">
        <f>W70-AA70</f>
        <v>0</v>
      </c>
      <c r="Y70" s="5"/>
      <c r="Z70" s="26"/>
      <c r="AA70" s="5"/>
      <c r="AB70" s="5"/>
      <c r="AC70" s="26"/>
      <c r="AD70" s="1"/>
      <c r="AE70" s="1">
        <f>(F70+O70+P70+Q70+R70+X70+Z70+AA70+T70+AC70)/U70</f>
        <v>12.205491149203356</v>
      </c>
      <c r="AF70" s="1">
        <f>(F70+O70+P70+Q70+R70)/U70</f>
        <v>12.205491149203356</v>
      </c>
      <c r="AG70" s="1">
        <v>61.898000000000003</v>
      </c>
      <c r="AH70" s="1">
        <v>89.253599999999992</v>
      </c>
      <c r="AI70" s="1">
        <v>110.14279999999999</v>
      </c>
      <c r="AJ70" s="1">
        <v>106.628</v>
      </c>
      <c r="AK70" s="1">
        <v>119.44499999999999</v>
      </c>
      <c r="AL70" s="1">
        <v>150.35599999999999</v>
      </c>
      <c r="AM70" s="1">
        <v>156.10319999999999</v>
      </c>
      <c r="AN70" s="1">
        <v>121.55540000000001</v>
      </c>
      <c r="AO70" s="1">
        <v>176.9426</v>
      </c>
      <c r="AP70" s="1">
        <v>160.39500000000001</v>
      </c>
      <c r="AQ70" s="1"/>
      <c r="AR70" s="1">
        <f>ROUND(G70*X70,0)</f>
        <v>0</v>
      </c>
      <c r="AS70" s="1">
        <f>ROUND(G70*AA70,0)</f>
        <v>0</v>
      </c>
      <c r="AT70" t="s">
        <v>192</v>
      </c>
    </row>
    <row r="71" spans="1:46" x14ac:dyDescent="0.25">
      <c r="A71" s="1" t="s">
        <v>193</v>
      </c>
      <c r="B71" s="1" t="s">
        <v>46</v>
      </c>
      <c r="C71" s="1">
        <v>11.391999999999999</v>
      </c>
      <c r="D71" s="1">
        <v>174.459</v>
      </c>
      <c r="E71" s="1">
        <v>65.971999999999994</v>
      </c>
      <c r="F71" s="1">
        <v>114.434</v>
      </c>
      <c r="G71" s="7">
        <v>1</v>
      </c>
      <c r="H71" s="1">
        <v>40</v>
      </c>
      <c r="I71" s="1" t="s">
        <v>47</v>
      </c>
      <c r="J71" s="1"/>
      <c r="K71" s="1">
        <v>73.8</v>
      </c>
      <c r="L71" s="1">
        <f t="shared" si="17"/>
        <v>-7.828000000000003</v>
      </c>
      <c r="M71" s="1">
        <f t="shared" si="18"/>
        <v>65.971999999999994</v>
      </c>
      <c r="N71" s="1"/>
      <c r="O71" s="1">
        <v>44.020199999999981</v>
      </c>
      <c r="P71" s="1">
        <v>0</v>
      </c>
      <c r="Q71" s="1"/>
      <c r="R71" s="1">
        <v>0</v>
      </c>
      <c r="S71" s="1"/>
      <c r="T71" s="20"/>
      <c r="U71" s="1">
        <f t="shared" si="19"/>
        <v>13.194399999999998</v>
      </c>
      <c r="V71" s="5"/>
      <c r="W71" s="5">
        <f t="shared" si="16"/>
        <v>0</v>
      </c>
      <c r="X71" s="5">
        <f>W71-AA71</f>
        <v>0</v>
      </c>
      <c r="Y71" s="5"/>
      <c r="Z71" s="26"/>
      <c r="AA71" s="5"/>
      <c r="AB71" s="5"/>
      <c r="AC71" s="26"/>
      <c r="AD71" s="1"/>
      <c r="AE71" s="1">
        <f>(F71+O71+P71+Q71+R71+X71+Z71+AA71+T71+AC71)/U71</f>
        <v>12.009200873097678</v>
      </c>
      <c r="AF71" s="1">
        <f>(F71+O71+P71+Q71+R71)/U71</f>
        <v>12.009200873097678</v>
      </c>
      <c r="AG71" s="1">
        <v>3.5874000000000001</v>
      </c>
      <c r="AH71" s="1">
        <v>14.342000000000001</v>
      </c>
      <c r="AI71" s="1">
        <v>18.890999999999998</v>
      </c>
      <c r="AJ71" s="1">
        <v>10.531000000000001</v>
      </c>
      <c r="AK71" s="1">
        <v>10.1662</v>
      </c>
      <c r="AL71" s="1">
        <v>7.0498000000000003</v>
      </c>
      <c r="AM71" s="1">
        <v>8.1069999999999993</v>
      </c>
      <c r="AN71" s="1">
        <v>10.646599999999999</v>
      </c>
      <c r="AO71" s="1">
        <v>11.2418</v>
      </c>
      <c r="AP71" s="1">
        <v>12.716799999999999</v>
      </c>
      <c r="AQ71" s="1"/>
      <c r="AR71" s="1">
        <f>ROUND(G71*X71,0)</f>
        <v>0</v>
      </c>
      <c r="AS71" s="1">
        <f>ROUND(G71*AA71,0)</f>
        <v>0</v>
      </c>
      <c r="AT71" t="s">
        <v>194</v>
      </c>
    </row>
    <row r="72" spans="1:46" x14ac:dyDescent="0.25">
      <c r="A72" s="10" t="s">
        <v>195</v>
      </c>
      <c r="B72" s="10" t="s">
        <v>54</v>
      </c>
      <c r="C72" s="10"/>
      <c r="D72" s="10"/>
      <c r="E72" s="10"/>
      <c r="F72" s="10"/>
      <c r="G72" s="11">
        <v>0</v>
      </c>
      <c r="H72" s="10"/>
      <c r="I72" s="10" t="s">
        <v>47</v>
      </c>
      <c r="J72" s="10"/>
      <c r="K72" s="10"/>
      <c r="L72" s="10">
        <f t="shared" si="17"/>
        <v>0</v>
      </c>
      <c r="M72" s="10">
        <f t="shared" si="18"/>
        <v>0</v>
      </c>
      <c r="N72" s="10"/>
      <c r="O72" s="10">
        <v>0</v>
      </c>
      <c r="P72" s="10"/>
      <c r="Q72" s="10"/>
      <c r="R72" s="10">
        <v>0</v>
      </c>
      <c r="S72" s="10"/>
      <c r="T72" s="22"/>
      <c r="U72" s="10">
        <f t="shared" si="19"/>
        <v>0</v>
      </c>
      <c r="V72" s="12"/>
      <c r="W72" s="5">
        <f t="shared" si="16"/>
        <v>0</v>
      </c>
      <c r="X72" s="5">
        <f>W72-AA72</f>
        <v>0</v>
      </c>
      <c r="Y72" s="5"/>
      <c r="Z72" s="26"/>
      <c r="AA72" s="5"/>
      <c r="AB72" s="5"/>
      <c r="AC72" s="26"/>
      <c r="AD72" s="1"/>
      <c r="AE72" s="1" t="e">
        <f>(F72+O72+P72+Q72+R72+X72+Z72+AA72+T72+AC72)/U72</f>
        <v>#DIV/0!</v>
      </c>
      <c r="AF72" s="10" t="e">
        <f>(F72+O72+P72+Q72+R72)/U72</f>
        <v>#DIV/0!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0</v>
      </c>
      <c r="AM72" s="10">
        <v>0</v>
      </c>
      <c r="AN72" s="10">
        <v>0</v>
      </c>
      <c r="AO72" s="10">
        <v>0</v>
      </c>
      <c r="AP72" s="10">
        <v>0</v>
      </c>
      <c r="AQ72" s="10" t="s">
        <v>86</v>
      </c>
      <c r="AR72" s="1">
        <f>ROUND(G72*X72,0)</f>
        <v>0</v>
      </c>
      <c r="AS72" s="1">
        <f>ROUND(G72*AA72,0)</f>
        <v>0</v>
      </c>
      <c r="AT72" t="s">
        <v>196</v>
      </c>
    </row>
    <row r="73" spans="1:46" x14ac:dyDescent="0.25">
      <c r="A73" s="1" t="s">
        <v>197</v>
      </c>
      <c r="B73" s="1" t="s">
        <v>46</v>
      </c>
      <c r="C73" s="1">
        <v>218.84700000000001</v>
      </c>
      <c r="D73" s="1">
        <v>921.79700000000003</v>
      </c>
      <c r="E73" s="1">
        <v>371.351</v>
      </c>
      <c r="F73" s="1">
        <v>709.1</v>
      </c>
      <c r="G73" s="7">
        <v>1</v>
      </c>
      <c r="H73" s="1">
        <v>30</v>
      </c>
      <c r="I73" s="1" t="s">
        <v>47</v>
      </c>
      <c r="J73" s="1"/>
      <c r="K73" s="1">
        <v>461.15899999999999</v>
      </c>
      <c r="L73" s="1">
        <f t="shared" si="17"/>
        <v>-89.807999999999993</v>
      </c>
      <c r="M73" s="1">
        <f t="shared" si="18"/>
        <v>371.351</v>
      </c>
      <c r="N73" s="1"/>
      <c r="O73" s="1">
        <v>0</v>
      </c>
      <c r="P73" s="1"/>
      <c r="Q73" s="1"/>
      <c r="R73" s="1">
        <v>0</v>
      </c>
      <c r="S73" s="1"/>
      <c r="T73" s="20"/>
      <c r="U73" s="1">
        <f t="shared" si="19"/>
        <v>74.270200000000003</v>
      </c>
      <c r="V73" s="5">
        <f>12*U73-R73-Q73-P73-O73-F73</f>
        <v>182.14240000000007</v>
      </c>
      <c r="W73" s="5">
        <f t="shared" si="16"/>
        <v>182.14240000000007</v>
      </c>
      <c r="X73" s="5">
        <f>W73-AA73</f>
        <v>182.14240000000007</v>
      </c>
      <c r="Y73" s="5"/>
      <c r="Z73" s="26"/>
      <c r="AA73" s="5"/>
      <c r="AB73" s="5"/>
      <c r="AC73" s="26"/>
      <c r="AD73" s="1"/>
      <c r="AE73" s="1">
        <f>(F73+O73+P73+Q73+R73+X73+Z73+AA73+T73+AC73)/U73</f>
        <v>12</v>
      </c>
      <c r="AF73" s="1">
        <f>(F73+O73+P73+Q73+R73)/U73</f>
        <v>9.5475708965372377</v>
      </c>
      <c r="AG73" s="1">
        <v>73.813599999999994</v>
      </c>
      <c r="AH73" s="1">
        <v>59.351199999999992</v>
      </c>
      <c r="AI73" s="1">
        <v>99.834000000000003</v>
      </c>
      <c r="AJ73" s="1">
        <v>113.3442</v>
      </c>
      <c r="AK73" s="1">
        <v>77.829800000000006</v>
      </c>
      <c r="AL73" s="1">
        <v>48.958399999999997</v>
      </c>
      <c r="AM73" s="1">
        <v>62.925199999999997</v>
      </c>
      <c r="AN73" s="1">
        <v>91.303799999999995</v>
      </c>
      <c r="AO73" s="1">
        <v>116.23739999999999</v>
      </c>
      <c r="AP73" s="1">
        <v>91.614599999999996</v>
      </c>
      <c r="AQ73" s="1"/>
      <c r="AR73" s="1">
        <f>ROUND(G73*X73,0)</f>
        <v>182</v>
      </c>
      <c r="AS73" s="1">
        <f>ROUND(G73*AA73,0)</f>
        <v>0</v>
      </c>
      <c r="AT73" t="s">
        <v>198</v>
      </c>
    </row>
    <row r="74" spans="1:46" x14ac:dyDescent="0.25">
      <c r="A74" s="1" t="s">
        <v>199</v>
      </c>
      <c r="B74" s="1" t="s">
        <v>54</v>
      </c>
      <c r="C74" s="1">
        <v>548</v>
      </c>
      <c r="D74" s="1">
        <v>1271</v>
      </c>
      <c r="E74" s="1">
        <v>508</v>
      </c>
      <c r="F74" s="1">
        <v>1161</v>
      </c>
      <c r="G74" s="7">
        <v>0.6</v>
      </c>
      <c r="H74" s="1">
        <v>60</v>
      </c>
      <c r="I74" s="1" t="s">
        <v>47</v>
      </c>
      <c r="J74" s="1"/>
      <c r="K74" s="1">
        <v>746</v>
      </c>
      <c r="L74" s="1">
        <f t="shared" si="17"/>
        <v>-238</v>
      </c>
      <c r="M74" s="1">
        <f t="shared" si="18"/>
        <v>508</v>
      </c>
      <c r="N74" s="1"/>
      <c r="O74" s="1">
        <v>0</v>
      </c>
      <c r="P74" s="1"/>
      <c r="Q74" s="1"/>
      <c r="R74" s="1">
        <v>0</v>
      </c>
      <c r="S74" s="1"/>
      <c r="T74" s="20"/>
      <c r="U74" s="1">
        <f t="shared" si="19"/>
        <v>101.6</v>
      </c>
      <c r="V74" s="5">
        <f>12*U74-R74-Q74-P74-O74-F74</f>
        <v>58.199999999999818</v>
      </c>
      <c r="W74" s="5">
        <f t="shared" si="16"/>
        <v>58.199999999999818</v>
      </c>
      <c r="X74" s="5">
        <f>W74-AA74</f>
        <v>58.199999999999818</v>
      </c>
      <c r="Y74" s="5"/>
      <c r="Z74" s="26"/>
      <c r="AA74" s="5"/>
      <c r="AB74" s="5"/>
      <c r="AC74" s="26"/>
      <c r="AD74" s="1"/>
      <c r="AE74" s="1">
        <f>(F74+O74+P74+Q74+R74+X74+Z74+AA74+T74+AC74)/U74</f>
        <v>11.999999999999998</v>
      </c>
      <c r="AF74" s="1">
        <f>(F74+O74+P74+Q74+R74)/U74</f>
        <v>11.427165354330709</v>
      </c>
      <c r="AG74" s="1">
        <v>91.8</v>
      </c>
      <c r="AH74" s="1">
        <v>71.400000000000006</v>
      </c>
      <c r="AI74" s="1">
        <v>79.400000000000006</v>
      </c>
      <c r="AJ74" s="1">
        <v>144.80000000000001</v>
      </c>
      <c r="AK74" s="1">
        <v>132.19999999999999</v>
      </c>
      <c r="AL74" s="1">
        <v>65.599999999999994</v>
      </c>
      <c r="AM74" s="1">
        <v>71</v>
      </c>
      <c r="AN74" s="1">
        <v>74</v>
      </c>
      <c r="AO74" s="1">
        <v>122</v>
      </c>
      <c r="AP74" s="1">
        <v>127.6</v>
      </c>
      <c r="AQ74" s="1"/>
      <c r="AR74" s="1">
        <f>ROUND(G74*X74,0)</f>
        <v>35</v>
      </c>
      <c r="AS74" s="1">
        <f>ROUND(G74*AA74,0)</f>
        <v>0</v>
      </c>
      <c r="AT74" t="s">
        <v>200</v>
      </c>
    </row>
    <row r="75" spans="1:46" x14ac:dyDescent="0.25">
      <c r="A75" s="1" t="s">
        <v>201</v>
      </c>
      <c r="B75" s="1" t="s">
        <v>54</v>
      </c>
      <c r="C75" s="1">
        <v>478</v>
      </c>
      <c r="D75" s="1">
        <v>1148</v>
      </c>
      <c r="E75" s="1">
        <v>630</v>
      </c>
      <c r="F75" s="1">
        <v>843</v>
      </c>
      <c r="G75" s="7">
        <v>0.6</v>
      </c>
      <c r="H75" s="1">
        <v>60</v>
      </c>
      <c r="I75" s="1" t="s">
        <v>47</v>
      </c>
      <c r="J75" s="1"/>
      <c r="K75" s="1">
        <v>813</v>
      </c>
      <c r="L75" s="1">
        <f t="shared" si="17"/>
        <v>-183</v>
      </c>
      <c r="M75" s="1">
        <f t="shared" si="18"/>
        <v>630</v>
      </c>
      <c r="N75" s="1"/>
      <c r="O75" s="1">
        <v>0</v>
      </c>
      <c r="P75" s="1"/>
      <c r="Q75" s="1"/>
      <c r="R75" s="1">
        <v>0</v>
      </c>
      <c r="S75" s="1"/>
      <c r="T75" s="20"/>
      <c r="U75" s="1">
        <f t="shared" si="19"/>
        <v>126</v>
      </c>
      <c r="V75" s="5">
        <f>12*U75-R75-Q75-P75-O75-F75</f>
        <v>669</v>
      </c>
      <c r="W75" s="5">
        <f t="shared" si="16"/>
        <v>669</v>
      </c>
      <c r="X75" s="5">
        <f>W75-AA75</f>
        <v>321.12</v>
      </c>
      <c r="Y75" s="5"/>
      <c r="Z75" s="26"/>
      <c r="AA75" s="5">
        <f>W75*$AA$1</f>
        <v>347.88</v>
      </c>
      <c r="AB75" s="5"/>
      <c r="AC75" s="26"/>
      <c r="AD75" s="1"/>
      <c r="AE75" s="1">
        <f>(F75+O75+P75+Q75+R75+X75+Z75+AA75+T75+AC75)/U75</f>
        <v>12</v>
      </c>
      <c r="AF75" s="1">
        <f>(F75+O75+P75+Q75+R75)/U75</f>
        <v>6.6904761904761907</v>
      </c>
      <c r="AG75" s="1">
        <v>88.6</v>
      </c>
      <c r="AH75" s="1">
        <v>74.400000000000006</v>
      </c>
      <c r="AI75" s="1">
        <v>96.8</v>
      </c>
      <c r="AJ75" s="1">
        <v>125.2</v>
      </c>
      <c r="AK75" s="1">
        <v>118.6</v>
      </c>
      <c r="AL75" s="1">
        <v>74.400000000000006</v>
      </c>
      <c r="AM75" s="1">
        <v>64.8</v>
      </c>
      <c r="AN75" s="1">
        <v>68.599999999999994</v>
      </c>
      <c r="AO75" s="1">
        <v>104.6</v>
      </c>
      <c r="AP75" s="1">
        <v>112.2</v>
      </c>
      <c r="AQ75" s="1"/>
      <c r="AR75" s="1">
        <f>ROUND(G75*X75,0)</f>
        <v>193</v>
      </c>
      <c r="AS75" s="1">
        <f>ROUND(G75*AA75,0)</f>
        <v>209</v>
      </c>
      <c r="AT75" t="s">
        <v>202</v>
      </c>
    </row>
    <row r="76" spans="1:46" x14ac:dyDescent="0.25">
      <c r="A76" s="1" t="s">
        <v>203</v>
      </c>
      <c r="B76" s="1" t="s">
        <v>54</v>
      </c>
      <c r="C76" s="1"/>
      <c r="D76" s="1"/>
      <c r="E76" s="1"/>
      <c r="F76" s="1"/>
      <c r="G76" s="7">
        <v>0.4</v>
      </c>
      <c r="H76" s="1"/>
      <c r="I76" s="1" t="s">
        <v>47</v>
      </c>
      <c r="J76" s="1"/>
      <c r="K76" s="1"/>
      <c r="L76" s="1">
        <f t="shared" si="17"/>
        <v>0</v>
      </c>
      <c r="M76" s="1">
        <f t="shared" si="18"/>
        <v>0</v>
      </c>
      <c r="N76" s="1"/>
      <c r="O76" s="1">
        <v>0</v>
      </c>
      <c r="P76" s="1"/>
      <c r="Q76" s="1"/>
      <c r="R76" s="1">
        <v>0</v>
      </c>
      <c r="S76" s="1"/>
      <c r="T76" s="20"/>
      <c r="U76" s="1">
        <f t="shared" si="19"/>
        <v>0</v>
      </c>
      <c r="V76" s="5"/>
      <c r="W76" s="5">
        <v>40</v>
      </c>
      <c r="X76" s="5">
        <f>W76-AA76</f>
        <v>40</v>
      </c>
      <c r="Y76" s="5"/>
      <c r="Z76" s="26"/>
      <c r="AA76" s="5"/>
      <c r="AB76" s="5"/>
      <c r="AC76" s="26"/>
      <c r="AD76" s="1">
        <v>40</v>
      </c>
      <c r="AE76" s="1" t="e">
        <f>(F76+O76+P76+Q76+R76+X76+Z76+AA76+T76+AC76)/U76</f>
        <v>#DIV/0!</v>
      </c>
      <c r="AF76" s="1" t="e">
        <f>(F76+O76+P76+Q76+R76)/U76</f>
        <v>#DIV/0!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 t="s">
        <v>204</v>
      </c>
      <c r="AR76" s="1">
        <f>ROUND(G76*X76,0)</f>
        <v>16</v>
      </c>
      <c r="AS76" s="1">
        <f>ROUND(G76*AA76,0)</f>
        <v>0</v>
      </c>
      <c r="AT76" t="s">
        <v>205</v>
      </c>
    </row>
    <row r="77" spans="1:46" x14ac:dyDescent="0.25">
      <c r="A77" s="10" t="s">
        <v>206</v>
      </c>
      <c r="B77" s="10" t="s">
        <v>54</v>
      </c>
      <c r="C77" s="10">
        <v>2</v>
      </c>
      <c r="D77" s="10"/>
      <c r="E77" s="10">
        <v>1</v>
      </c>
      <c r="F77" s="10">
        <v>1</v>
      </c>
      <c r="G77" s="11">
        <v>0</v>
      </c>
      <c r="H77" s="10"/>
      <c r="I77" s="10" t="s">
        <v>47</v>
      </c>
      <c r="J77" s="10"/>
      <c r="K77" s="10">
        <v>3</v>
      </c>
      <c r="L77" s="10">
        <f t="shared" si="17"/>
        <v>-2</v>
      </c>
      <c r="M77" s="10">
        <f t="shared" si="18"/>
        <v>1</v>
      </c>
      <c r="N77" s="10"/>
      <c r="O77" s="10">
        <v>0</v>
      </c>
      <c r="P77" s="10"/>
      <c r="Q77" s="10"/>
      <c r="R77" s="10">
        <v>0</v>
      </c>
      <c r="S77" s="10"/>
      <c r="T77" s="22"/>
      <c r="U77" s="10">
        <f t="shared" si="19"/>
        <v>0.2</v>
      </c>
      <c r="V77" s="12"/>
      <c r="W77" s="5">
        <f t="shared" ref="W77:W88" si="20">V77</f>
        <v>0</v>
      </c>
      <c r="X77" s="5">
        <f>W77-AA77</f>
        <v>0</v>
      </c>
      <c r="Y77" s="5"/>
      <c r="Z77" s="26"/>
      <c r="AA77" s="5"/>
      <c r="AB77" s="5"/>
      <c r="AC77" s="26"/>
      <c r="AD77" s="1"/>
      <c r="AE77" s="1">
        <f>(F77+O77+P77+Q77+R77+X77+Z77+AA77+T77+AC77)/U77</f>
        <v>5</v>
      </c>
      <c r="AF77" s="10">
        <f>(F77+O77+P77+Q77+R77)/U77</f>
        <v>5</v>
      </c>
      <c r="AG77" s="10">
        <v>0.2</v>
      </c>
      <c r="AH77" s="10">
        <v>0</v>
      </c>
      <c r="AI77" s="10">
        <v>0</v>
      </c>
      <c r="AJ77" s="10">
        <v>0</v>
      </c>
      <c r="AK77" s="10">
        <v>0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 t="s">
        <v>86</v>
      </c>
      <c r="AR77" s="1">
        <f>ROUND(G77*X77,0)</f>
        <v>0</v>
      </c>
      <c r="AS77" s="1">
        <f>ROUND(G77*AA77,0)</f>
        <v>0</v>
      </c>
      <c r="AT77" t="s">
        <v>207</v>
      </c>
    </row>
    <row r="78" spans="1:46" x14ac:dyDescent="0.25">
      <c r="A78" s="1" t="s">
        <v>208</v>
      </c>
      <c r="B78" s="1" t="s">
        <v>54</v>
      </c>
      <c r="C78" s="1">
        <v>55</v>
      </c>
      <c r="D78" s="1">
        <v>7</v>
      </c>
      <c r="E78" s="1">
        <v>44</v>
      </c>
      <c r="F78" s="1">
        <v>16</v>
      </c>
      <c r="G78" s="7">
        <v>0.35</v>
      </c>
      <c r="H78" s="1">
        <v>90</v>
      </c>
      <c r="I78" s="1" t="s">
        <v>47</v>
      </c>
      <c r="J78" s="1"/>
      <c r="K78" s="1">
        <v>47</v>
      </c>
      <c r="L78" s="1">
        <f t="shared" si="17"/>
        <v>-3</v>
      </c>
      <c r="M78" s="1">
        <f t="shared" si="18"/>
        <v>44</v>
      </c>
      <c r="N78" s="1"/>
      <c r="O78" s="1">
        <v>15.400000000000009</v>
      </c>
      <c r="P78" s="1">
        <v>0</v>
      </c>
      <c r="Q78" s="1"/>
      <c r="R78" s="1">
        <v>30.8</v>
      </c>
      <c r="S78" s="1">
        <v>-31.428571428571431</v>
      </c>
      <c r="T78" s="20"/>
      <c r="U78" s="1">
        <f t="shared" si="19"/>
        <v>8.8000000000000007</v>
      </c>
      <c r="V78" s="5">
        <f>12*U78-R78-Q78-P78-O78-F78</f>
        <v>43.400000000000006</v>
      </c>
      <c r="W78" s="5">
        <f t="shared" si="20"/>
        <v>43.400000000000006</v>
      </c>
      <c r="X78" s="5">
        <f>W78-AA78</f>
        <v>43.400000000000006</v>
      </c>
      <c r="Y78" s="5"/>
      <c r="Z78" s="26"/>
      <c r="AA78" s="5"/>
      <c r="AB78" s="5"/>
      <c r="AC78" s="26"/>
      <c r="AD78" s="1"/>
      <c r="AE78" s="1">
        <f>(F78+O78+P78+Q78+R78+X78+Z78+AA78+T78+AC78)/U78</f>
        <v>12.000000000000002</v>
      </c>
      <c r="AF78" s="1">
        <f>(F78+O78+P78+Q78+R78)/U78</f>
        <v>7.0681818181818183</v>
      </c>
      <c r="AG78" s="1">
        <v>7.2</v>
      </c>
      <c r="AH78" s="1">
        <v>9.4</v>
      </c>
      <c r="AI78" s="1">
        <v>10.4</v>
      </c>
      <c r="AJ78" s="1">
        <v>6.2</v>
      </c>
      <c r="AK78" s="1">
        <v>9.4</v>
      </c>
      <c r="AL78" s="1">
        <v>9.4</v>
      </c>
      <c r="AM78" s="1">
        <v>5.2</v>
      </c>
      <c r="AN78" s="1">
        <v>8.1999999999999993</v>
      </c>
      <c r="AO78" s="1">
        <v>11.2</v>
      </c>
      <c r="AP78" s="1">
        <v>17.399999999999999</v>
      </c>
      <c r="AQ78" s="1"/>
      <c r="AR78" s="1">
        <f>ROUND(G78*X78,0)</f>
        <v>15</v>
      </c>
      <c r="AS78" s="1">
        <f>ROUND(G78*AA78,0)</f>
        <v>0</v>
      </c>
      <c r="AT78" t="s">
        <v>209</v>
      </c>
    </row>
    <row r="79" spans="1:46" x14ac:dyDescent="0.25">
      <c r="A79" s="1" t="s">
        <v>210</v>
      </c>
      <c r="B79" s="1" t="s">
        <v>54</v>
      </c>
      <c r="C79" s="1">
        <v>147</v>
      </c>
      <c r="D79" s="1">
        <v>92</v>
      </c>
      <c r="E79" s="1">
        <v>137</v>
      </c>
      <c r="F79" s="1">
        <v>89</v>
      </c>
      <c r="G79" s="7">
        <v>0.37</v>
      </c>
      <c r="H79" s="1">
        <v>50</v>
      </c>
      <c r="I79" s="1" t="s">
        <v>47</v>
      </c>
      <c r="J79" s="1"/>
      <c r="K79" s="1">
        <v>157</v>
      </c>
      <c r="L79" s="1">
        <f t="shared" si="17"/>
        <v>-20</v>
      </c>
      <c r="M79" s="1">
        <f t="shared" si="18"/>
        <v>137</v>
      </c>
      <c r="N79" s="1"/>
      <c r="O79" s="1">
        <v>145.16000000000011</v>
      </c>
      <c r="P79" s="1">
        <v>0</v>
      </c>
      <c r="Q79" s="1"/>
      <c r="R79" s="1">
        <v>113.2399999999999</v>
      </c>
      <c r="S79" s="1"/>
      <c r="T79" s="20"/>
      <c r="U79" s="1">
        <f t="shared" si="19"/>
        <v>27.4</v>
      </c>
      <c r="V79" s="5"/>
      <c r="W79" s="5">
        <f t="shared" si="20"/>
        <v>0</v>
      </c>
      <c r="X79" s="5">
        <f>W79-AA79</f>
        <v>0</v>
      </c>
      <c r="Y79" s="5"/>
      <c r="Z79" s="26"/>
      <c r="AA79" s="5"/>
      <c r="AB79" s="5"/>
      <c r="AC79" s="26"/>
      <c r="AD79" s="1"/>
      <c r="AE79" s="1">
        <f>(F79+O79+P79+Q79+R79+X79+Z79+AA79+T79+AC79)/U79</f>
        <v>12.678832116788321</v>
      </c>
      <c r="AF79" s="1">
        <f>(F79+O79+P79+Q79+R79)/U79</f>
        <v>12.678832116788321</v>
      </c>
      <c r="AG79" s="1">
        <v>35.4</v>
      </c>
      <c r="AH79" s="1">
        <v>29.4</v>
      </c>
      <c r="AI79" s="1">
        <v>16.2</v>
      </c>
      <c r="AJ79" s="1">
        <v>28.8</v>
      </c>
      <c r="AK79" s="1">
        <v>28.8</v>
      </c>
      <c r="AL79" s="1">
        <v>18.2</v>
      </c>
      <c r="AM79" s="1">
        <v>30.6</v>
      </c>
      <c r="AN79" s="1">
        <v>29</v>
      </c>
      <c r="AO79" s="1">
        <v>32.200000000000003</v>
      </c>
      <c r="AP79" s="1">
        <v>29.2</v>
      </c>
      <c r="AQ79" s="1"/>
      <c r="AR79" s="1">
        <f>ROUND(G79*X79,0)</f>
        <v>0</v>
      </c>
      <c r="AS79" s="1">
        <f>ROUND(G79*AA79,0)</f>
        <v>0</v>
      </c>
      <c r="AT79" t="s">
        <v>211</v>
      </c>
    </row>
    <row r="80" spans="1:46" x14ac:dyDescent="0.25">
      <c r="A80" s="1" t="s">
        <v>212</v>
      </c>
      <c r="B80" s="1" t="s">
        <v>54</v>
      </c>
      <c r="C80" s="1">
        <v>81</v>
      </c>
      <c r="D80" s="1">
        <v>840</v>
      </c>
      <c r="E80" s="1">
        <v>171</v>
      </c>
      <c r="F80" s="1">
        <v>723</v>
      </c>
      <c r="G80" s="7">
        <v>0.6</v>
      </c>
      <c r="H80" s="1">
        <v>70</v>
      </c>
      <c r="I80" s="14" t="s">
        <v>58</v>
      </c>
      <c r="J80" s="1"/>
      <c r="K80" s="1">
        <v>228</v>
      </c>
      <c r="L80" s="1">
        <f t="shared" si="17"/>
        <v>-57</v>
      </c>
      <c r="M80" s="1">
        <f t="shared" si="18"/>
        <v>171</v>
      </c>
      <c r="N80" s="1"/>
      <c r="O80" s="1">
        <v>0</v>
      </c>
      <c r="P80" s="1"/>
      <c r="Q80" s="1"/>
      <c r="R80" s="1">
        <v>0</v>
      </c>
      <c r="S80" s="1"/>
      <c r="T80" s="20"/>
      <c r="U80" s="1">
        <f t="shared" si="19"/>
        <v>34.200000000000003</v>
      </c>
      <c r="V80" s="5"/>
      <c r="W80" s="5">
        <f t="shared" si="20"/>
        <v>0</v>
      </c>
      <c r="X80" s="5">
        <f>W80-AA80</f>
        <v>0</v>
      </c>
      <c r="Y80" s="5"/>
      <c r="Z80" s="26"/>
      <c r="AA80" s="5"/>
      <c r="AB80" s="5"/>
      <c r="AC80" s="26"/>
      <c r="AD80" s="1"/>
      <c r="AE80" s="1">
        <f>(F80+O80+P80+Q80+R80+X80+Z80+AA80+T80+AC80)/U80</f>
        <v>21.140350877192979</v>
      </c>
      <c r="AF80" s="1">
        <f>(F80+O80+P80+Q80+R80)/U80</f>
        <v>21.140350877192979</v>
      </c>
      <c r="AG80" s="1">
        <v>32.6</v>
      </c>
      <c r="AH80" s="1">
        <v>19.600000000000001</v>
      </c>
      <c r="AI80" s="1">
        <v>83.6</v>
      </c>
      <c r="AJ80" s="1">
        <v>196.6</v>
      </c>
      <c r="AK80" s="1">
        <v>134</v>
      </c>
      <c r="AL80" s="1">
        <v>33.200000000000003</v>
      </c>
      <c r="AM80" s="1">
        <v>267.8</v>
      </c>
      <c r="AN80" s="1">
        <v>269</v>
      </c>
      <c r="AO80" s="1">
        <v>267.2</v>
      </c>
      <c r="AP80" s="1">
        <v>46.4</v>
      </c>
      <c r="AQ80" s="1" t="s">
        <v>213</v>
      </c>
      <c r="AR80" s="1">
        <f>ROUND(G80*X80,0)</f>
        <v>0</v>
      </c>
      <c r="AS80" s="1">
        <f>ROUND(G80*AA80,0)</f>
        <v>0</v>
      </c>
      <c r="AT80" t="s">
        <v>214</v>
      </c>
    </row>
    <row r="81" spans="1:46" x14ac:dyDescent="0.25">
      <c r="A81" s="1" t="s">
        <v>215</v>
      </c>
      <c r="B81" s="1" t="s">
        <v>54</v>
      </c>
      <c r="C81" s="1">
        <v>75</v>
      </c>
      <c r="D81" s="1">
        <v>262</v>
      </c>
      <c r="E81" s="1">
        <v>210</v>
      </c>
      <c r="F81" s="1">
        <v>90</v>
      </c>
      <c r="G81" s="7">
        <v>0.33</v>
      </c>
      <c r="H81" s="1">
        <v>40</v>
      </c>
      <c r="I81" s="1" t="s">
        <v>47</v>
      </c>
      <c r="J81" s="1"/>
      <c r="K81" s="1">
        <v>349</v>
      </c>
      <c r="L81" s="1">
        <f t="shared" si="17"/>
        <v>-139</v>
      </c>
      <c r="M81" s="1">
        <f t="shared" si="18"/>
        <v>210</v>
      </c>
      <c r="N81" s="1"/>
      <c r="O81" s="1">
        <v>136.93999999999991</v>
      </c>
      <c r="P81" s="1">
        <v>0</v>
      </c>
      <c r="Q81" s="1"/>
      <c r="R81" s="1">
        <v>0</v>
      </c>
      <c r="S81" s="1"/>
      <c r="T81" s="20"/>
      <c r="U81" s="1">
        <f t="shared" si="19"/>
        <v>42</v>
      </c>
      <c r="V81" s="5">
        <f>12*U81-R81-Q81-P81-O81-F81</f>
        <v>277.06000000000006</v>
      </c>
      <c r="W81" s="5">
        <f t="shared" si="20"/>
        <v>277.06000000000006</v>
      </c>
      <c r="X81" s="5">
        <f>W81-AA81</f>
        <v>132.98880000000003</v>
      </c>
      <c r="Y81" s="5"/>
      <c r="Z81" s="26"/>
      <c r="AA81" s="5">
        <f>W81*$AA$1</f>
        <v>144.07120000000003</v>
      </c>
      <c r="AB81" s="5"/>
      <c r="AC81" s="26"/>
      <c r="AD81" s="1"/>
      <c r="AE81" s="1">
        <f>(F81+O81+P81+Q81+R81+X81+Z81+AA81+T81+AC81)/U81</f>
        <v>11.999999999999998</v>
      </c>
      <c r="AF81" s="1">
        <f>(F81+O81+P81+Q81+R81)/U81</f>
        <v>5.4033333333333315</v>
      </c>
      <c r="AG81" s="1">
        <v>24.8</v>
      </c>
      <c r="AH81" s="1">
        <v>34.4</v>
      </c>
      <c r="AI81" s="1">
        <v>51</v>
      </c>
      <c r="AJ81" s="1">
        <v>66.400000000000006</v>
      </c>
      <c r="AK81" s="1">
        <v>43.8</v>
      </c>
      <c r="AL81" s="1">
        <v>14</v>
      </c>
      <c r="AM81" s="1">
        <v>35.4</v>
      </c>
      <c r="AN81" s="1">
        <v>34.799999999999997</v>
      </c>
      <c r="AO81" s="1">
        <v>35.6</v>
      </c>
      <c r="AP81" s="1">
        <v>19.8</v>
      </c>
      <c r="AQ81" s="1"/>
      <c r="AR81" s="1">
        <f>ROUND(G81*X81,0)</f>
        <v>44</v>
      </c>
      <c r="AS81" s="1">
        <f>ROUND(G81*AA81,0)</f>
        <v>48</v>
      </c>
      <c r="AT81" t="s">
        <v>216</v>
      </c>
    </row>
    <row r="82" spans="1:46" x14ac:dyDescent="0.25">
      <c r="A82" s="1" t="s">
        <v>217</v>
      </c>
      <c r="B82" s="1" t="s">
        <v>54</v>
      </c>
      <c r="C82" s="1">
        <v>38</v>
      </c>
      <c r="D82" s="1">
        <v>79</v>
      </c>
      <c r="E82" s="1">
        <v>64</v>
      </c>
      <c r="F82" s="1">
        <v>50</v>
      </c>
      <c r="G82" s="7">
        <v>0.4</v>
      </c>
      <c r="H82" s="1">
        <v>55</v>
      </c>
      <c r="I82" s="1" t="s">
        <v>47</v>
      </c>
      <c r="J82" s="1"/>
      <c r="K82" s="1">
        <v>69</v>
      </c>
      <c r="L82" s="1">
        <f t="shared" si="17"/>
        <v>-5</v>
      </c>
      <c r="M82" s="1">
        <f t="shared" si="18"/>
        <v>64</v>
      </c>
      <c r="N82" s="1"/>
      <c r="O82" s="1">
        <v>8</v>
      </c>
      <c r="P82" s="1">
        <v>0</v>
      </c>
      <c r="Q82" s="1"/>
      <c r="R82" s="1">
        <v>15.599999999999991</v>
      </c>
      <c r="S82" s="1"/>
      <c r="T82" s="20"/>
      <c r="U82" s="1">
        <f t="shared" si="19"/>
        <v>12.8</v>
      </c>
      <c r="V82" s="5">
        <f>12*U82-R82-Q82-P82-O82-F82</f>
        <v>80.000000000000028</v>
      </c>
      <c r="W82" s="5">
        <f t="shared" si="20"/>
        <v>80.000000000000028</v>
      </c>
      <c r="X82" s="5">
        <f>W82-AA82</f>
        <v>80.000000000000028</v>
      </c>
      <c r="Y82" s="5"/>
      <c r="Z82" s="26"/>
      <c r="AA82" s="5"/>
      <c r="AB82" s="5"/>
      <c r="AC82" s="26"/>
      <c r="AD82" s="1"/>
      <c r="AE82" s="1">
        <f>(F82+O82+P82+Q82+R82+X82+Z82+AA82+T82+AC82)/U82</f>
        <v>12.000000000000002</v>
      </c>
      <c r="AF82" s="1">
        <f>(F82+O82+P82+Q82+R82)/U82</f>
        <v>5.7499999999999991</v>
      </c>
      <c r="AG82" s="1">
        <v>9.6</v>
      </c>
      <c r="AH82" s="1">
        <v>8.6</v>
      </c>
      <c r="AI82" s="1">
        <v>10.8</v>
      </c>
      <c r="AJ82" s="1">
        <v>12.2</v>
      </c>
      <c r="AK82" s="1">
        <v>8.4</v>
      </c>
      <c r="AL82" s="1">
        <v>8.4</v>
      </c>
      <c r="AM82" s="1">
        <v>12</v>
      </c>
      <c r="AN82" s="1">
        <v>8.4</v>
      </c>
      <c r="AO82" s="1">
        <v>7.2</v>
      </c>
      <c r="AP82" s="1">
        <v>5.8</v>
      </c>
      <c r="AQ82" s="1"/>
      <c r="AR82" s="1">
        <f>ROUND(G82*X82,0)</f>
        <v>32</v>
      </c>
      <c r="AS82" s="1">
        <f>ROUND(G82*AA82,0)</f>
        <v>0</v>
      </c>
      <c r="AT82" t="s">
        <v>218</v>
      </c>
    </row>
    <row r="83" spans="1:46" x14ac:dyDescent="0.25">
      <c r="A83" s="1" t="s">
        <v>219</v>
      </c>
      <c r="B83" s="1" t="s">
        <v>54</v>
      </c>
      <c r="C83" s="1">
        <v>232</v>
      </c>
      <c r="D83" s="1">
        <v>25</v>
      </c>
      <c r="E83" s="1">
        <v>250</v>
      </c>
      <c r="F83" s="1">
        <v>-8</v>
      </c>
      <c r="G83" s="7">
        <v>0.35</v>
      </c>
      <c r="H83" s="1">
        <v>40</v>
      </c>
      <c r="I83" s="17" t="s">
        <v>102</v>
      </c>
      <c r="J83" s="1"/>
      <c r="K83" s="1">
        <v>456</v>
      </c>
      <c r="L83" s="1">
        <f t="shared" si="17"/>
        <v>-206</v>
      </c>
      <c r="M83" s="1">
        <f t="shared" si="18"/>
        <v>250</v>
      </c>
      <c r="N83" s="1"/>
      <c r="O83" s="1">
        <v>0</v>
      </c>
      <c r="P83" s="1"/>
      <c r="Q83" s="1"/>
      <c r="R83" s="1">
        <v>223</v>
      </c>
      <c r="S83" s="1"/>
      <c r="T83" s="20"/>
      <c r="U83" s="1">
        <f t="shared" si="19"/>
        <v>50</v>
      </c>
      <c r="V83" s="5">
        <v>150</v>
      </c>
      <c r="W83" s="5">
        <f t="shared" si="20"/>
        <v>150</v>
      </c>
      <c r="X83" s="5">
        <v>150</v>
      </c>
      <c r="Y83" s="5">
        <v>-20</v>
      </c>
      <c r="Z83" s="26"/>
      <c r="AA83" s="5">
        <v>50</v>
      </c>
      <c r="AB83" s="5"/>
      <c r="AC83" s="26"/>
      <c r="AD83" s="1"/>
      <c r="AE83" s="1">
        <f>(F83+O83+P83+Q83+R83+X83+Z83+AA83+T83+AC83)/U83</f>
        <v>8.3000000000000007</v>
      </c>
      <c r="AF83" s="1">
        <f>(F83+O83+P83+Q83+R83)/U83</f>
        <v>4.3</v>
      </c>
      <c r="AG83" s="1">
        <v>40</v>
      </c>
      <c r="AH83" s="1">
        <v>12.4</v>
      </c>
      <c r="AI83" s="1">
        <v>-1</v>
      </c>
      <c r="AJ83" s="1">
        <v>8.8000000000000007</v>
      </c>
      <c r="AK83" s="1">
        <v>26.2</v>
      </c>
      <c r="AL83" s="1">
        <v>35.799999999999997</v>
      </c>
      <c r="AM83" s="1">
        <v>40.6</v>
      </c>
      <c r="AN83" s="1">
        <v>41.6</v>
      </c>
      <c r="AO83" s="1">
        <v>46.2</v>
      </c>
      <c r="AP83" s="1">
        <v>34.4</v>
      </c>
      <c r="AQ83" s="1"/>
      <c r="AR83" s="1">
        <f>ROUND(G83*X83,0)</f>
        <v>53</v>
      </c>
      <c r="AS83" s="1">
        <f>ROUND(G83*AA83,0)</f>
        <v>18</v>
      </c>
      <c r="AT83" t="s">
        <v>220</v>
      </c>
    </row>
    <row r="84" spans="1:46" x14ac:dyDescent="0.25">
      <c r="A84" s="1" t="s">
        <v>221</v>
      </c>
      <c r="B84" s="1" t="s">
        <v>54</v>
      </c>
      <c r="C84" s="1">
        <v>-3</v>
      </c>
      <c r="D84" s="1">
        <v>5</v>
      </c>
      <c r="E84" s="1"/>
      <c r="F84" s="1">
        <v>-1</v>
      </c>
      <c r="G84" s="7">
        <v>0.35</v>
      </c>
      <c r="H84" s="1">
        <v>45</v>
      </c>
      <c r="I84" s="15" t="s">
        <v>102</v>
      </c>
      <c r="J84" s="1"/>
      <c r="K84" s="1">
        <v>34</v>
      </c>
      <c r="L84" s="1">
        <f t="shared" si="17"/>
        <v>-34</v>
      </c>
      <c r="M84" s="1">
        <f t="shared" si="18"/>
        <v>0</v>
      </c>
      <c r="N84" s="1"/>
      <c r="O84" s="1">
        <v>388.65220799999997</v>
      </c>
      <c r="P84" s="1">
        <v>-390</v>
      </c>
      <c r="Q84" s="1"/>
      <c r="R84" s="1">
        <v>150</v>
      </c>
      <c r="S84" s="1"/>
      <c r="T84" s="20"/>
      <c r="U84" s="1">
        <f t="shared" si="19"/>
        <v>0</v>
      </c>
      <c r="V84" s="5">
        <v>150</v>
      </c>
      <c r="W84" s="5">
        <f t="shared" si="20"/>
        <v>150</v>
      </c>
      <c r="X84" s="5">
        <v>150</v>
      </c>
      <c r="Y84" s="5"/>
      <c r="Z84" s="26"/>
      <c r="AA84" s="5">
        <v>50</v>
      </c>
      <c r="AB84" s="5"/>
      <c r="AC84" s="26"/>
      <c r="AD84" s="1"/>
      <c r="AE84" s="1" t="e">
        <f>(F84+O84+P84+Q84+R84+X84+Z84+AA84+T84+AC84)/U84</f>
        <v>#DIV/0!</v>
      </c>
      <c r="AF84" s="1" t="e">
        <f>(F84+O84+P84+Q84+R84)/U84</f>
        <v>#DIV/0!</v>
      </c>
      <c r="AG84" s="1">
        <v>2.8</v>
      </c>
      <c r="AH84" s="1">
        <v>74.400000000000006</v>
      </c>
      <c r="AI84" s="1">
        <v>77.2</v>
      </c>
      <c r="AJ84" s="1">
        <v>16.600000000000001</v>
      </c>
      <c r="AK84" s="1">
        <v>66.599999999999994</v>
      </c>
      <c r="AL84" s="1">
        <v>83</v>
      </c>
      <c r="AM84" s="1">
        <v>72.599999999999994</v>
      </c>
      <c r="AN84" s="1">
        <v>72.599999999999994</v>
      </c>
      <c r="AO84" s="1">
        <v>82</v>
      </c>
      <c r="AP84" s="1">
        <v>85</v>
      </c>
      <c r="AQ84" s="1"/>
      <c r="AR84" s="1">
        <f>ROUND(G84*X84,0)</f>
        <v>53</v>
      </c>
      <c r="AS84" s="1">
        <f>ROUND(G84*AA84,0)</f>
        <v>18</v>
      </c>
      <c r="AT84" t="s">
        <v>222</v>
      </c>
    </row>
    <row r="85" spans="1:46" x14ac:dyDescent="0.25">
      <c r="A85" s="10" t="s">
        <v>223</v>
      </c>
      <c r="B85" s="10" t="s">
        <v>46</v>
      </c>
      <c r="C85" s="10">
        <v>-5.4409999999999998</v>
      </c>
      <c r="D85" s="10"/>
      <c r="E85" s="10"/>
      <c r="F85" s="10">
        <v>-5.4409999999999998</v>
      </c>
      <c r="G85" s="11">
        <v>0</v>
      </c>
      <c r="H85" s="10"/>
      <c r="I85" s="10" t="s">
        <v>72</v>
      </c>
      <c r="J85" s="10" t="s">
        <v>51</v>
      </c>
      <c r="K85" s="10"/>
      <c r="L85" s="10">
        <f t="shared" si="17"/>
        <v>0</v>
      </c>
      <c r="M85" s="10">
        <f t="shared" si="18"/>
        <v>0</v>
      </c>
      <c r="N85" s="10"/>
      <c r="O85" s="10">
        <v>0</v>
      </c>
      <c r="P85" s="10"/>
      <c r="Q85" s="10"/>
      <c r="R85" s="10">
        <v>0</v>
      </c>
      <c r="S85" s="10"/>
      <c r="T85" s="22"/>
      <c r="U85" s="10">
        <f t="shared" si="19"/>
        <v>0</v>
      </c>
      <c r="V85" s="12"/>
      <c r="W85" s="5">
        <f t="shared" si="20"/>
        <v>0</v>
      </c>
      <c r="X85" s="5">
        <f>W85-AA85</f>
        <v>0</v>
      </c>
      <c r="Y85" s="5"/>
      <c r="Z85" s="26"/>
      <c r="AA85" s="5"/>
      <c r="AB85" s="5"/>
      <c r="AC85" s="26"/>
      <c r="AD85" s="1"/>
      <c r="AE85" s="1" t="e">
        <f>(F85+O85+P85+Q85+R85+X85+Z85+AA85+T85+AC85)/U85</f>
        <v>#DIV/0!</v>
      </c>
      <c r="AF85" s="10" t="e">
        <f>(F85+O85+P85+Q85+R85)/U85</f>
        <v>#DIV/0!</v>
      </c>
      <c r="AG85" s="10">
        <v>1.0882000000000001</v>
      </c>
      <c r="AH85" s="10">
        <v>1.0882000000000001</v>
      </c>
      <c r="AI85" s="10">
        <v>0</v>
      </c>
      <c r="AJ85" s="10">
        <v>0</v>
      </c>
      <c r="AK85" s="10">
        <v>0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/>
      <c r="AR85" s="1">
        <f>ROUND(G85*X85,0)</f>
        <v>0</v>
      </c>
      <c r="AS85" s="1">
        <f>ROUND(G85*AA85,0)</f>
        <v>0</v>
      </c>
    </row>
    <row r="86" spans="1:46" x14ac:dyDescent="0.25">
      <c r="A86" s="1" t="s">
        <v>224</v>
      </c>
      <c r="B86" s="1" t="s">
        <v>54</v>
      </c>
      <c r="C86" s="1">
        <v>26</v>
      </c>
      <c r="D86" s="1">
        <v>70</v>
      </c>
      <c r="E86" s="1">
        <v>43</v>
      </c>
      <c r="F86" s="1">
        <v>53</v>
      </c>
      <c r="G86" s="7">
        <v>0.4</v>
      </c>
      <c r="H86" s="1">
        <v>55</v>
      </c>
      <c r="I86" s="1" t="s">
        <v>47</v>
      </c>
      <c r="J86" s="1"/>
      <c r="K86" s="1">
        <v>43</v>
      </c>
      <c r="L86" s="1">
        <f t="shared" si="17"/>
        <v>0</v>
      </c>
      <c r="M86" s="1">
        <f t="shared" si="18"/>
        <v>43</v>
      </c>
      <c r="N86" s="1"/>
      <c r="O86" s="1">
        <v>0</v>
      </c>
      <c r="P86" s="1"/>
      <c r="Q86" s="1"/>
      <c r="R86" s="1">
        <v>39.599999999999987</v>
      </c>
      <c r="S86" s="1"/>
      <c r="T86" s="20"/>
      <c r="U86" s="1">
        <f t="shared" si="19"/>
        <v>8.6</v>
      </c>
      <c r="V86" s="5">
        <f>12*U86-R86-Q86-P86-O86-F86</f>
        <v>10.600000000000001</v>
      </c>
      <c r="W86" s="5">
        <f t="shared" si="20"/>
        <v>10.600000000000001</v>
      </c>
      <c r="X86" s="5">
        <f>W86-AA86</f>
        <v>10.600000000000001</v>
      </c>
      <c r="Y86" s="5"/>
      <c r="Z86" s="26"/>
      <c r="AA86" s="5"/>
      <c r="AB86" s="5"/>
      <c r="AC86" s="26"/>
      <c r="AD86" s="1"/>
      <c r="AE86" s="1">
        <f>(F86+O86+P86+Q86+R86+X86+Z86+AA86+T86+AC86)/U86</f>
        <v>12</v>
      </c>
      <c r="AF86" s="1">
        <f>(F86+O86+P86+Q86+R86)/U86</f>
        <v>10.767441860465116</v>
      </c>
      <c r="AG86" s="1">
        <v>8.6</v>
      </c>
      <c r="AH86" s="1">
        <v>4.4000000000000004</v>
      </c>
      <c r="AI86" s="1">
        <v>7.6</v>
      </c>
      <c r="AJ86" s="1">
        <v>4</v>
      </c>
      <c r="AK86" s="1">
        <v>4</v>
      </c>
      <c r="AL86" s="1">
        <v>0</v>
      </c>
      <c r="AM86" s="1">
        <v>0.2</v>
      </c>
      <c r="AN86" s="1">
        <v>0.2</v>
      </c>
      <c r="AO86" s="1">
        <v>4.5999999999999996</v>
      </c>
      <c r="AP86" s="1">
        <v>5</v>
      </c>
      <c r="AQ86" s="1"/>
      <c r="AR86" s="1">
        <f>ROUND(G86*X86,0)</f>
        <v>4</v>
      </c>
      <c r="AS86" s="1">
        <f>ROUND(G86*AA86,0)</f>
        <v>0</v>
      </c>
      <c r="AT86" t="s">
        <v>225</v>
      </c>
    </row>
    <row r="87" spans="1:46" x14ac:dyDescent="0.25">
      <c r="A87" s="1" t="s">
        <v>226</v>
      </c>
      <c r="B87" s="1" t="s">
        <v>46</v>
      </c>
      <c r="C87" s="1">
        <v>42.249000000000002</v>
      </c>
      <c r="D87" s="1">
        <v>11.552</v>
      </c>
      <c r="E87" s="1">
        <v>8.52</v>
      </c>
      <c r="F87" s="1">
        <v>33.728999999999999</v>
      </c>
      <c r="G87" s="7">
        <v>1</v>
      </c>
      <c r="H87" s="1">
        <v>55</v>
      </c>
      <c r="I87" s="1" t="s">
        <v>47</v>
      </c>
      <c r="J87" s="1"/>
      <c r="K87" s="1">
        <v>21</v>
      </c>
      <c r="L87" s="1">
        <f t="shared" si="17"/>
        <v>-12.48</v>
      </c>
      <c r="M87" s="1">
        <f t="shared" si="18"/>
        <v>8.52</v>
      </c>
      <c r="N87" s="1"/>
      <c r="O87" s="1">
        <v>0</v>
      </c>
      <c r="P87" s="1"/>
      <c r="Q87" s="1"/>
      <c r="R87" s="1">
        <v>0</v>
      </c>
      <c r="S87" s="1"/>
      <c r="T87" s="20"/>
      <c r="U87" s="1">
        <f t="shared" si="19"/>
        <v>1.704</v>
      </c>
      <c r="V87" s="5"/>
      <c r="W87" s="5">
        <f t="shared" si="20"/>
        <v>0</v>
      </c>
      <c r="X87" s="5">
        <f>W87-AA87</f>
        <v>0</v>
      </c>
      <c r="Y87" s="5"/>
      <c r="Z87" s="26"/>
      <c r="AA87" s="5"/>
      <c r="AB87" s="5"/>
      <c r="AC87" s="26"/>
      <c r="AD87" s="1"/>
      <c r="AE87" s="1">
        <f>(F87+O87+P87+Q87+R87+X87+Z87+AA87+T87+AC87)/U87</f>
        <v>19.794014084507044</v>
      </c>
      <c r="AF87" s="1">
        <f>(F87+O87+P87+Q87+R87)/U87</f>
        <v>19.794014084507044</v>
      </c>
      <c r="AG87" s="1">
        <v>2.0099999999999998</v>
      </c>
      <c r="AH87" s="1">
        <v>1.7163999999999999</v>
      </c>
      <c r="AI87" s="1">
        <v>1.7183999999999999</v>
      </c>
      <c r="AJ87" s="1">
        <v>0.57800000000000007</v>
      </c>
      <c r="AK87" s="1">
        <v>1.7447999999999999</v>
      </c>
      <c r="AL87" s="1">
        <v>1.7296</v>
      </c>
      <c r="AM87" s="1">
        <v>1.1372</v>
      </c>
      <c r="AN87" s="1">
        <v>1.4352</v>
      </c>
      <c r="AO87" s="1">
        <v>2.8454000000000002</v>
      </c>
      <c r="AP87" s="1">
        <v>1.7416</v>
      </c>
      <c r="AQ87" s="13" t="s">
        <v>80</v>
      </c>
      <c r="AR87" s="1">
        <f>ROUND(G87*X87,0)</f>
        <v>0</v>
      </c>
      <c r="AS87" s="1">
        <f>ROUND(G87*AA87,0)</f>
        <v>0</v>
      </c>
      <c r="AT87" t="s">
        <v>227</v>
      </c>
    </row>
    <row r="88" spans="1:46" x14ac:dyDescent="0.25">
      <c r="A88" s="10" t="s">
        <v>228</v>
      </c>
      <c r="B88" s="10" t="s">
        <v>46</v>
      </c>
      <c r="C88" s="10"/>
      <c r="D88" s="10"/>
      <c r="E88" s="10"/>
      <c r="F88" s="10"/>
      <c r="G88" s="11">
        <v>0</v>
      </c>
      <c r="H88" s="10"/>
      <c r="I88" s="10" t="s">
        <v>47</v>
      </c>
      <c r="J88" s="10"/>
      <c r="K88" s="10"/>
      <c r="L88" s="10">
        <f t="shared" si="17"/>
        <v>0</v>
      </c>
      <c r="M88" s="10">
        <f t="shared" si="18"/>
        <v>0</v>
      </c>
      <c r="N88" s="10"/>
      <c r="O88" s="10">
        <v>0</v>
      </c>
      <c r="P88" s="10"/>
      <c r="Q88" s="10"/>
      <c r="R88" s="10">
        <v>0</v>
      </c>
      <c r="S88" s="10"/>
      <c r="T88" s="22"/>
      <c r="U88" s="10">
        <f t="shared" si="19"/>
        <v>0</v>
      </c>
      <c r="V88" s="12"/>
      <c r="W88" s="5">
        <f t="shared" si="20"/>
        <v>0</v>
      </c>
      <c r="X88" s="5">
        <f>W88-AA88</f>
        <v>0</v>
      </c>
      <c r="Y88" s="5"/>
      <c r="Z88" s="26"/>
      <c r="AA88" s="5"/>
      <c r="AB88" s="5"/>
      <c r="AC88" s="26"/>
      <c r="AD88" s="1"/>
      <c r="AE88" s="1" t="e">
        <f>(F88+O88+P88+Q88+R88+X88+Z88+AA88+T88+AC88)/U88</f>
        <v>#DIV/0!</v>
      </c>
      <c r="AF88" s="10" t="e">
        <f>(F88+O88+P88+Q88+R88)/U88</f>
        <v>#DIV/0!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 t="s">
        <v>86</v>
      </c>
      <c r="AR88" s="1">
        <f>ROUND(G88*X88,0)</f>
        <v>0</v>
      </c>
      <c r="AS88" s="1">
        <f>ROUND(G88*AA88,0)</f>
        <v>0</v>
      </c>
      <c r="AT88" t="s">
        <v>229</v>
      </c>
    </row>
    <row r="89" spans="1:46" x14ac:dyDescent="0.25">
      <c r="A89" s="1" t="s">
        <v>230</v>
      </c>
      <c r="B89" s="1" t="s">
        <v>46</v>
      </c>
      <c r="C89" s="1">
        <v>2937.66</v>
      </c>
      <c r="D89" s="1">
        <v>5244.6220000000003</v>
      </c>
      <c r="E89" s="1">
        <v>3730.4349999999999</v>
      </c>
      <c r="F89" s="1">
        <v>3855.9259999999999</v>
      </c>
      <c r="G89" s="7">
        <v>1</v>
      </c>
      <c r="H89" s="1">
        <v>60</v>
      </c>
      <c r="I89" s="1" t="s">
        <v>47</v>
      </c>
      <c r="J89" s="1"/>
      <c r="K89" s="1">
        <v>3910.2710000000002</v>
      </c>
      <c r="L89" s="1">
        <f t="shared" si="17"/>
        <v>-179.83600000000024</v>
      </c>
      <c r="M89" s="1">
        <f t="shared" si="18"/>
        <v>3730.4349999999999</v>
      </c>
      <c r="N89" s="1"/>
      <c r="O89" s="1">
        <v>2597.89883482</v>
      </c>
      <c r="P89" s="1">
        <v>0</v>
      </c>
      <c r="Q89" s="1"/>
      <c r="R89" s="1">
        <v>0</v>
      </c>
      <c r="S89" s="1"/>
      <c r="T89" s="20"/>
      <c r="U89" s="1">
        <f t="shared" si="19"/>
        <v>746.08699999999999</v>
      </c>
      <c r="V89" s="5">
        <f>12*U89-R89-Q89-P89-O89-F89</f>
        <v>2499.2191651799999</v>
      </c>
      <c r="W89" s="5">
        <f>V89+$W$1*U89</f>
        <v>2648.4365651799999</v>
      </c>
      <c r="X89" s="5">
        <f>W89-AA89</f>
        <v>1271.2495512864</v>
      </c>
      <c r="Y89" s="5"/>
      <c r="Z89" s="26"/>
      <c r="AA89" s="5">
        <f>W89*$AA$1</f>
        <v>1377.1870138935999</v>
      </c>
      <c r="AB89" s="5"/>
      <c r="AC89" s="26"/>
      <c r="AD89" s="1"/>
      <c r="AE89" s="1">
        <f>(F89+O89+P89+Q89+R89+X89+Z89+AA89+T89+AC89)/U89</f>
        <v>12.2</v>
      </c>
      <c r="AF89" s="1">
        <f>(F89+O89+P89+Q89+R89)/U89</f>
        <v>8.6502309178688268</v>
      </c>
      <c r="AG89" s="1">
        <v>678.24040000000002</v>
      </c>
      <c r="AH89" s="1">
        <v>611.37299999999993</v>
      </c>
      <c r="AI89" s="1">
        <v>524.66000000000008</v>
      </c>
      <c r="AJ89" s="1">
        <v>546.37159999999994</v>
      </c>
      <c r="AK89" s="1">
        <v>631.18540000000007</v>
      </c>
      <c r="AL89" s="1">
        <v>487.42919999999992</v>
      </c>
      <c r="AM89" s="1">
        <v>486.21499999999997</v>
      </c>
      <c r="AN89" s="1">
        <v>545.07420000000002</v>
      </c>
      <c r="AO89" s="1">
        <v>663.97019999999998</v>
      </c>
      <c r="AP89" s="1">
        <v>653.57219999999995</v>
      </c>
      <c r="AQ89" s="1"/>
      <c r="AR89" s="1">
        <f>ROUND(G89*X89,0)</f>
        <v>1271</v>
      </c>
      <c r="AS89" s="1">
        <f>ROUND(G89*AA89,0)</f>
        <v>1377</v>
      </c>
      <c r="AT89" t="s">
        <v>231</v>
      </c>
    </row>
    <row r="90" spans="1:46" x14ac:dyDescent="0.25">
      <c r="A90" s="1" t="s">
        <v>232</v>
      </c>
      <c r="B90" s="1" t="s">
        <v>54</v>
      </c>
      <c r="C90" s="1">
        <v>267</v>
      </c>
      <c r="D90" s="1">
        <v>172</v>
      </c>
      <c r="E90" s="1">
        <v>274</v>
      </c>
      <c r="F90" s="1">
        <v>146</v>
      </c>
      <c r="G90" s="7">
        <v>0.3</v>
      </c>
      <c r="H90" s="1">
        <v>40</v>
      </c>
      <c r="I90" s="1" t="s">
        <v>47</v>
      </c>
      <c r="J90" s="1"/>
      <c r="K90" s="1">
        <v>300</v>
      </c>
      <c r="L90" s="1">
        <f t="shared" si="17"/>
        <v>-26</v>
      </c>
      <c r="M90" s="1">
        <f t="shared" si="18"/>
        <v>274</v>
      </c>
      <c r="N90" s="1"/>
      <c r="O90" s="1">
        <v>56.377999999999993</v>
      </c>
      <c r="P90" s="1">
        <v>0</v>
      </c>
      <c r="Q90" s="1"/>
      <c r="R90" s="1">
        <v>0</v>
      </c>
      <c r="S90" s="1"/>
      <c r="T90" s="20"/>
      <c r="U90" s="1">
        <f t="shared" si="19"/>
        <v>54.8</v>
      </c>
      <c r="V90" s="5">
        <f>11*U90-R90-Q90-P90-O90-F90</f>
        <v>400.42199999999991</v>
      </c>
      <c r="W90" s="5">
        <f>V90</f>
        <v>400.42199999999991</v>
      </c>
      <c r="X90" s="5">
        <v>200</v>
      </c>
      <c r="Y90" s="5"/>
      <c r="Z90" s="26"/>
      <c r="AA90" s="5">
        <f>W90*$AA$1</f>
        <v>208.21943999999996</v>
      </c>
      <c r="AB90" s="5"/>
      <c r="AC90" s="26"/>
      <c r="AD90" s="1"/>
      <c r="AE90" s="1">
        <f>(F90+O90+P90+Q90+R90+X90+Z90+AA90+T90+AC90)/U90</f>
        <v>11.142289051094892</v>
      </c>
      <c r="AF90" s="1">
        <f>(F90+O90+P90+Q90+R90)/U90</f>
        <v>3.6930291970802918</v>
      </c>
      <c r="AG90" s="1">
        <v>31.2</v>
      </c>
      <c r="AH90" s="1">
        <v>37.799999999999997</v>
      </c>
      <c r="AI90" s="1">
        <v>35.799999999999997</v>
      </c>
      <c r="AJ90" s="1">
        <v>44</v>
      </c>
      <c r="AK90" s="1">
        <v>54.4</v>
      </c>
      <c r="AL90" s="1">
        <v>32.200000000000003</v>
      </c>
      <c r="AM90" s="1">
        <v>19.600000000000001</v>
      </c>
      <c r="AN90" s="1">
        <v>20.399999999999999</v>
      </c>
      <c r="AO90" s="1">
        <v>31.2</v>
      </c>
      <c r="AP90" s="1">
        <v>47.6</v>
      </c>
      <c r="AQ90" s="1"/>
      <c r="AR90" s="1">
        <f>ROUND(G90*X90,0)</f>
        <v>60</v>
      </c>
      <c r="AS90" s="1">
        <f>ROUND(G90*AA90,0)</f>
        <v>62</v>
      </c>
      <c r="AT90" t="s">
        <v>233</v>
      </c>
    </row>
    <row r="91" spans="1:46" x14ac:dyDescent="0.25">
      <c r="A91" s="25" t="s">
        <v>234</v>
      </c>
      <c r="B91" s="1" t="s">
        <v>46</v>
      </c>
      <c r="C91" s="1">
        <v>1177.7149999999999</v>
      </c>
      <c r="D91" s="1">
        <v>1890.903</v>
      </c>
      <c r="E91" s="1">
        <v>1535.127</v>
      </c>
      <c r="F91" s="1">
        <v>1486.385</v>
      </c>
      <c r="G91" s="7">
        <v>1</v>
      </c>
      <c r="H91" s="1">
        <v>60</v>
      </c>
      <c r="I91" s="1" t="s">
        <v>47</v>
      </c>
      <c r="J91" s="1"/>
      <c r="K91" s="1">
        <v>1575.14</v>
      </c>
      <c r="L91" s="1">
        <f t="shared" si="17"/>
        <v>-40.013000000000147</v>
      </c>
      <c r="M91" s="1">
        <f t="shared" si="18"/>
        <v>1384.2079999999999</v>
      </c>
      <c r="N91" s="1">
        <v>150.91900000000001</v>
      </c>
      <c r="O91" s="1">
        <v>363.493404204</v>
      </c>
      <c r="P91" s="1">
        <v>0</v>
      </c>
      <c r="Q91" s="1"/>
      <c r="R91" s="1">
        <v>0</v>
      </c>
      <c r="S91" s="1"/>
      <c r="T91" s="20">
        <v>280</v>
      </c>
      <c r="U91" s="1">
        <f t="shared" si="19"/>
        <v>276.84159999999997</v>
      </c>
      <c r="V91" s="5">
        <f>12*U91-R91-Q91-P91-O91-F91</f>
        <v>1472.2207957959997</v>
      </c>
      <c r="W91" s="5">
        <f>V91+$W$1*U91</f>
        <v>1527.5891157959998</v>
      </c>
      <c r="X91" s="5">
        <f>W91-AA91</f>
        <v>733.24277558207984</v>
      </c>
      <c r="Y91" s="5"/>
      <c r="Z91" s="26"/>
      <c r="AA91" s="5">
        <f>W91*$AA$1</f>
        <v>794.34634021391992</v>
      </c>
      <c r="AB91" s="5"/>
      <c r="AC91" s="26"/>
      <c r="AD91" s="1"/>
      <c r="AE91" s="1">
        <f>(F91+O91+P91+Q91+R91+X91+Z91+AA91+T91+AC91)/U91</f>
        <v>13.211408690023465</v>
      </c>
      <c r="AF91" s="1">
        <f>(F91+O91+P91+Q91+R91)/U91</f>
        <v>6.6820824767809466</v>
      </c>
      <c r="AG91" s="1">
        <v>190.1532</v>
      </c>
      <c r="AH91" s="1">
        <v>224.54220000000001</v>
      </c>
      <c r="AI91" s="1">
        <v>235.44120000000001</v>
      </c>
      <c r="AJ91" s="1">
        <v>237.84280000000001</v>
      </c>
      <c r="AK91" s="1">
        <v>261.7706</v>
      </c>
      <c r="AL91" s="1">
        <v>210.9222</v>
      </c>
      <c r="AM91" s="1">
        <v>200.2338</v>
      </c>
      <c r="AN91" s="1">
        <v>224.22739999999999</v>
      </c>
      <c r="AO91" s="1">
        <v>269.709</v>
      </c>
      <c r="AP91" s="1">
        <v>297.4228</v>
      </c>
      <c r="AQ91" s="1"/>
      <c r="AR91" s="1">
        <f>ROUND(G91*X91,0)</f>
        <v>733</v>
      </c>
      <c r="AS91" s="1">
        <f>ROUND(G91*AA91,0)</f>
        <v>794</v>
      </c>
      <c r="AT91" t="s">
        <v>235</v>
      </c>
    </row>
    <row r="92" spans="1:46" x14ac:dyDescent="0.25">
      <c r="A92" s="1" t="s">
        <v>236</v>
      </c>
      <c r="B92" s="1" t="s">
        <v>46</v>
      </c>
      <c r="C92" s="1">
        <v>5580.5469999999996</v>
      </c>
      <c r="D92" s="1">
        <v>3942.951</v>
      </c>
      <c r="E92" s="1">
        <v>3413.6239999999998</v>
      </c>
      <c r="F92" s="1">
        <v>5145.0330000000004</v>
      </c>
      <c r="G92" s="7">
        <v>1</v>
      </c>
      <c r="H92" s="1">
        <v>60</v>
      </c>
      <c r="I92" s="1" t="s">
        <v>47</v>
      </c>
      <c r="J92" s="1"/>
      <c r="K92" s="1">
        <v>3579.91</v>
      </c>
      <c r="L92" s="1">
        <f t="shared" si="17"/>
        <v>-166.28600000000006</v>
      </c>
      <c r="M92" s="1">
        <f t="shared" si="18"/>
        <v>3413.6239999999998</v>
      </c>
      <c r="N92" s="1"/>
      <c r="O92" s="1">
        <v>1185.765490452</v>
      </c>
      <c r="P92" s="1">
        <v>0</v>
      </c>
      <c r="Q92" s="1"/>
      <c r="R92" s="1">
        <v>0</v>
      </c>
      <c r="S92" s="1"/>
      <c r="T92" s="20">
        <v>300</v>
      </c>
      <c r="U92" s="1">
        <f t="shared" si="19"/>
        <v>682.72479999999996</v>
      </c>
      <c r="V92" s="5">
        <f>12*U92-R92-Q92-P92-O92-F92</f>
        <v>1861.8991095479987</v>
      </c>
      <c r="W92" s="5">
        <f>V92+$W$1*U92</f>
        <v>1998.4440695479987</v>
      </c>
      <c r="X92" s="5">
        <f>W92-AA92</f>
        <v>959.25315338303926</v>
      </c>
      <c r="Y92" s="5"/>
      <c r="Z92" s="26"/>
      <c r="AA92" s="5">
        <f>W92*$AA$1</f>
        <v>1039.1909161649594</v>
      </c>
      <c r="AB92" s="5"/>
      <c r="AC92" s="26"/>
      <c r="AD92" s="1"/>
      <c r="AE92" s="1">
        <f>(F92+O92+P92+Q92+R92+X92+Z92+AA92+T92+AC92)/U92</f>
        <v>12.639415706006284</v>
      </c>
      <c r="AF92" s="1">
        <f>(F92+O92+P92+Q92+R92)/U92</f>
        <v>9.272840960884972</v>
      </c>
      <c r="AG92" s="1">
        <v>684.17160000000001</v>
      </c>
      <c r="AH92" s="1">
        <v>529.6386</v>
      </c>
      <c r="AI92" s="1">
        <v>447.9076</v>
      </c>
      <c r="AJ92" s="1">
        <v>485.68380000000008</v>
      </c>
      <c r="AK92" s="1">
        <v>514.53820000000007</v>
      </c>
      <c r="AL92" s="1">
        <v>401.62819999999999</v>
      </c>
      <c r="AM92" s="1">
        <v>487.01119999999992</v>
      </c>
      <c r="AN92" s="1">
        <v>453.0684</v>
      </c>
      <c r="AO92" s="1">
        <v>606.41340000000002</v>
      </c>
      <c r="AP92" s="1">
        <v>702.14319999999998</v>
      </c>
      <c r="AQ92" s="1"/>
      <c r="AR92" s="1">
        <f>ROUND(G92*X92,0)</f>
        <v>959</v>
      </c>
      <c r="AS92" s="1">
        <f>ROUND(G92*AA92,0)</f>
        <v>1039</v>
      </c>
      <c r="AT92" t="s">
        <v>237</v>
      </c>
    </row>
    <row r="93" spans="1:46" x14ac:dyDescent="0.25">
      <c r="A93" s="25" t="s">
        <v>93</v>
      </c>
      <c r="B93" s="1" t="s">
        <v>46</v>
      </c>
      <c r="C93" s="1">
        <v>8518.6190000000006</v>
      </c>
      <c r="D93" s="1">
        <v>3409.14</v>
      </c>
      <c r="E93" s="1">
        <v>4244.3469999999998</v>
      </c>
      <c r="F93" s="1">
        <v>5895.2539999999999</v>
      </c>
      <c r="G93" s="7">
        <v>1</v>
      </c>
      <c r="H93" s="1">
        <v>60</v>
      </c>
      <c r="I93" s="1" t="s">
        <v>47</v>
      </c>
      <c r="J93" s="1"/>
      <c r="K93" s="1">
        <v>4476.308</v>
      </c>
      <c r="L93" s="1">
        <f t="shared" si="17"/>
        <v>-231.96100000000024</v>
      </c>
      <c r="M93" s="1">
        <f t="shared" si="18"/>
        <v>4244.3469999999998</v>
      </c>
      <c r="N93" s="1"/>
      <c r="O93" s="1">
        <v>0</v>
      </c>
      <c r="P93" s="1"/>
      <c r="Q93" s="1"/>
      <c r="R93" s="1">
        <v>1926.5142000000001</v>
      </c>
      <c r="S93" s="1"/>
      <c r="T93" s="20">
        <v>400</v>
      </c>
      <c r="U93" s="1">
        <f t="shared" si="19"/>
        <v>848.86939999999993</v>
      </c>
      <c r="V93" s="5">
        <f>12*U93-R93-Q93-P93-O93-F93</f>
        <v>2364.6645999999992</v>
      </c>
      <c r="W93" s="5">
        <f>V93+$W$1*U93</f>
        <v>2534.4384799999993</v>
      </c>
      <c r="X93" s="5">
        <f>W93-AA93</f>
        <v>1216.5304703999996</v>
      </c>
      <c r="Y93" s="5"/>
      <c r="Z93" s="26">
        <v>400</v>
      </c>
      <c r="AA93" s="5">
        <f>W93*$AA$1</f>
        <v>1317.9080095999998</v>
      </c>
      <c r="AB93" s="5"/>
      <c r="AC93" s="26"/>
      <c r="AD93" s="1"/>
      <c r="AE93" s="1">
        <f>(F93+O93+P93+Q93+R93+X93+Z93+AA93+T93+AC93)/U93</f>
        <v>13.142430013380151</v>
      </c>
      <c r="AF93" s="1">
        <f>(F93+O93+P93+Q93+R93)/U93</f>
        <v>9.2143363867280428</v>
      </c>
      <c r="AG93" s="1">
        <v>803.57920000000001</v>
      </c>
      <c r="AH93" s="1">
        <v>649.25559999999996</v>
      </c>
      <c r="AI93" s="1">
        <v>717.88199999999995</v>
      </c>
      <c r="AJ93" s="1">
        <v>624.51419999999996</v>
      </c>
      <c r="AK93" s="1">
        <v>657.89699999999982</v>
      </c>
      <c r="AL93" s="1">
        <v>520.9251999999999</v>
      </c>
      <c r="AM93" s="1">
        <v>627.79740000000004</v>
      </c>
      <c r="AN93" s="1">
        <v>577.65159999999992</v>
      </c>
      <c r="AO93" s="1">
        <v>698.26039999999989</v>
      </c>
      <c r="AP93" s="1">
        <v>814.36879999999996</v>
      </c>
      <c r="AQ93" s="1"/>
      <c r="AR93" s="1">
        <f>ROUND(G93*X93,0)</f>
        <v>1217</v>
      </c>
      <c r="AS93" s="1">
        <f>ROUND(G93*AA93,0)</f>
        <v>1318</v>
      </c>
      <c r="AT93" t="s">
        <v>94</v>
      </c>
    </row>
    <row r="94" spans="1:46" x14ac:dyDescent="0.25">
      <c r="A94" s="1" t="s">
        <v>238</v>
      </c>
      <c r="B94" s="1" t="s">
        <v>46</v>
      </c>
      <c r="C94" s="1">
        <v>92.965000000000003</v>
      </c>
      <c r="D94" s="1">
        <v>2.67</v>
      </c>
      <c r="E94" s="1">
        <v>16.091000000000001</v>
      </c>
      <c r="F94" s="1">
        <v>78.203999999999994</v>
      </c>
      <c r="G94" s="7">
        <v>1</v>
      </c>
      <c r="H94" s="1">
        <v>55</v>
      </c>
      <c r="I94" s="1" t="s">
        <v>47</v>
      </c>
      <c r="J94" s="1"/>
      <c r="K94" s="1">
        <v>33.1</v>
      </c>
      <c r="L94" s="1">
        <f t="shared" si="17"/>
        <v>-17.009</v>
      </c>
      <c r="M94" s="1">
        <f t="shared" si="18"/>
        <v>16.091000000000001</v>
      </c>
      <c r="N94" s="1"/>
      <c r="O94" s="1">
        <v>0</v>
      </c>
      <c r="P94" s="1"/>
      <c r="Q94" s="1"/>
      <c r="R94" s="1">
        <v>0</v>
      </c>
      <c r="S94" s="1"/>
      <c r="T94" s="20"/>
      <c r="U94" s="1">
        <f t="shared" si="19"/>
        <v>3.2182000000000004</v>
      </c>
      <c r="V94" s="5"/>
      <c r="W94" s="5">
        <f t="shared" ref="W94:W126" si="21">V94</f>
        <v>0</v>
      </c>
      <c r="X94" s="5">
        <f>W94-AA94</f>
        <v>0</v>
      </c>
      <c r="Y94" s="5"/>
      <c r="Z94" s="26"/>
      <c r="AA94" s="5"/>
      <c r="AB94" s="5"/>
      <c r="AC94" s="26"/>
      <c r="AD94" s="1"/>
      <c r="AE94" s="1">
        <f>(F94+O94+P94+Q94+R94+X94+Z94+AA94+T94+AC94)/U94</f>
        <v>24.300540674911435</v>
      </c>
      <c r="AF94" s="1">
        <f>(F94+O94+P94+Q94+R94)/U94</f>
        <v>24.300540674911435</v>
      </c>
      <c r="AG94" s="1">
        <v>2.9496000000000002</v>
      </c>
      <c r="AH94" s="1">
        <v>2.4131999999999998</v>
      </c>
      <c r="AI94" s="1">
        <v>4.8087999999999997</v>
      </c>
      <c r="AJ94" s="1">
        <v>2.9365999999999999</v>
      </c>
      <c r="AK94" s="1">
        <v>2.9626000000000001</v>
      </c>
      <c r="AL94" s="1">
        <v>9.1290000000000013</v>
      </c>
      <c r="AM94" s="1">
        <v>9.1308000000000007</v>
      </c>
      <c r="AN94" s="1">
        <v>9.6712000000000007</v>
      </c>
      <c r="AO94" s="1">
        <v>9.3979999999999997</v>
      </c>
      <c r="AP94" s="1">
        <v>9.9340000000000011</v>
      </c>
      <c r="AQ94" s="13" t="s">
        <v>80</v>
      </c>
      <c r="AR94" s="1">
        <f>ROUND(G94*X94,0)</f>
        <v>0</v>
      </c>
      <c r="AS94" s="1">
        <f>ROUND(G94*AA94,0)</f>
        <v>0</v>
      </c>
      <c r="AT94" t="s">
        <v>239</v>
      </c>
    </row>
    <row r="95" spans="1:46" x14ac:dyDescent="0.25">
      <c r="A95" s="10" t="s">
        <v>240</v>
      </c>
      <c r="B95" s="10" t="s">
        <v>46</v>
      </c>
      <c r="C95" s="10">
        <v>-1.36</v>
      </c>
      <c r="D95" s="10"/>
      <c r="E95" s="10"/>
      <c r="F95" s="10">
        <v>-1.36</v>
      </c>
      <c r="G95" s="11">
        <v>0</v>
      </c>
      <c r="H95" s="10"/>
      <c r="I95" s="10" t="s">
        <v>72</v>
      </c>
      <c r="J95" s="10"/>
      <c r="K95" s="10"/>
      <c r="L95" s="10">
        <f t="shared" si="17"/>
        <v>0</v>
      </c>
      <c r="M95" s="10">
        <f t="shared" si="18"/>
        <v>0</v>
      </c>
      <c r="N95" s="10"/>
      <c r="O95" s="10">
        <v>0</v>
      </c>
      <c r="P95" s="10"/>
      <c r="Q95" s="10"/>
      <c r="R95" s="10">
        <v>0</v>
      </c>
      <c r="S95" s="10"/>
      <c r="T95" s="22"/>
      <c r="U95" s="10">
        <f t="shared" si="19"/>
        <v>0</v>
      </c>
      <c r="V95" s="12"/>
      <c r="W95" s="5">
        <f t="shared" si="21"/>
        <v>0</v>
      </c>
      <c r="X95" s="5">
        <f>W95-AA95</f>
        <v>0</v>
      </c>
      <c r="Y95" s="5"/>
      <c r="Z95" s="26"/>
      <c r="AA95" s="5"/>
      <c r="AB95" s="5"/>
      <c r="AC95" s="26"/>
      <c r="AD95" s="1"/>
      <c r="AE95" s="1" t="e">
        <f>(F95+O95+P95+Q95+R95+X95+Z95+AA95+T95+AC95)/U95</f>
        <v>#DIV/0!</v>
      </c>
      <c r="AF95" s="10" t="e">
        <f>(F95+O95+P95+Q95+R95)/U95</f>
        <v>#DIV/0!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0.27200000000000002</v>
      </c>
      <c r="AM95" s="10">
        <v>0.27200000000000002</v>
      </c>
      <c r="AN95" s="10">
        <v>0</v>
      </c>
      <c r="AO95" s="10">
        <v>0</v>
      </c>
      <c r="AP95" s="10">
        <v>0</v>
      </c>
      <c r="AQ95" s="10"/>
      <c r="AR95" s="1">
        <f>ROUND(G95*X95,0)</f>
        <v>0</v>
      </c>
      <c r="AS95" s="1">
        <f>ROUND(G95*AA95,0)</f>
        <v>0</v>
      </c>
      <c r="AT95" t="s">
        <v>241</v>
      </c>
    </row>
    <row r="96" spans="1:46" x14ac:dyDescent="0.25">
      <c r="A96" s="10" t="s">
        <v>242</v>
      </c>
      <c r="B96" s="10" t="s">
        <v>46</v>
      </c>
      <c r="C96" s="10">
        <v>381.87400000000002</v>
      </c>
      <c r="D96" s="10">
        <v>1.371</v>
      </c>
      <c r="E96" s="10">
        <v>2.742</v>
      </c>
      <c r="F96" s="10">
        <v>-2.5960000000000001</v>
      </c>
      <c r="G96" s="11">
        <v>0</v>
      </c>
      <c r="H96" s="10"/>
      <c r="I96" s="10" t="s">
        <v>72</v>
      </c>
      <c r="J96" s="10"/>
      <c r="K96" s="10">
        <v>4.9000000000000004</v>
      </c>
      <c r="L96" s="10">
        <f t="shared" si="17"/>
        <v>-2.1580000000000004</v>
      </c>
      <c r="M96" s="10">
        <f t="shared" si="18"/>
        <v>2.742</v>
      </c>
      <c r="N96" s="10"/>
      <c r="O96" s="10">
        <v>0</v>
      </c>
      <c r="P96" s="10"/>
      <c r="Q96" s="10"/>
      <c r="R96" s="10">
        <v>0</v>
      </c>
      <c r="S96" s="10"/>
      <c r="T96" s="22"/>
      <c r="U96" s="10">
        <f t="shared" si="19"/>
        <v>0.5484</v>
      </c>
      <c r="V96" s="12"/>
      <c r="W96" s="5">
        <f t="shared" si="21"/>
        <v>0</v>
      </c>
      <c r="X96" s="5">
        <f>W96-AA96</f>
        <v>0</v>
      </c>
      <c r="Y96" s="5"/>
      <c r="Z96" s="26"/>
      <c r="AA96" s="5"/>
      <c r="AB96" s="5"/>
      <c r="AC96" s="26"/>
      <c r="AD96" s="1"/>
      <c r="AE96" s="1">
        <f>(F96+O96+P96+Q96+R96+X96+Z96+AA96+T96+AC96)/U96</f>
        <v>-4.7337709700948212</v>
      </c>
      <c r="AF96" s="10">
        <f>(F96+O96+P96+Q96+R96)/U96</f>
        <v>-4.7337709700948212</v>
      </c>
      <c r="AG96" s="10">
        <v>3.7995999999999999</v>
      </c>
      <c r="AH96" s="10">
        <v>5.4039999999999999</v>
      </c>
      <c r="AI96" s="10">
        <v>5.3784000000000001</v>
      </c>
      <c r="AJ96" s="10">
        <v>6.8639999999999999</v>
      </c>
      <c r="AK96" s="10">
        <v>3.9003999999999999</v>
      </c>
      <c r="AL96" s="10">
        <v>2.42</v>
      </c>
      <c r="AM96" s="10">
        <v>6.7090000000000014</v>
      </c>
      <c r="AN96" s="10">
        <v>6.706999999999999</v>
      </c>
      <c r="AO96" s="10">
        <v>13.973000000000001</v>
      </c>
      <c r="AP96" s="10">
        <v>18.044</v>
      </c>
      <c r="AQ96" s="10"/>
      <c r="AR96" s="1">
        <f>ROUND(G96*X96,0)</f>
        <v>0</v>
      </c>
      <c r="AS96" s="1">
        <f>ROUND(G96*AA96,0)</f>
        <v>0</v>
      </c>
    </row>
    <row r="97" spans="1:46" x14ac:dyDescent="0.25">
      <c r="A97" s="1" t="s">
        <v>243</v>
      </c>
      <c r="B97" s="1" t="s">
        <v>54</v>
      </c>
      <c r="C97" s="1">
        <v>43</v>
      </c>
      <c r="D97" s="1">
        <v>2</v>
      </c>
      <c r="E97" s="1">
        <v>42</v>
      </c>
      <c r="F97" s="1">
        <v>-3</v>
      </c>
      <c r="G97" s="7">
        <v>0.3</v>
      </c>
      <c r="H97" s="1">
        <v>40</v>
      </c>
      <c r="I97" s="1" t="s">
        <v>47</v>
      </c>
      <c r="J97" s="1"/>
      <c r="K97" s="1">
        <v>98</v>
      </c>
      <c r="L97" s="1">
        <f t="shared" si="17"/>
        <v>-56</v>
      </c>
      <c r="M97" s="1">
        <f t="shared" si="18"/>
        <v>42</v>
      </c>
      <c r="N97" s="1"/>
      <c r="O97" s="1">
        <v>0</v>
      </c>
      <c r="P97" s="1"/>
      <c r="Q97" s="1"/>
      <c r="R97" s="1">
        <v>54.599999999999987</v>
      </c>
      <c r="S97" s="1">
        <v>-53.333333333333336</v>
      </c>
      <c r="T97" s="20"/>
      <c r="U97" s="1">
        <f t="shared" si="19"/>
        <v>8.4</v>
      </c>
      <c r="V97" s="5">
        <f>12*U97-R97-Q97-P97-O97-F97</f>
        <v>49.200000000000024</v>
      </c>
      <c r="W97" s="5">
        <f t="shared" si="21"/>
        <v>49.200000000000024</v>
      </c>
      <c r="X97" s="5">
        <f>W97-AA97</f>
        <v>49.200000000000024</v>
      </c>
      <c r="Y97" s="5">
        <v>-53.333333333333336</v>
      </c>
      <c r="Z97" s="26"/>
      <c r="AA97" s="5"/>
      <c r="AB97" s="5"/>
      <c r="AC97" s="26"/>
      <c r="AD97" s="1"/>
      <c r="AE97" s="1">
        <f>(F97+O97+P97+Q97+R97+X97+Z97+AA97+T97+AC97)/U97</f>
        <v>12</v>
      </c>
      <c r="AF97" s="1">
        <f>(F97+O97+P97+Q97+R97)/U97</f>
        <v>6.1428571428571415</v>
      </c>
      <c r="AG97" s="1">
        <v>9.6</v>
      </c>
      <c r="AH97" s="1">
        <v>9.1999999999999993</v>
      </c>
      <c r="AI97" s="1">
        <v>15.2</v>
      </c>
      <c r="AJ97" s="1">
        <v>23.8</v>
      </c>
      <c r="AK97" s="1">
        <v>25.4</v>
      </c>
      <c r="AL97" s="1">
        <v>17.2</v>
      </c>
      <c r="AM97" s="1">
        <v>20.2</v>
      </c>
      <c r="AN97" s="1">
        <v>22.8</v>
      </c>
      <c r="AO97" s="1">
        <v>24.2</v>
      </c>
      <c r="AP97" s="1">
        <v>18.2</v>
      </c>
      <c r="AQ97" s="1"/>
      <c r="AR97" s="1">
        <f>ROUND(G97*X97,0)</f>
        <v>15</v>
      </c>
      <c r="AS97" s="1">
        <f>ROUND(G97*AA97,0)</f>
        <v>0</v>
      </c>
      <c r="AT97" t="s">
        <v>244</v>
      </c>
    </row>
    <row r="98" spans="1:46" x14ac:dyDescent="0.25">
      <c r="A98" s="1" t="s">
        <v>245</v>
      </c>
      <c r="B98" s="1" t="s">
        <v>54</v>
      </c>
      <c r="C98" s="1">
        <v>91</v>
      </c>
      <c r="D98" s="1">
        <v>51</v>
      </c>
      <c r="E98" s="1">
        <v>86</v>
      </c>
      <c r="F98" s="1">
        <v>56</v>
      </c>
      <c r="G98" s="7">
        <v>0.3</v>
      </c>
      <c r="H98" s="1">
        <v>40</v>
      </c>
      <c r="I98" s="1" t="s">
        <v>47</v>
      </c>
      <c r="J98" s="1"/>
      <c r="K98" s="1">
        <v>86</v>
      </c>
      <c r="L98" s="1">
        <f t="shared" si="17"/>
        <v>0</v>
      </c>
      <c r="M98" s="1">
        <f t="shared" si="18"/>
        <v>86</v>
      </c>
      <c r="N98" s="1"/>
      <c r="O98" s="1">
        <v>0</v>
      </c>
      <c r="P98" s="1"/>
      <c r="Q98" s="1"/>
      <c r="R98" s="1">
        <v>97</v>
      </c>
      <c r="S98" s="1"/>
      <c r="T98" s="20"/>
      <c r="U98" s="1">
        <f t="shared" si="19"/>
        <v>17.2</v>
      </c>
      <c r="V98" s="5">
        <f>12*U98-R98-Q98-P98-O98-F98</f>
        <v>53.399999999999977</v>
      </c>
      <c r="W98" s="5">
        <f t="shared" si="21"/>
        <v>53.399999999999977</v>
      </c>
      <c r="X98" s="5">
        <f>W98-AA98</f>
        <v>53.399999999999977</v>
      </c>
      <c r="Y98" s="5"/>
      <c r="Z98" s="26"/>
      <c r="AA98" s="5"/>
      <c r="AB98" s="5"/>
      <c r="AC98" s="26"/>
      <c r="AD98" s="1"/>
      <c r="AE98" s="1">
        <f>(F98+O98+P98+Q98+R98+X98+Z98+AA98+T98+AC98)/U98</f>
        <v>12</v>
      </c>
      <c r="AF98" s="1">
        <f>(F98+O98+P98+Q98+R98)/U98</f>
        <v>8.895348837209303</v>
      </c>
      <c r="AG98" s="1">
        <v>16.2</v>
      </c>
      <c r="AH98" s="1">
        <v>4</v>
      </c>
      <c r="AI98" s="1">
        <v>9.6</v>
      </c>
      <c r="AJ98" s="1">
        <v>11</v>
      </c>
      <c r="AK98" s="1">
        <v>12.4</v>
      </c>
      <c r="AL98" s="1">
        <v>6.8</v>
      </c>
      <c r="AM98" s="1">
        <v>6.4</v>
      </c>
      <c r="AN98" s="1">
        <v>1.4</v>
      </c>
      <c r="AO98" s="1">
        <v>2</v>
      </c>
      <c r="AP98" s="1">
        <v>2.4</v>
      </c>
      <c r="AQ98" s="1"/>
      <c r="AR98" s="1">
        <f>ROUND(G98*X98,0)</f>
        <v>16</v>
      </c>
      <c r="AS98" s="1">
        <f>ROUND(G98*AA98,0)</f>
        <v>0</v>
      </c>
      <c r="AT98" t="s">
        <v>246</v>
      </c>
    </row>
    <row r="99" spans="1:46" x14ac:dyDescent="0.25">
      <c r="A99" s="1" t="s">
        <v>247</v>
      </c>
      <c r="B99" s="1" t="s">
        <v>54</v>
      </c>
      <c r="C99" s="1">
        <v>190</v>
      </c>
      <c r="D99" s="1">
        <v>487</v>
      </c>
      <c r="E99" s="1">
        <v>139</v>
      </c>
      <c r="F99" s="1">
        <v>511</v>
      </c>
      <c r="G99" s="7">
        <v>7.0000000000000007E-2</v>
      </c>
      <c r="H99" s="1">
        <v>90</v>
      </c>
      <c r="I99" s="1" t="s">
        <v>47</v>
      </c>
      <c r="J99" s="1"/>
      <c r="K99" s="1">
        <v>166</v>
      </c>
      <c r="L99" s="1">
        <f t="shared" si="17"/>
        <v>-27</v>
      </c>
      <c r="M99" s="1">
        <f t="shared" si="18"/>
        <v>139</v>
      </c>
      <c r="N99" s="1"/>
      <c r="O99" s="1">
        <v>0</v>
      </c>
      <c r="P99" s="1"/>
      <c r="Q99" s="1"/>
      <c r="R99" s="1">
        <v>0</v>
      </c>
      <c r="S99" s="1"/>
      <c r="T99" s="20"/>
      <c r="U99" s="1">
        <f t="shared" si="19"/>
        <v>27.8</v>
      </c>
      <c r="V99" s="5">
        <v>100</v>
      </c>
      <c r="W99" s="5">
        <f t="shared" si="21"/>
        <v>100</v>
      </c>
      <c r="X99" s="5">
        <f>W99-AA99</f>
        <v>100</v>
      </c>
      <c r="Y99" s="5">
        <v>-114.28571428571428</v>
      </c>
      <c r="Z99" s="26"/>
      <c r="AA99" s="5"/>
      <c r="AB99" s="5"/>
      <c r="AC99" s="26"/>
      <c r="AD99" s="1"/>
      <c r="AE99" s="1">
        <f>(F99+O99+P99+Q99+R99+X99+Z99+AA99+T99+AC99)/U99</f>
        <v>21.978417266187051</v>
      </c>
      <c r="AF99" s="1">
        <f>(F99+O99+P99+Q99+R99)/U99</f>
        <v>18.381294964028775</v>
      </c>
      <c r="AG99" s="1">
        <v>21.6</v>
      </c>
      <c r="AH99" s="1">
        <v>29</v>
      </c>
      <c r="AI99" s="1">
        <v>32.4</v>
      </c>
      <c r="AJ99" s="1">
        <v>33.4</v>
      </c>
      <c r="AK99" s="1">
        <v>34.799999999999997</v>
      </c>
      <c r="AL99" s="1">
        <v>22.2</v>
      </c>
      <c r="AM99" s="1">
        <v>22.6</v>
      </c>
      <c r="AN99" s="1">
        <v>26.8</v>
      </c>
      <c r="AO99" s="1">
        <v>31.2</v>
      </c>
      <c r="AP99" s="1">
        <v>29.2</v>
      </c>
      <c r="AQ99" s="1" t="s">
        <v>248</v>
      </c>
      <c r="AR99" s="1">
        <f>ROUND(G99*X99,0)</f>
        <v>7</v>
      </c>
      <c r="AS99" s="1">
        <f>ROUND(G99*AA99,0)</f>
        <v>0</v>
      </c>
      <c r="AT99" t="s">
        <v>249</v>
      </c>
    </row>
    <row r="100" spans="1:46" x14ac:dyDescent="0.25">
      <c r="A100" s="1" t="s">
        <v>250</v>
      </c>
      <c r="B100" s="1" t="s">
        <v>54</v>
      </c>
      <c r="C100" s="1">
        <v>148</v>
      </c>
      <c r="D100" s="1">
        <v>479</v>
      </c>
      <c r="E100" s="1">
        <v>161</v>
      </c>
      <c r="F100" s="1">
        <v>429</v>
      </c>
      <c r="G100" s="7">
        <v>7.0000000000000007E-2</v>
      </c>
      <c r="H100" s="1">
        <v>90</v>
      </c>
      <c r="I100" s="1" t="s">
        <v>47</v>
      </c>
      <c r="J100" s="1"/>
      <c r="K100" s="1">
        <v>199</v>
      </c>
      <c r="L100" s="1">
        <f t="shared" si="17"/>
        <v>-38</v>
      </c>
      <c r="M100" s="1">
        <f t="shared" si="18"/>
        <v>161</v>
      </c>
      <c r="N100" s="1"/>
      <c r="O100" s="1">
        <v>0</v>
      </c>
      <c r="P100" s="1"/>
      <c r="Q100" s="1"/>
      <c r="R100" s="1">
        <v>0</v>
      </c>
      <c r="S100" s="1"/>
      <c r="T100" s="20"/>
      <c r="U100" s="1">
        <f t="shared" si="19"/>
        <v>32.200000000000003</v>
      </c>
      <c r="V100" s="5">
        <v>150</v>
      </c>
      <c r="W100" s="5">
        <f t="shared" si="21"/>
        <v>150</v>
      </c>
      <c r="X100" s="5">
        <f>W100-AA100</f>
        <v>150</v>
      </c>
      <c r="Y100" s="5">
        <v>-157.14285714285714</v>
      </c>
      <c r="Z100" s="26"/>
      <c r="AA100" s="5"/>
      <c r="AB100" s="5"/>
      <c r="AC100" s="26"/>
      <c r="AD100" s="1"/>
      <c r="AE100" s="1">
        <f>(F100+O100+P100+Q100+R100+X100+Z100+AA100+T100+AC100)/U100</f>
        <v>17.981366459627328</v>
      </c>
      <c r="AF100" s="1">
        <f>(F100+O100+P100+Q100+R100)/U100</f>
        <v>13.322981366459626</v>
      </c>
      <c r="AG100" s="1">
        <v>28.8</v>
      </c>
      <c r="AH100" s="1">
        <v>31.6</v>
      </c>
      <c r="AI100" s="1">
        <v>28.2</v>
      </c>
      <c r="AJ100" s="1">
        <v>29.6</v>
      </c>
      <c r="AK100" s="1">
        <v>31.2</v>
      </c>
      <c r="AL100" s="1">
        <v>22.8</v>
      </c>
      <c r="AM100" s="1">
        <v>26.2</v>
      </c>
      <c r="AN100" s="1">
        <v>20.399999999999999</v>
      </c>
      <c r="AO100" s="1">
        <v>22</v>
      </c>
      <c r="AP100" s="1">
        <v>23.4</v>
      </c>
      <c r="AQ100" s="1" t="s">
        <v>248</v>
      </c>
      <c r="AR100" s="1">
        <f>ROUND(G100*X100,0)</f>
        <v>11</v>
      </c>
      <c r="AS100" s="1">
        <f>ROUND(G100*AA100,0)</f>
        <v>0</v>
      </c>
      <c r="AT100" t="s">
        <v>251</v>
      </c>
    </row>
    <row r="101" spans="1:46" x14ac:dyDescent="0.25">
      <c r="A101" s="1" t="s">
        <v>252</v>
      </c>
      <c r="B101" s="1" t="s">
        <v>54</v>
      </c>
      <c r="C101" s="1">
        <v>157</v>
      </c>
      <c r="D101" s="1">
        <v>418</v>
      </c>
      <c r="E101" s="1">
        <v>117</v>
      </c>
      <c r="F101" s="1">
        <v>439</v>
      </c>
      <c r="G101" s="7">
        <v>7.0000000000000007E-2</v>
      </c>
      <c r="H101" s="1">
        <v>90</v>
      </c>
      <c r="I101" s="1" t="s">
        <v>47</v>
      </c>
      <c r="J101" s="1"/>
      <c r="K101" s="1">
        <v>137</v>
      </c>
      <c r="L101" s="1">
        <f t="shared" si="17"/>
        <v>-20</v>
      </c>
      <c r="M101" s="1">
        <f t="shared" si="18"/>
        <v>117</v>
      </c>
      <c r="N101" s="1"/>
      <c r="O101" s="1">
        <v>0</v>
      </c>
      <c r="P101" s="1"/>
      <c r="Q101" s="1"/>
      <c r="R101" s="1">
        <v>0</v>
      </c>
      <c r="S101" s="1"/>
      <c r="T101" s="20"/>
      <c r="U101" s="1">
        <f t="shared" si="19"/>
        <v>23.4</v>
      </c>
      <c r="V101" s="5">
        <v>80</v>
      </c>
      <c r="W101" s="5">
        <f t="shared" si="21"/>
        <v>80</v>
      </c>
      <c r="X101" s="5">
        <f>W101-AA101</f>
        <v>80</v>
      </c>
      <c r="Y101" s="5">
        <v>-85.714285714285708</v>
      </c>
      <c r="Z101" s="26"/>
      <c r="AA101" s="5"/>
      <c r="AB101" s="5"/>
      <c r="AC101" s="26"/>
      <c r="AD101" s="1"/>
      <c r="AE101" s="1">
        <f>(F101+O101+P101+Q101+R101+X101+Z101+AA101+T101+AC101)/U101</f>
        <v>22.179487179487182</v>
      </c>
      <c r="AF101" s="1">
        <f>(F101+O101+P101+Q101+R101)/U101</f>
        <v>18.760683760683762</v>
      </c>
      <c r="AG101" s="1">
        <v>18.399999999999999</v>
      </c>
      <c r="AH101" s="1">
        <v>22.2</v>
      </c>
      <c r="AI101" s="1">
        <v>23.2</v>
      </c>
      <c r="AJ101" s="1">
        <v>24.6</v>
      </c>
      <c r="AK101" s="1">
        <v>27.4</v>
      </c>
      <c r="AL101" s="1">
        <v>18.8</v>
      </c>
      <c r="AM101" s="1">
        <v>18.399999999999999</v>
      </c>
      <c r="AN101" s="1">
        <v>20.6</v>
      </c>
      <c r="AO101" s="1">
        <v>22.8</v>
      </c>
      <c r="AP101" s="1">
        <v>20.6</v>
      </c>
      <c r="AQ101" s="1" t="s">
        <v>248</v>
      </c>
      <c r="AR101" s="1">
        <f>ROUND(G101*X101,0)</f>
        <v>6</v>
      </c>
      <c r="AS101" s="1">
        <f>ROUND(G101*AA101,0)</f>
        <v>0</v>
      </c>
      <c r="AT101" t="s">
        <v>253</v>
      </c>
    </row>
    <row r="102" spans="1:46" x14ac:dyDescent="0.25">
      <c r="A102" s="10" t="s">
        <v>254</v>
      </c>
      <c r="B102" s="10" t="s">
        <v>54</v>
      </c>
      <c r="C102" s="10">
        <v>6</v>
      </c>
      <c r="D102" s="10"/>
      <c r="E102" s="10">
        <v>-1</v>
      </c>
      <c r="F102" s="10">
        <v>4</v>
      </c>
      <c r="G102" s="11">
        <v>0</v>
      </c>
      <c r="H102" s="10">
        <v>90</v>
      </c>
      <c r="I102" s="10" t="s">
        <v>72</v>
      </c>
      <c r="J102" s="10"/>
      <c r="K102" s="10">
        <v>109</v>
      </c>
      <c r="L102" s="10">
        <f t="shared" ref="L102:L133" si="22">E102-K102</f>
        <v>-110</v>
      </c>
      <c r="M102" s="10">
        <f t="shared" ref="M102:M133" si="23">E102-N102</f>
        <v>-1</v>
      </c>
      <c r="N102" s="10"/>
      <c r="O102" s="10">
        <v>0</v>
      </c>
      <c r="P102" s="10"/>
      <c r="Q102" s="10"/>
      <c r="R102" s="10">
        <v>0</v>
      </c>
      <c r="S102" s="10"/>
      <c r="T102" s="22"/>
      <c r="U102" s="10">
        <f t="shared" ref="U102:U136" si="24">M102/5</f>
        <v>-0.2</v>
      </c>
      <c r="V102" s="12"/>
      <c r="W102" s="5">
        <f t="shared" si="21"/>
        <v>0</v>
      </c>
      <c r="X102" s="5">
        <f>W102-AA102</f>
        <v>0</v>
      </c>
      <c r="Y102" s="5"/>
      <c r="Z102" s="26"/>
      <c r="AA102" s="5"/>
      <c r="AB102" s="5"/>
      <c r="AC102" s="26"/>
      <c r="AD102" s="1"/>
      <c r="AE102" s="1">
        <f>(F102+O102+P102+Q102+R102+X102+Z102+AA102+T102+AC102)/U102</f>
        <v>-20</v>
      </c>
      <c r="AF102" s="10">
        <f>(F102+O102+P102+Q102+R102)/U102</f>
        <v>-20</v>
      </c>
      <c r="AG102" s="10">
        <v>-0.4</v>
      </c>
      <c r="AH102" s="10">
        <v>9.1999999999999993</v>
      </c>
      <c r="AI102" s="10">
        <v>15.4</v>
      </c>
      <c r="AJ102" s="10">
        <v>13.6</v>
      </c>
      <c r="AK102" s="10">
        <v>20.2</v>
      </c>
      <c r="AL102" s="10">
        <v>19</v>
      </c>
      <c r="AM102" s="10">
        <v>9.8000000000000007</v>
      </c>
      <c r="AN102" s="10">
        <v>11</v>
      </c>
      <c r="AO102" s="10">
        <v>12</v>
      </c>
      <c r="AP102" s="10">
        <v>19.8</v>
      </c>
      <c r="AQ102" s="10"/>
      <c r="AR102" s="1">
        <f>ROUND(G102*X102,0)</f>
        <v>0</v>
      </c>
      <c r="AS102" s="1">
        <f>ROUND(G102*AA102,0)</f>
        <v>0</v>
      </c>
      <c r="AT102" t="s">
        <v>255</v>
      </c>
    </row>
    <row r="103" spans="1:46" x14ac:dyDescent="0.25">
      <c r="A103" s="1" t="s">
        <v>256</v>
      </c>
      <c r="B103" s="1" t="s">
        <v>54</v>
      </c>
      <c r="C103" s="1">
        <v>7</v>
      </c>
      <c r="D103" s="1">
        <v>30</v>
      </c>
      <c r="E103" s="1">
        <v>3</v>
      </c>
      <c r="F103" s="1">
        <v>31</v>
      </c>
      <c r="G103" s="7">
        <v>0.3</v>
      </c>
      <c r="H103" s="1">
        <v>40</v>
      </c>
      <c r="I103" s="1" t="s">
        <v>47</v>
      </c>
      <c r="J103" s="1"/>
      <c r="K103" s="1">
        <v>6</v>
      </c>
      <c r="L103" s="1">
        <f t="shared" si="22"/>
        <v>-3</v>
      </c>
      <c r="M103" s="1">
        <f t="shared" si="23"/>
        <v>3</v>
      </c>
      <c r="N103" s="1"/>
      <c r="O103" s="1">
        <v>0</v>
      </c>
      <c r="P103" s="1"/>
      <c r="Q103" s="1"/>
      <c r="R103" s="1">
        <v>0</v>
      </c>
      <c r="S103" s="1"/>
      <c r="T103" s="20"/>
      <c r="U103" s="1">
        <f t="shared" si="24"/>
        <v>0.6</v>
      </c>
      <c r="V103" s="5"/>
      <c r="W103" s="5">
        <f t="shared" si="21"/>
        <v>0</v>
      </c>
      <c r="X103" s="5">
        <f>W103-AA103</f>
        <v>0</v>
      </c>
      <c r="Y103" s="5"/>
      <c r="Z103" s="26"/>
      <c r="AA103" s="5"/>
      <c r="AB103" s="5"/>
      <c r="AC103" s="26"/>
      <c r="AD103" s="1"/>
      <c r="AE103" s="1">
        <f>(F103+O103+P103+Q103+R103+X103+Z103+AA103+T103+AC103)/U103</f>
        <v>51.666666666666671</v>
      </c>
      <c r="AF103" s="1">
        <f>(F103+O103+P103+Q103+R103)/U103</f>
        <v>51.666666666666671</v>
      </c>
      <c r="AG103" s="1">
        <v>-0.4</v>
      </c>
      <c r="AH103" s="1">
        <v>0.6</v>
      </c>
      <c r="AI103" s="1">
        <v>4.4000000000000004</v>
      </c>
      <c r="AJ103" s="1">
        <v>4.8</v>
      </c>
      <c r="AK103" s="1">
        <v>1.6</v>
      </c>
      <c r="AL103" s="1">
        <v>2.8</v>
      </c>
      <c r="AM103" s="1">
        <v>1.6</v>
      </c>
      <c r="AN103" s="1">
        <v>1.2</v>
      </c>
      <c r="AO103" s="1">
        <v>-0.2</v>
      </c>
      <c r="AP103" s="1">
        <v>-0.4</v>
      </c>
      <c r="AQ103" s="13" t="s">
        <v>80</v>
      </c>
      <c r="AR103" s="1">
        <f>ROUND(G103*X103,0)</f>
        <v>0</v>
      </c>
      <c r="AS103" s="1">
        <f>ROUND(G103*AA103,0)</f>
        <v>0</v>
      </c>
      <c r="AT103" t="s">
        <v>257</v>
      </c>
    </row>
    <row r="104" spans="1:46" x14ac:dyDescent="0.25">
      <c r="A104" s="1" t="s">
        <v>258</v>
      </c>
      <c r="B104" s="1" t="s">
        <v>46</v>
      </c>
      <c r="C104" s="1">
        <v>41.128999999999998</v>
      </c>
      <c r="D104" s="1">
        <v>0.25600000000000001</v>
      </c>
      <c r="E104" s="1">
        <v>9.3450000000000006</v>
      </c>
      <c r="F104" s="1">
        <v>30.44</v>
      </c>
      <c r="G104" s="7">
        <v>1</v>
      </c>
      <c r="H104" s="1">
        <v>55</v>
      </c>
      <c r="I104" s="1" t="s">
        <v>47</v>
      </c>
      <c r="J104" s="1"/>
      <c r="K104" s="1">
        <v>8.6</v>
      </c>
      <c r="L104" s="1">
        <f t="shared" si="22"/>
        <v>0.74500000000000099</v>
      </c>
      <c r="M104" s="1">
        <f t="shared" si="23"/>
        <v>9.3450000000000006</v>
      </c>
      <c r="N104" s="1"/>
      <c r="O104" s="1">
        <v>0</v>
      </c>
      <c r="P104" s="1"/>
      <c r="Q104" s="1"/>
      <c r="R104" s="1">
        <v>0</v>
      </c>
      <c r="S104" s="1"/>
      <c r="T104" s="20"/>
      <c r="U104" s="1">
        <f t="shared" si="24"/>
        <v>1.8690000000000002</v>
      </c>
      <c r="V104" s="5"/>
      <c r="W104" s="5">
        <f t="shared" si="21"/>
        <v>0</v>
      </c>
      <c r="X104" s="5">
        <f>W104-AA104</f>
        <v>0</v>
      </c>
      <c r="Y104" s="5"/>
      <c r="Z104" s="26"/>
      <c r="AA104" s="5"/>
      <c r="AB104" s="5"/>
      <c r="AC104" s="26"/>
      <c r="AD104" s="1"/>
      <c r="AE104" s="1">
        <f>(F104+O104+P104+Q104+R104+X104+Z104+AA104+T104+AC104)/U104</f>
        <v>16.286784376672017</v>
      </c>
      <c r="AF104" s="1">
        <f>(F104+O104+P104+Q104+R104)/U104</f>
        <v>16.286784376672017</v>
      </c>
      <c r="AG104" s="1">
        <v>0.8869999999999999</v>
      </c>
      <c r="AH104" s="1">
        <v>2.1185999999999998</v>
      </c>
      <c r="AI104" s="1">
        <v>2.1888000000000001</v>
      </c>
      <c r="AJ104" s="1">
        <v>1.9019999999999999</v>
      </c>
      <c r="AK104" s="1">
        <v>2.5404</v>
      </c>
      <c r="AL104" s="1">
        <v>2.8206000000000002</v>
      </c>
      <c r="AM104" s="1">
        <v>3.2389999999999999</v>
      </c>
      <c r="AN104" s="1">
        <v>3.242</v>
      </c>
      <c r="AO104" s="1">
        <v>2.7948</v>
      </c>
      <c r="AP104" s="1">
        <v>2.4352</v>
      </c>
      <c r="AQ104" s="13" t="s">
        <v>80</v>
      </c>
      <c r="AR104" s="1">
        <f>ROUND(G104*X104,0)</f>
        <v>0</v>
      </c>
      <c r="AS104" s="1">
        <f>ROUND(G104*AA104,0)</f>
        <v>0</v>
      </c>
      <c r="AT104" t="s">
        <v>259</v>
      </c>
    </row>
    <row r="105" spans="1:46" x14ac:dyDescent="0.25">
      <c r="A105" s="1" t="s">
        <v>260</v>
      </c>
      <c r="B105" s="1" t="s">
        <v>54</v>
      </c>
      <c r="C105" s="1">
        <v>-13</v>
      </c>
      <c r="D105" s="1">
        <v>322</v>
      </c>
      <c r="E105" s="1">
        <v>60</v>
      </c>
      <c r="F105" s="1">
        <v>247</v>
      </c>
      <c r="G105" s="7">
        <v>0.11</v>
      </c>
      <c r="H105" s="1">
        <v>30</v>
      </c>
      <c r="I105" s="1" t="s">
        <v>47</v>
      </c>
      <c r="J105" s="1"/>
      <c r="K105" s="1">
        <v>136</v>
      </c>
      <c r="L105" s="1">
        <f t="shared" si="22"/>
        <v>-76</v>
      </c>
      <c r="M105" s="1">
        <f t="shared" si="23"/>
        <v>60</v>
      </c>
      <c r="N105" s="1"/>
      <c r="O105" s="1">
        <v>0</v>
      </c>
      <c r="P105" s="1"/>
      <c r="Q105" s="1"/>
      <c r="R105" s="1">
        <v>0</v>
      </c>
      <c r="S105" s="1"/>
      <c r="T105" s="20"/>
      <c r="U105" s="1">
        <f t="shared" si="24"/>
        <v>12</v>
      </c>
      <c r="V105" s="5"/>
      <c r="W105" s="5">
        <f t="shared" si="21"/>
        <v>0</v>
      </c>
      <c r="X105" s="5">
        <f>W105-AA105</f>
        <v>0</v>
      </c>
      <c r="Y105" s="5"/>
      <c r="Z105" s="26"/>
      <c r="AA105" s="5"/>
      <c r="AB105" s="5"/>
      <c r="AC105" s="26"/>
      <c r="AD105" s="1"/>
      <c r="AE105" s="1">
        <f>(F105+O105+P105+Q105+R105+X105+Z105+AA105+T105+AC105)/U105</f>
        <v>20.583333333333332</v>
      </c>
      <c r="AF105" s="1">
        <f>(F105+O105+P105+Q105+R105)/U105</f>
        <v>20.583333333333332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0.8</v>
      </c>
      <c r="AN105" s="1">
        <v>0.4</v>
      </c>
      <c r="AO105" s="1">
        <v>0.4</v>
      </c>
      <c r="AP105" s="1">
        <v>0.6</v>
      </c>
      <c r="AQ105" s="1" t="s">
        <v>248</v>
      </c>
      <c r="AR105" s="1">
        <f>ROUND(G105*X105,0)</f>
        <v>0</v>
      </c>
      <c r="AS105" s="1">
        <f>ROUND(G105*AA105,0)</f>
        <v>0</v>
      </c>
      <c r="AT105" t="s">
        <v>261</v>
      </c>
    </row>
    <row r="106" spans="1:46" x14ac:dyDescent="0.25">
      <c r="A106" s="10" t="s">
        <v>262</v>
      </c>
      <c r="B106" s="10" t="s">
        <v>54</v>
      </c>
      <c r="C106" s="10"/>
      <c r="D106" s="10"/>
      <c r="E106" s="10"/>
      <c r="F106" s="10"/>
      <c r="G106" s="11">
        <v>0</v>
      </c>
      <c r="H106" s="10"/>
      <c r="I106" s="10" t="s">
        <v>47</v>
      </c>
      <c r="J106" s="10"/>
      <c r="K106" s="10"/>
      <c r="L106" s="10">
        <f t="shared" si="22"/>
        <v>0</v>
      </c>
      <c r="M106" s="10">
        <f t="shared" si="23"/>
        <v>0</v>
      </c>
      <c r="N106" s="10"/>
      <c r="O106" s="10">
        <v>0</v>
      </c>
      <c r="P106" s="10"/>
      <c r="Q106" s="10"/>
      <c r="R106" s="10">
        <v>0</v>
      </c>
      <c r="S106" s="10"/>
      <c r="T106" s="22"/>
      <c r="U106" s="10">
        <f t="shared" si="24"/>
        <v>0</v>
      </c>
      <c r="V106" s="12"/>
      <c r="W106" s="5">
        <f t="shared" si="21"/>
        <v>0</v>
      </c>
      <c r="X106" s="5">
        <f>W106-AA106</f>
        <v>0</v>
      </c>
      <c r="Y106" s="5"/>
      <c r="Z106" s="26"/>
      <c r="AA106" s="5"/>
      <c r="AB106" s="5"/>
      <c r="AC106" s="26"/>
      <c r="AD106" s="1"/>
      <c r="AE106" s="1" t="e">
        <f>(F106+O106+P106+Q106+R106+X106+Z106+AA106+T106+AC106)/U106</f>
        <v>#DIV/0!</v>
      </c>
      <c r="AF106" s="10" t="e">
        <f>(F106+O106+P106+Q106+R106)/U106</f>
        <v>#DIV/0!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 t="s">
        <v>86</v>
      </c>
      <c r="AR106" s="1">
        <f>ROUND(G106*X106,0)</f>
        <v>0</v>
      </c>
      <c r="AS106" s="1">
        <f>ROUND(G106*AA106,0)</f>
        <v>0</v>
      </c>
      <c r="AT106" t="s">
        <v>263</v>
      </c>
    </row>
    <row r="107" spans="1:46" x14ac:dyDescent="0.25">
      <c r="A107" s="1" t="s">
        <v>264</v>
      </c>
      <c r="B107" s="1" t="s">
        <v>54</v>
      </c>
      <c r="C107" s="1">
        <v>278</v>
      </c>
      <c r="D107" s="1">
        <v>568</v>
      </c>
      <c r="E107" s="1">
        <v>211</v>
      </c>
      <c r="F107" s="1">
        <v>581</v>
      </c>
      <c r="G107" s="7">
        <v>0.08</v>
      </c>
      <c r="H107" s="1">
        <v>45</v>
      </c>
      <c r="I107" s="1" t="s">
        <v>47</v>
      </c>
      <c r="J107" s="1"/>
      <c r="K107" s="1">
        <v>266</v>
      </c>
      <c r="L107" s="1">
        <f t="shared" si="22"/>
        <v>-55</v>
      </c>
      <c r="M107" s="1">
        <f t="shared" si="23"/>
        <v>211</v>
      </c>
      <c r="N107" s="1"/>
      <c r="O107" s="1">
        <v>0</v>
      </c>
      <c r="P107" s="1"/>
      <c r="Q107" s="1"/>
      <c r="R107" s="1">
        <v>50</v>
      </c>
      <c r="S107" s="1"/>
      <c r="T107" s="20"/>
      <c r="U107" s="1">
        <f t="shared" si="24"/>
        <v>42.2</v>
      </c>
      <c r="V107" s="5">
        <v>200</v>
      </c>
      <c r="W107" s="5">
        <f t="shared" si="21"/>
        <v>200</v>
      </c>
      <c r="X107" s="5">
        <f>W107-AA107</f>
        <v>200</v>
      </c>
      <c r="Y107" s="5"/>
      <c r="Z107" s="26"/>
      <c r="AA107" s="5"/>
      <c r="AB107" s="5"/>
      <c r="AC107" s="26"/>
      <c r="AD107" s="1"/>
      <c r="AE107" s="1">
        <f>(F107+O107+P107+Q107+R107+X107+Z107+AA107+T107+AC107)/U107</f>
        <v>19.691943127962084</v>
      </c>
      <c r="AF107" s="1">
        <f>(F107+O107+P107+Q107+R107)/U107</f>
        <v>14.952606635071088</v>
      </c>
      <c r="AG107" s="1">
        <v>49.2</v>
      </c>
      <c r="AH107" s="1">
        <v>54.2</v>
      </c>
      <c r="AI107" s="1">
        <v>46.4</v>
      </c>
      <c r="AJ107" s="1">
        <v>59</v>
      </c>
      <c r="AK107" s="1">
        <v>58.6</v>
      </c>
      <c r="AL107" s="1">
        <v>35.6</v>
      </c>
      <c r="AM107" s="1">
        <v>40.4</v>
      </c>
      <c r="AN107" s="1">
        <v>39</v>
      </c>
      <c r="AO107" s="1">
        <v>49</v>
      </c>
      <c r="AP107" s="1">
        <v>45.4</v>
      </c>
      <c r="AQ107" s="1" t="s">
        <v>248</v>
      </c>
      <c r="AR107" s="1">
        <f>ROUND(G107*X107,0)</f>
        <v>16</v>
      </c>
      <c r="AS107" s="1">
        <f>ROUND(G107*AA107,0)</f>
        <v>0</v>
      </c>
      <c r="AT107" t="s">
        <v>265</v>
      </c>
    </row>
    <row r="108" spans="1:46" x14ac:dyDescent="0.25">
      <c r="A108" s="1" t="s">
        <v>266</v>
      </c>
      <c r="B108" s="1" t="s">
        <v>54</v>
      </c>
      <c r="C108" s="1">
        <v>36</v>
      </c>
      <c r="D108" s="1">
        <v>564</v>
      </c>
      <c r="E108" s="1">
        <v>113</v>
      </c>
      <c r="F108" s="1">
        <v>461</v>
      </c>
      <c r="G108" s="7">
        <v>0.08</v>
      </c>
      <c r="H108" s="1">
        <v>45</v>
      </c>
      <c r="I108" s="1" t="s">
        <v>47</v>
      </c>
      <c r="J108" s="1"/>
      <c r="K108" s="1">
        <v>156</v>
      </c>
      <c r="L108" s="1">
        <f t="shared" si="22"/>
        <v>-43</v>
      </c>
      <c r="M108" s="1">
        <f t="shared" si="23"/>
        <v>113</v>
      </c>
      <c r="N108" s="1"/>
      <c r="O108" s="1">
        <v>0</v>
      </c>
      <c r="P108" s="1"/>
      <c r="Q108" s="1"/>
      <c r="R108" s="1">
        <v>0</v>
      </c>
      <c r="S108" s="1"/>
      <c r="T108" s="20"/>
      <c r="U108" s="1">
        <f t="shared" si="24"/>
        <v>22.6</v>
      </c>
      <c r="V108" s="5">
        <v>40</v>
      </c>
      <c r="W108" s="5">
        <f t="shared" si="21"/>
        <v>40</v>
      </c>
      <c r="X108" s="5">
        <f>W108-AA108</f>
        <v>40</v>
      </c>
      <c r="Y108" s="5"/>
      <c r="Z108" s="26"/>
      <c r="AA108" s="5"/>
      <c r="AB108" s="5"/>
      <c r="AC108" s="26"/>
      <c r="AD108" s="1"/>
      <c r="AE108" s="1">
        <f>(F108+O108+P108+Q108+R108+X108+Z108+AA108+T108+AC108)/U108</f>
        <v>22.168141592920353</v>
      </c>
      <c r="AF108" s="1">
        <f>(F108+O108+P108+Q108+R108)/U108</f>
        <v>20.398230088495573</v>
      </c>
      <c r="AG108" s="1">
        <v>9.6</v>
      </c>
      <c r="AH108" s="1">
        <v>4.4000000000000004</v>
      </c>
      <c r="AI108" s="1">
        <v>25.8</v>
      </c>
      <c r="AJ108" s="1">
        <v>24.4</v>
      </c>
      <c r="AK108" s="1">
        <v>2.2000000000000002</v>
      </c>
      <c r="AL108" s="1">
        <v>12.4</v>
      </c>
      <c r="AM108" s="1">
        <v>32</v>
      </c>
      <c r="AN108" s="1">
        <v>30.4</v>
      </c>
      <c r="AO108" s="1">
        <v>36.200000000000003</v>
      </c>
      <c r="AP108" s="1">
        <v>26.6</v>
      </c>
      <c r="AQ108" s="1" t="s">
        <v>248</v>
      </c>
      <c r="AR108" s="1">
        <f>ROUND(G108*X108,0)</f>
        <v>3</v>
      </c>
      <c r="AS108" s="1">
        <f>ROUND(G108*AA108,0)</f>
        <v>0</v>
      </c>
      <c r="AT108" t="s">
        <v>267</v>
      </c>
    </row>
    <row r="109" spans="1:46" x14ac:dyDescent="0.25">
      <c r="A109" s="1" t="s">
        <v>268</v>
      </c>
      <c r="B109" s="1" t="s">
        <v>54</v>
      </c>
      <c r="C109" s="1">
        <v>25</v>
      </c>
      <c r="D109" s="1">
        <v>240</v>
      </c>
      <c r="E109" s="1">
        <v>103</v>
      </c>
      <c r="F109" s="1">
        <v>140</v>
      </c>
      <c r="G109" s="7">
        <v>0.17</v>
      </c>
      <c r="H109" s="1">
        <v>30</v>
      </c>
      <c r="I109" s="1" t="s">
        <v>47</v>
      </c>
      <c r="J109" s="1"/>
      <c r="K109" s="1">
        <v>125</v>
      </c>
      <c r="L109" s="1">
        <f t="shared" si="22"/>
        <v>-22</v>
      </c>
      <c r="M109" s="1">
        <f t="shared" si="23"/>
        <v>103</v>
      </c>
      <c r="N109" s="1"/>
      <c r="O109" s="1">
        <v>0</v>
      </c>
      <c r="P109" s="1"/>
      <c r="Q109" s="1"/>
      <c r="R109" s="1">
        <v>30</v>
      </c>
      <c r="S109" s="1"/>
      <c r="T109" s="20"/>
      <c r="U109" s="1">
        <f t="shared" si="24"/>
        <v>20.6</v>
      </c>
      <c r="V109" s="5">
        <f>12*U109-R109-Q109-P109-O109-F109</f>
        <v>77.200000000000017</v>
      </c>
      <c r="W109" s="5">
        <f t="shared" si="21"/>
        <v>77.200000000000017</v>
      </c>
      <c r="X109" s="5">
        <f>W109-AA109</f>
        <v>77.200000000000017</v>
      </c>
      <c r="Y109" s="5"/>
      <c r="Z109" s="26"/>
      <c r="AA109" s="5"/>
      <c r="AB109" s="5"/>
      <c r="AC109" s="26"/>
      <c r="AD109" s="1"/>
      <c r="AE109" s="1">
        <f>(F109+O109+P109+Q109+R109+X109+Z109+AA109+T109+AC109)/U109</f>
        <v>12</v>
      </c>
      <c r="AF109" s="1">
        <f>(F109+O109+P109+Q109+R109)/U109</f>
        <v>8.2524271844660184</v>
      </c>
      <c r="AG109" s="1">
        <v>16</v>
      </c>
      <c r="AH109" s="1">
        <v>14.6</v>
      </c>
      <c r="AI109" s="1">
        <v>10.8</v>
      </c>
      <c r="AJ109" s="1">
        <v>15.6</v>
      </c>
      <c r="AK109" s="1">
        <v>14</v>
      </c>
      <c r="AL109" s="1">
        <v>2.4</v>
      </c>
      <c r="AM109" s="1">
        <v>3.2</v>
      </c>
      <c r="AN109" s="1">
        <v>8</v>
      </c>
      <c r="AO109" s="1">
        <v>9.1999999999999993</v>
      </c>
      <c r="AP109" s="1">
        <v>7.8</v>
      </c>
      <c r="AQ109" s="1" t="s">
        <v>248</v>
      </c>
      <c r="AR109" s="1">
        <f>ROUND(G109*X109,0)</f>
        <v>13</v>
      </c>
      <c r="AS109" s="1">
        <f>ROUND(G109*AA109,0)</f>
        <v>0</v>
      </c>
      <c r="AT109" t="s">
        <v>269</v>
      </c>
    </row>
    <row r="110" spans="1:46" x14ac:dyDescent="0.25">
      <c r="A110" s="1" t="s">
        <v>270</v>
      </c>
      <c r="B110" s="1" t="s">
        <v>46</v>
      </c>
      <c r="C110" s="1">
        <v>309.80799999999999</v>
      </c>
      <c r="D110" s="1">
        <v>105.77200000000001</v>
      </c>
      <c r="E110" s="1">
        <v>223.20400000000001</v>
      </c>
      <c r="F110" s="1">
        <v>165.92</v>
      </c>
      <c r="G110" s="7">
        <v>1</v>
      </c>
      <c r="H110" s="1">
        <v>40</v>
      </c>
      <c r="I110" s="1" t="s">
        <v>47</v>
      </c>
      <c r="J110" s="1"/>
      <c r="K110" s="1">
        <v>258.31</v>
      </c>
      <c r="L110" s="1">
        <f t="shared" si="22"/>
        <v>-35.105999999999995</v>
      </c>
      <c r="M110" s="1">
        <f t="shared" si="23"/>
        <v>223.20400000000001</v>
      </c>
      <c r="N110" s="1"/>
      <c r="O110" s="1">
        <v>48.04689999999988</v>
      </c>
      <c r="P110" s="1">
        <v>0</v>
      </c>
      <c r="Q110" s="1"/>
      <c r="R110" s="1">
        <v>109.6897000000001</v>
      </c>
      <c r="S110" s="1">
        <v>-112</v>
      </c>
      <c r="T110" s="20"/>
      <c r="U110" s="1">
        <f t="shared" si="24"/>
        <v>44.640799999999999</v>
      </c>
      <c r="V110" s="5">
        <f>12*U110-R110-Q110-P110-O110-F110</f>
        <v>212.03299999999993</v>
      </c>
      <c r="W110" s="5">
        <f t="shared" si="21"/>
        <v>212.03299999999993</v>
      </c>
      <c r="X110" s="5">
        <f>W110-AA110</f>
        <v>101.77583999999996</v>
      </c>
      <c r="Y110" s="5">
        <v>-105</v>
      </c>
      <c r="Z110" s="26"/>
      <c r="AA110" s="5">
        <f>W110*$AA$1</f>
        <v>110.25715999999997</v>
      </c>
      <c r="AB110" s="5"/>
      <c r="AC110" s="26"/>
      <c r="AD110" s="1"/>
      <c r="AE110" s="1">
        <f>(F110+O110+P110+Q110+R110+X110+Z110+AA110+T110+AC110)/U110</f>
        <v>11.999999999999998</v>
      </c>
      <c r="AF110" s="1">
        <f>(F110+O110+P110+Q110+R110)/U110</f>
        <v>7.2502419311481869</v>
      </c>
      <c r="AG110" s="1">
        <v>37.654600000000002</v>
      </c>
      <c r="AH110" s="1">
        <v>36.516399999999997</v>
      </c>
      <c r="AI110" s="1">
        <v>39.003799999999998</v>
      </c>
      <c r="AJ110" s="1">
        <v>47.948999999999998</v>
      </c>
      <c r="AK110" s="1">
        <v>50.321599999999997</v>
      </c>
      <c r="AL110" s="1">
        <v>34.956800000000001</v>
      </c>
      <c r="AM110" s="1">
        <v>41.598399999999998</v>
      </c>
      <c r="AN110" s="1">
        <v>45.939</v>
      </c>
      <c r="AO110" s="1">
        <v>53.251199999999997</v>
      </c>
      <c r="AP110" s="1">
        <v>53.023000000000003</v>
      </c>
      <c r="AQ110" s="1"/>
      <c r="AR110" s="1">
        <f>ROUND(G110*X110,0)</f>
        <v>102</v>
      </c>
      <c r="AS110" s="1">
        <f>ROUND(G110*AA110,0)</f>
        <v>110</v>
      </c>
      <c r="AT110" t="s">
        <v>271</v>
      </c>
    </row>
    <row r="111" spans="1:46" x14ac:dyDescent="0.25">
      <c r="A111" s="1" t="s">
        <v>272</v>
      </c>
      <c r="B111" s="1" t="s">
        <v>46</v>
      </c>
      <c r="C111" s="1">
        <v>72.593999999999994</v>
      </c>
      <c r="D111" s="1">
        <v>160.309</v>
      </c>
      <c r="E111" s="1">
        <v>73.569999999999993</v>
      </c>
      <c r="F111" s="1">
        <v>149.86500000000001</v>
      </c>
      <c r="G111" s="7">
        <v>1</v>
      </c>
      <c r="H111" s="1">
        <v>40</v>
      </c>
      <c r="I111" s="1" t="s">
        <v>47</v>
      </c>
      <c r="J111" s="1"/>
      <c r="K111" s="1">
        <v>86.222999999999999</v>
      </c>
      <c r="L111" s="1">
        <f t="shared" si="22"/>
        <v>-12.653000000000006</v>
      </c>
      <c r="M111" s="1">
        <f t="shared" si="23"/>
        <v>73.569999999999993</v>
      </c>
      <c r="N111" s="1"/>
      <c r="O111" s="1">
        <v>0</v>
      </c>
      <c r="P111" s="1"/>
      <c r="Q111" s="1"/>
      <c r="R111" s="1">
        <v>0</v>
      </c>
      <c r="S111" s="1"/>
      <c r="T111" s="20"/>
      <c r="U111" s="1">
        <f t="shared" si="24"/>
        <v>14.713999999999999</v>
      </c>
      <c r="V111" s="5">
        <f>12*U111-R111-Q111-P111-O111-F111</f>
        <v>26.702999999999975</v>
      </c>
      <c r="W111" s="5">
        <f t="shared" si="21"/>
        <v>26.702999999999975</v>
      </c>
      <c r="X111" s="5">
        <f>W111-AA111</f>
        <v>26.702999999999975</v>
      </c>
      <c r="Y111" s="5">
        <v>-28</v>
      </c>
      <c r="Z111" s="26"/>
      <c r="AA111" s="5"/>
      <c r="AB111" s="5"/>
      <c r="AC111" s="26"/>
      <c r="AD111" s="1"/>
      <c r="AE111" s="1">
        <f>(F111+O111+P111+Q111+R111+X111+Z111+AA111+T111+AC111)/U111</f>
        <v>12</v>
      </c>
      <c r="AF111" s="1">
        <f>(F111+O111+P111+Q111+R111)/U111</f>
        <v>10.185197770830504</v>
      </c>
      <c r="AG111" s="1">
        <v>10.642200000000001</v>
      </c>
      <c r="AH111" s="1">
        <v>4.7026000000000003</v>
      </c>
      <c r="AI111" s="1">
        <v>14.215400000000001</v>
      </c>
      <c r="AJ111" s="1">
        <v>21.378</v>
      </c>
      <c r="AK111" s="1">
        <v>13.5524</v>
      </c>
      <c r="AL111" s="1">
        <v>5.1452</v>
      </c>
      <c r="AM111" s="1">
        <v>6.1728000000000014</v>
      </c>
      <c r="AN111" s="1">
        <v>6.9261999999999997</v>
      </c>
      <c r="AO111" s="1">
        <v>11.025399999999999</v>
      </c>
      <c r="AP111" s="1">
        <v>19.4436</v>
      </c>
      <c r="AQ111" s="1"/>
      <c r="AR111" s="1">
        <f>ROUND(G111*X111,0)</f>
        <v>27</v>
      </c>
      <c r="AS111" s="1">
        <f>ROUND(G111*AA111,0)</f>
        <v>0</v>
      </c>
      <c r="AT111" t="s">
        <v>273</v>
      </c>
    </row>
    <row r="112" spans="1:46" x14ac:dyDescent="0.25">
      <c r="A112" s="1" t="s">
        <v>274</v>
      </c>
      <c r="B112" s="1" t="s">
        <v>46</v>
      </c>
      <c r="C112" s="1">
        <v>206.02500000000001</v>
      </c>
      <c r="D112" s="1">
        <v>188.42099999999999</v>
      </c>
      <c r="E112" s="1">
        <v>208.36099999999999</v>
      </c>
      <c r="F112" s="1">
        <v>155.05500000000001</v>
      </c>
      <c r="G112" s="7">
        <v>1</v>
      </c>
      <c r="H112" s="1">
        <v>40</v>
      </c>
      <c r="I112" s="1" t="s">
        <v>47</v>
      </c>
      <c r="J112" s="1"/>
      <c r="K112" s="1">
        <v>238.851</v>
      </c>
      <c r="L112" s="1">
        <f t="shared" si="22"/>
        <v>-30.490000000000009</v>
      </c>
      <c r="M112" s="1">
        <f t="shared" si="23"/>
        <v>208.36099999999999</v>
      </c>
      <c r="N112" s="1"/>
      <c r="O112" s="1">
        <v>7.8940000000000046</v>
      </c>
      <c r="P112" s="1">
        <v>0</v>
      </c>
      <c r="Q112" s="1"/>
      <c r="R112" s="1">
        <v>117.4778</v>
      </c>
      <c r="S112" s="1"/>
      <c r="T112" s="20"/>
      <c r="U112" s="1">
        <f t="shared" si="24"/>
        <v>41.672199999999997</v>
      </c>
      <c r="V112" s="5">
        <f>12*U112-R112-Q112-P112-O112-F112</f>
        <v>219.63959999999992</v>
      </c>
      <c r="W112" s="5">
        <f t="shared" si="21"/>
        <v>219.63959999999992</v>
      </c>
      <c r="X112" s="5">
        <f>W112-AA112</f>
        <v>105.42700799999996</v>
      </c>
      <c r="Y112" s="5">
        <v>-105</v>
      </c>
      <c r="Z112" s="26"/>
      <c r="AA112" s="5">
        <f>W112*$AA$1</f>
        <v>114.21259199999996</v>
      </c>
      <c r="AB112" s="5">
        <v>-115.5</v>
      </c>
      <c r="AC112" s="26"/>
      <c r="AD112" s="1"/>
      <c r="AE112" s="1">
        <f>(F112+O112+P112+Q112+R112+X112+Z112+AA112+T112+AC112)/U112</f>
        <v>12</v>
      </c>
      <c r="AF112" s="1">
        <f>(F112+O112+P112+Q112+R112)/U112</f>
        <v>6.7293495423807723</v>
      </c>
      <c r="AG112" s="1">
        <v>33.958799999999997</v>
      </c>
      <c r="AH112" s="1">
        <v>31.296800000000001</v>
      </c>
      <c r="AI112" s="1">
        <v>35.985399999999998</v>
      </c>
      <c r="AJ112" s="1">
        <v>43.4876</v>
      </c>
      <c r="AK112" s="1">
        <v>38.700800000000001</v>
      </c>
      <c r="AL112" s="1">
        <v>22.611000000000001</v>
      </c>
      <c r="AM112" s="1">
        <v>27.788799999999998</v>
      </c>
      <c r="AN112" s="1">
        <v>32.3598</v>
      </c>
      <c r="AO112" s="1">
        <v>36.879600000000003</v>
      </c>
      <c r="AP112" s="1">
        <v>41.132800000000003</v>
      </c>
      <c r="AQ112" s="1"/>
      <c r="AR112" s="1">
        <f>ROUND(G112*X112,0)</f>
        <v>105</v>
      </c>
      <c r="AS112" s="1">
        <f>ROUND(G112*AA112,0)</f>
        <v>114</v>
      </c>
      <c r="AT112" t="s">
        <v>275</v>
      </c>
    </row>
    <row r="113" spans="1:46" x14ac:dyDescent="0.25">
      <c r="A113" s="1" t="s">
        <v>276</v>
      </c>
      <c r="B113" s="1" t="s">
        <v>54</v>
      </c>
      <c r="C113" s="1">
        <v>15</v>
      </c>
      <c r="D113" s="1">
        <v>54</v>
      </c>
      <c r="E113" s="1">
        <v>16</v>
      </c>
      <c r="F113" s="1">
        <v>53</v>
      </c>
      <c r="G113" s="7">
        <v>0.3</v>
      </c>
      <c r="H113" s="1">
        <v>45</v>
      </c>
      <c r="I113" s="1" t="s">
        <v>47</v>
      </c>
      <c r="J113" s="1"/>
      <c r="K113" s="1">
        <v>116</v>
      </c>
      <c r="L113" s="1">
        <f t="shared" si="22"/>
        <v>-100</v>
      </c>
      <c r="M113" s="1">
        <f t="shared" si="23"/>
        <v>16</v>
      </c>
      <c r="N113" s="1"/>
      <c r="O113" s="1">
        <v>0</v>
      </c>
      <c r="P113" s="1"/>
      <c r="Q113" s="1"/>
      <c r="R113" s="1">
        <v>0</v>
      </c>
      <c r="S113" s="1"/>
      <c r="T113" s="20"/>
      <c r="U113" s="1">
        <f t="shared" si="24"/>
        <v>3.2</v>
      </c>
      <c r="V113" s="5"/>
      <c r="W113" s="5">
        <f t="shared" si="21"/>
        <v>0</v>
      </c>
      <c r="X113" s="5">
        <f>W113-AA113</f>
        <v>0</v>
      </c>
      <c r="Y113" s="5"/>
      <c r="Z113" s="26"/>
      <c r="AA113" s="5"/>
      <c r="AB113" s="5"/>
      <c r="AC113" s="26"/>
      <c r="AD113" s="1"/>
      <c r="AE113" s="1">
        <f>(F113+O113+P113+Q113+R113+X113+Z113+AA113+T113+AC113)/U113</f>
        <v>16.5625</v>
      </c>
      <c r="AF113" s="1">
        <f>(F113+O113+P113+Q113+R113)/U113</f>
        <v>16.5625</v>
      </c>
      <c r="AG113" s="1">
        <v>4</v>
      </c>
      <c r="AH113" s="1">
        <v>3.8</v>
      </c>
      <c r="AI113" s="1">
        <v>7.4</v>
      </c>
      <c r="AJ113" s="1">
        <v>15.4</v>
      </c>
      <c r="AK113" s="1">
        <v>15.2</v>
      </c>
      <c r="AL113" s="1">
        <v>5.8</v>
      </c>
      <c r="AM113" s="1">
        <v>0.6</v>
      </c>
      <c r="AN113" s="1">
        <v>0.6</v>
      </c>
      <c r="AO113" s="1">
        <v>3.8</v>
      </c>
      <c r="AP113" s="1">
        <v>12.4</v>
      </c>
      <c r="AQ113" s="1"/>
      <c r="AR113" s="1">
        <f>ROUND(G113*X113,0)</f>
        <v>0</v>
      </c>
      <c r="AS113" s="1">
        <f>ROUND(G113*AA113,0)</f>
        <v>0</v>
      </c>
      <c r="AT113" t="s">
        <v>277</v>
      </c>
    </row>
    <row r="114" spans="1:46" x14ac:dyDescent="0.25">
      <c r="A114" s="1" t="s">
        <v>278</v>
      </c>
      <c r="B114" s="1" t="s">
        <v>46</v>
      </c>
      <c r="C114" s="1">
        <v>-2.1840000000000002</v>
      </c>
      <c r="D114" s="1">
        <v>24.434999999999999</v>
      </c>
      <c r="E114" s="1"/>
      <c r="F114" s="1">
        <v>22.251000000000001</v>
      </c>
      <c r="G114" s="7">
        <v>1</v>
      </c>
      <c r="H114" s="1">
        <v>55</v>
      </c>
      <c r="I114" s="1" t="s">
        <v>47</v>
      </c>
      <c r="J114" s="1"/>
      <c r="K114" s="1"/>
      <c r="L114" s="1">
        <f t="shared" si="22"/>
        <v>0</v>
      </c>
      <c r="M114" s="1">
        <f t="shared" si="23"/>
        <v>0</v>
      </c>
      <c r="N114" s="1"/>
      <c r="O114" s="1">
        <v>0</v>
      </c>
      <c r="P114" s="1"/>
      <c r="Q114" s="1"/>
      <c r="R114" s="1">
        <v>0</v>
      </c>
      <c r="S114" s="1"/>
      <c r="T114" s="20"/>
      <c r="U114" s="1">
        <f t="shared" si="24"/>
        <v>0</v>
      </c>
      <c r="V114" s="5"/>
      <c r="W114" s="5">
        <f t="shared" si="21"/>
        <v>0</v>
      </c>
      <c r="X114" s="5">
        <f>W114-AA114</f>
        <v>0</v>
      </c>
      <c r="Y114" s="5"/>
      <c r="Z114" s="26"/>
      <c r="AA114" s="5"/>
      <c r="AB114" s="5"/>
      <c r="AC114" s="26"/>
      <c r="AD114" s="1"/>
      <c r="AE114" s="1" t="e">
        <f>(F114+O114+P114+Q114+R114+X114+Z114+AA114+T114+AC114)/U114</f>
        <v>#DIV/0!</v>
      </c>
      <c r="AF114" s="1" t="e">
        <f>(F114+O114+P114+Q114+R114)/U114</f>
        <v>#DIV/0!</v>
      </c>
      <c r="AG114" s="1">
        <v>0</v>
      </c>
      <c r="AH114" s="1">
        <v>0</v>
      </c>
      <c r="AI114" s="1">
        <v>0.82919999999999994</v>
      </c>
      <c r="AJ114" s="1">
        <v>1.1052</v>
      </c>
      <c r="AK114" s="1">
        <v>0.27600000000000002</v>
      </c>
      <c r="AL114" s="1">
        <v>0</v>
      </c>
      <c r="AM114" s="1">
        <v>0.40500000000000003</v>
      </c>
      <c r="AN114" s="1">
        <v>0.40500000000000003</v>
      </c>
      <c r="AO114" s="1">
        <v>1.224</v>
      </c>
      <c r="AP114" s="1">
        <v>0.5544</v>
      </c>
      <c r="AQ114" s="1"/>
      <c r="AR114" s="1">
        <f>ROUND(G114*X114,0)</f>
        <v>0</v>
      </c>
      <c r="AS114" s="1">
        <f>ROUND(G114*AA114,0)</f>
        <v>0</v>
      </c>
      <c r="AT114" t="s">
        <v>279</v>
      </c>
    </row>
    <row r="115" spans="1:46" x14ac:dyDescent="0.25">
      <c r="A115" s="1" t="s">
        <v>280</v>
      </c>
      <c r="B115" s="1" t="s">
        <v>54</v>
      </c>
      <c r="C115" s="1">
        <v>345</v>
      </c>
      <c r="D115" s="1">
        <v>372</v>
      </c>
      <c r="E115" s="1">
        <v>351</v>
      </c>
      <c r="F115" s="1">
        <v>307</v>
      </c>
      <c r="G115" s="7">
        <v>0.28000000000000003</v>
      </c>
      <c r="H115" s="1">
        <v>40</v>
      </c>
      <c r="I115" s="1" t="s">
        <v>47</v>
      </c>
      <c r="J115" s="1"/>
      <c r="K115" s="1">
        <v>415</v>
      </c>
      <c r="L115" s="1">
        <f t="shared" si="22"/>
        <v>-64</v>
      </c>
      <c r="M115" s="1">
        <f t="shared" si="23"/>
        <v>351</v>
      </c>
      <c r="N115" s="1"/>
      <c r="O115" s="1">
        <v>359.22080799999998</v>
      </c>
      <c r="P115" s="1">
        <v>0</v>
      </c>
      <c r="Q115" s="1"/>
      <c r="R115" s="1">
        <v>0</v>
      </c>
      <c r="S115" s="1"/>
      <c r="T115" s="20"/>
      <c r="U115" s="1">
        <f t="shared" si="24"/>
        <v>70.2</v>
      </c>
      <c r="V115" s="5">
        <f>12*U115-R115-Q115-P115-O115-F115</f>
        <v>176.17919200000011</v>
      </c>
      <c r="W115" s="5">
        <f t="shared" si="21"/>
        <v>176.17919200000011</v>
      </c>
      <c r="X115" s="5">
        <f>W115-AA115</f>
        <v>176.17919200000011</v>
      </c>
      <c r="Y115" s="5">
        <v>-178.57142857142856</v>
      </c>
      <c r="Z115" s="26"/>
      <c r="AA115" s="5"/>
      <c r="AB115" s="5"/>
      <c r="AC115" s="26"/>
      <c r="AD115" s="1"/>
      <c r="AE115" s="1">
        <f>(F115+O115+P115+Q115+R115+X115+Z115+AA115+T115+AC115)/U115</f>
        <v>12</v>
      </c>
      <c r="AF115" s="1">
        <f>(F115+O115+P115+Q115+R115)/U115</f>
        <v>9.4903249002849002</v>
      </c>
      <c r="AG115" s="1">
        <v>72</v>
      </c>
      <c r="AH115" s="1">
        <v>68.400000000000006</v>
      </c>
      <c r="AI115" s="1">
        <v>58.2</v>
      </c>
      <c r="AJ115" s="1">
        <v>83.8</v>
      </c>
      <c r="AK115" s="1">
        <v>89</v>
      </c>
      <c r="AL115" s="1">
        <v>60.4</v>
      </c>
      <c r="AM115" s="1">
        <v>51.8</v>
      </c>
      <c r="AN115" s="1">
        <v>57</v>
      </c>
      <c r="AO115" s="1">
        <v>70</v>
      </c>
      <c r="AP115" s="1">
        <v>76.8</v>
      </c>
      <c r="AQ115" s="1"/>
      <c r="AR115" s="1">
        <f>ROUND(G115*X115,0)</f>
        <v>49</v>
      </c>
      <c r="AS115" s="1">
        <f>ROUND(G115*AA115,0)</f>
        <v>0</v>
      </c>
      <c r="AT115" t="s">
        <v>281</v>
      </c>
    </row>
    <row r="116" spans="1:46" x14ac:dyDescent="0.25">
      <c r="A116" s="1" t="s">
        <v>282</v>
      </c>
      <c r="B116" s="1" t="s">
        <v>54</v>
      </c>
      <c r="C116" s="1">
        <v>294.726</v>
      </c>
      <c r="D116" s="1">
        <v>101</v>
      </c>
      <c r="E116" s="1">
        <v>341</v>
      </c>
      <c r="F116" s="1">
        <v>-3.274</v>
      </c>
      <c r="G116" s="7">
        <v>0.28000000000000003</v>
      </c>
      <c r="H116" s="1">
        <v>40</v>
      </c>
      <c r="I116" s="1" t="s">
        <v>47</v>
      </c>
      <c r="J116" s="1"/>
      <c r="K116" s="1">
        <v>446</v>
      </c>
      <c r="L116" s="1">
        <f t="shared" si="22"/>
        <v>-105</v>
      </c>
      <c r="M116" s="1">
        <f t="shared" si="23"/>
        <v>341</v>
      </c>
      <c r="N116" s="1"/>
      <c r="O116" s="1">
        <v>0</v>
      </c>
      <c r="P116" s="1"/>
      <c r="Q116" s="1"/>
      <c r="R116" s="1">
        <v>465.87400000000002</v>
      </c>
      <c r="S116" s="1">
        <v>-467.85714285714283</v>
      </c>
      <c r="T116" s="20"/>
      <c r="U116" s="1">
        <f t="shared" si="24"/>
        <v>68.2</v>
      </c>
      <c r="V116" s="5">
        <f>12*U116-R116-Q116-P116-O116-F116</f>
        <v>355.80000000000007</v>
      </c>
      <c r="W116" s="5">
        <f t="shared" si="21"/>
        <v>355.80000000000007</v>
      </c>
      <c r="X116" s="5">
        <f>W116-AA116</f>
        <v>170.78400000000002</v>
      </c>
      <c r="Y116" s="5">
        <v>-174.99999999999997</v>
      </c>
      <c r="Z116" s="26"/>
      <c r="AA116" s="5">
        <f>W116*$AA$1</f>
        <v>185.01600000000005</v>
      </c>
      <c r="AB116" s="5">
        <v>-185.99999999999997</v>
      </c>
      <c r="AC116" s="26"/>
      <c r="AD116" s="1"/>
      <c r="AE116" s="1">
        <f>(F116+O116+P116+Q116+R116+X116+Z116+AA116+T116+AC116)/U116</f>
        <v>12</v>
      </c>
      <c r="AF116" s="1">
        <f>(F116+O116+P116+Q116+R116)/U116</f>
        <v>6.7829912023460412</v>
      </c>
      <c r="AG116" s="1">
        <v>81.8</v>
      </c>
      <c r="AH116" s="1">
        <v>56.2</v>
      </c>
      <c r="AI116" s="1">
        <v>63.6</v>
      </c>
      <c r="AJ116" s="1">
        <v>109</v>
      </c>
      <c r="AK116" s="1">
        <v>91.4</v>
      </c>
      <c r="AL116" s="1">
        <v>49.0548</v>
      </c>
      <c r="AM116" s="1">
        <v>24.854800000000001</v>
      </c>
      <c r="AN116" s="1">
        <v>32.654800000000002</v>
      </c>
      <c r="AO116" s="1">
        <v>50.4</v>
      </c>
      <c r="AP116" s="1">
        <v>91.8</v>
      </c>
      <c r="AQ116" s="1"/>
      <c r="AR116" s="1">
        <f>ROUND(G116*X116,0)</f>
        <v>48</v>
      </c>
      <c r="AS116" s="1">
        <f>ROUND(G116*AA116,0)</f>
        <v>52</v>
      </c>
      <c r="AT116" t="s">
        <v>283</v>
      </c>
    </row>
    <row r="117" spans="1:46" x14ac:dyDescent="0.25">
      <c r="A117" s="1" t="s">
        <v>284</v>
      </c>
      <c r="B117" s="1" t="s">
        <v>54</v>
      </c>
      <c r="C117" s="1">
        <v>541.5</v>
      </c>
      <c r="D117" s="1">
        <v>622</v>
      </c>
      <c r="E117" s="1">
        <v>536</v>
      </c>
      <c r="F117" s="1">
        <v>543.5</v>
      </c>
      <c r="G117" s="7">
        <v>0.28000000000000003</v>
      </c>
      <c r="H117" s="1">
        <v>40</v>
      </c>
      <c r="I117" s="15" t="s">
        <v>102</v>
      </c>
      <c r="J117" s="1"/>
      <c r="K117" s="1">
        <v>620</v>
      </c>
      <c r="L117" s="1">
        <f t="shared" si="22"/>
        <v>-84</v>
      </c>
      <c r="M117" s="1">
        <f t="shared" si="23"/>
        <v>536</v>
      </c>
      <c r="N117" s="1"/>
      <c r="O117" s="1">
        <v>379.37465200000008</v>
      </c>
      <c r="P117" s="1">
        <v>-383.99999999999989</v>
      </c>
      <c r="Q117" s="1"/>
      <c r="R117" s="1">
        <v>275.88799999999998</v>
      </c>
      <c r="S117" s="1"/>
      <c r="T117" s="20"/>
      <c r="U117" s="1">
        <f t="shared" si="24"/>
        <v>107.2</v>
      </c>
      <c r="V117" s="5">
        <v>250</v>
      </c>
      <c r="W117" s="5">
        <f t="shared" si="21"/>
        <v>250</v>
      </c>
      <c r="X117" s="5">
        <v>150</v>
      </c>
      <c r="Y117" s="5">
        <v>-149.99999999999997</v>
      </c>
      <c r="Z117" s="26"/>
      <c r="AA117" s="5">
        <f>W117*$AA$1</f>
        <v>130</v>
      </c>
      <c r="AB117" s="5">
        <v>-132</v>
      </c>
      <c r="AC117" s="26"/>
      <c r="AD117" s="1"/>
      <c r="AE117" s="1">
        <f>(F117+O117+P117+Q117+R117+X117+Z117+AA117+T117+AC117)/U117</f>
        <v>10.212338171641791</v>
      </c>
      <c r="AF117" s="1">
        <f>(F117+O117+P117+Q117+R117)/U117</f>
        <v>7.6003978731343294</v>
      </c>
      <c r="AG117" s="1">
        <v>111.6</v>
      </c>
      <c r="AH117" s="1">
        <v>111.6</v>
      </c>
      <c r="AI117" s="1">
        <v>95.6</v>
      </c>
      <c r="AJ117" s="1">
        <v>123.2</v>
      </c>
      <c r="AK117" s="1">
        <v>137</v>
      </c>
      <c r="AL117" s="1">
        <v>87.1</v>
      </c>
      <c r="AM117" s="1">
        <v>78.7</v>
      </c>
      <c r="AN117" s="1">
        <v>78.5</v>
      </c>
      <c r="AO117" s="1">
        <v>103.2</v>
      </c>
      <c r="AP117" s="1">
        <v>101.8</v>
      </c>
      <c r="AQ117" s="1"/>
      <c r="AR117" s="1">
        <f>ROUND(G117*X117,0)</f>
        <v>42</v>
      </c>
      <c r="AS117" s="1">
        <f>ROUND(G117*AA117,0)</f>
        <v>36</v>
      </c>
      <c r="AT117" t="s">
        <v>285</v>
      </c>
    </row>
    <row r="118" spans="1:46" x14ac:dyDescent="0.25">
      <c r="A118" s="1" t="s">
        <v>286</v>
      </c>
      <c r="B118" s="1" t="s">
        <v>54</v>
      </c>
      <c r="C118" s="1">
        <v>64</v>
      </c>
      <c r="D118" s="1">
        <v>117</v>
      </c>
      <c r="E118" s="1">
        <v>87</v>
      </c>
      <c r="F118" s="1">
        <v>72</v>
      </c>
      <c r="G118" s="7">
        <v>0.09</v>
      </c>
      <c r="H118" s="1">
        <v>45</v>
      </c>
      <c r="I118" s="1" t="s">
        <v>47</v>
      </c>
      <c r="J118" s="1"/>
      <c r="K118" s="1">
        <v>136</v>
      </c>
      <c r="L118" s="1">
        <f t="shared" si="22"/>
        <v>-49</v>
      </c>
      <c r="M118" s="1">
        <f t="shared" si="23"/>
        <v>87</v>
      </c>
      <c r="N118" s="1"/>
      <c r="O118" s="1">
        <v>56.179999999999978</v>
      </c>
      <c r="P118" s="1">
        <v>0</v>
      </c>
      <c r="Q118" s="1"/>
      <c r="R118" s="1">
        <v>0</v>
      </c>
      <c r="S118" s="1"/>
      <c r="T118" s="20"/>
      <c r="U118" s="1">
        <f t="shared" si="24"/>
        <v>17.399999999999999</v>
      </c>
      <c r="V118" s="5">
        <f>12*U118-R118-Q118-P118-O118-F118</f>
        <v>80.62</v>
      </c>
      <c r="W118" s="5">
        <f t="shared" si="21"/>
        <v>80.62</v>
      </c>
      <c r="X118" s="5">
        <f>W118-AA118</f>
        <v>80.62</v>
      </c>
      <c r="Y118" s="5"/>
      <c r="Z118" s="26"/>
      <c r="AA118" s="5"/>
      <c r="AB118" s="5"/>
      <c r="AC118" s="26"/>
      <c r="AD118" s="1"/>
      <c r="AE118" s="1">
        <f>(F118+O118+P118+Q118+R118+X118+Z118+AA118+T118+AC118)/U118</f>
        <v>12</v>
      </c>
      <c r="AF118" s="1">
        <f>(F118+O118+P118+Q118+R118)/U118</f>
        <v>7.3666666666666663</v>
      </c>
      <c r="AG118" s="1">
        <v>12.2</v>
      </c>
      <c r="AH118" s="1">
        <v>15.6</v>
      </c>
      <c r="AI118" s="1">
        <v>14.2</v>
      </c>
      <c r="AJ118" s="1">
        <v>12.2</v>
      </c>
      <c r="AK118" s="1">
        <v>13.2</v>
      </c>
      <c r="AL118" s="1">
        <v>5.4</v>
      </c>
      <c r="AM118" s="1">
        <v>9.8000000000000007</v>
      </c>
      <c r="AN118" s="1">
        <v>6.6</v>
      </c>
      <c r="AO118" s="1">
        <v>10</v>
      </c>
      <c r="AP118" s="1">
        <v>8.1999999999999993</v>
      </c>
      <c r="AQ118" s="1"/>
      <c r="AR118" s="1">
        <f>ROUND(G118*X118,0)</f>
        <v>7</v>
      </c>
      <c r="AS118" s="1">
        <f>ROUND(G118*AA118,0)</f>
        <v>0</v>
      </c>
      <c r="AT118" t="s">
        <v>287</v>
      </c>
    </row>
    <row r="119" spans="1:46" x14ac:dyDescent="0.25">
      <c r="A119" s="10" t="s">
        <v>288</v>
      </c>
      <c r="B119" s="10" t="s">
        <v>46</v>
      </c>
      <c r="C119" s="10">
        <v>43.000999999999998</v>
      </c>
      <c r="D119" s="10"/>
      <c r="E119" s="10"/>
      <c r="F119" s="10">
        <v>-0.09</v>
      </c>
      <c r="G119" s="11">
        <v>0</v>
      </c>
      <c r="H119" s="10">
        <v>55</v>
      </c>
      <c r="I119" s="10" t="s">
        <v>72</v>
      </c>
      <c r="J119" s="10"/>
      <c r="K119" s="10"/>
      <c r="L119" s="10">
        <f t="shared" si="22"/>
        <v>0</v>
      </c>
      <c r="M119" s="10">
        <f t="shared" si="23"/>
        <v>0</v>
      </c>
      <c r="N119" s="10"/>
      <c r="O119" s="10">
        <v>0</v>
      </c>
      <c r="P119" s="10"/>
      <c r="Q119" s="10"/>
      <c r="R119" s="10">
        <v>0</v>
      </c>
      <c r="S119" s="10"/>
      <c r="T119" s="22"/>
      <c r="U119" s="10">
        <f t="shared" si="24"/>
        <v>0</v>
      </c>
      <c r="V119" s="12"/>
      <c r="W119" s="5">
        <f t="shared" si="21"/>
        <v>0</v>
      </c>
      <c r="X119" s="5">
        <f>W119-AA119</f>
        <v>0</v>
      </c>
      <c r="Y119" s="5"/>
      <c r="Z119" s="26"/>
      <c r="AA119" s="5"/>
      <c r="AB119" s="5"/>
      <c r="AC119" s="26"/>
      <c r="AD119" s="1"/>
      <c r="AE119" s="1" t="e">
        <f>(F119+O119+P119+Q119+R119+X119+Z119+AA119+T119+AC119)/U119</f>
        <v>#DIV/0!</v>
      </c>
      <c r="AF119" s="10" t="e">
        <f>(F119+O119+P119+Q119+R119)/U119</f>
        <v>#DIV/0!</v>
      </c>
      <c r="AG119" s="10">
        <v>2.1854</v>
      </c>
      <c r="AH119" s="10">
        <v>2.1854</v>
      </c>
      <c r="AI119" s="10">
        <v>1.3512</v>
      </c>
      <c r="AJ119" s="10">
        <v>2.4342000000000001</v>
      </c>
      <c r="AK119" s="10">
        <v>1.6259999999999999</v>
      </c>
      <c r="AL119" s="10">
        <v>1.085</v>
      </c>
      <c r="AM119" s="10">
        <v>1.8994</v>
      </c>
      <c r="AN119" s="10">
        <v>2.1669999999999998</v>
      </c>
      <c r="AO119" s="10">
        <v>2.1669999999999998</v>
      </c>
      <c r="AP119" s="10">
        <v>0.80959999999999999</v>
      </c>
      <c r="AQ119" s="10"/>
      <c r="AR119" s="1">
        <f>ROUND(G119*X119,0)</f>
        <v>0</v>
      </c>
      <c r="AS119" s="1">
        <f>ROUND(G119*AA119,0)</f>
        <v>0</v>
      </c>
    </row>
    <row r="120" spans="1:46" x14ac:dyDescent="0.25">
      <c r="A120" s="1" t="s">
        <v>289</v>
      </c>
      <c r="B120" s="1" t="s">
        <v>46</v>
      </c>
      <c r="C120" s="1">
        <v>101.86199999999999</v>
      </c>
      <c r="D120" s="1">
        <v>67.915999999999997</v>
      </c>
      <c r="E120" s="1">
        <v>44.600999999999999</v>
      </c>
      <c r="F120" s="1">
        <v>125.17700000000001</v>
      </c>
      <c r="G120" s="7">
        <v>1</v>
      </c>
      <c r="H120" s="1">
        <v>60</v>
      </c>
      <c r="I120" s="1" t="s">
        <v>47</v>
      </c>
      <c r="J120" s="1"/>
      <c r="K120" s="1">
        <v>45</v>
      </c>
      <c r="L120" s="1">
        <f t="shared" si="22"/>
        <v>-0.39900000000000091</v>
      </c>
      <c r="M120" s="1">
        <f t="shared" si="23"/>
        <v>44.600999999999999</v>
      </c>
      <c r="N120" s="1"/>
      <c r="O120" s="1">
        <v>0</v>
      </c>
      <c r="P120" s="1"/>
      <c r="Q120" s="1"/>
      <c r="R120" s="1">
        <v>0</v>
      </c>
      <c r="S120" s="1"/>
      <c r="T120" s="20"/>
      <c r="U120" s="1">
        <f t="shared" si="24"/>
        <v>8.9201999999999995</v>
      </c>
      <c r="V120" s="5"/>
      <c r="W120" s="5">
        <f t="shared" si="21"/>
        <v>0</v>
      </c>
      <c r="X120" s="5">
        <f>W120-AA120</f>
        <v>0</v>
      </c>
      <c r="Y120" s="5"/>
      <c r="Z120" s="26"/>
      <c r="AA120" s="5"/>
      <c r="AB120" s="5"/>
      <c r="AC120" s="26"/>
      <c r="AD120" s="1"/>
      <c r="AE120" s="1">
        <f>(F120+O120+P120+Q120+R120+X120+Z120+AA120+T120+AC120)/U120</f>
        <v>14.032981323288718</v>
      </c>
      <c r="AF120" s="1">
        <f>(F120+O120+P120+Q120+R120)/U120</f>
        <v>14.032981323288718</v>
      </c>
      <c r="AG120" s="1">
        <v>6.9382000000000001</v>
      </c>
      <c r="AH120" s="1">
        <v>6.2747999999999999</v>
      </c>
      <c r="AI120" s="1">
        <v>10.271599999999999</v>
      </c>
      <c r="AJ120" s="1">
        <v>16.718</v>
      </c>
      <c r="AK120" s="1">
        <v>14.504</v>
      </c>
      <c r="AL120" s="1">
        <v>5.6520000000000001</v>
      </c>
      <c r="AM120" s="1">
        <v>6.5449999999999999</v>
      </c>
      <c r="AN120" s="1">
        <v>9.0909999999999993</v>
      </c>
      <c r="AO120" s="1">
        <v>11.584199999999999</v>
      </c>
      <c r="AP120" s="1">
        <v>9.4443999999999999</v>
      </c>
      <c r="AQ120" s="1"/>
      <c r="AR120" s="1">
        <f>ROUND(G120*X120,0)</f>
        <v>0</v>
      </c>
      <c r="AS120" s="1">
        <f>ROUND(G120*AA120,0)</f>
        <v>0</v>
      </c>
      <c r="AT120" t="s">
        <v>290</v>
      </c>
    </row>
    <row r="121" spans="1:46" x14ac:dyDescent="0.25">
      <c r="A121" s="1" t="s">
        <v>291</v>
      </c>
      <c r="B121" s="1" t="s">
        <v>46</v>
      </c>
      <c r="C121" s="1">
        <v>56.079000000000001</v>
      </c>
      <c r="D121" s="1">
        <v>4.9969999999999999</v>
      </c>
      <c r="E121" s="1">
        <v>19.920000000000002</v>
      </c>
      <c r="F121" s="1">
        <v>41.155999999999999</v>
      </c>
      <c r="G121" s="7">
        <v>1</v>
      </c>
      <c r="H121" s="1">
        <v>50</v>
      </c>
      <c r="I121" s="1" t="s">
        <v>47</v>
      </c>
      <c r="J121" s="1"/>
      <c r="K121" s="1">
        <v>20</v>
      </c>
      <c r="L121" s="1">
        <f t="shared" si="22"/>
        <v>-7.9999999999998295E-2</v>
      </c>
      <c r="M121" s="1">
        <f t="shared" si="23"/>
        <v>19.920000000000002</v>
      </c>
      <c r="N121" s="1"/>
      <c r="O121" s="1">
        <v>0</v>
      </c>
      <c r="P121" s="1"/>
      <c r="Q121" s="1"/>
      <c r="R121" s="1">
        <v>0</v>
      </c>
      <c r="S121" s="1"/>
      <c r="T121" s="20"/>
      <c r="U121" s="1">
        <f t="shared" si="24"/>
        <v>3.9840000000000004</v>
      </c>
      <c r="V121" s="5">
        <f>12*U121-R121-Q121-P121-O121-F121</f>
        <v>6.6520000000000081</v>
      </c>
      <c r="W121" s="5">
        <f t="shared" si="21"/>
        <v>6.6520000000000081</v>
      </c>
      <c r="X121" s="5">
        <f>W121-AA121</f>
        <v>6.6520000000000081</v>
      </c>
      <c r="Y121" s="5">
        <v>-15</v>
      </c>
      <c r="Z121" s="26"/>
      <c r="AA121" s="5"/>
      <c r="AB121" s="5"/>
      <c r="AC121" s="26"/>
      <c r="AD121" s="1"/>
      <c r="AE121" s="1">
        <f>(F121+O121+P121+Q121+R121+X121+Z121+AA121+T121+AC121)/U121</f>
        <v>12</v>
      </c>
      <c r="AF121" s="1">
        <f>(F121+O121+P121+Q121+R121)/U121</f>
        <v>10.330321285140561</v>
      </c>
      <c r="AG121" s="1">
        <v>3.3889999999999998</v>
      </c>
      <c r="AH121" s="1">
        <v>4.8133999999999997</v>
      </c>
      <c r="AI121" s="1">
        <v>2.9209999999999998</v>
      </c>
      <c r="AJ121" s="1">
        <v>5.9039999999999999</v>
      </c>
      <c r="AK121" s="1">
        <v>10.317399999999999</v>
      </c>
      <c r="AL121" s="1">
        <v>4.4803999999999977</v>
      </c>
      <c r="AM121" s="1">
        <v>3.0777999999999999</v>
      </c>
      <c r="AN121" s="1">
        <v>4.9722</v>
      </c>
      <c r="AO121" s="1">
        <v>7.1712000000000007</v>
      </c>
      <c r="AP121" s="1">
        <v>8.8970000000000002</v>
      </c>
      <c r="AQ121" s="1"/>
      <c r="AR121" s="1">
        <f>ROUND(G121*X121,0)</f>
        <v>7</v>
      </c>
      <c r="AS121" s="1">
        <f>ROUND(G121*AA121,0)</f>
        <v>0</v>
      </c>
      <c r="AT121" t="s">
        <v>292</v>
      </c>
    </row>
    <row r="122" spans="1:46" x14ac:dyDescent="0.25">
      <c r="A122" s="1" t="s">
        <v>293</v>
      </c>
      <c r="B122" s="1" t="s">
        <v>54</v>
      </c>
      <c r="C122" s="1">
        <v>45</v>
      </c>
      <c r="D122" s="1">
        <v>385</v>
      </c>
      <c r="E122" s="1">
        <v>56</v>
      </c>
      <c r="F122" s="1">
        <v>357</v>
      </c>
      <c r="G122" s="7">
        <v>0.09</v>
      </c>
      <c r="H122" s="1">
        <v>45</v>
      </c>
      <c r="I122" s="1" t="s">
        <v>47</v>
      </c>
      <c r="J122" s="1"/>
      <c r="K122" s="1">
        <v>126</v>
      </c>
      <c r="L122" s="1">
        <f t="shared" si="22"/>
        <v>-70</v>
      </c>
      <c r="M122" s="1">
        <f t="shared" si="23"/>
        <v>56</v>
      </c>
      <c r="N122" s="1"/>
      <c r="O122" s="1">
        <v>0</v>
      </c>
      <c r="P122" s="1"/>
      <c r="Q122" s="1"/>
      <c r="R122" s="1">
        <v>0</v>
      </c>
      <c r="S122" s="1"/>
      <c r="T122" s="20"/>
      <c r="U122" s="1">
        <f t="shared" si="24"/>
        <v>11.2</v>
      </c>
      <c r="V122" s="5"/>
      <c r="W122" s="5">
        <f t="shared" si="21"/>
        <v>0</v>
      </c>
      <c r="X122" s="5">
        <f>W122-AA122</f>
        <v>0</v>
      </c>
      <c r="Y122" s="5"/>
      <c r="Z122" s="26"/>
      <c r="AA122" s="5"/>
      <c r="AB122" s="5"/>
      <c r="AC122" s="26"/>
      <c r="AD122" s="1"/>
      <c r="AE122" s="1">
        <f>(F122+O122+P122+Q122+R122+X122+Z122+AA122+T122+AC122)/U122</f>
        <v>31.875000000000004</v>
      </c>
      <c r="AF122" s="1">
        <f>(F122+O122+P122+Q122+R122)/U122</f>
        <v>31.875000000000004</v>
      </c>
      <c r="AG122" s="1">
        <v>16.2</v>
      </c>
      <c r="AH122" s="1">
        <v>19.399999999999999</v>
      </c>
      <c r="AI122" s="1">
        <v>14.4</v>
      </c>
      <c r="AJ122" s="1">
        <v>11.6</v>
      </c>
      <c r="AK122" s="1">
        <v>13.8</v>
      </c>
      <c r="AL122" s="1">
        <v>8.8000000000000007</v>
      </c>
      <c r="AM122" s="1">
        <v>6.4</v>
      </c>
      <c r="AN122" s="1">
        <v>4.8</v>
      </c>
      <c r="AO122" s="1">
        <v>6.4</v>
      </c>
      <c r="AP122" s="1">
        <v>8.1999999999999993</v>
      </c>
      <c r="AQ122" s="1" t="s">
        <v>248</v>
      </c>
      <c r="AR122" s="1">
        <f>ROUND(G122*X122,0)</f>
        <v>0</v>
      </c>
      <c r="AS122" s="1">
        <f>ROUND(G122*AA122,0)</f>
        <v>0</v>
      </c>
      <c r="AT122" t="s">
        <v>294</v>
      </c>
    </row>
    <row r="123" spans="1:46" x14ac:dyDescent="0.25">
      <c r="A123" s="1" t="s">
        <v>295</v>
      </c>
      <c r="B123" s="1" t="s">
        <v>54</v>
      </c>
      <c r="C123" s="1">
        <v>87</v>
      </c>
      <c r="D123" s="1">
        <v>322</v>
      </c>
      <c r="E123" s="1">
        <v>94</v>
      </c>
      <c r="F123" s="1">
        <v>298</v>
      </c>
      <c r="G123" s="7">
        <v>0.09</v>
      </c>
      <c r="H123" s="1">
        <v>45</v>
      </c>
      <c r="I123" s="1" t="s">
        <v>47</v>
      </c>
      <c r="J123" s="1"/>
      <c r="K123" s="1">
        <v>113</v>
      </c>
      <c r="L123" s="1">
        <f t="shared" si="22"/>
        <v>-19</v>
      </c>
      <c r="M123" s="1">
        <f t="shared" si="23"/>
        <v>94</v>
      </c>
      <c r="N123" s="1"/>
      <c r="O123" s="1">
        <v>0</v>
      </c>
      <c r="P123" s="1"/>
      <c r="Q123" s="1"/>
      <c r="R123" s="1">
        <v>0</v>
      </c>
      <c r="S123" s="1"/>
      <c r="T123" s="20"/>
      <c r="U123" s="1">
        <f t="shared" si="24"/>
        <v>18.8</v>
      </c>
      <c r="V123" s="5">
        <v>40</v>
      </c>
      <c r="W123" s="5">
        <f t="shared" si="21"/>
        <v>40</v>
      </c>
      <c r="X123" s="5">
        <f>W123-AA123</f>
        <v>40</v>
      </c>
      <c r="Y123" s="5"/>
      <c r="Z123" s="26"/>
      <c r="AA123" s="5"/>
      <c r="AB123" s="5"/>
      <c r="AC123" s="26"/>
      <c r="AD123" s="1"/>
      <c r="AE123" s="1">
        <f>(F123+O123+P123+Q123+R123+X123+Z123+AA123+T123+AC123)/U123</f>
        <v>17.978723404255319</v>
      </c>
      <c r="AF123" s="1">
        <f>(F123+O123+P123+Q123+R123)/U123</f>
        <v>15.851063829787233</v>
      </c>
      <c r="AG123" s="1">
        <v>15.4</v>
      </c>
      <c r="AH123" s="1">
        <v>16.2</v>
      </c>
      <c r="AI123" s="1">
        <v>9</v>
      </c>
      <c r="AJ123" s="1">
        <v>10.199999999999999</v>
      </c>
      <c r="AK123" s="1">
        <v>17.399999999999999</v>
      </c>
      <c r="AL123" s="1">
        <v>9.8000000000000007</v>
      </c>
      <c r="AM123" s="1">
        <v>1.8</v>
      </c>
      <c r="AN123" s="1">
        <v>1.4</v>
      </c>
      <c r="AO123" s="1">
        <v>0.2</v>
      </c>
      <c r="AP123" s="1">
        <v>6</v>
      </c>
      <c r="AQ123" s="1" t="s">
        <v>248</v>
      </c>
      <c r="AR123" s="1">
        <f>ROUND(G123*X123,0)</f>
        <v>4</v>
      </c>
      <c r="AS123" s="1">
        <f>ROUND(G123*AA123,0)</f>
        <v>0</v>
      </c>
      <c r="AT123" t="s">
        <v>296</v>
      </c>
    </row>
    <row r="124" spans="1:46" x14ac:dyDescent="0.25">
      <c r="A124" s="1" t="s">
        <v>297</v>
      </c>
      <c r="B124" s="1" t="s">
        <v>46</v>
      </c>
      <c r="C124" s="1">
        <v>133.50899999999999</v>
      </c>
      <c r="D124" s="1">
        <v>16.550999999999998</v>
      </c>
      <c r="E124" s="1">
        <v>103.13800000000001</v>
      </c>
      <c r="F124" s="1">
        <v>31.206</v>
      </c>
      <c r="G124" s="7">
        <v>1</v>
      </c>
      <c r="H124" s="1">
        <v>60</v>
      </c>
      <c r="I124" s="1" t="s">
        <v>47</v>
      </c>
      <c r="J124" s="1"/>
      <c r="K124" s="1">
        <v>120.37</v>
      </c>
      <c r="L124" s="1">
        <f t="shared" si="22"/>
        <v>-17.231999999999999</v>
      </c>
      <c r="M124" s="1">
        <f t="shared" si="23"/>
        <v>103.13800000000001</v>
      </c>
      <c r="N124" s="1"/>
      <c r="O124" s="1">
        <v>50</v>
      </c>
      <c r="P124" s="1">
        <v>0</v>
      </c>
      <c r="Q124" s="1"/>
      <c r="R124" s="1">
        <v>68.55240000000002</v>
      </c>
      <c r="S124" s="1"/>
      <c r="T124" s="20"/>
      <c r="U124" s="1">
        <f t="shared" si="24"/>
        <v>20.627600000000001</v>
      </c>
      <c r="V124" s="5">
        <f>12*U124-R124-Q124-P124-O124-F124</f>
        <v>97.772799999999975</v>
      </c>
      <c r="W124" s="5">
        <f t="shared" si="21"/>
        <v>97.772799999999975</v>
      </c>
      <c r="X124" s="5">
        <f>W124-AA124</f>
        <v>97.772799999999975</v>
      </c>
      <c r="Y124" s="5"/>
      <c r="Z124" s="26"/>
      <c r="AA124" s="5"/>
      <c r="AB124" s="5"/>
      <c r="AC124" s="26"/>
      <c r="AD124" s="1"/>
      <c r="AE124" s="1">
        <f>(F124+O124+P124+Q124+R124+X124+Z124+AA124+T124+AC124)/U124</f>
        <v>12</v>
      </c>
      <c r="AF124" s="1">
        <f>(F124+O124+P124+Q124+R124)/U124</f>
        <v>7.2600981209641455</v>
      </c>
      <c r="AG124" s="1">
        <v>16.761399999999998</v>
      </c>
      <c r="AH124" s="1">
        <v>9.4372000000000007</v>
      </c>
      <c r="AI124" s="1">
        <v>6.8977999999999993</v>
      </c>
      <c r="AJ124" s="1">
        <v>9.4394000000000009</v>
      </c>
      <c r="AK124" s="1">
        <v>15.491400000000001</v>
      </c>
      <c r="AL124" s="1">
        <v>11.78399999999999</v>
      </c>
      <c r="AM124" s="1">
        <v>8.2132000000000005</v>
      </c>
      <c r="AN124" s="1">
        <v>7.9378000000000002</v>
      </c>
      <c r="AO124" s="1">
        <v>9.9105999999999987</v>
      </c>
      <c r="AP124" s="1">
        <v>11.642799999999999</v>
      </c>
      <c r="AQ124" s="1" t="s">
        <v>298</v>
      </c>
      <c r="AR124" s="1">
        <f>ROUND(G124*X124,0)</f>
        <v>98</v>
      </c>
      <c r="AS124" s="1">
        <f>ROUND(G124*AA124,0)</f>
        <v>0</v>
      </c>
      <c r="AT124" t="s">
        <v>299</v>
      </c>
    </row>
    <row r="125" spans="1:46" x14ac:dyDescent="0.25">
      <c r="A125" s="1" t="s">
        <v>300</v>
      </c>
      <c r="B125" s="1" t="s">
        <v>46</v>
      </c>
      <c r="C125" s="1">
        <v>759.43700000000001</v>
      </c>
      <c r="D125" s="1">
        <v>455.697</v>
      </c>
      <c r="E125" s="1">
        <v>728.23500000000001</v>
      </c>
      <c r="F125" s="1">
        <v>434.33699999999999</v>
      </c>
      <c r="G125" s="7">
        <v>1</v>
      </c>
      <c r="H125" s="1">
        <v>60</v>
      </c>
      <c r="I125" s="1" t="s">
        <v>47</v>
      </c>
      <c r="J125" s="1"/>
      <c r="K125" s="1">
        <v>776.01300000000003</v>
      </c>
      <c r="L125" s="1">
        <f t="shared" si="22"/>
        <v>-47.77800000000002</v>
      </c>
      <c r="M125" s="1">
        <f t="shared" si="23"/>
        <v>728.23500000000001</v>
      </c>
      <c r="N125" s="1"/>
      <c r="O125" s="1">
        <v>0</v>
      </c>
      <c r="P125" s="1"/>
      <c r="Q125" s="1"/>
      <c r="R125" s="1">
        <v>622.45597599999996</v>
      </c>
      <c r="S125" s="1"/>
      <c r="T125" s="20"/>
      <c r="U125" s="1">
        <f t="shared" si="24"/>
        <v>145.64699999999999</v>
      </c>
      <c r="V125" s="5">
        <f>12*U125-R125-Q125-P125-O125-F125</f>
        <v>690.97102399999994</v>
      </c>
      <c r="W125" s="5">
        <f t="shared" si="21"/>
        <v>690.97102399999994</v>
      </c>
      <c r="X125" s="5">
        <f>W125-AA125</f>
        <v>331.66609151999995</v>
      </c>
      <c r="Y125" s="5"/>
      <c r="Z125" s="26"/>
      <c r="AA125" s="5">
        <f>W125*$AA$1</f>
        <v>359.30493247999999</v>
      </c>
      <c r="AB125" s="5"/>
      <c r="AC125" s="26"/>
      <c r="AD125" s="1"/>
      <c r="AE125" s="1">
        <f>(F125+O125+P125+Q125+R125+X125+Z125+AA125+T125+AC125)/U125</f>
        <v>12</v>
      </c>
      <c r="AF125" s="1">
        <f>(F125+O125+P125+Q125+R125)/U125</f>
        <v>7.2558513117331636</v>
      </c>
      <c r="AG125" s="1">
        <v>115.8732</v>
      </c>
      <c r="AH125" s="1">
        <v>76.514800000000008</v>
      </c>
      <c r="AI125" s="1">
        <v>92.683799999999991</v>
      </c>
      <c r="AJ125" s="1">
        <v>121.5682</v>
      </c>
      <c r="AK125" s="1">
        <v>123.7212</v>
      </c>
      <c r="AL125" s="1">
        <v>82.874800000000008</v>
      </c>
      <c r="AM125" s="1">
        <v>81.725400000000008</v>
      </c>
      <c r="AN125" s="1">
        <v>95.796599999999998</v>
      </c>
      <c r="AO125" s="1">
        <v>110.8334</v>
      </c>
      <c r="AP125" s="1">
        <v>111.65</v>
      </c>
      <c r="AQ125" s="1"/>
      <c r="AR125" s="1">
        <f>ROUND(G125*X125,0)</f>
        <v>332</v>
      </c>
      <c r="AS125" s="1">
        <f>ROUND(G125*AA125,0)</f>
        <v>359</v>
      </c>
      <c r="AT125" t="s">
        <v>301</v>
      </c>
    </row>
    <row r="126" spans="1:46" x14ac:dyDescent="0.25">
      <c r="A126" s="1" t="s">
        <v>302</v>
      </c>
      <c r="B126" s="1" t="s">
        <v>46</v>
      </c>
      <c r="C126" s="1">
        <v>265.08800000000002</v>
      </c>
      <c r="D126" s="1">
        <v>14.773999999999999</v>
      </c>
      <c r="E126" s="1">
        <v>82.537000000000006</v>
      </c>
      <c r="F126" s="1">
        <v>193.464</v>
      </c>
      <c r="G126" s="7">
        <v>1</v>
      </c>
      <c r="H126" s="1">
        <v>60</v>
      </c>
      <c r="I126" s="1" t="s">
        <v>47</v>
      </c>
      <c r="J126" s="1"/>
      <c r="K126" s="1">
        <v>88.1</v>
      </c>
      <c r="L126" s="1">
        <f t="shared" si="22"/>
        <v>-5.5629999999999882</v>
      </c>
      <c r="M126" s="1">
        <f t="shared" si="23"/>
        <v>82.537000000000006</v>
      </c>
      <c r="N126" s="1"/>
      <c r="O126" s="1">
        <v>0</v>
      </c>
      <c r="P126" s="1"/>
      <c r="Q126" s="1"/>
      <c r="R126" s="1">
        <v>0</v>
      </c>
      <c r="S126" s="1"/>
      <c r="T126" s="20"/>
      <c r="U126" s="1">
        <f t="shared" si="24"/>
        <v>16.507400000000001</v>
      </c>
      <c r="V126" s="5"/>
      <c r="W126" s="5">
        <f t="shared" si="21"/>
        <v>0</v>
      </c>
      <c r="X126" s="5">
        <f>W126-AA126</f>
        <v>0</v>
      </c>
      <c r="Y126" s="5"/>
      <c r="Z126" s="26"/>
      <c r="AA126" s="5"/>
      <c r="AB126" s="5"/>
      <c r="AC126" s="26"/>
      <c r="AD126" s="1"/>
      <c r="AE126" s="1">
        <f>(F126+O126+P126+Q126+R126+X126+Z126+AA126+T126+AC126)/U126</f>
        <v>11.719834740782922</v>
      </c>
      <c r="AF126" s="1">
        <f>(F126+O126+P126+Q126+R126)/U126</f>
        <v>11.719834740782922</v>
      </c>
      <c r="AG126" s="1">
        <v>16.0214</v>
      </c>
      <c r="AH126" s="1">
        <v>12.3848</v>
      </c>
      <c r="AI126" s="1">
        <v>9.4190000000000005</v>
      </c>
      <c r="AJ126" s="1">
        <v>12.1662</v>
      </c>
      <c r="AK126" s="1">
        <v>14.089600000000001</v>
      </c>
      <c r="AL126" s="1">
        <v>13.230600000000001</v>
      </c>
      <c r="AM126" s="1">
        <v>9.9158000000000008</v>
      </c>
      <c r="AN126" s="1">
        <v>6.5962000000000014</v>
      </c>
      <c r="AO126" s="1">
        <v>6.8528000000000002</v>
      </c>
      <c r="AP126" s="1">
        <v>7.9191999999999991</v>
      </c>
      <c r="AQ126" s="16" t="s">
        <v>303</v>
      </c>
      <c r="AR126" s="1">
        <f>ROUND(G126*X126,0)</f>
        <v>0</v>
      </c>
      <c r="AS126" s="1">
        <f>ROUND(G126*AA126,0)</f>
        <v>0</v>
      </c>
      <c r="AT126" t="s">
        <v>304</v>
      </c>
    </row>
    <row r="127" spans="1:46" x14ac:dyDescent="0.25">
      <c r="A127" s="1" t="s">
        <v>83</v>
      </c>
      <c r="B127" s="1" t="s">
        <v>46</v>
      </c>
      <c r="C127" s="1">
        <v>2227.6039999999998</v>
      </c>
      <c r="D127" s="1">
        <v>979.03</v>
      </c>
      <c r="E127" s="1">
        <v>1304.307</v>
      </c>
      <c r="F127" s="1">
        <v>1840.0309999999999</v>
      </c>
      <c r="G127" s="7">
        <v>1</v>
      </c>
      <c r="H127" s="1">
        <v>60</v>
      </c>
      <c r="I127" s="1" t="s">
        <v>47</v>
      </c>
      <c r="J127" s="1"/>
      <c r="K127" s="1">
        <v>1069.125</v>
      </c>
      <c r="L127" s="1">
        <f t="shared" si="22"/>
        <v>235.18200000000002</v>
      </c>
      <c r="M127" s="1">
        <f t="shared" si="23"/>
        <v>1304.307</v>
      </c>
      <c r="N127" s="1"/>
      <c r="O127" s="1">
        <v>0</v>
      </c>
      <c r="P127" s="1"/>
      <c r="Q127" s="1"/>
      <c r="R127" s="1">
        <v>0</v>
      </c>
      <c r="S127" s="1"/>
      <c r="T127" s="20"/>
      <c r="U127" s="1">
        <f t="shared" si="24"/>
        <v>260.8614</v>
      </c>
      <c r="V127" s="5">
        <f>12*U127-R127-Q127-P127-O127-F127</f>
        <v>1290.3058000000001</v>
      </c>
      <c r="W127" s="5">
        <f>V127+$W$1*U127</f>
        <v>1342.4780800000001</v>
      </c>
      <c r="X127" s="5">
        <f>W127-AA127</f>
        <v>644.38947840000003</v>
      </c>
      <c r="Y127" s="5"/>
      <c r="Z127" s="26"/>
      <c r="AA127" s="5">
        <f>W127*$AA$1</f>
        <v>698.08860160000006</v>
      </c>
      <c r="AB127" s="5"/>
      <c r="AC127" s="26"/>
      <c r="AD127" s="1"/>
      <c r="AE127" s="1">
        <f>(F127+O127+P127+Q127+R127+X127+Z127+AA127+T127+AC127)/U127</f>
        <v>12.2</v>
      </c>
      <c r="AF127" s="1">
        <f>(F127+O127+P127+Q127+R127)/U127</f>
        <v>7.053672946629896</v>
      </c>
      <c r="AG127" s="1">
        <v>157.86420000000001</v>
      </c>
      <c r="AH127" s="1">
        <v>170.6746</v>
      </c>
      <c r="AI127" s="1">
        <v>196.4392</v>
      </c>
      <c r="AJ127" s="1">
        <v>182.04040000000001</v>
      </c>
      <c r="AK127" s="1">
        <v>202.87360000000001</v>
      </c>
      <c r="AL127" s="1">
        <v>154.0368</v>
      </c>
      <c r="AM127" s="1">
        <v>145.78739999999999</v>
      </c>
      <c r="AN127" s="1">
        <v>165.05019999999999</v>
      </c>
      <c r="AO127" s="1">
        <v>223.18119999999999</v>
      </c>
      <c r="AP127" s="1">
        <v>152.50559999999999</v>
      </c>
      <c r="AQ127" s="1"/>
      <c r="AR127" s="1">
        <f>ROUND(G127*X127,0)</f>
        <v>644</v>
      </c>
      <c r="AS127" s="1">
        <f>ROUND(G127*AA127,0)</f>
        <v>698</v>
      </c>
      <c r="AT127" t="s">
        <v>84</v>
      </c>
    </row>
    <row r="128" spans="1:46" x14ac:dyDescent="0.25">
      <c r="A128" s="1" t="s">
        <v>305</v>
      </c>
      <c r="B128" s="1" t="s">
        <v>54</v>
      </c>
      <c r="C128" s="1">
        <v>111</v>
      </c>
      <c r="D128" s="1">
        <v>3</v>
      </c>
      <c r="E128" s="1">
        <v>52</v>
      </c>
      <c r="F128" s="1">
        <v>59</v>
      </c>
      <c r="G128" s="7">
        <v>0.25</v>
      </c>
      <c r="H128" s="1"/>
      <c r="I128" s="1" t="s">
        <v>47</v>
      </c>
      <c r="J128" s="1"/>
      <c r="K128" s="1">
        <v>56</v>
      </c>
      <c r="L128" s="1">
        <f t="shared" si="22"/>
        <v>-4</v>
      </c>
      <c r="M128" s="1">
        <f t="shared" si="23"/>
        <v>52</v>
      </c>
      <c r="N128" s="1"/>
      <c r="O128" s="1">
        <v>0</v>
      </c>
      <c r="P128" s="1">
        <v>0</v>
      </c>
      <c r="Q128" s="1"/>
      <c r="R128" s="1">
        <v>19.800000000000011</v>
      </c>
      <c r="S128" s="1">
        <v>-24</v>
      </c>
      <c r="T128" s="20"/>
      <c r="U128" s="1">
        <f t="shared" si="24"/>
        <v>10.4</v>
      </c>
      <c r="V128" s="5">
        <f>12*U128-R128-Q128-P128-O128-F128</f>
        <v>46</v>
      </c>
      <c r="W128" s="5">
        <f t="shared" ref="W128:W136" si="25">V128</f>
        <v>46</v>
      </c>
      <c r="X128" s="5">
        <f>W128-AA128</f>
        <v>46</v>
      </c>
      <c r="Y128" s="5">
        <v>-48</v>
      </c>
      <c r="Z128" s="26"/>
      <c r="AA128" s="5"/>
      <c r="AB128" s="5"/>
      <c r="AC128" s="26"/>
      <c r="AD128" s="1"/>
      <c r="AE128" s="1">
        <f>(F128+O128+P128+Q128+R128+X128+Z128+AA128+T128+AC128)/U128</f>
        <v>12</v>
      </c>
      <c r="AF128" s="1">
        <f>(F128+O128+P128+Q128+R128)/U128</f>
        <v>7.5769230769230775</v>
      </c>
      <c r="AG128" s="1">
        <v>8.8000000000000007</v>
      </c>
      <c r="AH128" s="1">
        <v>18.600000000000001</v>
      </c>
      <c r="AI128" s="1">
        <v>16.2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 t="s">
        <v>306</v>
      </c>
      <c r="AR128" s="1">
        <f>ROUND(G128*X128,0)</f>
        <v>12</v>
      </c>
      <c r="AS128" s="1">
        <f>ROUND(G128*AA128,0)</f>
        <v>0</v>
      </c>
      <c r="AT128" t="s">
        <v>307</v>
      </c>
    </row>
    <row r="129" spans="1:46" x14ac:dyDescent="0.25">
      <c r="A129" s="1" t="s">
        <v>308</v>
      </c>
      <c r="B129" s="1" t="s">
        <v>54</v>
      </c>
      <c r="C129" s="1">
        <v>153</v>
      </c>
      <c r="D129" s="1">
        <v>4</v>
      </c>
      <c r="E129" s="1">
        <v>26</v>
      </c>
      <c r="F129" s="1">
        <v>52</v>
      </c>
      <c r="G129" s="7">
        <v>0.32500000000000001</v>
      </c>
      <c r="H129" s="1"/>
      <c r="I129" s="1" t="s">
        <v>47</v>
      </c>
      <c r="J129" s="1"/>
      <c r="K129" s="1">
        <v>31</v>
      </c>
      <c r="L129" s="1">
        <f t="shared" si="22"/>
        <v>-5</v>
      </c>
      <c r="M129" s="1">
        <f t="shared" si="23"/>
        <v>26</v>
      </c>
      <c r="N129" s="1"/>
      <c r="O129" s="1">
        <v>0</v>
      </c>
      <c r="P129" s="1"/>
      <c r="Q129" s="1"/>
      <c r="R129" s="1">
        <v>0</v>
      </c>
      <c r="S129" s="1"/>
      <c r="T129" s="20"/>
      <c r="U129" s="1">
        <f t="shared" si="24"/>
        <v>5.2</v>
      </c>
      <c r="V129" s="5">
        <f>12*U129-R129-Q129-P129-O129-F129</f>
        <v>10.400000000000006</v>
      </c>
      <c r="W129" s="5">
        <f t="shared" si="25"/>
        <v>10.400000000000006</v>
      </c>
      <c r="X129" s="5">
        <f>W129-AA129</f>
        <v>10.400000000000006</v>
      </c>
      <c r="Y129" s="5"/>
      <c r="Z129" s="26"/>
      <c r="AA129" s="5"/>
      <c r="AB129" s="5"/>
      <c r="AC129" s="26"/>
      <c r="AD129" s="1"/>
      <c r="AE129" s="1">
        <f>(F129+O129+P129+Q129+R129+X129+Z129+AA129+T129+AC129)/U129</f>
        <v>12</v>
      </c>
      <c r="AF129" s="1">
        <f>(F129+O129+P129+Q129+R129)/U129</f>
        <v>10</v>
      </c>
      <c r="AG129" s="1">
        <v>5.2</v>
      </c>
      <c r="AH129" s="1">
        <v>10.199999999999999</v>
      </c>
      <c r="AI129" s="1">
        <v>9.8000000000000007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 t="s">
        <v>306</v>
      </c>
      <c r="AR129" s="1">
        <f>ROUND(G129*X129,0)</f>
        <v>3</v>
      </c>
      <c r="AS129" s="1">
        <f>ROUND(G129*AA129,0)</f>
        <v>0</v>
      </c>
      <c r="AT129" t="s">
        <v>309</v>
      </c>
    </row>
    <row r="130" spans="1:46" x14ac:dyDescent="0.25">
      <c r="A130" s="1" t="s">
        <v>310</v>
      </c>
      <c r="B130" s="1" t="s">
        <v>54</v>
      </c>
      <c r="C130" s="1">
        <v>132</v>
      </c>
      <c r="D130" s="1">
        <v>16</v>
      </c>
      <c r="E130" s="1">
        <v>49</v>
      </c>
      <c r="F130" s="1">
        <v>95</v>
      </c>
      <c r="G130" s="7">
        <v>0.25</v>
      </c>
      <c r="H130" s="1"/>
      <c r="I130" s="1" t="s">
        <v>47</v>
      </c>
      <c r="J130" s="1"/>
      <c r="K130" s="1">
        <v>54</v>
      </c>
      <c r="L130" s="1">
        <f t="shared" si="22"/>
        <v>-5</v>
      </c>
      <c r="M130" s="1">
        <f t="shared" si="23"/>
        <v>49</v>
      </c>
      <c r="N130" s="1"/>
      <c r="O130" s="1">
        <v>33.600000000000023</v>
      </c>
      <c r="P130" s="1">
        <v>0</v>
      </c>
      <c r="Q130" s="1"/>
      <c r="R130" s="1">
        <v>0</v>
      </c>
      <c r="S130" s="1"/>
      <c r="T130" s="20"/>
      <c r="U130" s="1">
        <f t="shared" si="24"/>
        <v>9.8000000000000007</v>
      </c>
      <c r="V130" s="5"/>
      <c r="W130" s="5">
        <f t="shared" si="25"/>
        <v>0</v>
      </c>
      <c r="X130" s="5">
        <f>W130-AA130</f>
        <v>0</v>
      </c>
      <c r="Y130" s="5"/>
      <c r="Z130" s="26"/>
      <c r="AA130" s="5"/>
      <c r="AB130" s="5"/>
      <c r="AC130" s="26"/>
      <c r="AD130" s="1"/>
      <c r="AE130" s="1">
        <f>(F130+O130+P130+Q130+R130+X130+Z130+AA130+T130+AC130)/U130</f>
        <v>13.122448979591837</v>
      </c>
      <c r="AF130" s="1">
        <f>(F130+O130+P130+Q130+R130)/U130</f>
        <v>13.122448979591837</v>
      </c>
      <c r="AG130" s="1">
        <v>6.6</v>
      </c>
      <c r="AH130" s="1">
        <v>14.4</v>
      </c>
      <c r="AI130" s="1">
        <v>13.2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 t="s">
        <v>306</v>
      </c>
      <c r="AR130" s="1">
        <f>ROUND(G130*X130,0)</f>
        <v>0</v>
      </c>
      <c r="AS130" s="1">
        <f>ROUND(G130*AA130,0)</f>
        <v>0</v>
      </c>
      <c r="AT130" t="s">
        <v>311</v>
      </c>
    </row>
    <row r="131" spans="1:46" x14ac:dyDescent="0.25">
      <c r="A131" s="1" t="s">
        <v>312</v>
      </c>
      <c r="B131" s="1" t="s">
        <v>54</v>
      </c>
      <c r="C131" s="1">
        <v>209</v>
      </c>
      <c r="D131" s="1">
        <v>25</v>
      </c>
      <c r="E131" s="1">
        <v>170</v>
      </c>
      <c r="F131" s="1">
        <v>42</v>
      </c>
      <c r="G131" s="7">
        <v>0.3</v>
      </c>
      <c r="H131" s="1">
        <v>40</v>
      </c>
      <c r="I131" s="1" t="s">
        <v>47</v>
      </c>
      <c r="J131" s="1"/>
      <c r="K131" s="1">
        <v>216</v>
      </c>
      <c r="L131" s="1">
        <f t="shared" si="22"/>
        <v>-46</v>
      </c>
      <c r="M131" s="1">
        <f t="shared" si="23"/>
        <v>170</v>
      </c>
      <c r="N131" s="1"/>
      <c r="O131" s="1">
        <v>0</v>
      </c>
      <c r="P131" s="1"/>
      <c r="Q131" s="1"/>
      <c r="R131" s="1">
        <v>173.2</v>
      </c>
      <c r="S131" s="1">
        <v>-173.33333333333334</v>
      </c>
      <c r="T131" s="20"/>
      <c r="U131" s="1">
        <f t="shared" si="24"/>
        <v>34</v>
      </c>
      <c r="V131" s="5">
        <f>12*U131-R131-Q131-P131-O131-F131</f>
        <v>192.8</v>
      </c>
      <c r="W131" s="5">
        <f t="shared" si="25"/>
        <v>192.8</v>
      </c>
      <c r="X131" s="5">
        <f>W131-AA131</f>
        <v>192.8</v>
      </c>
      <c r="Y131" s="5">
        <v>-196.66666666666669</v>
      </c>
      <c r="Z131" s="26"/>
      <c r="AA131" s="5"/>
      <c r="AB131" s="5"/>
      <c r="AC131" s="26"/>
      <c r="AD131" s="1"/>
      <c r="AE131" s="1">
        <f>(F131+O131+P131+Q131+R131+X131+Z131+AA131+T131+AC131)/U131</f>
        <v>12</v>
      </c>
      <c r="AF131" s="1">
        <f>(F131+O131+P131+Q131+R131)/U131</f>
        <v>6.3294117647058821</v>
      </c>
      <c r="AG131" s="1">
        <v>30.8</v>
      </c>
      <c r="AH131" s="1">
        <v>19.2</v>
      </c>
      <c r="AI131" s="1">
        <v>19</v>
      </c>
      <c r="AJ131" s="1">
        <v>33.6</v>
      </c>
      <c r="AK131" s="1">
        <v>39.4</v>
      </c>
      <c r="AL131" s="1">
        <v>30.6</v>
      </c>
      <c r="AM131" s="1">
        <v>24.4</v>
      </c>
      <c r="AN131" s="1">
        <v>27</v>
      </c>
      <c r="AO131" s="1">
        <v>31.4</v>
      </c>
      <c r="AP131" s="1">
        <v>32.799999999999997</v>
      </c>
      <c r="AQ131" s="1"/>
      <c r="AR131" s="1">
        <f>ROUND(G131*X131,0)</f>
        <v>58</v>
      </c>
      <c r="AS131" s="1">
        <f>ROUND(G131*AA131,0)</f>
        <v>0</v>
      </c>
      <c r="AT131" t="s">
        <v>313</v>
      </c>
    </row>
    <row r="132" spans="1:46" x14ac:dyDescent="0.25">
      <c r="A132" s="1" t="s">
        <v>314</v>
      </c>
      <c r="B132" s="1" t="s">
        <v>54</v>
      </c>
      <c r="C132" s="1">
        <v>86</v>
      </c>
      <c r="D132" s="1">
        <v>21</v>
      </c>
      <c r="E132" s="1">
        <v>96</v>
      </c>
      <c r="F132" s="1">
        <v>-9</v>
      </c>
      <c r="G132" s="7">
        <v>0.3</v>
      </c>
      <c r="H132" s="1">
        <v>40</v>
      </c>
      <c r="I132" s="15" t="s">
        <v>102</v>
      </c>
      <c r="J132" s="1"/>
      <c r="K132" s="1">
        <v>124</v>
      </c>
      <c r="L132" s="1">
        <f t="shared" si="22"/>
        <v>-28</v>
      </c>
      <c r="M132" s="1">
        <f t="shared" si="23"/>
        <v>96</v>
      </c>
      <c r="N132" s="1"/>
      <c r="O132" s="1">
        <v>91.999999999999943</v>
      </c>
      <c r="P132" s="1">
        <v>-96</v>
      </c>
      <c r="Q132" s="1"/>
      <c r="R132" s="1">
        <v>70</v>
      </c>
      <c r="S132" s="1">
        <v>-73.333333333333343</v>
      </c>
      <c r="T132" s="20"/>
      <c r="U132" s="1">
        <f t="shared" si="24"/>
        <v>19.2</v>
      </c>
      <c r="V132" s="5">
        <v>50</v>
      </c>
      <c r="W132" s="5">
        <f t="shared" si="25"/>
        <v>50</v>
      </c>
      <c r="X132" s="5">
        <f>W132-AA132</f>
        <v>50</v>
      </c>
      <c r="Y132" s="5">
        <v>-53.333333333333336</v>
      </c>
      <c r="Z132" s="26"/>
      <c r="AA132" s="5"/>
      <c r="AB132" s="5"/>
      <c r="AC132" s="26"/>
      <c r="AD132" s="1"/>
      <c r="AE132" s="1">
        <f>(F132+O132+P132+Q132+R132+X132+Z132+AA132+T132+AC132)/U132</f>
        <v>5.5729166666666643</v>
      </c>
      <c r="AF132" s="1">
        <f>(F132+O132+P132+Q132+R132)/U132</f>
        <v>2.9687499999999973</v>
      </c>
      <c r="AG132" s="1">
        <v>26.8</v>
      </c>
      <c r="AH132" s="1">
        <v>27.2</v>
      </c>
      <c r="AI132" s="1">
        <v>25.8</v>
      </c>
      <c r="AJ132" s="1">
        <v>20.8</v>
      </c>
      <c r="AK132" s="1">
        <v>23.6</v>
      </c>
      <c r="AL132" s="1">
        <v>23.6</v>
      </c>
      <c r="AM132" s="1">
        <v>23</v>
      </c>
      <c r="AN132" s="1">
        <v>22</v>
      </c>
      <c r="AO132" s="1">
        <v>25.8</v>
      </c>
      <c r="AP132" s="1">
        <v>23.2</v>
      </c>
      <c r="AQ132" s="1"/>
      <c r="AR132" s="1">
        <f>ROUND(G132*X132,0)</f>
        <v>15</v>
      </c>
      <c r="AS132" s="1">
        <f>ROUND(G132*AA132,0)</f>
        <v>0</v>
      </c>
      <c r="AT132" t="s">
        <v>315</v>
      </c>
    </row>
    <row r="133" spans="1:46" x14ac:dyDescent="0.25">
      <c r="A133" s="1" t="s">
        <v>316</v>
      </c>
      <c r="B133" s="1" t="s">
        <v>46</v>
      </c>
      <c r="C133" s="1">
        <v>116.381</v>
      </c>
      <c r="D133" s="1">
        <v>61.73</v>
      </c>
      <c r="E133" s="1">
        <v>69.518000000000001</v>
      </c>
      <c r="F133" s="1">
        <v>107.208</v>
      </c>
      <c r="G133" s="7">
        <v>1</v>
      </c>
      <c r="H133" s="1">
        <v>50</v>
      </c>
      <c r="I133" s="1" t="s">
        <v>47</v>
      </c>
      <c r="J133" s="1"/>
      <c r="K133" s="1">
        <v>64.099999999999994</v>
      </c>
      <c r="L133" s="1">
        <f t="shared" si="22"/>
        <v>5.4180000000000064</v>
      </c>
      <c r="M133" s="1">
        <f t="shared" si="23"/>
        <v>69.518000000000001</v>
      </c>
      <c r="N133" s="1"/>
      <c r="O133" s="1">
        <v>0</v>
      </c>
      <c r="P133" s="1"/>
      <c r="Q133" s="1"/>
      <c r="R133" s="1">
        <v>20.192199999999989</v>
      </c>
      <c r="S133" s="1"/>
      <c r="T133" s="20"/>
      <c r="U133" s="1">
        <f t="shared" si="24"/>
        <v>13.903600000000001</v>
      </c>
      <c r="V133" s="5">
        <f>12*U133-R133-Q133-P133-O133-F133</f>
        <v>39.44300000000004</v>
      </c>
      <c r="W133" s="5">
        <f t="shared" si="25"/>
        <v>39.44300000000004</v>
      </c>
      <c r="X133" s="5">
        <f>W133-AA133</f>
        <v>39.44300000000004</v>
      </c>
      <c r="Y133" s="5"/>
      <c r="Z133" s="26"/>
      <c r="AA133" s="5"/>
      <c r="AB133" s="5"/>
      <c r="AC133" s="26"/>
      <c r="AD133" s="1"/>
      <c r="AE133" s="1">
        <f>(F133+O133+P133+Q133+R133+X133+Z133+AA133+T133+AC133)/U133</f>
        <v>12.000000000000002</v>
      </c>
      <c r="AF133" s="1">
        <f>(F133+O133+P133+Q133+R133)/U133</f>
        <v>9.1631088351218377</v>
      </c>
      <c r="AG133" s="1">
        <v>13.324199999999999</v>
      </c>
      <c r="AH133" s="1">
        <v>7.5507999999999997</v>
      </c>
      <c r="AI133" s="1">
        <v>9.7211999999999996</v>
      </c>
      <c r="AJ133" s="1">
        <v>14.6806</v>
      </c>
      <c r="AK133" s="1">
        <v>16.251000000000001</v>
      </c>
      <c r="AL133" s="1">
        <v>9.7181999999999995</v>
      </c>
      <c r="AM133" s="1">
        <v>8.9572000000000003</v>
      </c>
      <c r="AN133" s="1">
        <v>9.7802000000000007</v>
      </c>
      <c r="AO133" s="1">
        <v>11.72</v>
      </c>
      <c r="AP133" s="1">
        <v>12.3124</v>
      </c>
      <c r="AQ133" s="1"/>
      <c r="AR133" s="1">
        <f>ROUND(G133*X133,0)</f>
        <v>39</v>
      </c>
      <c r="AS133" s="1">
        <f>ROUND(G133*AA133,0)</f>
        <v>0</v>
      </c>
      <c r="AT133" t="s">
        <v>317</v>
      </c>
    </row>
    <row r="134" spans="1:46" x14ac:dyDescent="0.25">
      <c r="A134" s="1" t="s">
        <v>318</v>
      </c>
      <c r="B134" s="1" t="s">
        <v>54</v>
      </c>
      <c r="C134" s="1">
        <v>12</v>
      </c>
      <c r="D134" s="1">
        <v>18</v>
      </c>
      <c r="E134" s="1">
        <v>23</v>
      </c>
      <c r="F134" s="1">
        <v>7</v>
      </c>
      <c r="G134" s="7">
        <v>0.3</v>
      </c>
      <c r="H134" s="1">
        <v>40</v>
      </c>
      <c r="I134" s="15" t="s">
        <v>102</v>
      </c>
      <c r="J134" s="1"/>
      <c r="K134" s="1">
        <v>76</v>
      </c>
      <c r="L134" s="1">
        <f t="shared" ref="L134:L136" si="26">E134-K134</f>
        <v>-53</v>
      </c>
      <c r="M134" s="1">
        <f t="shared" ref="M134:M136" si="27">E134-N134</f>
        <v>23</v>
      </c>
      <c r="N134" s="1"/>
      <c r="O134" s="1">
        <v>30</v>
      </c>
      <c r="P134" s="1">
        <v>0</v>
      </c>
      <c r="Q134" s="1"/>
      <c r="R134" s="1">
        <v>20</v>
      </c>
      <c r="S134" s="1">
        <v>-23.333333333333336</v>
      </c>
      <c r="T134" s="20"/>
      <c r="U134" s="1">
        <f t="shared" si="24"/>
        <v>4.5999999999999996</v>
      </c>
      <c r="V134" s="5">
        <v>15</v>
      </c>
      <c r="W134" s="5">
        <f t="shared" si="25"/>
        <v>15</v>
      </c>
      <c r="X134" s="5">
        <f>W134-AA134</f>
        <v>15</v>
      </c>
      <c r="Y134" s="5">
        <v>-16.666666666666668</v>
      </c>
      <c r="Z134" s="26"/>
      <c r="AA134" s="5"/>
      <c r="AB134" s="5"/>
      <c r="AC134" s="26"/>
      <c r="AD134" s="1"/>
      <c r="AE134" s="1">
        <f>(F134+O134+P134+Q134+R134+X134+Z134+AA134+T134+AC134)/U134</f>
        <v>15.65217391304348</v>
      </c>
      <c r="AF134" s="1">
        <f>(F134+O134+P134+Q134+R134)/U134</f>
        <v>12.391304347826088</v>
      </c>
      <c r="AG134" s="1">
        <v>2.8</v>
      </c>
      <c r="AH134" s="1">
        <v>9.1999999999999993</v>
      </c>
      <c r="AI134" s="1">
        <v>12</v>
      </c>
      <c r="AJ134" s="1">
        <v>10.6</v>
      </c>
      <c r="AK134" s="1">
        <v>11.8</v>
      </c>
      <c r="AL134" s="1">
        <v>9</v>
      </c>
      <c r="AM134" s="1">
        <v>7.4</v>
      </c>
      <c r="AN134" s="1">
        <v>8.1999999999999993</v>
      </c>
      <c r="AO134" s="1">
        <v>10.4</v>
      </c>
      <c r="AP134" s="1">
        <v>9</v>
      </c>
      <c r="AQ134" s="1"/>
      <c r="AR134" s="1">
        <f>ROUND(G134*X134,0)</f>
        <v>5</v>
      </c>
      <c r="AS134" s="1">
        <f>ROUND(G134*AA134,0)</f>
        <v>0</v>
      </c>
      <c r="AT134" t="s">
        <v>319</v>
      </c>
    </row>
    <row r="135" spans="1:46" x14ac:dyDescent="0.25">
      <c r="A135" s="1" t="s">
        <v>320</v>
      </c>
      <c r="B135" s="1" t="s">
        <v>54</v>
      </c>
      <c r="C135" s="1">
        <v>87</v>
      </c>
      <c r="D135" s="1">
        <v>14</v>
      </c>
      <c r="E135" s="1">
        <v>59</v>
      </c>
      <c r="F135" s="1">
        <v>34</v>
      </c>
      <c r="G135" s="7">
        <v>0.12</v>
      </c>
      <c r="H135" s="1">
        <v>45</v>
      </c>
      <c r="I135" s="1" t="s">
        <v>47</v>
      </c>
      <c r="J135" s="1"/>
      <c r="K135" s="1">
        <v>70</v>
      </c>
      <c r="L135" s="1">
        <f t="shared" si="26"/>
        <v>-11</v>
      </c>
      <c r="M135" s="1">
        <f t="shared" si="27"/>
        <v>59</v>
      </c>
      <c r="N135" s="1"/>
      <c r="O135" s="1">
        <v>25.399999999999991</v>
      </c>
      <c r="P135" s="1">
        <v>0</v>
      </c>
      <c r="Q135" s="1"/>
      <c r="R135" s="1">
        <v>10</v>
      </c>
      <c r="S135" s="1"/>
      <c r="T135" s="20"/>
      <c r="U135" s="1">
        <f t="shared" si="24"/>
        <v>11.8</v>
      </c>
      <c r="V135" s="5">
        <f>12*U135-R135-Q135-P135-O135-F135</f>
        <v>72.200000000000031</v>
      </c>
      <c r="W135" s="5">
        <f t="shared" si="25"/>
        <v>72.200000000000031</v>
      </c>
      <c r="X135" s="5">
        <f>W135-AA135</f>
        <v>72.200000000000031</v>
      </c>
      <c r="Y135" s="5"/>
      <c r="Z135" s="26"/>
      <c r="AA135" s="5"/>
      <c r="AB135" s="5"/>
      <c r="AC135" s="26"/>
      <c r="AD135" s="1"/>
      <c r="AE135" s="1">
        <f>(F135+O135+P135+Q135+R135+X135+Z135+AA135+T135+AC135)/U135</f>
        <v>12.000000000000002</v>
      </c>
      <c r="AF135" s="1">
        <f>(F135+O135+P135+Q135+R135)/U135</f>
        <v>5.8813559322033884</v>
      </c>
      <c r="AG135" s="1">
        <v>8.6</v>
      </c>
      <c r="AH135" s="1">
        <v>9.1999999999999993</v>
      </c>
      <c r="AI135" s="1">
        <v>6.6</v>
      </c>
      <c r="AJ135" s="1">
        <v>6</v>
      </c>
      <c r="AK135" s="1">
        <v>11.4</v>
      </c>
      <c r="AL135" s="1">
        <v>10.4</v>
      </c>
      <c r="AM135" s="1">
        <v>2.2000000000000002</v>
      </c>
      <c r="AN135" s="1">
        <v>3.6</v>
      </c>
      <c r="AO135" s="1">
        <v>6.6</v>
      </c>
      <c r="AP135" s="1">
        <v>11.8</v>
      </c>
      <c r="AQ135" s="1"/>
      <c r="AR135" s="1">
        <f>ROUND(G135*X135,0)</f>
        <v>9</v>
      </c>
      <c r="AS135" s="1">
        <f>ROUND(G135*AA135,0)</f>
        <v>0</v>
      </c>
      <c r="AT135" t="s">
        <v>321</v>
      </c>
    </row>
    <row r="136" spans="1:46" x14ac:dyDescent="0.25">
      <c r="A136" s="10" t="s">
        <v>322</v>
      </c>
      <c r="B136" s="10" t="s">
        <v>54</v>
      </c>
      <c r="C136" s="10"/>
      <c r="D136" s="10">
        <v>77</v>
      </c>
      <c r="E136" s="10">
        <v>24</v>
      </c>
      <c r="F136" s="10">
        <v>51</v>
      </c>
      <c r="G136" s="11">
        <v>0</v>
      </c>
      <c r="H136" s="10"/>
      <c r="I136" s="10" t="s">
        <v>323</v>
      </c>
      <c r="J136" s="10" t="s">
        <v>308</v>
      </c>
      <c r="K136" s="10">
        <v>26</v>
      </c>
      <c r="L136" s="10">
        <f t="shared" si="26"/>
        <v>-2</v>
      </c>
      <c r="M136" s="10">
        <f t="shared" si="27"/>
        <v>24</v>
      </c>
      <c r="N136" s="10"/>
      <c r="O136" s="10">
        <v>0</v>
      </c>
      <c r="P136" s="10"/>
      <c r="Q136" s="10"/>
      <c r="R136" s="10">
        <v>0</v>
      </c>
      <c r="S136" s="10"/>
      <c r="T136" s="22"/>
      <c r="U136" s="10">
        <f t="shared" si="24"/>
        <v>4.8</v>
      </c>
      <c r="V136" s="12"/>
      <c r="W136" s="5">
        <f t="shared" si="25"/>
        <v>0</v>
      </c>
      <c r="X136" s="5">
        <f>W136-AA136</f>
        <v>0</v>
      </c>
      <c r="Y136" s="5"/>
      <c r="Z136" s="26"/>
      <c r="AA136" s="5"/>
      <c r="AB136" s="5"/>
      <c r="AC136" s="26"/>
      <c r="AD136" s="1"/>
      <c r="AE136" s="1">
        <f>(F136+O136+P136+Q136+R136+X136+Z136+AA136+T136+AC136)/U136</f>
        <v>10.625</v>
      </c>
      <c r="AF136" s="10">
        <f>(F136+O136+P136+Q136+R136)/U136</f>
        <v>10.625</v>
      </c>
      <c r="AG136" s="10">
        <v>2.4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/>
      <c r="AR136" s="1">
        <f>ROUND(G136*X136,0)</f>
        <v>0</v>
      </c>
      <c r="AS136" s="1">
        <f>ROUND(G136*AA136,0)</f>
        <v>0</v>
      </c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0"/>
      <c r="U137" s="1"/>
      <c r="V137" s="1"/>
      <c r="W137" s="1"/>
      <c r="X137" s="1"/>
      <c r="Y137" s="1"/>
      <c r="Z137" s="20"/>
      <c r="AA137" s="1"/>
      <c r="AB137" s="1"/>
      <c r="AC137" s="20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0"/>
      <c r="U138" s="1"/>
      <c r="V138" s="1"/>
      <c r="W138" s="1"/>
      <c r="X138" s="1"/>
      <c r="Y138" s="1"/>
      <c r="Z138" s="20"/>
      <c r="AA138" s="1"/>
      <c r="AB138" s="1"/>
      <c r="AC138" s="20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0"/>
      <c r="U139" s="1"/>
      <c r="V139" s="1"/>
      <c r="W139" s="1"/>
      <c r="X139" s="1"/>
      <c r="Y139" s="1"/>
      <c r="Z139" s="20"/>
      <c r="AA139" s="1"/>
      <c r="AB139" s="1"/>
      <c r="AC139" s="20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0"/>
      <c r="U140" s="1"/>
      <c r="V140" s="1"/>
      <c r="W140" s="1"/>
      <c r="X140" s="1"/>
      <c r="Y140" s="1"/>
      <c r="Z140" s="20"/>
      <c r="AA140" s="1"/>
      <c r="AB140" s="1"/>
      <c r="AC140" s="20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0"/>
      <c r="U141" s="1"/>
      <c r="V141" s="1"/>
      <c r="W141" s="1"/>
      <c r="X141" s="1"/>
      <c r="Y141" s="1"/>
      <c r="Z141" s="20"/>
      <c r="AA141" s="1"/>
      <c r="AB141" s="1"/>
      <c r="AC141" s="20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0"/>
      <c r="U142" s="1"/>
      <c r="V142" s="1"/>
      <c r="W142" s="1"/>
      <c r="X142" s="1"/>
      <c r="Y142" s="1"/>
      <c r="Z142" s="20"/>
      <c r="AA142" s="1"/>
      <c r="AB142" s="1"/>
      <c r="AC142" s="20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0"/>
      <c r="U143" s="1"/>
      <c r="V143" s="1"/>
      <c r="W143" s="1"/>
      <c r="X143" s="1"/>
      <c r="Y143" s="1"/>
      <c r="Z143" s="20"/>
      <c r="AA143" s="1"/>
      <c r="AB143" s="1"/>
      <c r="AC143" s="20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0"/>
      <c r="U144" s="1"/>
      <c r="V144" s="1"/>
      <c r="W144" s="1"/>
      <c r="X144" s="1"/>
      <c r="Y144" s="1"/>
      <c r="Z144" s="20"/>
      <c r="AA144" s="1"/>
      <c r="AB144" s="1"/>
      <c r="AC144" s="20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0"/>
      <c r="U145" s="1"/>
      <c r="V145" s="1"/>
      <c r="W145" s="1"/>
      <c r="X145" s="1"/>
      <c r="Y145" s="1"/>
      <c r="Z145" s="20"/>
      <c r="AA145" s="1"/>
      <c r="AB145" s="1"/>
      <c r="AC145" s="20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0"/>
      <c r="U146" s="1"/>
      <c r="V146" s="1"/>
      <c r="W146" s="1"/>
      <c r="X146" s="1"/>
      <c r="Y146" s="1"/>
      <c r="Z146" s="20"/>
      <c r="AA146" s="1"/>
      <c r="AB146" s="1"/>
      <c r="AC146" s="20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0"/>
      <c r="U147" s="1"/>
      <c r="V147" s="1"/>
      <c r="W147" s="1"/>
      <c r="X147" s="1"/>
      <c r="Y147" s="1"/>
      <c r="Z147" s="20"/>
      <c r="AA147" s="1"/>
      <c r="AB147" s="1"/>
      <c r="AC147" s="20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0"/>
      <c r="U148" s="1"/>
      <c r="V148" s="1"/>
      <c r="W148" s="1"/>
      <c r="X148" s="1"/>
      <c r="Y148" s="1"/>
      <c r="Z148" s="20"/>
      <c r="AA148" s="1"/>
      <c r="AB148" s="1"/>
      <c r="AC148" s="20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0"/>
      <c r="U149" s="1"/>
      <c r="V149" s="1"/>
      <c r="W149" s="1"/>
      <c r="X149" s="1"/>
      <c r="Y149" s="1"/>
      <c r="Z149" s="20"/>
      <c r="AA149" s="1"/>
      <c r="AB149" s="1"/>
      <c r="AC149" s="20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0"/>
      <c r="U150" s="1"/>
      <c r="V150" s="1"/>
      <c r="W150" s="1"/>
      <c r="X150" s="1"/>
      <c r="Y150" s="1"/>
      <c r="Z150" s="20"/>
      <c r="AA150" s="1"/>
      <c r="AB150" s="1"/>
      <c r="AC150" s="20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0"/>
      <c r="U151" s="1"/>
      <c r="V151" s="1"/>
      <c r="W151" s="1"/>
      <c r="X151" s="1"/>
      <c r="Y151" s="1"/>
      <c r="Z151" s="20"/>
      <c r="AA151" s="1"/>
      <c r="AB151" s="1"/>
      <c r="AC151" s="20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0"/>
      <c r="U152" s="1"/>
      <c r="V152" s="1"/>
      <c r="W152" s="1"/>
      <c r="X152" s="1"/>
      <c r="Y152" s="1"/>
      <c r="Z152" s="20"/>
      <c r="AA152" s="1"/>
      <c r="AB152" s="1"/>
      <c r="AC152" s="20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0"/>
      <c r="U153" s="1"/>
      <c r="V153" s="1"/>
      <c r="W153" s="1"/>
      <c r="X153" s="1"/>
      <c r="Y153" s="1"/>
      <c r="Z153" s="20"/>
      <c r="AA153" s="1"/>
      <c r="AB153" s="1"/>
      <c r="AC153" s="20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0"/>
      <c r="U154" s="1"/>
      <c r="V154" s="1"/>
      <c r="W154" s="1"/>
      <c r="X154" s="1"/>
      <c r="Y154" s="1"/>
      <c r="Z154" s="20"/>
      <c r="AA154" s="1"/>
      <c r="AB154" s="1"/>
      <c r="AC154" s="20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0"/>
      <c r="U155" s="1"/>
      <c r="V155" s="1"/>
      <c r="W155" s="1"/>
      <c r="X155" s="1"/>
      <c r="Y155" s="1"/>
      <c r="Z155" s="20"/>
      <c r="AA155" s="1"/>
      <c r="AB155" s="1"/>
      <c r="AC155" s="20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0"/>
      <c r="U156" s="1"/>
      <c r="V156" s="1"/>
      <c r="W156" s="1"/>
      <c r="X156" s="1"/>
      <c r="Y156" s="1"/>
      <c r="Z156" s="20"/>
      <c r="AA156" s="1"/>
      <c r="AB156" s="1"/>
      <c r="AC156" s="20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0"/>
      <c r="U157" s="1"/>
      <c r="V157" s="1"/>
      <c r="W157" s="1"/>
      <c r="X157" s="1"/>
      <c r="Y157" s="1"/>
      <c r="Z157" s="20"/>
      <c r="AA157" s="1"/>
      <c r="AB157" s="1"/>
      <c r="AC157" s="20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0"/>
      <c r="U158" s="1"/>
      <c r="V158" s="1"/>
      <c r="W158" s="1"/>
      <c r="X158" s="1"/>
      <c r="Y158" s="1"/>
      <c r="Z158" s="20"/>
      <c r="AA158" s="1"/>
      <c r="AB158" s="1"/>
      <c r="AC158" s="20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0"/>
      <c r="U159" s="1"/>
      <c r="V159" s="1"/>
      <c r="W159" s="1"/>
      <c r="X159" s="1"/>
      <c r="Y159" s="1"/>
      <c r="Z159" s="20"/>
      <c r="AA159" s="1"/>
      <c r="AB159" s="1"/>
      <c r="AC159" s="20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0"/>
      <c r="U160" s="1"/>
      <c r="V160" s="1"/>
      <c r="W160" s="1"/>
      <c r="X160" s="1"/>
      <c r="Y160" s="1"/>
      <c r="Z160" s="20"/>
      <c r="AA160" s="1"/>
      <c r="AB160" s="1"/>
      <c r="AC160" s="20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0"/>
      <c r="U161" s="1"/>
      <c r="V161" s="1"/>
      <c r="W161" s="1"/>
      <c r="X161" s="1"/>
      <c r="Y161" s="1"/>
      <c r="Z161" s="20"/>
      <c r="AA161" s="1"/>
      <c r="AB161" s="1"/>
      <c r="AC161" s="20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0"/>
      <c r="U162" s="1"/>
      <c r="V162" s="1"/>
      <c r="W162" s="1"/>
      <c r="X162" s="1"/>
      <c r="Y162" s="1"/>
      <c r="Z162" s="20"/>
      <c r="AA162" s="1"/>
      <c r="AB162" s="1"/>
      <c r="AC162" s="20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0"/>
      <c r="U163" s="1"/>
      <c r="V163" s="1"/>
      <c r="W163" s="1"/>
      <c r="X163" s="1"/>
      <c r="Y163" s="1"/>
      <c r="Z163" s="20"/>
      <c r="AA163" s="1"/>
      <c r="AB163" s="1"/>
      <c r="AC163" s="20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0"/>
      <c r="U164" s="1"/>
      <c r="V164" s="1"/>
      <c r="W164" s="1"/>
      <c r="X164" s="1"/>
      <c r="Y164" s="1"/>
      <c r="Z164" s="20"/>
      <c r="AA164" s="1"/>
      <c r="AB164" s="1"/>
      <c r="AC164" s="20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0"/>
      <c r="U165" s="1"/>
      <c r="V165" s="1"/>
      <c r="W165" s="1"/>
      <c r="X165" s="1"/>
      <c r="Y165" s="1"/>
      <c r="Z165" s="20"/>
      <c r="AA165" s="1"/>
      <c r="AB165" s="1"/>
      <c r="AC165" s="20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0"/>
      <c r="U166" s="1"/>
      <c r="V166" s="1"/>
      <c r="W166" s="1"/>
      <c r="X166" s="1"/>
      <c r="Y166" s="1"/>
      <c r="Z166" s="20"/>
      <c r="AA166" s="1"/>
      <c r="AB166" s="1"/>
      <c r="AC166" s="20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0"/>
      <c r="U167" s="1"/>
      <c r="V167" s="1"/>
      <c r="W167" s="1"/>
      <c r="X167" s="1"/>
      <c r="Y167" s="1"/>
      <c r="Z167" s="20"/>
      <c r="AA167" s="1"/>
      <c r="AB167" s="1"/>
      <c r="AC167" s="20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0"/>
      <c r="U168" s="1"/>
      <c r="V168" s="1"/>
      <c r="W168" s="1"/>
      <c r="X168" s="1"/>
      <c r="Y168" s="1"/>
      <c r="Z168" s="20"/>
      <c r="AA168" s="1"/>
      <c r="AB168" s="1"/>
      <c r="AC168" s="20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0"/>
      <c r="U169" s="1"/>
      <c r="V169" s="1"/>
      <c r="W169" s="1"/>
      <c r="X169" s="1"/>
      <c r="Y169" s="1"/>
      <c r="Z169" s="20"/>
      <c r="AA169" s="1"/>
      <c r="AB169" s="1"/>
      <c r="AC169" s="20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0"/>
      <c r="U170" s="1"/>
      <c r="V170" s="1"/>
      <c r="W170" s="1"/>
      <c r="X170" s="1"/>
      <c r="Y170" s="1"/>
      <c r="Z170" s="20"/>
      <c r="AA170" s="1"/>
      <c r="AB170" s="1"/>
      <c r="AC170" s="20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0"/>
      <c r="U171" s="1"/>
      <c r="V171" s="1"/>
      <c r="W171" s="1"/>
      <c r="X171" s="1"/>
      <c r="Y171" s="1"/>
      <c r="Z171" s="20"/>
      <c r="AA171" s="1"/>
      <c r="AB171" s="1"/>
      <c r="AC171" s="20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0"/>
      <c r="U172" s="1"/>
      <c r="V172" s="1"/>
      <c r="W172" s="1"/>
      <c r="X172" s="1"/>
      <c r="Y172" s="1"/>
      <c r="Z172" s="20"/>
      <c r="AA172" s="1"/>
      <c r="AB172" s="1"/>
      <c r="AC172" s="20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0"/>
      <c r="U173" s="1"/>
      <c r="V173" s="1"/>
      <c r="W173" s="1"/>
      <c r="X173" s="1"/>
      <c r="Y173" s="1"/>
      <c r="Z173" s="20"/>
      <c r="AA173" s="1"/>
      <c r="AB173" s="1"/>
      <c r="AC173" s="20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0"/>
      <c r="U174" s="1"/>
      <c r="V174" s="1"/>
      <c r="W174" s="1"/>
      <c r="X174" s="1"/>
      <c r="Y174" s="1"/>
      <c r="Z174" s="20"/>
      <c r="AA174" s="1"/>
      <c r="AB174" s="1"/>
      <c r="AC174" s="20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0"/>
      <c r="U175" s="1"/>
      <c r="V175" s="1"/>
      <c r="W175" s="1"/>
      <c r="X175" s="1"/>
      <c r="Y175" s="1"/>
      <c r="Z175" s="20"/>
      <c r="AA175" s="1"/>
      <c r="AB175" s="1"/>
      <c r="AC175" s="20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0"/>
      <c r="U176" s="1"/>
      <c r="V176" s="1"/>
      <c r="W176" s="1"/>
      <c r="X176" s="1"/>
      <c r="Y176" s="1"/>
      <c r="Z176" s="20"/>
      <c r="AA176" s="1"/>
      <c r="AB176" s="1"/>
      <c r="AC176" s="20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0"/>
      <c r="U177" s="1"/>
      <c r="V177" s="1"/>
      <c r="W177" s="1"/>
      <c r="X177" s="1"/>
      <c r="Y177" s="1"/>
      <c r="Z177" s="20"/>
      <c r="AA177" s="1"/>
      <c r="AB177" s="1"/>
      <c r="AC177" s="20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0"/>
      <c r="U178" s="1"/>
      <c r="V178" s="1"/>
      <c r="W178" s="1"/>
      <c r="X178" s="1"/>
      <c r="Y178" s="1"/>
      <c r="Z178" s="20"/>
      <c r="AA178" s="1"/>
      <c r="AB178" s="1"/>
      <c r="AC178" s="20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0"/>
      <c r="U179" s="1"/>
      <c r="V179" s="1"/>
      <c r="W179" s="1"/>
      <c r="X179" s="1"/>
      <c r="Y179" s="1"/>
      <c r="Z179" s="20"/>
      <c r="AA179" s="1"/>
      <c r="AB179" s="1"/>
      <c r="AC179" s="20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0"/>
      <c r="U180" s="1"/>
      <c r="V180" s="1"/>
      <c r="W180" s="1"/>
      <c r="X180" s="1"/>
      <c r="Y180" s="1"/>
      <c r="Z180" s="20"/>
      <c r="AA180" s="1"/>
      <c r="AB180" s="1"/>
      <c r="AC180" s="20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0"/>
      <c r="U181" s="1"/>
      <c r="V181" s="1"/>
      <c r="W181" s="1"/>
      <c r="X181" s="1"/>
      <c r="Y181" s="1"/>
      <c r="Z181" s="20"/>
      <c r="AA181" s="1"/>
      <c r="AB181" s="1"/>
      <c r="AC181" s="20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0"/>
      <c r="U182" s="1"/>
      <c r="V182" s="1"/>
      <c r="W182" s="1"/>
      <c r="X182" s="1"/>
      <c r="Y182" s="1"/>
      <c r="Z182" s="20"/>
      <c r="AA182" s="1"/>
      <c r="AB182" s="1"/>
      <c r="AC182" s="20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0"/>
      <c r="U183" s="1"/>
      <c r="V183" s="1"/>
      <c r="W183" s="1"/>
      <c r="X183" s="1"/>
      <c r="Y183" s="1"/>
      <c r="Z183" s="20"/>
      <c r="AA183" s="1"/>
      <c r="AB183" s="1"/>
      <c r="AC183" s="20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0"/>
      <c r="U184" s="1"/>
      <c r="V184" s="1"/>
      <c r="W184" s="1"/>
      <c r="X184" s="1"/>
      <c r="Y184" s="1"/>
      <c r="Z184" s="20"/>
      <c r="AA184" s="1"/>
      <c r="AB184" s="1"/>
      <c r="AC184" s="20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0"/>
      <c r="U185" s="1"/>
      <c r="V185" s="1"/>
      <c r="W185" s="1"/>
      <c r="X185" s="1"/>
      <c r="Y185" s="1"/>
      <c r="Z185" s="20"/>
      <c r="AA185" s="1"/>
      <c r="AB185" s="1"/>
      <c r="AC185" s="20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0"/>
      <c r="U186" s="1"/>
      <c r="V186" s="1"/>
      <c r="W186" s="1"/>
      <c r="X186" s="1"/>
      <c r="Y186" s="1"/>
      <c r="Z186" s="20"/>
      <c r="AA186" s="1"/>
      <c r="AB186" s="1"/>
      <c r="AC186" s="20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0"/>
      <c r="U187" s="1"/>
      <c r="V187" s="1"/>
      <c r="W187" s="1"/>
      <c r="X187" s="1"/>
      <c r="Y187" s="1"/>
      <c r="Z187" s="20"/>
      <c r="AA187" s="1"/>
      <c r="AB187" s="1"/>
      <c r="AC187" s="20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0"/>
      <c r="U188" s="1"/>
      <c r="V188" s="1"/>
      <c r="W188" s="1"/>
      <c r="X188" s="1"/>
      <c r="Y188" s="1"/>
      <c r="Z188" s="20"/>
      <c r="AA188" s="1"/>
      <c r="AB188" s="1"/>
      <c r="AC188" s="20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0"/>
      <c r="U189" s="1"/>
      <c r="V189" s="1"/>
      <c r="W189" s="1"/>
      <c r="X189" s="1"/>
      <c r="Y189" s="1"/>
      <c r="Z189" s="20"/>
      <c r="AA189" s="1"/>
      <c r="AB189" s="1"/>
      <c r="AC189" s="20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0"/>
      <c r="U190" s="1"/>
      <c r="V190" s="1"/>
      <c r="W190" s="1"/>
      <c r="X190" s="1"/>
      <c r="Y190" s="1"/>
      <c r="Z190" s="20"/>
      <c r="AA190" s="1"/>
      <c r="AB190" s="1"/>
      <c r="AC190" s="20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0"/>
      <c r="U191" s="1"/>
      <c r="V191" s="1"/>
      <c r="W191" s="1"/>
      <c r="X191" s="1"/>
      <c r="Y191" s="1"/>
      <c r="Z191" s="20"/>
      <c r="AA191" s="1"/>
      <c r="AB191" s="1"/>
      <c r="AC191" s="20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0"/>
      <c r="U192" s="1"/>
      <c r="V192" s="1"/>
      <c r="W192" s="1"/>
      <c r="X192" s="1"/>
      <c r="Y192" s="1"/>
      <c r="Z192" s="20"/>
      <c r="AA192" s="1"/>
      <c r="AB192" s="1"/>
      <c r="AC192" s="20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0"/>
      <c r="U193" s="1"/>
      <c r="V193" s="1"/>
      <c r="W193" s="1"/>
      <c r="X193" s="1"/>
      <c r="Y193" s="1"/>
      <c r="Z193" s="20"/>
      <c r="AA193" s="1"/>
      <c r="AB193" s="1"/>
      <c r="AC193" s="20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0"/>
      <c r="U194" s="1"/>
      <c r="V194" s="1"/>
      <c r="W194" s="1"/>
      <c r="X194" s="1"/>
      <c r="Y194" s="1"/>
      <c r="Z194" s="20"/>
      <c r="AA194" s="1"/>
      <c r="AB194" s="1"/>
      <c r="AC194" s="20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0"/>
      <c r="U195" s="1"/>
      <c r="V195" s="1"/>
      <c r="W195" s="1"/>
      <c r="X195" s="1"/>
      <c r="Y195" s="1"/>
      <c r="Z195" s="20"/>
      <c r="AA195" s="1"/>
      <c r="AB195" s="1"/>
      <c r="AC195" s="20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0"/>
      <c r="U196" s="1"/>
      <c r="V196" s="1"/>
      <c r="W196" s="1"/>
      <c r="X196" s="1"/>
      <c r="Y196" s="1"/>
      <c r="Z196" s="20"/>
      <c r="AA196" s="1"/>
      <c r="AB196" s="1"/>
      <c r="AC196" s="20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0"/>
      <c r="U197" s="1"/>
      <c r="V197" s="1"/>
      <c r="W197" s="1"/>
      <c r="X197" s="1"/>
      <c r="Y197" s="1"/>
      <c r="Z197" s="20"/>
      <c r="AA197" s="1"/>
      <c r="AB197" s="1"/>
      <c r="AC197" s="20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0"/>
      <c r="U198" s="1"/>
      <c r="V198" s="1"/>
      <c r="W198" s="1"/>
      <c r="X198" s="1"/>
      <c r="Y198" s="1"/>
      <c r="Z198" s="20"/>
      <c r="AA198" s="1"/>
      <c r="AB198" s="1"/>
      <c r="AC198" s="20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0"/>
      <c r="U199" s="1"/>
      <c r="V199" s="1"/>
      <c r="W199" s="1"/>
      <c r="X199" s="1"/>
      <c r="Y199" s="1"/>
      <c r="Z199" s="20"/>
      <c r="AA199" s="1"/>
      <c r="AB199" s="1"/>
      <c r="AC199" s="20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0"/>
      <c r="U200" s="1"/>
      <c r="V200" s="1"/>
      <c r="W200" s="1"/>
      <c r="X200" s="1"/>
      <c r="Y200" s="1"/>
      <c r="Z200" s="20"/>
      <c r="AA200" s="1"/>
      <c r="AB200" s="1"/>
      <c r="AC200" s="20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0"/>
      <c r="U201" s="1"/>
      <c r="V201" s="1"/>
      <c r="W201" s="1"/>
      <c r="X201" s="1"/>
      <c r="Y201" s="1"/>
      <c r="Z201" s="20"/>
      <c r="AA201" s="1"/>
      <c r="AB201" s="1"/>
      <c r="AC201" s="20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0"/>
      <c r="U202" s="1"/>
      <c r="V202" s="1"/>
      <c r="W202" s="1"/>
      <c r="X202" s="1"/>
      <c r="Y202" s="1"/>
      <c r="Z202" s="20"/>
      <c r="AA202" s="1"/>
      <c r="AB202" s="1"/>
      <c r="AC202" s="20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0"/>
      <c r="U203" s="1"/>
      <c r="V203" s="1"/>
      <c r="W203" s="1"/>
      <c r="X203" s="1"/>
      <c r="Y203" s="1"/>
      <c r="Z203" s="20"/>
      <c r="AA203" s="1"/>
      <c r="AB203" s="1"/>
      <c r="AC203" s="20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0"/>
      <c r="U204" s="1"/>
      <c r="V204" s="1"/>
      <c r="W204" s="1"/>
      <c r="X204" s="1"/>
      <c r="Y204" s="1"/>
      <c r="Z204" s="20"/>
      <c r="AA204" s="1"/>
      <c r="AB204" s="1"/>
      <c r="AC204" s="20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0"/>
      <c r="U205" s="1"/>
      <c r="V205" s="1"/>
      <c r="W205" s="1"/>
      <c r="X205" s="1"/>
      <c r="Y205" s="1"/>
      <c r="Z205" s="20"/>
      <c r="AA205" s="1"/>
      <c r="AB205" s="1"/>
      <c r="AC205" s="20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0"/>
      <c r="U206" s="1"/>
      <c r="V206" s="1"/>
      <c r="W206" s="1"/>
      <c r="X206" s="1"/>
      <c r="Y206" s="1"/>
      <c r="Z206" s="20"/>
      <c r="AA206" s="1"/>
      <c r="AB206" s="1"/>
      <c r="AC206" s="20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0"/>
      <c r="U207" s="1"/>
      <c r="V207" s="1"/>
      <c r="W207" s="1"/>
      <c r="X207" s="1"/>
      <c r="Y207" s="1"/>
      <c r="Z207" s="20"/>
      <c r="AA207" s="1"/>
      <c r="AB207" s="1"/>
      <c r="AC207" s="20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0"/>
      <c r="U208" s="1"/>
      <c r="V208" s="1"/>
      <c r="W208" s="1"/>
      <c r="X208" s="1"/>
      <c r="Y208" s="1"/>
      <c r="Z208" s="20"/>
      <c r="AA208" s="1"/>
      <c r="AB208" s="1"/>
      <c r="AC208" s="20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0"/>
      <c r="U209" s="1"/>
      <c r="V209" s="1"/>
      <c r="W209" s="1"/>
      <c r="X209" s="1"/>
      <c r="Y209" s="1"/>
      <c r="Z209" s="20"/>
      <c r="AA209" s="1"/>
      <c r="AB209" s="1"/>
      <c r="AC209" s="20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0"/>
      <c r="U210" s="1"/>
      <c r="V210" s="1"/>
      <c r="W210" s="1"/>
      <c r="X210" s="1"/>
      <c r="Y210" s="1"/>
      <c r="Z210" s="20"/>
      <c r="AA210" s="1"/>
      <c r="AB210" s="1"/>
      <c r="AC210" s="20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0"/>
      <c r="U211" s="1"/>
      <c r="V211" s="1"/>
      <c r="W211" s="1"/>
      <c r="X211" s="1"/>
      <c r="Y211" s="1"/>
      <c r="Z211" s="20"/>
      <c r="AA211" s="1"/>
      <c r="AB211" s="1"/>
      <c r="AC211" s="20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0"/>
      <c r="U212" s="1"/>
      <c r="V212" s="1"/>
      <c r="W212" s="1"/>
      <c r="X212" s="1"/>
      <c r="Y212" s="1"/>
      <c r="Z212" s="20"/>
      <c r="AA212" s="1"/>
      <c r="AB212" s="1"/>
      <c r="AC212" s="20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0"/>
      <c r="U213" s="1"/>
      <c r="V213" s="1"/>
      <c r="W213" s="1"/>
      <c r="X213" s="1"/>
      <c r="Y213" s="1"/>
      <c r="Z213" s="20"/>
      <c r="AA213" s="1"/>
      <c r="AB213" s="1"/>
      <c r="AC213" s="20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0"/>
      <c r="U214" s="1"/>
      <c r="V214" s="1"/>
      <c r="W214" s="1"/>
      <c r="X214" s="1"/>
      <c r="Y214" s="1"/>
      <c r="Z214" s="20"/>
      <c r="AA214" s="1"/>
      <c r="AB214" s="1"/>
      <c r="AC214" s="20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0"/>
      <c r="U215" s="1"/>
      <c r="V215" s="1"/>
      <c r="W215" s="1"/>
      <c r="X215" s="1"/>
      <c r="Y215" s="1"/>
      <c r="Z215" s="20"/>
      <c r="AA215" s="1"/>
      <c r="AB215" s="1"/>
      <c r="AC215" s="20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0"/>
      <c r="U216" s="1"/>
      <c r="V216" s="1"/>
      <c r="W216" s="1"/>
      <c r="X216" s="1"/>
      <c r="Y216" s="1"/>
      <c r="Z216" s="20"/>
      <c r="AA216" s="1"/>
      <c r="AB216" s="1"/>
      <c r="AC216" s="20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0"/>
      <c r="U217" s="1"/>
      <c r="V217" s="1"/>
      <c r="W217" s="1"/>
      <c r="X217" s="1"/>
      <c r="Y217" s="1"/>
      <c r="Z217" s="20"/>
      <c r="AA217" s="1"/>
      <c r="AB217" s="1"/>
      <c r="AC217" s="20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0"/>
      <c r="U218" s="1"/>
      <c r="V218" s="1"/>
      <c r="W218" s="1"/>
      <c r="X218" s="1"/>
      <c r="Y218" s="1"/>
      <c r="Z218" s="20"/>
      <c r="AA218" s="1"/>
      <c r="AB218" s="1"/>
      <c r="AC218" s="20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0"/>
      <c r="U219" s="1"/>
      <c r="V219" s="1"/>
      <c r="W219" s="1"/>
      <c r="X219" s="1"/>
      <c r="Y219" s="1"/>
      <c r="Z219" s="20"/>
      <c r="AA219" s="1"/>
      <c r="AB219" s="1"/>
      <c r="AC219" s="20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0"/>
      <c r="U220" s="1"/>
      <c r="V220" s="1"/>
      <c r="W220" s="1"/>
      <c r="X220" s="1"/>
      <c r="Y220" s="1"/>
      <c r="Z220" s="20"/>
      <c r="AA220" s="1"/>
      <c r="AB220" s="1"/>
      <c r="AC220" s="20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0"/>
      <c r="U221" s="1"/>
      <c r="V221" s="1"/>
      <c r="W221" s="1"/>
      <c r="X221" s="1"/>
      <c r="Y221" s="1"/>
      <c r="Z221" s="20"/>
      <c r="AA221" s="1"/>
      <c r="AB221" s="1"/>
      <c r="AC221" s="20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0"/>
      <c r="U222" s="1"/>
      <c r="V222" s="1"/>
      <c r="W222" s="1"/>
      <c r="X222" s="1"/>
      <c r="Y222" s="1"/>
      <c r="Z222" s="20"/>
      <c r="AA222" s="1"/>
      <c r="AB222" s="1"/>
      <c r="AC222" s="20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0"/>
      <c r="U223" s="1"/>
      <c r="V223" s="1"/>
      <c r="W223" s="1"/>
      <c r="X223" s="1"/>
      <c r="Y223" s="1"/>
      <c r="Z223" s="20"/>
      <c r="AA223" s="1"/>
      <c r="AB223" s="1"/>
      <c r="AC223" s="20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0"/>
      <c r="U224" s="1"/>
      <c r="V224" s="1"/>
      <c r="W224" s="1"/>
      <c r="X224" s="1"/>
      <c r="Y224" s="1"/>
      <c r="Z224" s="20"/>
      <c r="AA224" s="1"/>
      <c r="AB224" s="1"/>
      <c r="AC224" s="20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0"/>
      <c r="U225" s="1"/>
      <c r="V225" s="1"/>
      <c r="W225" s="1"/>
      <c r="X225" s="1"/>
      <c r="Y225" s="1"/>
      <c r="Z225" s="20"/>
      <c r="AA225" s="1"/>
      <c r="AB225" s="1"/>
      <c r="AC225" s="20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0"/>
      <c r="U226" s="1"/>
      <c r="V226" s="1"/>
      <c r="W226" s="1"/>
      <c r="X226" s="1"/>
      <c r="Y226" s="1"/>
      <c r="Z226" s="20"/>
      <c r="AA226" s="1"/>
      <c r="AB226" s="1"/>
      <c r="AC226" s="20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0"/>
      <c r="U227" s="1"/>
      <c r="V227" s="1"/>
      <c r="W227" s="1"/>
      <c r="X227" s="1"/>
      <c r="Y227" s="1"/>
      <c r="Z227" s="20"/>
      <c r="AA227" s="1"/>
      <c r="AB227" s="1"/>
      <c r="AC227" s="20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0"/>
      <c r="U228" s="1"/>
      <c r="V228" s="1"/>
      <c r="W228" s="1"/>
      <c r="X228" s="1"/>
      <c r="Y228" s="1"/>
      <c r="Z228" s="20"/>
      <c r="AA228" s="1"/>
      <c r="AB228" s="1"/>
      <c r="AC228" s="20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0"/>
      <c r="U229" s="1"/>
      <c r="V229" s="1"/>
      <c r="W229" s="1"/>
      <c r="X229" s="1"/>
      <c r="Y229" s="1"/>
      <c r="Z229" s="20"/>
      <c r="AA229" s="1"/>
      <c r="AB229" s="1"/>
      <c r="AC229" s="20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0"/>
      <c r="U230" s="1"/>
      <c r="V230" s="1"/>
      <c r="W230" s="1"/>
      <c r="X230" s="1"/>
      <c r="Y230" s="1"/>
      <c r="Z230" s="20"/>
      <c r="AA230" s="1"/>
      <c r="AB230" s="1"/>
      <c r="AC230" s="20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0"/>
      <c r="U231" s="1"/>
      <c r="V231" s="1"/>
      <c r="W231" s="1"/>
      <c r="X231" s="1"/>
      <c r="Y231" s="1"/>
      <c r="Z231" s="20"/>
      <c r="AA231" s="1"/>
      <c r="AB231" s="1"/>
      <c r="AC231" s="20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0"/>
      <c r="U232" s="1"/>
      <c r="V232" s="1"/>
      <c r="W232" s="1"/>
      <c r="X232" s="1"/>
      <c r="Y232" s="1"/>
      <c r="Z232" s="20"/>
      <c r="AA232" s="1"/>
      <c r="AB232" s="1"/>
      <c r="AC232" s="20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0"/>
      <c r="U233" s="1"/>
      <c r="V233" s="1"/>
      <c r="W233" s="1"/>
      <c r="X233" s="1"/>
      <c r="Y233" s="1"/>
      <c r="Z233" s="20"/>
      <c r="AA233" s="1"/>
      <c r="AB233" s="1"/>
      <c r="AC233" s="20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0"/>
      <c r="U234" s="1"/>
      <c r="V234" s="1"/>
      <c r="W234" s="1"/>
      <c r="X234" s="1"/>
      <c r="Y234" s="1"/>
      <c r="Z234" s="20"/>
      <c r="AA234" s="1"/>
      <c r="AB234" s="1"/>
      <c r="AC234" s="20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0"/>
      <c r="U235" s="1"/>
      <c r="V235" s="1"/>
      <c r="W235" s="1"/>
      <c r="X235" s="1"/>
      <c r="Y235" s="1"/>
      <c r="Z235" s="20"/>
      <c r="AA235" s="1"/>
      <c r="AB235" s="1"/>
      <c r="AC235" s="20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0"/>
      <c r="U236" s="1"/>
      <c r="V236" s="1"/>
      <c r="W236" s="1"/>
      <c r="X236" s="1"/>
      <c r="Y236" s="1"/>
      <c r="Z236" s="20"/>
      <c r="AA236" s="1"/>
      <c r="AB236" s="1"/>
      <c r="AC236" s="20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0"/>
      <c r="U237" s="1"/>
      <c r="V237" s="1"/>
      <c r="W237" s="1"/>
      <c r="X237" s="1"/>
      <c r="Y237" s="1"/>
      <c r="Z237" s="20"/>
      <c r="AA237" s="1"/>
      <c r="AB237" s="1"/>
      <c r="AC237" s="20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0"/>
      <c r="U238" s="1"/>
      <c r="V238" s="1"/>
      <c r="W238" s="1"/>
      <c r="X238" s="1"/>
      <c r="Y238" s="1"/>
      <c r="Z238" s="20"/>
      <c r="AA238" s="1"/>
      <c r="AB238" s="1"/>
      <c r="AC238" s="20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0"/>
      <c r="U239" s="1"/>
      <c r="V239" s="1"/>
      <c r="W239" s="1"/>
      <c r="X239" s="1"/>
      <c r="Y239" s="1"/>
      <c r="Z239" s="20"/>
      <c r="AA239" s="1"/>
      <c r="AB239" s="1"/>
      <c r="AC239" s="20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0"/>
      <c r="U240" s="1"/>
      <c r="V240" s="1"/>
      <c r="W240" s="1"/>
      <c r="X240" s="1"/>
      <c r="Y240" s="1"/>
      <c r="Z240" s="20"/>
      <c r="AA240" s="1"/>
      <c r="AB240" s="1"/>
      <c r="AC240" s="20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0"/>
      <c r="U241" s="1"/>
      <c r="V241" s="1"/>
      <c r="W241" s="1"/>
      <c r="X241" s="1"/>
      <c r="Y241" s="1"/>
      <c r="Z241" s="20"/>
      <c r="AA241" s="1"/>
      <c r="AB241" s="1"/>
      <c r="AC241" s="20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0"/>
      <c r="U242" s="1"/>
      <c r="V242" s="1"/>
      <c r="W242" s="1"/>
      <c r="X242" s="1"/>
      <c r="Y242" s="1"/>
      <c r="Z242" s="20"/>
      <c r="AA242" s="1"/>
      <c r="AB242" s="1"/>
      <c r="AC242" s="20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0"/>
      <c r="U243" s="1"/>
      <c r="V243" s="1"/>
      <c r="W243" s="1"/>
      <c r="X243" s="1"/>
      <c r="Y243" s="1"/>
      <c r="Z243" s="20"/>
      <c r="AA243" s="1"/>
      <c r="AB243" s="1"/>
      <c r="AC243" s="20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0"/>
      <c r="U244" s="1"/>
      <c r="V244" s="1"/>
      <c r="W244" s="1"/>
      <c r="X244" s="1"/>
      <c r="Y244" s="1"/>
      <c r="Z244" s="20"/>
      <c r="AA244" s="1"/>
      <c r="AB244" s="1"/>
      <c r="AC244" s="20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0"/>
      <c r="U245" s="1"/>
      <c r="V245" s="1"/>
      <c r="W245" s="1"/>
      <c r="X245" s="1"/>
      <c r="Y245" s="1"/>
      <c r="Z245" s="20"/>
      <c r="AA245" s="1"/>
      <c r="AB245" s="1"/>
      <c r="AC245" s="20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0"/>
      <c r="U246" s="1"/>
      <c r="V246" s="1"/>
      <c r="W246" s="1"/>
      <c r="X246" s="1"/>
      <c r="Y246" s="1"/>
      <c r="Z246" s="20"/>
      <c r="AA246" s="1"/>
      <c r="AB246" s="1"/>
      <c r="AC246" s="20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0"/>
      <c r="U247" s="1"/>
      <c r="V247" s="1"/>
      <c r="W247" s="1"/>
      <c r="X247" s="1"/>
      <c r="Y247" s="1"/>
      <c r="Z247" s="20"/>
      <c r="AA247" s="1"/>
      <c r="AB247" s="1"/>
      <c r="AC247" s="20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0"/>
      <c r="U248" s="1"/>
      <c r="V248" s="1"/>
      <c r="W248" s="1"/>
      <c r="X248" s="1"/>
      <c r="Y248" s="1"/>
      <c r="Z248" s="20"/>
      <c r="AA248" s="1"/>
      <c r="AB248" s="1"/>
      <c r="AC248" s="20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0"/>
      <c r="U249" s="1"/>
      <c r="V249" s="1"/>
      <c r="W249" s="1"/>
      <c r="X249" s="1"/>
      <c r="Y249" s="1"/>
      <c r="Z249" s="20"/>
      <c r="AA249" s="1"/>
      <c r="AB249" s="1"/>
      <c r="AC249" s="20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0"/>
      <c r="U250" s="1"/>
      <c r="V250" s="1"/>
      <c r="W250" s="1"/>
      <c r="X250" s="1"/>
      <c r="Y250" s="1"/>
      <c r="Z250" s="20"/>
      <c r="AA250" s="1"/>
      <c r="AB250" s="1"/>
      <c r="AC250" s="20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0"/>
      <c r="U251" s="1"/>
      <c r="V251" s="1"/>
      <c r="W251" s="1"/>
      <c r="X251" s="1"/>
      <c r="Y251" s="1"/>
      <c r="Z251" s="20"/>
      <c r="AA251" s="1"/>
      <c r="AB251" s="1"/>
      <c r="AC251" s="20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0"/>
      <c r="U252" s="1"/>
      <c r="V252" s="1"/>
      <c r="W252" s="1"/>
      <c r="X252" s="1"/>
      <c r="Y252" s="1"/>
      <c r="Z252" s="20"/>
      <c r="AA252" s="1"/>
      <c r="AB252" s="1"/>
      <c r="AC252" s="20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0"/>
      <c r="U253" s="1"/>
      <c r="V253" s="1"/>
      <c r="W253" s="1"/>
      <c r="X253" s="1"/>
      <c r="Y253" s="1"/>
      <c r="Z253" s="20"/>
      <c r="AA253" s="1"/>
      <c r="AB253" s="1"/>
      <c r="AC253" s="20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0"/>
      <c r="U254" s="1"/>
      <c r="V254" s="1"/>
      <c r="W254" s="1"/>
      <c r="X254" s="1"/>
      <c r="Y254" s="1"/>
      <c r="Z254" s="20"/>
      <c r="AA254" s="1"/>
      <c r="AB254" s="1"/>
      <c r="AC254" s="20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0"/>
      <c r="U255" s="1"/>
      <c r="V255" s="1"/>
      <c r="W255" s="1"/>
      <c r="X255" s="1"/>
      <c r="Y255" s="1"/>
      <c r="Z255" s="20"/>
      <c r="AA255" s="1"/>
      <c r="AB255" s="1"/>
      <c r="AC255" s="20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0"/>
      <c r="U256" s="1"/>
      <c r="V256" s="1"/>
      <c r="W256" s="1"/>
      <c r="X256" s="1"/>
      <c r="Y256" s="1"/>
      <c r="Z256" s="20"/>
      <c r="AA256" s="1"/>
      <c r="AB256" s="1"/>
      <c r="AC256" s="20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0"/>
      <c r="U257" s="1"/>
      <c r="V257" s="1"/>
      <c r="W257" s="1"/>
      <c r="X257" s="1"/>
      <c r="Y257" s="1"/>
      <c r="Z257" s="20"/>
      <c r="AA257" s="1"/>
      <c r="AB257" s="1"/>
      <c r="AC257" s="20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0"/>
      <c r="U258" s="1"/>
      <c r="V258" s="1"/>
      <c r="W258" s="1"/>
      <c r="X258" s="1"/>
      <c r="Y258" s="1"/>
      <c r="Z258" s="20"/>
      <c r="AA258" s="1"/>
      <c r="AB258" s="1"/>
      <c r="AC258" s="20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0"/>
      <c r="U259" s="1"/>
      <c r="V259" s="1"/>
      <c r="W259" s="1"/>
      <c r="X259" s="1"/>
      <c r="Y259" s="1"/>
      <c r="Z259" s="20"/>
      <c r="AA259" s="1"/>
      <c r="AB259" s="1"/>
      <c r="AC259" s="20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0"/>
      <c r="U260" s="1"/>
      <c r="V260" s="1"/>
      <c r="W260" s="1"/>
      <c r="X260" s="1"/>
      <c r="Y260" s="1"/>
      <c r="Z260" s="20"/>
      <c r="AA260" s="1"/>
      <c r="AB260" s="1"/>
      <c r="AC260" s="20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0"/>
      <c r="U261" s="1"/>
      <c r="V261" s="1"/>
      <c r="W261" s="1"/>
      <c r="X261" s="1"/>
      <c r="Y261" s="1"/>
      <c r="Z261" s="20"/>
      <c r="AA261" s="1"/>
      <c r="AB261" s="1"/>
      <c r="AC261" s="20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0"/>
      <c r="U262" s="1"/>
      <c r="V262" s="1"/>
      <c r="W262" s="1"/>
      <c r="X262" s="1"/>
      <c r="Y262" s="1"/>
      <c r="Z262" s="20"/>
      <c r="AA262" s="1"/>
      <c r="AB262" s="1"/>
      <c r="AC262" s="20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0"/>
      <c r="U263" s="1"/>
      <c r="V263" s="1"/>
      <c r="W263" s="1"/>
      <c r="X263" s="1"/>
      <c r="Y263" s="1"/>
      <c r="Z263" s="20"/>
      <c r="AA263" s="1"/>
      <c r="AB263" s="1"/>
      <c r="AC263" s="20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0"/>
      <c r="U264" s="1"/>
      <c r="V264" s="1"/>
      <c r="W264" s="1"/>
      <c r="X264" s="1"/>
      <c r="Y264" s="1"/>
      <c r="Z264" s="20"/>
      <c r="AA264" s="1"/>
      <c r="AB264" s="1"/>
      <c r="AC264" s="20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0"/>
      <c r="U265" s="1"/>
      <c r="V265" s="1"/>
      <c r="W265" s="1"/>
      <c r="X265" s="1"/>
      <c r="Y265" s="1"/>
      <c r="Z265" s="20"/>
      <c r="AA265" s="1"/>
      <c r="AB265" s="1"/>
      <c r="AC265" s="20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0"/>
      <c r="U266" s="1"/>
      <c r="V266" s="1"/>
      <c r="W266" s="1"/>
      <c r="X266" s="1"/>
      <c r="Y266" s="1"/>
      <c r="Z266" s="20"/>
      <c r="AA266" s="1"/>
      <c r="AB266" s="1"/>
      <c r="AC266" s="20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0"/>
      <c r="U267" s="1"/>
      <c r="V267" s="1"/>
      <c r="W267" s="1"/>
      <c r="X267" s="1"/>
      <c r="Y267" s="1"/>
      <c r="Z267" s="20"/>
      <c r="AA267" s="1"/>
      <c r="AB267" s="1"/>
      <c r="AC267" s="20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0"/>
      <c r="U268" s="1"/>
      <c r="V268" s="1"/>
      <c r="W268" s="1"/>
      <c r="X268" s="1"/>
      <c r="Y268" s="1"/>
      <c r="Z268" s="20"/>
      <c r="AA268" s="1"/>
      <c r="AB268" s="1"/>
      <c r="AC268" s="20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0"/>
      <c r="U269" s="1"/>
      <c r="V269" s="1"/>
      <c r="W269" s="1"/>
      <c r="X269" s="1"/>
      <c r="Y269" s="1"/>
      <c r="Z269" s="20"/>
      <c r="AA269" s="1"/>
      <c r="AB269" s="1"/>
      <c r="AC269" s="20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0"/>
      <c r="U270" s="1"/>
      <c r="V270" s="1"/>
      <c r="W270" s="1"/>
      <c r="X270" s="1"/>
      <c r="Y270" s="1"/>
      <c r="Z270" s="20"/>
      <c r="AA270" s="1"/>
      <c r="AB270" s="1"/>
      <c r="AC270" s="20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0"/>
      <c r="U271" s="1"/>
      <c r="V271" s="1"/>
      <c r="W271" s="1"/>
      <c r="X271" s="1"/>
      <c r="Y271" s="1"/>
      <c r="Z271" s="20"/>
      <c r="AA271" s="1"/>
      <c r="AB271" s="1"/>
      <c r="AC271" s="20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0"/>
      <c r="U272" s="1"/>
      <c r="V272" s="1"/>
      <c r="W272" s="1"/>
      <c r="X272" s="1"/>
      <c r="Y272" s="1"/>
      <c r="Z272" s="20"/>
      <c r="AA272" s="1"/>
      <c r="AB272" s="1"/>
      <c r="AC272" s="20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0"/>
      <c r="U273" s="1"/>
      <c r="V273" s="1"/>
      <c r="W273" s="1"/>
      <c r="X273" s="1"/>
      <c r="Y273" s="1"/>
      <c r="Z273" s="20"/>
      <c r="AA273" s="1"/>
      <c r="AB273" s="1"/>
      <c r="AC273" s="20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0"/>
      <c r="U274" s="1"/>
      <c r="V274" s="1"/>
      <c r="W274" s="1"/>
      <c r="X274" s="1"/>
      <c r="Y274" s="1"/>
      <c r="Z274" s="20"/>
      <c r="AA274" s="1"/>
      <c r="AB274" s="1"/>
      <c r="AC274" s="20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0"/>
      <c r="U275" s="1"/>
      <c r="V275" s="1"/>
      <c r="W275" s="1"/>
      <c r="X275" s="1"/>
      <c r="Y275" s="1"/>
      <c r="Z275" s="20"/>
      <c r="AA275" s="1"/>
      <c r="AB275" s="1"/>
      <c r="AC275" s="20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0"/>
      <c r="U276" s="1"/>
      <c r="V276" s="1"/>
      <c r="W276" s="1"/>
      <c r="X276" s="1"/>
      <c r="Y276" s="1"/>
      <c r="Z276" s="20"/>
      <c r="AA276" s="1"/>
      <c r="AB276" s="1"/>
      <c r="AC276" s="20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0"/>
      <c r="U277" s="1"/>
      <c r="V277" s="1"/>
      <c r="W277" s="1"/>
      <c r="X277" s="1"/>
      <c r="Y277" s="1"/>
      <c r="Z277" s="20"/>
      <c r="AA277" s="1"/>
      <c r="AB277" s="1"/>
      <c r="AC277" s="20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0"/>
      <c r="U278" s="1"/>
      <c r="V278" s="1"/>
      <c r="W278" s="1"/>
      <c r="X278" s="1"/>
      <c r="Y278" s="1"/>
      <c r="Z278" s="20"/>
      <c r="AA278" s="1"/>
      <c r="AB278" s="1"/>
      <c r="AC278" s="20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0"/>
      <c r="U279" s="1"/>
      <c r="V279" s="1"/>
      <c r="W279" s="1"/>
      <c r="X279" s="1"/>
      <c r="Y279" s="1"/>
      <c r="Z279" s="20"/>
      <c r="AA279" s="1"/>
      <c r="AB279" s="1"/>
      <c r="AC279" s="20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0"/>
      <c r="U280" s="1"/>
      <c r="V280" s="1"/>
      <c r="W280" s="1"/>
      <c r="X280" s="1"/>
      <c r="Y280" s="1"/>
      <c r="Z280" s="20"/>
      <c r="AA280" s="1"/>
      <c r="AB280" s="1"/>
      <c r="AC280" s="20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0"/>
      <c r="U281" s="1"/>
      <c r="V281" s="1"/>
      <c r="W281" s="1"/>
      <c r="X281" s="1"/>
      <c r="Y281" s="1"/>
      <c r="Z281" s="20"/>
      <c r="AA281" s="1"/>
      <c r="AB281" s="1"/>
      <c r="AC281" s="20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0"/>
      <c r="U282" s="1"/>
      <c r="V282" s="1"/>
      <c r="W282" s="1"/>
      <c r="X282" s="1"/>
      <c r="Y282" s="1"/>
      <c r="Z282" s="20"/>
      <c r="AA282" s="1"/>
      <c r="AB282" s="1"/>
      <c r="AC282" s="20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0"/>
      <c r="U283" s="1"/>
      <c r="V283" s="1"/>
      <c r="W283" s="1"/>
      <c r="X283" s="1"/>
      <c r="Y283" s="1"/>
      <c r="Z283" s="20"/>
      <c r="AA283" s="1"/>
      <c r="AB283" s="1"/>
      <c r="AC283" s="20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0"/>
      <c r="U284" s="1"/>
      <c r="V284" s="1"/>
      <c r="W284" s="1"/>
      <c r="X284" s="1"/>
      <c r="Y284" s="1"/>
      <c r="Z284" s="20"/>
      <c r="AA284" s="1"/>
      <c r="AB284" s="1"/>
      <c r="AC284" s="20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0"/>
      <c r="U285" s="1"/>
      <c r="V285" s="1"/>
      <c r="W285" s="1"/>
      <c r="X285" s="1"/>
      <c r="Y285" s="1"/>
      <c r="Z285" s="20"/>
      <c r="AA285" s="1"/>
      <c r="AB285" s="1"/>
      <c r="AC285" s="20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0"/>
      <c r="U286" s="1"/>
      <c r="V286" s="1"/>
      <c r="W286" s="1"/>
      <c r="X286" s="1"/>
      <c r="Y286" s="1"/>
      <c r="Z286" s="20"/>
      <c r="AA286" s="1"/>
      <c r="AB286" s="1"/>
      <c r="AC286" s="20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0"/>
      <c r="U287" s="1"/>
      <c r="V287" s="1"/>
      <c r="W287" s="1"/>
      <c r="X287" s="1"/>
      <c r="Y287" s="1"/>
      <c r="Z287" s="20"/>
      <c r="AA287" s="1"/>
      <c r="AB287" s="1"/>
      <c r="AC287" s="20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0"/>
      <c r="U288" s="1"/>
      <c r="V288" s="1"/>
      <c r="W288" s="1"/>
      <c r="X288" s="1"/>
      <c r="Y288" s="1"/>
      <c r="Z288" s="20"/>
      <c r="AA288" s="1"/>
      <c r="AB288" s="1"/>
      <c r="AC288" s="20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0"/>
      <c r="U289" s="1"/>
      <c r="V289" s="1"/>
      <c r="W289" s="1"/>
      <c r="X289" s="1"/>
      <c r="Y289" s="1"/>
      <c r="Z289" s="20"/>
      <c r="AA289" s="1"/>
      <c r="AB289" s="1"/>
      <c r="AC289" s="20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0"/>
      <c r="U290" s="1"/>
      <c r="V290" s="1"/>
      <c r="W290" s="1"/>
      <c r="X290" s="1"/>
      <c r="Y290" s="1"/>
      <c r="Z290" s="20"/>
      <c r="AA290" s="1"/>
      <c r="AB290" s="1"/>
      <c r="AC290" s="20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0"/>
      <c r="U291" s="1"/>
      <c r="V291" s="1"/>
      <c r="W291" s="1"/>
      <c r="X291" s="1"/>
      <c r="Y291" s="1"/>
      <c r="Z291" s="20"/>
      <c r="AA291" s="1"/>
      <c r="AB291" s="1"/>
      <c r="AC291" s="20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0"/>
      <c r="U292" s="1"/>
      <c r="V292" s="1"/>
      <c r="W292" s="1"/>
      <c r="X292" s="1"/>
      <c r="Y292" s="1"/>
      <c r="Z292" s="20"/>
      <c r="AA292" s="1"/>
      <c r="AB292" s="1"/>
      <c r="AC292" s="20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0"/>
      <c r="U293" s="1"/>
      <c r="V293" s="1"/>
      <c r="W293" s="1"/>
      <c r="X293" s="1"/>
      <c r="Y293" s="1"/>
      <c r="Z293" s="20"/>
      <c r="AA293" s="1"/>
      <c r="AB293" s="1"/>
      <c r="AC293" s="20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0"/>
      <c r="U294" s="1"/>
      <c r="V294" s="1"/>
      <c r="W294" s="1"/>
      <c r="X294" s="1"/>
      <c r="Y294" s="1"/>
      <c r="Z294" s="20"/>
      <c r="AA294" s="1"/>
      <c r="AB294" s="1"/>
      <c r="AC294" s="20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0"/>
      <c r="U295" s="1"/>
      <c r="V295" s="1"/>
      <c r="W295" s="1"/>
      <c r="X295" s="1"/>
      <c r="Y295" s="1"/>
      <c r="Z295" s="20"/>
      <c r="AA295" s="1"/>
      <c r="AB295" s="1"/>
      <c r="AC295" s="20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0"/>
      <c r="U296" s="1"/>
      <c r="V296" s="1"/>
      <c r="W296" s="1"/>
      <c r="X296" s="1"/>
      <c r="Y296" s="1"/>
      <c r="Z296" s="20"/>
      <c r="AA296" s="1"/>
      <c r="AB296" s="1"/>
      <c r="AC296" s="20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0"/>
      <c r="U297" s="1"/>
      <c r="V297" s="1"/>
      <c r="W297" s="1"/>
      <c r="X297" s="1"/>
      <c r="Y297" s="1"/>
      <c r="Z297" s="20"/>
      <c r="AA297" s="1"/>
      <c r="AB297" s="1"/>
      <c r="AC297" s="20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0"/>
      <c r="U298" s="1"/>
      <c r="V298" s="1"/>
      <c r="W298" s="1"/>
      <c r="X298" s="1"/>
      <c r="Y298" s="1"/>
      <c r="Z298" s="20"/>
      <c r="AA298" s="1"/>
      <c r="AB298" s="1"/>
      <c r="AC298" s="20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0"/>
      <c r="U299" s="1"/>
      <c r="V299" s="1"/>
      <c r="W299" s="1"/>
      <c r="X299" s="1"/>
      <c r="Y299" s="1"/>
      <c r="Z299" s="20"/>
      <c r="AA299" s="1"/>
      <c r="AB299" s="1"/>
      <c r="AC299" s="20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0"/>
      <c r="U300" s="1"/>
      <c r="V300" s="1"/>
      <c r="W300" s="1"/>
      <c r="X300" s="1"/>
      <c r="Y300" s="1"/>
      <c r="Z300" s="20"/>
      <c r="AA300" s="1"/>
      <c r="AB300" s="1"/>
      <c r="AC300" s="20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0"/>
      <c r="U301" s="1"/>
      <c r="V301" s="1"/>
      <c r="W301" s="1"/>
      <c r="X301" s="1"/>
      <c r="Y301" s="1"/>
      <c r="Z301" s="20"/>
      <c r="AA301" s="1"/>
      <c r="AB301" s="1"/>
      <c r="AC301" s="20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0"/>
      <c r="U302" s="1"/>
      <c r="V302" s="1"/>
      <c r="W302" s="1"/>
      <c r="X302" s="1"/>
      <c r="Y302" s="1"/>
      <c r="Z302" s="20"/>
      <c r="AA302" s="1"/>
      <c r="AB302" s="1"/>
      <c r="AC302" s="20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0"/>
      <c r="U303" s="1"/>
      <c r="V303" s="1"/>
      <c r="W303" s="1"/>
      <c r="X303" s="1"/>
      <c r="Y303" s="1"/>
      <c r="Z303" s="20"/>
      <c r="AA303" s="1"/>
      <c r="AB303" s="1"/>
      <c r="AC303" s="20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0"/>
      <c r="U304" s="1"/>
      <c r="V304" s="1"/>
      <c r="W304" s="1"/>
      <c r="X304" s="1"/>
      <c r="Y304" s="1"/>
      <c r="Z304" s="20"/>
      <c r="AA304" s="1"/>
      <c r="AB304" s="1"/>
      <c r="AC304" s="20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0"/>
      <c r="U305" s="1"/>
      <c r="V305" s="1"/>
      <c r="W305" s="1"/>
      <c r="X305" s="1"/>
      <c r="Y305" s="1"/>
      <c r="Z305" s="20"/>
      <c r="AA305" s="1"/>
      <c r="AB305" s="1"/>
      <c r="AC305" s="20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0"/>
      <c r="U306" s="1"/>
      <c r="V306" s="1"/>
      <c r="W306" s="1"/>
      <c r="X306" s="1"/>
      <c r="Y306" s="1"/>
      <c r="Z306" s="20"/>
      <c r="AA306" s="1"/>
      <c r="AB306" s="1"/>
      <c r="AC306" s="20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0"/>
      <c r="U307" s="1"/>
      <c r="V307" s="1"/>
      <c r="W307" s="1"/>
      <c r="X307" s="1"/>
      <c r="Y307" s="1"/>
      <c r="Z307" s="20"/>
      <c r="AA307" s="1"/>
      <c r="AB307" s="1"/>
      <c r="AC307" s="20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0"/>
      <c r="U308" s="1"/>
      <c r="V308" s="1"/>
      <c r="W308" s="1"/>
      <c r="X308" s="1"/>
      <c r="Y308" s="1"/>
      <c r="Z308" s="20"/>
      <c r="AA308" s="1"/>
      <c r="AB308" s="1"/>
      <c r="AC308" s="20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0"/>
      <c r="U309" s="1"/>
      <c r="V309" s="1"/>
      <c r="W309" s="1"/>
      <c r="X309" s="1"/>
      <c r="Y309" s="1"/>
      <c r="Z309" s="20"/>
      <c r="AA309" s="1"/>
      <c r="AB309" s="1"/>
      <c r="AC309" s="20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0"/>
      <c r="U310" s="1"/>
      <c r="V310" s="1"/>
      <c r="W310" s="1"/>
      <c r="X310" s="1"/>
      <c r="Y310" s="1"/>
      <c r="Z310" s="20"/>
      <c r="AA310" s="1"/>
      <c r="AB310" s="1"/>
      <c r="AC310" s="20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0"/>
      <c r="U311" s="1"/>
      <c r="V311" s="1"/>
      <c r="W311" s="1"/>
      <c r="X311" s="1"/>
      <c r="Y311" s="1"/>
      <c r="Z311" s="20"/>
      <c r="AA311" s="1"/>
      <c r="AB311" s="1"/>
      <c r="AC311" s="20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0"/>
      <c r="U312" s="1"/>
      <c r="V312" s="1"/>
      <c r="W312" s="1"/>
      <c r="X312" s="1"/>
      <c r="Y312" s="1"/>
      <c r="Z312" s="20"/>
      <c r="AA312" s="1"/>
      <c r="AB312" s="1"/>
      <c r="AC312" s="20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0"/>
      <c r="U313" s="1"/>
      <c r="V313" s="1"/>
      <c r="W313" s="1"/>
      <c r="X313" s="1"/>
      <c r="Y313" s="1"/>
      <c r="Z313" s="20"/>
      <c r="AA313" s="1"/>
      <c r="AB313" s="1"/>
      <c r="AC313" s="20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0"/>
      <c r="U314" s="1"/>
      <c r="V314" s="1"/>
      <c r="W314" s="1"/>
      <c r="X314" s="1"/>
      <c r="Y314" s="1"/>
      <c r="Z314" s="20"/>
      <c r="AA314" s="1"/>
      <c r="AB314" s="1"/>
      <c r="AC314" s="20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0"/>
      <c r="U315" s="1"/>
      <c r="V315" s="1"/>
      <c r="W315" s="1"/>
      <c r="X315" s="1"/>
      <c r="Y315" s="1"/>
      <c r="Z315" s="20"/>
      <c r="AA315" s="1"/>
      <c r="AB315" s="1"/>
      <c r="AC315" s="20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0"/>
      <c r="U316" s="1"/>
      <c r="V316" s="1"/>
      <c r="W316" s="1"/>
      <c r="X316" s="1"/>
      <c r="Y316" s="1"/>
      <c r="Z316" s="20"/>
      <c r="AA316" s="1"/>
      <c r="AB316" s="1"/>
      <c r="AC316" s="20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0"/>
      <c r="U317" s="1"/>
      <c r="V317" s="1"/>
      <c r="W317" s="1"/>
      <c r="X317" s="1"/>
      <c r="Y317" s="1"/>
      <c r="Z317" s="20"/>
      <c r="AA317" s="1"/>
      <c r="AB317" s="1"/>
      <c r="AC317" s="20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0"/>
      <c r="U318" s="1"/>
      <c r="V318" s="1"/>
      <c r="W318" s="1"/>
      <c r="X318" s="1"/>
      <c r="Y318" s="1"/>
      <c r="Z318" s="20"/>
      <c r="AA318" s="1"/>
      <c r="AB318" s="1"/>
      <c r="AC318" s="20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0"/>
      <c r="U319" s="1"/>
      <c r="V319" s="1"/>
      <c r="W319" s="1"/>
      <c r="X319" s="1"/>
      <c r="Y319" s="1"/>
      <c r="Z319" s="20"/>
      <c r="AA319" s="1"/>
      <c r="AB319" s="1"/>
      <c r="AC319" s="20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0"/>
      <c r="U320" s="1"/>
      <c r="V320" s="1"/>
      <c r="W320" s="1"/>
      <c r="X320" s="1"/>
      <c r="Y320" s="1"/>
      <c r="Z320" s="20"/>
      <c r="AA320" s="1"/>
      <c r="AB320" s="1"/>
      <c r="AC320" s="20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0"/>
      <c r="U321" s="1"/>
      <c r="V321" s="1"/>
      <c r="W321" s="1"/>
      <c r="X321" s="1"/>
      <c r="Y321" s="1"/>
      <c r="Z321" s="20"/>
      <c r="AA321" s="1"/>
      <c r="AB321" s="1"/>
      <c r="AC321" s="20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0"/>
      <c r="U322" s="1"/>
      <c r="V322" s="1"/>
      <c r="W322" s="1"/>
      <c r="X322" s="1"/>
      <c r="Y322" s="1"/>
      <c r="Z322" s="20"/>
      <c r="AA322" s="1"/>
      <c r="AB322" s="1"/>
      <c r="AC322" s="20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0"/>
      <c r="U323" s="1"/>
      <c r="V323" s="1"/>
      <c r="W323" s="1"/>
      <c r="X323" s="1"/>
      <c r="Y323" s="1"/>
      <c r="Z323" s="20"/>
      <c r="AA323" s="1"/>
      <c r="AB323" s="1"/>
      <c r="AC323" s="20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0"/>
      <c r="U324" s="1"/>
      <c r="V324" s="1"/>
      <c r="W324" s="1"/>
      <c r="X324" s="1"/>
      <c r="Y324" s="1"/>
      <c r="Z324" s="20"/>
      <c r="AA324" s="1"/>
      <c r="AB324" s="1"/>
      <c r="AC324" s="20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0"/>
      <c r="U325" s="1"/>
      <c r="V325" s="1"/>
      <c r="W325" s="1"/>
      <c r="X325" s="1"/>
      <c r="Y325" s="1"/>
      <c r="Z325" s="20"/>
      <c r="AA325" s="1"/>
      <c r="AB325" s="1"/>
      <c r="AC325" s="20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0"/>
      <c r="U326" s="1"/>
      <c r="V326" s="1"/>
      <c r="W326" s="1"/>
      <c r="X326" s="1"/>
      <c r="Y326" s="1"/>
      <c r="Z326" s="20"/>
      <c r="AA326" s="1"/>
      <c r="AB326" s="1"/>
      <c r="AC326" s="20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0"/>
      <c r="U327" s="1"/>
      <c r="V327" s="1"/>
      <c r="W327" s="1"/>
      <c r="X327" s="1"/>
      <c r="Y327" s="1"/>
      <c r="Z327" s="20"/>
      <c r="AA327" s="1"/>
      <c r="AB327" s="1"/>
      <c r="AC327" s="20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0"/>
      <c r="U328" s="1"/>
      <c r="V328" s="1"/>
      <c r="W328" s="1"/>
      <c r="X328" s="1"/>
      <c r="Y328" s="1"/>
      <c r="Z328" s="20"/>
      <c r="AA328" s="1"/>
      <c r="AB328" s="1"/>
      <c r="AC328" s="20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0"/>
      <c r="U329" s="1"/>
      <c r="V329" s="1"/>
      <c r="W329" s="1"/>
      <c r="X329" s="1"/>
      <c r="Y329" s="1"/>
      <c r="Z329" s="20"/>
      <c r="AA329" s="1"/>
      <c r="AB329" s="1"/>
      <c r="AC329" s="20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0"/>
      <c r="U330" s="1"/>
      <c r="V330" s="1"/>
      <c r="W330" s="1"/>
      <c r="X330" s="1"/>
      <c r="Y330" s="1"/>
      <c r="Z330" s="20"/>
      <c r="AA330" s="1"/>
      <c r="AB330" s="1"/>
      <c r="AC330" s="20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0"/>
      <c r="U331" s="1"/>
      <c r="V331" s="1"/>
      <c r="W331" s="1"/>
      <c r="X331" s="1"/>
      <c r="Y331" s="1"/>
      <c r="Z331" s="20"/>
      <c r="AA331" s="1"/>
      <c r="AB331" s="1"/>
      <c r="AC331" s="20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0"/>
      <c r="U332" s="1"/>
      <c r="V332" s="1"/>
      <c r="W332" s="1"/>
      <c r="X332" s="1"/>
      <c r="Y332" s="1"/>
      <c r="Z332" s="20"/>
      <c r="AA332" s="1"/>
      <c r="AB332" s="1"/>
      <c r="AC332" s="20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0"/>
      <c r="U333" s="1"/>
      <c r="V333" s="1"/>
      <c r="W333" s="1"/>
      <c r="X333" s="1"/>
      <c r="Y333" s="1"/>
      <c r="Z333" s="20"/>
      <c r="AA333" s="1"/>
      <c r="AB333" s="1"/>
      <c r="AC333" s="20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0"/>
      <c r="U334" s="1"/>
      <c r="V334" s="1"/>
      <c r="W334" s="1"/>
      <c r="X334" s="1"/>
      <c r="Y334" s="1"/>
      <c r="Z334" s="20"/>
      <c r="AA334" s="1"/>
      <c r="AB334" s="1"/>
      <c r="AC334" s="20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0"/>
      <c r="U335" s="1"/>
      <c r="V335" s="1"/>
      <c r="W335" s="1"/>
      <c r="X335" s="1"/>
      <c r="Y335" s="1"/>
      <c r="Z335" s="20"/>
      <c r="AA335" s="1"/>
      <c r="AB335" s="1"/>
      <c r="AC335" s="20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0"/>
      <c r="U336" s="1"/>
      <c r="V336" s="1"/>
      <c r="W336" s="1"/>
      <c r="X336" s="1"/>
      <c r="Y336" s="1"/>
      <c r="Z336" s="20"/>
      <c r="AA336" s="1"/>
      <c r="AB336" s="1"/>
      <c r="AC336" s="20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0"/>
      <c r="U337" s="1"/>
      <c r="V337" s="1"/>
      <c r="W337" s="1"/>
      <c r="X337" s="1"/>
      <c r="Y337" s="1"/>
      <c r="Z337" s="20"/>
      <c r="AA337" s="1"/>
      <c r="AB337" s="1"/>
      <c r="AC337" s="20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0"/>
      <c r="U338" s="1"/>
      <c r="V338" s="1"/>
      <c r="W338" s="1"/>
      <c r="X338" s="1"/>
      <c r="Y338" s="1"/>
      <c r="Z338" s="20"/>
      <c r="AA338" s="1"/>
      <c r="AB338" s="1"/>
      <c r="AC338" s="20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0"/>
      <c r="U339" s="1"/>
      <c r="V339" s="1"/>
      <c r="W339" s="1"/>
      <c r="X339" s="1"/>
      <c r="Y339" s="1"/>
      <c r="Z339" s="20"/>
      <c r="AA339" s="1"/>
      <c r="AB339" s="1"/>
      <c r="AC339" s="20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0"/>
      <c r="U340" s="1"/>
      <c r="V340" s="1"/>
      <c r="W340" s="1"/>
      <c r="X340" s="1"/>
      <c r="Y340" s="1"/>
      <c r="Z340" s="20"/>
      <c r="AA340" s="1"/>
      <c r="AB340" s="1"/>
      <c r="AC340" s="20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0"/>
      <c r="U341" s="1"/>
      <c r="V341" s="1"/>
      <c r="W341" s="1"/>
      <c r="X341" s="1"/>
      <c r="Y341" s="1"/>
      <c r="Z341" s="20"/>
      <c r="AA341" s="1"/>
      <c r="AB341" s="1"/>
      <c r="AC341" s="20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0"/>
      <c r="U342" s="1"/>
      <c r="V342" s="1"/>
      <c r="W342" s="1"/>
      <c r="X342" s="1"/>
      <c r="Y342" s="1"/>
      <c r="Z342" s="20"/>
      <c r="AA342" s="1"/>
      <c r="AB342" s="1"/>
      <c r="AC342" s="20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0"/>
      <c r="U343" s="1"/>
      <c r="V343" s="1"/>
      <c r="W343" s="1"/>
      <c r="X343" s="1"/>
      <c r="Y343" s="1"/>
      <c r="Z343" s="20"/>
      <c r="AA343" s="1"/>
      <c r="AB343" s="1"/>
      <c r="AC343" s="20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0"/>
      <c r="U344" s="1"/>
      <c r="V344" s="1"/>
      <c r="W344" s="1"/>
      <c r="X344" s="1"/>
      <c r="Y344" s="1"/>
      <c r="Z344" s="20"/>
      <c r="AA344" s="1"/>
      <c r="AB344" s="1"/>
      <c r="AC344" s="20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0"/>
      <c r="U345" s="1"/>
      <c r="V345" s="1"/>
      <c r="W345" s="1"/>
      <c r="X345" s="1"/>
      <c r="Y345" s="1"/>
      <c r="Z345" s="20"/>
      <c r="AA345" s="1"/>
      <c r="AB345" s="1"/>
      <c r="AC345" s="20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0"/>
      <c r="U346" s="1"/>
      <c r="V346" s="1"/>
      <c r="W346" s="1"/>
      <c r="X346" s="1"/>
      <c r="Y346" s="1"/>
      <c r="Z346" s="20"/>
      <c r="AA346" s="1"/>
      <c r="AB346" s="1"/>
      <c r="AC346" s="20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0"/>
      <c r="U347" s="1"/>
      <c r="V347" s="1"/>
      <c r="W347" s="1"/>
      <c r="X347" s="1"/>
      <c r="Y347" s="1"/>
      <c r="Z347" s="20"/>
      <c r="AA347" s="1"/>
      <c r="AB347" s="1"/>
      <c r="AC347" s="20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0"/>
      <c r="U348" s="1"/>
      <c r="V348" s="1"/>
      <c r="W348" s="1"/>
      <c r="X348" s="1"/>
      <c r="Y348" s="1"/>
      <c r="Z348" s="20"/>
      <c r="AA348" s="1"/>
      <c r="AB348" s="1"/>
      <c r="AC348" s="20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0"/>
      <c r="U349" s="1"/>
      <c r="V349" s="1"/>
      <c r="W349" s="1"/>
      <c r="X349" s="1"/>
      <c r="Y349" s="1"/>
      <c r="Z349" s="20"/>
      <c r="AA349" s="1"/>
      <c r="AB349" s="1"/>
      <c r="AC349" s="20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0"/>
      <c r="U350" s="1"/>
      <c r="V350" s="1"/>
      <c r="W350" s="1"/>
      <c r="X350" s="1"/>
      <c r="Y350" s="1"/>
      <c r="Z350" s="20"/>
      <c r="AA350" s="1"/>
      <c r="AB350" s="1"/>
      <c r="AC350" s="20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0"/>
      <c r="U351" s="1"/>
      <c r="V351" s="1"/>
      <c r="W351" s="1"/>
      <c r="X351" s="1"/>
      <c r="Y351" s="1"/>
      <c r="Z351" s="20"/>
      <c r="AA351" s="1"/>
      <c r="AB351" s="1"/>
      <c r="AC351" s="20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0"/>
      <c r="U352" s="1"/>
      <c r="V352" s="1"/>
      <c r="W352" s="1"/>
      <c r="X352" s="1"/>
      <c r="Y352" s="1"/>
      <c r="Z352" s="20"/>
      <c r="AA352" s="1"/>
      <c r="AB352" s="1"/>
      <c r="AC352" s="20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0"/>
      <c r="U353" s="1"/>
      <c r="V353" s="1"/>
      <c r="W353" s="1"/>
      <c r="X353" s="1"/>
      <c r="Y353" s="1"/>
      <c r="Z353" s="20"/>
      <c r="AA353" s="1"/>
      <c r="AB353" s="1"/>
      <c r="AC353" s="20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0"/>
      <c r="U354" s="1"/>
      <c r="V354" s="1"/>
      <c r="W354" s="1"/>
      <c r="X354" s="1"/>
      <c r="Y354" s="1"/>
      <c r="Z354" s="20"/>
      <c r="AA354" s="1"/>
      <c r="AB354" s="1"/>
      <c r="AC354" s="20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0"/>
      <c r="U355" s="1"/>
      <c r="V355" s="1"/>
      <c r="W355" s="1"/>
      <c r="X355" s="1"/>
      <c r="Y355" s="1"/>
      <c r="Z355" s="20"/>
      <c r="AA355" s="1"/>
      <c r="AB355" s="1"/>
      <c r="AC355" s="20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0"/>
      <c r="U356" s="1"/>
      <c r="V356" s="1"/>
      <c r="W356" s="1"/>
      <c r="X356" s="1"/>
      <c r="Y356" s="1"/>
      <c r="Z356" s="20"/>
      <c r="AA356" s="1"/>
      <c r="AB356" s="1"/>
      <c r="AC356" s="20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0"/>
      <c r="U357" s="1"/>
      <c r="V357" s="1"/>
      <c r="W357" s="1"/>
      <c r="X357" s="1"/>
      <c r="Y357" s="1"/>
      <c r="Z357" s="20"/>
      <c r="AA357" s="1"/>
      <c r="AB357" s="1"/>
      <c r="AC357" s="20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0"/>
      <c r="U358" s="1"/>
      <c r="V358" s="1"/>
      <c r="W358" s="1"/>
      <c r="X358" s="1"/>
      <c r="Y358" s="1"/>
      <c r="Z358" s="20"/>
      <c r="AA358" s="1"/>
      <c r="AB358" s="1"/>
      <c r="AC358" s="20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0"/>
      <c r="U359" s="1"/>
      <c r="V359" s="1"/>
      <c r="W359" s="1"/>
      <c r="X359" s="1"/>
      <c r="Y359" s="1"/>
      <c r="Z359" s="20"/>
      <c r="AA359" s="1"/>
      <c r="AB359" s="1"/>
      <c r="AC359" s="20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0"/>
      <c r="U360" s="1"/>
      <c r="V360" s="1"/>
      <c r="W360" s="1"/>
      <c r="X360" s="1"/>
      <c r="Y360" s="1"/>
      <c r="Z360" s="20"/>
      <c r="AA360" s="1"/>
      <c r="AB360" s="1"/>
      <c r="AC360" s="20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0"/>
      <c r="U361" s="1"/>
      <c r="V361" s="1"/>
      <c r="W361" s="1"/>
      <c r="X361" s="1"/>
      <c r="Y361" s="1"/>
      <c r="Z361" s="20"/>
      <c r="AA361" s="1"/>
      <c r="AB361" s="1"/>
      <c r="AC361" s="20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0"/>
      <c r="U362" s="1"/>
      <c r="V362" s="1"/>
      <c r="W362" s="1"/>
      <c r="X362" s="1"/>
      <c r="Y362" s="1"/>
      <c r="Z362" s="20"/>
      <c r="AA362" s="1"/>
      <c r="AB362" s="1"/>
      <c r="AC362" s="20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0"/>
      <c r="U363" s="1"/>
      <c r="V363" s="1"/>
      <c r="W363" s="1"/>
      <c r="X363" s="1"/>
      <c r="Y363" s="1"/>
      <c r="Z363" s="20"/>
      <c r="AA363" s="1"/>
      <c r="AB363" s="1"/>
      <c r="AC363" s="20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0"/>
      <c r="U364" s="1"/>
      <c r="V364" s="1"/>
      <c r="W364" s="1"/>
      <c r="X364" s="1"/>
      <c r="Y364" s="1"/>
      <c r="Z364" s="20"/>
      <c r="AA364" s="1"/>
      <c r="AB364" s="1"/>
      <c r="AC364" s="20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0"/>
      <c r="U365" s="1"/>
      <c r="V365" s="1"/>
      <c r="W365" s="1"/>
      <c r="X365" s="1"/>
      <c r="Y365" s="1"/>
      <c r="Z365" s="20"/>
      <c r="AA365" s="1"/>
      <c r="AB365" s="1"/>
      <c r="AC365" s="20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0"/>
      <c r="U366" s="1"/>
      <c r="V366" s="1"/>
      <c r="W366" s="1"/>
      <c r="X366" s="1"/>
      <c r="Y366" s="1"/>
      <c r="Z366" s="20"/>
      <c r="AA366" s="1"/>
      <c r="AB366" s="1"/>
      <c r="AC366" s="20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0"/>
      <c r="U367" s="1"/>
      <c r="V367" s="1"/>
      <c r="W367" s="1"/>
      <c r="X367" s="1"/>
      <c r="Y367" s="1"/>
      <c r="Z367" s="20"/>
      <c r="AA367" s="1"/>
      <c r="AB367" s="1"/>
      <c r="AC367" s="20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0"/>
      <c r="U368" s="1"/>
      <c r="V368" s="1"/>
      <c r="W368" s="1"/>
      <c r="X368" s="1"/>
      <c r="Y368" s="1"/>
      <c r="Z368" s="20"/>
      <c r="AA368" s="1"/>
      <c r="AB368" s="1"/>
      <c r="AC368" s="20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0"/>
      <c r="U369" s="1"/>
      <c r="V369" s="1"/>
      <c r="W369" s="1"/>
      <c r="X369" s="1"/>
      <c r="Y369" s="1"/>
      <c r="Z369" s="20"/>
      <c r="AA369" s="1"/>
      <c r="AB369" s="1"/>
      <c r="AC369" s="20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0"/>
      <c r="U370" s="1"/>
      <c r="V370" s="1"/>
      <c r="W370" s="1"/>
      <c r="X370" s="1"/>
      <c r="Y370" s="1"/>
      <c r="Z370" s="20"/>
      <c r="AA370" s="1"/>
      <c r="AB370" s="1"/>
      <c r="AC370" s="20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0"/>
      <c r="U371" s="1"/>
      <c r="V371" s="1"/>
      <c r="W371" s="1"/>
      <c r="X371" s="1"/>
      <c r="Y371" s="1"/>
      <c r="Z371" s="20"/>
      <c r="AA371" s="1"/>
      <c r="AB371" s="1"/>
      <c r="AC371" s="20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0"/>
      <c r="U372" s="1"/>
      <c r="V372" s="1"/>
      <c r="W372" s="1"/>
      <c r="X372" s="1"/>
      <c r="Y372" s="1"/>
      <c r="Z372" s="20"/>
      <c r="AA372" s="1"/>
      <c r="AB372" s="1"/>
      <c r="AC372" s="20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0"/>
      <c r="U373" s="1"/>
      <c r="V373" s="1"/>
      <c r="W373" s="1"/>
      <c r="X373" s="1"/>
      <c r="Y373" s="1"/>
      <c r="Z373" s="20"/>
      <c r="AA373" s="1"/>
      <c r="AB373" s="1"/>
      <c r="AC373" s="20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0"/>
      <c r="U374" s="1"/>
      <c r="V374" s="1"/>
      <c r="W374" s="1"/>
      <c r="X374" s="1"/>
      <c r="Y374" s="1"/>
      <c r="Z374" s="20"/>
      <c r="AA374" s="1"/>
      <c r="AB374" s="1"/>
      <c r="AC374" s="20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0"/>
      <c r="U375" s="1"/>
      <c r="V375" s="1"/>
      <c r="W375" s="1"/>
      <c r="X375" s="1"/>
      <c r="Y375" s="1"/>
      <c r="Z375" s="20"/>
      <c r="AA375" s="1"/>
      <c r="AB375" s="1"/>
      <c r="AC375" s="20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0"/>
      <c r="U376" s="1"/>
      <c r="V376" s="1"/>
      <c r="W376" s="1"/>
      <c r="X376" s="1"/>
      <c r="Y376" s="1"/>
      <c r="Z376" s="20"/>
      <c r="AA376" s="1"/>
      <c r="AB376" s="1"/>
      <c r="AC376" s="20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0"/>
      <c r="U377" s="1"/>
      <c r="V377" s="1"/>
      <c r="W377" s="1"/>
      <c r="X377" s="1"/>
      <c r="Y377" s="1"/>
      <c r="Z377" s="20"/>
      <c r="AA377" s="1"/>
      <c r="AB377" s="1"/>
      <c r="AC377" s="20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0"/>
      <c r="U378" s="1"/>
      <c r="V378" s="1"/>
      <c r="W378" s="1"/>
      <c r="X378" s="1"/>
      <c r="Y378" s="1"/>
      <c r="Z378" s="20"/>
      <c r="AA378" s="1"/>
      <c r="AB378" s="1"/>
      <c r="AC378" s="20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0"/>
      <c r="U379" s="1"/>
      <c r="V379" s="1"/>
      <c r="W379" s="1"/>
      <c r="X379" s="1"/>
      <c r="Y379" s="1"/>
      <c r="Z379" s="20"/>
      <c r="AA379" s="1"/>
      <c r="AB379" s="1"/>
      <c r="AC379" s="20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0"/>
      <c r="U380" s="1"/>
      <c r="V380" s="1"/>
      <c r="W380" s="1"/>
      <c r="X380" s="1"/>
      <c r="Y380" s="1"/>
      <c r="Z380" s="20"/>
      <c r="AA380" s="1"/>
      <c r="AB380" s="1"/>
      <c r="AC380" s="20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0"/>
      <c r="U381" s="1"/>
      <c r="V381" s="1"/>
      <c r="W381" s="1"/>
      <c r="X381" s="1"/>
      <c r="Y381" s="1"/>
      <c r="Z381" s="20"/>
      <c r="AA381" s="1"/>
      <c r="AB381" s="1"/>
      <c r="AC381" s="20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0"/>
      <c r="U382" s="1"/>
      <c r="V382" s="1"/>
      <c r="W382" s="1"/>
      <c r="X382" s="1"/>
      <c r="Y382" s="1"/>
      <c r="Z382" s="20"/>
      <c r="AA382" s="1"/>
      <c r="AB382" s="1"/>
      <c r="AC382" s="20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0"/>
      <c r="U383" s="1"/>
      <c r="V383" s="1"/>
      <c r="W383" s="1"/>
      <c r="X383" s="1"/>
      <c r="Y383" s="1"/>
      <c r="Z383" s="20"/>
      <c r="AA383" s="1"/>
      <c r="AB383" s="1"/>
      <c r="AC383" s="20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0"/>
      <c r="U384" s="1"/>
      <c r="V384" s="1"/>
      <c r="W384" s="1"/>
      <c r="X384" s="1"/>
      <c r="Y384" s="1"/>
      <c r="Z384" s="20"/>
      <c r="AA384" s="1"/>
      <c r="AB384" s="1"/>
      <c r="AC384" s="20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0"/>
      <c r="U385" s="1"/>
      <c r="V385" s="1"/>
      <c r="W385" s="1"/>
      <c r="X385" s="1"/>
      <c r="Y385" s="1"/>
      <c r="Z385" s="20"/>
      <c r="AA385" s="1"/>
      <c r="AB385" s="1"/>
      <c r="AC385" s="20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0"/>
      <c r="U386" s="1"/>
      <c r="V386" s="1"/>
      <c r="W386" s="1"/>
      <c r="X386" s="1"/>
      <c r="Y386" s="1"/>
      <c r="Z386" s="20"/>
      <c r="AA386" s="1"/>
      <c r="AB386" s="1"/>
      <c r="AC386" s="20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0"/>
      <c r="U387" s="1"/>
      <c r="V387" s="1"/>
      <c r="W387" s="1"/>
      <c r="X387" s="1"/>
      <c r="Y387" s="1"/>
      <c r="Z387" s="20"/>
      <c r="AA387" s="1"/>
      <c r="AB387" s="1"/>
      <c r="AC387" s="20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0"/>
      <c r="U388" s="1"/>
      <c r="V388" s="1"/>
      <c r="W388" s="1"/>
      <c r="X388" s="1"/>
      <c r="Y388" s="1"/>
      <c r="Z388" s="20"/>
      <c r="AA388" s="1"/>
      <c r="AB388" s="1"/>
      <c r="AC388" s="20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0"/>
      <c r="U389" s="1"/>
      <c r="V389" s="1"/>
      <c r="W389" s="1"/>
      <c r="X389" s="1"/>
      <c r="Y389" s="1"/>
      <c r="Z389" s="20"/>
      <c r="AA389" s="1"/>
      <c r="AB389" s="1"/>
      <c r="AC389" s="20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0"/>
      <c r="U390" s="1"/>
      <c r="V390" s="1"/>
      <c r="W390" s="1"/>
      <c r="X390" s="1"/>
      <c r="Y390" s="1"/>
      <c r="Z390" s="20"/>
      <c r="AA390" s="1"/>
      <c r="AB390" s="1"/>
      <c r="AC390" s="20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0"/>
      <c r="U391" s="1"/>
      <c r="V391" s="1"/>
      <c r="W391" s="1"/>
      <c r="X391" s="1"/>
      <c r="Y391" s="1"/>
      <c r="Z391" s="20"/>
      <c r="AA391" s="1"/>
      <c r="AB391" s="1"/>
      <c r="AC391" s="20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0"/>
      <c r="U392" s="1"/>
      <c r="V392" s="1"/>
      <c r="W392" s="1"/>
      <c r="X392" s="1"/>
      <c r="Y392" s="1"/>
      <c r="Z392" s="20"/>
      <c r="AA392" s="1"/>
      <c r="AB392" s="1"/>
      <c r="AC392" s="20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0"/>
      <c r="U393" s="1"/>
      <c r="V393" s="1"/>
      <c r="W393" s="1"/>
      <c r="X393" s="1"/>
      <c r="Y393" s="1"/>
      <c r="Z393" s="20"/>
      <c r="AA393" s="1"/>
      <c r="AB393" s="1"/>
      <c r="AC393" s="20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0"/>
      <c r="U394" s="1"/>
      <c r="V394" s="1"/>
      <c r="W394" s="1"/>
      <c r="X394" s="1"/>
      <c r="Y394" s="1"/>
      <c r="Z394" s="20"/>
      <c r="AA394" s="1"/>
      <c r="AB394" s="1"/>
      <c r="AC394" s="20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0"/>
      <c r="U395" s="1"/>
      <c r="V395" s="1"/>
      <c r="W395" s="1"/>
      <c r="X395" s="1"/>
      <c r="Y395" s="1"/>
      <c r="Z395" s="20"/>
      <c r="AA395" s="1"/>
      <c r="AB395" s="1"/>
      <c r="AC395" s="20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0"/>
      <c r="U396" s="1"/>
      <c r="V396" s="1"/>
      <c r="W396" s="1"/>
      <c r="X396" s="1"/>
      <c r="Y396" s="1"/>
      <c r="Z396" s="20"/>
      <c r="AA396" s="1"/>
      <c r="AB396" s="1"/>
      <c r="AC396" s="20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0"/>
      <c r="U397" s="1"/>
      <c r="V397" s="1"/>
      <c r="W397" s="1"/>
      <c r="X397" s="1"/>
      <c r="Y397" s="1"/>
      <c r="Z397" s="20"/>
      <c r="AA397" s="1"/>
      <c r="AB397" s="1"/>
      <c r="AC397" s="20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0"/>
      <c r="U398" s="1"/>
      <c r="V398" s="1"/>
      <c r="W398" s="1"/>
      <c r="X398" s="1"/>
      <c r="Y398" s="1"/>
      <c r="Z398" s="20"/>
      <c r="AA398" s="1"/>
      <c r="AB398" s="1"/>
      <c r="AC398" s="20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0"/>
      <c r="U399" s="1"/>
      <c r="V399" s="1"/>
      <c r="W399" s="1"/>
      <c r="X399" s="1"/>
      <c r="Y399" s="1"/>
      <c r="Z399" s="20"/>
      <c r="AA399" s="1"/>
      <c r="AB399" s="1"/>
      <c r="AC399" s="20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0"/>
      <c r="U400" s="1"/>
      <c r="V400" s="1"/>
      <c r="W400" s="1"/>
      <c r="X400" s="1"/>
      <c r="Y400" s="1"/>
      <c r="Z400" s="20"/>
      <c r="AA400" s="1"/>
      <c r="AB400" s="1"/>
      <c r="AC400" s="20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0"/>
      <c r="U401" s="1"/>
      <c r="V401" s="1"/>
      <c r="W401" s="1"/>
      <c r="X401" s="1"/>
      <c r="Y401" s="1"/>
      <c r="Z401" s="20"/>
      <c r="AA401" s="1"/>
      <c r="AB401" s="1"/>
      <c r="AC401" s="20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0"/>
      <c r="U402" s="1"/>
      <c r="V402" s="1"/>
      <c r="W402" s="1"/>
      <c r="X402" s="1"/>
      <c r="Y402" s="1"/>
      <c r="Z402" s="20"/>
      <c r="AA402" s="1"/>
      <c r="AB402" s="1"/>
      <c r="AC402" s="20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0"/>
      <c r="U403" s="1"/>
      <c r="V403" s="1"/>
      <c r="W403" s="1"/>
      <c r="X403" s="1"/>
      <c r="Y403" s="1"/>
      <c r="Z403" s="20"/>
      <c r="AA403" s="1"/>
      <c r="AB403" s="1"/>
      <c r="AC403" s="20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0"/>
      <c r="U404" s="1"/>
      <c r="V404" s="1"/>
      <c r="W404" s="1"/>
      <c r="X404" s="1"/>
      <c r="Y404" s="1"/>
      <c r="Z404" s="20"/>
      <c r="AA404" s="1"/>
      <c r="AB404" s="1"/>
      <c r="AC404" s="20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0"/>
      <c r="U405" s="1"/>
      <c r="V405" s="1"/>
      <c r="W405" s="1"/>
      <c r="X405" s="1"/>
      <c r="Y405" s="1"/>
      <c r="Z405" s="20"/>
      <c r="AA405" s="1"/>
      <c r="AB405" s="1"/>
      <c r="AC405" s="20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0"/>
      <c r="U406" s="1"/>
      <c r="V406" s="1"/>
      <c r="W406" s="1"/>
      <c r="X406" s="1"/>
      <c r="Y406" s="1"/>
      <c r="Z406" s="20"/>
      <c r="AA406" s="1"/>
      <c r="AB406" s="1"/>
      <c r="AC406" s="20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0"/>
      <c r="U407" s="1"/>
      <c r="V407" s="1"/>
      <c r="W407" s="1"/>
      <c r="X407" s="1"/>
      <c r="Y407" s="1"/>
      <c r="Z407" s="20"/>
      <c r="AA407" s="1"/>
      <c r="AB407" s="1"/>
      <c r="AC407" s="20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0"/>
      <c r="U408" s="1"/>
      <c r="V408" s="1"/>
      <c r="W408" s="1"/>
      <c r="X408" s="1"/>
      <c r="Y408" s="1"/>
      <c r="Z408" s="20"/>
      <c r="AA408" s="1"/>
      <c r="AB408" s="1"/>
      <c r="AC408" s="20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0"/>
      <c r="U409" s="1"/>
      <c r="V409" s="1"/>
      <c r="W409" s="1"/>
      <c r="X409" s="1"/>
      <c r="Y409" s="1"/>
      <c r="Z409" s="20"/>
      <c r="AA409" s="1"/>
      <c r="AB409" s="1"/>
      <c r="AC409" s="20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0"/>
      <c r="U410" s="1"/>
      <c r="V410" s="1"/>
      <c r="W410" s="1"/>
      <c r="X410" s="1"/>
      <c r="Y410" s="1"/>
      <c r="Z410" s="20"/>
      <c r="AA410" s="1"/>
      <c r="AB410" s="1"/>
      <c r="AC410" s="20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0"/>
      <c r="U411" s="1"/>
      <c r="V411" s="1"/>
      <c r="W411" s="1"/>
      <c r="X411" s="1"/>
      <c r="Y411" s="1"/>
      <c r="Z411" s="20"/>
      <c r="AA411" s="1"/>
      <c r="AB411" s="1"/>
      <c r="AC411" s="20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0"/>
      <c r="U412" s="1"/>
      <c r="V412" s="1"/>
      <c r="W412" s="1"/>
      <c r="X412" s="1"/>
      <c r="Y412" s="1"/>
      <c r="Z412" s="20"/>
      <c r="AA412" s="1"/>
      <c r="AB412" s="1"/>
      <c r="AC412" s="20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0"/>
      <c r="U413" s="1"/>
      <c r="V413" s="1"/>
      <c r="W413" s="1"/>
      <c r="X413" s="1"/>
      <c r="Y413" s="1"/>
      <c r="Z413" s="20"/>
      <c r="AA413" s="1"/>
      <c r="AB413" s="1"/>
      <c r="AC413" s="20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0"/>
      <c r="U414" s="1"/>
      <c r="V414" s="1"/>
      <c r="W414" s="1"/>
      <c r="X414" s="1"/>
      <c r="Y414" s="1"/>
      <c r="Z414" s="20"/>
      <c r="AA414" s="1"/>
      <c r="AB414" s="1"/>
      <c r="AC414" s="20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0"/>
      <c r="U415" s="1"/>
      <c r="V415" s="1"/>
      <c r="W415" s="1"/>
      <c r="X415" s="1"/>
      <c r="Y415" s="1"/>
      <c r="Z415" s="20"/>
      <c r="AA415" s="1"/>
      <c r="AB415" s="1"/>
      <c r="AC415" s="20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0"/>
      <c r="U416" s="1"/>
      <c r="V416" s="1"/>
      <c r="W416" s="1"/>
      <c r="X416" s="1"/>
      <c r="Y416" s="1"/>
      <c r="Z416" s="20"/>
      <c r="AA416" s="1"/>
      <c r="AB416" s="1"/>
      <c r="AC416" s="20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0"/>
      <c r="U417" s="1"/>
      <c r="V417" s="1"/>
      <c r="W417" s="1"/>
      <c r="X417" s="1"/>
      <c r="Y417" s="1"/>
      <c r="Z417" s="20"/>
      <c r="AA417" s="1"/>
      <c r="AB417" s="1"/>
      <c r="AC417" s="20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0"/>
      <c r="U418" s="1"/>
      <c r="V418" s="1"/>
      <c r="W418" s="1"/>
      <c r="X418" s="1"/>
      <c r="Y418" s="1"/>
      <c r="Z418" s="20"/>
      <c r="AA418" s="1"/>
      <c r="AB418" s="1"/>
      <c r="AC418" s="20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0"/>
      <c r="U419" s="1"/>
      <c r="V419" s="1"/>
      <c r="W419" s="1"/>
      <c r="X419" s="1"/>
      <c r="Y419" s="1"/>
      <c r="Z419" s="20"/>
      <c r="AA419" s="1"/>
      <c r="AB419" s="1"/>
      <c r="AC419" s="20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0"/>
      <c r="U420" s="1"/>
      <c r="V420" s="1"/>
      <c r="W420" s="1"/>
      <c r="X420" s="1"/>
      <c r="Y420" s="1"/>
      <c r="Z420" s="20"/>
      <c r="AA420" s="1"/>
      <c r="AB420" s="1"/>
      <c r="AC420" s="20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0"/>
      <c r="U421" s="1"/>
      <c r="V421" s="1"/>
      <c r="W421" s="1"/>
      <c r="X421" s="1"/>
      <c r="Y421" s="1"/>
      <c r="Z421" s="20"/>
      <c r="AA421" s="1"/>
      <c r="AB421" s="1"/>
      <c r="AC421" s="20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0"/>
      <c r="U422" s="1"/>
      <c r="V422" s="1"/>
      <c r="W422" s="1"/>
      <c r="X422" s="1"/>
      <c r="Y422" s="1"/>
      <c r="Z422" s="20"/>
      <c r="AA422" s="1"/>
      <c r="AB422" s="1"/>
      <c r="AC422" s="20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0"/>
      <c r="U423" s="1"/>
      <c r="V423" s="1"/>
      <c r="W423" s="1"/>
      <c r="X423" s="1"/>
      <c r="Y423" s="1"/>
      <c r="Z423" s="20"/>
      <c r="AA423" s="1"/>
      <c r="AB423" s="1"/>
      <c r="AC423" s="20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0"/>
      <c r="U424" s="1"/>
      <c r="V424" s="1"/>
      <c r="W424" s="1"/>
      <c r="X424" s="1"/>
      <c r="Y424" s="1"/>
      <c r="Z424" s="20"/>
      <c r="AA424" s="1"/>
      <c r="AB424" s="1"/>
      <c r="AC424" s="20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0"/>
      <c r="U425" s="1"/>
      <c r="V425" s="1"/>
      <c r="W425" s="1"/>
      <c r="X425" s="1"/>
      <c r="Y425" s="1"/>
      <c r="Z425" s="20"/>
      <c r="AA425" s="1"/>
      <c r="AB425" s="1"/>
      <c r="AC425" s="20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0"/>
      <c r="U426" s="1"/>
      <c r="V426" s="1"/>
      <c r="W426" s="1"/>
      <c r="X426" s="1"/>
      <c r="Y426" s="1"/>
      <c r="Z426" s="20"/>
      <c r="AA426" s="1"/>
      <c r="AB426" s="1"/>
      <c r="AC426" s="20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0"/>
      <c r="U427" s="1"/>
      <c r="V427" s="1"/>
      <c r="W427" s="1"/>
      <c r="X427" s="1"/>
      <c r="Y427" s="1"/>
      <c r="Z427" s="20"/>
      <c r="AA427" s="1"/>
      <c r="AB427" s="1"/>
      <c r="AC427" s="20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0"/>
      <c r="U428" s="1"/>
      <c r="V428" s="1"/>
      <c r="W428" s="1"/>
      <c r="X428" s="1"/>
      <c r="Y428" s="1"/>
      <c r="Z428" s="20"/>
      <c r="AA428" s="1"/>
      <c r="AB428" s="1"/>
      <c r="AC428" s="20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0"/>
      <c r="U429" s="1"/>
      <c r="V429" s="1"/>
      <c r="W429" s="1"/>
      <c r="X429" s="1"/>
      <c r="Y429" s="1"/>
      <c r="Z429" s="20"/>
      <c r="AA429" s="1"/>
      <c r="AB429" s="1"/>
      <c r="AC429" s="20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0"/>
      <c r="U430" s="1"/>
      <c r="V430" s="1"/>
      <c r="W430" s="1"/>
      <c r="X430" s="1"/>
      <c r="Y430" s="1"/>
      <c r="Z430" s="20"/>
      <c r="AA430" s="1"/>
      <c r="AB430" s="1"/>
      <c r="AC430" s="20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0"/>
      <c r="U431" s="1"/>
      <c r="V431" s="1"/>
      <c r="W431" s="1"/>
      <c r="X431" s="1"/>
      <c r="Y431" s="1"/>
      <c r="Z431" s="20"/>
      <c r="AA431" s="1"/>
      <c r="AB431" s="1"/>
      <c r="AC431" s="20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0"/>
      <c r="U432" s="1"/>
      <c r="V432" s="1"/>
      <c r="W432" s="1"/>
      <c r="X432" s="1"/>
      <c r="Y432" s="1"/>
      <c r="Z432" s="20"/>
      <c r="AA432" s="1"/>
      <c r="AB432" s="1"/>
      <c r="AC432" s="20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0"/>
      <c r="U433" s="1"/>
      <c r="V433" s="1"/>
      <c r="W433" s="1"/>
      <c r="X433" s="1"/>
      <c r="Y433" s="1"/>
      <c r="Z433" s="20"/>
      <c r="AA433" s="1"/>
      <c r="AB433" s="1"/>
      <c r="AC433" s="20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0"/>
      <c r="U434" s="1"/>
      <c r="V434" s="1"/>
      <c r="W434" s="1"/>
      <c r="X434" s="1"/>
      <c r="Y434" s="1"/>
      <c r="Z434" s="20"/>
      <c r="AA434" s="1"/>
      <c r="AB434" s="1"/>
      <c r="AC434" s="20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0"/>
      <c r="U435" s="1"/>
      <c r="V435" s="1"/>
      <c r="W435" s="1"/>
      <c r="X435" s="1"/>
      <c r="Y435" s="1"/>
      <c r="Z435" s="20"/>
      <c r="AA435" s="1"/>
      <c r="AB435" s="1"/>
      <c r="AC435" s="20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0"/>
      <c r="U436" s="1"/>
      <c r="V436" s="1"/>
      <c r="W436" s="1"/>
      <c r="X436" s="1"/>
      <c r="Y436" s="1"/>
      <c r="Z436" s="20"/>
      <c r="AA436" s="1"/>
      <c r="AB436" s="1"/>
      <c r="AC436" s="20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0"/>
      <c r="U437" s="1"/>
      <c r="V437" s="1"/>
      <c r="W437" s="1"/>
      <c r="X437" s="1"/>
      <c r="Y437" s="1"/>
      <c r="Z437" s="20"/>
      <c r="AA437" s="1"/>
      <c r="AB437" s="1"/>
      <c r="AC437" s="20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0"/>
      <c r="U438" s="1"/>
      <c r="V438" s="1"/>
      <c r="W438" s="1"/>
      <c r="X438" s="1"/>
      <c r="Y438" s="1"/>
      <c r="Z438" s="20"/>
      <c r="AA438" s="1"/>
      <c r="AB438" s="1"/>
      <c r="AC438" s="20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0"/>
      <c r="U439" s="1"/>
      <c r="V439" s="1"/>
      <c r="W439" s="1"/>
      <c r="X439" s="1"/>
      <c r="Y439" s="1"/>
      <c r="Z439" s="20"/>
      <c r="AA439" s="1"/>
      <c r="AB439" s="1"/>
      <c r="AC439" s="20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0"/>
      <c r="U440" s="1"/>
      <c r="V440" s="1"/>
      <c r="W440" s="1"/>
      <c r="X440" s="1"/>
      <c r="Y440" s="1"/>
      <c r="Z440" s="20"/>
      <c r="AA440" s="1"/>
      <c r="AB440" s="1"/>
      <c r="AC440" s="20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0"/>
      <c r="U441" s="1"/>
      <c r="V441" s="1"/>
      <c r="W441" s="1"/>
      <c r="X441" s="1"/>
      <c r="Y441" s="1"/>
      <c r="Z441" s="20"/>
      <c r="AA441" s="1"/>
      <c r="AB441" s="1"/>
      <c r="AC441" s="20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0"/>
      <c r="U442" s="1"/>
      <c r="V442" s="1"/>
      <c r="W442" s="1"/>
      <c r="X442" s="1"/>
      <c r="Y442" s="1"/>
      <c r="Z442" s="20"/>
      <c r="AA442" s="1"/>
      <c r="AB442" s="1"/>
      <c r="AC442" s="20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0"/>
      <c r="U443" s="1"/>
      <c r="V443" s="1"/>
      <c r="W443" s="1"/>
      <c r="X443" s="1"/>
      <c r="Y443" s="1"/>
      <c r="Z443" s="20"/>
      <c r="AA443" s="1"/>
      <c r="AB443" s="1"/>
      <c r="AC443" s="20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0"/>
      <c r="U444" s="1"/>
      <c r="V444" s="1"/>
      <c r="W444" s="1"/>
      <c r="X444" s="1"/>
      <c r="Y444" s="1"/>
      <c r="Z444" s="20"/>
      <c r="AA444" s="1"/>
      <c r="AB444" s="1"/>
      <c r="AC444" s="20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0"/>
      <c r="U445" s="1"/>
      <c r="V445" s="1"/>
      <c r="W445" s="1"/>
      <c r="X445" s="1"/>
      <c r="Y445" s="1"/>
      <c r="Z445" s="20"/>
      <c r="AA445" s="1"/>
      <c r="AB445" s="1"/>
      <c r="AC445" s="20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0"/>
      <c r="U446" s="1"/>
      <c r="V446" s="1"/>
      <c r="W446" s="1"/>
      <c r="X446" s="1"/>
      <c r="Y446" s="1"/>
      <c r="Z446" s="20"/>
      <c r="AA446" s="1"/>
      <c r="AB446" s="1"/>
      <c r="AC446" s="20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0"/>
      <c r="U447" s="1"/>
      <c r="V447" s="1"/>
      <c r="W447" s="1"/>
      <c r="X447" s="1"/>
      <c r="Y447" s="1"/>
      <c r="Z447" s="20"/>
      <c r="AA447" s="1"/>
      <c r="AB447" s="1"/>
      <c r="AC447" s="20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0"/>
      <c r="U448" s="1"/>
      <c r="V448" s="1"/>
      <c r="W448" s="1"/>
      <c r="X448" s="1"/>
      <c r="Y448" s="1"/>
      <c r="Z448" s="20"/>
      <c r="AA448" s="1"/>
      <c r="AB448" s="1"/>
      <c r="AC448" s="20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0"/>
      <c r="U449" s="1"/>
      <c r="V449" s="1"/>
      <c r="W449" s="1"/>
      <c r="X449" s="1"/>
      <c r="Y449" s="1"/>
      <c r="Z449" s="20"/>
      <c r="AA449" s="1"/>
      <c r="AB449" s="1"/>
      <c r="AC449" s="20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0"/>
      <c r="U450" s="1"/>
      <c r="V450" s="1"/>
      <c r="W450" s="1"/>
      <c r="X450" s="1"/>
      <c r="Y450" s="1"/>
      <c r="Z450" s="20"/>
      <c r="AA450" s="1"/>
      <c r="AB450" s="1"/>
      <c r="AC450" s="20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0"/>
      <c r="U451" s="1"/>
      <c r="V451" s="1"/>
      <c r="W451" s="1"/>
      <c r="X451" s="1"/>
      <c r="Y451" s="1"/>
      <c r="Z451" s="20"/>
      <c r="AA451" s="1"/>
      <c r="AB451" s="1"/>
      <c r="AC451" s="20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0"/>
      <c r="U452" s="1"/>
      <c r="V452" s="1"/>
      <c r="W452" s="1"/>
      <c r="X452" s="1"/>
      <c r="Y452" s="1"/>
      <c r="Z452" s="20"/>
      <c r="AA452" s="1"/>
      <c r="AB452" s="1"/>
      <c r="AC452" s="20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0"/>
      <c r="U453" s="1"/>
      <c r="V453" s="1"/>
      <c r="W453" s="1"/>
      <c r="X453" s="1"/>
      <c r="Y453" s="1"/>
      <c r="Z453" s="20"/>
      <c r="AA453" s="1"/>
      <c r="AB453" s="1"/>
      <c r="AC453" s="20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0"/>
      <c r="U454" s="1"/>
      <c r="V454" s="1"/>
      <c r="W454" s="1"/>
      <c r="X454" s="1"/>
      <c r="Y454" s="1"/>
      <c r="Z454" s="20"/>
      <c r="AA454" s="1"/>
      <c r="AB454" s="1"/>
      <c r="AC454" s="20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0"/>
      <c r="U455" s="1"/>
      <c r="V455" s="1"/>
      <c r="W455" s="1"/>
      <c r="X455" s="1"/>
      <c r="Y455" s="1"/>
      <c r="Z455" s="20"/>
      <c r="AA455" s="1"/>
      <c r="AB455" s="1"/>
      <c r="AC455" s="20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0"/>
      <c r="U456" s="1"/>
      <c r="V456" s="1"/>
      <c r="W456" s="1"/>
      <c r="X456" s="1"/>
      <c r="Y456" s="1"/>
      <c r="Z456" s="20"/>
      <c r="AA456" s="1"/>
      <c r="AB456" s="1"/>
      <c r="AC456" s="20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0"/>
      <c r="U457" s="1"/>
      <c r="V457" s="1"/>
      <c r="W457" s="1"/>
      <c r="X457" s="1"/>
      <c r="Y457" s="1"/>
      <c r="Z457" s="20"/>
      <c r="AA457" s="1"/>
      <c r="AB457" s="1"/>
      <c r="AC457" s="20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0"/>
      <c r="U458" s="1"/>
      <c r="V458" s="1"/>
      <c r="W458" s="1"/>
      <c r="X458" s="1"/>
      <c r="Y458" s="1"/>
      <c r="Z458" s="20"/>
      <c r="AA458" s="1"/>
      <c r="AB458" s="1"/>
      <c r="AC458" s="20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0"/>
      <c r="U459" s="1"/>
      <c r="V459" s="1"/>
      <c r="W459" s="1"/>
      <c r="X459" s="1"/>
      <c r="Y459" s="1"/>
      <c r="Z459" s="20"/>
      <c r="AA459" s="1"/>
      <c r="AB459" s="1"/>
      <c r="AC459" s="20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0"/>
      <c r="U460" s="1"/>
      <c r="V460" s="1"/>
      <c r="W460" s="1"/>
      <c r="X460" s="1"/>
      <c r="Y460" s="1"/>
      <c r="Z460" s="20"/>
      <c r="AA460" s="1"/>
      <c r="AB460" s="1"/>
      <c r="AC460" s="20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0"/>
      <c r="U461" s="1"/>
      <c r="V461" s="1"/>
      <c r="W461" s="1"/>
      <c r="X461" s="1"/>
      <c r="Y461" s="1"/>
      <c r="Z461" s="20"/>
      <c r="AA461" s="1"/>
      <c r="AB461" s="1"/>
      <c r="AC461" s="20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0"/>
      <c r="U462" s="1"/>
      <c r="V462" s="1"/>
      <c r="W462" s="1"/>
      <c r="X462" s="1"/>
      <c r="Y462" s="1"/>
      <c r="Z462" s="20"/>
      <c r="AA462" s="1"/>
      <c r="AB462" s="1"/>
      <c r="AC462" s="20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0"/>
      <c r="U463" s="1"/>
      <c r="V463" s="1"/>
      <c r="W463" s="1"/>
      <c r="X463" s="1"/>
      <c r="Y463" s="1"/>
      <c r="Z463" s="20"/>
      <c r="AA463" s="1"/>
      <c r="AB463" s="1"/>
      <c r="AC463" s="20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0"/>
      <c r="U464" s="1"/>
      <c r="V464" s="1"/>
      <c r="W464" s="1"/>
      <c r="X464" s="1"/>
      <c r="Y464" s="1"/>
      <c r="Z464" s="20"/>
      <c r="AA464" s="1"/>
      <c r="AB464" s="1"/>
      <c r="AC464" s="20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0"/>
      <c r="U465" s="1"/>
      <c r="V465" s="1"/>
      <c r="W465" s="1"/>
      <c r="X465" s="1"/>
      <c r="Y465" s="1"/>
      <c r="Z465" s="20"/>
      <c r="AA465" s="1"/>
      <c r="AB465" s="1"/>
      <c r="AC465" s="20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0"/>
      <c r="U466" s="1"/>
      <c r="V466" s="1"/>
      <c r="W466" s="1"/>
      <c r="X466" s="1"/>
      <c r="Y466" s="1"/>
      <c r="Z466" s="20"/>
      <c r="AA466" s="1"/>
      <c r="AB466" s="1"/>
      <c r="AC466" s="20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0"/>
      <c r="U467" s="1"/>
      <c r="V467" s="1"/>
      <c r="W467" s="1"/>
      <c r="X467" s="1"/>
      <c r="Y467" s="1"/>
      <c r="Z467" s="20"/>
      <c r="AA467" s="1"/>
      <c r="AB467" s="1"/>
      <c r="AC467" s="20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0"/>
      <c r="U468" s="1"/>
      <c r="V468" s="1"/>
      <c r="W468" s="1"/>
      <c r="X468" s="1"/>
      <c r="Y468" s="1"/>
      <c r="Z468" s="20"/>
      <c r="AA468" s="1"/>
      <c r="AB468" s="1"/>
      <c r="AC468" s="20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0"/>
      <c r="U469" s="1"/>
      <c r="V469" s="1"/>
      <c r="W469" s="1"/>
      <c r="X469" s="1"/>
      <c r="Y469" s="1"/>
      <c r="Z469" s="20"/>
      <c r="AA469" s="1"/>
      <c r="AB469" s="1"/>
      <c r="AC469" s="20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0"/>
      <c r="U470" s="1"/>
      <c r="V470" s="1"/>
      <c r="W470" s="1"/>
      <c r="X470" s="1"/>
      <c r="Y470" s="1"/>
      <c r="Z470" s="20"/>
      <c r="AA470" s="1"/>
      <c r="AB470" s="1"/>
      <c r="AC470" s="20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0"/>
      <c r="U471" s="1"/>
      <c r="V471" s="1"/>
      <c r="W471" s="1"/>
      <c r="X471" s="1"/>
      <c r="Y471" s="1"/>
      <c r="Z471" s="20"/>
      <c r="AA471" s="1"/>
      <c r="AB471" s="1"/>
      <c r="AC471" s="20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0"/>
      <c r="U472" s="1"/>
      <c r="V472" s="1"/>
      <c r="W472" s="1"/>
      <c r="X472" s="1"/>
      <c r="Y472" s="1"/>
      <c r="Z472" s="20"/>
      <c r="AA472" s="1"/>
      <c r="AB472" s="1"/>
      <c r="AC472" s="20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0"/>
      <c r="U473" s="1"/>
      <c r="V473" s="1"/>
      <c r="W473" s="1"/>
      <c r="X473" s="1"/>
      <c r="Y473" s="1"/>
      <c r="Z473" s="20"/>
      <c r="AA473" s="1"/>
      <c r="AB473" s="1"/>
      <c r="AC473" s="20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0"/>
      <c r="U474" s="1"/>
      <c r="V474" s="1"/>
      <c r="W474" s="1"/>
      <c r="X474" s="1"/>
      <c r="Y474" s="1"/>
      <c r="Z474" s="20"/>
      <c r="AA474" s="1"/>
      <c r="AB474" s="1"/>
      <c r="AC474" s="20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0"/>
      <c r="U475" s="1"/>
      <c r="V475" s="1"/>
      <c r="W475" s="1"/>
      <c r="X475" s="1"/>
      <c r="Y475" s="1"/>
      <c r="Z475" s="20"/>
      <c r="AA475" s="1"/>
      <c r="AB475" s="1"/>
      <c r="AC475" s="20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0"/>
      <c r="U476" s="1"/>
      <c r="V476" s="1"/>
      <c r="W476" s="1"/>
      <c r="X476" s="1"/>
      <c r="Y476" s="1"/>
      <c r="Z476" s="20"/>
      <c r="AA476" s="1"/>
      <c r="AB476" s="1"/>
      <c r="AC476" s="20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0"/>
      <c r="U477" s="1"/>
      <c r="V477" s="1"/>
      <c r="W477" s="1"/>
      <c r="X477" s="1"/>
      <c r="Y477" s="1"/>
      <c r="Z477" s="20"/>
      <c r="AA477" s="1"/>
      <c r="AB477" s="1"/>
      <c r="AC477" s="20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0"/>
      <c r="U478" s="1"/>
      <c r="V478" s="1"/>
      <c r="W478" s="1"/>
      <c r="X478" s="1"/>
      <c r="Y478" s="1"/>
      <c r="Z478" s="20"/>
      <c r="AA478" s="1"/>
      <c r="AB478" s="1"/>
      <c r="AC478" s="20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0"/>
      <c r="U479" s="1"/>
      <c r="V479" s="1"/>
      <c r="W479" s="1"/>
      <c r="X479" s="1"/>
      <c r="Y479" s="1"/>
      <c r="Z479" s="20"/>
      <c r="AA479" s="1"/>
      <c r="AB479" s="1"/>
      <c r="AC479" s="20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0"/>
      <c r="U480" s="1"/>
      <c r="V480" s="1"/>
      <c r="W480" s="1"/>
      <c r="X480" s="1"/>
      <c r="Y480" s="1"/>
      <c r="Z480" s="20"/>
      <c r="AA480" s="1"/>
      <c r="AB480" s="1"/>
      <c r="AC480" s="20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0"/>
      <c r="U481" s="1"/>
      <c r="V481" s="1"/>
      <c r="W481" s="1"/>
      <c r="X481" s="1"/>
      <c r="Y481" s="1"/>
      <c r="Z481" s="20"/>
      <c r="AA481" s="1"/>
      <c r="AB481" s="1"/>
      <c r="AC481" s="20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0"/>
      <c r="U482" s="1"/>
      <c r="V482" s="1"/>
      <c r="W482" s="1"/>
      <c r="X482" s="1"/>
      <c r="Y482" s="1"/>
      <c r="Z482" s="20"/>
      <c r="AA482" s="1"/>
      <c r="AB482" s="1"/>
      <c r="AC482" s="20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0"/>
      <c r="U483" s="1"/>
      <c r="V483" s="1"/>
      <c r="W483" s="1"/>
      <c r="X483" s="1"/>
      <c r="Y483" s="1"/>
      <c r="Z483" s="20"/>
      <c r="AA483" s="1"/>
      <c r="AB483" s="1"/>
      <c r="AC483" s="20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0"/>
      <c r="U484" s="1"/>
      <c r="V484" s="1"/>
      <c r="W484" s="1"/>
      <c r="X484" s="1"/>
      <c r="Y484" s="1"/>
      <c r="Z484" s="20"/>
      <c r="AA484" s="1"/>
      <c r="AB484" s="1"/>
      <c r="AC484" s="20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0"/>
      <c r="U485" s="1"/>
      <c r="V485" s="1"/>
      <c r="W485" s="1"/>
      <c r="X485" s="1"/>
      <c r="Y485" s="1"/>
      <c r="Z485" s="20"/>
      <c r="AA485" s="1"/>
      <c r="AB485" s="1"/>
      <c r="AC485" s="20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0"/>
      <c r="U486" s="1"/>
      <c r="V486" s="1"/>
      <c r="W486" s="1"/>
      <c r="X486" s="1"/>
      <c r="Y486" s="1"/>
      <c r="Z486" s="20"/>
      <c r="AA486" s="1"/>
      <c r="AB486" s="1"/>
      <c r="AC486" s="20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0"/>
      <c r="U487" s="1"/>
      <c r="V487" s="1"/>
      <c r="W487" s="1"/>
      <c r="X487" s="1"/>
      <c r="Y487" s="1"/>
      <c r="Z487" s="20"/>
      <c r="AA487" s="1"/>
      <c r="AB487" s="1"/>
      <c r="AC487" s="20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0"/>
      <c r="U488" s="1"/>
      <c r="V488" s="1"/>
      <c r="W488" s="1"/>
      <c r="X488" s="1"/>
      <c r="Y488" s="1"/>
      <c r="Z488" s="20"/>
      <c r="AA488" s="1"/>
      <c r="AB488" s="1"/>
      <c r="AC488" s="20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0"/>
      <c r="U489" s="1"/>
      <c r="V489" s="1"/>
      <c r="W489" s="1"/>
      <c r="X489" s="1"/>
      <c r="Y489" s="1"/>
      <c r="Z489" s="20"/>
      <c r="AA489" s="1"/>
      <c r="AB489" s="1"/>
      <c r="AC489" s="20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0"/>
      <c r="U490" s="1"/>
      <c r="V490" s="1"/>
      <c r="W490" s="1"/>
      <c r="X490" s="1"/>
      <c r="Y490" s="1"/>
      <c r="Z490" s="20"/>
      <c r="AA490" s="1"/>
      <c r="AB490" s="1"/>
      <c r="AC490" s="20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0"/>
      <c r="U491" s="1"/>
      <c r="V491" s="1"/>
      <c r="W491" s="1"/>
      <c r="X491" s="1"/>
      <c r="Y491" s="1"/>
      <c r="Z491" s="20"/>
      <c r="AA491" s="1"/>
      <c r="AB491" s="1"/>
      <c r="AC491" s="20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0"/>
      <c r="U492" s="1"/>
      <c r="V492" s="1"/>
      <c r="W492" s="1"/>
      <c r="X492" s="1"/>
      <c r="Y492" s="1"/>
      <c r="Z492" s="20"/>
      <c r="AA492" s="1"/>
      <c r="AB492" s="1"/>
      <c r="AC492" s="20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0"/>
      <c r="U493" s="1"/>
      <c r="V493" s="1"/>
      <c r="W493" s="1"/>
      <c r="X493" s="1"/>
      <c r="Y493" s="1"/>
      <c r="Z493" s="20"/>
      <c r="AA493" s="1"/>
      <c r="AB493" s="1"/>
      <c r="AC493" s="20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0"/>
      <c r="U494" s="1"/>
      <c r="V494" s="1"/>
      <c r="W494" s="1"/>
      <c r="X494" s="1"/>
      <c r="Y494" s="1"/>
      <c r="Z494" s="20"/>
      <c r="AA494" s="1"/>
      <c r="AB494" s="1"/>
      <c r="AC494" s="20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0"/>
      <c r="U495" s="1"/>
      <c r="V495" s="1"/>
      <c r="W495" s="1"/>
      <c r="X495" s="1"/>
      <c r="Y495" s="1"/>
      <c r="Z495" s="20"/>
      <c r="AA495" s="1"/>
      <c r="AB495" s="1"/>
      <c r="AC495" s="20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0"/>
      <c r="U496" s="1"/>
      <c r="V496" s="1"/>
      <c r="W496" s="1"/>
      <c r="X496" s="1"/>
      <c r="Y496" s="1"/>
      <c r="Z496" s="20"/>
      <c r="AA496" s="1"/>
      <c r="AB496" s="1"/>
      <c r="AC496" s="20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20"/>
      <c r="U497" s="1"/>
      <c r="V497" s="1"/>
      <c r="W497" s="1"/>
      <c r="X497" s="1"/>
      <c r="Y497" s="1"/>
      <c r="Z497" s="20"/>
      <c r="AA497" s="1"/>
      <c r="AB497" s="1"/>
      <c r="AC497" s="20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20"/>
      <c r="U498" s="1"/>
      <c r="V498" s="1"/>
      <c r="W498" s="1"/>
      <c r="X498" s="1"/>
      <c r="Y498" s="1"/>
      <c r="Z498" s="20"/>
      <c r="AA498" s="1"/>
      <c r="AB498" s="1"/>
      <c r="AC498" s="20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20"/>
      <c r="U499" s="1"/>
      <c r="V499" s="1"/>
      <c r="W499" s="1"/>
      <c r="X499" s="1"/>
      <c r="Y499" s="1"/>
      <c r="Z499" s="20"/>
      <c r="AA499" s="1"/>
      <c r="AB499" s="1"/>
      <c r="AC499" s="20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20"/>
      <c r="U500" s="1"/>
      <c r="V500" s="1"/>
      <c r="W500" s="1"/>
      <c r="X500" s="1"/>
      <c r="Y500" s="1"/>
      <c r="Z500" s="20"/>
      <c r="AA500" s="1"/>
      <c r="AB500" s="1"/>
      <c r="AC500" s="20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</sheetData>
  <autoFilter ref="A3:AR136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5DFBE-B1D1-4719-9373-1B58DFA833EE}">
  <dimension ref="A1:H13"/>
  <sheetViews>
    <sheetView workbookViewId="0">
      <selection activeCell="K16" sqref="K16"/>
    </sheetView>
  </sheetViews>
  <sheetFormatPr defaultRowHeight="15" x14ac:dyDescent="0.25"/>
  <cols>
    <col min="2" max="2" width="9.140625" style="29"/>
    <col min="3" max="3" width="111.140625" bestFit="1" customWidth="1"/>
  </cols>
  <sheetData>
    <row r="1" spans="1:8" x14ac:dyDescent="0.25">
      <c r="A1" t="s">
        <v>328</v>
      </c>
      <c r="B1" s="29" t="str">
        <f>SUBSTITUTE(A1," ","")</f>
        <v>SU002074</v>
      </c>
      <c r="C1" t="s">
        <v>329</v>
      </c>
      <c r="D1" t="s">
        <v>330</v>
      </c>
      <c r="E1" t="s">
        <v>331</v>
      </c>
      <c r="F1" t="s">
        <v>331</v>
      </c>
      <c r="G1" t="s">
        <v>332</v>
      </c>
      <c r="H1">
        <f>--SUBSTITUTE(G1," ","")</f>
        <v>-1008</v>
      </c>
    </row>
    <row r="2" spans="1:8" x14ac:dyDescent="0.25">
      <c r="A2" t="s">
        <v>333</v>
      </c>
      <c r="B2" s="29" t="str">
        <f t="shared" ref="B2:B13" si="0">SUBSTITUTE(A2," ","")</f>
        <v>SU002205</v>
      </c>
      <c r="C2" t="s">
        <v>334</v>
      </c>
      <c r="D2" t="s">
        <v>335</v>
      </c>
      <c r="E2" t="s">
        <v>335</v>
      </c>
      <c r="F2" t="s">
        <v>331</v>
      </c>
      <c r="G2" t="s">
        <v>336</v>
      </c>
      <c r="H2">
        <f t="shared" ref="H2:H13" si="1">--SUBSTITUTE(G2," ","")</f>
        <v>-101</v>
      </c>
    </row>
    <row r="3" spans="1:8" x14ac:dyDescent="0.25">
      <c r="A3" t="s">
        <v>337</v>
      </c>
      <c r="B3" s="29" t="str">
        <f t="shared" si="0"/>
        <v>SU002621</v>
      </c>
      <c r="C3" t="s">
        <v>338</v>
      </c>
      <c r="D3" t="s">
        <v>339</v>
      </c>
      <c r="E3" t="s">
        <v>331</v>
      </c>
      <c r="F3" t="s">
        <v>331</v>
      </c>
      <c r="G3" t="s">
        <v>340</v>
      </c>
      <c r="H3">
        <f t="shared" si="1"/>
        <v>-84</v>
      </c>
    </row>
    <row r="4" spans="1:8" x14ac:dyDescent="0.25">
      <c r="A4" t="s">
        <v>341</v>
      </c>
      <c r="B4" s="29" t="str">
        <f t="shared" si="0"/>
        <v>SU002660</v>
      </c>
      <c r="C4" t="s">
        <v>342</v>
      </c>
      <c r="D4" t="s">
        <v>343</v>
      </c>
      <c r="E4" t="s">
        <v>331</v>
      </c>
      <c r="F4" t="s">
        <v>331</v>
      </c>
      <c r="G4" t="s">
        <v>344</v>
      </c>
      <c r="H4">
        <f t="shared" si="1"/>
        <v>-19</v>
      </c>
    </row>
    <row r="5" spans="1:8" x14ac:dyDescent="0.25">
      <c r="A5" t="s">
        <v>345</v>
      </c>
      <c r="B5" s="29" t="str">
        <f t="shared" si="0"/>
        <v>SU002847</v>
      </c>
      <c r="C5" t="s">
        <v>346</v>
      </c>
      <c r="D5" t="s">
        <v>347</v>
      </c>
      <c r="E5" t="s">
        <v>331</v>
      </c>
      <c r="F5" t="s">
        <v>331</v>
      </c>
      <c r="G5" t="s">
        <v>348</v>
      </c>
      <c r="H5">
        <f t="shared" si="1"/>
        <v>-21</v>
      </c>
    </row>
    <row r="6" spans="1:8" x14ac:dyDescent="0.25">
      <c r="A6" t="s">
        <v>349</v>
      </c>
      <c r="B6" s="29" t="str">
        <f t="shared" si="0"/>
        <v>SU002942</v>
      </c>
      <c r="C6" t="s">
        <v>350</v>
      </c>
      <c r="D6" t="s">
        <v>351</v>
      </c>
      <c r="E6" t="s">
        <v>331</v>
      </c>
      <c r="F6" t="s">
        <v>331</v>
      </c>
      <c r="G6" t="s">
        <v>352</v>
      </c>
      <c r="H6">
        <f t="shared" si="1"/>
        <v>-22</v>
      </c>
    </row>
    <row r="7" spans="1:8" x14ac:dyDescent="0.25">
      <c r="A7" t="s">
        <v>353</v>
      </c>
      <c r="B7" s="29" t="str">
        <f t="shared" si="0"/>
        <v>SU002944</v>
      </c>
      <c r="C7" t="s">
        <v>354</v>
      </c>
      <c r="D7" t="s">
        <v>355</v>
      </c>
      <c r="E7" t="s">
        <v>331</v>
      </c>
      <c r="F7" t="s">
        <v>331</v>
      </c>
      <c r="G7" t="s">
        <v>356</v>
      </c>
      <c r="H7">
        <f t="shared" si="1"/>
        <v>-52</v>
      </c>
    </row>
    <row r="8" spans="1:8" x14ac:dyDescent="0.25">
      <c r="A8" t="s">
        <v>357</v>
      </c>
      <c r="B8" s="29" t="str">
        <f t="shared" si="0"/>
        <v>SU002948</v>
      </c>
      <c r="C8" t="s">
        <v>358</v>
      </c>
      <c r="D8" t="s">
        <v>359</v>
      </c>
      <c r="E8" t="s">
        <v>331</v>
      </c>
      <c r="F8" t="s">
        <v>331</v>
      </c>
      <c r="G8" t="s">
        <v>360</v>
      </c>
      <c r="H8">
        <f t="shared" si="1"/>
        <v>-16</v>
      </c>
    </row>
    <row r="9" spans="1:8" x14ac:dyDescent="0.25">
      <c r="A9" t="s">
        <v>361</v>
      </c>
      <c r="B9" s="29" t="str">
        <f t="shared" si="0"/>
        <v>SU002985</v>
      </c>
      <c r="C9" t="s">
        <v>362</v>
      </c>
      <c r="D9" t="s">
        <v>363</v>
      </c>
      <c r="E9" t="s">
        <v>331</v>
      </c>
      <c r="F9" t="s">
        <v>331</v>
      </c>
      <c r="G9" t="s">
        <v>364</v>
      </c>
      <c r="H9">
        <f t="shared" si="1"/>
        <v>-11</v>
      </c>
    </row>
    <row r="10" spans="1:8" x14ac:dyDescent="0.25">
      <c r="A10" t="s">
        <v>365</v>
      </c>
      <c r="B10" s="29" t="str">
        <f t="shared" si="0"/>
        <v>SU003829</v>
      </c>
      <c r="C10" t="s">
        <v>366</v>
      </c>
      <c r="D10" t="s">
        <v>367</v>
      </c>
      <c r="E10" t="s">
        <v>331</v>
      </c>
      <c r="F10" t="s">
        <v>331</v>
      </c>
      <c r="G10" t="s">
        <v>368</v>
      </c>
      <c r="H10">
        <f t="shared" si="1"/>
        <v>-7</v>
      </c>
    </row>
    <row r="11" spans="1:8" x14ac:dyDescent="0.25">
      <c r="A11" t="s">
        <v>369</v>
      </c>
      <c r="B11" s="29" t="str">
        <f t="shared" si="0"/>
        <v>SU004044</v>
      </c>
      <c r="C11" t="s">
        <v>370</v>
      </c>
      <c r="D11" t="s">
        <v>371</v>
      </c>
      <c r="E11" t="s">
        <v>331</v>
      </c>
      <c r="F11" t="s">
        <v>331</v>
      </c>
      <c r="G11" t="s">
        <v>372</v>
      </c>
      <c r="H11">
        <f t="shared" si="1"/>
        <v>-112</v>
      </c>
    </row>
    <row r="12" spans="1:8" x14ac:dyDescent="0.25">
      <c r="A12" t="s">
        <v>373</v>
      </c>
      <c r="B12" s="29" t="str">
        <f t="shared" si="0"/>
        <v>SU004045</v>
      </c>
      <c r="C12" t="s">
        <v>374</v>
      </c>
      <c r="D12" t="s">
        <v>375</v>
      </c>
      <c r="E12" t="s">
        <v>331</v>
      </c>
      <c r="F12" t="s">
        <v>331</v>
      </c>
      <c r="G12" t="s">
        <v>376</v>
      </c>
      <c r="H12">
        <f t="shared" si="1"/>
        <v>-131</v>
      </c>
    </row>
    <row r="13" spans="1:8" x14ac:dyDescent="0.25">
      <c r="A13" t="s">
        <v>377</v>
      </c>
      <c r="B13" s="29" t="str">
        <f t="shared" si="0"/>
        <v>SU004146</v>
      </c>
      <c r="C13" t="s">
        <v>378</v>
      </c>
      <c r="D13" t="s">
        <v>379</v>
      </c>
      <c r="E13" t="s">
        <v>331</v>
      </c>
      <c r="F13" t="s">
        <v>331</v>
      </c>
      <c r="G13" t="s">
        <v>380</v>
      </c>
      <c r="H13">
        <f t="shared" si="1"/>
        <v>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AC55-4491-48FD-B79F-44475346B6FC}">
  <dimension ref="A1:H23"/>
  <sheetViews>
    <sheetView workbookViewId="0">
      <selection activeCell="K13" sqref="K13"/>
    </sheetView>
  </sheetViews>
  <sheetFormatPr defaultRowHeight="15" x14ac:dyDescent="0.25"/>
  <cols>
    <col min="2" max="2" width="9.140625" style="29"/>
    <col min="3" max="3" width="111.140625" bestFit="1" customWidth="1"/>
  </cols>
  <sheetData>
    <row r="1" spans="1:8" x14ac:dyDescent="0.25">
      <c r="A1" t="s">
        <v>328</v>
      </c>
      <c r="B1" s="29" t="str">
        <f>SUBSTITUTE(A1," ","")</f>
        <v>SU002074</v>
      </c>
      <c r="C1" t="s">
        <v>329</v>
      </c>
      <c r="D1" t="s">
        <v>381</v>
      </c>
      <c r="E1" t="s">
        <v>331</v>
      </c>
      <c r="F1" t="s">
        <v>331</v>
      </c>
      <c r="G1" t="s">
        <v>382</v>
      </c>
      <c r="H1">
        <f>--SUBSTITUTE(G1," ","")</f>
        <v>-486</v>
      </c>
    </row>
    <row r="2" spans="1:8" x14ac:dyDescent="0.25">
      <c r="A2" t="s">
        <v>333</v>
      </c>
      <c r="B2" s="29" t="str">
        <f t="shared" ref="B2:B23" si="0">SUBSTITUTE(A2," ","")</f>
        <v>SU002205</v>
      </c>
      <c r="C2" t="s">
        <v>334</v>
      </c>
      <c r="D2" t="s">
        <v>383</v>
      </c>
      <c r="E2" t="s">
        <v>331</v>
      </c>
      <c r="F2" t="s">
        <v>331</v>
      </c>
      <c r="G2" t="s">
        <v>384</v>
      </c>
      <c r="H2">
        <f t="shared" ref="H2:H23" si="1">--SUBSTITUTE(G2," ","")</f>
        <v>-82</v>
      </c>
    </row>
    <row r="3" spans="1:8" x14ac:dyDescent="0.25">
      <c r="A3" t="s">
        <v>337</v>
      </c>
      <c r="B3" s="29" t="str">
        <f t="shared" si="0"/>
        <v>SU002621</v>
      </c>
      <c r="C3" t="s">
        <v>338</v>
      </c>
      <c r="D3" t="s">
        <v>383</v>
      </c>
      <c r="E3" t="s">
        <v>331</v>
      </c>
      <c r="F3" t="s">
        <v>331</v>
      </c>
      <c r="G3" t="s">
        <v>384</v>
      </c>
      <c r="H3">
        <f t="shared" si="1"/>
        <v>-82</v>
      </c>
    </row>
    <row r="4" spans="1:8" x14ac:dyDescent="0.25">
      <c r="A4" t="s">
        <v>341</v>
      </c>
      <c r="B4" s="29" t="str">
        <f t="shared" si="0"/>
        <v>SU002660</v>
      </c>
      <c r="C4" t="s">
        <v>342</v>
      </c>
      <c r="D4" t="s">
        <v>343</v>
      </c>
      <c r="E4" t="s">
        <v>331</v>
      </c>
      <c r="F4" t="s">
        <v>331</v>
      </c>
      <c r="G4" t="s">
        <v>344</v>
      </c>
      <c r="H4">
        <f t="shared" si="1"/>
        <v>-19</v>
      </c>
    </row>
    <row r="5" spans="1:8" x14ac:dyDescent="0.25">
      <c r="A5" t="s">
        <v>385</v>
      </c>
      <c r="B5" s="29" t="str">
        <f t="shared" si="0"/>
        <v>SU002833</v>
      </c>
      <c r="C5" t="s">
        <v>386</v>
      </c>
      <c r="D5" t="s">
        <v>387</v>
      </c>
      <c r="E5" t="s">
        <v>387</v>
      </c>
      <c r="F5" t="s">
        <v>388</v>
      </c>
      <c r="G5" t="s">
        <v>364</v>
      </c>
      <c r="H5">
        <f t="shared" si="1"/>
        <v>-11</v>
      </c>
    </row>
    <row r="6" spans="1:8" x14ac:dyDescent="0.25">
      <c r="A6" t="s">
        <v>345</v>
      </c>
      <c r="B6" s="29" t="str">
        <f t="shared" si="0"/>
        <v>SU002847</v>
      </c>
      <c r="C6" t="s">
        <v>346</v>
      </c>
      <c r="D6" t="s">
        <v>389</v>
      </c>
      <c r="E6" t="s">
        <v>331</v>
      </c>
      <c r="F6" t="s">
        <v>331</v>
      </c>
      <c r="G6" t="s">
        <v>390</v>
      </c>
      <c r="H6">
        <f t="shared" si="1"/>
        <v>-29</v>
      </c>
    </row>
    <row r="7" spans="1:8" x14ac:dyDescent="0.25">
      <c r="A7" t="s">
        <v>391</v>
      </c>
      <c r="B7" s="29" t="str">
        <f t="shared" si="0"/>
        <v>SU002848</v>
      </c>
      <c r="C7" t="s">
        <v>392</v>
      </c>
      <c r="D7" t="s">
        <v>393</v>
      </c>
      <c r="E7" t="s">
        <v>331</v>
      </c>
      <c r="F7" t="s">
        <v>331</v>
      </c>
      <c r="G7" t="s">
        <v>394</v>
      </c>
      <c r="H7">
        <f t="shared" si="1"/>
        <v>-53</v>
      </c>
    </row>
    <row r="8" spans="1:8" x14ac:dyDescent="0.25">
      <c r="A8" t="s">
        <v>349</v>
      </c>
      <c r="B8" s="29" t="str">
        <f t="shared" si="0"/>
        <v>SU002942</v>
      </c>
      <c r="C8" t="s">
        <v>350</v>
      </c>
      <c r="D8" t="s">
        <v>359</v>
      </c>
      <c r="E8" t="s">
        <v>331</v>
      </c>
      <c r="F8" t="s">
        <v>331</v>
      </c>
      <c r="G8" t="s">
        <v>360</v>
      </c>
      <c r="H8">
        <f t="shared" si="1"/>
        <v>-16</v>
      </c>
    </row>
    <row r="9" spans="1:8" x14ac:dyDescent="0.25">
      <c r="A9" t="s">
        <v>353</v>
      </c>
      <c r="B9" s="29" t="str">
        <f t="shared" si="0"/>
        <v>SU002944</v>
      </c>
      <c r="C9" t="s">
        <v>354</v>
      </c>
      <c r="D9" t="s">
        <v>395</v>
      </c>
      <c r="E9" t="s">
        <v>331</v>
      </c>
      <c r="F9" t="s">
        <v>331</v>
      </c>
      <c r="G9" t="s">
        <v>396</v>
      </c>
      <c r="H9">
        <f t="shared" si="1"/>
        <v>-59</v>
      </c>
    </row>
    <row r="10" spans="1:8" x14ac:dyDescent="0.25">
      <c r="A10" t="s">
        <v>357</v>
      </c>
      <c r="B10" s="29" t="str">
        <f t="shared" si="0"/>
        <v>SU002948</v>
      </c>
      <c r="C10" t="s">
        <v>358</v>
      </c>
      <c r="D10" t="s">
        <v>359</v>
      </c>
      <c r="E10" t="s">
        <v>331</v>
      </c>
      <c r="F10" t="s">
        <v>331</v>
      </c>
      <c r="G10" t="s">
        <v>360</v>
      </c>
      <c r="H10">
        <f t="shared" si="1"/>
        <v>-16</v>
      </c>
    </row>
    <row r="11" spans="1:8" x14ac:dyDescent="0.25">
      <c r="A11" t="s">
        <v>397</v>
      </c>
      <c r="B11" s="29" t="str">
        <f t="shared" si="0"/>
        <v>SU003168</v>
      </c>
      <c r="C11" t="s">
        <v>398</v>
      </c>
      <c r="D11" t="s">
        <v>399</v>
      </c>
      <c r="E11" t="s">
        <v>399</v>
      </c>
      <c r="F11" t="s">
        <v>400</v>
      </c>
      <c r="G11" t="s">
        <v>368</v>
      </c>
      <c r="H11">
        <f t="shared" si="1"/>
        <v>-7</v>
      </c>
    </row>
    <row r="12" spans="1:8" x14ac:dyDescent="0.25">
      <c r="A12" t="s">
        <v>401</v>
      </c>
      <c r="B12" s="29" t="str">
        <f t="shared" si="0"/>
        <v>SU003686</v>
      </c>
      <c r="C12" t="s">
        <v>402</v>
      </c>
      <c r="D12" t="s">
        <v>403</v>
      </c>
      <c r="E12" t="s">
        <v>403</v>
      </c>
      <c r="F12" t="s">
        <v>331</v>
      </c>
      <c r="G12" t="s">
        <v>404</v>
      </c>
      <c r="H12">
        <f t="shared" si="1"/>
        <v>-15</v>
      </c>
    </row>
    <row r="13" spans="1:8" x14ac:dyDescent="0.25">
      <c r="A13" t="s">
        <v>365</v>
      </c>
      <c r="B13" s="29" t="str">
        <f t="shared" si="0"/>
        <v>SU003829</v>
      </c>
      <c r="C13" t="s">
        <v>366</v>
      </c>
      <c r="D13" t="s">
        <v>405</v>
      </c>
      <c r="E13" t="s">
        <v>331</v>
      </c>
      <c r="F13" t="s">
        <v>331</v>
      </c>
      <c r="G13" t="s">
        <v>406</v>
      </c>
      <c r="H13">
        <f t="shared" si="1"/>
        <v>-5</v>
      </c>
    </row>
    <row r="14" spans="1:8" x14ac:dyDescent="0.25">
      <c r="A14" t="s">
        <v>407</v>
      </c>
      <c r="B14" s="29" t="str">
        <f t="shared" si="0"/>
        <v>SU003893</v>
      </c>
      <c r="C14" t="s">
        <v>408</v>
      </c>
      <c r="D14" t="s">
        <v>409</v>
      </c>
      <c r="E14" t="s">
        <v>331</v>
      </c>
      <c r="F14" t="s">
        <v>331</v>
      </c>
      <c r="G14" t="s">
        <v>410</v>
      </c>
      <c r="H14">
        <f t="shared" si="1"/>
        <v>-8</v>
      </c>
    </row>
    <row r="15" spans="1:8" x14ac:dyDescent="0.25">
      <c r="A15" t="s">
        <v>411</v>
      </c>
      <c r="B15" s="29" t="str">
        <f t="shared" si="0"/>
        <v>SU003894</v>
      </c>
      <c r="C15" t="s">
        <v>412</v>
      </c>
      <c r="D15" t="s">
        <v>363</v>
      </c>
      <c r="E15" t="s">
        <v>331</v>
      </c>
      <c r="F15" t="s">
        <v>331</v>
      </c>
      <c r="G15" t="s">
        <v>364</v>
      </c>
      <c r="H15">
        <f t="shared" si="1"/>
        <v>-11</v>
      </c>
    </row>
    <row r="16" spans="1:8" x14ac:dyDescent="0.25">
      <c r="A16" t="s">
        <v>413</v>
      </c>
      <c r="B16" s="29" t="str">
        <f t="shared" si="0"/>
        <v>SU003896</v>
      </c>
      <c r="C16" t="s">
        <v>414</v>
      </c>
      <c r="D16" t="s">
        <v>379</v>
      </c>
      <c r="E16" t="s">
        <v>331</v>
      </c>
      <c r="F16" t="s">
        <v>331</v>
      </c>
      <c r="G16" t="s">
        <v>380</v>
      </c>
      <c r="H16">
        <f t="shared" si="1"/>
        <v>-6</v>
      </c>
    </row>
    <row r="17" spans="1:8" x14ac:dyDescent="0.25">
      <c r="A17" t="s">
        <v>415</v>
      </c>
      <c r="B17" s="29" t="str">
        <f t="shared" si="0"/>
        <v>SU004039</v>
      </c>
      <c r="C17" t="s">
        <v>416</v>
      </c>
      <c r="D17" t="s">
        <v>417</v>
      </c>
      <c r="E17" t="s">
        <v>331</v>
      </c>
      <c r="F17" t="s">
        <v>331</v>
      </c>
      <c r="G17" t="s">
        <v>418</v>
      </c>
      <c r="H17">
        <f t="shared" si="1"/>
        <v>-50</v>
      </c>
    </row>
    <row r="18" spans="1:8" x14ac:dyDescent="0.25">
      <c r="A18" t="s">
        <v>419</v>
      </c>
      <c r="B18" s="29" t="str">
        <f t="shared" si="0"/>
        <v>SU004041</v>
      </c>
      <c r="C18" t="s">
        <v>420</v>
      </c>
      <c r="D18" t="s">
        <v>421</v>
      </c>
      <c r="E18" t="s">
        <v>405</v>
      </c>
      <c r="F18" t="s">
        <v>331</v>
      </c>
      <c r="G18" t="s">
        <v>422</v>
      </c>
      <c r="H18">
        <f t="shared" si="1"/>
        <v>-105</v>
      </c>
    </row>
    <row r="19" spans="1:8" x14ac:dyDescent="0.25">
      <c r="A19" t="s">
        <v>423</v>
      </c>
      <c r="B19" s="29" t="str">
        <f t="shared" si="0"/>
        <v>SU004042</v>
      </c>
      <c r="C19" t="s">
        <v>424</v>
      </c>
      <c r="D19" t="s">
        <v>425</v>
      </c>
      <c r="E19" t="s">
        <v>331</v>
      </c>
      <c r="F19" t="s">
        <v>331</v>
      </c>
      <c r="G19" t="s">
        <v>426</v>
      </c>
      <c r="H19">
        <f t="shared" si="1"/>
        <v>-42</v>
      </c>
    </row>
    <row r="20" spans="1:8" x14ac:dyDescent="0.25">
      <c r="A20" t="s">
        <v>369</v>
      </c>
      <c r="B20" s="29" t="str">
        <f t="shared" si="0"/>
        <v>SU004044</v>
      </c>
      <c r="C20" t="s">
        <v>370</v>
      </c>
      <c r="D20" t="s">
        <v>421</v>
      </c>
      <c r="E20" t="s">
        <v>331</v>
      </c>
      <c r="F20" t="s">
        <v>331</v>
      </c>
      <c r="G20" t="s">
        <v>422</v>
      </c>
      <c r="H20">
        <f t="shared" si="1"/>
        <v>-105</v>
      </c>
    </row>
    <row r="21" spans="1:8" x14ac:dyDescent="0.25">
      <c r="A21" t="s">
        <v>373</v>
      </c>
      <c r="B21" s="29" t="str">
        <f t="shared" si="0"/>
        <v>SU004045</v>
      </c>
      <c r="C21" t="s">
        <v>374</v>
      </c>
      <c r="D21" t="s">
        <v>427</v>
      </c>
      <c r="E21" t="s">
        <v>331</v>
      </c>
      <c r="F21" t="s">
        <v>331</v>
      </c>
      <c r="G21" t="s">
        <v>428</v>
      </c>
      <c r="H21">
        <f t="shared" si="1"/>
        <v>-49</v>
      </c>
    </row>
    <row r="22" spans="1:8" x14ac:dyDescent="0.25">
      <c r="A22" t="s">
        <v>429</v>
      </c>
      <c r="B22" s="29" t="str">
        <f t="shared" si="0"/>
        <v>SU004047</v>
      </c>
      <c r="C22" t="s">
        <v>430</v>
      </c>
      <c r="D22" t="s">
        <v>431</v>
      </c>
      <c r="E22" t="s">
        <v>331</v>
      </c>
      <c r="F22" t="s">
        <v>331</v>
      </c>
      <c r="G22" t="s">
        <v>432</v>
      </c>
      <c r="H22">
        <f t="shared" si="1"/>
        <v>-28</v>
      </c>
    </row>
    <row r="23" spans="1:8" x14ac:dyDescent="0.25">
      <c r="A23" t="s">
        <v>377</v>
      </c>
      <c r="B23" s="29" t="str">
        <f t="shared" si="0"/>
        <v>SU004146</v>
      </c>
      <c r="C23" t="s">
        <v>378</v>
      </c>
      <c r="D23" t="s">
        <v>433</v>
      </c>
      <c r="E23" t="s">
        <v>331</v>
      </c>
      <c r="F23" t="s">
        <v>331</v>
      </c>
      <c r="G23" t="s">
        <v>434</v>
      </c>
      <c r="H23">
        <f t="shared" si="1"/>
        <v>-12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BAEA4-521C-473C-95B7-6AF13742C72B}">
  <dimension ref="A1:E39"/>
  <sheetViews>
    <sheetView workbookViewId="0">
      <selection activeCell="K10" sqref="K10"/>
    </sheetView>
  </sheetViews>
  <sheetFormatPr defaultRowHeight="15" x14ac:dyDescent="0.25"/>
  <cols>
    <col min="2" max="2" width="110.28515625" bestFit="1" customWidth="1"/>
  </cols>
  <sheetData>
    <row r="1" spans="1:5" x14ac:dyDescent="0.25">
      <c r="A1" t="s">
        <v>78</v>
      </c>
      <c r="B1" t="s">
        <v>436</v>
      </c>
      <c r="C1">
        <v>270</v>
      </c>
      <c r="D1">
        <v>270</v>
      </c>
    </row>
    <row r="2" spans="1:5" x14ac:dyDescent="0.25">
      <c r="A2" t="s">
        <v>111</v>
      </c>
      <c r="B2" t="s">
        <v>437</v>
      </c>
      <c r="C2">
        <v>421.2</v>
      </c>
      <c r="D2">
        <v>421.2</v>
      </c>
    </row>
    <row r="3" spans="1:5" x14ac:dyDescent="0.25">
      <c r="A3" t="s">
        <v>48</v>
      </c>
      <c r="B3" t="s">
        <v>438</v>
      </c>
      <c r="C3">
        <v>572.4</v>
      </c>
      <c r="D3">
        <v>572.4</v>
      </c>
    </row>
    <row r="4" spans="1:5" x14ac:dyDescent="0.25">
      <c r="A4" t="s">
        <v>50</v>
      </c>
      <c r="B4" t="s">
        <v>439</v>
      </c>
      <c r="C4">
        <v>761.4</v>
      </c>
      <c r="D4">
        <v>761.4</v>
      </c>
    </row>
    <row r="5" spans="1:5" x14ac:dyDescent="0.25">
      <c r="A5" t="s">
        <v>60</v>
      </c>
      <c r="B5" t="s">
        <v>440</v>
      </c>
      <c r="C5">
        <v>410.4</v>
      </c>
      <c r="D5">
        <v>410.4</v>
      </c>
    </row>
    <row r="6" spans="1:5" x14ac:dyDescent="0.25">
      <c r="A6" t="s">
        <v>63</v>
      </c>
      <c r="B6" t="s">
        <v>441</v>
      </c>
      <c r="C6">
        <v>118.8</v>
      </c>
      <c r="D6">
        <v>118.8</v>
      </c>
    </row>
    <row r="7" spans="1:5" x14ac:dyDescent="0.25">
      <c r="A7" t="s">
        <v>52</v>
      </c>
      <c r="B7" t="s">
        <v>442</v>
      </c>
      <c r="C7">
        <v>980.1</v>
      </c>
      <c r="D7">
        <v>980.1</v>
      </c>
    </row>
    <row r="8" spans="1:5" x14ac:dyDescent="0.25">
      <c r="A8" t="s">
        <v>91</v>
      </c>
      <c r="B8" t="s">
        <v>443</v>
      </c>
      <c r="C8">
        <v>3490.08</v>
      </c>
      <c r="D8">
        <v>3490.08</v>
      </c>
    </row>
    <row r="9" spans="1:5" x14ac:dyDescent="0.25">
      <c r="A9" t="s">
        <v>76</v>
      </c>
      <c r="B9" t="s">
        <v>444</v>
      </c>
      <c r="C9">
        <v>1599.84</v>
      </c>
      <c r="D9">
        <v>1599.84</v>
      </c>
    </row>
    <row r="10" spans="1:5" x14ac:dyDescent="0.25">
      <c r="A10" t="s">
        <v>115</v>
      </c>
      <c r="B10" t="s">
        <v>445</v>
      </c>
      <c r="C10">
        <v>522</v>
      </c>
      <c r="E10">
        <v>-522</v>
      </c>
    </row>
    <row r="11" spans="1:5" x14ac:dyDescent="0.25">
      <c r="A11" t="s">
        <v>103</v>
      </c>
      <c r="B11" t="s">
        <v>446</v>
      </c>
      <c r="C11">
        <v>417.12</v>
      </c>
      <c r="D11">
        <v>417.12</v>
      </c>
    </row>
    <row r="12" spans="1:5" x14ac:dyDescent="0.25">
      <c r="A12" t="s">
        <v>98</v>
      </c>
      <c r="B12" t="s">
        <v>447</v>
      </c>
      <c r="C12">
        <v>459.36</v>
      </c>
      <c r="D12">
        <v>459.36</v>
      </c>
    </row>
    <row r="13" spans="1:5" x14ac:dyDescent="0.25">
      <c r="A13" t="s">
        <v>132</v>
      </c>
      <c r="B13" t="s">
        <v>448</v>
      </c>
      <c r="C13">
        <v>40.799999999999997</v>
      </c>
      <c r="E13">
        <v>-40.799999999999997</v>
      </c>
    </row>
    <row r="14" spans="1:5" x14ac:dyDescent="0.25">
      <c r="A14" t="s">
        <v>216</v>
      </c>
      <c r="B14" t="s">
        <v>449</v>
      </c>
      <c r="C14">
        <v>49.5</v>
      </c>
      <c r="D14">
        <v>49.5</v>
      </c>
    </row>
    <row r="15" spans="1:5" x14ac:dyDescent="0.25">
      <c r="A15" t="s">
        <v>125</v>
      </c>
      <c r="B15" t="s">
        <v>450</v>
      </c>
      <c r="C15">
        <v>312</v>
      </c>
      <c r="D15">
        <v>312</v>
      </c>
    </row>
    <row r="16" spans="1:5" x14ac:dyDescent="0.25">
      <c r="A16" t="s">
        <v>130</v>
      </c>
      <c r="B16" t="s">
        <v>451</v>
      </c>
      <c r="C16">
        <v>84</v>
      </c>
      <c r="D16">
        <v>84</v>
      </c>
    </row>
    <row r="17" spans="1:5" x14ac:dyDescent="0.25">
      <c r="A17" t="s">
        <v>202</v>
      </c>
      <c r="B17" t="s">
        <v>452</v>
      </c>
      <c r="C17">
        <v>211.2</v>
      </c>
      <c r="D17">
        <v>211.2</v>
      </c>
    </row>
    <row r="18" spans="1:5" x14ac:dyDescent="0.25">
      <c r="A18" t="s">
        <v>231</v>
      </c>
      <c r="B18" t="s">
        <v>453</v>
      </c>
      <c r="C18">
        <v>1378.08</v>
      </c>
      <c r="D18">
        <v>1378.08</v>
      </c>
    </row>
    <row r="19" spans="1:5" x14ac:dyDescent="0.25">
      <c r="A19" t="s">
        <v>139</v>
      </c>
      <c r="B19" t="s">
        <v>454</v>
      </c>
      <c r="C19">
        <v>18.899999999999999</v>
      </c>
      <c r="E19">
        <v>-18.899999999999999</v>
      </c>
    </row>
    <row r="20" spans="1:5" x14ac:dyDescent="0.25">
      <c r="A20" t="s">
        <v>151</v>
      </c>
      <c r="B20" t="s">
        <v>455</v>
      </c>
      <c r="C20">
        <v>40.799999999999997</v>
      </c>
      <c r="D20">
        <v>40.799999999999997</v>
      </c>
    </row>
    <row r="21" spans="1:5" x14ac:dyDescent="0.25">
      <c r="A21" t="s">
        <v>135</v>
      </c>
      <c r="B21" t="s">
        <v>456</v>
      </c>
      <c r="C21">
        <v>26.1</v>
      </c>
      <c r="D21">
        <v>26.1</v>
      </c>
    </row>
    <row r="22" spans="1:5" x14ac:dyDescent="0.25">
      <c r="A22" t="s">
        <v>145</v>
      </c>
      <c r="B22" t="s">
        <v>457</v>
      </c>
      <c r="C22">
        <v>21.6</v>
      </c>
      <c r="D22">
        <v>21.6</v>
      </c>
    </row>
    <row r="23" spans="1:5" x14ac:dyDescent="0.25">
      <c r="A23" t="s">
        <v>159</v>
      </c>
      <c r="B23" t="s">
        <v>458</v>
      </c>
      <c r="C23">
        <v>58.5</v>
      </c>
      <c r="D23">
        <v>58.5</v>
      </c>
    </row>
    <row r="24" spans="1:5" x14ac:dyDescent="0.25">
      <c r="A24" t="s">
        <v>161</v>
      </c>
      <c r="B24" t="s">
        <v>459</v>
      </c>
      <c r="C24">
        <v>76.5</v>
      </c>
      <c r="D24">
        <v>76.5</v>
      </c>
    </row>
    <row r="25" spans="1:5" x14ac:dyDescent="0.25">
      <c r="A25" t="s">
        <v>233</v>
      </c>
      <c r="B25" t="s">
        <v>460</v>
      </c>
      <c r="C25">
        <v>63</v>
      </c>
      <c r="D25">
        <v>63</v>
      </c>
    </row>
    <row r="26" spans="1:5" x14ac:dyDescent="0.25">
      <c r="A26" t="s">
        <v>167</v>
      </c>
      <c r="B26" t="s">
        <v>461</v>
      </c>
      <c r="C26">
        <v>237.6</v>
      </c>
      <c r="D26">
        <v>237.6</v>
      </c>
    </row>
    <row r="27" spans="1:5" x14ac:dyDescent="0.25">
      <c r="A27" t="s">
        <v>186</v>
      </c>
      <c r="B27" t="s">
        <v>462</v>
      </c>
      <c r="C27">
        <v>21.6</v>
      </c>
      <c r="D27">
        <v>21.6</v>
      </c>
    </row>
    <row r="28" spans="1:5" x14ac:dyDescent="0.25">
      <c r="A28" t="s">
        <v>149</v>
      </c>
      <c r="B28" t="s">
        <v>463</v>
      </c>
      <c r="C28">
        <v>56.7</v>
      </c>
      <c r="E28">
        <v>-56.7</v>
      </c>
    </row>
    <row r="29" spans="1:5" x14ac:dyDescent="0.25">
      <c r="A29" t="s">
        <v>222</v>
      </c>
      <c r="B29" t="s">
        <v>464</v>
      </c>
      <c r="C29">
        <v>18.899999999999999</v>
      </c>
      <c r="D29">
        <v>18.899999999999999</v>
      </c>
    </row>
    <row r="30" spans="1:5" x14ac:dyDescent="0.25">
      <c r="A30" t="s">
        <v>220</v>
      </c>
      <c r="B30" t="s">
        <v>465</v>
      </c>
      <c r="C30">
        <v>18.899999999999999</v>
      </c>
      <c r="D30">
        <v>18.899999999999999</v>
      </c>
    </row>
    <row r="31" spans="1:5" x14ac:dyDescent="0.25">
      <c r="A31" t="s">
        <v>237</v>
      </c>
      <c r="B31" t="s">
        <v>466</v>
      </c>
      <c r="C31">
        <v>1050</v>
      </c>
      <c r="D31">
        <v>1050</v>
      </c>
    </row>
    <row r="32" spans="1:5" x14ac:dyDescent="0.25">
      <c r="A32" t="s">
        <v>94</v>
      </c>
      <c r="B32" t="s">
        <v>467</v>
      </c>
      <c r="C32">
        <v>1320</v>
      </c>
      <c r="D32">
        <v>1320</v>
      </c>
    </row>
    <row r="33" spans="1:5" x14ac:dyDescent="0.25">
      <c r="A33" t="s">
        <v>235</v>
      </c>
      <c r="B33" t="s">
        <v>468</v>
      </c>
      <c r="C33">
        <v>795</v>
      </c>
      <c r="D33">
        <v>795</v>
      </c>
    </row>
    <row r="34" spans="1:5" x14ac:dyDescent="0.25">
      <c r="A34" t="s">
        <v>275</v>
      </c>
      <c r="B34" t="s">
        <v>469</v>
      </c>
      <c r="C34">
        <v>115.5</v>
      </c>
      <c r="E34">
        <v>-115.5</v>
      </c>
    </row>
    <row r="35" spans="1:5" x14ac:dyDescent="0.25">
      <c r="A35" t="s">
        <v>285</v>
      </c>
      <c r="B35" t="s">
        <v>470</v>
      </c>
      <c r="C35">
        <v>36.96</v>
      </c>
      <c r="E35">
        <v>-36.96</v>
      </c>
    </row>
    <row r="36" spans="1:5" x14ac:dyDescent="0.25">
      <c r="A36" t="s">
        <v>271</v>
      </c>
      <c r="B36" t="s">
        <v>471</v>
      </c>
      <c r="C36">
        <v>112</v>
      </c>
      <c r="D36">
        <v>112</v>
      </c>
    </row>
    <row r="37" spans="1:5" x14ac:dyDescent="0.25">
      <c r="A37" t="s">
        <v>283</v>
      </c>
      <c r="B37" t="s">
        <v>472</v>
      </c>
      <c r="C37">
        <v>52.08</v>
      </c>
      <c r="E37">
        <v>-52.08</v>
      </c>
    </row>
    <row r="38" spans="1:5" x14ac:dyDescent="0.25">
      <c r="A38" t="s">
        <v>301</v>
      </c>
      <c r="B38" t="s">
        <v>473</v>
      </c>
      <c r="C38">
        <v>366.6</v>
      </c>
      <c r="D38">
        <v>366.6</v>
      </c>
    </row>
    <row r="39" spans="1:5" x14ac:dyDescent="0.25">
      <c r="A39" t="s">
        <v>84</v>
      </c>
      <c r="B39" t="s">
        <v>474</v>
      </c>
      <c r="C39">
        <v>705</v>
      </c>
      <c r="D39">
        <v>705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Sheet</vt:lpstr>
      <vt:lpstr>недогруз 16,08,26</vt:lpstr>
      <vt:lpstr>недогруз 17,08,26</vt:lpstr>
      <vt:lpstr>недогруз 18,08,26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2026-08-13T10:53:31Z</dcterms:created>
  <dcterms:modified xsi:type="dcterms:W3CDTF">2026-08-18T08:43:16Z</dcterms:modified>
</cp:coreProperties>
</file>