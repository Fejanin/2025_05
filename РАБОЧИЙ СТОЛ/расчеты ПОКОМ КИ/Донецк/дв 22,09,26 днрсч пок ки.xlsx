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Создание расчетов\ПОКОМ_КИ_UK_Sch\"/>
    </mc:Choice>
  </mc:AlternateContent>
  <xr:revisionPtr revIDLastSave="0" documentId="13_ncr:1_{DC634351-C334-4B42-B763-AEC18EE8A93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  <externalReference r:id="rId3"/>
  </externalReferences>
  <definedNames>
    <definedName name="_xlnm._FilterDatabase" localSheetId="0" hidden="1">Sheet!$A$3:$AR$138</definedName>
  </definedNames>
  <calcPr calcId="191029"/>
</workbook>
</file>

<file path=xl/calcChain.xml><?xml version="1.0" encoding="utf-8"?>
<calcChain xmlns="http://schemas.openxmlformats.org/spreadsheetml/2006/main">
  <c r="AD128" i="1" l="1"/>
  <c r="AD94" i="1"/>
  <c r="AD93" i="1"/>
  <c r="AS93" i="1" s="1"/>
  <c r="AD92" i="1"/>
  <c r="AS92" i="1" s="1"/>
  <c r="AD17" i="1"/>
  <c r="AC17" i="1" s="1"/>
  <c r="AR17" i="1" s="1"/>
  <c r="AB135" i="1"/>
  <c r="AB133" i="1"/>
  <c r="AB132" i="1"/>
  <c r="AB118" i="1"/>
  <c r="AB117" i="1"/>
  <c r="AB113" i="1"/>
  <c r="AB112" i="1"/>
  <c r="AB111" i="1"/>
  <c r="AB105" i="1"/>
  <c r="AB102" i="1"/>
  <c r="AB101" i="1"/>
  <c r="AB100" i="1"/>
  <c r="AB98" i="1"/>
  <c r="AB86" i="1"/>
  <c r="AB85" i="1"/>
  <c r="AB80" i="1"/>
  <c r="AB74" i="1"/>
  <c r="AB72" i="1"/>
  <c r="AB71" i="1"/>
  <c r="AB70" i="1"/>
  <c r="AB69" i="1"/>
  <c r="AB67" i="1"/>
  <c r="AB66" i="1"/>
  <c r="AB65" i="1"/>
  <c r="AB58" i="1"/>
  <c r="AB51" i="1"/>
  <c r="AB50" i="1"/>
  <c r="AB49" i="1"/>
  <c r="AB47" i="1"/>
  <c r="AB46" i="1"/>
  <c r="AB45" i="1"/>
  <c r="AB43" i="1"/>
  <c r="AB42" i="1"/>
  <c r="AB41" i="1"/>
  <c r="AB39" i="1"/>
  <c r="AC39" i="1" s="1"/>
  <c r="AB34" i="1"/>
  <c r="AC34" i="1" s="1"/>
  <c r="AB32" i="1"/>
  <c r="AB27" i="1"/>
  <c r="AB25" i="1"/>
  <c r="AB16" i="1"/>
  <c r="AB13" i="1"/>
  <c r="AS7" i="1"/>
  <c r="AS8" i="1"/>
  <c r="AS9" i="1"/>
  <c r="AS12" i="1"/>
  <c r="AS13" i="1"/>
  <c r="AS14" i="1"/>
  <c r="AS15" i="1"/>
  <c r="AS16" i="1"/>
  <c r="AS18" i="1"/>
  <c r="AS19" i="1"/>
  <c r="AS20" i="1"/>
  <c r="AS21" i="1"/>
  <c r="AS23" i="1"/>
  <c r="AS25" i="1"/>
  <c r="AS26" i="1"/>
  <c r="AS27" i="1"/>
  <c r="AS28" i="1"/>
  <c r="AS29" i="1"/>
  <c r="AS30" i="1"/>
  <c r="AS31" i="1"/>
  <c r="AS32" i="1"/>
  <c r="AS33" i="1"/>
  <c r="AS35" i="1"/>
  <c r="AS36" i="1"/>
  <c r="AS37" i="1"/>
  <c r="AS38" i="1"/>
  <c r="AS41" i="1"/>
  <c r="AS42" i="1"/>
  <c r="AS43" i="1"/>
  <c r="AS44" i="1"/>
  <c r="AS45" i="1"/>
  <c r="AS46" i="1"/>
  <c r="AS49" i="1"/>
  <c r="AS50" i="1"/>
  <c r="AS51" i="1"/>
  <c r="AS52" i="1"/>
  <c r="AS53" i="1"/>
  <c r="AS54" i="1"/>
  <c r="AS55" i="1"/>
  <c r="AS57" i="1"/>
  <c r="AS58" i="1"/>
  <c r="AS60" i="1"/>
  <c r="AS62" i="1"/>
  <c r="AS63" i="1"/>
  <c r="AS64" i="1"/>
  <c r="AS65" i="1"/>
  <c r="AS66" i="1"/>
  <c r="AS67" i="1"/>
  <c r="AS69" i="1"/>
  <c r="AS70" i="1"/>
  <c r="AS72" i="1"/>
  <c r="AS73" i="1"/>
  <c r="AS74" i="1"/>
  <c r="AS75" i="1"/>
  <c r="AS76" i="1"/>
  <c r="AS77" i="1"/>
  <c r="AS79" i="1"/>
  <c r="AS80" i="1"/>
  <c r="AS81" i="1"/>
  <c r="AS85" i="1"/>
  <c r="AS87" i="1"/>
  <c r="AS88" i="1"/>
  <c r="AS89" i="1"/>
  <c r="AS91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2" i="1"/>
  <c r="AS113" i="1"/>
  <c r="AS114" i="1"/>
  <c r="AS115" i="1"/>
  <c r="AS117" i="1"/>
  <c r="AS119" i="1"/>
  <c r="AS120" i="1"/>
  <c r="AS121" i="1"/>
  <c r="AS122" i="1"/>
  <c r="AS123" i="1"/>
  <c r="AS124" i="1"/>
  <c r="AS125" i="1"/>
  <c r="AS127" i="1"/>
  <c r="AS129" i="1"/>
  <c r="AS130" i="1"/>
  <c r="AS131" i="1"/>
  <c r="AS132" i="1"/>
  <c r="AS133" i="1"/>
  <c r="AS134" i="1"/>
  <c r="AS135" i="1"/>
  <c r="AS136" i="1"/>
  <c r="AS137" i="1"/>
  <c r="AS138" i="1"/>
  <c r="AS94" i="1"/>
  <c r="AR7" i="1"/>
  <c r="AR8" i="1"/>
  <c r="AR15" i="1"/>
  <c r="AR19" i="1"/>
  <c r="AR20" i="1"/>
  <c r="AR21" i="1"/>
  <c r="AR23" i="1"/>
  <c r="AR26" i="1"/>
  <c r="AR29" i="1"/>
  <c r="AR30" i="1"/>
  <c r="AR31" i="1"/>
  <c r="AR33" i="1"/>
  <c r="AR35" i="1"/>
  <c r="AR36" i="1"/>
  <c r="AR37" i="1"/>
  <c r="AR38" i="1"/>
  <c r="AR44" i="1"/>
  <c r="AR52" i="1"/>
  <c r="AR53" i="1"/>
  <c r="AR54" i="1"/>
  <c r="AR55" i="1"/>
  <c r="AR57" i="1"/>
  <c r="AR60" i="1"/>
  <c r="AR62" i="1"/>
  <c r="AR63" i="1"/>
  <c r="AR73" i="1"/>
  <c r="AR75" i="1"/>
  <c r="AR76" i="1"/>
  <c r="AR77" i="1"/>
  <c r="AR79" i="1"/>
  <c r="AR87" i="1"/>
  <c r="AR89" i="1"/>
  <c r="AR91" i="1"/>
  <c r="AR95" i="1"/>
  <c r="AR96" i="1"/>
  <c r="AR97" i="1"/>
  <c r="AR103" i="1"/>
  <c r="AR106" i="1"/>
  <c r="AR107" i="1"/>
  <c r="AR108" i="1"/>
  <c r="AR109" i="1"/>
  <c r="AR110" i="1"/>
  <c r="AR115" i="1"/>
  <c r="AR119" i="1"/>
  <c r="AR120" i="1"/>
  <c r="AR121" i="1"/>
  <c r="AR122" i="1"/>
  <c r="AR123" i="1"/>
  <c r="AR124" i="1"/>
  <c r="AR127" i="1"/>
  <c r="AR129" i="1"/>
  <c r="AR130" i="1"/>
  <c r="AR131" i="1"/>
  <c r="AR137" i="1"/>
  <c r="AR138" i="1"/>
  <c r="AD39" i="1" l="1"/>
  <c r="AD34" i="1"/>
  <c r="AS17" i="1"/>
  <c r="AC92" i="1"/>
  <c r="AR92" i="1" s="1"/>
  <c r="AC94" i="1"/>
  <c r="AR94" i="1" s="1"/>
  <c r="AC93" i="1"/>
  <c r="AR93" i="1" s="1"/>
  <c r="AC117" i="1"/>
  <c r="AR117" i="1" s="1"/>
  <c r="AC113" i="1"/>
  <c r="AR113" i="1" s="1"/>
  <c r="AC112" i="1"/>
  <c r="AR112" i="1" s="1"/>
  <c r="AC102" i="1"/>
  <c r="AR102" i="1" s="1"/>
  <c r="AC100" i="1"/>
  <c r="AR100" i="1" s="1"/>
  <c r="AB90" i="1"/>
  <c r="AD90" i="1" s="1"/>
  <c r="AC85" i="1"/>
  <c r="AR85" i="1" s="1"/>
  <c r="AB84" i="1"/>
  <c r="AB83" i="1"/>
  <c r="AD83" i="1" s="1"/>
  <c r="AB82" i="1"/>
  <c r="AD82" i="1" s="1"/>
  <c r="AB78" i="1"/>
  <c r="AB77" i="1"/>
  <c r="AC74" i="1"/>
  <c r="AR74" i="1" s="1"/>
  <c r="AC72" i="1"/>
  <c r="AR72" i="1" s="1"/>
  <c r="AC66" i="1"/>
  <c r="AR66" i="1" s="1"/>
  <c r="AC65" i="1"/>
  <c r="AR65" i="1" s="1"/>
  <c r="AB61" i="1"/>
  <c r="AD61" i="1" s="1"/>
  <c r="AB10" i="1"/>
  <c r="AD10" i="1" s="1"/>
  <c r="AF10" i="1"/>
  <c r="AF65" i="1"/>
  <c r="AF66" i="1"/>
  <c r="AF68" i="1"/>
  <c r="AF71" i="1"/>
  <c r="AF72" i="1"/>
  <c r="AF74" i="1"/>
  <c r="AF77" i="1"/>
  <c r="AF78" i="1"/>
  <c r="AF82" i="1"/>
  <c r="AF83" i="1"/>
  <c r="AF84" i="1"/>
  <c r="AF85" i="1"/>
  <c r="AF90" i="1"/>
  <c r="AF92" i="1"/>
  <c r="AF93" i="1"/>
  <c r="AF94" i="1"/>
  <c r="AF102" i="1"/>
  <c r="AF111" i="1"/>
  <c r="AF112" i="1"/>
  <c r="AF113" i="1"/>
  <c r="AF117" i="1"/>
  <c r="AF118" i="1"/>
  <c r="AD84" i="1" l="1"/>
  <c r="AS84" i="1" s="1"/>
  <c r="AD78" i="1"/>
  <c r="AS78" i="1" s="1"/>
  <c r="AS10" i="1"/>
  <c r="AS82" i="1"/>
  <c r="AS90" i="1"/>
  <c r="AS61" i="1"/>
  <c r="AS83" i="1"/>
  <c r="AC71" i="1"/>
  <c r="AR71" i="1" s="1"/>
  <c r="AD71" i="1"/>
  <c r="AS71" i="1" s="1"/>
  <c r="AC111" i="1"/>
  <c r="AR111" i="1" s="1"/>
  <c r="AD111" i="1"/>
  <c r="AS111" i="1" s="1"/>
  <c r="AC118" i="1"/>
  <c r="AR118" i="1" s="1"/>
  <c r="AD118" i="1"/>
  <c r="AS118" i="1" s="1"/>
  <c r="AB7" i="1"/>
  <c r="AB8" i="1"/>
  <c r="AB9" i="1"/>
  <c r="AC9" i="1" s="1"/>
  <c r="AR9" i="1" s="1"/>
  <c r="AC13" i="1"/>
  <c r="AB15" i="1"/>
  <c r="AC16" i="1"/>
  <c r="AR16" i="1" s="1"/>
  <c r="AB19" i="1"/>
  <c r="AB20" i="1"/>
  <c r="AB21" i="1"/>
  <c r="AB23" i="1"/>
  <c r="AC25" i="1"/>
  <c r="AR25" i="1" s="1"/>
  <c r="AB26" i="1"/>
  <c r="AC27" i="1"/>
  <c r="AR27" i="1" s="1"/>
  <c r="AB29" i="1"/>
  <c r="AB30" i="1"/>
  <c r="AB31" i="1"/>
  <c r="AC32" i="1"/>
  <c r="AR32" i="1" s="1"/>
  <c r="AB33" i="1"/>
  <c r="AB35" i="1"/>
  <c r="AB36" i="1"/>
  <c r="AB37" i="1"/>
  <c r="AB38" i="1"/>
  <c r="AC41" i="1"/>
  <c r="AR41" i="1" s="1"/>
  <c r="AC42" i="1"/>
  <c r="AR42" i="1" s="1"/>
  <c r="AC43" i="1"/>
  <c r="AR43" i="1" s="1"/>
  <c r="AB44" i="1"/>
  <c r="AC45" i="1"/>
  <c r="AR45" i="1" s="1"/>
  <c r="AC46" i="1"/>
  <c r="AR46" i="1" s="1"/>
  <c r="AC49" i="1"/>
  <c r="AR49" i="1" s="1"/>
  <c r="AC50" i="1"/>
  <c r="AR50" i="1" s="1"/>
  <c r="AC51" i="1"/>
  <c r="AR51" i="1" s="1"/>
  <c r="AB52" i="1"/>
  <c r="AB53" i="1"/>
  <c r="AB54" i="1"/>
  <c r="AB55" i="1"/>
  <c r="AB57" i="1"/>
  <c r="AC58" i="1"/>
  <c r="AR58" i="1" s="1"/>
  <c r="AB60" i="1"/>
  <c r="AB62" i="1"/>
  <c r="AB63" i="1"/>
  <c r="AB64" i="1"/>
  <c r="AC64" i="1" s="1"/>
  <c r="AR64" i="1" s="1"/>
  <c r="AC67" i="1"/>
  <c r="AR67" i="1" s="1"/>
  <c r="AC69" i="1"/>
  <c r="AR69" i="1" s="1"/>
  <c r="AC70" i="1"/>
  <c r="AR70" i="1" s="1"/>
  <c r="AB73" i="1"/>
  <c r="AB75" i="1"/>
  <c r="AB76" i="1"/>
  <c r="AB79" i="1"/>
  <c r="AC80" i="1"/>
  <c r="AR80" i="1" s="1"/>
  <c r="AB87" i="1"/>
  <c r="AB89" i="1"/>
  <c r="AB91" i="1"/>
  <c r="AB95" i="1"/>
  <c r="AB96" i="1"/>
  <c r="AB97" i="1"/>
  <c r="AC98" i="1"/>
  <c r="AR98" i="1" s="1"/>
  <c r="AC101" i="1"/>
  <c r="AR101" i="1" s="1"/>
  <c r="AB103" i="1"/>
  <c r="AC105" i="1"/>
  <c r="AR105" i="1" s="1"/>
  <c r="AB106" i="1"/>
  <c r="AB107" i="1"/>
  <c r="AB108" i="1"/>
  <c r="AB109" i="1"/>
  <c r="AB110" i="1"/>
  <c r="AB115" i="1"/>
  <c r="AB119" i="1"/>
  <c r="AB120" i="1"/>
  <c r="AB121" i="1"/>
  <c r="AB122" i="1"/>
  <c r="AB123" i="1"/>
  <c r="AB124" i="1"/>
  <c r="AB127" i="1"/>
  <c r="AB129" i="1"/>
  <c r="AB130" i="1"/>
  <c r="AB131" i="1"/>
  <c r="AC132" i="1"/>
  <c r="AR132" i="1" s="1"/>
  <c r="AC133" i="1"/>
  <c r="AR133" i="1" s="1"/>
  <c r="AC135" i="1"/>
  <c r="AR135" i="1" s="1"/>
  <c r="AB137" i="1"/>
  <c r="AB138" i="1"/>
  <c r="AC78" i="1" l="1"/>
  <c r="AR78" i="1" s="1"/>
  <c r="AC84" i="1"/>
  <c r="AR84" i="1" s="1"/>
  <c r="AC83" i="1"/>
  <c r="AR83" i="1" s="1"/>
  <c r="AC61" i="1"/>
  <c r="AR61" i="1" s="1"/>
  <c r="AC90" i="1"/>
  <c r="AR90" i="1" s="1"/>
  <c r="AC82" i="1"/>
  <c r="AR82" i="1" s="1"/>
  <c r="AC10" i="1"/>
  <c r="AR10" i="1" s="1"/>
  <c r="AR39" i="1"/>
  <c r="AS39" i="1"/>
  <c r="AC86" i="1"/>
  <c r="AR86" i="1" s="1"/>
  <c r="AD86" i="1"/>
  <c r="AS86" i="1" s="1"/>
  <c r="AC47" i="1"/>
  <c r="AR47" i="1" s="1"/>
  <c r="AD47" i="1"/>
  <c r="AS47" i="1" s="1"/>
  <c r="AR34" i="1"/>
  <c r="AS34" i="1"/>
  <c r="AR13" i="1"/>
  <c r="O138" i="1"/>
  <c r="Z138" i="1" s="1"/>
  <c r="N138" i="1"/>
  <c r="H138" i="1"/>
  <c r="AG138" i="1" s="1"/>
  <c r="O137" i="1"/>
  <c r="Z137" i="1" s="1"/>
  <c r="N137" i="1"/>
  <c r="H137" i="1"/>
  <c r="O136" i="1"/>
  <c r="Z136" i="1" s="1"/>
  <c r="N136" i="1"/>
  <c r="H136" i="1"/>
  <c r="O135" i="1"/>
  <c r="Z135" i="1" s="1"/>
  <c r="N135" i="1"/>
  <c r="H135" i="1"/>
  <c r="O134" i="1"/>
  <c r="Z134" i="1" s="1"/>
  <c r="N134" i="1"/>
  <c r="H134" i="1"/>
  <c r="O133" i="1"/>
  <c r="Z133" i="1" s="1"/>
  <c r="N133" i="1"/>
  <c r="H133" i="1"/>
  <c r="O132" i="1"/>
  <c r="Z132" i="1" s="1"/>
  <c r="N132" i="1"/>
  <c r="H132" i="1"/>
  <c r="AG132" i="1" s="1"/>
  <c r="O131" i="1"/>
  <c r="Z131" i="1" s="1"/>
  <c r="N131" i="1"/>
  <c r="H131" i="1"/>
  <c r="AG131" i="1" s="1"/>
  <c r="O130" i="1"/>
  <c r="Z130" i="1" s="1"/>
  <c r="N130" i="1"/>
  <c r="F130" i="1"/>
  <c r="H130" i="1" s="1"/>
  <c r="AG130" i="1" s="1"/>
  <c r="O129" i="1"/>
  <c r="Z129" i="1" s="1"/>
  <c r="N129" i="1"/>
  <c r="H129" i="1"/>
  <c r="AG129" i="1" s="1"/>
  <c r="H128" i="1"/>
  <c r="E128" i="1"/>
  <c r="O127" i="1"/>
  <c r="Z127" i="1" s="1"/>
  <c r="N127" i="1"/>
  <c r="H127" i="1"/>
  <c r="AG127" i="1" s="1"/>
  <c r="O126" i="1"/>
  <c r="Z126" i="1" s="1"/>
  <c r="N126" i="1"/>
  <c r="H126" i="1"/>
  <c r="O125" i="1"/>
  <c r="Z125" i="1" s="1"/>
  <c r="N125" i="1"/>
  <c r="H125" i="1"/>
  <c r="O124" i="1"/>
  <c r="Z124" i="1" s="1"/>
  <c r="N124" i="1"/>
  <c r="H124" i="1"/>
  <c r="AG124" i="1" s="1"/>
  <c r="O123" i="1"/>
  <c r="Z123" i="1" s="1"/>
  <c r="N123" i="1"/>
  <c r="H123" i="1"/>
  <c r="AG123" i="1" s="1"/>
  <c r="O122" i="1"/>
  <c r="Z122" i="1" s="1"/>
  <c r="N122" i="1"/>
  <c r="H122" i="1"/>
  <c r="AG122" i="1" s="1"/>
  <c r="O121" i="1"/>
  <c r="Z121" i="1" s="1"/>
  <c r="N121" i="1"/>
  <c r="H121" i="1"/>
  <c r="AG121" i="1" s="1"/>
  <c r="O120" i="1"/>
  <c r="Z120" i="1" s="1"/>
  <c r="N120" i="1"/>
  <c r="H120" i="1"/>
  <c r="AG120" i="1" s="1"/>
  <c r="O119" i="1"/>
  <c r="Z119" i="1" s="1"/>
  <c r="N119" i="1"/>
  <c r="H119" i="1"/>
  <c r="AG119" i="1" s="1"/>
  <c r="O118" i="1"/>
  <c r="Z118" i="1" s="1"/>
  <c r="N118" i="1"/>
  <c r="H118" i="1"/>
  <c r="AG118" i="1" s="1"/>
  <c r="O117" i="1"/>
  <c r="Z117" i="1" s="1"/>
  <c r="N117" i="1"/>
  <c r="H117" i="1"/>
  <c r="O116" i="1"/>
  <c r="Z116" i="1" s="1"/>
  <c r="N116" i="1"/>
  <c r="H116" i="1"/>
  <c r="O115" i="1"/>
  <c r="Z115" i="1" s="1"/>
  <c r="N115" i="1"/>
  <c r="H115" i="1"/>
  <c r="AG115" i="1" s="1"/>
  <c r="O114" i="1"/>
  <c r="Z114" i="1" s="1"/>
  <c r="N114" i="1"/>
  <c r="H114" i="1"/>
  <c r="O113" i="1"/>
  <c r="Z113" i="1" s="1"/>
  <c r="N113" i="1"/>
  <c r="H113" i="1"/>
  <c r="O112" i="1"/>
  <c r="Z112" i="1" s="1"/>
  <c r="N112" i="1"/>
  <c r="H112" i="1"/>
  <c r="O111" i="1"/>
  <c r="Z111" i="1" s="1"/>
  <c r="N111" i="1"/>
  <c r="H111" i="1"/>
  <c r="AG111" i="1" s="1"/>
  <c r="O110" i="1"/>
  <c r="Z110" i="1" s="1"/>
  <c r="N110" i="1"/>
  <c r="H110" i="1"/>
  <c r="O109" i="1"/>
  <c r="Z109" i="1" s="1"/>
  <c r="N109" i="1"/>
  <c r="H109" i="1"/>
  <c r="O108" i="1"/>
  <c r="Z108" i="1" s="1"/>
  <c r="N108" i="1"/>
  <c r="H108" i="1"/>
  <c r="O107" i="1"/>
  <c r="Z107" i="1" s="1"/>
  <c r="N107" i="1"/>
  <c r="H107" i="1"/>
  <c r="AG107" i="1" s="1"/>
  <c r="O106" i="1"/>
  <c r="Z106" i="1" s="1"/>
  <c r="N106" i="1"/>
  <c r="H106" i="1"/>
  <c r="O105" i="1"/>
  <c r="Z105" i="1" s="1"/>
  <c r="N105" i="1"/>
  <c r="H105" i="1"/>
  <c r="O104" i="1"/>
  <c r="Z104" i="1" s="1"/>
  <c r="N104" i="1"/>
  <c r="H104" i="1"/>
  <c r="O103" i="1"/>
  <c r="Z103" i="1" s="1"/>
  <c r="N103" i="1"/>
  <c r="H103" i="1"/>
  <c r="AG103" i="1" s="1"/>
  <c r="O102" i="1"/>
  <c r="Z102" i="1" s="1"/>
  <c r="N102" i="1"/>
  <c r="H102" i="1"/>
  <c r="AG102" i="1" s="1"/>
  <c r="O101" i="1"/>
  <c r="Z101" i="1" s="1"/>
  <c r="N101" i="1"/>
  <c r="H101" i="1"/>
  <c r="AG101" i="1" s="1"/>
  <c r="O100" i="1"/>
  <c r="Z100" i="1" s="1"/>
  <c r="N100" i="1"/>
  <c r="H100" i="1"/>
  <c r="AG100" i="1" s="1"/>
  <c r="O99" i="1"/>
  <c r="Z99" i="1" s="1"/>
  <c r="N99" i="1"/>
  <c r="H99" i="1"/>
  <c r="O98" i="1"/>
  <c r="Z98" i="1" s="1"/>
  <c r="N98" i="1"/>
  <c r="H98" i="1"/>
  <c r="AG98" i="1" s="1"/>
  <c r="O97" i="1"/>
  <c r="Z97" i="1" s="1"/>
  <c r="N97" i="1"/>
  <c r="H97" i="1"/>
  <c r="O96" i="1"/>
  <c r="Z96" i="1" s="1"/>
  <c r="N96" i="1"/>
  <c r="H96" i="1"/>
  <c r="O95" i="1"/>
  <c r="Z95" i="1" s="1"/>
  <c r="N95" i="1"/>
  <c r="H95" i="1"/>
  <c r="AG95" i="1" s="1"/>
  <c r="O94" i="1"/>
  <c r="Z94" i="1" s="1"/>
  <c r="N94" i="1"/>
  <c r="G94" i="1"/>
  <c r="H94" i="1" s="1"/>
  <c r="AG94" i="1" s="1"/>
  <c r="O93" i="1"/>
  <c r="Z93" i="1" s="1"/>
  <c r="N93" i="1"/>
  <c r="H93" i="1"/>
  <c r="O92" i="1"/>
  <c r="Z92" i="1" s="1"/>
  <c r="N92" i="1"/>
  <c r="H92" i="1"/>
  <c r="O91" i="1"/>
  <c r="Z91" i="1" s="1"/>
  <c r="N91" i="1"/>
  <c r="H91" i="1"/>
  <c r="AG91" i="1" s="1"/>
  <c r="O90" i="1"/>
  <c r="Z90" i="1" s="1"/>
  <c r="N90" i="1"/>
  <c r="G90" i="1"/>
  <c r="H90" i="1" s="1"/>
  <c r="O89" i="1"/>
  <c r="Z89" i="1" s="1"/>
  <c r="N89" i="1"/>
  <c r="H89" i="1"/>
  <c r="O88" i="1"/>
  <c r="Z88" i="1" s="1"/>
  <c r="N88" i="1"/>
  <c r="H88" i="1"/>
  <c r="O87" i="1"/>
  <c r="Z87" i="1" s="1"/>
  <c r="N87" i="1"/>
  <c r="H87" i="1"/>
  <c r="AG87" i="1" s="1"/>
  <c r="O86" i="1"/>
  <c r="Z86" i="1" s="1"/>
  <c r="N86" i="1"/>
  <c r="H86" i="1"/>
  <c r="O85" i="1"/>
  <c r="Z85" i="1" s="1"/>
  <c r="N85" i="1"/>
  <c r="H85" i="1"/>
  <c r="AG85" i="1" s="1"/>
  <c r="O84" i="1"/>
  <c r="Z84" i="1" s="1"/>
  <c r="N84" i="1"/>
  <c r="H84" i="1"/>
  <c r="AG84" i="1" s="1"/>
  <c r="O83" i="1"/>
  <c r="Z83" i="1" s="1"/>
  <c r="N83" i="1"/>
  <c r="H83" i="1"/>
  <c r="AG83" i="1" s="1"/>
  <c r="O82" i="1"/>
  <c r="Z82" i="1" s="1"/>
  <c r="N82" i="1"/>
  <c r="H82" i="1"/>
  <c r="AG82" i="1" s="1"/>
  <c r="O81" i="1"/>
  <c r="Z81" i="1" s="1"/>
  <c r="N81" i="1"/>
  <c r="H81" i="1"/>
  <c r="O80" i="1"/>
  <c r="Z80" i="1" s="1"/>
  <c r="N80" i="1"/>
  <c r="H80" i="1"/>
  <c r="O79" i="1"/>
  <c r="Z79" i="1" s="1"/>
  <c r="N79" i="1"/>
  <c r="H79" i="1"/>
  <c r="AG79" i="1" s="1"/>
  <c r="O78" i="1"/>
  <c r="Z78" i="1" s="1"/>
  <c r="N78" i="1"/>
  <c r="H78" i="1"/>
  <c r="O77" i="1"/>
  <c r="Z77" i="1" s="1"/>
  <c r="N77" i="1"/>
  <c r="H77" i="1"/>
  <c r="O76" i="1"/>
  <c r="Z76" i="1" s="1"/>
  <c r="N76" i="1"/>
  <c r="H76" i="1"/>
  <c r="O75" i="1"/>
  <c r="Z75" i="1" s="1"/>
  <c r="N75" i="1"/>
  <c r="H75" i="1"/>
  <c r="O74" i="1"/>
  <c r="Z74" i="1" s="1"/>
  <c r="N74" i="1"/>
  <c r="H74" i="1"/>
  <c r="AG74" i="1" s="1"/>
  <c r="O73" i="1"/>
  <c r="Z73" i="1" s="1"/>
  <c r="N73" i="1"/>
  <c r="H73" i="1"/>
  <c r="O72" i="1"/>
  <c r="Z72" i="1" s="1"/>
  <c r="N72" i="1"/>
  <c r="H72" i="1"/>
  <c r="O71" i="1"/>
  <c r="Z71" i="1" s="1"/>
  <c r="N71" i="1"/>
  <c r="H71" i="1"/>
  <c r="AG71" i="1" s="1"/>
  <c r="O70" i="1"/>
  <c r="Z70" i="1" s="1"/>
  <c r="N70" i="1"/>
  <c r="H70" i="1"/>
  <c r="O69" i="1"/>
  <c r="Z69" i="1" s="1"/>
  <c r="N69" i="1"/>
  <c r="H69" i="1"/>
  <c r="O68" i="1"/>
  <c r="Z68" i="1" s="1"/>
  <c r="N68" i="1"/>
  <c r="H68" i="1"/>
  <c r="O67" i="1"/>
  <c r="Z67" i="1" s="1"/>
  <c r="N67" i="1"/>
  <c r="H67" i="1"/>
  <c r="AG67" i="1" s="1"/>
  <c r="O66" i="1"/>
  <c r="Z66" i="1" s="1"/>
  <c r="N66" i="1"/>
  <c r="H66" i="1"/>
  <c r="O65" i="1"/>
  <c r="Z65" i="1" s="1"/>
  <c r="N65" i="1"/>
  <c r="H65" i="1"/>
  <c r="O64" i="1"/>
  <c r="Z64" i="1" s="1"/>
  <c r="N64" i="1"/>
  <c r="H64" i="1"/>
  <c r="AG64" i="1" s="1"/>
  <c r="O63" i="1"/>
  <c r="Z63" i="1" s="1"/>
  <c r="N63" i="1"/>
  <c r="H63" i="1"/>
  <c r="AG63" i="1" s="1"/>
  <c r="O62" i="1"/>
  <c r="Z62" i="1" s="1"/>
  <c r="N62" i="1"/>
  <c r="H62" i="1"/>
  <c r="AG62" i="1" s="1"/>
  <c r="O61" i="1"/>
  <c r="Z61" i="1" s="1"/>
  <c r="N61" i="1"/>
  <c r="H61" i="1"/>
  <c r="F60" i="1"/>
  <c r="H60" i="1" s="1"/>
  <c r="E60" i="1"/>
  <c r="O60" i="1" s="1"/>
  <c r="Z60" i="1" s="1"/>
  <c r="O59" i="1"/>
  <c r="Z59" i="1" s="1"/>
  <c r="N59" i="1"/>
  <c r="H59" i="1"/>
  <c r="O58" i="1"/>
  <c r="Z58" i="1" s="1"/>
  <c r="N58" i="1"/>
  <c r="H58" i="1"/>
  <c r="O57" i="1"/>
  <c r="Z57" i="1" s="1"/>
  <c r="N57" i="1"/>
  <c r="H57" i="1"/>
  <c r="AG57" i="1" s="1"/>
  <c r="O56" i="1"/>
  <c r="Z56" i="1" s="1"/>
  <c r="N56" i="1"/>
  <c r="H56" i="1"/>
  <c r="O55" i="1"/>
  <c r="Z55" i="1" s="1"/>
  <c r="N55" i="1"/>
  <c r="H55" i="1"/>
  <c r="AG55" i="1" s="1"/>
  <c r="O54" i="1"/>
  <c r="Z54" i="1" s="1"/>
  <c r="N54" i="1"/>
  <c r="H54" i="1"/>
  <c r="AG54" i="1" s="1"/>
  <c r="O53" i="1"/>
  <c r="Z53" i="1" s="1"/>
  <c r="N53" i="1"/>
  <c r="H53" i="1"/>
  <c r="O52" i="1"/>
  <c r="Z52" i="1" s="1"/>
  <c r="N52" i="1"/>
  <c r="H52" i="1"/>
  <c r="AG52" i="1" s="1"/>
  <c r="O51" i="1"/>
  <c r="Z51" i="1" s="1"/>
  <c r="N51" i="1"/>
  <c r="H51" i="1"/>
  <c r="AG51" i="1" s="1"/>
  <c r="O50" i="1"/>
  <c r="Z50" i="1" s="1"/>
  <c r="N50" i="1"/>
  <c r="H50" i="1"/>
  <c r="O49" i="1"/>
  <c r="Z49" i="1" s="1"/>
  <c r="N49" i="1"/>
  <c r="H49" i="1"/>
  <c r="O48" i="1"/>
  <c r="Z48" i="1" s="1"/>
  <c r="N48" i="1"/>
  <c r="H48" i="1"/>
  <c r="O47" i="1"/>
  <c r="Z47" i="1" s="1"/>
  <c r="N47" i="1"/>
  <c r="H47" i="1"/>
  <c r="O46" i="1"/>
  <c r="Z46" i="1" s="1"/>
  <c r="N46" i="1"/>
  <c r="H46" i="1"/>
  <c r="O45" i="1"/>
  <c r="Z45" i="1" s="1"/>
  <c r="N45" i="1"/>
  <c r="H45" i="1"/>
  <c r="O44" i="1"/>
  <c r="Z44" i="1" s="1"/>
  <c r="N44" i="1"/>
  <c r="H44" i="1"/>
  <c r="AG44" i="1" s="1"/>
  <c r="O43" i="1"/>
  <c r="Z43" i="1" s="1"/>
  <c r="N43" i="1"/>
  <c r="H43" i="1"/>
  <c r="O42" i="1"/>
  <c r="Z42" i="1" s="1"/>
  <c r="N42" i="1"/>
  <c r="H42" i="1"/>
  <c r="O41" i="1"/>
  <c r="Z41" i="1" s="1"/>
  <c r="N41" i="1"/>
  <c r="H41" i="1"/>
  <c r="O40" i="1"/>
  <c r="Z40" i="1" s="1"/>
  <c r="N40" i="1"/>
  <c r="H40" i="1"/>
  <c r="O39" i="1"/>
  <c r="Z39" i="1" s="1"/>
  <c r="N39" i="1"/>
  <c r="H39" i="1"/>
  <c r="O38" i="1"/>
  <c r="Z38" i="1" s="1"/>
  <c r="N38" i="1"/>
  <c r="H38" i="1"/>
  <c r="O37" i="1"/>
  <c r="Z37" i="1" s="1"/>
  <c r="N37" i="1"/>
  <c r="H37" i="1"/>
  <c r="AG37" i="1" s="1"/>
  <c r="O36" i="1"/>
  <c r="Z36" i="1" s="1"/>
  <c r="N36" i="1"/>
  <c r="H36" i="1"/>
  <c r="AG36" i="1" s="1"/>
  <c r="O35" i="1"/>
  <c r="Z35" i="1" s="1"/>
  <c r="N35" i="1"/>
  <c r="H35" i="1"/>
  <c r="AG35" i="1" s="1"/>
  <c r="O34" i="1"/>
  <c r="Z34" i="1" s="1"/>
  <c r="N34" i="1"/>
  <c r="H34" i="1"/>
  <c r="O33" i="1"/>
  <c r="Z33" i="1" s="1"/>
  <c r="N33" i="1"/>
  <c r="H33" i="1"/>
  <c r="O32" i="1"/>
  <c r="Z32" i="1" s="1"/>
  <c r="N32" i="1"/>
  <c r="H32" i="1"/>
  <c r="AG32" i="1" s="1"/>
  <c r="O31" i="1"/>
  <c r="Z31" i="1" s="1"/>
  <c r="N31" i="1"/>
  <c r="H31" i="1"/>
  <c r="AG31" i="1" s="1"/>
  <c r="O30" i="1"/>
  <c r="Z30" i="1" s="1"/>
  <c r="N30" i="1"/>
  <c r="H30" i="1"/>
  <c r="O29" i="1"/>
  <c r="Z29" i="1" s="1"/>
  <c r="N29" i="1"/>
  <c r="H29" i="1"/>
  <c r="O28" i="1"/>
  <c r="Z28" i="1" s="1"/>
  <c r="N28" i="1"/>
  <c r="H28" i="1"/>
  <c r="O27" i="1"/>
  <c r="Z27" i="1" s="1"/>
  <c r="N27" i="1"/>
  <c r="H27" i="1"/>
  <c r="AG27" i="1" s="1"/>
  <c r="O26" i="1"/>
  <c r="Z26" i="1" s="1"/>
  <c r="N26" i="1"/>
  <c r="H26" i="1"/>
  <c r="O25" i="1"/>
  <c r="Z25" i="1" s="1"/>
  <c r="N25" i="1"/>
  <c r="H25" i="1"/>
  <c r="O24" i="1"/>
  <c r="Z24" i="1" s="1"/>
  <c r="N24" i="1"/>
  <c r="H24" i="1"/>
  <c r="O23" i="1"/>
  <c r="Z23" i="1" s="1"/>
  <c r="N23" i="1"/>
  <c r="H23" i="1"/>
  <c r="O22" i="1"/>
  <c r="Z22" i="1" s="1"/>
  <c r="N22" i="1"/>
  <c r="H22" i="1"/>
  <c r="O21" i="1"/>
  <c r="Z21" i="1" s="1"/>
  <c r="N21" i="1"/>
  <c r="H21" i="1"/>
  <c r="O20" i="1"/>
  <c r="Z20" i="1" s="1"/>
  <c r="N20" i="1"/>
  <c r="H20" i="1"/>
  <c r="AG20" i="1" s="1"/>
  <c r="O19" i="1"/>
  <c r="Z19" i="1" s="1"/>
  <c r="N19" i="1"/>
  <c r="H19" i="1"/>
  <c r="O18" i="1"/>
  <c r="Z18" i="1" s="1"/>
  <c r="N18" i="1"/>
  <c r="H18" i="1"/>
  <c r="O17" i="1"/>
  <c r="Z17" i="1" s="1"/>
  <c r="N17" i="1"/>
  <c r="G17" i="1"/>
  <c r="H17" i="1" s="1"/>
  <c r="AG17" i="1" s="1"/>
  <c r="O16" i="1"/>
  <c r="Z16" i="1" s="1"/>
  <c r="N16" i="1"/>
  <c r="G16" i="1"/>
  <c r="H16" i="1" s="1"/>
  <c r="AG16" i="1" s="1"/>
  <c r="O15" i="1"/>
  <c r="Z15" i="1" s="1"/>
  <c r="N15" i="1"/>
  <c r="H15" i="1"/>
  <c r="AG15" i="1" s="1"/>
  <c r="O14" i="1"/>
  <c r="Z14" i="1" s="1"/>
  <c r="N14" i="1"/>
  <c r="H14" i="1"/>
  <c r="O13" i="1"/>
  <c r="Z13" i="1" s="1"/>
  <c r="N13" i="1"/>
  <c r="H13" i="1"/>
  <c r="O12" i="1"/>
  <c r="Z12" i="1" s="1"/>
  <c r="N12" i="1"/>
  <c r="H12" i="1"/>
  <c r="O11" i="1"/>
  <c r="Z11" i="1" s="1"/>
  <c r="AB11" i="1" s="1"/>
  <c r="N11" i="1"/>
  <c r="H11" i="1"/>
  <c r="O10" i="1"/>
  <c r="Z10" i="1" s="1"/>
  <c r="N10" i="1"/>
  <c r="H10" i="1"/>
  <c r="O9" i="1"/>
  <c r="Z9" i="1" s="1"/>
  <c r="N9" i="1"/>
  <c r="H9" i="1"/>
  <c r="O8" i="1"/>
  <c r="Z8" i="1" s="1"/>
  <c r="N8" i="1"/>
  <c r="G8" i="1"/>
  <c r="O7" i="1"/>
  <c r="N7" i="1"/>
  <c r="H7" i="1"/>
  <c r="O6" i="1"/>
  <c r="Z6" i="1" s="1"/>
  <c r="N6" i="1"/>
  <c r="H6" i="1"/>
  <c r="AP5" i="1"/>
  <c r="AO5" i="1"/>
  <c r="AN5" i="1"/>
  <c r="AM5" i="1"/>
  <c r="AL5" i="1"/>
  <c r="AK5" i="1"/>
  <c r="AJ5" i="1"/>
  <c r="AI5" i="1"/>
  <c r="Y5" i="1"/>
  <c r="X5" i="1"/>
  <c r="W5" i="1"/>
  <c r="V5" i="1"/>
  <c r="U5" i="1"/>
  <c r="T5" i="1"/>
  <c r="S5" i="1"/>
  <c r="R5" i="1"/>
  <c r="Q5" i="1"/>
  <c r="P5" i="1"/>
  <c r="M5" i="1"/>
  <c r="AG19" i="1" l="1"/>
  <c r="AG66" i="1"/>
  <c r="AG106" i="1"/>
  <c r="AG133" i="1"/>
  <c r="AG26" i="1"/>
  <c r="AG93" i="1"/>
  <c r="AG113" i="1"/>
  <c r="AG135" i="1"/>
  <c r="AG38" i="1"/>
  <c r="AG58" i="1"/>
  <c r="AG65" i="1"/>
  <c r="AG105" i="1"/>
  <c r="AG25" i="1"/>
  <c r="AG45" i="1"/>
  <c r="AG92" i="1"/>
  <c r="AG112" i="1"/>
  <c r="AG46" i="1"/>
  <c r="AG13" i="1"/>
  <c r="AG33" i="1"/>
  <c r="AG53" i="1"/>
  <c r="AG80" i="1"/>
  <c r="AG21" i="1"/>
  <c r="AG41" i="1"/>
  <c r="AG108" i="1"/>
  <c r="AG42" i="1"/>
  <c r="AG69" i="1"/>
  <c r="AG89" i="1"/>
  <c r="AG109" i="1"/>
  <c r="AG9" i="1"/>
  <c r="AG29" i="1"/>
  <c r="AG49" i="1"/>
  <c r="AG76" i="1"/>
  <c r="AG96" i="1"/>
  <c r="AG23" i="1"/>
  <c r="AG43" i="1"/>
  <c r="AG110" i="1"/>
  <c r="AG137" i="1"/>
  <c r="AG10" i="1"/>
  <c r="AG30" i="1"/>
  <c r="AG50" i="1"/>
  <c r="AG77" i="1"/>
  <c r="AG97" i="1"/>
  <c r="AG117" i="1"/>
  <c r="AD11" i="1"/>
  <c r="AS11" i="1" s="1"/>
  <c r="AG78" i="1"/>
  <c r="AG70" i="1"/>
  <c r="AG75" i="1"/>
  <c r="AG90" i="1"/>
  <c r="AG72" i="1"/>
  <c r="AG61" i="1"/>
  <c r="AG34" i="1"/>
  <c r="AG73" i="1"/>
  <c r="AG39" i="1"/>
  <c r="AG47" i="1"/>
  <c r="AG60" i="1"/>
  <c r="AG86" i="1"/>
  <c r="AH91" i="1"/>
  <c r="AH117" i="1"/>
  <c r="AH137" i="1"/>
  <c r="AA114" i="1"/>
  <c r="AB114" i="1" s="1"/>
  <c r="AC114" i="1" s="1"/>
  <c r="AR114" i="1" s="1"/>
  <c r="AA134" i="1"/>
  <c r="AB134" i="1" s="1"/>
  <c r="AC134" i="1" s="1"/>
  <c r="AR134" i="1" s="1"/>
  <c r="AH131" i="1"/>
  <c r="AH62" i="1"/>
  <c r="AA116" i="1"/>
  <c r="AB116" i="1" s="1"/>
  <c r="AA136" i="1"/>
  <c r="AA10" i="1"/>
  <c r="AA126" i="1"/>
  <c r="AB126" i="1" s="1"/>
  <c r="AD126" i="1" s="1"/>
  <c r="AA93" i="1"/>
  <c r="AA28" i="1"/>
  <c r="AA82" i="1"/>
  <c r="AA6" i="1"/>
  <c r="AB6" i="1" s="1"/>
  <c r="AA68" i="1"/>
  <c r="AB68" i="1" s="1"/>
  <c r="AA77" i="1"/>
  <c r="AA24" i="1"/>
  <c r="AB24" i="1" s="1"/>
  <c r="AD24" i="1" s="1"/>
  <c r="AA18" i="1"/>
  <c r="AB18" i="1" s="1"/>
  <c r="AC18" i="1" s="1"/>
  <c r="AR18" i="1" s="1"/>
  <c r="AH85" i="1"/>
  <c r="AA12" i="1"/>
  <c r="AB12" i="1" s="1"/>
  <c r="AC12" i="1" s="1"/>
  <c r="AR12" i="1" s="1"/>
  <c r="AH86" i="1"/>
  <c r="AH73" i="1"/>
  <c r="AA99" i="1"/>
  <c r="AB99" i="1" s="1"/>
  <c r="AC99" i="1" s="1"/>
  <c r="AR99" i="1" s="1"/>
  <c r="AH127" i="1"/>
  <c r="AA14" i="1"/>
  <c r="AB14" i="1" s="1"/>
  <c r="AC14" i="1" s="1"/>
  <c r="AR14" i="1" s="1"/>
  <c r="F5" i="1"/>
  <c r="AA78" i="1"/>
  <c r="AA104" i="1"/>
  <c r="AB104" i="1" s="1"/>
  <c r="AC104" i="1" s="1"/>
  <c r="AR104" i="1" s="1"/>
  <c r="AA59" i="1"/>
  <c r="AB59" i="1" s="1"/>
  <c r="AD59" i="1" s="1"/>
  <c r="G5" i="1"/>
  <c r="AA40" i="1"/>
  <c r="AB40" i="1" s="1"/>
  <c r="AD40" i="1" s="1"/>
  <c r="AH125" i="1"/>
  <c r="AH15" i="1"/>
  <c r="AH48" i="1"/>
  <c r="AA22" i="1"/>
  <c r="AB22" i="1" s="1"/>
  <c r="AD22" i="1" s="1"/>
  <c r="AA81" i="1"/>
  <c r="AB81" i="1" s="1"/>
  <c r="AC81" i="1" s="1"/>
  <c r="AR81" i="1" s="1"/>
  <c r="AH114" i="1"/>
  <c r="AA88" i="1"/>
  <c r="AB88" i="1" s="1"/>
  <c r="AC88" i="1" s="1"/>
  <c r="AR88" i="1" s="1"/>
  <c r="AA56" i="1"/>
  <c r="AB56" i="1" s="1"/>
  <c r="AD56" i="1" s="1"/>
  <c r="AH84" i="1"/>
  <c r="AA84" i="1"/>
  <c r="AH95" i="1"/>
  <c r="AH68" i="1"/>
  <c r="AA48" i="1"/>
  <c r="AB48" i="1" s="1"/>
  <c r="AH100" i="1"/>
  <c r="AH49" i="1"/>
  <c r="AH64" i="1"/>
  <c r="AH44" i="1"/>
  <c r="AH50" i="1"/>
  <c r="AH69" i="1"/>
  <c r="AA125" i="1"/>
  <c r="AB125" i="1" s="1"/>
  <c r="AC125" i="1" s="1"/>
  <c r="AR125" i="1" s="1"/>
  <c r="AH29" i="1"/>
  <c r="AH82" i="1"/>
  <c r="AH56" i="1"/>
  <c r="AH66" i="1"/>
  <c r="AH97" i="1"/>
  <c r="AH36" i="1"/>
  <c r="AH14" i="1"/>
  <c r="AH104" i="1"/>
  <c r="AH20" i="1"/>
  <c r="AH53" i="1"/>
  <c r="AH105" i="1"/>
  <c r="AH130" i="1"/>
  <c r="AH19" i="1"/>
  <c r="AH46" i="1"/>
  <c r="AH102" i="1"/>
  <c r="AH98" i="1"/>
  <c r="AH116" i="1"/>
  <c r="AH11" i="1"/>
  <c r="AH26" i="1"/>
  <c r="AH31" i="1"/>
  <c r="AH42" i="1"/>
  <c r="N60" i="1"/>
  <c r="AH65" i="1"/>
  <c r="AH79" i="1"/>
  <c r="AH112" i="1"/>
  <c r="AH126" i="1"/>
  <c r="AH32" i="1"/>
  <c r="AH93" i="1"/>
  <c r="AH108" i="1"/>
  <c r="AH47" i="1"/>
  <c r="AH70" i="1"/>
  <c r="AH57" i="1"/>
  <c r="AH33" i="1"/>
  <c r="AH76" i="1"/>
  <c r="AH123" i="1"/>
  <c r="AH18" i="1"/>
  <c r="AH34" i="1"/>
  <c r="AH113" i="1"/>
  <c r="AH12" i="1"/>
  <c r="AH132" i="1"/>
  <c r="E5" i="1"/>
  <c r="AH96" i="1"/>
  <c r="AH45" i="1"/>
  <c r="AH54" i="1"/>
  <c r="AH87" i="1"/>
  <c r="AH133" i="1"/>
  <c r="AH83" i="1"/>
  <c r="AH101" i="1"/>
  <c r="AH106" i="1"/>
  <c r="AH16" i="1"/>
  <c r="AH60" i="1"/>
  <c r="AH88" i="1"/>
  <c r="AH134" i="1"/>
  <c r="AH74" i="1"/>
  <c r="AH107" i="1"/>
  <c r="AH21" i="1"/>
  <c r="AH94" i="1"/>
  <c r="AH55" i="1"/>
  <c r="AH51" i="1"/>
  <c r="AH121" i="1"/>
  <c r="AH80" i="1"/>
  <c r="AH89" i="1"/>
  <c r="AH103" i="1"/>
  <c r="AH122" i="1"/>
  <c r="AH135" i="1"/>
  <c r="AH17" i="1"/>
  <c r="AH61" i="1"/>
  <c r="AH75" i="1"/>
  <c r="AH90" i="1"/>
  <c r="AH27" i="1"/>
  <c r="AH22" i="1"/>
  <c r="AH38" i="1"/>
  <c r="AH41" i="1"/>
  <c r="AH52" i="1"/>
  <c r="AH39" i="1"/>
  <c r="AH9" i="1"/>
  <c r="AH23" i="1"/>
  <c r="AH28" i="1"/>
  <c r="AH81" i="1"/>
  <c r="AH136" i="1"/>
  <c r="AH109" i="1"/>
  <c r="AH118" i="1"/>
  <c r="AH71" i="1"/>
  <c r="AH58" i="1"/>
  <c r="AH24" i="1"/>
  <c r="AH40" i="1"/>
  <c r="AH59" i="1"/>
  <c r="AH77" i="1"/>
  <c r="AH110" i="1"/>
  <c r="AH119" i="1"/>
  <c r="AH78" i="1"/>
  <c r="AH72" i="1"/>
  <c r="AH115" i="1"/>
  <c r="AH25" i="1"/>
  <c r="AH30" i="1"/>
  <c r="AH111" i="1"/>
  <c r="AH120" i="1"/>
  <c r="AH129" i="1"/>
  <c r="AH138" i="1"/>
  <c r="H8" i="1"/>
  <c r="AG8" i="1" s="1"/>
  <c r="AH13" i="1"/>
  <c r="Z7" i="1"/>
  <c r="AG7" i="1" s="1"/>
  <c r="AH43" i="1"/>
  <c r="AH63" i="1"/>
  <c r="AH92" i="1"/>
  <c r="AH37" i="1"/>
  <c r="N128" i="1"/>
  <c r="AH124" i="1"/>
  <c r="O128" i="1"/>
  <c r="Z128" i="1" s="1"/>
  <c r="AH35" i="1"/>
  <c r="AH67" i="1"/>
  <c r="AH99" i="1"/>
  <c r="AH6" i="1"/>
  <c r="AH10" i="1"/>
  <c r="AC11" i="1" l="1"/>
  <c r="AB28" i="1"/>
  <c r="AC28" i="1" s="1"/>
  <c r="AB136" i="1"/>
  <c r="AC136" i="1" s="1"/>
  <c r="AD68" i="1"/>
  <c r="AS68" i="1" s="1"/>
  <c r="AC68" i="1"/>
  <c r="AG88" i="1"/>
  <c r="AG81" i="1"/>
  <c r="AC56" i="1"/>
  <c r="AR56" i="1" s="1"/>
  <c r="AC22" i="1"/>
  <c r="AR22" i="1" s="1"/>
  <c r="AC40" i="1"/>
  <c r="AR40" i="1" s="1"/>
  <c r="AC59" i="1"/>
  <c r="AR59" i="1" s="1"/>
  <c r="AC24" i="1"/>
  <c r="AR24" i="1" s="1"/>
  <c r="AG125" i="1"/>
  <c r="AG14" i="1"/>
  <c r="AG114" i="1"/>
  <c r="AD6" i="1"/>
  <c r="AC6" i="1" s="1"/>
  <c r="AC126" i="1"/>
  <c r="AG134" i="1"/>
  <c r="AG99" i="1"/>
  <c r="AG18" i="1"/>
  <c r="AG12" i="1"/>
  <c r="AG104" i="1"/>
  <c r="AS126" i="1"/>
  <c r="AC48" i="1"/>
  <c r="AD48" i="1"/>
  <c r="AS48" i="1" s="1"/>
  <c r="AC116" i="1"/>
  <c r="AD116" i="1"/>
  <c r="AS116" i="1" s="1"/>
  <c r="N5" i="1"/>
  <c r="AA128" i="1"/>
  <c r="O5" i="1"/>
  <c r="AH128" i="1"/>
  <c r="AH8" i="1"/>
  <c r="H5" i="1"/>
  <c r="AH7" i="1"/>
  <c r="Z5" i="1"/>
  <c r="AR11" i="1" l="1"/>
  <c r="AG11" i="1"/>
  <c r="AS6" i="1"/>
  <c r="AS40" i="1"/>
  <c r="AG28" i="1"/>
  <c r="AR28" i="1"/>
  <c r="AR136" i="1"/>
  <c r="AG136" i="1"/>
  <c r="AR68" i="1"/>
  <c r="AG68" i="1"/>
  <c r="AS24" i="1"/>
  <c r="AS56" i="1"/>
  <c r="AS59" i="1"/>
  <c r="AS22" i="1"/>
  <c r="AR126" i="1"/>
  <c r="AG126" i="1"/>
  <c r="AR6" i="1"/>
  <c r="AG6" i="1"/>
  <c r="AC128" i="1"/>
  <c r="AG24" i="1"/>
  <c r="AG59" i="1"/>
  <c r="AG40" i="1"/>
  <c r="AG22" i="1"/>
  <c r="AG56" i="1"/>
  <c r="AS128" i="1"/>
  <c r="AR116" i="1"/>
  <c r="AG116" i="1"/>
  <c r="AR48" i="1"/>
  <c r="AG48" i="1"/>
  <c r="AB5" i="1"/>
  <c r="AA5" i="1"/>
  <c r="AD5" i="1" l="1"/>
  <c r="AR128" i="1"/>
  <c r="AR5" i="1" s="1"/>
  <c r="AG128" i="1"/>
  <c r="AC5" i="1"/>
  <c r="AS5" i="1"/>
  <c r="AR1" i="1" l="1"/>
</calcChain>
</file>

<file path=xl/sharedStrings.xml><?xml version="1.0" encoding="utf-8"?>
<sst xmlns="http://schemas.openxmlformats.org/spreadsheetml/2006/main" count="518" uniqueCount="203">
  <si>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</si>
  <si>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</si>
  <si>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</si>
  <si>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</si>
  <si>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</si>
  <si>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</si>
  <si>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опт</t>
  </si>
  <si>
    <t>ИТОГО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</si>
  <si>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</si>
  <si>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</si>
  <si>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</si>
  <si>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</si>
  <si>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</si>
  <si>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</si>
  <si>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</si>
  <si>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</si>
  <si>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</si>
  <si>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</si>
  <si>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</si>
  <si>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</si>
  <si>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</si>
  <si>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</si>
  <si>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</si>
  <si>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Бутырин</t>
  </si>
  <si>
    <t>19,09,</t>
  </si>
  <si>
    <t>19,09,недогр</t>
  </si>
  <si>
    <t>20,09,</t>
  </si>
  <si>
    <t>20,09,недогр</t>
  </si>
  <si>
    <t>20,09,доз</t>
  </si>
  <si>
    <t>21,09,</t>
  </si>
  <si>
    <t>21,09,недогр</t>
  </si>
  <si>
    <t>21,09,доз</t>
  </si>
  <si>
    <t>22,09,</t>
  </si>
  <si>
    <t>17,09,</t>
  </si>
  <si>
    <t>15,09,</t>
  </si>
  <si>
    <t>10,09,</t>
  </si>
  <si>
    <t>08,09,</t>
  </si>
  <si>
    <t>03,09,</t>
  </si>
  <si>
    <t>01,09,</t>
  </si>
  <si>
    <t>27,08,</t>
  </si>
  <si>
    <t>25,08,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</si>
  <si>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</si>
  <si>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</si>
  <si>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</si>
  <si>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</si>
  <si>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>ПРОМО сентябрь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</si>
  <si>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</si>
  <si>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</si>
  <si>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</si>
  <si>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</si>
  <si>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</si>
  <si>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</si>
  <si>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</si>
  <si>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</si>
  <si>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</si>
  <si>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103  Сосиски Классические, 0.42кг,ядрена копотьПОКОМ</t>
  </si>
  <si>
    <t>не в матрице</t>
  </si>
  <si>
    <t>Продукция для ПРС!!!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</si>
  <si>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</si>
  <si>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</si>
  <si>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</si>
  <si>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</si>
  <si>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>дубль</t>
  </si>
  <si>
    <t xml:space="preserve"> 597  Колбаса Классическая ТМ Особый рецепт в оболочке полиамид ВЕС.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</si>
  <si>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</si>
  <si>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</si>
  <si>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</si>
  <si>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>нужно увеличить продажи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</si>
  <si>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</si>
  <si>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</si>
  <si>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</si>
  <si>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</si>
  <si>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</si>
  <si>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</si>
  <si>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</si>
  <si>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</si>
  <si>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>нужно увеличить продажи!!!</t>
  </si>
  <si>
    <t xml:space="preserve"> 246  Колбаса Стародворская ТМ Стародворье ТС Старый двор,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</si>
  <si>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</si>
  <si>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</si>
  <si>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</si>
  <si>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</si>
  <si>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</si>
  <si>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</si>
  <si>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</si>
  <si>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</si>
  <si>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</si>
  <si>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</si>
  <si>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>ПРОМО сентябрь / 2600шт отгрузили на ЮгТехЛогистика (28,08,26)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</si>
  <si>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</si>
  <si>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</si>
  <si>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</si>
  <si>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</si>
  <si>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</si>
  <si>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</si>
  <si>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</si>
  <si>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</si>
  <si>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</si>
  <si>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</si>
  <si>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</si>
  <si>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>1000шт под сети (Хмель 01,09,26)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</si>
  <si>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</si>
  <si>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</si>
  <si>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</si>
  <si>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</si>
  <si>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</si>
  <si>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</si>
  <si>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</si>
  <si>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</si>
  <si>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</si>
  <si>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</si>
  <si>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</si>
  <si>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</si>
  <si>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</si>
  <si>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</si>
  <si>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</si>
  <si>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</si>
  <si>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</si>
  <si>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</si>
  <si>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</si>
  <si>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</si>
  <si>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</si>
  <si>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</si>
  <si>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</si>
  <si>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</si>
  <si>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365  Колбаса Салями Филейбургская зернистая, 0,28 кг срез ТМ Баварушка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</si>
  <si>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</si>
  <si>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</si>
  <si>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</si>
  <si>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</si>
  <si>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</si>
  <si>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</si>
  <si>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</si>
  <si>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</si>
  <si>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</si>
  <si>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</si>
  <si>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</si>
  <si>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</si>
  <si>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</si>
  <si>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</si>
  <si>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</si>
  <si>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</si>
  <si>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</si>
  <si>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</si>
  <si>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</si>
  <si>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463  Колбаса Молочная Традиционнаяв оболочке полиамид.ТМ Стародворье. ВЕС ПОКОМ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</si>
  <si>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</si>
  <si>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</si>
  <si>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</si>
  <si>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</si>
  <si>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</si>
  <si>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</si>
  <si>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</si>
  <si>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</si>
  <si>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</si>
  <si>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</si>
  <si>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</si>
  <si>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</si>
  <si>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</si>
  <si>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</si>
  <si>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</si>
  <si>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</si>
  <si>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</si>
  <si>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</si>
  <si>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</si>
  <si>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</si>
  <si>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</si>
  <si>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</si>
  <si>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</si>
  <si>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</si>
  <si>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</si>
  <si>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</si>
  <si>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</si>
  <si>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</si>
  <si>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</si>
  <si>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</si>
  <si>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</si>
  <si>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614  Буженина в пряном маринаде 0,25 кг консервы из мяса индейки ТМ Стародворье  ПОКОМ</t>
  </si>
  <si>
    <t>нужно увеличить продажи!!! / ПРОМО сентябрь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</si>
  <si>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</si>
  <si>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</si>
  <si>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</si>
  <si>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</si>
  <si>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</si>
  <si>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</si>
  <si>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</si>
  <si>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</si>
  <si>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</si>
  <si>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</si>
  <si>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>15шт списано (19,09,26)</t>
  </si>
  <si>
    <t>18шт списано (19,09,26) / 19 шт списано (12,07,26)</t>
  </si>
  <si>
    <t>14 кг списано (19,09,26)</t>
  </si>
  <si>
    <t>ТК</t>
  </si>
  <si>
    <t>Рекуто</t>
  </si>
  <si>
    <t>итого</t>
  </si>
  <si>
    <t>ТК ком</t>
  </si>
  <si>
    <t>до 300кг (акция)</t>
  </si>
  <si>
    <t>до 200шт</t>
  </si>
  <si>
    <t>заказ</t>
  </si>
  <si>
    <t>26,09,</t>
  </si>
  <si>
    <t>27,09,</t>
  </si>
  <si>
    <t>%</t>
  </si>
  <si>
    <t>дн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</si>
</sst>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b/>
      <sz val="11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0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4" fillId="2" borderId="1" xfId="1" applyNumberFormat="1" applyFont="1" applyFill="1"/>
    <xf numFmtId="164" fontId="5" fillId="0" borderId="1" xfId="1" applyNumberFormat="1" applyFont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6" fillId="6" borderId="1" xfId="1" applyNumberFormat="1" applyFont="1" applyFill="1"/>
    <xf numFmtId="164" fontId="1" fillId="7" borderId="1" xfId="1" applyNumberFormat="1" applyFill="1"/>
    <xf numFmtId="164" fontId="7" fillId="7" borderId="1" xfId="1" applyNumberFormat="1" applyFont="1" applyFill="1"/>
    <xf numFmtId="0" fontId="0" fillId="0" borderId="1" xfId="0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WORK\2025_05\2026\&#1047;&#1040;&#1042;&#1054;&#1044;&#1067;\&#1055;&#1054;&#1050;&#1054;&#1052;\&#1092;&#1080;&#1083;&#1080;&#1072;&#1083;&#1099;%20&#1053;&#1042;\09,26\22,09,26%20&#1055;&#1054;&#1050;&#1054;&#1052;%20&#1050;&#1048;\&#1044;&#1086;&#1085;&#1077;&#1094;&#1082;\&#1041;&#1091;&#1090;&#1099;&#1088;&#1080;&#1085;%2022,0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WORK\2025_05\2026\&#1047;&#1040;&#1042;&#1054;&#1044;&#1067;\&#1055;&#1054;&#1050;&#1054;&#1052;\&#1092;&#1080;&#1083;&#1080;&#1072;&#1083;&#1099;%20&#1053;&#1042;\09,26\22,09,26%20&#1055;&#1054;&#1050;&#1054;&#1052;%20&#1050;&#1048;\&#1044;&#1086;&#1085;&#1077;&#1094;&#1082;%20&#1050;&#1048;%20(&#1056;&#1077;&#1082;&#1091;&#1090;&#1086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DSheet"/>
    </sheetNames>
    <sheetDataSet>
      <sheetData sheetId="0">
        <row r="1">
          <cell r="A1" t="str">
            <v>Номенклатура</v>
          </cell>
          <cell r="B1" t="str">
            <v>Количество</v>
          </cell>
        </row>
        <row r="2">
          <cell r="A2" t="str">
            <v xml:space="preserve"> 017  Сосиски Вязанка Сливочные, Вязанка амицел ВЕС.ПОКОМ</v>
          </cell>
          <cell r="B2">
            <v>380.36599999999999</v>
          </cell>
        </row>
        <row r="3">
          <cell r="A3" t="str">
            <v xml:space="preserve"> 457  Колбаса Молочная ТМ Особый рецепт ВЕС большой батон  ПОКОМ</v>
          </cell>
          <cell r="B3">
            <v>359.18099999999998</v>
          </cell>
        </row>
        <row r="4">
          <cell r="A4" t="str">
            <v xml:space="preserve"> 201  Ветчина Нежная ТМ Особый рецепт, (2,5кг), ПОКОМ</v>
          </cell>
          <cell r="B4">
            <v>283.34500000000003</v>
          </cell>
        </row>
        <row r="5">
          <cell r="A5" t="str">
            <v xml:space="preserve"> 449  Колбаса Дугушка Стародворская ВЕС ТС Дугушка ПОКОМ</v>
          </cell>
          <cell r="B5">
            <v>506.06299999999999</v>
          </cell>
        </row>
        <row r="6">
          <cell r="A6" t="str">
            <v xml:space="preserve"> 200  Ветчина Дугушка ТМ Стародворье, вектор в/у    ПОКОМ</v>
          </cell>
          <cell r="B6">
            <v>380.12099999999998</v>
          </cell>
        </row>
        <row r="7">
          <cell r="A7" t="str">
            <v>Европоддон (невозвратный)</v>
          </cell>
          <cell r="B7">
            <v>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Лист1"/>
    </sheetNames>
    <sheetDataSet>
      <sheetData sheetId="0">
        <row r="1">
          <cell r="A1" t="str">
            <v>Прошу рассмотреть возможность увеличить заказ:</v>
          </cell>
        </row>
        <row r="2">
          <cell r="A2" t="str">
            <v xml:space="preserve"> </v>
          </cell>
        </row>
        <row r="3">
          <cell r="A3" t="str">
            <v xml:space="preserve"> 335  Колбаса Сливушка ТМ Вязанка. ВЕС.  ПОКОМ</v>
          </cell>
          <cell r="B3" t="str">
            <v>до 300кг (акция)</v>
          </cell>
        </row>
        <row r="4">
          <cell r="A4" t="str">
            <v xml:space="preserve"> 340  Сосиски Сочинки Молочные ТМ Стародворье, ВЕС ПОКОМ</v>
          </cell>
          <cell r="B4" t="str">
            <v>до 350 кг (акция)</v>
          </cell>
        </row>
        <row r="5">
          <cell r="A5" t="str">
            <v xml:space="preserve"> 341 Сосиски Сочинки Сливочные ТМ Стародворье ВЕС ПОКОМ</v>
          </cell>
          <cell r="B5" t="str">
            <v>до 400 кг (акция)</v>
          </cell>
        </row>
        <row r="6">
          <cell r="A6" t="str">
            <v xml:space="preserve"> 346  Колбаса Сочинка зернистая с сочной грудинкой ТМ Стародворье.ВЕС ПОКОМ</v>
          </cell>
          <cell r="B6" t="str">
            <v>до 900кг (акция)</v>
          </cell>
        </row>
        <row r="7">
          <cell r="A7" t="str">
            <v xml:space="preserve"> 347  Колбаса Сочинка рубленая с сочным окороком ТМ Стародворье ВЕС ПОКОМ</v>
          </cell>
          <cell r="B7" t="str">
            <v>до 150 кг</v>
          </cell>
        </row>
        <row r="8">
          <cell r="A8" t="str">
            <v xml:space="preserve"> 364  Сардельки Филейские Вязанка ВЕС NDX ТМ Вязанка  ПОКОМ</v>
          </cell>
          <cell r="B8" t="str">
            <v>до 100кг</v>
          </cell>
        </row>
        <row r="9">
          <cell r="A9" t="str">
            <v xml:space="preserve"> 387  Колбаса вареная Мусульманская Халяль ТМ Вязанка, 0,4 кг ПОКОМ</v>
          </cell>
          <cell r="B9" t="str">
            <v>до 120 шт</v>
          </cell>
        </row>
        <row r="10">
          <cell r="A10" t="str">
            <v xml:space="preserve"> 397  Ветчина Дугушка ТМ Стародворье ТС Дугушка в полиамидной оболочке 0,6 кг. ПОКОМ</v>
          </cell>
          <cell r="B10" t="str">
            <v>до 250 шт</v>
          </cell>
        </row>
        <row r="11">
          <cell r="A11" t="str">
            <v xml:space="preserve"> 405  Сардельки Сливушки ТМ Вязанка в оболочке айпил 0,33 кг. ПОКОМ</v>
          </cell>
          <cell r="B11" t="str">
            <v>150 шт</v>
          </cell>
        </row>
        <row r="12">
          <cell r="A12" t="str">
            <v xml:space="preserve"> 408  Ветчина Сливушка с индейкой ТМ Вязанка, 0,4кг  ПОКОМ</v>
          </cell>
          <cell r="B12" t="str">
            <v>до 150 шт</v>
          </cell>
        </row>
        <row r="13">
          <cell r="A13" t="str">
            <v xml:space="preserve"> 410  Сосиски Баварские с сыром ТМ Стародворье 0,35 кг. ПОКОМ</v>
          </cell>
          <cell r="B13" t="str">
            <v>до 160 шт</v>
          </cell>
        </row>
        <row r="14">
          <cell r="A14" t="str">
            <v xml:space="preserve"> 449  Колбаса Дугушка Стародворская ВЕС ТС Дугушка ПОКОМ</v>
          </cell>
          <cell r="B14" t="str">
            <v>1200 кг (акция)</v>
          </cell>
        </row>
        <row r="15">
          <cell r="A15" t="str">
            <v xml:space="preserve"> 452  Колбаса Со шпиком ВЕС большой батон ТМ Особый рецепт  ПОКОМ</v>
          </cell>
          <cell r="B15" t="str">
            <v>450 кг (акция)</v>
          </cell>
        </row>
        <row r="16">
          <cell r="A16" t="str">
            <v xml:space="preserve"> 456  Колбаса Филейная ТМ Особый рецепт ВЕС большой батон  ПОКОМ</v>
          </cell>
          <cell r="B16" t="str">
            <v>до 1700 кг (акция)</v>
          </cell>
        </row>
        <row r="17">
          <cell r="A17" t="str">
            <v xml:space="preserve"> 457  Колбаса Молочная ТМ Особый рецепт ВЕС большой батон  ПОКОМ</v>
          </cell>
          <cell r="B17" t="str">
            <v>1700 кг (акция)</v>
          </cell>
        </row>
        <row r="18">
          <cell r="A18" t="str">
            <v xml:space="preserve"> 523  Колбаса Сальчичон нарезка 0,07кг ТМ Стародворье  ПОКОМ</v>
          </cell>
          <cell r="B18" t="str">
            <v>до 200шт</v>
          </cell>
        </row>
        <row r="19">
          <cell r="A19" t="str">
            <v xml:space="preserve"> 525  Колбаса Фуэт нарезка 0,07кг ТМ Стародворье  ПОКОМ</v>
          </cell>
          <cell r="B19" t="str">
            <v>до 150 шт</v>
          </cell>
        </row>
        <row r="20">
          <cell r="A20" t="str">
            <v xml:space="preserve"> 556  Колбаса Сервелат Ореховый ТМ Вязанка в оболочке фиброуз в вакуумной упаковке, ВЕС  ПОКОМ</v>
          </cell>
          <cell r="B20" t="str">
            <v>до 300 кг</v>
          </cell>
        </row>
        <row r="21">
          <cell r="A21" t="str">
            <v xml:space="preserve"> 557  Колбаса Сервелат Финский ТМ Вязанка в оболочке фиброуз в вакуумной упаковке, ВЕС  ПОКОМ</v>
          </cell>
          <cell r="B21" t="str">
            <v>до 250 кг</v>
          </cell>
        </row>
        <row r="22">
          <cell r="A22" t="str">
            <v xml:space="preserve"> 558  Колбаса Балыковая НОВАЯ ВЕС Вязанка фиброуз в/у ПОКОМ</v>
          </cell>
          <cell r="B22" t="str">
            <v>до 50 кг</v>
          </cell>
        </row>
        <row r="23">
          <cell r="A23" t="str">
            <v xml:space="preserve"> 570  Колбаса Сервелат Финский ТМ Вязанка в оболочке фиброуз в вак. упаковке 0,28 кг срез  ПОКОМ</v>
          </cell>
          <cell r="B23" t="str">
            <v>до 250 шт</v>
          </cell>
        </row>
        <row r="24">
          <cell r="A24" t="str">
            <v xml:space="preserve"> 571  Колбаса Сервелат Ореховый ТМ Вязанка в оболочке фиброуз в вак. упаковке 0,28 кг срез  ПОКОМ</v>
          </cell>
          <cell r="B24" t="str">
            <v>до 500 шт</v>
          </cell>
        </row>
        <row r="25">
          <cell r="A25" t="str">
            <v xml:space="preserve"> </v>
          </cell>
        </row>
        <row r="26">
          <cell r="A26" t="str">
            <v>Уменьшить заказ:</v>
          </cell>
        </row>
        <row r="27">
          <cell r="A27" t="str">
            <v xml:space="preserve"> 030  Сосиски Вязанка Молочные, Вязанка вискофан МГС, 0.45кг, ПОКОМ</v>
          </cell>
          <cell r="B27" t="str">
            <v>до 2000 шт</v>
          </cell>
        </row>
        <row r="28">
          <cell r="A28" t="str">
            <v xml:space="preserve"> 343 Сосиски Сочинки Сливочные ТМ Стародворье  0,4 кг ПОКОМ</v>
          </cell>
          <cell r="B28" t="str">
            <v>до 200 шт</v>
          </cell>
        </row>
        <row r="29">
          <cell r="A29" t="str">
            <v xml:space="preserve"> 377  Колбаса Молочная Дугушка 0,6кг ТМ Стародворье  ПОКОМ</v>
          </cell>
          <cell r="B29" t="str">
            <v>до 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F1" sqref="AF1"/>
    </sheetView>
  </sheetViews>
  <sheetFormatPr defaultRowHeight="15" x14ac:dyDescent="0.25"/>
  <cols>
    <col min="1" max="1" width="35.28515625" customWidth="1"/>
    <col min="2" max="2" width="3" customWidth="1"/>
    <col min="3" max="3" width="6" customWidth="1"/>
    <col min="4" max="4" width="6.7109375" customWidth="1"/>
    <col min="5" max="6" width="7" customWidth="1"/>
    <col min="7" max="7" width="5.85546875" customWidth="1"/>
    <col min="8" max="8" width="7" customWidth="1"/>
    <col min="9" max="9" width="5" style="6" customWidth="1"/>
    <col min="10" max="10" width="5" customWidth="1"/>
    <col min="11" max="11" width="6.42578125" customWidth="1"/>
    <col min="12" max="12" width="1" customWidth="1"/>
    <col min="13" max="30" width="7" customWidth="1"/>
    <col min="31" max="31" width="4" style="18" customWidth="1"/>
    <col min="32" max="32" width="3.5703125" style="18" customWidth="1"/>
    <col min="33" max="34" width="5" customWidth="1"/>
    <col min="35" max="39" width="6.7109375" customWidth="1"/>
    <col min="40" max="40" width="6" customWidth="1"/>
    <col min="41" max="42" width="6.7109375" customWidth="1"/>
    <col min="43" max="43" width="4.42578125" customWidth="1"/>
    <col min="44" max="45" width="7" customWidth="1"/>
    <col min="46" max="54" width="8" customWidth="1"/>
  </cols>
  <sheetData>
    <row r="1" spans="1:54" x14ac:dyDescent="0.25">
      <c r="A1" s="1"/>
      <c r="B1" s="1"/>
      <c r="C1" s="1"/>
      <c r="D1" s="1"/>
      <c r="E1" s="1"/>
      <c r="F1" s="1"/>
      <c r="G1" s="1"/>
      <c r="H1" s="1"/>
      <c r="I1" s="7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9">
        <v>1.7</v>
      </c>
      <c r="AC1" s="1"/>
      <c r="AD1" s="19">
        <v>0.8</v>
      </c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>
        <f>AR2-AR5-AS5</f>
        <v>27</v>
      </c>
      <c r="AS1" s="1"/>
      <c r="AT1" s="1"/>
      <c r="AU1" s="1"/>
      <c r="AV1" s="1"/>
      <c r="AW1" s="1"/>
      <c r="AX1" s="1"/>
      <c r="AY1" s="1"/>
      <c r="AZ1" s="1"/>
      <c r="BA1" s="1"/>
      <c r="BB1" s="1"/>
    </row>
    <row r="2" spans="1:54" x14ac:dyDescent="0.25">
      <c r="A2" s="1"/>
      <c r="B2" s="1"/>
      <c r="C2" s="1"/>
      <c r="D2" s="1"/>
      <c r="E2" s="1"/>
      <c r="F2" s="1"/>
      <c r="G2" s="1"/>
      <c r="H2" s="1"/>
      <c r="I2" s="7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0" t="s">
        <v>202</v>
      </c>
      <c r="AC2" s="1"/>
      <c r="AD2" s="1" t="s">
        <v>201</v>
      </c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>
        <v>28100</v>
      </c>
      <c r="AS2" s="1"/>
      <c r="AT2" s="1"/>
      <c r="AU2" s="1"/>
      <c r="AV2" s="1"/>
      <c r="AW2" s="1"/>
      <c r="AX2" s="1"/>
      <c r="AY2" s="1"/>
      <c r="AZ2" s="1"/>
      <c r="BA2" s="1"/>
      <c r="BB2" s="1"/>
    </row>
    <row r="3" spans="1:54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9" t="s">
        <v>6</v>
      </c>
      <c r="H3" s="9" t="s">
        <v>7</v>
      </c>
      <c r="I3" s="8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6</v>
      </c>
      <c r="Q3" s="2" t="s">
        <v>15</v>
      </c>
      <c r="R3" s="2" t="s">
        <v>15</v>
      </c>
      <c r="S3" s="2" t="s">
        <v>15</v>
      </c>
      <c r="T3" s="2" t="s">
        <v>15</v>
      </c>
      <c r="U3" s="2" t="s">
        <v>15</v>
      </c>
      <c r="V3" s="2" t="s">
        <v>15</v>
      </c>
      <c r="W3" s="2" t="s">
        <v>15</v>
      </c>
      <c r="X3" s="2" t="s">
        <v>15</v>
      </c>
      <c r="Y3" s="2" t="s">
        <v>15</v>
      </c>
      <c r="Z3" s="2" t="s">
        <v>16</v>
      </c>
      <c r="AA3" s="3" t="s">
        <v>17</v>
      </c>
      <c r="AB3" s="3" t="s">
        <v>194</v>
      </c>
      <c r="AC3" s="3" t="s">
        <v>198</v>
      </c>
      <c r="AD3" s="3" t="s">
        <v>198</v>
      </c>
      <c r="AE3" s="3" t="s">
        <v>192</v>
      </c>
      <c r="AF3" s="3" t="s">
        <v>195</v>
      </c>
      <c r="AG3" s="2" t="s">
        <v>18</v>
      </c>
      <c r="AH3" s="2" t="s">
        <v>19</v>
      </c>
      <c r="AI3" s="2" t="s">
        <v>20</v>
      </c>
      <c r="AJ3" s="2" t="s">
        <v>20</v>
      </c>
      <c r="AK3" s="2" t="s">
        <v>20</v>
      </c>
      <c r="AL3" s="2" t="s">
        <v>20</v>
      </c>
      <c r="AM3" s="2" t="s">
        <v>20</v>
      </c>
      <c r="AN3" s="2" t="s">
        <v>20</v>
      </c>
      <c r="AO3" s="2" t="s">
        <v>20</v>
      </c>
      <c r="AP3" s="2" t="s">
        <v>20</v>
      </c>
      <c r="AQ3" s="2" t="s">
        <v>21</v>
      </c>
      <c r="AR3" s="2" t="s">
        <v>22</v>
      </c>
      <c r="AS3" s="2" t="s">
        <v>22</v>
      </c>
      <c r="AT3" s="1"/>
      <c r="AU3" s="1"/>
      <c r="AV3" s="1"/>
      <c r="AW3" s="1"/>
      <c r="AX3" s="1"/>
      <c r="AY3" s="1"/>
      <c r="AZ3" s="1"/>
      <c r="BA3" s="1"/>
      <c r="BB3" s="1"/>
    </row>
    <row r="4" spans="1:54" x14ac:dyDescent="0.25">
      <c r="A4" s="1"/>
      <c r="B4" s="1"/>
      <c r="C4" s="1"/>
      <c r="D4" s="1"/>
      <c r="E4" s="1"/>
      <c r="F4" s="1"/>
      <c r="G4" s="10" t="s">
        <v>23</v>
      </c>
      <c r="H4" s="10"/>
      <c r="I4" s="7"/>
      <c r="J4" s="1"/>
      <c r="K4" s="1"/>
      <c r="L4" s="1"/>
      <c r="M4" s="1"/>
      <c r="N4" s="1"/>
      <c r="O4" s="1"/>
      <c r="P4" s="1"/>
      <c r="Q4" s="1" t="s">
        <v>24</v>
      </c>
      <c r="R4" s="1" t="s">
        <v>25</v>
      </c>
      <c r="S4" s="1" t="s">
        <v>26</v>
      </c>
      <c r="T4" s="1" t="s">
        <v>27</v>
      </c>
      <c r="U4" s="1" t="s">
        <v>28</v>
      </c>
      <c r="V4" s="1" t="s">
        <v>29</v>
      </c>
      <c r="W4" s="1" t="s">
        <v>30</v>
      </c>
      <c r="X4" s="1" t="s">
        <v>31</v>
      </c>
      <c r="Y4" s="1" t="s">
        <v>32</v>
      </c>
      <c r="Z4" s="1" t="s">
        <v>32</v>
      </c>
      <c r="AA4" s="1"/>
      <c r="AB4" s="1"/>
      <c r="AC4" s="1" t="s">
        <v>199</v>
      </c>
      <c r="AD4" s="1" t="s">
        <v>200</v>
      </c>
      <c r="AE4" s="1" t="s">
        <v>193</v>
      </c>
      <c r="AF4" s="1"/>
      <c r="AG4" s="1"/>
      <c r="AH4" s="1"/>
      <c r="AI4" s="1" t="s">
        <v>33</v>
      </c>
      <c r="AJ4" s="1" t="s">
        <v>34</v>
      </c>
      <c r="AK4" s="1" t="s">
        <v>35</v>
      </c>
      <c r="AL4" s="1" t="s">
        <v>36</v>
      </c>
      <c r="AM4" s="1" t="s">
        <v>37</v>
      </c>
      <c r="AN4" s="1" t="s">
        <v>38</v>
      </c>
      <c r="AO4" s="1" t="s">
        <v>39</v>
      </c>
      <c r="AP4" s="1" t="s">
        <v>40</v>
      </c>
      <c r="AQ4" s="1"/>
      <c r="AR4" s="1">
        <v>10600</v>
      </c>
      <c r="AS4" s="1">
        <v>17500</v>
      </c>
      <c r="AT4" s="1"/>
      <c r="AU4" s="1"/>
      <c r="AV4" s="1"/>
      <c r="AW4" s="1"/>
      <c r="AX4" s="1"/>
      <c r="AY4" s="1"/>
      <c r="AZ4" s="1"/>
      <c r="BA4" s="1"/>
      <c r="BB4" s="1"/>
    </row>
    <row r="5" spans="1:54" x14ac:dyDescent="0.25">
      <c r="A5" s="1"/>
      <c r="B5" s="1"/>
      <c r="C5" s="1"/>
      <c r="D5" s="1"/>
      <c r="E5" s="4">
        <f>SUM(E6:E500)</f>
        <v>67061.47600000001</v>
      </c>
      <c r="F5" s="4">
        <f>SUM(F6:F500)</f>
        <v>57776.379000000001</v>
      </c>
      <c r="G5" s="4">
        <f>SUM(G6:G500)</f>
        <v>1909.076</v>
      </c>
      <c r="H5" s="4">
        <f>SUM(H6:H500)</f>
        <v>55867.303</v>
      </c>
      <c r="I5" s="7"/>
      <c r="J5" s="1"/>
      <c r="K5" s="1"/>
      <c r="L5" s="1"/>
      <c r="M5" s="4">
        <f t="shared" ref="M5:AC5" si="0">SUM(M6:M500)</f>
        <v>72873.328000000009</v>
      </c>
      <c r="N5" s="4">
        <f t="shared" si="0"/>
        <v>-5811.8520000000017</v>
      </c>
      <c r="O5" s="4">
        <f t="shared" si="0"/>
        <v>63663.575999999994</v>
      </c>
      <c r="P5" s="4">
        <f t="shared" si="0"/>
        <v>3397.8999999999996</v>
      </c>
      <c r="Q5" s="4">
        <f t="shared" si="0"/>
        <v>17696.971046004477</v>
      </c>
      <c r="R5" s="4">
        <f t="shared" si="0"/>
        <v>-2963.7142857142867</v>
      </c>
      <c r="S5" s="4">
        <f t="shared" si="0"/>
        <v>20081.834976395523</v>
      </c>
      <c r="T5" s="4">
        <f t="shared" si="0"/>
        <v>-2801.8</v>
      </c>
      <c r="U5" s="4">
        <f t="shared" si="0"/>
        <v>1410</v>
      </c>
      <c r="V5" s="4">
        <f t="shared" si="0"/>
        <v>21967.918299560006</v>
      </c>
      <c r="W5" s="4">
        <f t="shared" si="0"/>
        <v>-2707.3999999999996</v>
      </c>
      <c r="X5" s="4">
        <f t="shared" si="0"/>
        <v>1905</v>
      </c>
      <c r="Y5" s="4">
        <f t="shared" si="0"/>
        <v>22442.49564844001</v>
      </c>
      <c r="Z5" s="4">
        <f t="shared" si="0"/>
        <v>12732.715199999999</v>
      </c>
      <c r="AA5" s="4">
        <f t="shared" si="0"/>
        <v>18364.7682776</v>
      </c>
      <c r="AB5" s="4">
        <f t="shared" si="0"/>
        <v>31498.422697599999</v>
      </c>
      <c r="AC5" s="4">
        <f t="shared" si="0"/>
        <v>15056.35513152</v>
      </c>
      <c r="AD5" s="4">
        <f t="shared" ref="AD5" si="1">SUM(AD6:AD500)</f>
        <v>21836.157566080001</v>
      </c>
      <c r="AE5" s="4"/>
      <c r="AF5" s="4"/>
      <c r="AG5" s="1"/>
      <c r="AH5" s="1"/>
      <c r="AI5" s="4">
        <f t="shared" ref="AI5:AP5" si="2">SUM(AI6:AI500)</f>
        <v>12494.580600000001</v>
      </c>
      <c r="AJ5" s="4">
        <f t="shared" si="2"/>
        <v>12634.5728</v>
      </c>
      <c r="AK5" s="4">
        <f t="shared" si="2"/>
        <v>13008.235999999999</v>
      </c>
      <c r="AL5" s="4">
        <f t="shared" si="2"/>
        <v>13739.648800000001</v>
      </c>
      <c r="AM5" s="4">
        <f t="shared" si="2"/>
        <v>10910.368200000003</v>
      </c>
      <c r="AN5" s="4">
        <f t="shared" si="2"/>
        <v>9135.7952000000078</v>
      </c>
      <c r="AO5" s="4">
        <f t="shared" si="2"/>
        <v>10198.597200000002</v>
      </c>
      <c r="AP5" s="4">
        <f t="shared" si="2"/>
        <v>11150.824600000005</v>
      </c>
      <c r="AQ5" s="1"/>
      <c r="AR5" s="4">
        <f>SUM(AR6:AR500)</f>
        <v>10568</v>
      </c>
      <c r="AS5" s="4">
        <f>SUM(AS6:AS500)</f>
        <v>17505</v>
      </c>
      <c r="AT5" s="1"/>
      <c r="AU5" s="1"/>
      <c r="AV5" s="1"/>
      <c r="AW5" s="1"/>
      <c r="AX5" s="1"/>
      <c r="AY5" s="1"/>
      <c r="AZ5" s="1"/>
      <c r="BA5" s="1"/>
      <c r="BB5" s="1"/>
    </row>
    <row r="6" spans="1:54" x14ac:dyDescent="0.25">
      <c r="A6" s="1" t="s">
        <v>41</v>
      </c>
      <c r="B6" s="1" t="s">
        <v>42</v>
      </c>
      <c r="C6" s="1">
        <v>866.46900000000005</v>
      </c>
      <c r="D6" s="1">
        <v>5091.893</v>
      </c>
      <c r="E6" s="1">
        <v>1921.9929999999999</v>
      </c>
      <c r="F6" s="1">
        <v>661.15</v>
      </c>
      <c r="G6" s="1"/>
      <c r="H6" s="1">
        <f t="shared" ref="H6:H37" si="3">F6-G6</f>
        <v>661.15</v>
      </c>
      <c r="I6" s="7">
        <v>1</v>
      </c>
      <c r="J6" s="1">
        <v>50</v>
      </c>
      <c r="K6" s="1" t="s">
        <v>43</v>
      </c>
      <c r="L6" s="1"/>
      <c r="M6" s="1">
        <v>1937.5070000000001</v>
      </c>
      <c r="N6" s="1">
        <f t="shared" ref="N6:N37" si="4">E6-M6</f>
        <v>-15.514000000000124</v>
      </c>
      <c r="O6" s="1">
        <f t="shared" ref="O6:O37" si="5">E6-P6</f>
        <v>1535.5360000000001</v>
      </c>
      <c r="P6" s="1">
        <v>386.45699999999999</v>
      </c>
      <c r="Q6" s="1">
        <v>765.36000000000013</v>
      </c>
      <c r="R6" s="1"/>
      <c r="S6" s="1">
        <v>1034.6400000000001</v>
      </c>
      <c r="T6" s="1"/>
      <c r="U6" s="1"/>
      <c r="V6" s="1">
        <v>293.33396693999993</v>
      </c>
      <c r="W6" s="1"/>
      <c r="X6" s="1"/>
      <c r="Y6" s="1">
        <v>543.09023305999983</v>
      </c>
      <c r="Z6" s="1">
        <f>O6/5</f>
        <v>307.10720000000003</v>
      </c>
      <c r="AA6" s="5">
        <f>11*Z6-Y6-X6-W6-V6-U6-T6-S6-R6-Q6-H6</f>
        <v>80.605000000000814</v>
      </c>
      <c r="AB6" s="5">
        <f>AA6+$AB$1*Z6</f>
        <v>602.68724000000088</v>
      </c>
      <c r="AC6" s="5">
        <f>AB6-AD6</f>
        <v>120.53744800000015</v>
      </c>
      <c r="AD6" s="5">
        <f>AB6*$AD$1</f>
        <v>482.14979200000073</v>
      </c>
      <c r="AE6" s="1"/>
      <c r="AF6" s="1"/>
      <c r="AG6" s="1">
        <f>(H6+Q6+R6+S6+T6+U6+V6+W6+X6+Y6+AC6+AD6)/Z6</f>
        <v>12.700000000000001</v>
      </c>
      <c r="AH6" s="1">
        <f>(H6+Q6+R6+S6+T6+U6+V6+W6+X6+Y6)/Z6</f>
        <v>10.73753464588261</v>
      </c>
      <c r="AI6" s="1">
        <v>314.50659999999999</v>
      </c>
      <c r="AJ6" s="1">
        <v>330.37540000000001</v>
      </c>
      <c r="AK6" s="1">
        <v>323.59899999999999</v>
      </c>
      <c r="AL6" s="1">
        <v>328.35</v>
      </c>
      <c r="AM6" s="1">
        <v>238.09880000000001</v>
      </c>
      <c r="AN6" s="1">
        <v>226.9384</v>
      </c>
      <c r="AO6" s="1">
        <v>306.53539999999998</v>
      </c>
      <c r="AP6" s="1">
        <v>373.97739999999999</v>
      </c>
      <c r="AQ6" s="1"/>
      <c r="AR6" s="1">
        <f>ROUND(I6*AC6,0)</f>
        <v>121</v>
      </c>
      <c r="AS6" s="1">
        <f>ROUND(I6*AD6,0)</f>
        <v>482</v>
      </c>
      <c r="AT6" s="1"/>
      <c r="AU6" s="1"/>
      <c r="AV6" s="1"/>
      <c r="AW6" s="1"/>
      <c r="AX6" s="1"/>
      <c r="AY6" s="1"/>
      <c r="AZ6" s="1"/>
      <c r="BA6" s="1"/>
      <c r="BB6" s="1"/>
    </row>
    <row r="7" spans="1:54" x14ac:dyDescent="0.25">
      <c r="A7" s="1" t="s">
        <v>44</v>
      </c>
      <c r="B7" s="1" t="s">
        <v>42</v>
      </c>
      <c r="C7" s="1">
        <v>1103.1020000000001</v>
      </c>
      <c r="D7" s="1">
        <v>3712.7660000000001</v>
      </c>
      <c r="E7" s="1">
        <v>1077.684</v>
      </c>
      <c r="F7" s="1">
        <v>1128.028</v>
      </c>
      <c r="G7" s="1"/>
      <c r="H7" s="1">
        <f t="shared" si="3"/>
        <v>1128.028</v>
      </c>
      <c r="I7" s="7">
        <v>1</v>
      </c>
      <c r="J7" s="1">
        <v>45</v>
      </c>
      <c r="K7" s="1" t="s">
        <v>43</v>
      </c>
      <c r="L7" s="1"/>
      <c r="M7" s="1">
        <v>1070.058</v>
      </c>
      <c r="N7" s="1">
        <f t="shared" si="4"/>
        <v>7.6259999999999764</v>
      </c>
      <c r="O7" s="1">
        <f t="shared" si="5"/>
        <v>1077.684</v>
      </c>
      <c r="P7" s="1"/>
      <c r="Q7" s="1">
        <v>825.88722000000007</v>
      </c>
      <c r="R7" s="1"/>
      <c r="S7" s="1">
        <v>1116.4627800000001</v>
      </c>
      <c r="T7" s="1"/>
      <c r="U7" s="1"/>
      <c r="V7" s="1">
        <v>163.78531679999989</v>
      </c>
      <c r="W7" s="1"/>
      <c r="X7" s="1"/>
      <c r="Y7" s="1">
        <v>303.2386831999998</v>
      </c>
      <c r="Z7" s="1">
        <f>O7/5</f>
        <v>215.5368</v>
      </c>
      <c r="AA7" s="5"/>
      <c r="AB7" s="5">
        <f t="shared" ref="AB7:AB64" si="6">AA7</f>
        <v>0</v>
      </c>
      <c r="AC7" s="5"/>
      <c r="AD7" s="5"/>
      <c r="AE7" s="1"/>
      <c r="AF7" s="1"/>
      <c r="AG7" s="1">
        <f>(H7+Q7+R7+S7+T7+U7+V7+W7+X7+Y7+AC7+AD7)/Z7</f>
        <v>16.412055853107216</v>
      </c>
      <c r="AH7" s="1">
        <f>(H7+Q7+R7+S7+T7+U7+V7+W7+X7+Y7)/Z7</f>
        <v>16.412055853107216</v>
      </c>
      <c r="AI7" s="1">
        <v>330.04300000000001</v>
      </c>
      <c r="AJ7" s="1">
        <v>367.75</v>
      </c>
      <c r="AK7" s="1">
        <v>250.43219999999999</v>
      </c>
      <c r="AL7" s="1">
        <v>253.25299999999999</v>
      </c>
      <c r="AM7" s="1">
        <v>222.0264</v>
      </c>
      <c r="AN7" s="1">
        <v>176.40700000000001</v>
      </c>
      <c r="AO7" s="1">
        <v>267.92</v>
      </c>
      <c r="AP7" s="1">
        <v>195.1114</v>
      </c>
      <c r="AQ7" s="1" t="s">
        <v>45</v>
      </c>
      <c r="AR7" s="1">
        <f>ROUND(I7*AC7,0)</f>
        <v>0</v>
      </c>
      <c r="AS7" s="1">
        <f>ROUND(I7*AD7,0)</f>
        <v>0</v>
      </c>
      <c r="AT7" s="1"/>
      <c r="AU7" s="1"/>
      <c r="AV7" s="1"/>
      <c r="AW7" s="1"/>
      <c r="AX7" s="1"/>
      <c r="AY7" s="1"/>
      <c r="AZ7" s="1"/>
      <c r="BA7" s="1"/>
      <c r="BB7" s="1"/>
    </row>
    <row r="8" spans="1:54" x14ac:dyDescent="0.25">
      <c r="A8" s="1" t="s">
        <v>46</v>
      </c>
      <c r="B8" s="1" t="s">
        <v>42</v>
      </c>
      <c r="C8" s="1">
        <v>2816.9960000000001</v>
      </c>
      <c r="D8" s="1">
        <v>6255.1480000000001</v>
      </c>
      <c r="E8" s="1">
        <v>3128.77</v>
      </c>
      <c r="F8" s="1">
        <v>3589.009</v>
      </c>
      <c r="G8" s="1">
        <f>VLOOKUP(A8,[1]TDSheet!$A:$B,2,0)</f>
        <v>380.36599999999999</v>
      </c>
      <c r="H8" s="1">
        <f t="shared" si="3"/>
        <v>3208.643</v>
      </c>
      <c r="I8" s="7">
        <v>1</v>
      </c>
      <c r="J8" s="1">
        <v>45</v>
      </c>
      <c r="K8" s="1" t="s">
        <v>43</v>
      </c>
      <c r="L8" s="1"/>
      <c r="M8" s="1">
        <v>3123.5990000000002</v>
      </c>
      <c r="N8" s="1">
        <f t="shared" si="4"/>
        <v>5.1709999999998217</v>
      </c>
      <c r="O8" s="1">
        <f t="shared" si="5"/>
        <v>3128.77</v>
      </c>
      <c r="P8" s="1"/>
      <c r="Q8" s="1">
        <v>1328.768878880001</v>
      </c>
      <c r="R8" s="1"/>
      <c r="S8" s="1">
        <v>1796.275521120001</v>
      </c>
      <c r="T8" s="1"/>
      <c r="U8" s="1"/>
      <c r="V8" s="1">
        <v>756.49518041999931</v>
      </c>
      <c r="W8" s="1"/>
      <c r="X8" s="1"/>
      <c r="Y8" s="1">
        <v>1400.6054195799991</v>
      </c>
      <c r="Z8" s="1">
        <f>O8/5</f>
        <v>625.75400000000002</v>
      </c>
      <c r="AA8" s="5"/>
      <c r="AB8" s="5">
        <f t="shared" si="6"/>
        <v>0</v>
      </c>
      <c r="AC8" s="5"/>
      <c r="AD8" s="5"/>
      <c r="AE8" s="1"/>
      <c r="AF8" s="1"/>
      <c r="AG8" s="1">
        <f>(H8+Q8+R8+S8+T8+U8+V8+W8+X8+Y8+AC8+AD8)/Z8</f>
        <v>13.56889128954829</v>
      </c>
      <c r="AH8" s="1">
        <f>(H8+Q8+R8+S8+T8+U8+V8+W8+X8+Y8)/Z8</f>
        <v>13.56889128954829</v>
      </c>
      <c r="AI8" s="1">
        <v>800.88400000000001</v>
      </c>
      <c r="AJ8" s="1">
        <v>833.0154</v>
      </c>
      <c r="AK8" s="1">
        <v>751.53280000000007</v>
      </c>
      <c r="AL8" s="1">
        <v>847.03899999999999</v>
      </c>
      <c r="AM8" s="1">
        <v>565.60299999999995</v>
      </c>
      <c r="AN8" s="1">
        <v>418.56079999999997</v>
      </c>
      <c r="AO8" s="1">
        <v>617.84820000000002</v>
      </c>
      <c r="AP8" s="1">
        <v>615.27340000000004</v>
      </c>
      <c r="AQ8" s="1" t="s">
        <v>45</v>
      </c>
      <c r="AR8" s="1">
        <f>ROUND(I8*AC8,0)</f>
        <v>0</v>
      </c>
      <c r="AS8" s="1">
        <f>ROUND(I8*AD8,0)</f>
        <v>0</v>
      </c>
      <c r="AT8" s="1"/>
      <c r="AU8" s="1"/>
      <c r="AV8" s="1"/>
      <c r="AW8" s="1"/>
      <c r="AX8" s="1"/>
      <c r="AY8" s="1"/>
      <c r="AZ8" s="1"/>
      <c r="BA8" s="1"/>
      <c r="BB8" s="1"/>
    </row>
    <row r="9" spans="1:54" x14ac:dyDescent="0.25">
      <c r="A9" s="1" t="s">
        <v>47</v>
      </c>
      <c r="B9" s="1" t="s">
        <v>48</v>
      </c>
      <c r="C9" s="1">
        <v>20</v>
      </c>
      <c r="D9" s="1">
        <v>20</v>
      </c>
      <c r="E9" s="1">
        <v>10</v>
      </c>
      <c r="F9" s="1">
        <v>2</v>
      </c>
      <c r="G9" s="1"/>
      <c r="H9" s="1">
        <f t="shared" si="3"/>
        <v>2</v>
      </c>
      <c r="I9" s="7">
        <v>0.4</v>
      </c>
      <c r="J9" s="1">
        <v>50</v>
      </c>
      <c r="K9" s="1" t="s">
        <v>43</v>
      </c>
      <c r="L9" s="1"/>
      <c r="M9" s="1">
        <v>17</v>
      </c>
      <c r="N9" s="1">
        <f t="shared" si="4"/>
        <v>-7</v>
      </c>
      <c r="O9" s="1">
        <f t="shared" si="5"/>
        <v>10</v>
      </c>
      <c r="P9" s="1"/>
      <c r="Q9" s="1">
        <v>0</v>
      </c>
      <c r="R9" s="1"/>
      <c r="S9" s="1"/>
      <c r="T9" s="1"/>
      <c r="U9" s="1"/>
      <c r="V9" s="1">
        <v>0</v>
      </c>
      <c r="W9" s="1"/>
      <c r="X9" s="1"/>
      <c r="Y9" s="1"/>
      <c r="Z9" s="1">
        <f>O9/5</f>
        <v>2</v>
      </c>
      <c r="AA9" s="5">
        <v>15</v>
      </c>
      <c r="AB9" s="5">
        <f t="shared" si="6"/>
        <v>15</v>
      </c>
      <c r="AC9" s="5">
        <f t="shared" ref="AC9:AC10" si="7">AB9-AD9</f>
        <v>15</v>
      </c>
      <c r="AD9" s="5"/>
      <c r="AE9" s="1"/>
      <c r="AF9" s="1"/>
      <c r="AG9" s="1">
        <f>(H9+Q9+R9+S9+T9+U9+V9+W9+X9+Y9+AC9+AD9)/Z9</f>
        <v>8.5</v>
      </c>
      <c r="AH9" s="1">
        <f>(H9+Q9+R9+S9+T9+U9+V9+W9+X9+Y9)/Z9</f>
        <v>1</v>
      </c>
      <c r="AI9" s="1">
        <v>0</v>
      </c>
      <c r="AJ9" s="1">
        <v>0.2</v>
      </c>
      <c r="AK9" s="1">
        <v>2.4</v>
      </c>
      <c r="AL9" s="1">
        <v>1.8</v>
      </c>
      <c r="AM9" s="1">
        <v>-0.2</v>
      </c>
      <c r="AN9" s="1">
        <v>0.2</v>
      </c>
      <c r="AO9" s="1">
        <v>1.2</v>
      </c>
      <c r="AP9" s="1">
        <v>2.8</v>
      </c>
      <c r="AQ9" s="10" t="s">
        <v>190</v>
      </c>
      <c r="AR9" s="1">
        <f>ROUND(I9*AC9,0)</f>
        <v>6</v>
      </c>
      <c r="AS9" s="1">
        <f>ROUND(I9*AD9,0)</f>
        <v>0</v>
      </c>
      <c r="AT9" s="1"/>
      <c r="AU9" s="1"/>
      <c r="AV9" s="1"/>
      <c r="AW9" s="1"/>
      <c r="AX9" s="1"/>
      <c r="AY9" s="1"/>
      <c r="AZ9" s="1"/>
      <c r="BA9" s="1"/>
      <c r="BB9" s="1"/>
    </row>
    <row r="10" spans="1:54" x14ac:dyDescent="0.25">
      <c r="A10" s="1" t="s">
        <v>49</v>
      </c>
      <c r="B10" s="1" t="s">
        <v>48</v>
      </c>
      <c r="C10" s="1">
        <v>1619.04</v>
      </c>
      <c r="D10" s="1">
        <v>17336.96</v>
      </c>
      <c r="E10" s="1">
        <v>4229</v>
      </c>
      <c r="F10" s="1">
        <v>1085</v>
      </c>
      <c r="G10" s="1"/>
      <c r="H10" s="1">
        <f t="shared" si="3"/>
        <v>1085</v>
      </c>
      <c r="I10" s="7">
        <v>0.45</v>
      </c>
      <c r="J10" s="1">
        <v>45</v>
      </c>
      <c r="K10" s="1" t="s">
        <v>43</v>
      </c>
      <c r="L10" s="1"/>
      <c r="M10" s="1">
        <v>4477</v>
      </c>
      <c r="N10" s="1">
        <f t="shared" si="4"/>
        <v>-248</v>
      </c>
      <c r="O10" s="1">
        <f t="shared" si="5"/>
        <v>4229</v>
      </c>
      <c r="P10" s="1"/>
      <c r="Q10" s="1">
        <v>299.83675327999998</v>
      </c>
      <c r="R10" s="1"/>
      <c r="S10" s="1">
        <v>405.32964672000003</v>
      </c>
      <c r="T10" s="1"/>
      <c r="U10" s="1"/>
      <c r="V10" s="1">
        <v>1148.47011552</v>
      </c>
      <c r="W10" s="1"/>
      <c r="X10" s="1"/>
      <c r="Y10" s="1">
        <v>2126.3234844799999</v>
      </c>
      <c r="Z10" s="1">
        <f>O10/5</f>
        <v>845.8</v>
      </c>
      <c r="AA10" s="5">
        <f>11*Z10-Y10-X10-W10-V10-U10-T10-S10-R10-Q10-H10</f>
        <v>4238.8399999999992</v>
      </c>
      <c r="AB10" s="5">
        <f>AE10</f>
        <v>2000</v>
      </c>
      <c r="AC10" s="5">
        <f t="shared" si="7"/>
        <v>400</v>
      </c>
      <c r="AD10" s="5">
        <f t="shared" ref="AD10:AD11" si="8">AB10*$AD$1</f>
        <v>1600</v>
      </c>
      <c r="AE10" s="1">
        <v>2000</v>
      </c>
      <c r="AF10" s="1" t="str">
        <f>VLOOKUP(A10,[2]Лист1!$A:$B,2,0)</f>
        <v>до 2000 шт</v>
      </c>
      <c r="AG10" s="1">
        <f>(H10+Q10+R10+S10+T10+U10+V10+W10+X10+Y10+AC10+AD10)/Z10</f>
        <v>8.3529912508867348</v>
      </c>
      <c r="AH10" s="1">
        <f>(H10+Q10+R10+S10+T10+U10+V10+W10+X10+Y10)/Z10</f>
        <v>5.9883660439820297</v>
      </c>
      <c r="AI10" s="1">
        <v>569</v>
      </c>
      <c r="AJ10" s="1">
        <v>530.86719999999991</v>
      </c>
      <c r="AK10" s="1">
        <v>514.46719999999993</v>
      </c>
      <c r="AL10" s="1">
        <v>409.86599999999999</v>
      </c>
      <c r="AM10" s="1">
        <v>437.2</v>
      </c>
      <c r="AN10" s="1">
        <v>412</v>
      </c>
      <c r="AO10" s="1">
        <v>405</v>
      </c>
      <c r="AP10" s="1">
        <v>449</v>
      </c>
      <c r="AQ10" s="1"/>
      <c r="AR10" s="1">
        <f>ROUND(I10*AC10,0)</f>
        <v>180</v>
      </c>
      <c r="AS10" s="1">
        <f>ROUND(I10*AD10,0)</f>
        <v>720</v>
      </c>
      <c r="AT10" s="1"/>
      <c r="AU10" s="1"/>
      <c r="AV10" s="1"/>
      <c r="AW10" s="1"/>
      <c r="AX10" s="1"/>
      <c r="AY10" s="1"/>
      <c r="AZ10" s="1"/>
      <c r="BA10" s="1"/>
      <c r="BB10" s="1"/>
    </row>
    <row r="11" spans="1:54" x14ac:dyDescent="0.25">
      <c r="A11" s="1" t="s">
        <v>50</v>
      </c>
      <c r="B11" s="1" t="s">
        <v>48</v>
      </c>
      <c r="C11" s="1">
        <v>3704.2739999999999</v>
      </c>
      <c r="D11" s="1">
        <v>18747.345000000001</v>
      </c>
      <c r="E11" s="1">
        <v>3342</v>
      </c>
      <c r="F11" s="1">
        <v>2606</v>
      </c>
      <c r="G11" s="1"/>
      <c r="H11" s="1">
        <f t="shared" si="3"/>
        <v>2606</v>
      </c>
      <c r="I11" s="7">
        <v>0.45</v>
      </c>
      <c r="J11" s="1">
        <v>45</v>
      </c>
      <c r="K11" s="1" t="s">
        <v>43</v>
      </c>
      <c r="L11" s="1"/>
      <c r="M11" s="1">
        <v>3512</v>
      </c>
      <c r="N11" s="1">
        <f t="shared" si="4"/>
        <v>-170</v>
      </c>
      <c r="O11" s="1">
        <f t="shared" si="5"/>
        <v>3324</v>
      </c>
      <c r="P11" s="1">
        <v>18</v>
      </c>
      <c r="Q11" s="1">
        <v>255.18981783999971</v>
      </c>
      <c r="R11" s="1"/>
      <c r="S11" s="1">
        <v>344.97438215999949</v>
      </c>
      <c r="T11" s="1"/>
      <c r="U11" s="1"/>
      <c r="V11" s="1">
        <v>1499.8603632600009</v>
      </c>
      <c r="W11" s="1"/>
      <c r="X11" s="1"/>
      <c r="Y11" s="1">
        <v>2776.9014367400009</v>
      </c>
      <c r="Z11" s="1">
        <f>O11/5</f>
        <v>664.8</v>
      </c>
      <c r="AA11" s="5"/>
      <c r="AB11" s="5">
        <f>AA11+$AB$1*Z11</f>
        <v>1130.1599999999999</v>
      </c>
      <c r="AC11" s="5">
        <f>AB11-AD11</f>
        <v>226.03199999999993</v>
      </c>
      <c r="AD11" s="5">
        <f t="shared" si="8"/>
        <v>904.12799999999993</v>
      </c>
      <c r="AE11" s="1"/>
      <c r="AF11" s="1"/>
      <c r="AG11" s="1">
        <f>(H11+Q11+R11+S11+T11+U11+V11+W11+X11+Y11+AC11+AD11)/Z11</f>
        <v>12.955905535499401</v>
      </c>
      <c r="AH11" s="1">
        <f>(H11+Q11+R11+S11+T11+U11+V11+W11+X11+Y11)/Z11</f>
        <v>11.255905535499402</v>
      </c>
      <c r="AI11" s="1">
        <v>660.6</v>
      </c>
      <c r="AJ11" s="1">
        <v>572.67619999999999</v>
      </c>
      <c r="AK11" s="1">
        <v>553.87619999999993</v>
      </c>
      <c r="AL11" s="1">
        <v>632.423</v>
      </c>
      <c r="AM11" s="1">
        <v>674.2</v>
      </c>
      <c r="AN11" s="1">
        <v>625.20000000000005</v>
      </c>
      <c r="AO11" s="1">
        <v>641.4</v>
      </c>
      <c r="AP11" s="1">
        <v>650</v>
      </c>
      <c r="AQ11" s="1"/>
      <c r="AR11" s="1">
        <f>ROUND(I11*AC11,0)</f>
        <v>102</v>
      </c>
      <c r="AS11" s="1">
        <f>ROUND(I11*AD11,0)</f>
        <v>407</v>
      </c>
      <c r="AT11" s="1"/>
      <c r="AU11" s="1"/>
      <c r="AV11" s="1"/>
      <c r="AW11" s="1"/>
      <c r="AX11" s="1"/>
      <c r="AY11" s="1"/>
      <c r="AZ11" s="1"/>
      <c r="BA11" s="1"/>
      <c r="BB11" s="1"/>
    </row>
    <row r="12" spans="1:54" x14ac:dyDescent="0.25">
      <c r="A12" s="1" t="s">
        <v>51</v>
      </c>
      <c r="B12" s="1" t="s">
        <v>48</v>
      </c>
      <c r="C12" s="1">
        <v>25</v>
      </c>
      <c r="D12" s="1">
        <v>492</v>
      </c>
      <c r="E12" s="1">
        <v>130</v>
      </c>
      <c r="F12" s="1">
        <v>61</v>
      </c>
      <c r="G12" s="1"/>
      <c r="H12" s="1">
        <f t="shared" si="3"/>
        <v>61</v>
      </c>
      <c r="I12" s="7">
        <v>0.17</v>
      </c>
      <c r="J12" s="1">
        <v>180</v>
      </c>
      <c r="K12" s="1" t="s">
        <v>43</v>
      </c>
      <c r="L12" s="1"/>
      <c r="M12" s="1">
        <v>131</v>
      </c>
      <c r="N12" s="1">
        <f t="shared" si="4"/>
        <v>-1</v>
      </c>
      <c r="O12" s="1">
        <f t="shared" si="5"/>
        <v>130</v>
      </c>
      <c r="P12" s="1"/>
      <c r="Q12" s="1">
        <v>0</v>
      </c>
      <c r="R12" s="1"/>
      <c r="S12" s="1"/>
      <c r="T12" s="1"/>
      <c r="U12" s="1"/>
      <c r="V12" s="1">
        <v>47.975759999999987</v>
      </c>
      <c r="W12" s="1"/>
      <c r="X12" s="1"/>
      <c r="Y12" s="1">
        <v>88.824239999999989</v>
      </c>
      <c r="Z12" s="1">
        <f>O12/5</f>
        <v>26</v>
      </c>
      <c r="AA12" s="5">
        <f>11*Z12-Y12-X12-W12-V12-U12-T12-S12-R12-Q12-H12</f>
        <v>88.200000000000045</v>
      </c>
      <c r="AB12" s="5">
        <f t="shared" si="6"/>
        <v>88.200000000000045</v>
      </c>
      <c r="AC12" s="5">
        <f>AB12-AD12</f>
        <v>88.200000000000045</v>
      </c>
      <c r="AD12" s="5"/>
      <c r="AE12" s="1"/>
      <c r="AF12" s="1"/>
      <c r="AG12" s="1">
        <f>(H12+Q12+R12+S12+T12+U12+V12+W12+X12+Y12+AC12+AD12)/Z12</f>
        <v>11</v>
      </c>
      <c r="AH12" s="1">
        <f>(H12+Q12+R12+S12+T12+U12+V12+W12+X12+Y12)/Z12</f>
        <v>7.6076923076923055</v>
      </c>
      <c r="AI12" s="1">
        <v>20.399999999999999</v>
      </c>
      <c r="AJ12" s="1">
        <v>9.4</v>
      </c>
      <c r="AK12" s="1">
        <v>17.2</v>
      </c>
      <c r="AL12" s="1">
        <v>19.600000000000001</v>
      </c>
      <c r="AM12" s="1">
        <v>12.4</v>
      </c>
      <c r="AN12" s="1">
        <v>8.6</v>
      </c>
      <c r="AO12" s="1">
        <v>13.8</v>
      </c>
      <c r="AP12" s="1">
        <v>19</v>
      </c>
      <c r="AQ12" s="1"/>
      <c r="AR12" s="1">
        <f>ROUND(I12*AC12,0)</f>
        <v>15</v>
      </c>
      <c r="AS12" s="1">
        <f>ROUND(I12*AD12,0)</f>
        <v>0</v>
      </c>
      <c r="AT12" s="1"/>
      <c r="AU12" s="1"/>
      <c r="AV12" s="1"/>
      <c r="AW12" s="1"/>
      <c r="AX12" s="1"/>
      <c r="AY12" s="1"/>
      <c r="AZ12" s="1"/>
      <c r="BA12" s="1"/>
      <c r="BB12" s="1"/>
    </row>
    <row r="13" spans="1:54" x14ac:dyDescent="0.25">
      <c r="A13" s="1" t="s">
        <v>52</v>
      </c>
      <c r="B13" s="1" t="s">
        <v>48</v>
      </c>
      <c r="C13" s="1">
        <v>60</v>
      </c>
      <c r="D13" s="1">
        <v>128</v>
      </c>
      <c r="E13" s="1">
        <v>34</v>
      </c>
      <c r="F13" s="1">
        <v>55</v>
      </c>
      <c r="G13" s="1"/>
      <c r="H13" s="1">
        <f t="shared" si="3"/>
        <v>55</v>
      </c>
      <c r="I13" s="7">
        <v>0.3</v>
      </c>
      <c r="J13" s="1">
        <v>40</v>
      </c>
      <c r="K13" s="11" t="s">
        <v>53</v>
      </c>
      <c r="L13" s="1"/>
      <c r="M13" s="1">
        <v>39</v>
      </c>
      <c r="N13" s="1">
        <f t="shared" si="4"/>
        <v>-5</v>
      </c>
      <c r="O13" s="1">
        <f t="shared" si="5"/>
        <v>34</v>
      </c>
      <c r="P13" s="1"/>
      <c r="Q13" s="1">
        <v>18.3</v>
      </c>
      <c r="R13" s="1"/>
      <c r="S13" s="1"/>
      <c r="T13" s="1"/>
      <c r="U13" s="1"/>
      <c r="V13" s="1">
        <v>0</v>
      </c>
      <c r="W13" s="1"/>
      <c r="X13" s="1"/>
      <c r="Y13" s="1"/>
      <c r="Z13" s="1">
        <f>O13/5</f>
        <v>6.8</v>
      </c>
      <c r="AA13" s="5">
        <v>10</v>
      </c>
      <c r="AB13" s="5">
        <f>AA13*1.3</f>
        <v>13</v>
      </c>
      <c r="AC13" s="5">
        <f>AB13</f>
        <v>13</v>
      </c>
      <c r="AD13" s="5"/>
      <c r="AE13" s="1"/>
      <c r="AF13" s="1"/>
      <c r="AG13" s="1">
        <f>(H13+Q13+R13+S13+T13+U13+V13+W13+X13+Y13+AC13+AD13)/Z13</f>
        <v>12.691176470588236</v>
      </c>
      <c r="AH13" s="1">
        <f>(H13+Q13+R13+S13+T13+U13+V13+W13+X13+Y13)/Z13</f>
        <v>10.779411764705882</v>
      </c>
      <c r="AI13" s="1">
        <v>5.8</v>
      </c>
      <c r="AJ13" s="1">
        <v>9.1999999999999993</v>
      </c>
      <c r="AK13" s="1">
        <v>8.6</v>
      </c>
      <c r="AL13" s="1">
        <v>7</v>
      </c>
      <c r="AM13" s="1">
        <v>4</v>
      </c>
      <c r="AN13" s="1">
        <v>3</v>
      </c>
      <c r="AO13" s="1">
        <v>6.2</v>
      </c>
      <c r="AP13" s="1">
        <v>11.6</v>
      </c>
      <c r="AQ13" s="1"/>
      <c r="AR13" s="1">
        <f>ROUND(I13*AC13,0)</f>
        <v>4</v>
      </c>
      <c r="AS13" s="1">
        <f>ROUND(I13*AD13,0)</f>
        <v>0</v>
      </c>
      <c r="AT13" s="1"/>
      <c r="AU13" s="1"/>
      <c r="AV13" s="1"/>
      <c r="AW13" s="1"/>
      <c r="AX13" s="1"/>
      <c r="AY13" s="1"/>
      <c r="AZ13" s="1"/>
      <c r="BA13" s="1"/>
      <c r="BB13" s="1"/>
    </row>
    <row r="14" spans="1:54" x14ac:dyDescent="0.25">
      <c r="A14" s="1" t="s">
        <v>54</v>
      </c>
      <c r="B14" s="1" t="s">
        <v>48</v>
      </c>
      <c r="C14" s="1">
        <v>152</v>
      </c>
      <c r="D14" s="1">
        <v>502</v>
      </c>
      <c r="E14" s="1">
        <v>203</v>
      </c>
      <c r="F14" s="1">
        <v>104</v>
      </c>
      <c r="G14" s="1"/>
      <c r="H14" s="1">
        <f t="shared" si="3"/>
        <v>104</v>
      </c>
      <c r="I14" s="7">
        <v>0.17</v>
      </c>
      <c r="J14" s="1">
        <v>180</v>
      </c>
      <c r="K14" s="1" t="s">
        <v>43</v>
      </c>
      <c r="L14" s="1"/>
      <c r="M14" s="1">
        <v>206</v>
      </c>
      <c r="N14" s="1">
        <f t="shared" si="4"/>
        <v>-3</v>
      </c>
      <c r="O14" s="1">
        <f t="shared" si="5"/>
        <v>203</v>
      </c>
      <c r="P14" s="1"/>
      <c r="Q14" s="1">
        <v>59.039999999999743</v>
      </c>
      <c r="R14" s="1"/>
      <c r="S14" s="1"/>
      <c r="T14" s="1"/>
      <c r="U14" s="1"/>
      <c r="V14" s="1">
        <v>76.158012000000099</v>
      </c>
      <c r="W14" s="1"/>
      <c r="X14" s="1"/>
      <c r="Y14" s="1">
        <v>141.00198800000021</v>
      </c>
      <c r="Z14" s="1">
        <f>O14/5</f>
        <v>40.6</v>
      </c>
      <c r="AA14" s="5">
        <f>11*Z14-Y14-X14-W14-V14-U14-T14-S14-R14-Q14-H14</f>
        <v>66.399999999999977</v>
      </c>
      <c r="AB14" s="5">
        <f t="shared" si="6"/>
        <v>66.399999999999977</v>
      </c>
      <c r="AC14" s="5">
        <f>AB14-AD14</f>
        <v>66.399999999999977</v>
      </c>
      <c r="AD14" s="5"/>
      <c r="AE14" s="1"/>
      <c r="AF14" s="1"/>
      <c r="AG14" s="1">
        <f>(H14+Q14+R14+S14+T14+U14+V14+W14+X14+Y14+AC14+AD14)/Z14</f>
        <v>11</v>
      </c>
      <c r="AH14" s="1">
        <f>(H14+Q14+R14+S14+T14+U14+V14+W14+X14+Y14)/Z14</f>
        <v>9.3645320197044342</v>
      </c>
      <c r="AI14" s="1">
        <v>38.6</v>
      </c>
      <c r="AJ14" s="1">
        <v>32.799999999999997</v>
      </c>
      <c r="AK14" s="1">
        <v>33.200000000000003</v>
      </c>
      <c r="AL14" s="1">
        <v>32.799999999999997</v>
      </c>
      <c r="AM14" s="1">
        <v>30.2</v>
      </c>
      <c r="AN14" s="1">
        <v>29.8</v>
      </c>
      <c r="AO14" s="1">
        <v>18.600000000000001</v>
      </c>
      <c r="AP14" s="1">
        <v>19.600000000000001</v>
      </c>
      <c r="AQ14" s="1"/>
      <c r="AR14" s="1">
        <f>ROUND(I14*AC14,0)</f>
        <v>11</v>
      </c>
      <c r="AS14" s="1">
        <f>ROUND(I14*AD14,0)</f>
        <v>0</v>
      </c>
      <c r="AT14" s="1"/>
      <c r="AU14" s="1"/>
      <c r="AV14" s="1"/>
      <c r="AW14" s="1"/>
      <c r="AX14" s="1"/>
      <c r="AY14" s="1"/>
      <c r="AZ14" s="1"/>
      <c r="BA14" s="1"/>
      <c r="BB14" s="1"/>
    </row>
    <row r="15" spans="1:54" x14ac:dyDescent="0.25">
      <c r="A15" s="12" t="s">
        <v>55</v>
      </c>
      <c r="B15" s="12" t="s">
        <v>48</v>
      </c>
      <c r="C15" s="12">
        <v>-7</v>
      </c>
      <c r="D15" s="12">
        <v>7</v>
      </c>
      <c r="E15" s="12">
        <v>-2</v>
      </c>
      <c r="F15" s="12"/>
      <c r="G15" s="12"/>
      <c r="H15" s="12">
        <f t="shared" si="3"/>
        <v>0</v>
      </c>
      <c r="I15" s="13">
        <v>0</v>
      </c>
      <c r="J15" s="12"/>
      <c r="K15" s="12" t="s">
        <v>56</v>
      </c>
      <c r="L15" s="12"/>
      <c r="M15" s="12"/>
      <c r="N15" s="12">
        <f t="shared" si="4"/>
        <v>-2</v>
      </c>
      <c r="O15" s="12">
        <f t="shared" si="5"/>
        <v>-2</v>
      </c>
      <c r="P15" s="12"/>
      <c r="Q15" s="12">
        <v>0</v>
      </c>
      <c r="R15" s="12"/>
      <c r="S15" s="12"/>
      <c r="T15" s="12"/>
      <c r="U15" s="12"/>
      <c r="V15" s="12">
        <v>0</v>
      </c>
      <c r="W15" s="12"/>
      <c r="X15" s="12"/>
      <c r="Y15" s="12"/>
      <c r="Z15" s="12">
        <f>O15/5</f>
        <v>-0.4</v>
      </c>
      <c r="AA15" s="14"/>
      <c r="AB15" s="5">
        <f t="shared" si="6"/>
        <v>0</v>
      </c>
      <c r="AC15" s="5"/>
      <c r="AD15" s="5"/>
      <c r="AE15" s="12"/>
      <c r="AF15" s="1"/>
      <c r="AG15" s="1">
        <f>(H15+Q15+R15+S15+T15+U15+V15+W15+X15+Y15+AC15+AD15)/Z15</f>
        <v>0</v>
      </c>
      <c r="AH15" s="12">
        <f>(H15+Q15+R15+S15+T15+U15+V15+W15+X15+Y15)/Z15</f>
        <v>0</v>
      </c>
      <c r="AI15" s="12">
        <v>-0.2</v>
      </c>
      <c r="AJ15" s="12">
        <v>0</v>
      </c>
      <c r="AK15" s="12">
        <v>0.4</v>
      </c>
      <c r="AL15" s="12">
        <v>0</v>
      </c>
      <c r="AM15" s="12">
        <v>0.4</v>
      </c>
      <c r="AN15" s="12">
        <v>1.8</v>
      </c>
      <c r="AO15" s="12">
        <v>7.8</v>
      </c>
      <c r="AP15" s="12">
        <v>16</v>
      </c>
      <c r="AQ15" s="12" t="s">
        <v>57</v>
      </c>
      <c r="AR15" s="1">
        <f>ROUND(I15*AC15,0)</f>
        <v>0</v>
      </c>
      <c r="AS15" s="1">
        <f>ROUND(I15*AD15,0)</f>
        <v>0</v>
      </c>
      <c r="AT15" s="1"/>
      <c r="AU15" s="1"/>
      <c r="AV15" s="1"/>
      <c r="AW15" s="1"/>
      <c r="AX15" s="1"/>
      <c r="AY15" s="1"/>
      <c r="AZ15" s="1"/>
      <c r="BA15" s="1"/>
      <c r="BB15" s="1"/>
    </row>
    <row r="16" spans="1:54" x14ac:dyDescent="0.25">
      <c r="A16" s="1" t="s">
        <v>58</v>
      </c>
      <c r="B16" s="1" t="s">
        <v>42</v>
      </c>
      <c r="C16" s="1">
        <v>3221.0439999999999</v>
      </c>
      <c r="D16" s="1">
        <v>11660.918</v>
      </c>
      <c r="E16" s="1">
        <v>3244.0619999999999</v>
      </c>
      <c r="F16" s="1">
        <v>4590.4049999999997</v>
      </c>
      <c r="G16" s="1">
        <f>VLOOKUP(A16,[1]TDSheet!$A:$B,2,0)</f>
        <v>380.12099999999998</v>
      </c>
      <c r="H16" s="1">
        <f t="shared" si="3"/>
        <v>4210.2839999999997</v>
      </c>
      <c r="I16" s="7">
        <v>1</v>
      </c>
      <c r="J16" s="1">
        <v>70</v>
      </c>
      <c r="K16" s="11" t="s">
        <v>53</v>
      </c>
      <c r="L16" s="1"/>
      <c r="M16" s="1">
        <v>3245.2979999999998</v>
      </c>
      <c r="N16" s="1">
        <f t="shared" si="4"/>
        <v>-1.2359999999998763</v>
      </c>
      <c r="O16" s="1">
        <f t="shared" si="5"/>
        <v>3244.0619999999999</v>
      </c>
      <c r="P16" s="1"/>
      <c r="Q16" s="1">
        <v>1538.8022016</v>
      </c>
      <c r="R16" s="1"/>
      <c r="S16" s="1">
        <v>2080.2057983999989</v>
      </c>
      <c r="T16" s="1"/>
      <c r="U16" s="1"/>
      <c r="V16" s="1">
        <v>1809.843800000001</v>
      </c>
      <c r="W16" s="1"/>
      <c r="X16" s="1"/>
      <c r="Y16" s="1">
        <v>832.52814800000067</v>
      </c>
      <c r="Z16" s="1">
        <f>O16/5</f>
        <v>648.81240000000003</v>
      </c>
      <c r="AA16" s="5"/>
      <c r="AB16" s="5">
        <f>AA16*1.3</f>
        <v>0</v>
      </c>
      <c r="AC16" s="5">
        <f>AB16</f>
        <v>0</v>
      </c>
      <c r="AD16" s="5"/>
      <c r="AE16" s="1"/>
      <c r="AF16" s="1"/>
      <c r="AG16" s="1">
        <f>(H16+Q16+R16+S16+T16+U16+V16+W16+X16+Y16+AC16+AD16)/Z16</f>
        <v>16.139740775607862</v>
      </c>
      <c r="AH16" s="1">
        <f>(H16+Q16+R16+S16+T16+U16+V16+W16+X16+Y16)/Z16</f>
        <v>16.139740775607862</v>
      </c>
      <c r="AI16" s="1">
        <v>873.28039999999999</v>
      </c>
      <c r="AJ16" s="1">
        <v>934.93299999999999</v>
      </c>
      <c r="AK16" s="1">
        <v>830.74639999999999</v>
      </c>
      <c r="AL16" s="1">
        <v>811.17699999999991</v>
      </c>
      <c r="AM16" s="1">
        <v>526.53639999999996</v>
      </c>
      <c r="AN16" s="1">
        <v>424.87459999999999</v>
      </c>
      <c r="AO16" s="1">
        <v>573.029</v>
      </c>
      <c r="AP16" s="1">
        <v>558.35879999999997</v>
      </c>
      <c r="AQ16" s="1" t="s">
        <v>45</v>
      </c>
      <c r="AR16" s="1">
        <f>ROUND(I16*AC16,0)</f>
        <v>0</v>
      </c>
      <c r="AS16" s="1">
        <f>ROUND(I16*AD16,0)</f>
        <v>0</v>
      </c>
      <c r="AT16" s="1"/>
      <c r="AU16" s="1"/>
      <c r="AV16" s="1"/>
      <c r="AW16" s="1"/>
      <c r="AX16" s="1"/>
      <c r="AY16" s="1"/>
      <c r="AZ16" s="1"/>
      <c r="BA16" s="1"/>
      <c r="BB16" s="1"/>
    </row>
    <row r="17" spans="1:54" x14ac:dyDescent="0.25">
      <c r="A17" s="1" t="s">
        <v>59</v>
      </c>
      <c r="B17" s="1" t="s">
        <v>42</v>
      </c>
      <c r="C17" s="1">
        <v>1857.48</v>
      </c>
      <c r="D17" s="1">
        <v>11595.263999999999</v>
      </c>
      <c r="E17" s="1">
        <v>3043.3530000000001</v>
      </c>
      <c r="F17" s="1">
        <v>4035.1559999999999</v>
      </c>
      <c r="G17" s="1">
        <f>VLOOKUP(A17,[1]TDSheet!$A:$B,2,0)</f>
        <v>283.34500000000003</v>
      </c>
      <c r="H17" s="1">
        <f t="shared" si="3"/>
        <v>3751.8109999999997</v>
      </c>
      <c r="I17" s="7">
        <v>1</v>
      </c>
      <c r="J17" s="1">
        <v>50</v>
      </c>
      <c r="K17" s="1" t="s">
        <v>43</v>
      </c>
      <c r="L17" s="1"/>
      <c r="M17" s="1">
        <v>3133.145</v>
      </c>
      <c r="N17" s="1">
        <f t="shared" si="4"/>
        <v>-89.791999999999916</v>
      </c>
      <c r="O17" s="1">
        <f t="shared" si="5"/>
        <v>3043.3530000000001</v>
      </c>
      <c r="P17" s="1"/>
      <c r="Q17" s="1">
        <v>595.28000000000009</v>
      </c>
      <c r="R17" s="1"/>
      <c r="S17" s="1">
        <v>804.71999999999991</v>
      </c>
      <c r="T17" s="1"/>
      <c r="U17" s="1">
        <v>270</v>
      </c>
      <c r="V17" s="1">
        <v>1282.9363512</v>
      </c>
      <c r="W17" s="1"/>
      <c r="X17" s="1"/>
      <c r="Y17" s="1">
        <v>2375.2796488000008</v>
      </c>
      <c r="Z17" s="1">
        <f>O17/5</f>
        <v>608.67060000000004</v>
      </c>
      <c r="AA17" s="5"/>
      <c r="AB17" s="5">
        <v>600</v>
      </c>
      <c r="AC17" s="5">
        <f>AB17-AD17</f>
        <v>120</v>
      </c>
      <c r="AD17" s="5">
        <f>AB17*$AD$1</f>
        <v>480</v>
      </c>
      <c r="AE17" s="1"/>
      <c r="AF17" s="1"/>
      <c r="AG17" s="1">
        <f>(H17+Q17+R17+S17+T17+U17+V17+W17+X17+Y17+AC17+AD17)/Z17</f>
        <v>15.903556044928077</v>
      </c>
      <c r="AH17" s="1">
        <f>(H17+Q17+R17+S17+T17+U17+V17+W17+X17+Y17)/Z17</f>
        <v>14.917801188360338</v>
      </c>
      <c r="AI17" s="1">
        <v>760.83500000000004</v>
      </c>
      <c r="AJ17" s="1">
        <v>778.13599999999997</v>
      </c>
      <c r="AK17" s="1">
        <v>651.7174</v>
      </c>
      <c r="AL17" s="1">
        <v>634.69460000000004</v>
      </c>
      <c r="AM17" s="1">
        <v>404.84399999999988</v>
      </c>
      <c r="AN17" s="1">
        <v>323.94799999999998</v>
      </c>
      <c r="AO17" s="1">
        <v>431.13780000000008</v>
      </c>
      <c r="AP17" s="1">
        <v>436.02780000000001</v>
      </c>
      <c r="AQ17" s="1" t="s">
        <v>45</v>
      </c>
      <c r="AR17" s="1">
        <f>ROUND(I17*AC17,0)</f>
        <v>120</v>
      </c>
      <c r="AS17" s="1">
        <f>ROUND(I17*AD17,0)</f>
        <v>480</v>
      </c>
      <c r="AT17" s="1"/>
      <c r="AU17" s="1"/>
      <c r="AV17" s="1"/>
      <c r="AW17" s="1"/>
      <c r="AX17" s="1"/>
      <c r="AY17" s="1"/>
      <c r="AZ17" s="1"/>
      <c r="BA17" s="1"/>
      <c r="BB17" s="1"/>
    </row>
    <row r="18" spans="1:54" x14ac:dyDescent="0.25">
      <c r="A18" s="1" t="s">
        <v>60</v>
      </c>
      <c r="B18" s="1" t="s">
        <v>42</v>
      </c>
      <c r="C18" s="1">
        <v>665.98900000000003</v>
      </c>
      <c r="D18" s="1">
        <v>349.07299999999998</v>
      </c>
      <c r="E18" s="1">
        <v>244.76400000000001</v>
      </c>
      <c r="F18" s="1">
        <v>466.63799999999998</v>
      </c>
      <c r="G18" s="1"/>
      <c r="H18" s="1">
        <f t="shared" si="3"/>
        <v>466.63799999999998</v>
      </c>
      <c r="I18" s="7">
        <v>1</v>
      </c>
      <c r="J18" s="1">
        <v>60</v>
      </c>
      <c r="K18" s="1" t="s">
        <v>43</v>
      </c>
      <c r="L18" s="1"/>
      <c r="M18" s="1">
        <v>266.23099999999999</v>
      </c>
      <c r="N18" s="1">
        <f t="shared" si="4"/>
        <v>-21.466999999999985</v>
      </c>
      <c r="O18" s="1">
        <f t="shared" si="5"/>
        <v>244.76400000000001</v>
      </c>
      <c r="P18" s="1"/>
      <c r="Q18" s="1">
        <v>0</v>
      </c>
      <c r="R18" s="1"/>
      <c r="S18" s="1"/>
      <c r="T18" s="1"/>
      <c r="U18" s="1"/>
      <c r="V18" s="1">
        <v>19.606599999999961</v>
      </c>
      <c r="W18" s="1"/>
      <c r="X18" s="1"/>
      <c r="Y18" s="1"/>
      <c r="Z18" s="1">
        <f>O18/5</f>
        <v>48.952800000000003</v>
      </c>
      <c r="AA18" s="5">
        <f>11*Z18-Y18-X18-W18-V18-U18-T18-S18-R18-Q18-H18</f>
        <v>52.23620000000011</v>
      </c>
      <c r="AB18" s="5">
        <f t="shared" si="6"/>
        <v>52.23620000000011</v>
      </c>
      <c r="AC18" s="5">
        <f>AB18-AD18</f>
        <v>32.23620000000011</v>
      </c>
      <c r="AD18" s="5">
        <v>20</v>
      </c>
      <c r="AE18" s="1"/>
      <c r="AF18" s="1"/>
      <c r="AG18" s="1">
        <f>(H18+Q18+R18+S18+T18+U18+V18+W18+X18+Y18+AC18+AD18)/Z18</f>
        <v>11</v>
      </c>
      <c r="AH18" s="1">
        <f>(H18+Q18+R18+S18+T18+U18+V18+W18+X18+Y18)/Z18</f>
        <v>9.9329272278603042</v>
      </c>
      <c r="AI18" s="1">
        <v>44.703800000000001</v>
      </c>
      <c r="AJ18" s="1">
        <v>25.674399999999999</v>
      </c>
      <c r="AK18" s="1">
        <v>21.1402</v>
      </c>
      <c r="AL18" s="1">
        <v>46.889800000000001</v>
      </c>
      <c r="AM18" s="1">
        <v>48.151600000000002</v>
      </c>
      <c r="AN18" s="1">
        <v>42.8626</v>
      </c>
      <c r="AO18" s="1">
        <v>21.7056</v>
      </c>
      <c r="AP18" s="1">
        <v>0.70620000000000005</v>
      </c>
      <c r="AQ18" s="1"/>
      <c r="AR18" s="1">
        <f>ROUND(I18*AC18,0)</f>
        <v>32</v>
      </c>
      <c r="AS18" s="1">
        <f>ROUND(I18*AD18,0)</f>
        <v>20</v>
      </c>
      <c r="AT18" s="1"/>
      <c r="AU18" s="1"/>
      <c r="AV18" s="1"/>
      <c r="AW18" s="1"/>
      <c r="AX18" s="1"/>
      <c r="AY18" s="1"/>
      <c r="AZ18" s="1"/>
      <c r="BA18" s="1"/>
      <c r="BB18" s="1"/>
    </row>
    <row r="19" spans="1:54" x14ac:dyDescent="0.25">
      <c r="A19" s="12" t="s">
        <v>61</v>
      </c>
      <c r="B19" s="12" t="s">
        <v>42</v>
      </c>
      <c r="C19" s="12">
        <v>-2.4849999999999999</v>
      </c>
      <c r="D19" s="12">
        <v>2.4849999999999999</v>
      </c>
      <c r="E19" s="15">
        <v>-0.52</v>
      </c>
      <c r="F19" s="12"/>
      <c r="G19" s="12"/>
      <c r="H19" s="12">
        <f t="shared" si="3"/>
        <v>0</v>
      </c>
      <c r="I19" s="13">
        <v>0</v>
      </c>
      <c r="J19" s="12"/>
      <c r="K19" s="12" t="s">
        <v>62</v>
      </c>
      <c r="L19" s="12" t="s">
        <v>63</v>
      </c>
      <c r="M19" s="12"/>
      <c r="N19" s="12">
        <f t="shared" si="4"/>
        <v>-0.52</v>
      </c>
      <c r="O19" s="12">
        <f t="shared" si="5"/>
        <v>-0.52</v>
      </c>
      <c r="P19" s="12"/>
      <c r="Q19" s="12">
        <v>0</v>
      </c>
      <c r="R19" s="12"/>
      <c r="S19" s="12"/>
      <c r="T19" s="12"/>
      <c r="U19" s="12"/>
      <c r="V19" s="12">
        <v>0</v>
      </c>
      <c r="W19" s="12"/>
      <c r="X19" s="12"/>
      <c r="Y19" s="12"/>
      <c r="Z19" s="12">
        <f>O19/5</f>
        <v>-0.10400000000000001</v>
      </c>
      <c r="AA19" s="14"/>
      <c r="AB19" s="5">
        <f t="shared" si="6"/>
        <v>0</v>
      </c>
      <c r="AC19" s="5"/>
      <c r="AD19" s="5"/>
      <c r="AE19" s="12"/>
      <c r="AF19" s="1"/>
      <c r="AG19" s="1">
        <f>(H19+Q19+R19+S19+T19+U19+V19+W19+X19+Y19+AC19+AD19)/Z19</f>
        <v>0</v>
      </c>
      <c r="AH19" s="12">
        <f>(H19+Q19+R19+S19+T19+U19+V19+W19+X19+Y19)/Z19</f>
        <v>0</v>
      </c>
      <c r="AI19" s="12">
        <v>0.42499999999999999</v>
      </c>
      <c r="AJ19" s="12">
        <v>0.42499999999999999</v>
      </c>
      <c r="AK19" s="12">
        <v>0</v>
      </c>
      <c r="AL19" s="12">
        <v>0</v>
      </c>
      <c r="AM19" s="12">
        <v>0</v>
      </c>
      <c r="AN19" s="12">
        <v>0</v>
      </c>
      <c r="AO19" s="12">
        <v>0</v>
      </c>
      <c r="AP19" s="12">
        <v>0</v>
      </c>
      <c r="AQ19" s="12"/>
      <c r="AR19" s="1">
        <f>ROUND(I19*AC19,0)</f>
        <v>0</v>
      </c>
      <c r="AS19" s="1">
        <f>ROUND(I19*AD19,0)</f>
        <v>0</v>
      </c>
      <c r="AT19" s="1"/>
      <c r="AU19" s="1"/>
      <c r="AV19" s="1"/>
      <c r="AW19" s="1"/>
      <c r="AX19" s="1"/>
      <c r="AY19" s="1"/>
      <c r="AZ19" s="1"/>
      <c r="BA19" s="1"/>
      <c r="BB19" s="1"/>
    </row>
    <row r="20" spans="1:54" x14ac:dyDescent="0.25">
      <c r="A20" s="12" t="s">
        <v>64</v>
      </c>
      <c r="B20" s="12" t="s">
        <v>42</v>
      </c>
      <c r="C20" s="12"/>
      <c r="D20" s="12"/>
      <c r="E20" s="12"/>
      <c r="F20" s="12"/>
      <c r="G20" s="12"/>
      <c r="H20" s="12">
        <f t="shared" si="3"/>
        <v>0</v>
      </c>
      <c r="I20" s="13">
        <v>0</v>
      </c>
      <c r="J20" s="12"/>
      <c r="K20" s="12" t="s">
        <v>43</v>
      </c>
      <c r="L20" s="12"/>
      <c r="M20" s="12"/>
      <c r="N20" s="12">
        <f t="shared" si="4"/>
        <v>0</v>
      </c>
      <c r="O20" s="12">
        <f t="shared" si="5"/>
        <v>0</v>
      </c>
      <c r="P20" s="12"/>
      <c r="Q20" s="12">
        <v>0</v>
      </c>
      <c r="R20" s="12"/>
      <c r="S20" s="12"/>
      <c r="T20" s="12"/>
      <c r="U20" s="12"/>
      <c r="V20" s="12">
        <v>0</v>
      </c>
      <c r="W20" s="12"/>
      <c r="X20" s="12"/>
      <c r="Y20" s="12"/>
      <c r="Z20" s="12">
        <f>O20/5</f>
        <v>0</v>
      </c>
      <c r="AA20" s="14"/>
      <c r="AB20" s="5">
        <f t="shared" si="6"/>
        <v>0</v>
      </c>
      <c r="AC20" s="5"/>
      <c r="AD20" s="5"/>
      <c r="AE20" s="12"/>
      <c r="AF20" s="1"/>
      <c r="AG20" s="1" t="e">
        <f>(H20+Q20+R20+S20+T20+U20+V20+W20+X20+Y20+AC20+AD20)/Z20</f>
        <v>#DIV/0!</v>
      </c>
      <c r="AH20" s="12" t="e">
        <f>(H20+Q20+R20+S20+T20+U20+V20+W20+X20+Y20)/Z20</f>
        <v>#DIV/0!</v>
      </c>
      <c r="AI20" s="12">
        <v>0</v>
      </c>
      <c r="AJ20" s="12">
        <v>0</v>
      </c>
      <c r="AK20" s="12">
        <v>0</v>
      </c>
      <c r="AL20" s="12">
        <v>0</v>
      </c>
      <c r="AM20" s="12">
        <v>0</v>
      </c>
      <c r="AN20" s="12">
        <v>0</v>
      </c>
      <c r="AO20" s="12">
        <v>0</v>
      </c>
      <c r="AP20" s="12">
        <v>0</v>
      </c>
      <c r="AQ20" s="12" t="s">
        <v>65</v>
      </c>
      <c r="AR20" s="1">
        <f>ROUND(I20*AC20,0)</f>
        <v>0</v>
      </c>
      <c r="AS20" s="1">
        <f>ROUND(I20*AD20,0)</f>
        <v>0</v>
      </c>
      <c r="AT20" s="1"/>
      <c r="AU20" s="1"/>
      <c r="AV20" s="1"/>
      <c r="AW20" s="1"/>
      <c r="AX20" s="1"/>
      <c r="AY20" s="1"/>
      <c r="AZ20" s="1"/>
      <c r="BA20" s="1"/>
      <c r="BB20" s="1"/>
    </row>
    <row r="21" spans="1:54" x14ac:dyDescent="0.25">
      <c r="A21" s="1" t="s">
        <v>66</v>
      </c>
      <c r="B21" s="1" t="s">
        <v>42</v>
      </c>
      <c r="C21" s="1">
        <v>6.5490000000000004</v>
      </c>
      <c r="D21" s="1">
        <v>15.769</v>
      </c>
      <c r="E21" s="1">
        <v>3.45</v>
      </c>
      <c r="F21" s="1">
        <v>15.747999999999999</v>
      </c>
      <c r="G21" s="1"/>
      <c r="H21" s="1">
        <f t="shared" si="3"/>
        <v>15.747999999999999</v>
      </c>
      <c r="I21" s="7">
        <v>1</v>
      </c>
      <c r="J21" s="1">
        <v>180</v>
      </c>
      <c r="K21" s="1" t="s">
        <v>43</v>
      </c>
      <c r="L21" s="1"/>
      <c r="M21" s="1">
        <v>5.23</v>
      </c>
      <c r="N21" s="1">
        <f t="shared" si="4"/>
        <v>-1.7800000000000002</v>
      </c>
      <c r="O21" s="1">
        <f t="shared" si="5"/>
        <v>3.45</v>
      </c>
      <c r="P21" s="1"/>
      <c r="Q21" s="1">
        <v>0</v>
      </c>
      <c r="R21" s="1"/>
      <c r="S21" s="1"/>
      <c r="T21" s="1"/>
      <c r="U21" s="1"/>
      <c r="V21" s="1">
        <v>0</v>
      </c>
      <c r="W21" s="1"/>
      <c r="X21" s="1"/>
      <c r="Y21" s="1"/>
      <c r="Z21" s="1">
        <f>O21/5</f>
        <v>0.69000000000000006</v>
      </c>
      <c r="AA21" s="5"/>
      <c r="AB21" s="5">
        <f t="shared" si="6"/>
        <v>0</v>
      </c>
      <c r="AC21" s="5"/>
      <c r="AD21" s="5"/>
      <c r="AE21" s="1"/>
      <c r="AF21" s="1"/>
      <c r="AG21" s="1">
        <f>(H21+Q21+R21+S21+T21+U21+V21+W21+X21+Y21+AC21+AD21)/Z21</f>
        <v>22.823188405797097</v>
      </c>
      <c r="AH21" s="1">
        <f>(H21+Q21+R21+S21+T21+U21+V21+W21+X21+Y21)/Z21</f>
        <v>22.823188405797097</v>
      </c>
      <c r="AI21" s="1">
        <v>0.41899999999999998</v>
      </c>
      <c r="AJ21" s="1">
        <v>0.92219999999999991</v>
      </c>
      <c r="AK21" s="1">
        <v>1.4359999999999999</v>
      </c>
      <c r="AL21" s="1">
        <v>1.0902000000000001</v>
      </c>
      <c r="AM21" s="1">
        <v>0.64900000000000002</v>
      </c>
      <c r="AN21" s="1">
        <v>0.70140000000000002</v>
      </c>
      <c r="AO21" s="1">
        <v>0.75480000000000003</v>
      </c>
      <c r="AP21" s="1">
        <v>0.4748</v>
      </c>
      <c r="AQ21" s="16" t="s">
        <v>67</v>
      </c>
      <c r="AR21" s="1">
        <f>ROUND(I21*AC21,0)</f>
        <v>0</v>
      </c>
      <c r="AS21" s="1">
        <f>ROUND(I21*AD21,0)</f>
        <v>0</v>
      </c>
      <c r="AT21" s="1"/>
      <c r="AU21" s="1"/>
      <c r="AV21" s="1"/>
      <c r="AW21" s="1"/>
      <c r="AX21" s="1"/>
      <c r="AY21" s="1"/>
      <c r="AZ21" s="1"/>
      <c r="BA21" s="1"/>
      <c r="BB21" s="1"/>
    </row>
    <row r="22" spans="1:54" x14ac:dyDescent="0.25">
      <c r="A22" s="1" t="s">
        <v>68</v>
      </c>
      <c r="B22" s="1" t="s">
        <v>42</v>
      </c>
      <c r="C22" s="1">
        <v>3430.8</v>
      </c>
      <c r="D22" s="1">
        <v>14363.371999999999</v>
      </c>
      <c r="E22" s="1">
        <v>4102.6980000000003</v>
      </c>
      <c r="F22" s="1">
        <v>4305.3919999999998</v>
      </c>
      <c r="G22" s="1"/>
      <c r="H22" s="1">
        <f t="shared" si="3"/>
        <v>4305.3919999999998</v>
      </c>
      <c r="I22" s="7">
        <v>1</v>
      </c>
      <c r="J22" s="1">
        <v>60</v>
      </c>
      <c r="K22" s="1" t="s">
        <v>43</v>
      </c>
      <c r="L22" s="1"/>
      <c r="M22" s="1">
        <v>4094.5059999999999</v>
      </c>
      <c r="N22" s="1">
        <f t="shared" si="4"/>
        <v>8.192000000000462</v>
      </c>
      <c r="O22" s="1">
        <f t="shared" si="5"/>
        <v>3867.4420000000005</v>
      </c>
      <c r="P22" s="1">
        <v>235.256</v>
      </c>
      <c r="Q22" s="1">
        <v>850.40000000000009</v>
      </c>
      <c r="R22" s="1"/>
      <c r="S22" s="1">
        <v>1149.5999999999999</v>
      </c>
      <c r="T22" s="1"/>
      <c r="U22" s="1"/>
      <c r="V22" s="1">
        <v>561.38751396000021</v>
      </c>
      <c r="W22" s="1"/>
      <c r="X22" s="1"/>
      <c r="Y22" s="1">
        <v>1039.37528604</v>
      </c>
      <c r="Z22" s="1">
        <f>O22/5</f>
        <v>773.48840000000007</v>
      </c>
      <c r="AA22" s="5">
        <f>11*Z22-Y22-X22-W22-V22-U22-T22-S22-R22-Q22-H22</f>
        <v>602.21759999999995</v>
      </c>
      <c r="AB22" s="5">
        <f>AA22+$AB$1*Z22</f>
        <v>1917.14788</v>
      </c>
      <c r="AC22" s="5">
        <f>AB22-AD22</f>
        <v>383.429576</v>
      </c>
      <c r="AD22" s="5">
        <f>AB22*$AD$1</f>
        <v>1533.718304</v>
      </c>
      <c r="AE22" s="1"/>
      <c r="AF22" s="1"/>
      <c r="AG22" s="1">
        <f>(H22+Q22+R22+S22+T22+U22+V22+W22+X22+Y22+AC22+AD22)/Z22</f>
        <v>12.7</v>
      </c>
      <c r="AH22" s="1">
        <f>(H22+Q22+R22+S22+T22+U22+V22+W22+X22+Y22)/Z22</f>
        <v>10.221426462245587</v>
      </c>
      <c r="AI22" s="1">
        <v>732.97140000000002</v>
      </c>
      <c r="AJ22" s="1">
        <v>804.43240000000003</v>
      </c>
      <c r="AK22" s="1">
        <v>875.02719999999988</v>
      </c>
      <c r="AL22" s="1">
        <v>948.69040000000007</v>
      </c>
      <c r="AM22" s="1">
        <v>609.16740000000004</v>
      </c>
      <c r="AN22" s="1">
        <v>570.25739999999996</v>
      </c>
      <c r="AO22" s="1">
        <v>752.91139999999996</v>
      </c>
      <c r="AP22" s="1">
        <v>757.01940000000002</v>
      </c>
      <c r="AQ22" s="1"/>
      <c r="AR22" s="1">
        <f>ROUND(I22*AC22,0)</f>
        <v>383</v>
      </c>
      <c r="AS22" s="1">
        <f>ROUND(I22*AD22,0)</f>
        <v>1534</v>
      </c>
      <c r="AT22" s="1"/>
      <c r="AU22" s="1"/>
      <c r="AV22" s="1"/>
      <c r="AW22" s="1"/>
      <c r="AX22" s="1"/>
      <c r="AY22" s="1"/>
      <c r="AZ22" s="1"/>
      <c r="BA22" s="1"/>
      <c r="BB22" s="1"/>
    </row>
    <row r="23" spans="1:54" x14ac:dyDescent="0.25">
      <c r="A23" s="12" t="s">
        <v>69</v>
      </c>
      <c r="B23" s="12" t="s">
        <v>42</v>
      </c>
      <c r="C23" s="12">
        <v>-14.984</v>
      </c>
      <c r="D23" s="12">
        <v>14.984</v>
      </c>
      <c r="E23" s="12"/>
      <c r="F23" s="12"/>
      <c r="G23" s="12"/>
      <c r="H23" s="12">
        <f t="shared" si="3"/>
        <v>0</v>
      </c>
      <c r="I23" s="13">
        <v>0</v>
      </c>
      <c r="J23" s="12"/>
      <c r="K23" s="12" t="s">
        <v>56</v>
      </c>
      <c r="L23" s="12" t="s">
        <v>70</v>
      </c>
      <c r="M23" s="12"/>
      <c r="N23" s="12">
        <f t="shared" si="4"/>
        <v>0</v>
      </c>
      <c r="O23" s="12">
        <f t="shared" si="5"/>
        <v>0</v>
      </c>
      <c r="P23" s="12"/>
      <c r="Q23" s="12">
        <v>0</v>
      </c>
      <c r="R23" s="12"/>
      <c r="S23" s="12"/>
      <c r="T23" s="12"/>
      <c r="U23" s="12"/>
      <c r="V23" s="12">
        <v>0</v>
      </c>
      <c r="W23" s="12"/>
      <c r="X23" s="12"/>
      <c r="Y23" s="12"/>
      <c r="Z23" s="12">
        <f>O23/5</f>
        <v>0</v>
      </c>
      <c r="AA23" s="14"/>
      <c r="AB23" s="5">
        <f t="shared" si="6"/>
        <v>0</v>
      </c>
      <c r="AC23" s="5"/>
      <c r="AD23" s="5"/>
      <c r="AE23" s="12"/>
      <c r="AF23" s="1"/>
      <c r="AG23" s="1" t="e">
        <f>(H23+Q23+R23+S23+T23+U23+V23+W23+X23+Y23+AC23+AD23)/Z23</f>
        <v>#DIV/0!</v>
      </c>
      <c r="AH23" s="12" t="e">
        <f>(H23+Q23+R23+S23+T23+U23+V23+W23+X23+Y23)/Z23</f>
        <v>#DIV/0!</v>
      </c>
      <c r="AI23" s="12">
        <v>0</v>
      </c>
      <c r="AJ23" s="12">
        <v>0</v>
      </c>
      <c r="AK23" s="12">
        <v>0.50419999999999998</v>
      </c>
      <c r="AL23" s="12">
        <v>0.50419999999999998</v>
      </c>
      <c r="AM23" s="12">
        <v>0</v>
      </c>
      <c r="AN23" s="12">
        <v>0</v>
      </c>
      <c r="AO23" s="12">
        <v>0</v>
      </c>
      <c r="AP23" s="12">
        <v>0</v>
      </c>
      <c r="AQ23" s="12"/>
      <c r="AR23" s="1">
        <f>ROUND(I23*AC23,0)</f>
        <v>0</v>
      </c>
      <c r="AS23" s="1">
        <f>ROUND(I23*AD23,0)</f>
        <v>0</v>
      </c>
      <c r="AT23" s="1"/>
      <c r="AU23" s="1"/>
      <c r="AV23" s="1"/>
      <c r="AW23" s="1"/>
      <c r="AX23" s="1"/>
      <c r="AY23" s="1"/>
      <c r="AZ23" s="1"/>
      <c r="BA23" s="1"/>
      <c r="BB23" s="1"/>
    </row>
    <row r="24" spans="1:54" x14ac:dyDescent="0.25">
      <c r="A24" s="1" t="s">
        <v>71</v>
      </c>
      <c r="B24" s="1" t="s">
        <v>42</v>
      </c>
      <c r="C24" s="1">
        <v>329.42500000000001</v>
      </c>
      <c r="D24" s="1">
        <v>1639.7570000000001</v>
      </c>
      <c r="E24" s="1">
        <v>321.11599999999999</v>
      </c>
      <c r="F24" s="1">
        <v>375.03199999999998</v>
      </c>
      <c r="G24" s="1"/>
      <c r="H24" s="1">
        <f t="shared" si="3"/>
        <v>375.03199999999998</v>
      </c>
      <c r="I24" s="7">
        <v>1</v>
      </c>
      <c r="J24" s="1">
        <v>70</v>
      </c>
      <c r="K24" s="1" t="s">
        <v>43</v>
      </c>
      <c r="L24" s="1"/>
      <c r="M24" s="1">
        <v>395.80900000000003</v>
      </c>
      <c r="N24" s="1">
        <f t="shared" si="4"/>
        <v>-74.69300000000004</v>
      </c>
      <c r="O24" s="1">
        <f t="shared" si="5"/>
        <v>284.13099999999997</v>
      </c>
      <c r="P24" s="1">
        <v>36.984999999999999</v>
      </c>
      <c r="Q24" s="1">
        <v>0</v>
      </c>
      <c r="R24" s="1"/>
      <c r="S24" s="1"/>
      <c r="T24" s="1"/>
      <c r="U24" s="1"/>
      <c r="V24" s="1">
        <v>0</v>
      </c>
      <c r="W24" s="1"/>
      <c r="X24" s="1"/>
      <c r="Y24" s="1"/>
      <c r="Z24" s="1">
        <f>O24/5</f>
        <v>56.826199999999993</v>
      </c>
      <c r="AA24" s="5">
        <f>11*Z24-Y24-X24-W24-V24-U24-T24-S24-R24-Q24-H24</f>
        <v>250.05619999999993</v>
      </c>
      <c r="AB24" s="5">
        <f t="shared" si="6"/>
        <v>250.05619999999993</v>
      </c>
      <c r="AC24" s="5">
        <f>AB24-AD24</f>
        <v>50.011239999999987</v>
      </c>
      <c r="AD24" s="5">
        <f>AB24*$AD$1</f>
        <v>200.04495999999995</v>
      </c>
      <c r="AE24" s="1"/>
      <c r="AF24" s="1"/>
      <c r="AG24" s="1">
        <f>(H24+Q24+R24+S24+T24+U24+V24+W24+X24+Y24+AC24+AD24)/Z24</f>
        <v>11</v>
      </c>
      <c r="AH24" s="1">
        <f>(H24+Q24+R24+S24+T24+U24+V24+W24+X24+Y24)/Z24</f>
        <v>6.5996318599519244</v>
      </c>
      <c r="AI24" s="1">
        <v>33.156399999999998</v>
      </c>
      <c r="AJ24" s="1">
        <v>51.611800000000002</v>
      </c>
      <c r="AK24" s="1">
        <v>86.94680000000001</v>
      </c>
      <c r="AL24" s="1">
        <v>92.600200000000001</v>
      </c>
      <c r="AM24" s="1">
        <v>51.805600000000013</v>
      </c>
      <c r="AN24" s="1">
        <v>47.665999999999997</v>
      </c>
      <c r="AO24" s="1">
        <v>84.481799999999993</v>
      </c>
      <c r="AP24" s="1">
        <v>134.7364</v>
      </c>
      <c r="AQ24" s="1" t="s">
        <v>67</v>
      </c>
      <c r="AR24" s="1">
        <f>ROUND(I24*AC24,0)</f>
        <v>50</v>
      </c>
      <c r="AS24" s="1">
        <f>ROUND(I24*AD24,0)</f>
        <v>200</v>
      </c>
      <c r="AT24" s="1"/>
      <c r="AU24" s="1"/>
      <c r="AV24" s="1"/>
      <c r="AW24" s="1"/>
      <c r="AX24" s="1"/>
      <c r="AY24" s="1"/>
      <c r="AZ24" s="1"/>
      <c r="BA24" s="1"/>
      <c r="BB24" s="1"/>
    </row>
    <row r="25" spans="1:54" x14ac:dyDescent="0.25">
      <c r="A25" s="1" t="s">
        <v>72</v>
      </c>
      <c r="B25" s="1" t="s">
        <v>42</v>
      </c>
      <c r="C25" s="1">
        <v>951.01800000000003</v>
      </c>
      <c r="D25" s="1">
        <v>4226.1620000000003</v>
      </c>
      <c r="E25" s="1">
        <v>1146.001</v>
      </c>
      <c r="F25" s="1">
        <v>1249.115</v>
      </c>
      <c r="G25" s="1"/>
      <c r="H25" s="1">
        <f t="shared" si="3"/>
        <v>1249.115</v>
      </c>
      <c r="I25" s="7">
        <v>1</v>
      </c>
      <c r="J25" s="1">
        <v>70</v>
      </c>
      <c r="K25" s="11" t="s">
        <v>53</v>
      </c>
      <c r="L25" s="1"/>
      <c r="M25" s="1">
        <v>1161.7629999999999</v>
      </c>
      <c r="N25" s="1">
        <f t="shared" si="4"/>
        <v>-15.761999999999944</v>
      </c>
      <c r="O25" s="1">
        <f t="shared" si="5"/>
        <v>1146.001</v>
      </c>
      <c r="P25" s="1"/>
      <c r="Q25" s="1">
        <v>403.62101495999991</v>
      </c>
      <c r="R25" s="1"/>
      <c r="S25" s="1">
        <v>545.62878503999991</v>
      </c>
      <c r="T25" s="1"/>
      <c r="U25" s="1"/>
      <c r="V25" s="1">
        <v>601.12380000000007</v>
      </c>
      <c r="W25" s="1"/>
      <c r="X25" s="1"/>
      <c r="Y25" s="1">
        <v>276.51694800000013</v>
      </c>
      <c r="Z25" s="1">
        <f>O25/5</f>
        <v>229.2002</v>
      </c>
      <c r="AA25" s="5"/>
      <c r="AB25" s="5">
        <f>AA25*1.3</f>
        <v>0</v>
      </c>
      <c r="AC25" s="5">
        <f>AB25</f>
        <v>0</v>
      </c>
      <c r="AD25" s="5"/>
      <c r="AE25" s="1"/>
      <c r="AF25" s="1"/>
      <c r="AG25" s="1">
        <f>(H25+Q25+R25+S25+T25+U25+V25+W25+X25+Y25+AC25+AD25)/Z25</f>
        <v>13.420605863345667</v>
      </c>
      <c r="AH25" s="1">
        <f>(H25+Q25+R25+S25+T25+U25+V25+W25+X25+Y25)/Z25</f>
        <v>13.420605863345667</v>
      </c>
      <c r="AI25" s="1">
        <v>266.73680000000002</v>
      </c>
      <c r="AJ25" s="1">
        <v>285.91019999999997</v>
      </c>
      <c r="AK25" s="1">
        <v>266.63159999999999</v>
      </c>
      <c r="AL25" s="1">
        <v>281.76</v>
      </c>
      <c r="AM25" s="1">
        <v>176.75880000000001</v>
      </c>
      <c r="AN25" s="1">
        <v>148.90860000000001</v>
      </c>
      <c r="AO25" s="1">
        <v>205.9836</v>
      </c>
      <c r="AP25" s="1">
        <v>205.86320000000001</v>
      </c>
      <c r="AQ25" s="1" t="s">
        <v>45</v>
      </c>
      <c r="AR25" s="1">
        <f>ROUND(I25*AC25,0)</f>
        <v>0</v>
      </c>
      <c r="AS25" s="1">
        <f>ROUND(I25*AD25,0)</f>
        <v>0</v>
      </c>
      <c r="AT25" s="1"/>
      <c r="AU25" s="1"/>
      <c r="AV25" s="1"/>
      <c r="AW25" s="1"/>
      <c r="AX25" s="1"/>
      <c r="AY25" s="1"/>
      <c r="AZ25" s="1"/>
      <c r="BA25" s="1"/>
      <c r="BB25" s="1"/>
    </row>
    <row r="26" spans="1:54" x14ac:dyDescent="0.25">
      <c r="A26" s="12" t="s">
        <v>73</v>
      </c>
      <c r="B26" s="12" t="s">
        <v>42</v>
      </c>
      <c r="C26" s="12"/>
      <c r="D26" s="12"/>
      <c r="E26" s="12"/>
      <c r="F26" s="12"/>
      <c r="G26" s="12"/>
      <c r="H26" s="12">
        <f t="shared" si="3"/>
        <v>0</v>
      </c>
      <c r="I26" s="13">
        <v>0</v>
      </c>
      <c r="J26" s="12"/>
      <c r="K26" s="12" t="s">
        <v>43</v>
      </c>
      <c r="L26" s="12"/>
      <c r="M26" s="12"/>
      <c r="N26" s="12">
        <f t="shared" si="4"/>
        <v>0</v>
      </c>
      <c r="O26" s="12">
        <f t="shared" si="5"/>
        <v>0</v>
      </c>
      <c r="P26" s="12"/>
      <c r="Q26" s="12">
        <v>0</v>
      </c>
      <c r="R26" s="12"/>
      <c r="S26" s="12"/>
      <c r="T26" s="12"/>
      <c r="U26" s="12"/>
      <c r="V26" s="12">
        <v>0</v>
      </c>
      <c r="W26" s="12"/>
      <c r="X26" s="12"/>
      <c r="Y26" s="12"/>
      <c r="Z26" s="12">
        <f>O26/5</f>
        <v>0</v>
      </c>
      <c r="AA26" s="14"/>
      <c r="AB26" s="5">
        <f t="shared" si="6"/>
        <v>0</v>
      </c>
      <c r="AC26" s="5"/>
      <c r="AD26" s="5"/>
      <c r="AE26" s="12"/>
      <c r="AF26" s="1"/>
      <c r="AG26" s="1" t="e">
        <f>(H26+Q26+R26+S26+T26+U26+V26+W26+X26+Y26+AC26+AD26)/Z26</f>
        <v>#DIV/0!</v>
      </c>
      <c r="AH26" s="12" t="e">
        <f>(H26+Q26+R26+S26+T26+U26+V26+W26+X26+Y26)/Z26</f>
        <v>#DIV/0!</v>
      </c>
      <c r="AI26" s="12">
        <v>0</v>
      </c>
      <c r="AJ26" s="12">
        <v>0</v>
      </c>
      <c r="AK26" s="12">
        <v>0</v>
      </c>
      <c r="AL26" s="12">
        <v>0</v>
      </c>
      <c r="AM26" s="12">
        <v>0</v>
      </c>
      <c r="AN26" s="12">
        <v>0</v>
      </c>
      <c r="AO26" s="12">
        <v>0</v>
      </c>
      <c r="AP26" s="12">
        <v>0</v>
      </c>
      <c r="AQ26" s="12" t="s">
        <v>65</v>
      </c>
      <c r="AR26" s="1">
        <f>ROUND(I26*AC26,0)</f>
        <v>0</v>
      </c>
      <c r="AS26" s="1">
        <f>ROUND(I26*AD26,0)</f>
        <v>0</v>
      </c>
      <c r="AT26" s="1"/>
      <c r="AU26" s="1"/>
      <c r="AV26" s="1"/>
      <c r="AW26" s="1"/>
      <c r="AX26" s="1"/>
      <c r="AY26" s="1"/>
      <c r="AZ26" s="1"/>
      <c r="BA26" s="1"/>
      <c r="BB26" s="1"/>
    </row>
    <row r="27" spans="1:54" x14ac:dyDescent="0.25">
      <c r="A27" s="1" t="s">
        <v>74</v>
      </c>
      <c r="B27" s="1" t="s">
        <v>42</v>
      </c>
      <c r="C27" s="1">
        <v>1233.5050000000001</v>
      </c>
      <c r="D27" s="1">
        <v>6723.3209999999999</v>
      </c>
      <c r="E27" s="1">
        <v>1982.6559999999999</v>
      </c>
      <c r="F27" s="1">
        <v>1956.9259999999999</v>
      </c>
      <c r="G27" s="1"/>
      <c r="H27" s="1">
        <f t="shared" si="3"/>
        <v>1956.9259999999999</v>
      </c>
      <c r="I27" s="7">
        <v>1</v>
      </c>
      <c r="J27" s="1">
        <v>70</v>
      </c>
      <c r="K27" s="11" t="s">
        <v>53</v>
      </c>
      <c r="L27" s="1"/>
      <c r="M27" s="1">
        <v>2002.4459999999999</v>
      </c>
      <c r="N27" s="1">
        <f t="shared" si="4"/>
        <v>-19.789999999999964</v>
      </c>
      <c r="O27" s="1">
        <f t="shared" si="5"/>
        <v>1982.6559999999999</v>
      </c>
      <c r="P27" s="1"/>
      <c r="Q27" s="1">
        <v>973.36911559999976</v>
      </c>
      <c r="R27" s="1"/>
      <c r="S27" s="1">
        <v>1315.8338843999991</v>
      </c>
      <c r="T27" s="1"/>
      <c r="U27" s="1"/>
      <c r="V27" s="1">
        <v>1395.850600000002</v>
      </c>
      <c r="W27" s="1"/>
      <c r="X27" s="1"/>
      <c r="Y27" s="1">
        <v>642.09127600000102</v>
      </c>
      <c r="Z27" s="1">
        <f>O27/5</f>
        <v>396.53120000000001</v>
      </c>
      <c r="AA27" s="5"/>
      <c r="AB27" s="5">
        <f t="shared" ref="AB27:AB28" si="9">AA27*1.3</f>
        <v>0</v>
      </c>
      <c r="AC27" s="5">
        <f t="shared" ref="AC27:AC28" si="10">AB27</f>
        <v>0</v>
      </c>
      <c r="AD27" s="5"/>
      <c r="AE27" s="1"/>
      <c r="AF27" s="1"/>
      <c r="AG27" s="1">
        <f>(H27+Q27+R27+S27+T27+U27+V27+W27+X27+Y27+AC27+AD27)/Z27</f>
        <v>15.847607643484299</v>
      </c>
      <c r="AH27" s="1">
        <f>(H27+Q27+R27+S27+T27+U27+V27+W27+X27+Y27)/Z27</f>
        <v>15.847607643484299</v>
      </c>
      <c r="AI27" s="1">
        <v>524.30680000000007</v>
      </c>
      <c r="AJ27" s="1">
        <v>537.15940000000001</v>
      </c>
      <c r="AK27" s="1">
        <v>473.22160000000002</v>
      </c>
      <c r="AL27" s="1">
        <v>516.05320000000006</v>
      </c>
      <c r="AM27" s="1">
        <v>310.26479999999998</v>
      </c>
      <c r="AN27" s="1">
        <v>281.95979999999997</v>
      </c>
      <c r="AO27" s="1">
        <v>381.11340000000001</v>
      </c>
      <c r="AP27" s="1">
        <v>357.56240000000003</v>
      </c>
      <c r="AQ27" s="1" t="s">
        <v>45</v>
      </c>
      <c r="AR27" s="1">
        <f>ROUND(I27*AC27,0)</f>
        <v>0</v>
      </c>
      <c r="AS27" s="1">
        <f>ROUND(I27*AD27,0)</f>
        <v>0</v>
      </c>
      <c r="AT27" s="1"/>
      <c r="AU27" s="1"/>
      <c r="AV27" s="1"/>
      <c r="AW27" s="1"/>
      <c r="AX27" s="1"/>
      <c r="AY27" s="1"/>
      <c r="AZ27" s="1"/>
      <c r="BA27" s="1"/>
      <c r="BB27" s="1"/>
    </row>
    <row r="28" spans="1:54" x14ac:dyDescent="0.25">
      <c r="A28" s="1" t="s">
        <v>75</v>
      </c>
      <c r="B28" s="1" t="s">
        <v>42</v>
      </c>
      <c r="C28" s="1">
        <v>32.738999999999997</v>
      </c>
      <c r="D28" s="1">
        <v>116.143</v>
      </c>
      <c r="E28" s="1">
        <v>18.923999999999999</v>
      </c>
      <c r="F28" s="1">
        <v>27.55</v>
      </c>
      <c r="G28" s="1"/>
      <c r="H28" s="1">
        <f t="shared" si="3"/>
        <v>27.55</v>
      </c>
      <c r="I28" s="7">
        <v>1</v>
      </c>
      <c r="J28" s="1">
        <v>40</v>
      </c>
      <c r="K28" s="11" t="s">
        <v>53</v>
      </c>
      <c r="L28" s="1"/>
      <c r="M28" s="1">
        <v>85.24</v>
      </c>
      <c r="N28" s="1">
        <f t="shared" si="4"/>
        <v>-66.316000000000003</v>
      </c>
      <c r="O28" s="1">
        <f t="shared" si="5"/>
        <v>18.923999999999999</v>
      </c>
      <c r="P28" s="1"/>
      <c r="Q28" s="1">
        <v>0</v>
      </c>
      <c r="R28" s="1"/>
      <c r="S28" s="1"/>
      <c r="T28" s="1"/>
      <c r="U28" s="1"/>
      <c r="V28" s="1">
        <v>0</v>
      </c>
      <c r="W28" s="1"/>
      <c r="X28" s="1"/>
      <c r="Y28" s="1"/>
      <c r="Z28" s="1">
        <f>O28/5</f>
        <v>3.7847999999999997</v>
      </c>
      <c r="AA28" s="5">
        <f>11*Z28-Y28-X28-W28-V28-U28-T28-S28-R28-Q28-H28</f>
        <v>14.082799999999995</v>
      </c>
      <c r="AB28" s="5">
        <f t="shared" si="9"/>
        <v>18.307639999999996</v>
      </c>
      <c r="AC28" s="5">
        <f t="shared" si="10"/>
        <v>18.307639999999996</v>
      </c>
      <c r="AD28" s="5"/>
      <c r="AE28" s="1"/>
      <c r="AF28" s="1"/>
      <c r="AG28" s="1">
        <f>(H28+Q28+R28+S28+T28+U28+V28+W28+X28+Y28+AC28+AD28)/Z28</f>
        <v>12.116265060240965</v>
      </c>
      <c r="AH28" s="1">
        <f>(H28+Q28+R28+S28+T28+U28+V28+W28+X28+Y28)/Z28</f>
        <v>7.2791164658634546</v>
      </c>
      <c r="AI28" s="1">
        <v>-0.29299999999999998</v>
      </c>
      <c r="AJ28" s="1">
        <v>1.601</v>
      </c>
      <c r="AK28" s="1">
        <v>4.3630000000000004</v>
      </c>
      <c r="AL28" s="1">
        <v>3.4885999999999999</v>
      </c>
      <c r="AM28" s="1">
        <v>2.0396000000000001</v>
      </c>
      <c r="AN28" s="1">
        <v>1.6052</v>
      </c>
      <c r="AO28" s="1">
        <v>2.1873999999999998</v>
      </c>
      <c r="AP28" s="1">
        <v>2.1844000000000001</v>
      </c>
      <c r="AQ28" s="1"/>
      <c r="AR28" s="1">
        <f>ROUND(I28*AC28,0)</f>
        <v>18</v>
      </c>
      <c r="AS28" s="1">
        <f>ROUND(I28*AD28,0)</f>
        <v>0</v>
      </c>
      <c r="AT28" s="1"/>
      <c r="AU28" s="1"/>
      <c r="AV28" s="1"/>
      <c r="AW28" s="1"/>
      <c r="AX28" s="1"/>
      <c r="AY28" s="1"/>
      <c r="AZ28" s="1"/>
      <c r="BA28" s="1"/>
      <c r="BB28" s="1"/>
    </row>
    <row r="29" spans="1:54" x14ac:dyDescent="0.25">
      <c r="A29" s="12" t="s">
        <v>77</v>
      </c>
      <c r="B29" s="12" t="s">
        <v>42</v>
      </c>
      <c r="C29" s="12">
        <v>-1.6950000000000001</v>
      </c>
      <c r="D29" s="12">
        <v>1.6950000000000001</v>
      </c>
      <c r="E29" s="12"/>
      <c r="F29" s="12"/>
      <c r="G29" s="12"/>
      <c r="H29" s="12">
        <f t="shared" si="3"/>
        <v>0</v>
      </c>
      <c r="I29" s="13">
        <v>0</v>
      </c>
      <c r="J29" s="12"/>
      <c r="K29" s="12" t="s">
        <v>56</v>
      </c>
      <c r="L29" s="12"/>
      <c r="M29" s="12"/>
      <c r="N29" s="12">
        <f t="shared" si="4"/>
        <v>0</v>
      </c>
      <c r="O29" s="12">
        <f t="shared" si="5"/>
        <v>0</v>
      </c>
      <c r="P29" s="12"/>
      <c r="Q29" s="12">
        <v>0</v>
      </c>
      <c r="R29" s="12"/>
      <c r="S29" s="12"/>
      <c r="T29" s="12"/>
      <c r="U29" s="12"/>
      <c r="V29" s="12">
        <v>0</v>
      </c>
      <c r="W29" s="12"/>
      <c r="X29" s="12"/>
      <c r="Y29" s="12"/>
      <c r="Z29" s="12">
        <f>O29/5</f>
        <v>0</v>
      </c>
      <c r="AA29" s="14"/>
      <c r="AB29" s="5">
        <f t="shared" si="6"/>
        <v>0</v>
      </c>
      <c r="AC29" s="5"/>
      <c r="AD29" s="5"/>
      <c r="AE29" s="12"/>
      <c r="AF29" s="1"/>
      <c r="AG29" s="1" t="e">
        <f>(H29+Q29+R29+S29+T29+U29+V29+W29+X29+Y29+AC29+AD29)/Z29</f>
        <v>#DIV/0!</v>
      </c>
      <c r="AH29" s="12" t="e">
        <f>(H29+Q29+R29+S29+T29+U29+V29+W29+X29+Y29)/Z29</f>
        <v>#DIV/0!</v>
      </c>
      <c r="AI29" s="12">
        <v>0</v>
      </c>
      <c r="AJ29" s="12">
        <v>0</v>
      </c>
      <c r="AK29" s="12">
        <v>0</v>
      </c>
      <c r="AL29" s="12">
        <v>0</v>
      </c>
      <c r="AM29" s="12">
        <v>0</v>
      </c>
      <c r="AN29" s="12">
        <v>0</v>
      </c>
      <c r="AO29" s="12">
        <v>0</v>
      </c>
      <c r="AP29" s="12">
        <v>0.33900000000000002</v>
      </c>
      <c r="AQ29" s="12"/>
      <c r="AR29" s="1">
        <f>ROUND(I29*AC29,0)</f>
        <v>0</v>
      </c>
      <c r="AS29" s="1">
        <f>ROUND(I29*AD29,0)</f>
        <v>0</v>
      </c>
      <c r="AT29" s="1"/>
      <c r="AU29" s="1"/>
      <c r="AV29" s="1"/>
      <c r="AW29" s="1"/>
      <c r="AX29" s="1"/>
      <c r="AY29" s="1"/>
      <c r="AZ29" s="1"/>
      <c r="BA29" s="1"/>
      <c r="BB29" s="1"/>
    </row>
    <row r="30" spans="1:54" x14ac:dyDescent="0.25">
      <c r="A30" s="12" t="s">
        <v>78</v>
      </c>
      <c r="B30" s="12" t="s">
        <v>42</v>
      </c>
      <c r="C30" s="12"/>
      <c r="D30" s="12"/>
      <c r="E30" s="12"/>
      <c r="F30" s="12"/>
      <c r="G30" s="12"/>
      <c r="H30" s="12">
        <f t="shared" si="3"/>
        <v>0</v>
      </c>
      <c r="I30" s="13">
        <v>0</v>
      </c>
      <c r="J30" s="12"/>
      <c r="K30" s="12" t="s">
        <v>43</v>
      </c>
      <c r="L30" s="12"/>
      <c r="M30" s="12"/>
      <c r="N30" s="12">
        <f t="shared" si="4"/>
        <v>0</v>
      </c>
      <c r="O30" s="12">
        <f t="shared" si="5"/>
        <v>0</v>
      </c>
      <c r="P30" s="12"/>
      <c r="Q30" s="12">
        <v>0</v>
      </c>
      <c r="R30" s="12"/>
      <c r="S30" s="12"/>
      <c r="T30" s="12"/>
      <c r="U30" s="12"/>
      <c r="V30" s="12">
        <v>0</v>
      </c>
      <c r="W30" s="12"/>
      <c r="X30" s="12"/>
      <c r="Y30" s="12"/>
      <c r="Z30" s="12">
        <f>O30/5</f>
        <v>0</v>
      </c>
      <c r="AA30" s="14"/>
      <c r="AB30" s="5">
        <f t="shared" si="6"/>
        <v>0</v>
      </c>
      <c r="AC30" s="5"/>
      <c r="AD30" s="5"/>
      <c r="AE30" s="12"/>
      <c r="AF30" s="1"/>
      <c r="AG30" s="1" t="e">
        <f>(H30+Q30+R30+S30+T30+U30+V30+W30+X30+Y30+AC30+AD30)/Z30</f>
        <v>#DIV/0!</v>
      </c>
      <c r="AH30" s="12" t="e">
        <f>(H30+Q30+R30+S30+T30+U30+V30+W30+X30+Y30)/Z30</f>
        <v>#DIV/0!</v>
      </c>
      <c r="AI30" s="12">
        <v>0</v>
      </c>
      <c r="AJ30" s="12">
        <v>0</v>
      </c>
      <c r="AK30" s="12">
        <v>0</v>
      </c>
      <c r="AL30" s="12">
        <v>0</v>
      </c>
      <c r="AM30" s="12">
        <v>0</v>
      </c>
      <c r="AN30" s="12">
        <v>0</v>
      </c>
      <c r="AO30" s="12">
        <v>0</v>
      </c>
      <c r="AP30" s="12">
        <v>0</v>
      </c>
      <c r="AQ30" s="12" t="s">
        <v>65</v>
      </c>
      <c r="AR30" s="1">
        <f>ROUND(I30*AC30,0)</f>
        <v>0</v>
      </c>
      <c r="AS30" s="1">
        <f>ROUND(I30*AD30,0)</f>
        <v>0</v>
      </c>
      <c r="AT30" s="1"/>
      <c r="AU30" s="1"/>
      <c r="AV30" s="1"/>
      <c r="AW30" s="1"/>
      <c r="AX30" s="1"/>
      <c r="AY30" s="1"/>
      <c r="AZ30" s="1"/>
      <c r="BA30" s="1"/>
      <c r="BB30" s="1"/>
    </row>
    <row r="31" spans="1:54" x14ac:dyDescent="0.25">
      <c r="A31" s="12" t="s">
        <v>79</v>
      </c>
      <c r="B31" s="12" t="s">
        <v>42</v>
      </c>
      <c r="C31" s="12"/>
      <c r="D31" s="12"/>
      <c r="E31" s="12"/>
      <c r="F31" s="12"/>
      <c r="G31" s="12"/>
      <c r="H31" s="12">
        <f t="shared" si="3"/>
        <v>0</v>
      </c>
      <c r="I31" s="13">
        <v>0</v>
      </c>
      <c r="J31" s="12"/>
      <c r="K31" s="12" t="s">
        <v>43</v>
      </c>
      <c r="L31" s="12"/>
      <c r="M31" s="12"/>
      <c r="N31" s="12">
        <f t="shared" si="4"/>
        <v>0</v>
      </c>
      <c r="O31" s="12">
        <f t="shared" si="5"/>
        <v>0</v>
      </c>
      <c r="P31" s="12"/>
      <c r="Q31" s="12">
        <v>0</v>
      </c>
      <c r="R31" s="12"/>
      <c r="S31" s="12"/>
      <c r="T31" s="12"/>
      <c r="U31" s="12"/>
      <c r="V31" s="12">
        <v>0</v>
      </c>
      <c r="W31" s="12"/>
      <c r="X31" s="12"/>
      <c r="Y31" s="12"/>
      <c r="Z31" s="12">
        <f>O31/5</f>
        <v>0</v>
      </c>
      <c r="AA31" s="14"/>
      <c r="AB31" s="5">
        <f t="shared" si="6"/>
        <v>0</v>
      </c>
      <c r="AC31" s="5"/>
      <c r="AD31" s="5"/>
      <c r="AE31" s="12"/>
      <c r="AF31" s="1"/>
      <c r="AG31" s="1" t="e">
        <f>(H31+Q31+R31+S31+T31+U31+V31+W31+X31+Y31+AC31+AD31)/Z31</f>
        <v>#DIV/0!</v>
      </c>
      <c r="AH31" s="12" t="e">
        <f>(H31+Q31+R31+S31+T31+U31+V31+W31+X31+Y31)/Z31</f>
        <v>#DIV/0!</v>
      </c>
      <c r="AI31" s="12">
        <v>0</v>
      </c>
      <c r="AJ31" s="12">
        <v>0</v>
      </c>
      <c r="AK31" s="12">
        <v>0</v>
      </c>
      <c r="AL31" s="12">
        <v>0</v>
      </c>
      <c r="AM31" s="12">
        <v>0</v>
      </c>
      <c r="AN31" s="12">
        <v>0</v>
      </c>
      <c r="AO31" s="12">
        <v>0</v>
      </c>
      <c r="AP31" s="12">
        <v>0</v>
      </c>
      <c r="AQ31" s="12" t="s">
        <v>65</v>
      </c>
      <c r="AR31" s="1">
        <f>ROUND(I31*AC31,0)</f>
        <v>0</v>
      </c>
      <c r="AS31" s="1">
        <f>ROUND(I31*AD31,0)</f>
        <v>0</v>
      </c>
      <c r="AT31" s="1"/>
      <c r="AU31" s="1"/>
      <c r="AV31" s="1"/>
      <c r="AW31" s="1"/>
      <c r="AX31" s="1"/>
      <c r="AY31" s="1"/>
      <c r="AZ31" s="1"/>
      <c r="BA31" s="1"/>
      <c r="BB31" s="1"/>
    </row>
    <row r="32" spans="1:54" x14ac:dyDescent="0.25">
      <c r="A32" s="1" t="s">
        <v>80</v>
      </c>
      <c r="B32" s="1" t="s">
        <v>42</v>
      </c>
      <c r="C32" s="1">
        <v>541.30600000000004</v>
      </c>
      <c r="D32" s="1">
        <v>3483.9389999999999</v>
      </c>
      <c r="E32" s="1">
        <v>1108.712</v>
      </c>
      <c r="F32" s="1">
        <v>859.17600000000004</v>
      </c>
      <c r="G32" s="1"/>
      <c r="H32" s="1">
        <f t="shared" si="3"/>
        <v>859.17600000000004</v>
      </c>
      <c r="I32" s="7">
        <v>1</v>
      </c>
      <c r="J32" s="1">
        <v>30</v>
      </c>
      <c r="K32" s="11" t="s">
        <v>53</v>
      </c>
      <c r="L32" s="1"/>
      <c r="M32" s="1">
        <v>1285.9100000000001</v>
      </c>
      <c r="N32" s="1">
        <f t="shared" si="4"/>
        <v>-177.19800000000009</v>
      </c>
      <c r="O32" s="1">
        <f t="shared" si="5"/>
        <v>1105.856</v>
      </c>
      <c r="P32" s="1">
        <v>2.8559999999999999</v>
      </c>
      <c r="Q32" s="1">
        <v>552.76</v>
      </c>
      <c r="R32" s="1"/>
      <c r="S32" s="1">
        <v>747.24</v>
      </c>
      <c r="T32" s="1"/>
      <c r="U32" s="1"/>
      <c r="V32" s="1">
        <v>538.94979999999964</v>
      </c>
      <c r="W32" s="1"/>
      <c r="X32" s="1"/>
      <c r="Y32" s="1">
        <v>247.91690799999981</v>
      </c>
      <c r="Z32" s="1">
        <f>O32/5</f>
        <v>221.1712</v>
      </c>
      <c r="AA32" s="5"/>
      <c r="AB32" s="5">
        <f>AA32*1.3</f>
        <v>0</v>
      </c>
      <c r="AC32" s="5">
        <f>AB32</f>
        <v>0</v>
      </c>
      <c r="AD32" s="5"/>
      <c r="AE32" s="1"/>
      <c r="AF32" s="1"/>
      <c r="AG32" s="1">
        <f>(H32+Q32+R32+S32+T32+U32+V32+W32+X32+Y32+AC32+AD32)/Z32</f>
        <v>13.320191363070776</v>
      </c>
      <c r="AH32" s="1">
        <f>(H32+Q32+R32+S32+T32+U32+V32+W32+X32+Y32)/Z32</f>
        <v>13.320191363070776</v>
      </c>
      <c r="AI32" s="1">
        <v>225.0454</v>
      </c>
      <c r="AJ32" s="1">
        <v>231.65860000000001</v>
      </c>
      <c r="AK32" s="1">
        <v>235.7996</v>
      </c>
      <c r="AL32" s="1">
        <v>278.0154</v>
      </c>
      <c r="AM32" s="1">
        <v>227.65520000000001</v>
      </c>
      <c r="AN32" s="1">
        <v>207.39060000000001</v>
      </c>
      <c r="AO32" s="1">
        <v>290.8818</v>
      </c>
      <c r="AP32" s="1">
        <v>248.68559999999999</v>
      </c>
      <c r="AQ32" s="1"/>
      <c r="AR32" s="1">
        <f>ROUND(I32*AC32,0)</f>
        <v>0</v>
      </c>
      <c r="AS32" s="1">
        <f>ROUND(I32*AD32,0)</f>
        <v>0</v>
      </c>
      <c r="AT32" s="1"/>
      <c r="AU32" s="1"/>
      <c r="AV32" s="1"/>
      <c r="AW32" s="1"/>
      <c r="AX32" s="1"/>
      <c r="AY32" s="1"/>
      <c r="AZ32" s="1"/>
      <c r="BA32" s="1"/>
      <c r="BB32" s="1"/>
    </row>
    <row r="33" spans="1:54" x14ac:dyDescent="0.25">
      <c r="A33" s="12" t="s">
        <v>81</v>
      </c>
      <c r="B33" s="12" t="s">
        <v>42</v>
      </c>
      <c r="C33" s="12">
        <v>-0.23</v>
      </c>
      <c r="D33" s="12">
        <v>44.381</v>
      </c>
      <c r="E33" s="12"/>
      <c r="F33" s="12"/>
      <c r="G33" s="12"/>
      <c r="H33" s="12">
        <f t="shared" si="3"/>
        <v>0</v>
      </c>
      <c r="I33" s="13">
        <v>0</v>
      </c>
      <c r="J33" s="12">
        <v>40</v>
      </c>
      <c r="K33" s="12" t="s">
        <v>56</v>
      </c>
      <c r="L33" s="12"/>
      <c r="M33" s="12"/>
      <c r="N33" s="12">
        <f t="shared" si="4"/>
        <v>0</v>
      </c>
      <c r="O33" s="12">
        <f t="shared" si="5"/>
        <v>0</v>
      </c>
      <c r="P33" s="12"/>
      <c r="Q33" s="12">
        <v>0</v>
      </c>
      <c r="R33" s="12"/>
      <c r="S33" s="12"/>
      <c r="T33" s="12"/>
      <c r="U33" s="12"/>
      <c r="V33" s="12">
        <v>0</v>
      </c>
      <c r="W33" s="12"/>
      <c r="X33" s="12"/>
      <c r="Y33" s="12"/>
      <c r="Z33" s="12">
        <f>O33/5</f>
        <v>0</v>
      </c>
      <c r="AA33" s="14"/>
      <c r="AB33" s="5">
        <f t="shared" si="6"/>
        <v>0</v>
      </c>
      <c r="AC33" s="5"/>
      <c r="AD33" s="5"/>
      <c r="AE33" s="12"/>
      <c r="AF33" s="1"/>
      <c r="AG33" s="1" t="e">
        <f>(H33+Q33+R33+S33+T33+U33+V33+W33+X33+Y33+AC33+AD33)/Z33</f>
        <v>#DIV/0!</v>
      </c>
      <c r="AH33" s="12" t="e">
        <f>(H33+Q33+R33+S33+T33+U33+V33+W33+X33+Y33)/Z33</f>
        <v>#DIV/0!</v>
      </c>
      <c r="AI33" s="12">
        <v>0</v>
      </c>
      <c r="AJ33" s="12">
        <v>0</v>
      </c>
      <c r="AK33" s="12">
        <v>0</v>
      </c>
      <c r="AL33" s="12">
        <v>0</v>
      </c>
      <c r="AM33" s="12">
        <v>0</v>
      </c>
      <c r="AN33" s="12">
        <v>0</v>
      </c>
      <c r="AO33" s="12">
        <v>0</v>
      </c>
      <c r="AP33" s="12">
        <v>0</v>
      </c>
      <c r="AQ33" s="12"/>
      <c r="AR33" s="1">
        <f>ROUND(I33*AC33,0)</f>
        <v>0</v>
      </c>
      <c r="AS33" s="1">
        <f>ROUND(I33*AD33,0)</f>
        <v>0</v>
      </c>
      <c r="AT33" s="1"/>
      <c r="AU33" s="1"/>
      <c r="AV33" s="1"/>
      <c r="AW33" s="1"/>
      <c r="AX33" s="1"/>
      <c r="AY33" s="1"/>
      <c r="AZ33" s="1"/>
      <c r="BA33" s="1"/>
      <c r="BB33" s="1"/>
    </row>
    <row r="34" spans="1:54" x14ac:dyDescent="0.25">
      <c r="A34" s="1" t="s">
        <v>82</v>
      </c>
      <c r="B34" s="1" t="s">
        <v>42</v>
      </c>
      <c r="C34" s="1">
        <v>57.713000000000001</v>
      </c>
      <c r="D34" s="1">
        <v>10824.477999999999</v>
      </c>
      <c r="E34" s="1">
        <v>3972.7469999999998</v>
      </c>
      <c r="F34" s="1">
        <v>-32.064</v>
      </c>
      <c r="G34" s="1"/>
      <c r="H34" s="1">
        <f t="shared" si="3"/>
        <v>-32.064</v>
      </c>
      <c r="I34" s="7">
        <v>1</v>
      </c>
      <c r="J34" s="1">
        <v>40</v>
      </c>
      <c r="K34" s="11" t="s">
        <v>53</v>
      </c>
      <c r="L34" s="1"/>
      <c r="M34" s="1">
        <v>4111.0339999999997</v>
      </c>
      <c r="N34" s="1">
        <f t="shared" si="4"/>
        <v>-138.28699999999981</v>
      </c>
      <c r="O34" s="1">
        <f t="shared" si="5"/>
        <v>3550.6469999999999</v>
      </c>
      <c r="P34" s="1">
        <v>422.1</v>
      </c>
      <c r="Q34" s="1">
        <v>850.40000000000009</v>
      </c>
      <c r="R34" s="1"/>
      <c r="S34" s="1">
        <v>1149.5999999999999</v>
      </c>
      <c r="T34" s="1"/>
      <c r="U34" s="1"/>
      <c r="V34" s="1">
        <v>1063.2557999999999</v>
      </c>
      <c r="W34" s="1"/>
      <c r="X34" s="1"/>
      <c r="Y34" s="1">
        <v>489.09766800000023</v>
      </c>
      <c r="Z34" s="1">
        <f>O34/5</f>
        <v>710.12940000000003</v>
      </c>
      <c r="AA34" s="5">
        <v>3700</v>
      </c>
      <c r="AB34" s="5">
        <f>AA34*1.3</f>
        <v>4810</v>
      </c>
      <c r="AC34" s="5">
        <f>AB34-1100</f>
        <v>3710</v>
      </c>
      <c r="AD34" s="5">
        <f>0.5*AB34+1100</f>
        <v>3505</v>
      </c>
      <c r="AE34" s="1"/>
      <c r="AF34" s="1"/>
      <c r="AG34" s="1">
        <f>(H34+Q34+R34+S34+T34+U34+V34+W34+X34+Y34+AC34+AD34)/Z34</f>
        <v>15.117370817205991</v>
      </c>
      <c r="AH34" s="1">
        <f>(H34+Q34+R34+S34+T34+U34+V34+W34+X34+Y34)/Z34</f>
        <v>4.9572507038857996</v>
      </c>
      <c r="AI34" s="1">
        <v>412.98540000000003</v>
      </c>
      <c r="AJ34" s="1">
        <v>192.2834</v>
      </c>
      <c r="AK34" s="1">
        <v>374.25259999999997</v>
      </c>
      <c r="AL34" s="1">
        <v>576.91759999999999</v>
      </c>
      <c r="AM34" s="1">
        <v>427.83499999999998</v>
      </c>
      <c r="AN34" s="1">
        <v>330.09280000000001</v>
      </c>
      <c r="AO34" s="1">
        <v>221.54920000000001</v>
      </c>
      <c r="AP34" s="1">
        <v>91.550399999999996</v>
      </c>
      <c r="AQ34" s="1"/>
      <c r="AR34" s="1">
        <f>ROUND(I34*AC34,0)</f>
        <v>3710</v>
      </c>
      <c r="AS34" s="1">
        <f>ROUND(I34*AD34,0)</f>
        <v>3505</v>
      </c>
      <c r="AT34" s="1"/>
      <c r="AU34" s="1"/>
      <c r="AV34" s="1"/>
      <c r="AW34" s="1"/>
      <c r="AX34" s="1"/>
      <c r="AY34" s="1"/>
      <c r="AZ34" s="1"/>
      <c r="BA34" s="1"/>
      <c r="BB34" s="1"/>
    </row>
    <row r="35" spans="1:54" x14ac:dyDescent="0.25">
      <c r="A35" s="12" t="s">
        <v>83</v>
      </c>
      <c r="B35" s="12" t="s">
        <v>42</v>
      </c>
      <c r="C35" s="12"/>
      <c r="D35" s="12"/>
      <c r="E35" s="12"/>
      <c r="F35" s="12"/>
      <c r="G35" s="12"/>
      <c r="H35" s="12">
        <f t="shared" si="3"/>
        <v>0</v>
      </c>
      <c r="I35" s="13">
        <v>0</v>
      </c>
      <c r="J35" s="12"/>
      <c r="K35" s="12" t="s">
        <v>43</v>
      </c>
      <c r="L35" s="12"/>
      <c r="M35" s="12"/>
      <c r="N35" s="12">
        <f t="shared" si="4"/>
        <v>0</v>
      </c>
      <c r="O35" s="12">
        <f t="shared" si="5"/>
        <v>0</v>
      </c>
      <c r="P35" s="12"/>
      <c r="Q35" s="12">
        <v>0</v>
      </c>
      <c r="R35" s="12"/>
      <c r="S35" s="12"/>
      <c r="T35" s="12"/>
      <c r="U35" s="12"/>
      <c r="V35" s="12">
        <v>0</v>
      </c>
      <c r="W35" s="12"/>
      <c r="X35" s="12"/>
      <c r="Y35" s="12"/>
      <c r="Z35" s="12">
        <f>O35/5</f>
        <v>0</v>
      </c>
      <c r="AA35" s="14"/>
      <c r="AB35" s="5">
        <f t="shared" si="6"/>
        <v>0</v>
      </c>
      <c r="AC35" s="5"/>
      <c r="AD35" s="5"/>
      <c r="AE35" s="12"/>
      <c r="AF35" s="1"/>
      <c r="AG35" s="1" t="e">
        <f>(H35+Q35+R35+S35+T35+U35+V35+W35+X35+Y35+AC35+AD35)/Z35</f>
        <v>#DIV/0!</v>
      </c>
      <c r="AH35" s="12" t="e">
        <f>(H35+Q35+R35+S35+T35+U35+V35+W35+X35+Y35)/Z35</f>
        <v>#DIV/0!</v>
      </c>
      <c r="AI35" s="12">
        <v>0</v>
      </c>
      <c r="AJ35" s="12">
        <v>0</v>
      </c>
      <c r="AK35" s="12">
        <v>0</v>
      </c>
      <c r="AL35" s="12">
        <v>0</v>
      </c>
      <c r="AM35" s="12">
        <v>0</v>
      </c>
      <c r="AN35" s="12">
        <v>0</v>
      </c>
      <c r="AO35" s="12">
        <v>0</v>
      </c>
      <c r="AP35" s="12">
        <v>0</v>
      </c>
      <c r="AQ35" s="12" t="s">
        <v>65</v>
      </c>
      <c r="AR35" s="1">
        <f>ROUND(I35*AC35,0)</f>
        <v>0</v>
      </c>
      <c r="AS35" s="1">
        <f>ROUND(I35*AD35,0)</f>
        <v>0</v>
      </c>
      <c r="AT35" s="1"/>
      <c r="AU35" s="1"/>
      <c r="AV35" s="1"/>
      <c r="AW35" s="1"/>
      <c r="AX35" s="1"/>
      <c r="AY35" s="1"/>
      <c r="AZ35" s="1"/>
      <c r="BA35" s="1"/>
      <c r="BB35" s="1"/>
    </row>
    <row r="36" spans="1:54" x14ac:dyDescent="0.25">
      <c r="A36" s="12" t="s">
        <v>84</v>
      </c>
      <c r="B36" s="12" t="s">
        <v>42</v>
      </c>
      <c r="C36" s="12"/>
      <c r="D36" s="12"/>
      <c r="E36" s="12"/>
      <c r="F36" s="12"/>
      <c r="G36" s="12"/>
      <c r="H36" s="12">
        <f t="shared" si="3"/>
        <v>0</v>
      </c>
      <c r="I36" s="13">
        <v>0</v>
      </c>
      <c r="J36" s="12"/>
      <c r="K36" s="12" t="s">
        <v>43</v>
      </c>
      <c r="L36" s="12"/>
      <c r="M36" s="12"/>
      <c r="N36" s="12">
        <f t="shared" si="4"/>
        <v>0</v>
      </c>
      <c r="O36" s="12">
        <f t="shared" si="5"/>
        <v>0</v>
      </c>
      <c r="P36" s="12"/>
      <c r="Q36" s="12">
        <v>0</v>
      </c>
      <c r="R36" s="12"/>
      <c r="S36" s="12"/>
      <c r="T36" s="12"/>
      <c r="U36" s="12"/>
      <c r="V36" s="12">
        <v>0</v>
      </c>
      <c r="W36" s="12"/>
      <c r="X36" s="12"/>
      <c r="Y36" s="12"/>
      <c r="Z36" s="12">
        <f>O36/5</f>
        <v>0</v>
      </c>
      <c r="AA36" s="14"/>
      <c r="AB36" s="5">
        <f t="shared" si="6"/>
        <v>0</v>
      </c>
      <c r="AC36" s="5"/>
      <c r="AD36" s="5"/>
      <c r="AE36" s="12"/>
      <c r="AF36" s="1"/>
      <c r="AG36" s="1" t="e">
        <f>(H36+Q36+R36+S36+T36+U36+V36+W36+X36+Y36+AC36+AD36)/Z36</f>
        <v>#DIV/0!</v>
      </c>
      <c r="AH36" s="12" t="e">
        <f>(H36+Q36+R36+S36+T36+U36+V36+W36+X36+Y36)/Z36</f>
        <v>#DIV/0!</v>
      </c>
      <c r="AI36" s="12">
        <v>0</v>
      </c>
      <c r="AJ36" s="12">
        <v>0</v>
      </c>
      <c r="AK36" s="12">
        <v>0</v>
      </c>
      <c r="AL36" s="12">
        <v>0</v>
      </c>
      <c r="AM36" s="12">
        <v>0</v>
      </c>
      <c r="AN36" s="12">
        <v>0</v>
      </c>
      <c r="AO36" s="12">
        <v>0</v>
      </c>
      <c r="AP36" s="12">
        <v>0</v>
      </c>
      <c r="AQ36" s="12" t="s">
        <v>65</v>
      </c>
      <c r="AR36" s="1">
        <f>ROUND(I36*AC36,0)</f>
        <v>0</v>
      </c>
      <c r="AS36" s="1">
        <f>ROUND(I36*AD36,0)</f>
        <v>0</v>
      </c>
      <c r="AT36" s="1"/>
      <c r="AU36" s="1"/>
      <c r="AV36" s="1"/>
      <c r="AW36" s="1"/>
      <c r="AX36" s="1"/>
      <c r="AY36" s="1"/>
      <c r="AZ36" s="1"/>
      <c r="BA36" s="1"/>
      <c r="BB36" s="1"/>
    </row>
    <row r="37" spans="1:54" x14ac:dyDescent="0.25">
      <c r="A37" s="12" t="s">
        <v>85</v>
      </c>
      <c r="B37" s="12" t="s">
        <v>42</v>
      </c>
      <c r="C37" s="12"/>
      <c r="D37" s="12"/>
      <c r="E37" s="12"/>
      <c r="F37" s="12"/>
      <c r="G37" s="12"/>
      <c r="H37" s="12">
        <f t="shared" si="3"/>
        <v>0</v>
      </c>
      <c r="I37" s="13">
        <v>0</v>
      </c>
      <c r="J37" s="12"/>
      <c r="K37" s="12" t="s">
        <v>43</v>
      </c>
      <c r="L37" s="12"/>
      <c r="M37" s="12"/>
      <c r="N37" s="12">
        <f t="shared" si="4"/>
        <v>0</v>
      </c>
      <c r="O37" s="12">
        <f t="shared" si="5"/>
        <v>0</v>
      </c>
      <c r="P37" s="12"/>
      <c r="Q37" s="12">
        <v>0</v>
      </c>
      <c r="R37" s="12"/>
      <c r="S37" s="12"/>
      <c r="T37" s="12"/>
      <c r="U37" s="12"/>
      <c r="V37" s="12">
        <v>0</v>
      </c>
      <c r="W37" s="12"/>
      <c r="X37" s="12"/>
      <c r="Y37" s="12"/>
      <c r="Z37" s="12">
        <f>O37/5</f>
        <v>0</v>
      </c>
      <c r="AA37" s="14"/>
      <c r="AB37" s="5">
        <f t="shared" si="6"/>
        <v>0</v>
      </c>
      <c r="AC37" s="5"/>
      <c r="AD37" s="5"/>
      <c r="AE37" s="12"/>
      <c r="AF37" s="1"/>
      <c r="AG37" s="1" t="e">
        <f>(H37+Q37+R37+S37+T37+U37+V37+W37+X37+Y37+AC37+AD37)/Z37</f>
        <v>#DIV/0!</v>
      </c>
      <c r="AH37" s="12" t="e">
        <f>(H37+Q37+R37+S37+T37+U37+V37+W37+X37+Y37)/Z37</f>
        <v>#DIV/0!</v>
      </c>
      <c r="AI37" s="12">
        <v>0</v>
      </c>
      <c r="AJ37" s="12">
        <v>0</v>
      </c>
      <c r="AK37" s="12">
        <v>0</v>
      </c>
      <c r="AL37" s="12">
        <v>0</v>
      </c>
      <c r="AM37" s="12">
        <v>0</v>
      </c>
      <c r="AN37" s="12">
        <v>0</v>
      </c>
      <c r="AO37" s="12">
        <v>0</v>
      </c>
      <c r="AP37" s="12">
        <v>0</v>
      </c>
      <c r="AQ37" s="12" t="s">
        <v>65</v>
      </c>
      <c r="AR37" s="1">
        <f>ROUND(I37*AC37,0)</f>
        <v>0</v>
      </c>
      <c r="AS37" s="1">
        <f>ROUND(I37*AD37,0)</f>
        <v>0</v>
      </c>
      <c r="AT37" s="1"/>
      <c r="AU37" s="1"/>
      <c r="AV37" s="1"/>
      <c r="AW37" s="1"/>
      <c r="AX37" s="1"/>
      <c r="AY37" s="1"/>
      <c r="AZ37" s="1"/>
      <c r="BA37" s="1"/>
      <c r="BB37" s="1"/>
    </row>
    <row r="38" spans="1:54" x14ac:dyDescent="0.25">
      <c r="A38" s="12" t="s">
        <v>86</v>
      </c>
      <c r="B38" s="12" t="s">
        <v>42</v>
      </c>
      <c r="C38" s="12"/>
      <c r="D38" s="12"/>
      <c r="E38" s="12"/>
      <c r="F38" s="12"/>
      <c r="G38" s="12"/>
      <c r="H38" s="12">
        <f t="shared" ref="H38:H69" si="11">F38-G38</f>
        <v>0</v>
      </c>
      <c r="I38" s="13">
        <v>0</v>
      </c>
      <c r="J38" s="12"/>
      <c r="K38" s="12" t="s">
        <v>43</v>
      </c>
      <c r="L38" s="12"/>
      <c r="M38" s="12"/>
      <c r="N38" s="12">
        <f t="shared" ref="N38:N69" si="12">E38-M38</f>
        <v>0</v>
      </c>
      <c r="O38" s="12">
        <f t="shared" ref="O38:O69" si="13">E38-P38</f>
        <v>0</v>
      </c>
      <c r="P38" s="12"/>
      <c r="Q38" s="12">
        <v>0</v>
      </c>
      <c r="R38" s="12"/>
      <c r="S38" s="12"/>
      <c r="T38" s="12"/>
      <c r="U38" s="12"/>
      <c r="V38" s="12">
        <v>0</v>
      </c>
      <c r="W38" s="12"/>
      <c r="X38" s="12"/>
      <c r="Y38" s="12"/>
      <c r="Z38" s="12">
        <f>O38/5</f>
        <v>0</v>
      </c>
      <c r="AA38" s="14"/>
      <c r="AB38" s="5">
        <f t="shared" si="6"/>
        <v>0</v>
      </c>
      <c r="AC38" s="5"/>
      <c r="AD38" s="5"/>
      <c r="AE38" s="12"/>
      <c r="AF38" s="1"/>
      <c r="AG38" s="1" t="e">
        <f>(H38+Q38+R38+S38+T38+U38+V38+W38+X38+Y38+AC38+AD38)/Z38</f>
        <v>#DIV/0!</v>
      </c>
      <c r="AH38" s="12" t="e">
        <f>(H38+Q38+R38+S38+T38+U38+V38+W38+X38+Y38)/Z38</f>
        <v>#DIV/0!</v>
      </c>
      <c r="AI38" s="12">
        <v>0</v>
      </c>
      <c r="AJ38" s="12">
        <v>0</v>
      </c>
      <c r="AK38" s="12">
        <v>0</v>
      </c>
      <c r="AL38" s="12">
        <v>0</v>
      </c>
      <c r="AM38" s="12">
        <v>0</v>
      </c>
      <c r="AN38" s="12">
        <v>0</v>
      </c>
      <c r="AO38" s="12">
        <v>0</v>
      </c>
      <c r="AP38" s="12">
        <v>0</v>
      </c>
      <c r="AQ38" s="12" t="s">
        <v>65</v>
      </c>
      <c r="AR38" s="1">
        <f>ROUND(I38*AC38,0)</f>
        <v>0</v>
      </c>
      <c r="AS38" s="1">
        <f>ROUND(I38*AD38,0)</f>
        <v>0</v>
      </c>
      <c r="AT38" s="1"/>
      <c r="AU38" s="1"/>
      <c r="AV38" s="1"/>
      <c r="AW38" s="1"/>
      <c r="AX38" s="1"/>
      <c r="AY38" s="1"/>
      <c r="AZ38" s="1"/>
      <c r="BA38" s="1"/>
      <c r="BB38" s="1"/>
    </row>
    <row r="39" spans="1:54" x14ac:dyDescent="0.25">
      <c r="A39" s="1" t="s">
        <v>87</v>
      </c>
      <c r="B39" s="1" t="s">
        <v>48</v>
      </c>
      <c r="C39" s="1">
        <v>467</v>
      </c>
      <c r="D39" s="1">
        <v>23946</v>
      </c>
      <c r="E39" s="1">
        <v>3983</v>
      </c>
      <c r="F39" s="1">
        <v>2193</v>
      </c>
      <c r="G39" s="1"/>
      <c r="H39" s="1">
        <f t="shared" si="11"/>
        <v>2193</v>
      </c>
      <c r="I39" s="7">
        <v>0.4</v>
      </c>
      <c r="J39" s="1">
        <v>45</v>
      </c>
      <c r="K39" s="11" t="s">
        <v>53</v>
      </c>
      <c r="L39" s="1"/>
      <c r="M39" s="1">
        <v>4285</v>
      </c>
      <c r="N39" s="1">
        <f t="shared" si="12"/>
        <v>-302</v>
      </c>
      <c r="O39" s="1">
        <f t="shared" si="13"/>
        <v>3773</v>
      </c>
      <c r="P39" s="1">
        <v>210</v>
      </c>
      <c r="Q39" s="1">
        <v>1275.5999999999999</v>
      </c>
      <c r="R39" s="1">
        <v>-1230</v>
      </c>
      <c r="S39" s="1">
        <v>1724.4</v>
      </c>
      <c r="T39" s="1">
        <v>-1728</v>
      </c>
      <c r="U39" s="1"/>
      <c r="V39" s="1">
        <v>1375.599999999999</v>
      </c>
      <c r="W39" s="1"/>
      <c r="X39" s="1"/>
      <c r="Y39" s="1">
        <v>632.77599999999939</v>
      </c>
      <c r="Z39" s="1">
        <f>O39/5</f>
        <v>754.6</v>
      </c>
      <c r="AA39" s="5">
        <v>2000</v>
      </c>
      <c r="AB39" s="5">
        <f>AA39*1.3</f>
        <v>2600</v>
      </c>
      <c r="AC39" s="5">
        <f>AB39-1000</f>
        <v>1600</v>
      </c>
      <c r="AD39" s="5">
        <f>0.5*AB39+1000</f>
        <v>2300</v>
      </c>
      <c r="AE39" s="1"/>
      <c r="AF39" s="1"/>
      <c r="AG39" s="1">
        <f>(H39+Q39+R39+S39+T39+U39+V39+W39+X39+Y39+AC39+AD39)/Z39</f>
        <v>10.79164590511529</v>
      </c>
      <c r="AH39" s="1">
        <f>(H39+Q39+R39+S39+T39+U39+V39+W39+X39+Y39)/Z39</f>
        <v>5.6233448184468573</v>
      </c>
      <c r="AI39" s="1">
        <v>654.79999999999995</v>
      </c>
      <c r="AJ39" s="1">
        <v>869.4</v>
      </c>
      <c r="AK39" s="1">
        <v>631</v>
      </c>
      <c r="AL39" s="1">
        <v>648.4</v>
      </c>
      <c r="AM39" s="1">
        <v>1337.6</v>
      </c>
      <c r="AN39" s="1">
        <v>1183.5999999999999</v>
      </c>
      <c r="AO39" s="1">
        <v>579.79999999999995</v>
      </c>
      <c r="AP39" s="1">
        <v>402.6</v>
      </c>
      <c r="AQ39" s="1" t="s">
        <v>88</v>
      </c>
      <c r="AR39" s="1">
        <f>ROUND(I39*AC39,0)</f>
        <v>640</v>
      </c>
      <c r="AS39" s="1">
        <f>ROUND(I39*AD39,0)</f>
        <v>920</v>
      </c>
      <c r="AT39" s="1"/>
      <c r="AU39" s="1"/>
      <c r="AV39" s="1"/>
      <c r="AW39" s="1"/>
      <c r="AX39" s="1"/>
      <c r="AY39" s="1"/>
      <c r="AZ39" s="1"/>
      <c r="BA39" s="1"/>
      <c r="BB39" s="1"/>
    </row>
    <row r="40" spans="1:54" x14ac:dyDescent="0.25">
      <c r="A40" s="1" t="s">
        <v>89</v>
      </c>
      <c r="B40" s="1" t="s">
        <v>48</v>
      </c>
      <c r="C40" s="1">
        <v>392.75</v>
      </c>
      <c r="D40" s="1">
        <v>4839.25</v>
      </c>
      <c r="E40" s="1">
        <v>621</v>
      </c>
      <c r="F40" s="1">
        <v>338</v>
      </c>
      <c r="G40" s="1"/>
      <c r="H40" s="1">
        <f t="shared" si="11"/>
        <v>338</v>
      </c>
      <c r="I40" s="7">
        <v>0.45</v>
      </c>
      <c r="J40" s="1">
        <v>50</v>
      </c>
      <c r="K40" s="1" t="s">
        <v>43</v>
      </c>
      <c r="L40" s="1"/>
      <c r="M40" s="1">
        <v>675</v>
      </c>
      <c r="N40" s="1">
        <f t="shared" si="12"/>
        <v>-54</v>
      </c>
      <c r="O40" s="1">
        <f t="shared" si="13"/>
        <v>621</v>
      </c>
      <c r="P40" s="1"/>
      <c r="Q40" s="1">
        <v>0</v>
      </c>
      <c r="R40" s="1"/>
      <c r="S40" s="1"/>
      <c r="T40" s="1"/>
      <c r="U40" s="1"/>
      <c r="V40" s="1">
        <v>309.75577500000003</v>
      </c>
      <c r="W40" s="1"/>
      <c r="X40" s="1"/>
      <c r="Y40" s="1">
        <v>573.49422500000003</v>
      </c>
      <c r="Z40" s="1">
        <f>O40/5</f>
        <v>124.2</v>
      </c>
      <c r="AA40" s="5">
        <f>11*Z40-Y40-X40-W40-V40-U40-T40-S40-R40-Q40-H40</f>
        <v>144.94999999999999</v>
      </c>
      <c r="AB40" s="5">
        <f>AA40+$AB$1*Z40</f>
        <v>356.09</v>
      </c>
      <c r="AC40" s="5">
        <f>AB40-AD40</f>
        <v>71.217999999999961</v>
      </c>
      <c r="AD40" s="5">
        <f>AB40*$AD$1</f>
        <v>284.87200000000001</v>
      </c>
      <c r="AE40" s="1"/>
      <c r="AF40" s="1"/>
      <c r="AG40" s="1">
        <f>(H40+Q40+R40+S40+T40+U40+V40+W40+X40+Y40+AC40+AD40)/Z40</f>
        <v>12.7</v>
      </c>
      <c r="AH40" s="1">
        <f>(H40+Q40+R40+S40+T40+U40+V40+W40+X40+Y40)/Z40</f>
        <v>9.8329307568437994</v>
      </c>
      <c r="AI40" s="1">
        <v>129</v>
      </c>
      <c r="AJ40" s="1">
        <v>84</v>
      </c>
      <c r="AK40" s="1">
        <v>83.2</v>
      </c>
      <c r="AL40" s="1">
        <v>183.328</v>
      </c>
      <c r="AM40" s="1">
        <v>310.8</v>
      </c>
      <c r="AN40" s="1">
        <v>224.2</v>
      </c>
      <c r="AO40" s="1">
        <v>94</v>
      </c>
      <c r="AP40" s="1">
        <v>102.6</v>
      </c>
      <c r="AQ40" s="1"/>
      <c r="AR40" s="1">
        <f>ROUND(I40*AC40,0)</f>
        <v>32</v>
      </c>
      <c r="AS40" s="1">
        <f>ROUND(I40*AD40,0)</f>
        <v>128</v>
      </c>
      <c r="AT40" s="1"/>
      <c r="AU40" s="1"/>
      <c r="AV40" s="1"/>
      <c r="AW40" s="1"/>
      <c r="AX40" s="1"/>
      <c r="AY40" s="1"/>
      <c r="AZ40" s="1"/>
      <c r="BA40" s="1"/>
      <c r="BB40" s="1"/>
    </row>
    <row r="41" spans="1:54" x14ac:dyDescent="0.25">
      <c r="A41" s="1" t="s">
        <v>90</v>
      </c>
      <c r="B41" s="1" t="s">
        <v>48</v>
      </c>
      <c r="C41" s="1">
        <v>29</v>
      </c>
      <c r="D41" s="1">
        <v>4502</v>
      </c>
      <c r="E41" s="1">
        <v>1052</v>
      </c>
      <c r="F41" s="1">
        <v>218</v>
      </c>
      <c r="G41" s="1"/>
      <c r="H41" s="1">
        <f t="shared" si="11"/>
        <v>218</v>
      </c>
      <c r="I41" s="7">
        <v>0.4</v>
      </c>
      <c r="J41" s="1">
        <v>45</v>
      </c>
      <c r="K41" s="11" t="s">
        <v>53</v>
      </c>
      <c r="L41" s="1"/>
      <c r="M41" s="1">
        <v>1108</v>
      </c>
      <c r="N41" s="1">
        <f t="shared" si="12"/>
        <v>-56</v>
      </c>
      <c r="O41" s="1">
        <f t="shared" si="13"/>
        <v>1052</v>
      </c>
      <c r="P41" s="1"/>
      <c r="Q41" s="1">
        <v>108.85120000000011</v>
      </c>
      <c r="R41" s="1"/>
      <c r="S41" s="1">
        <v>147.14880000000011</v>
      </c>
      <c r="T41" s="1"/>
      <c r="U41" s="1"/>
      <c r="V41" s="1">
        <v>1395</v>
      </c>
      <c r="W41" s="1"/>
      <c r="X41" s="1"/>
      <c r="Y41" s="1">
        <v>641.70000000000005</v>
      </c>
      <c r="Z41" s="1">
        <f>O41/5</f>
        <v>210.4</v>
      </c>
      <c r="AA41" s="5"/>
      <c r="AB41" s="5">
        <f t="shared" ref="AB41:AB43" si="14">AA41*1.3</f>
        <v>0</v>
      </c>
      <c r="AC41" s="5">
        <f t="shared" ref="AC41:AC43" si="15">AB41</f>
        <v>0</v>
      </c>
      <c r="AD41" s="5"/>
      <c r="AE41" s="1"/>
      <c r="AF41" s="1"/>
      <c r="AG41" s="1">
        <f>(H41+Q41+R41+S41+T41+U41+V41+W41+X41+Y41+AC41+AD41)/Z41</f>
        <v>11.932984790874526</v>
      </c>
      <c r="AH41" s="1">
        <f>(H41+Q41+R41+S41+T41+U41+V41+W41+X41+Y41)/Z41</f>
        <v>11.932984790874526</v>
      </c>
      <c r="AI41" s="1">
        <v>192</v>
      </c>
      <c r="AJ41" s="1">
        <v>152.4</v>
      </c>
      <c r="AK41" s="1">
        <v>151.6</v>
      </c>
      <c r="AL41" s="1">
        <v>137</v>
      </c>
      <c r="AM41" s="1">
        <v>55.2</v>
      </c>
      <c r="AN41" s="1">
        <v>16.600000000000001</v>
      </c>
      <c r="AO41" s="1">
        <v>46.2</v>
      </c>
      <c r="AP41" s="1">
        <v>45.4</v>
      </c>
      <c r="AQ41" s="1"/>
      <c r="AR41" s="1">
        <f>ROUND(I41*AC41,0)</f>
        <v>0</v>
      </c>
      <c r="AS41" s="1">
        <f>ROUND(I41*AD41,0)</f>
        <v>0</v>
      </c>
      <c r="AT41" s="1"/>
      <c r="AU41" s="1"/>
      <c r="AV41" s="1"/>
      <c r="AW41" s="1"/>
      <c r="AX41" s="1"/>
      <c r="AY41" s="1"/>
      <c r="AZ41" s="1"/>
      <c r="BA41" s="1"/>
      <c r="BB41" s="1"/>
    </row>
    <row r="42" spans="1:54" x14ac:dyDescent="0.25">
      <c r="A42" s="1" t="s">
        <v>91</v>
      </c>
      <c r="B42" s="1" t="s">
        <v>48</v>
      </c>
      <c r="C42" s="1">
        <v>-16</v>
      </c>
      <c r="D42" s="1">
        <v>1087</v>
      </c>
      <c r="E42" s="1"/>
      <c r="F42" s="1"/>
      <c r="G42" s="1"/>
      <c r="H42" s="1">
        <f t="shared" si="11"/>
        <v>0</v>
      </c>
      <c r="I42" s="7">
        <v>0.4</v>
      </c>
      <c r="J42" s="1">
        <v>40</v>
      </c>
      <c r="K42" s="11" t="s">
        <v>53</v>
      </c>
      <c r="L42" s="1"/>
      <c r="M42" s="1">
        <v>435</v>
      </c>
      <c r="N42" s="1">
        <f t="shared" si="12"/>
        <v>-435</v>
      </c>
      <c r="O42" s="1">
        <f t="shared" si="13"/>
        <v>0</v>
      </c>
      <c r="P42" s="1"/>
      <c r="Q42" s="1">
        <v>100</v>
      </c>
      <c r="R42" s="1"/>
      <c r="S42" s="1"/>
      <c r="T42" s="1"/>
      <c r="U42" s="1"/>
      <c r="V42" s="1">
        <v>100</v>
      </c>
      <c r="W42" s="1"/>
      <c r="X42" s="1"/>
      <c r="Y42" s="1">
        <v>50</v>
      </c>
      <c r="Z42" s="1">
        <f>O42/5</f>
        <v>0</v>
      </c>
      <c r="AA42" s="5">
        <v>50</v>
      </c>
      <c r="AB42" s="5">
        <f t="shared" si="14"/>
        <v>65</v>
      </c>
      <c r="AC42" s="5">
        <f t="shared" si="15"/>
        <v>65</v>
      </c>
      <c r="AD42" s="5"/>
      <c r="AE42" s="1"/>
      <c r="AF42" s="1"/>
      <c r="AG42" s="1" t="e">
        <f>(H42+Q42+R42+S42+T42+U42+V42+W42+X42+Y42+AC42+AD42)/Z42</f>
        <v>#DIV/0!</v>
      </c>
      <c r="AH42" s="1" t="e">
        <f>(H42+Q42+R42+S42+T42+U42+V42+W42+X42+Y42)/Z42</f>
        <v>#DIV/0!</v>
      </c>
      <c r="AI42" s="1">
        <v>1.8</v>
      </c>
      <c r="AJ42" s="1">
        <v>13.6</v>
      </c>
      <c r="AK42" s="1">
        <v>18.8</v>
      </c>
      <c r="AL42" s="1">
        <v>7.4</v>
      </c>
      <c r="AM42" s="1">
        <v>-0.2</v>
      </c>
      <c r="AN42" s="1">
        <v>-0.2</v>
      </c>
      <c r="AO42" s="1">
        <v>0</v>
      </c>
      <c r="AP42" s="1">
        <v>-0.4</v>
      </c>
      <c r="AQ42" s="1"/>
      <c r="AR42" s="1">
        <f>ROUND(I42*AC42,0)</f>
        <v>26</v>
      </c>
      <c r="AS42" s="1">
        <f>ROUND(I42*AD42,0)</f>
        <v>0</v>
      </c>
      <c r="AT42" s="1"/>
      <c r="AU42" s="1"/>
      <c r="AV42" s="1"/>
      <c r="AW42" s="1"/>
      <c r="AX42" s="1"/>
      <c r="AY42" s="1"/>
      <c r="AZ42" s="1"/>
      <c r="BA42" s="1"/>
      <c r="BB42" s="1"/>
    </row>
    <row r="43" spans="1:54" x14ac:dyDescent="0.25">
      <c r="A43" s="1" t="s">
        <v>92</v>
      </c>
      <c r="B43" s="1" t="s">
        <v>42</v>
      </c>
      <c r="C43" s="1">
        <v>74.158000000000001</v>
      </c>
      <c r="D43" s="1">
        <v>159.346</v>
      </c>
      <c r="E43" s="1">
        <v>11.406000000000001</v>
      </c>
      <c r="F43" s="1">
        <v>167.244</v>
      </c>
      <c r="G43" s="1"/>
      <c r="H43" s="1">
        <f t="shared" si="11"/>
        <v>167.244</v>
      </c>
      <c r="I43" s="7">
        <v>1</v>
      </c>
      <c r="J43" s="1"/>
      <c r="K43" s="11" t="s">
        <v>53</v>
      </c>
      <c r="L43" s="1"/>
      <c r="M43" s="1">
        <v>13</v>
      </c>
      <c r="N43" s="1">
        <f t="shared" si="12"/>
        <v>-1.5939999999999994</v>
      </c>
      <c r="O43" s="1">
        <f t="shared" si="13"/>
        <v>11.406000000000001</v>
      </c>
      <c r="P43" s="1"/>
      <c r="Q43" s="1">
        <v>0</v>
      </c>
      <c r="R43" s="1"/>
      <c r="S43" s="1"/>
      <c r="T43" s="1"/>
      <c r="U43" s="1"/>
      <c r="V43" s="1">
        <v>0</v>
      </c>
      <c r="W43" s="1"/>
      <c r="X43" s="1"/>
      <c r="Y43" s="1"/>
      <c r="Z43" s="1">
        <f>O43/5</f>
        <v>2.2812000000000001</v>
      </c>
      <c r="AA43" s="5"/>
      <c r="AB43" s="5">
        <f t="shared" si="14"/>
        <v>0</v>
      </c>
      <c r="AC43" s="5">
        <f t="shared" si="15"/>
        <v>0</v>
      </c>
      <c r="AD43" s="5"/>
      <c r="AE43" s="1"/>
      <c r="AF43" s="1"/>
      <c r="AG43" s="1">
        <f>(H43+Q43+R43+S43+T43+U43+V43+W43+X43+Y43+AC43+AD43)/Z43</f>
        <v>73.314045239347706</v>
      </c>
      <c r="AH43" s="1">
        <f>(H43+Q43+R43+S43+T43+U43+V43+W43+X43+Y43)/Z43</f>
        <v>73.314045239347706</v>
      </c>
      <c r="AI43" s="1">
        <v>4.6482000000000001</v>
      </c>
      <c r="AJ43" s="1">
        <v>6.3221999999999996</v>
      </c>
      <c r="AK43" s="1">
        <v>11.244199999999999</v>
      </c>
      <c r="AL43" s="1">
        <v>18.956</v>
      </c>
      <c r="AM43" s="1">
        <v>4.8393999999999986</v>
      </c>
      <c r="AN43" s="1">
        <v>5.6033999999999997</v>
      </c>
      <c r="AO43" s="1">
        <v>14.360799999999999</v>
      </c>
      <c r="AP43" s="1">
        <v>9.3544</v>
      </c>
      <c r="AQ43" s="17" t="s">
        <v>76</v>
      </c>
      <c r="AR43" s="1">
        <f>ROUND(I43*AC43,0)</f>
        <v>0</v>
      </c>
      <c r="AS43" s="1">
        <f>ROUND(I43*AD43,0)</f>
        <v>0</v>
      </c>
      <c r="AT43" s="1"/>
      <c r="AU43" s="1"/>
      <c r="AV43" s="1"/>
      <c r="AW43" s="1"/>
      <c r="AX43" s="1"/>
      <c r="AY43" s="1"/>
      <c r="AZ43" s="1"/>
      <c r="BA43" s="1"/>
      <c r="BB43" s="1"/>
    </row>
    <row r="44" spans="1:54" x14ac:dyDescent="0.25">
      <c r="A44" s="1" t="s">
        <v>93</v>
      </c>
      <c r="B44" s="1" t="s">
        <v>48</v>
      </c>
      <c r="C44" s="1">
        <v>231</v>
      </c>
      <c r="D44" s="1">
        <v>830</v>
      </c>
      <c r="E44" s="1">
        <v>331</v>
      </c>
      <c r="F44" s="1">
        <v>533</v>
      </c>
      <c r="G44" s="1"/>
      <c r="H44" s="1">
        <f t="shared" si="11"/>
        <v>533</v>
      </c>
      <c r="I44" s="7">
        <v>0.1</v>
      </c>
      <c r="J44" s="1">
        <v>731</v>
      </c>
      <c r="K44" s="1" t="s">
        <v>43</v>
      </c>
      <c r="L44" s="1"/>
      <c r="M44" s="1">
        <v>364</v>
      </c>
      <c r="N44" s="1">
        <f t="shared" si="12"/>
        <v>-33</v>
      </c>
      <c r="O44" s="1">
        <f t="shared" si="13"/>
        <v>331</v>
      </c>
      <c r="P44" s="1"/>
      <c r="Q44" s="1">
        <v>200</v>
      </c>
      <c r="R44" s="1"/>
      <c r="S44" s="1"/>
      <c r="T44" s="1"/>
      <c r="U44" s="1"/>
      <c r="V44" s="1">
        <v>0</v>
      </c>
      <c r="W44" s="1"/>
      <c r="X44" s="1"/>
      <c r="Y44" s="1"/>
      <c r="Z44" s="1">
        <f>O44/5</f>
        <v>66.2</v>
      </c>
      <c r="AA44" s="5"/>
      <c r="AB44" s="5">
        <f t="shared" si="6"/>
        <v>0</v>
      </c>
      <c r="AC44" s="5"/>
      <c r="AD44" s="5"/>
      <c r="AE44" s="1"/>
      <c r="AF44" s="1"/>
      <c r="AG44" s="1">
        <f>(H44+Q44+R44+S44+T44+U44+V44+W44+X44+Y44+AC44+AD44)/Z44</f>
        <v>11.072507552870091</v>
      </c>
      <c r="AH44" s="1">
        <f>(H44+Q44+R44+S44+T44+U44+V44+W44+X44+Y44)/Z44</f>
        <v>11.072507552870091</v>
      </c>
      <c r="AI44" s="1">
        <v>60.8</v>
      </c>
      <c r="AJ44" s="1">
        <v>56</v>
      </c>
      <c r="AK44" s="1">
        <v>60</v>
      </c>
      <c r="AL44" s="1">
        <v>69.400000000000006</v>
      </c>
      <c r="AM44" s="1">
        <v>43</v>
      </c>
      <c r="AN44" s="1">
        <v>24</v>
      </c>
      <c r="AO44" s="1">
        <v>35.6</v>
      </c>
      <c r="AP44" s="1">
        <v>42.4</v>
      </c>
      <c r="AQ44" s="1"/>
      <c r="AR44" s="1">
        <f>ROUND(I44*AC44,0)</f>
        <v>0</v>
      </c>
      <c r="AS44" s="1">
        <f>ROUND(I44*AD44,0)</f>
        <v>0</v>
      </c>
      <c r="AT44" s="1"/>
      <c r="AU44" s="1"/>
      <c r="AV44" s="1"/>
      <c r="AW44" s="1"/>
      <c r="AX44" s="1"/>
      <c r="AY44" s="1"/>
      <c r="AZ44" s="1"/>
      <c r="BA44" s="1"/>
      <c r="BB44" s="1"/>
    </row>
    <row r="45" spans="1:54" x14ac:dyDescent="0.25">
      <c r="A45" s="1" t="s">
        <v>94</v>
      </c>
      <c r="B45" s="1" t="s">
        <v>48</v>
      </c>
      <c r="C45" s="1">
        <v>-3</v>
      </c>
      <c r="D45" s="1">
        <v>101</v>
      </c>
      <c r="E45" s="1">
        <v>-2</v>
      </c>
      <c r="F45" s="1">
        <v>7</v>
      </c>
      <c r="G45" s="1"/>
      <c r="H45" s="1">
        <f t="shared" si="11"/>
        <v>7</v>
      </c>
      <c r="I45" s="7">
        <v>0.35</v>
      </c>
      <c r="J45" s="1">
        <v>40</v>
      </c>
      <c r="K45" s="11" t="s">
        <v>53</v>
      </c>
      <c r="L45" s="1"/>
      <c r="M45" s="1">
        <v>24</v>
      </c>
      <c r="N45" s="1">
        <f t="shared" si="12"/>
        <v>-26</v>
      </c>
      <c r="O45" s="1">
        <f t="shared" si="13"/>
        <v>-2</v>
      </c>
      <c r="P45" s="1"/>
      <c r="Q45" s="1">
        <v>120</v>
      </c>
      <c r="R45" s="1">
        <v>-120</v>
      </c>
      <c r="S45" s="1"/>
      <c r="T45" s="1"/>
      <c r="U45" s="1"/>
      <c r="V45" s="1">
        <v>90.799999999999983</v>
      </c>
      <c r="W45" s="1">
        <v>-96.000000000000014</v>
      </c>
      <c r="X45" s="1"/>
      <c r="Y45" s="1"/>
      <c r="Z45" s="1">
        <f>O45/5</f>
        <v>-0.4</v>
      </c>
      <c r="AA45" s="5">
        <v>40</v>
      </c>
      <c r="AB45" s="5">
        <f t="shared" ref="AB45:AB51" si="16">AA45*1.3</f>
        <v>52</v>
      </c>
      <c r="AC45" s="5">
        <f t="shared" ref="AC45:AC51" si="17">AB45</f>
        <v>52</v>
      </c>
      <c r="AD45" s="5"/>
      <c r="AE45" s="1"/>
      <c r="AF45" s="1"/>
      <c r="AG45" s="1">
        <f>(H45+Q45+R45+S45+T45+U45+V45+W45+X45+Y45+AC45+AD45)/Z45</f>
        <v>-134.49999999999991</v>
      </c>
      <c r="AH45" s="1">
        <f>(H45+Q45+R45+S45+T45+U45+V45+W45+X45+Y45)/Z45</f>
        <v>-4.4999999999999218</v>
      </c>
      <c r="AI45" s="1">
        <v>17.399999999999999</v>
      </c>
      <c r="AJ45" s="1">
        <v>18.2</v>
      </c>
      <c r="AK45" s="1">
        <v>0.4</v>
      </c>
      <c r="AL45" s="1">
        <v>0.6</v>
      </c>
      <c r="AM45" s="1">
        <v>-0.8</v>
      </c>
      <c r="AN45" s="1">
        <v>-1.8</v>
      </c>
      <c r="AO45" s="1">
        <v>-2.4</v>
      </c>
      <c r="AP45" s="1">
        <v>-1.2</v>
      </c>
      <c r="AQ45" s="1"/>
      <c r="AR45" s="1">
        <f>ROUND(I45*AC45,0)</f>
        <v>18</v>
      </c>
      <c r="AS45" s="1">
        <f>ROUND(I45*AD45,0)</f>
        <v>0</v>
      </c>
      <c r="AT45" s="1"/>
      <c r="AU45" s="1"/>
      <c r="AV45" s="1"/>
      <c r="AW45" s="1"/>
      <c r="AX45" s="1"/>
      <c r="AY45" s="1"/>
      <c r="AZ45" s="1"/>
      <c r="BA45" s="1"/>
      <c r="BB45" s="1"/>
    </row>
    <row r="46" spans="1:54" x14ac:dyDescent="0.25">
      <c r="A46" s="1" t="s">
        <v>95</v>
      </c>
      <c r="B46" s="1" t="s">
        <v>42</v>
      </c>
      <c r="C46" s="1">
        <v>16.597999999999999</v>
      </c>
      <c r="D46" s="1">
        <v>43.508000000000003</v>
      </c>
      <c r="E46" s="1">
        <v>7.6879999999999997</v>
      </c>
      <c r="F46" s="1">
        <v>0.72799999999999998</v>
      </c>
      <c r="G46" s="1"/>
      <c r="H46" s="1">
        <f t="shared" si="11"/>
        <v>0.72799999999999998</v>
      </c>
      <c r="I46" s="7">
        <v>1</v>
      </c>
      <c r="J46" s="1">
        <v>40</v>
      </c>
      <c r="K46" s="11" t="s">
        <v>53</v>
      </c>
      <c r="L46" s="1"/>
      <c r="M46" s="1">
        <v>40.200000000000003</v>
      </c>
      <c r="N46" s="1">
        <f t="shared" si="12"/>
        <v>-32.512</v>
      </c>
      <c r="O46" s="1">
        <f t="shared" si="13"/>
        <v>7.6879999999999997</v>
      </c>
      <c r="P46" s="1"/>
      <c r="Q46" s="1">
        <v>26.244399999999999</v>
      </c>
      <c r="R46" s="1"/>
      <c r="S46" s="1"/>
      <c r="T46" s="1"/>
      <c r="U46" s="1"/>
      <c r="V46" s="1">
        <v>22.260799999999989</v>
      </c>
      <c r="W46" s="1"/>
      <c r="X46" s="1"/>
      <c r="Y46" s="1"/>
      <c r="Z46" s="1">
        <f>O46/5</f>
        <v>1.5375999999999999</v>
      </c>
      <c r="AA46" s="5">
        <v>40</v>
      </c>
      <c r="AB46" s="5">
        <f t="shared" si="16"/>
        <v>52</v>
      </c>
      <c r="AC46" s="5">
        <f t="shared" si="17"/>
        <v>52</v>
      </c>
      <c r="AD46" s="5"/>
      <c r="AE46" s="1"/>
      <c r="AF46" s="1"/>
      <c r="AG46" s="1">
        <f>(H46+Q46+R46+S46+T46+U46+V46+W46+X46+Y46+AC46+AD46)/Z46</f>
        <v>65.838449531737766</v>
      </c>
      <c r="AH46" s="1">
        <f>(H46+Q46+R46+S46+T46+U46+V46+W46+X46+Y46)/Z46</f>
        <v>32.01951092611862</v>
      </c>
      <c r="AI46" s="1">
        <v>4.7845999999999993</v>
      </c>
      <c r="AJ46" s="1">
        <v>3.8283999999999998</v>
      </c>
      <c r="AK46" s="1">
        <v>1.671</v>
      </c>
      <c r="AL46" s="1">
        <v>2.0398000000000001</v>
      </c>
      <c r="AM46" s="1">
        <v>3.0230000000000001</v>
      </c>
      <c r="AN46" s="1">
        <v>3.0924</v>
      </c>
      <c r="AO46" s="1">
        <v>2.1831999999999998</v>
      </c>
      <c r="AP46" s="1">
        <v>2.4698000000000002</v>
      </c>
      <c r="AQ46" s="1"/>
      <c r="AR46" s="1">
        <f>ROUND(I46*AC46,0)</f>
        <v>52</v>
      </c>
      <c r="AS46" s="1">
        <f>ROUND(I46*AD46,0)</f>
        <v>0</v>
      </c>
      <c r="AT46" s="1"/>
      <c r="AU46" s="1"/>
      <c r="AV46" s="1"/>
      <c r="AW46" s="1"/>
      <c r="AX46" s="1"/>
      <c r="AY46" s="1"/>
      <c r="AZ46" s="1"/>
      <c r="BA46" s="1"/>
      <c r="BB46" s="1"/>
    </row>
    <row r="47" spans="1:54" x14ac:dyDescent="0.25">
      <c r="A47" s="1" t="s">
        <v>96</v>
      </c>
      <c r="B47" s="1" t="s">
        <v>48</v>
      </c>
      <c r="C47" s="1">
        <v>-31</v>
      </c>
      <c r="D47" s="1">
        <v>1394</v>
      </c>
      <c r="E47" s="1">
        <v>366</v>
      </c>
      <c r="F47" s="1">
        <v>41</v>
      </c>
      <c r="G47" s="1"/>
      <c r="H47" s="1">
        <f t="shared" si="11"/>
        <v>41</v>
      </c>
      <c r="I47" s="7">
        <v>0.4</v>
      </c>
      <c r="J47" s="1">
        <v>40</v>
      </c>
      <c r="K47" s="11" t="s">
        <v>53</v>
      </c>
      <c r="L47" s="1"/>
      <c r="M47" s="1">
        <v>402</v>
      </c>
      <c r="N47" s="1">
        <f t="shared" si="12"/>
        <v>-36</v>
      </c>
      <c r="O47" s="1">
        <f t="shared" si="13"/>
        <v>366</v>
      </c>
      <c r="P47" s="1"/>
      <c r="Q47" s="1">
        <v>95.499920000000003</v>
      </c>
      <c r="R47" s="1"/>
      <c r="S47" s="1">
        <v>129.10007999999999</v>
      </c>
      <c r="T47" s="1"/>
      <c r="U47" s="1"/>
      <c r="V47" s="1">
        <v>378.40000000000009</v>
      </c>
      <c r="W47" s="1">
        <v>-377.99999999999989</v>
      </c>
      <c r="X47" s="1"/>
      <c r="Y47" s="1"/>
      <c r="Z47" s="1">
        <f>O47/5</f>
        <v>73.2</v>
      </c>
      <c r="AA47" s="5">
        <v>300</v>
      </c>
      <c r="AB47" s="5">
        <f t="shared" si="16"/>
        <v>390</v>
      </c>
      <c r="AC47" s="5">
        <f t="shared" si="17"/>
        <v>390</v>
      </c>
      <c r="AD47" s="5">
        <f t="shared" ref="AD47:AD48" si="18">0.5*AB47</f>
        <v>195</v>
      </c>
      <c r="AE47" s="1"/>
      <c r="AF47" s="1"/>
      <c r="AG47" s="1">
        <f>(H47+Q47+R47+S47+T47+U47+V47+W47+X47+Y47+AC47+AD47)/Z47</f>
        <v>11.625683060109292</v>
      </c>
      <c r="AH47" s="1">
        <f>(H47+Q47+R47+S47+T47+U47+V47+W47+X47+Y47)/Z47</f>
        <v>3.633879781420768</v>
      </c>
      <c r="AI47" s="1">
        <v>57</v>
      </c>
      <c r="AJ47" s="1">
        <v>51.2</v>
      </c>
      <c r="AK47" s="1">
        <v>38.4</v>
      </c>
      <c r="AL47" s="1">
        <v>34.6</v>
      </c>
      <c r="AM47" s="1">
        <v>39.4</v>
      </c>
      <c r="AN47" s="1">
        <v>36.6</v>
      </c>
      <c r="AO47" s="1">
        <v>26.8</v>
      </c>
      <c r="AP47" s="1">
        <v>24.8</v>
      </c>
      <c r="AQ47" s="1"/>
      <c r="AR47" s="1">
        <f>ROUND(I47*AC47,0)</f>
        <v>156</v>
      </c>
      <c r="AS47" s="1">
        <f>ROUND(I47*AD47,0)</f>
        <v>78</v>
      </c>
      <c r="AT47" s="1"/>
      <c r="AU47" s="1"/>
      <c r="AV47" s="1"/>
      <c r="AW47" s="1"/>
      <c r="AX47" s="1"/>
      <c r="AY47" s="1"/>
      <c r="AZ47" s="1"/>
      <c r="BA47" s="1"/>
      <c r="BB47" s="1"/>
    </row>
    <row r="48" spans="1:54" x14ac:dyDescent="0.25">
      <c r="A48" s="1" t="s">
        <v>97</v>
      </c>
      <c r="B48" s="1" t="s">
        <v>48</v>
      </c>
      <c r="C48" s="1">
        <v>32</v>
      </c>
      <c r="D48" s="1">
        <v>1766</v>
      </c>
      <c r="E48" s="1">
        <v>420</v>
      </c>
      <c r="F48" s="1">
        <v>72</v>
      </c>
      <c r="G48" s="1"/>
      <c r="H48" s="1">
        <f t="shared" si="11"/>
        <v>72</v>
      </c>
      <c r="I48" s="7">
        <v>0.4</v>
      </c>
      <c r="J48" s="1">
        <v>45</v>
      </c>
      <c r="K48" s="11" t="s">
        <v>53</v>
      </c>
      <c r="L48" s="1"/>
      <c r="M48" s="1">
        <v>476</v>
      </c>
      <c r="N48" s="1">
        <f t="shared" si="12"/>
        <v>-56</v>
      </c>
      <c r="O48" s="1">
        <f t="shared" si="13"/>
        <v>420</v>
      </c>
      <c r="P48" s="1"/>
      <c r="Q48" s="1">
        <v>127.56</v>
      </c>
      <c r="R48" s="1"/>
      <c r="S48" s="1">
        <v>172.44</v>
      </c>
      <c r="T48" s="1"/>
      <c r="U48" s="1"/>
      <c r="V48" s="1">
        <v>100</v>
      </c>
      <c r="W48" s="1"/>
      <c r="X48" s="1"/>
      <c r="Y48" s="1">
        <v>50</v>
      </c>
      <c r="Z48" s="1">
        <f>O48/5</f>
        <v>84</v>
      </c>
      <c r="AA48" s="5">
        <f>11*Z48-Y48-X48-W48-V48-U48-T48-S48-R48-Q48-H48</f>
        <v>401.99999999999994</v>
      </c>
      <c r="AB48" s="5">
        <f t="shared" si="16"/>
        <v>522.59999999999991</v>
      </c>
      <c r="AC48" s="5">
        <f t="shared" si="17"/>
        <v>522.59999999999991</v>
      </c>
      <c r="AD48" s="5">
        <f t="shared" si="18"/>
        <v>261.29999999999995</v>
      </c>
      <c r="AE48" s="1"/>
      <c r="AF48" s="1"/>
      <c r="AG48" s="1">
        <f>(H48+Q48+R48+S48+T48+U48+V48+W48+X48+Y48+AC48+AD48)/Z48</f>
        <v>15.546428571428569</v>
      </c>
      <c r="AH48" s="1">
        <f>(H48+Q48+R48+S48+T48+U48+V48+W48+X48+Y48)/Z48</f>
        <v>6.2142857142857144</v>
      </c>
      <c r="AI48" s="1">
        <v>41.2</v>
      </c>
      <c r="AJ48" s="1">
        <v>60.8</v>
      </c>
      <c r="AK48" s="1">
        <v>91.6</v>
      </c>
      <c r="AL48" s="1">
        <v>61.8</v>
      </c>
      <c r="AM48" s="1">
        <v>53.8</v>
      </c>
      <c r="AN48" s="1">
        <v>28.6</v>
      </c>
      <c r="AO48" s="1">
        <v>35.200000000000003</v>
      </c>
      <c r="AP48" s="1">
        <v>45.6</v>
      </c>
      <c r="AQ48" s="1"/>
      <c r="AR48" s="1">
        <f>ROUND(I48*AC48,0)</f>
        <v>209</v>
      </c>
      <c r="AS48" s="1">
        <f>ROUND(I48*AD48,0)</f>
        <v>105</v>
      </c>
      <c r="AT48" s="1"/>
      <c r="AU48" s="1"/>
      <c r="AV48" s="1"/>
      <c r="AW48" s="1"/>
      <c r="AX48" s="1"/>
      <c r="AY48" s="1"/>
      <c r="AZ48" s="1"/>
      <c r="BA48" s="1"/>
      <c r="BB48" s="1"/>
    </row>
    <row r="49" spans="1:54" x14ac:dyDescent="0.25">
      <c r="A49" s="1" t="s">
        <v>98</v>
      </c>
      <c r="B49" s="1" t="s">
        <v>42</v>
      </c>
      <c r="C49" s="1">
        <v>9.0289999999999999</v>
      </c>
      <c r="D49" s="1">
        <v>188.709</v>
      </c>
      <c r="E49" s="1">
        <v>91.179000000000002</v>
      </c>
      <c r="F49" s="1">
        <v>-0.72699999999999998</v>
      </c>
      <c r="G49" s="1"/>
      <c r="H49" s="1">
        <f t="shared" si="11"/>
        <v>-0.72699999999999998</v>
      </c>
      <c r="I49" s="7">
        <v>1</v>
      </c>
      <c r="J49" s="1">
        <v>40</v>
      </c>
      <c r="K49" s="11" t="s">
        <v>53</v>
      </c>
      <c r="L49" s="1"/>
      <c r="M49" s="1">
        <v>141.69999999999999</v>
      </c>
      <c r="N49" s="1">
        <f t="shared" si="12"/>
        <v>-50.520999999999987</v>
      </c>
      <c r="O49" s="1">
        <f t="shared" si="13"/>
        <v>91.179000000000002</v>
      </c>
      <c r="P49" s="1"/>
      <c r="Q49" s="1">
        <v>40.441199999999988</v>
      </c>
      <c r="R49" s="1">
        <v>-42</v>
      </c>
      <c r="S49" s="1"/>
      <c r="T49" s="1"/>
      <c r="U49" s="1"/>
      <c r="V49" s="1">
        <v>121.2248</v>
      </c>
      <c r="W49" s="1">
        <v>-121.8</v>
      </c>
      <c r="X49" s="1"/>
      <c r="Y49" s="1"/>
      <c r="Z49" s="1">
        <f>O49/5</f>
        <v>18.235800000000001</v>
      </c>
      <c r="AA49" s="5">
        <v>100</v>
      </c>
      <c r="AB49" s="5">
        <f t="shared" si="16"/>
        <v>130</v>
      </c>
      <c r="AC49" s="5">
        <f t="shared" si="17"/>
        <v>130</v>
      </c>
      <c r="AD49" s="5"/>
      <c r="AE49" s="1"/>
      <c r="AF49" s="1"/>
      <c r="AG49" s="1">
        <f>(H49+Q49+R49+S49+T49+U49+V49+W49+X49+Y49+AC49+AD49)/Z49</f>
        <v>6.9719452944208635</v>
      </c>
      <c r="AH49" s="1">
        <f>(H49+Q49+R49+S49+T49+U49+V49+W49+X49+Y49)/Z49</f>
        <v>-0.15688919597714407</v>
      </c>
      <c r="AI49" s="1">
        <v>15.523999999999999</v>
      </c>
      <c r="AJ49" s="1">
        <v>12.8612</v>
      </c>
      <c r="AK49" s="1">
        <v>9.6170000000000009</v>
      </c>
      <c r="AL49" s="1">
        <v>3.972</v>
      </c>
      <c r="AM49" s="1">
        <v>4.1012000000000004</v>
      </c>
      <c r="AN49" s="1">
        <v>4.9813999999999998</v>
      </c>
      <c r="AO49" s="1">
        <v>0.87859999999999994</v>
      </c>
      <c r="AP49" s="1">
        <v>0</v>
      </c>
      <c r="AQ49" s="1" t="s">
        <v>45</v>
      </c>
      <c r="AR49" s="1">
        <f>ROUND(I49*AC49,0)</f>
        <v>130</v>
      </c>
      <c r="AS49" s="1">
        <f>ROUND(I49*AD49,0)</f>
        <v>0</v>
      </c>
      <c r="AT49" s="1"/>
      <c r="AU49" s="1"/>
      <c r="AV49" s="1"/>
      <c r="AW49" s="1"/>
      <c r="AX49" s="1"/>
      <c r="AY49" s="1"/>
      <c r="AZ49" s="1"/>
      <c r="BA49" s="1"/>
      <c r="BB49" s="1"/>
    </row>
    <row r="50" spans="1:54" x14ac:dyDescent="0.25">
      <c r="A50" s="1" t="s">
        <v>99</v>
      </c>
      <c r="B50" s="1" t="s">
        <v>48</v>
      </c>
      <c r="C50" s="1">
        <v>-13.15</v>
      </c>
      <c r="D50" s="1">
        <v>2286.15</v>
      </c>
      <c r="E50" s="1">
        <v>304</v>
      </c>
      <c r="F50" s="1">
        <v>2</v>
      </c>
      <c r="G50" s="1"/>
      <c r="H50" s="1">
        <f t="shared" si="11"/>
        <v>2</v>
      </c>
      <c r="I50" s="7">
        <v>0.35</v>
      </c>
      <c r="J50" s="1">
        <v>40</v>
      </c>
      <c r="K50" s="11" t="s">
        <v>53</v>
      </c>
      <c r="L50" s="1"/>
      <c r="M50" s="1">
        <v>373</v>
      </c>
      <c r="N50" s="1">
        <f t="shared" si="12"/>
        <v>-69</v>
      </c>
      <c r="O50" s="1">
        <f t="shared" si="13"/>
        <v>304</v>
      </c>
      <c r="P50" s="1"/>
      <c r="Q50" s="1">
        <v>382.68000000000012</v>
      </c>
      <c r="R50" s="1">
        <v>-382.85714285714289</v>
      </c>
      <c r="S50" s="1">
        <v>517.31999999999994</v>
      </c>
      <c r="T50" s="1">
        <v>-522</v>
      </c>
      <c r="U50" s="1"/>
      <c r="V50" s="1">
        <v>48.95000000000001</v>
      </c>
      <c r="W50" s="1">
        <v>-54</v>
      </c>
      <c r="X50" s="1"/>
      <c r="Y50" s="1"/>
      <c r="Z50" s="1">
        <f>O50/5</f>
        <v>60.8</v>
      </c>
      <c r="AA50" s="5">
        <v>200</v>
      </c>
      <c r="AB50" s="5">
        <f t="shared" si="16"/>
        <v>260</v>
      </c>
      <c r="AC50" s="5">
        <f t="shared" si="17"/>
        <v>260</v>
      </c>
      <c r="AD50" s="5"/>
      <c r="AE50" s="1"/>
      <c r="AF50" s="1"/>
      <c r="AG50" s="1">
        <f>(H50+Q50+R50+S50+T50+U50+V50+W50+X50+Y50+AC50+AD50)/Z50</f>
        <v>4.1462640977443606</v>
      </c>
      <c r="AH50" s="1">
        <f>(H50+Q50+R50+S50+T50+U50+V50+W50+X50+Y50)/Z50</f>
        <v>-0.13005169172932368</v>
      </c>
      <c r="AI50" s="1">
        <v>78.400000000000006</v>
      </c>
      <c r="AJ50" s="1">
        <v>297.39999999999998</v>
      </c>
      <c r="AK50" s="1">
        <v>286.60000000000002</v>
      </c>
      <c r="AL50" s="1">
        <v>77.599999999999994</v>
      </c>
      <c r="AM50" s="1">
        <v>42.2</v>
      </c>
      <c r="AN50" s="1">
        <v>3.4</v>
      </c>
      <c r="AO50" s="1">
        <v>3.8</v>
      </c>
      <c r="AP50" s="1">
        <v>49.6</v>
      </c>
      <c r="AQ50" s="1" t="s">
        <v>100</v>
      </c>
      <c r="AR50" s="1">
        <f>ROUND(I50*AC50,0)</f>
        <v>91</v>
      </c>
      <c r="AS50" s="1">
        <f>ROUND(I50*AD50,0)</f>
        <v>0</v>
      </c>
      <c r="AT50" s="1"/>
      <c r="AU50" s="1"/>
      <c r="AV50" s="1"/>
      <c r="AW50" s="1"/>
      <c r="AX50" s="1"/>
      <c r="AY50" s="1"/>
      <c r="AZ50" s="1"/>
      <c r="BA50" s="1"/>
      <c r="BB50" s="1"/>
    </row>
    <row r="51" spans="1:54" x14ac:dyDescent="0.25">
      <c r="A51" s="1" t="s">
        <v>101</v>
      </c>
      <c r="B51" s="1" t="s">
        <v>48</v>
      </c>
      <c r="C51" s="1">
        <v>51</v>
      </c>
      <c r="D51" s="1">
        <v>2148</v>
      </c>
      <c r="E51" s="1">
        <v>397</v>
      </c>
      <c r="F51" s="1">
        <v>512</v>
      </c>
      <c r="G51" s="1"/>
      <c r="H51" s="1">
        <f t="shared" si="11"/>
        <v>512</v>
      </c>
      <c r="I51" s="7">
        <v>0.4</v>
      </c>
      <c r="J51" s="1">
        <v>40</v>
      </c>
      <c r="K51" s="11" t="s">
        <v>53</v>
      </c>
      <c r="L51" s="1"/>
      <c r="M51" s="1">
        <v>445</v>
      </c>
      <c r="N51" s="1">
        <f t="shared" si="12"/>
        <v>-48</v>
      </c>
      <c r="O51" s="1">
        <f t="shared" si="13"/>
        <v>337</v>
      </c>
      <c r="P51" s="1">
        <v>60</v>
      </c>
      <c r="Q51" s="1">
        <v>50</v>
      </c>
      <c r="R51" s="1">
        <v>-55</v>
      </c>
      <c r="S51" s="1"/>
      <c r="T51" s="1"/>
      <c r="U51" s="1"/>
      <c r="V51" s="1">
        <v>15.80000000000007</v>
      </c>
      <c r="W51" s="1">
        <v>-18</v>
      </c>
      <c r="X51" s="1"/>
      <c r="Y51" s="1"/>
      <c r="Z51" s="1">
        <f>O51/5</f>
        <v>67.400000000000006</v>
      </c>
      <c r="AA51" s="5">
        <v>200</v>
      </c>
      <c r="AB51" s="5">
        <f t="shared" si="16"/>
        <v>260</v>
      </c>
      <c r="AC51" s="5">
        <f t="shared" si="17"/>
        <v>260</v>
      </c>
      <c r="AD51" s="5"/>
      <c r="AE51" s="1"/>
      <c r="AF51" s="1"/>
      <c r="AG51" s="1">
        <f>(H51+Q51+R51+S51+T51+U51+V51+W51+X51+Y51+AC51+AD51)/Z51</f>
        <v>11.347181008902076</v>
      </c>
      <c r="AH51" s="1">
        <f>(H51+Q51+R51+S51+T51+U51+V51+W51+X51+Y51)/Z51</f>
        <v>7.4896142433234427</v>
      </c>
      <c r="AI51" s="1">
        <v>75.400000000000006</v>
      </c>
      <c r="AJ51" s="1">
        <v>92</v>
      </c>
      <c r="AK51" s="1">
        <v>107</v>
      </c>
      <c r="AL51" s="1">
        <v>103</v>
      </c>
      <c r="AM51" s="1">
        <v>65.599999999999994</v>
      </c>
      <c r="AN51" s="1">
        <v>59</v>
      </c>
      <c r="AO51" s="1">
        <v>80.2</v>
      </c>
      <c r="AP51" s="1">
        <v>84.2</v>
      </c>
      <c r="AQ51" s="1"/>
      <c r="AR51" s="1">
        <f>ROUND(I51*AC51,0)</f>
        <v>104</v>
      </c>
      <c r="AS51" s="1">
        <f>ROUND(I51*AD51,0)</f>
        <v>0</v>
      </c>
      <c r="AT51" s="1"/>
      <c r="AU51" s="1"/>
      <c r="AV51" s="1"/>
      <c r="AW51" s="1"/>
      <c r="AX51" s="1"/>
      <c r="AY51" s="1"/>
      <c r="AZ51" s="1"/>
      <c r="BA51" s="1"/>
      <c r="BB51" s="1"/>
    </row>
    <row r="52" spans="1:54" x14ac:dyDescent="0.25">
      <c r="A52" s="1" t="s">
        <v>102</v>
      </c>
      <c r="B52" s="1" t="s">
        <v>42</v>
      </c>
      <c r="C52" s="1">
        <v>51.984000000000002</v>
      </c>
      <c r="D52" s="1">
        <v>305.20499999999998</v>
      </c>
      <c r="E52" s="1">
        <v>104.358</v>
      </c>
      <c r="F52" s="1">
        <v>33.92</v>
      </c>
      <c r="G52" s="1"/>
      <c r="H52" s="1">
        <f t="shared" si="11"/>
        <v>33.92</v>
      </c>
      <c r="I52" s="7">
        <v>1</v>
      </c>
      <c r="J52" s="1">
        <v>50</v>
      </c>
      <c r="K52" s="1" t="s">
        <v>43</v>
      </c>
      <c r="L52" s="1"/>
      <c r="M52" s="1">
        <v>107</v>
      </c>
      <c r="N52" s="1">
        <f t="shared" si="12"/>
        <v>-2.6419999999999959</v>
      </c>
      <c r="O52" s="1">
        <f t="shared" si="13"/>
        <v>104.358</v>
      </c>
      <c r="P52" s="1"/>
      <c r="Q52" s="1">
        <v>175.0985</v>
      </c>
      <c r="R52" s="1"/>
      <c r="S52" s="1"/>
      <c r="T52" s="1"/>
      <c r="U52" s="1"/>
      <c r="V52" s="1">
        <v>41.567173410000002</v>
      </c>
      <c r="W52" s="1"/>
      <c r="X52" s="1"/>
      <c r="Y52" s="1">
        <v>76.959126589999983</v>
      </c>
      <c r="Z52" s="1">
        <f>O52/5</f>
        <v>20.871600000000001</v>
      </c>
      <c r="AA52" s="5"/>
      <c r="AB52" s="5">
        <f t="shared" si="6"/>
        <v>0</v>
      </c>
      <c r="AC52" s="5"/>
      <c r="AD52" s="5"/>
      <c r="AE52" s="1"/>
      <c r="AF52" s="1"/>
      <c r="AG52" s="1">
        <f>(H52+Q52+R52+S52+T52+U52+V52+W52+X52+Y52+AC52+AD52)/Z52</f>
        <v>15.693324900822169</v>
      </c>
      <c r="AH52" s="1">
        <f>(H52+Q52+R52+S52+T52+U52+V52+W52+X52+Y52)/Z52</f>
        <v>15.693324900822169</v>
      </c>
      <c r="AI52" s="1">
        <v>29.981400000000001</v>
      </c>
      <c r="AJ52" s="1">
        <v>29.677399999999999</v>
      </c>
      <c r="AK52" s="1">
        <v>19.035</v>
      </c>
      <c r="AL52" s="1">
        <v>16.658200000000001</v>
      </c>
      <c r="AM52" s="1">
        <v>12.968</v>
      </c>
      <c r="AN52" s="1">
        <v>15.1008</v>
      </c>
      <c r="AO52" s="1">
        <v>23.822600000000001</v>
      </c>
      <c r="AP52" s="1">
        <v>13.5672</v>
      </c>
      <c r="AQ52" s="1"/>
      <c r="AR52" s="1">
        <f>ROUND(I52*AC52,0)</f>
        <v>0</v>
      </c>
      <c r="AS52" s="1">
        <f>ROUND(I52*AD52,0)</f>
        <v>0</v>
      </c>
      <c r="AT52" s="1"/>
      <c r="AU52" s="1"/>
      <c r="AV52" s="1"/>
      <c r="AW52" s="1"/>
      <c r="AX52" s="1"/>
      <c r="AY52" s="1"/>
      <c r="AZ52" s="1"/>
      <c r="BA52" s="1"/>
      <c r="BB52" s="1"/>
    </row>
    <row r="53" spans="1:54" x14ac:dyDescent="0.25">
      <c r="A53" s="1" t="s">
        <v>103</v>
      </c>
      <c r="B53" s="1" t="s">
        <v>42</v>
      </c>
      <c r="C53" s="1">
        <v>-145.50899999999999</v>
      </c>
      <c r="D53" s="1">
        <v>2949.799</v>
      </c>
      <c r="E53" s="1">
        <v>792.02800000000002</v>
      </c>
      <c r="F53" s="1">
        <v>642.00400000000002</v>
      </c>
      <c r="G53" s="1"/>
      <c r="H53" s="1">
        <f t="shared" si="11"/>
        <v>642.00400000000002</v>
      </c>
      <c r="I53" s="7">
        <v>1</v>
      </c>
      <c r="J53" s="1">
        <v>50</v>
      </c>
      <c r="K53" s="1" t="s">
        <v>43</v>
      </c>
      <c r="L53" s="1"/>
      <c r="M53" s="1">
        <v>949.02800000000002</v>
      </c>
      <c r="N53" s="1">
        <f t="shared" si="12"/>
        <v>-157</v>
      </c>
      <c r="O53" s="1">
        <f t="shared" si="13"/>
        <v>413.3</v>
      </c>
      <c r="P53" s="1">
        <v>378.72800000000001</v>
      </c>
      <c r="Q53" s="1">
        <v>191.34</v>
      </c>
      <c r="R53" s="1"/>
      <c r="S53" s="1">
        <v>258.66000000000003</v>
      </c>
      <c r="T53" s="1"/>
      <c r="U53" s="1"/>
      <c r="V53" s="1">
        <v>0</v>
      </c>
      <c r="W53" s="1"/>
      <c r="X53" s="1"/>
      <c r="Y53" s="1"/>
      <c r="Z53" s="1">
        <f>O53/5</f>
        <v>82.66</v>
      </c>
      <c r="AA53" s="5"/>
      <c r="AB53" s="5">
        <f t="shared" si="6"/>
        <v>0</v>
      </c>
      <c r="AC53" s="5"/>
      <c r="AD53" s="5"/>
      <c r="AE53" s="1"/>
      <c r="AF53" s="1"/>
      <c r="AG53" s="1">
        <f>(H53+Q53+R53+S53+T53+U53+V53+W53+X53+Y53+AC53+AD53)/Z53</f>
        <v>13.210791192838133</v>
      </c>
      <c r="AH53" s="1">
        <f>(H53+Q53+R53+S53+T53+U53+V53+W53+X53+Y53)/Z53</f>
        <v>13.210791192838133</v>
      </c>
      <c r="AI53" s="1">
        <v>80.614800000000002</v>
      </c>
      <c r="AJ53" s="1">
        <v>94.964200000000005</v>
      </c>
      <c r="AK53" s="1">
        <v>153.36920000000001</v>
      </c>
      <c r="AL53" s="1">
        <v>161.00640000000001</v>
      </c>
      <c r="AM53" s="1">
        <v>71.831199999999995</v>
      </c>
      <c r="AN53" s="1">
        <v>69.209599999999995</v>
      </c>
      <c r="AO53" s="1">
        <v>101.32680000000001</v>
      </c>
      <c r="AP53" s="1">
        <v>163.22460000000001</v>
      </c>
      <c r="AQ53" s="1" t="s">
        <v>45</v>
      </c>
      <c r="AR53" s="1">
        <f>ROUND(I53*AC53,0)</f>
        <v>0</v>
      </c>
      <c r="AS53" s="1">
        <f>ROUND(I53*AD53,0)</f>
        <v>0</v>
      </c>
      <c r="AT53" s="1"/>
      <c r="AU53" s="1"/>
      <c r="AV53" s="1"/>
      <c r="AW53" s="1"/>
      <c r="AX53" s="1"/>
      <c r="AY53" s="1"/>
      <c r="AZ53" s="1"/>
      <c r="BA53" s="1"/>
      <c r="BB53" s="1"/>
    </row>
    <row r="54" spans="1:54" x14ac:dyDescent="0.25">
      <c r="A54" s="12" t="s">
        <v>104</v>
      </c>
      <c r="B54" s="12" t="s">
        <v>42</v>
      </c>
      <c r="C54" s="12"/>
      <c r="D54" s="12"/>
      <c r="E54" s="12"/>
      <c r="F54" s="12"/>
      <c r="G54" s="12"/>
      <c r="H54" s="12">
        <f t="shared" si="11"/>
        <v>0</v>
      </c>
      <c r="I54" s="13">
        <v>0</v>
      </c>
      <c r="J54" s="12"/>
      <c r="K54" s="12" t="s">
        <v>43</v>
      </c>
      <c r="L54" s="12"/>
      <c r="M54" s="12"/>
      <c r="N54" s="12">
        <f t="shared" si="12"/>
        <v>0</v>
      </c>
      <c r="O54" s="12">
        <f t="shared" si="13"/>
        <v>0</v>
      </c>
      <c r="P54" s="12"/>
      <c r="Q54" s="12">
        <v>0</v>
      </c>
      <c r="R54" s="12"/>
      <c r="S54" s="12"/>
      <c r="T54" s="12"/>
      <c r="U54" s="12"/>
      <c r="V54" s="12">
        <v>0</v>
      </c>
      <c r="W54" s="12"/>
      <c r="X54" s="12"/>
      <c r="Y54" s="12"/>
      <c r="Z54" s="12">
        <f>O54/5</f>
        <v>0</v>
      </c>
      <c r="AA54" s="14"/>
      <c r="AB54" s="5">
        <f t="shared" si="6"/>
        <v>0</v>
      </c>
      <c r="AC54" s="5"/>
      <c r="AD54" s="5"/>
      <c r="AE54" s="12"/>
      <c r="AF54" s="1"/>
      <c r="AG54" s="1" t="e">
        <f>(H54+Q54+R54+S54+T54+U54+V54+W54+X54+Y54+AC54+AD54)/Z54</f>
        <v>#DIV/0!</v>
      </c>
      <c r="AH54" s="12" t="e">
        <f>(H54+Q54+R54+S54+T54+U54+V54+W54+X54+Y54)/Z54</f>
        <v>#DIV/0!</v>
      </c>
      <c r="AI54" s="12">
        <v>0</v>
      </c>
      <c r="AJ54" s="12">
        <v>0</v>
      </c>
      <c r="AK54" s="12">
        <v>0</v>
      </c>
      <c r="AL54" s="12">
        <v>0</v>
      </c>
      <c r="AM54" s="12">
        <v>0</v>
      </c>
      <c r="AN54" s="12">
        <v>0</v>
      </c>
      <c r="AO54" s="12">
        <v>0</v>
      </c>
      <c r="AP54" s="12">
        <v>0</v>
      </c>
      <c r="AQ54" s="12" t="s">
        <v>65</v>
      </c>
      <c r="AR54" s="1">
        <f>ROUND(I54*AC54,0)</f>
        <v>0</v>
      </c>
      <c r="AS54" s="1">
        <f>ROUND(I54*AD54,0)</f>
        <v>0</v>
      </c>
      <c r="AT54" s="1"/>
      <c r="AU54" s="1"/>
      <c r="AV54" s="1"/>
      <c r="AW54" s="1"/>
      <c r="AX54" s="1"/>
      <c r="AY54" s="1"/>
      <c r="AZ54" s="1"/>
      <c r="BA54" s="1"/>
      <c r="BB54" s="1"/>
    </row>
    <row r="55" spans="1:54" x14ac:dyDescent="0.25">
      <c r="A55" s="1" t="s">
        <v>105</v>
      </c>
      <c r="B55" s="1" t="s">
        <v>48</v>
      </c>
      <c r="C55" s="1">
        <v>779</v>
      </c>
      <c r="D55" s="1">
        <v>1781</v>
      </c>
      <c r="E55" s="1">
        <v>311</v>
      </c>
      <c r="F55" s="1">
        <v>509</v>
      </c>
      <c r="G55" s="1"/>
      <c r="H55" s="1">
        <f t="shared" si="11"/>
        <v>509</v>
      </c>
      <c r="I55" s="7">
        <v>0.45</v>
      </c>
      <c r="J55" s="1">
        <v>50</v>
      </c>
      <c r="K55" s="1" t="s">
        <v>43</v>
      </c>
      <c r="L55" s="1"/>
      <c r="M55" s="1">
        <v>361</v>
      </c>
      <c r="N55" s="1">
        <f t="shared" si="12"/>
        <v>-50</v>
      </c>
      <c r="O55" s="1">
        <f t="shared" si="13"/>
        <v>311</v>
      </c>
      <c r="P55" s="1"/>
      <c r="Q55" s="1">
        <v>0</v>
      </c>
      <c r="R55" s="1"/>
      <c r="S55" s="1"/>
      <c r="T55" s="1"/>
      <c r="U55" s="1"/>
      <c r="V55" s="1">
        <v>103.03565999999999</v>
      </c>
      <c r="W55" s="1"/>
      <c r="X55" s="1"/>
      <c r="Y55" s="1">
        <v>190.76434</v>
      </c>
      <c r="Z55" s="1">
        <f>O55/5</f>
        <v>62.2</v>
      </c>
      <c r="AA55" s="5"/>
      <c r="AB55" s="5">
        <f t="shared" si="6"/>
        <v>0</v>
      </c>
      <c r="AC55" s="5"/>
      <c r="AD55" s="5"/>
      <c r="AE55" s="1"/>
      <c r="AF55" s="1"/>
      <c r="AG55" s="1">
        <f>(H55+Q55+R55+S55+T55+U55+V55+W55+X55+Y55+AC55+AD55)/Z55</f>
        <v>12.906752411575562</v>
      </c>
      <c r="AH55" s="1">
        <f>(H55+Q55+R55+S55+T55+U55+V55+W55+X55+Y55)/Z55</f>
        <v>12.906752411575562</v>
      </c>
      <c r="AI55" s="1">
        <v>72.400000000000006</v>
      </c>
      <c r="AJ55" s="1">
        <v>68</v>
      </c>
      <c r="AK55" s="1">
        <v>63</v>
      </c>
      <c r="AL55" s="1">
        <v>61</v>
      </c>
      <c r="AM55" s="1">
        <v>62.8</v>
      </c>
      <c r="AN55" s="1">
        <v>62.4</v>
      </c>
      <c r="AO55" s="1">
        <v>49.2</v>
      </c>
      <c r="AP55" s="1">
        <v>43.6</v>
      </c>
      <c r="AQ55" s="1"/>
      <c r="AR55" s="1">
        <f>ROUND(I55*AC55,0)</f>
        <v>0</v>
      </c>
      <c r="AS55" s="1">
        <f>ROUND(I55*AD55,0)</f>
        <v>0</v>
      </c>
      <c r="AT55" s="1"/>
      <c r="AU55" s="1"/>
      <c r="AV55" s="1"/>
      <c r="AW55" s="1"/>
      <c r="AX55" s="1"/>
      <c r="AY55" s="1"/>
      <c r="AZ55" s="1"/>
      <c r="BA55" s="1"/>
      <c r="BB55" s="1"/>
    </row>
    <row r="56" spans="1:54" x14ac:dyDescent="0.25">
      <c r="A56" s="1" t="s">
        <v>106</v>
      </c>
      <c r="B56" s="1" t="s">
        <v>48</v>
      </c>
      <c r="C56" s="1">
        <v>561</v>
      </c>
      <c r="D56" s="1">
        <v>3762</v>
      </c>
      <c r="E56" s="1">
        <v>558</v>
      </c>
      <c r="F56" s="1">
        <v>493</v>
      </c>
      <c r="G56" s="1"/>
      <c r="H56" s="1">
        <f t="shared" si="11"/>
        <v>493</v>
      </c>
      <c r="I56" s="7">
        <v>0.45</v>
      </c>
      <c r="J56" s="1">
        <v>50</v>
      </c>
      <c r="K56" s="1" t="s">
        <v>43</v>
      </c>
      <c r="L56" s="1"/>
      <c r="M56" s="1">
        <v>575</v>
      </c>
      <c r="N56" s="1">
        <f t="shared" si="12"/>
        <v>-17</v>
      </c>
      <c r="O56" s="1">
        <f t="shared" si="13"/>
        <v>558</v>
      </c>
      <c r="P56" s="1"/>
      <c r="Q56" s="1">
        <v>0</v>
      </c>
      <c r="R56" s="1"/>
      <c r="S56" s="1"/>
      <c r="T56" s="1"/>
      <c r="U56" s="1"/>
      <c r="V56" s="1">
        <v>111.8031600000001</v>
      </c>
      <c r="W56" s="1"/>
      <c r="X56" s="1"/>
      <c r="Y56" s="1">
        <v>206.99684000000011</v>
      </c>
      <c r="Z56" s="1">
        <f>O56/5</f>
        <v>111.6</v>
      </c>
      <c r="AA56" s="5">
        <f>11*Z56-Y56-X56-W56-V56-U56-T56-S56-R56-Q56-H56</f>
        <v>415.79999999999973</v>
      </c>
      <c r="AB56" s="5">
        <f>AA56+$AB$1*Z56</f>
        <v>605.51999999999975</v>
      </c>
      <c r="AC56" s="5">
        <f>AB56-AD56</f>
        <v>121.10399999999993</v>
      </c>
      <c r="AD56" s="5">
        <f>AB56*$AD$1</f>
        <v>484.41599999999983</v>
      </c>
      <c r="AE56" s="1"/>
      <c r="AF56" s="1"/>
      <c r="AG56" s="1">
        <f>(H56+Q56+R56+S56+T56+U56+V56+W56+X56+Y56+AC56+AD56)/Z56</f>
        <v>12.700000000000003</v>
      </c>
      <c r="AH56" s="1">
        <f>(H56+Q56+R56+S56+T56+U56+V56+W56+X56+Y56)/Z56</f>
        <v>7.2741935483870996</v>
      </c>
      <c r="AI56" s="1">
        <v>97.4</v>
      </c>
      <c r="AJ56" s="1">
        <v>85.4</v>
      </c>
      <c r="AK56" s="1">
        <v>118.6</v>
      </c>
      <c r="AL56" s="1">
        <v>121</v>
      </c>
      <c r="AM56" s="1">
        <v>89.2</v>
      </c>
      <c r="AN56" s="1">
        <v>85.2</v>
      </c>
      <c r="AO56" s="1">
        <v>83.8</v>
      </c>
      <c r="AP56" s="1">
        <v>97.4</v>
      </c>
      <c r="AQ56" s="1"/>
      <c r="AR56" s="1">
        <f>ROUND(I56*AC56,0)</f>
        <v>54</v>
      </c>
      <c r="AS56" s="1">
        <f>ROUND(I56*AD56,0)</f>
        <v>218</v>
      </c>
      <c r="AT56" s="1"/>
      <c r="AU56" s="1"/>
      <c r="AV56" s="1"/>
      <c r="AW56" s="1"/>
      <c r="AX56" s="1"/>
      <c r="AY56" s="1"/>
      <c r="AZ56" s="1"/>
      <c r="BA56" s="1"/>
      <c r="BB56" s="1"/>
    </row>
    <row r="57" spans="1:54" x14ac:dyDescent="0.25">
      <c r="A57" s="12" t="s">
        <v>107</v>
      </c>
      <c r="B57" s="12" t="s">
        <v>48</v>
      </c>
      <c r="C57" s="12"/>
      <c r="D57" s="12"/>
      <c r="E57" s="12"/>
      <c r="F57" s="12"/>
      <c r="G57" s="12"/>
      <c r="H57" s="12">
        <f t="shared" si="11"/>
        <v>0</v>
      </c>
      <c r="I57" s="13">
        <v>0</v>
      </c>
      <c r="J57" s="12"/>
      <c r="K57" s="12" t="s">
        <v>43</v>
      </c>
      <c r="L57" s="12"/>
      <c r="M57" s="12"/>
      <c r="N57" s="12">
        <f t="shared" si="12"/>
        <v>0</v>
      </c>
      <c r="O57" s="12">
        <f t="shared" si="13"/>
        <v>0</v>
      </c>
      <c r="P57" s="12"/>
      <c r="Q57" s="12">
        <v>0</v>
      </c>
      <c r="R57" s="12"/>
      <c r="S57" s="12"/>
      <c r="T57" s="12"/>
      <c r="U57" s="12"/>
      <c r="V57" s="12">
        <v>0</v>
      </c>
      <c r="W57" s="12"/>
      <c r="X57" s="12"/>
      <c r="Y57" s="12"/>
      <c r="Z57" s="12">
        <f>O57/5</f>
        <v>0</v>
      </c>
      <c r="AA57" s="14"/>
      <c r="AB57" s="5">
        <f t="shared" si="6"/>
        <v>0</v>
      </c>
      <c r="AC57" s="5"/>
      <c r="AD57" s="5"/>
      <c r="AE57" s="12"/>
      <c r="AF57" s="1"/>
      <c r="AG57" s="1" t="e">
        <f>(H57+Q57+R57+S57+T57+U57+V57+W57+X57+Y57+AC57+AD57)/Z57</f>
        <v>#DIV/0!</v>
      </c>
      <c r="AH57" s="12" t="e">
        <f>(H57+Q57+R57+S57+T57+U57+V57+W57+X57+Y57)/Z57</f>
        <v>#DIV/0!</v>
      </c>
      <c r="AI57" s="12">
        <v>0</v>
      </c>
      <c r="AJ57" s="12">
        <v>0</v>
      </c>
      <c r="AK57" s="12">
        <v>0</v>
      </c>
      <c r="AL57" s="12">
        <v>0</v>
      </c>
      <c r="AM57" s="12">
        <v>0</v>
      </c>
      <c r="AN57" s="12">
        <v>0</v>
      </c>
      <c r="AO57" s="12">
        <v>0</v>
      </c>
      <c r="AP57" s="12">
        <v>0</v>
      </c>
      <c r="AQ57" s="12" t="s">
        <v>65</v>
      </c>
      <c r="AR57" s="1">
        <f>ROUND(I57*AC57,0)</f>
        <v>0</v>
      </c>
      <c r="AS57" s="1">
        <f>ROUND(I57*AD57,0)</f>
        <v>0</v>
      </c>
      <c r="AT57" s="1"/>
      <c r="AU57" s="1"/>
      <c r="AV57" s="1"/>
      <c r="AW57" s="1"/>
      <c r="AX57" s="1"/>
      <c r="AY57" s="1"/>
      <c r="AZ57" s="1"/>
      <c r="BA57" s="1"/>
      <c r="BB57" s="1"/>
    </row>
    <row r="58" spans="1:54" x14ac:dyDescent="0.25">
      <c r="A58" s="1" t="s">
        <v>108</v>
      </c>
      <c r="B58" s="1" t="s">
        <v>48</v>
      </c>
      <c r="C58" s="1">
        <v>106</v>
      </c>
      <c r="D58" s="1">
        <v>55</v>
      </c>
      <c r="E58" s="1">
        <v>37</v>
      </c>
      <c r="F58" s="1">
        <v>89</v>
      </c>
      <c r="G58" s="1"/>
      <c r="H58" s="1">
        <f t="shared" si="11"/>
        <v>89</v>
      </c>
      <c r="I58" s="7">
        <v>0.4</v>
      </c>
      <c r="J58" s="1">
        <v>40</v>
      </c>
      <c r="K58" s="11" t="s">
        <v>53</v>
      </c>
      <c r="L58" s="1"/>
      <c r="M58" s="1">
        <v>52</v>
      </c>
      <c r="N58" s="1">
        <f t="shared" si="12"/>
        <v>-15</v>
      </c>
      <c r="O58" s="1">
        <f t="shared" si="13"/>
        <v>37</v>
      </c>
      <c r="P58" s="1"/>
      <c r="Q58" s="1">
        <v>0</v>
      </c>
      <c r="R58" s="1"/>
      <c r="S58" s="1"/>
      <c r="T58" s="1"/>
      <c r="U58" s="1"/>
      <c r="V58" s="1">
        <v>0</v>
      </c>
      <c r="W58" s="1"/>
      <c r="X58" s="1"/>
      <c r="Y58" s="1"/>
      <c r="Z58" s="1">
        <f>O58/5</f>
        <v>7.4</v>
      </c>
      <c r="AA58" s="5"/>
      <c r="AB58" s="5">
        <f>AA58*1.3</f>
        <v>0</v>
      </c>
      <c r="AC58" s="5">
        <f>AB58</f>
        <v>0</v>
      </c>
      <c r="AD58" s="5"/>
      <c r="AE58" s="1"/>
      <c r="AF58" s="1"/>
      <c r="AG58" s="1">
        <f>(H58+Q58+R58+S58+T58+U58+V58+W58+X58+Y58+AC58+AD58)/Z58</f>
        <v>12.027027027027026</v>
      </c>
      <c r="AH58" s="1">
        <f>(H58+Q58+R58+S58+T58+U58+V58+W58+X58+Y58)/Z58</f>
        <v>12.027027027027026</v>
      </c>
      <c r="AI58" s="1">
        <v>5.4</v>
      </c>
      <c r="AJ58" s="1">
        <v>6</v>
      </c>
      <c r="AK58" s="1">
        <v>5.2</v>
      </c>
      <c r="AL58" s="1">
        <v>6.6</v>
      </c>
      <c r="AM58" s="1">
        <v>2.6</v>
      </c>
      <c r="AN58" s="1">
        <v>2.8</v>
      </c>
      <c r="AO58" s="1">
        <v>8.1999999999999993</v>
      </c>
      <c r="AP58" s="1">
        <v>6.6</v>
      </c>
      <c r="AQ58" s="16" t="s">
        <v>67</v>
      </c>
      <c r="AR58" s="1">
        <f>ROUND(I58*AC58,0)</f>
        <v>0</v>
      </c>
      <c r="AS58" s="1">
        <f>ROUND(I58*AD58,0)</f>
        <v>0</v>
      </c>
      <c r="AT58" s="1"/>
      <c r="AU58" s="1"/>
      <c r="AV58" s="1"/>
      <c r="AW58" s="1"/>
      <c r="AX58" s="1"/>
      <c r="AY58" s="1"/>
      <c r="AZ58" s="1"/>
      <c r="BA58" s="1"/>
      <c r="BB58" s="1"/>
    </row>
    <row r="59" spans="1:54" x14ac:dyDescent="0.25">
      <c r="A59" s="1" t="s">
        <v>109</v>
      </c>
      <c r="B59" s="1" t="s">
        <v>42</v>
      </c>
      <c r="C59" s="1">
        <v>-210.947</v>
      </c>
      <c r="D59" s="1">
        <v>2806.7089999999998</v>
      </c>
      <c r="E59" s="1">
        <v>869.43200000000002</v>
      </c>
      <c r="F59" s="1">
        <v>514.78599999999994</v>
      </c>
      <c r="G59" s="1"/>
      <c r="H59" s="1">
        <f t="shared" si="11"/>
        <v>514.78599999999994</v>
      </c>
      <c r="I59" s="7">
        <v>1</v>
      </c>
      <c r="J59" s="1">
        <v>50</v>
      </c>
      <c r="K59" s="1" t="s">
        <v>43</v>
      </c>
      <c r="L59" s="1"/>
      <c r="M59" s="1">
        <v>936.61300000000006</v>
      </c>
      <c r="N59" s="1">
        <f t="shared" si="12"/>
        <v>-67.18100000000004</v>
      </c>
      <c r="O59" s="1">
        <f t="shared" si="13"/>
        <v>869.43200000000002</v>
      </c>
      <c r="P59" s="1"/>
      <c r="Q59" s="1">
        <v>140.64779308448001</v>
      </c>
      <c r="R59" s="1"/>
      <c r="S59" s="1">
        <v>190.13252931552009</v>
      </c>
      <c r="T59" s="1"/>
      <c r="U59" s="1"/>
      <c r="V59" s="1">
        <v>70.140000000000015</v>
      </c>
      <c r="W59" s="1"/>
      <c r="X59" s="1"/>
      <c r="Y59" s="1">
        <v>129.86000000000001</v>
      </c>
      <c r="Z59" s="1">
        <f>O59/5</f>
        <v>173.88640000000001</v>
      </c>
      <c r="AA59" s="5">
        <f>11*Z59-Y59-X59-W59-V59-U59-T59-S59-R59-Q59-H59</f>
        <v>867.18407760000002</v>
      </c>
      <c r="AB59" s="5">
        <f>AA59+$AB$1*Z59</f>
        <v>1162.7909576</v>
      </c>
      <c r="AC59" s="5">
        <f>AB59-AD59</f>
        <v>232.55819151999992</v>
      </c>
      <c r="AD59" s="5">
        <f>AB59*$AD$1</f>
        <v>930.23276608000003</v>
      </c>
      <c r="AE59" s="1"/>
      <c r="AF59" s="1"/>
      <c r="AG59" s="1">
        <f>(H59+Q59+R59+S59+T59+U59+V59+W59+X59+Y59+AC59+AD59)/Z59</f>
        <v>12.700000000000001</v>
      </c>
      <c r="AH59" s="1">
        <f>(H59+Q59+R59+S59+T59+U59+V59+W59+X59+Y59)/Z59</f>
        <v>6.012927534298254</v>
      </c>
      <c r="AI59" s="1">
        <v>123.2016</v>
      </c>
      <c r="AJ59" s="1">
        <v>136.36320000000001</v>
      </c>
      <c r="AK59" s="1">
        <v>140.7388</v>
      </c>
      <c r="AL59" s="1">
        <v>154.60720000000001</v>
      </c>
      <c r="AM59" s="1">
        <v>64.628200000000007</v>
      </c>
      <c r="AN59" s="1">
        <v>46.284599999999998</v>
      </c>
      <c r="AO59" s="1">
        <v>73.507800000000003</v>
      </c>
      <c r="AP59" s="1">
        <v>80.846599999999995</v>
      </c>
      <c r="AQ59" s="1"/>
      <c r="AR59" s="1">
        <f>ROUND(I59*AC59,0)</f>
        <v>233</v>
      </c>
      <c r="AS59" s="1">
        <f>ROUND(I59*AD59,0)</f>
        <v>930</v>
      </c>
      <c r="AT59" s="1"/>
      <c r="AU59" s="1"/>
      <c r="AV59" s="1"/>
      <c r="AW59" s="1"/>
      <c r="AX59" s="1"/>
      <c r="AY59" s="1"/>
      <c r="AZ59" s="1"/>
      <c r="BA59" s="1"/>
      <c r="BB59" s="1"/>
    </row>
    <row r="60" spans="1:54" x14ac:dyDescent="0.25">
      <c r="A60" s="1" t="s">
        <v>110</v>
      </c>
      <c r="B60" s="1" t="s">
        <v>48</v>
      </c>
      <c r="C60" s="1">
        <v>102</v>
      </c>
      <c r="D60" s="1">
        <v>1044</v>
      </c>
      <c r="E60" s="15">
        <f>207+E137</f>
        <v>315</v>
      </c>
      <c r="F60" s="15">
        <f>814+F137</f>
        <v>824</v>
      </c>
      <c r="G60" s="1"/>
      <c r="H60" s="1">
        <f t="shared" si="11"/>
        <v>824</v>
      </c>
      <c r="I60" s="7">
        <v>0.1</v>
      </c>
      <c r="J60" s="1">
        <v>731</v>
      </c>
      <c r="K60" s="1" t="s">
        <v>43</v>
      </c>
      <c r="L60" s="1"/>
      <c r="M60" s="1">
        <v>222</v>
      </c>
      <c r="N60" s="1">
        <f t="shared" si="12"/>
        <v>93</v>
      </c>
      <c r="O60" s="1">
        <f t="shared" si="13"/>
        <v>315</v>
      </c>
      <c r="P60" s="1"/>
      <c r="Q60" s="1">
        <v>50</v>
      </c>
      <c r="R60" s="1"/>
      <c r="S60" s="1"/>
      <c r="T60" s="1"/>
      <c r="U60" s="1"/>
      <c r="V60" s="1">
        <v>0</v>
      </c>
      <c r="W60" s="1"/>
      <c r="X60" s="1"/>
      <c r="Y60" s="1"/>
      <c r="Z60" s="1">
        <f>O60/5</f>
        <v>63</v>
      </c>
      <c r="AA60" s="5"/>
      <c r="AB60" s="5">
        <f t="shared" si="6"/>
        <v>0</v>
      </c>
      <c r="AC60" s="5"/>
      <c r="AD60" s="5"/>
      <c r="AE60" s="1"/>
      <c r="AF60" s="1"/>
      <c r="AG60" s="1">
        <f>(H60+Q60+R60+S60+T60+U60+V60+W60+X60+Y60+AC60+AD60)/Z60</f>
        <v>13.873015873015873</v>
      </c>
      <c r="AH60" s="1">
        <f>(H60+Q60+R60+S60+T60+U60+V60+W60+X60+Y60)/Z60</f>
        <v>13.873015873015873</v>
      </c>
      <c r="AI60" s="1">
        <v>65.400000000000006</v>
      </c>
      <c r="AJ60" s="1">
        <v>33.4</v>
      </c>
      <c r="AK60" s="1">
        <v>37</v>
      </c>
      <c r="AL60" s="1">
        <v>62.6</v>
      </c>
      <c r="AM60" s="1">
        <v>35.200000000000003</v>
      </c>
      <c r="AN60" s="1">
        <v>18.2</v>
      </c>
      <c r="AO60" s="1">
        <v>21.2</v>
      </c>
      <c r="AP60" s="1">
        <v>26.6</v>
      </c>
      <c r="AQ60" s="1"/>
      <c r="AR60" s="1">
        <f>ROUND(I60*AC60,0)</f>
        <v>0</v>
      </c>
      <c r="AS60" s="1">
        <f>ROUND(I60*AD60,0)</f>
        <v>0</v>
      </c>
      <c r="AT60" s="1"/>
      <c r="AU60" s="1"/>
      <c r="AV60" s="1"/>
      <c r="AW60" s="1"/>
      <c r="AX60" s="1"/>
      <c r="AY60" s="1"/>
      <c r="AZ60" s="1"/>
      <c r="BA60" s="1"/>
      <c r="BB60" s="1"/>
    </row>
    <row r="61" spans="1:54" x14ac:dyDescent="0.25">
      <c r="A61" s="1" t="s">
        <v>111</v>
      </c>
      <c r="B61" s="1" t="s">
        <v>42</v>
      </c>
      <c r="C61" s="1">
        <v>392.142</v>
      </c>
      <c r="D61" s="1">
        <v>1340.6790000000001</v>
      </c>
      <c r="E61" s="1">
        <v>604.67999999999995</v>
      </c>
      <c r="F61" s="1">
        <v>55.747999999999998</v>
      </c>
      <c r="G61" s="1"/>
      <c r="H61" s="1">
        <f t="shared" si="11"/>
        <v>55.747999999999998</v>
      </c>
      <c r="I61" s="7">
        <v>1</v>
      </c>
      <c r="J61" s="1">
        <v>50</v>
      </c>
      <c r="K61" s="1" t="s">
        <v>43</v>
      </c>
      <c r="L61" s="1"/>
      <c r="M61" s="1">
        <v>760.30499999999995</v>
      </c>
      <c r="N61" s="1">
        <f t="shared" si="12"/>
        <v>-155.625</v>
      </c>
      <c r="O61" s="1">
        <f t="shared" si="13"/>
        <v>497.77499999999998</v>
      </c>
      <c r="P61" s="1">
        <v>106.905</v>
      </c>
      <c r="Q61" s="1">
        <v>152.58144676000001</v>
      </c>
      <c r="R61" s="1"/>
      <c r="S61" s="1">
        <v>206.26485324000001</v>
      </c>
      <c r="T61" s="1"/>
      <c r="U61" s="1"/>
      <c r="V61" s="1">
        <v>260.85595556999988</v>
      </c>
      <c r="W61" s="1"/>
      <c r="X61" s="1"/>
      <c r="Y61" s="1">
        <v>482.9591444299997</v>
      </c>
      <c r="Z61" s="1">
        <f>O61/5</f>
        <v>99.554999999999993</v>
      </c>
      <c r="AA61" s="5"/>
      <c r="AB61" s="5">
        <f>AE61</f>
        <v>300</v>
      </c>
      <c r="AC61" s="5">
        <f>AB61-AD61</f>
        <v>60</v>
      </c>
      <c r="AD61" s="5">
        <f>AB61*$AD$1</f>
        <v>240</v>
      </c>
      <c r="AE61" s="1">
        <v>300</v>
      </c>
      <c r="AF61" s="1" t="s">
        <v>196</v>
      </c>
      <c r="AG61" s="1">
        <f>(H61+Q61+R61+S61+T61+U61+V61+W61+X61+Y61+AC61+AD61)/Z61</f>
        <v>14.649283310732757</v>
      </c>
      <c r="AH61" s="1">
        <f>(H61+Q61+R61+S61+T61+U61+V61+W61+X61+Y61)/Z61</f>
        <v>11.635873637687707</v>
      </c>
      <c r="AI61" s="1">
        <v>115.2872</v>
      </c>
      <c r="AJ61" s="1">
        <v>98.024599999999992</v>
      </c>
      <c r="AK61" s="1">
        <v>102.12820000000001</v>
      </c>
      <c r="AL61" s="1">
        <v>92.134600000000006</v>
      </c>
      <c r="AM61" s="1">
        <v>28.6614</v>
      </c>
      <c r="AN61" s="1">
        <v>42.103200000000001</v>
      </c>
      <c r="AO61" s="1">
        <v>122.72580000000001</v>
      </c>
      <c r="AP61" s="1">
        <v>148.85560000000001</v>
      </c>
      <c r="AQ61" s="1"/>
      <c r="AR61" s="1">
        <f>ROUND(I61*AC61,0)</f>
        <v>60</v>
      </c>
      <c r="AS61" s="1">
        <f>ROUND(I61*AD61,0)</f>
        <v>240</v>
      </c>
      <c r="AT61" s="1"/>
      <c r="AU61" s="1"/>
      <c r="AV61" s="1"/>
      <c r="AW61" s="1"/>
      <c r="AX61" s="1"/>
      <c r="AY61" s="1"/>
      <c r="AZ61" s="1"/>
      <c r="BA61" s="1"/>
      <c r="BB61" s="1"/>
    </row>
    <row r="62" spans="1:54" x14ac:dyDescent="0.25">
      <c r="A62" s="1" t="s">
        <v>112</v>
      </c>
      <c r="B62" s="1" t="s">
        <v>42</v>
      </c>
      <c r="C62" s="1">
        <v>32.741</v>
      </c>
      <c r="D62" s="1">
        <v>70.808999999999997</v>
      </c>
      <c r="E62" s="1">
        <v>20.452000000000002</v>
      </c>
      <c r="F62" s="1"/>
      <c r="G62" s="1"/>
      <c r="H62" s="1">
        <f t="shared" si="11"/>
        <v>0</v>
      </c>
      <c r="I62" s="7">
        <v>1</v>
      </c>
      <c r="J62" s="1">
        <v>55</v>
      </c>
      <c r="K62" s="1" t="s">
        <v>43</v>
      </c>
      <c r="L62" s="1"/>
      <c r="M62" s="1">
        <v>41.936</v>
      </c>
      <c r="N62" s="1">
        <f t="shared" si="12"/>
        <v>-21.483999999999998</v>
      </c>
      <c r="O62" s="1">
        <f t="shared" si="13"/>
        <v>20.452000000000002</v>
      </c>
      <c r="P62" s="1"/>
      <c r="Q62" s="1">
        <v>109.2462</v>
      </c>
      <c r="R62" s="1"/>
      <c r="S62" s="1"/>
      <c r="T62" s="1"/>
      <c r="U62" s="1"/>
      <c r="V62" s="1">
        <v>44.739780959999997</v>
      </c>
      <c r="W62" s="1"/>
      <c r="X62" s="1"/>
      <c r="Y62" s="1">
        <v>82.833019040000011</v>
      </c>
      <c r="Z62" s="1">
        <f>O62/5</f>
        <v>4.0904000000000007</v>
      </c>
      <c r="AA62" s="5"/>
      <c r="AB62" s="5">
        <f t="shared" si="6"/>
        <v>0</v>
      </c>
      <c r="AC62" s="5"/>
      <c r="AD62" s="5"/>
      <c r="AE62" s="1"/>
      <c r="AF62" s="1"/>
      <c r="AG62" s="1">
        <f>(H62+Q62+R62+S62+T62+U62+V62+W62+X62+Y62+AC62+AD62)/Z62</f>
        <v>57.89629376100136</v>
      </c>
      <c r="AH62" s="1">
        <f>(H62+Q62+R62+S62+T62+U62+V62+W62+X62+Y62)/Z62</f>
        <v>57.89629376100136</v>
      </c>
      <c r="AI62" s="1">
        <v>20.759</v>
      </c>
      <c r="AJ62" s="1">
        <v>17.7484</v>
      </c>
      <c r="AK62" s="1">
        <v>2.9815999999999998</v>
      </c>
      <c r="AL62" s="1">
        <v>5.4039999999999999</v>
      </c>
      <c r="AM62" s="1">
        <v>9.4480000000000004</v>
      </c>
      <c r="AN62" s="1">
        <v>7.5763999999999996</v>
      </c>
      <c r="AO62" s="1">
        <v>5.4626000000000001</v>
      </c>
      <c r="AP62" s="1">
        <v>6.831999999999999</v>
      </c>
      <c r="AQ62" s="1"/>
      <c r="AR62" s="1">
        <f>ROUND(I62*AC62,0)</f>
        <v>0</v>
      </c>
      <c r="AS62" s="1">
        <f>ROUND(I62*AD62,0)</f>
        <v>0</v>
      </c>
      <c r="AT62" s="1"/>
      <c r="AU62" s="1"/>
      <c r="AV62" s="1"/>
      <c r="AW62" s="1"/>
      <c r="AX62" s="1"/>
      <c r="AY62" s="1"/>
      <c r="AZ62" s="1"/>
      <c r="BA62" s="1"/>
      <c r="BB62" s="1"/>
    </row>
    <row r="63" spans="1:54" x14ac:dyDescent="0.25">
      <c r="A63" s="1" t="s">
        <v>113</v>
      </c>
      <c r="B63" s="1" t="s">
        <v>48</v>
      </c>
      <c r="C63" s="1">
        <v>189</v>
      </c>
      <c r="D63" s="1">
        <v>715</v>
      </c>
      <c r="E63" s="1">
        <v>175</v>
      </c>
      <c r="F63" s="1">
        <v>630</v>
      </c>
      <c r="G63" s="1"/>
      <c r="H63" s="1">
        <f t="shared" si="11"/>
        <v>630</v>
      </c>
      <c r="I63" s="7">
        <v>0.1</v>
      </c>
      <c r="J63" s="1">
        <v>731</v>
      </c>
      <c r="K63" s="1" t="s">
        <v>43</v>
      </c>
      <c r="L63" s="1"/>
      <c r="M63" s="1">
        <v>188</v>
      </c>
      <c r="N63" s="1">
        <f t="shared" si="12"/>
        <v>-13</v>
      </c>
      <c r="O63" s="1">
        <f t="shared" si="13"/>
        <v>175</v>
      </c>
      <c r="P63" s="1"/>
      <c r="Q63" s="1">
        <v>50</v>
      </c>
      <c r="R63" s="1"/>
      <c r="S63" s="1"/>
      <c r="T63" s="1"/>
      <c r="U63" s="1"/>
      <c r="V63" s="1">
        <v>0</v>
      </c>
      <c r="W63" s="1"/>
      <c r="X63" s="1"/>
      <c r="Y63" s="1"/>
      <c r="Z63" s="1">
        <f>O63/5</f>
        <v>35</v>
      </c>
      <c r="AA63" s="5"/>
      <c r="AB63" s="5">
        <f t="shared" si="6"/>
        <v>0</v>
      </c>
      <c r="AC63" s="5"/>
      <c r="AD63" s="5"/>
      <c r="AE63" s="1"/>
      <c r="AF63" s="1"/>
      <c r="AG63" s="1">
        <f>(H63+Q63+R63+S63+T63+U63+V63+W63+X63+Y63+AC63+AD63)/Z63</f>
        <v>19.428571428571427</v>
      </c>
      <c r="AH63" s="1">
        <f>(H63+Q63+R63+S63+T63+U63+V63+W63+X63+Y63)/Z63</f>
        <v>19.428571428571427</v>
      </c>
      <c r="AI63" s="1">
        <v>40.200000000000003</v>
      </c>
      <c r="AJ63" s="1">
        <v>25.8</v>
      </c>
      <c r="AK63" s="1">
        <v>29</v>
      </c>
      <c r="AL63" s="1">
        <v>47</v>
      </c>
      <c r="AM63" s="1">
        <v>28.2</v>
      </c>
      <c r="AN63" s="1">
        <v>12</v>
      </c>
      <c r="AO63" s="1">
        <v>17.2</v>
      </c>
      <c r="AP63" s="1">
        <v>18.600000000000001</v>
      </c>
      <c r="AQ63" s="1"/>
      <c r="AR63" s="1">
        <f>ROUND(I63*AC63,0)</f>
        <v>0</v>
      </c>
      <c r="AS63" s="1">
        <f>ROUND(I63*AD63,0)</f>
        <v>0</v>
      </c>
      <c r="AT63" s="1"/>
      <c r="AU63" s="1"/>
      <c r="AV63" s="1"/>
      <c r="AW63" s="1"/>
      <c r="AX63" s="1"/>
      <c r="AY63" s="1"/>
      <c r="AZ63" s="1"/>
      <c r="BA63" s="1"/>
      <c r="BB63" s="1"/>
    </row>
    <row r="64" spans="1:54" x14ac:dyDescent="0.25">
      <c r="A64" s="1" t="s">
        <v>114</v>
      </c>
      <c r="B64" s="1" t="s">
        <v>48</v>
      </c>
      <c r="C64" s="1">
        <v>22</v>
      </c>
      <c r="D64" s="1">
        <v>8</v>
      </c>
      <c r="E64" s="1">
        <v>7</v>
      </c>
      <c r="F64" s="1"/>
      <c r="G64" s="1"/>
      <c r="H64" s="1">
        <f t="shared" si="11"/>
        <v>0</v>
      </c>
      <c r="I64" s="7">
        <v>0.4</v>
      </c>
      <c r="J64" s="1">
        <v>50</v>
      </c>
      <c r="K64" s="1" t="s">
        <v>43</v>
      </c>
      <c r="L64" s="1"/>
      <c r="M64" s="1">
        <v>9</v>
      </c>
      <c r="N64" s="1">
        <f t="shared" si="12"/>
        <v>-2</v>
      </c>
      <c r="O64" s="1">
        <f t="shared" si="13"/>
        <v>7</v>
      </c>
      <c r="P64" s="1"/>
      <c r="Q64" s="1">
        <v>0</v>
      </c>
      <c r="R64" s="1"/>
      <c r="S64" s="1"/>
      <c r="T64" s="1"/>
      <c r="U64" s="1"/>
      <c r="V64" s="1">
        <v>0</v>
      </c>
      <c r="W64" s="1"/>
      <c r="X64" s="1"/>
      <c r="Y64" s="1"/>
      <c r="Z64" s="1">
        <f>O64/5</f>
        <v>1.4</v>
      </c>
      <c r="AA64" s="5">
        <v>10</v>
      </c>
      <c r="AB64" s="5">
        <f t="shared" si="6"/>
        <v>10</v>
      </c>
      <c r="AC64" s="5">
        <f>AB64-AD64</f>
        <v>10</v>
      </c>
      <c r="AD64" s="5"/>
      <c r="AE64" s="1"/>
      <c r="AF64" s="1"/>
      <c r="AG64" s="1">
        <f>(H64+Q64+R64+S64+T64+U64+V64+W64+X64+Y64+AC64+AD64)/Z64</f>
        <v>7.1428571428571432</v>
      </c>
      <c r="AH64" s="1">
        <f>(H64+Q64+R64+S64+T64+U64+V64+W64+X64+Y64)/Z64</f>
        <v>0</v>
      </c>
      <c r="AI64" s="1">
        <v>1</v>
      </c>
      <c r="AJ64" s="1">
        <v>0.6</v>
      </c>
      <c r="AK64" s="1">
        <v>0.2</v>
      </c>
      <c r="AL64" s="1">
        <v>0.2</v>
      </c>
      <c r="AM64" s="1">
        <v>0.2</v>
      </c>
      <c r="AN64" s="1">
        <v>0.2</v>
      </c>
      <c r="AO64" s="1">
        <v>0.2</v>
      </c>
      <c r="AP64" s="1">
        <v>0</v>
      </c>
      <c r="AQ64" s="10" t="s">
        <v>189</v>
      </c>
      <c r="AR64" s="1">
        <f>ROUND(I64*AC64,0)</f>
        <v>4</v>
      </c>
      <c r="AS64" s="1">
        <f>ROUND(I64*AD64,0)</f>
        <v>0</v>
      </c>
      <c r="AT64" s="1"/>
      <c r="AU64" s="1"/>
      <c r="AV64" s="1"/>
      <c r="AW64" s="1"/>
      <c r="AX64" s="1"/>
      <c r="AY64" s="1"/>
      <c r="AZ64" s="1"/>
      <c r="BA64" s="1"/>
      <c r="BB64" s="1"/>
    </row>
    <row r="65" spans="1:54" x14ac:dyDescent="0.25">
      <c r="A65" s="1" t="s">
        <v>115</v>
      </c>
      <c r="B65" s="1" t="s">
        <v>42</v>
      </c>
      <c r="C65" s="1">
        <v>-41.265999999999998</v>
      </c>
      <c r="D65" s="1">
        <v>1367.1110000000001</v>
      </c>
      <c r="E65" s="1">
        <v>389.38900000000001</v>
      </c>
      <c r="F65" s="1">
        <v>399.404</v>
      </c>
      <c r="G65" s="1"/>
      <c r="H65" s="1">
        <f t="shared" si="11"/>
        <v>399.404</v>
      </c>
      <c r="I65" s="7">
        <v>1</v>
      </c>
      <c r="J65" s="1">
        <v>40</v>
      </c>
      <c r="K65" s="11" t="s">
        <v>53</v>
      </c>
      <c r="L65" s="1"/>
      <c r="M65" s="1">
        <v>424.23700000000002</v>
      </c>
      <c r="N65" s="1">
        <f t="shared" si="12"/>
        <v>-34.848000000000013</v>
      </c>
      <c r="O65" s="1">
        <f t="shared" si="13"/>
        <v>254.352</v>
      </c>
      <c r="P65" s="1">
        <v>135.03700000000001</v>
      </c>
      <c r="Q65" s="1">
        <v>200</v>
      </c>
      <c r="R65" s="1"/>
      <c r="S65" s="1"/>
      <c r="T65" s="1"/>
      <c r="U65" s="1"/>
      <c r="V65" s="1">
        <v>0</v>
      </c>
      <c r="W65" s="1"/>
      <c r="X65" s="1"/>
      <c r="Y65" s="1"/>
      <c r="Z65" s="1">
        <f>O65/5</f>
        <v>50.870400000000004</v>
      </c>
      <c r="AA65" s="5">
        <v>50</v>
      </c>
      <c r="AB65" s="5">
        <f t="shared" ref="AB65:AB72" si="19">AA65*1.3</f>
        <v>65</v>
      </c>
      <c r="AC65" s="5">
        <f t="shared" ref="AC65:AC72" si="20">AB65</f>
        <v>65</v>
      </c>
      <c r="AD65" s="5"/>
      <c r="AE65" s="1">
        <v>350</v>
      </c>
      <c r="AF65" s="1" t="str">
        <f>VLOOKUP(A65,[2]Лист1!$A:$B,2,0)</f>
        <v>до 350 кг (акция)</v>
      </c>
      <c r="AG65" s="1">
        <f>(H65+Q65+R65+S65+T65+U65+V65+W65+X65+Y65+AC65+AD65)/Z65</f>
        <v>13.06071900358558</v>
      </c>
      <c r="AH65" s="1">
        <f>(H65+Q65+R65+S65+T65+U65+V65+W65+X65+Y65)/Z65</f>
        <v>11.782962194124677</v>
      </c>
      <c r="AI65" s="1">
        <v>19.090599999999998</v>
      </c>
      <c r="AJ65" s="1">
        <v>23.803599999999999</v>
      </c>
      <c r="AK65" s="1">
        <v>71.302800000000005</v>
      </c>
      <c r="AL65" s="1">
        <v>74.102599999999995</v>
      </c>
      <c r="AM65" s="1">
        <v>40.983999999999988</v>
      </c>
      <c r="AN65" s="1">
        <v>8.3099999999999987</v>
      </c>
      <c r="AO65" s="1">
        <v>26.265000000000001</v>
      </c>
      <c r="AP65" s="1">
        <v>55.605400000000003</v>
      </c>
      <c r="AQ65" s="1" t="s">
        <v>45</v>
      </c>
      <c r="AR65" s="1">
        <f>ROUND(I65*AC65,0)</f>
        <v>65</v>
      </c>
      <c r="AS65" s="1">
        <f>ROUND(I65*AD65,0)</f>
        <v>0</v>
      </c>
      <c r="AT65" s="1"/>
      <c r="AU65" s="1"/>
      <c r="AV65" s="1"/>
      <c r="AW65" s="1"/>
      <c r="AX65" s="1"/>
      <c r="AY65" s="1"/>
      <c r="AZ65" s="1"/>
      <c r="BA65" s="1"/>
      <c r="BB65" s="1"/>
    </row>
    <row r="66" spans="1:54" x14ac:dyDescent="0.25">
      <c r="A66" s="1" t="s">
        <v>116</v>
      </c>
      <c r="B66" s="1" t="s">
        <v>42</v>
      </c>
      <c r="C66" s="1">
        <v>-94.335999999999999</v>
      </c>
      <c r="D66" s="1">
        <v>761.11400000000003</v>
      </c>
      <c r="E66" s="1">
        <v>306.61399999999998</v>
      </c>
      <c r="F66" s="1">
        <v>15.821999999999999</v>
      </c>
      <c r="G66" s="1"/>
      <c r="H66" s="1">
        <f t="shared" si="11"/>
        <v>15.821999999999999</v>
      </c>
      <c r="I66" s="7">
        <v>1</v>
      </c>
      <c r="J66" s="1">
        <v>40</v>
      </c>
      <c r="K66" s="11" t="s">
        <v>53</v>
      </c>
      <c r="L66" s="1"/>
      <c r="M66" s="1">
        <v>548.88499999999999</v>
      </c>
      <c r="N66" s="1">
        <f t="shared" si="12"/>
        <v>-242.27100000000002</v>
      </c>
      <c r="O66" s="1">
        <f t="shared" si="13"/>
        <v>164.22899999999998</v>
      </c>
      <c r="P66" s="1">
        <v>142.38499999999999</v>
      </c>
      <c r="Q66" s="1">
        <v>100</v>
      </c>
      <c r="R66" s="1">
        <v>-105</v>
      </c>
      <c r="S66" s="1"/>
      <c r="T66" s="1"/>
      <c r="U66" s="1"/>
      <c r="V66" s="1">
        <v>400</v>
      </c>
      <c r="W66" s="1">
        <v>-405</v>
      </c>
      <c r="X66" s="1"/>
      <c r="Y66" s="1">
        <v>200</v>
      </c>
      <c r="Z66" s="1">
        <f>O66/5</f>
        <v>32.845799999999997</v>
      </c>
      <c r="AA66" s="5">
        <v>200</v>
      </c>
      <c r="AB66" s="5">
        <f t="shared" si="19"/>
        <v>260</v>
      </c>
      <c r="AC66" s="5">
        <f t="shared" si="20"/>
        <v>260</v>
      </c>
      <c r="AD66" s="5"/>
      <c r="AE66" s="1">
        <v>400</v>
      </c>
      <c r="AF66" s="1" t="str">
        <f>VLOOKUP(A66,[2]Лист1!$A:$B,2,0)</f>
        <v>до 400 кг (акция)</v>
      </c>
      <c r="AG66" s="1">
        <f>(H66+Q66+R66+S66+T66+U66+V66+W66+X66+Y66+AC66+AD66)/Z66</f>
        <v>14.182087207496851</v>
      </c>
      <c r="AH66" s="1">
        <f>(H66+Q66+R66+S66+T66+U66+V66+W66+X66+Y66)/Z66</f>
        <v>6.2663110656461409</v>
      </c>
      <c r="AI66" s="1">
        <v>64.912599999999998</v>
      </c>
      <c r="AJ66" s="1">
        <v>19.1128</v>
      </c>
      <c r="AK66" s="1">
        <v>32.8048</v>
      </c>
      <c r="AL66" s="1">
        <v>35.227999999999987</v>
      </c>
      <c r="AM66" s="1">
        <v>10.414</v>
      </c>
      <c r="AN66" s="1">
        <v>0.26600000000000001</v>
      </c>
      <c r="AO66" s="1">
        <v>12.8588</v>
      </c>
      <c r="AP66" s="1">
        <v>32.803199999999997</v>
      </c>
      <c r="AQ66" s="1" t="s">
        <v>45</v>
      </c>
      <c r="AR66" s="1">
        <f>ROUND(I66*AC66,0)</f>
        <v>260</v>
      </c>
      <c r="AS66" s="1">
        <f>ROUND(I66*AD66,0)</f>
        <v>0</v>
      </c>
      <c r="AT66" s="1"/>
      <c r="AU66" s="1"/>
      <c r="AV66" s="1"/>
      <c r="AW66" s="1"/>
      <c r="AX66" s="1"/>
      <c r="AY66" s="1"/>
      <c r="AZ66" s="1"/>
      <c r="BA66" s="1"/>
      <c r="BB66" s="1"/>
    </row>
    <row r="67" spans="1:54" x14ac:dyDescent="0.25">
      <c r="A67" s="1" t="s">
        <v>117</v>
      </c>
      <c r="B67" s="1" t="s">
        <v>48</v>
      </c>
      <c r="C67" s="1">
        <v>-5</v>
      </c>
      <c r="D67" s="1">
        <v>4057</v>
      </c>
      <c r="E67" s="1">
        <v>679</v>
      </c>
      <c r="F67" s="1">
        <v>1437</v>
      </c>
      <c r="G67" s="1"/>
      <c r="H67" s="1">
        <f t="shared" si="11"/>
        <v>1437</v>
      </c>
      <c r="I67" s="7">
        <v>0.4</v>
      </c>
      <c r="J67" s="1">
        <v>40</v>
      </c>
      <c r="K67" s="11" t="s">
        <v>53</v>
      </c>
      <c r="L67" s="1"/>
      <c r="M67" s="1">
        <v>703</v>
      </c>
      <c r="N67" s="1">
        <f t="shared" si="12"/>
        <v>-24</v>
      </c>
      <c r="O67" s="1">
        <f t="shared" si="13"/>
        <v>619</v>
      </c>
      <c r="P67" s="1">
        <v>60</v>
      </c>
      <c r="Q67" s="1">
        <v>150</v>
      </c>
      <c r="R67" s="1">
        <v>-150</v>
      </c>
      <c r="S67" s="1"/>
      <c r="T67" s="1"/>
      <c r="U67" s="1"/>
      <c r="V67" s="1">
        <v>0</v>
      </c>
      <c r="W67" s="1"/>
      <c r="X67" s="1"/>
      <c r="Y67" s="1"/>
      <c r="Z67" s="1">
        <f>O67/5</f>
        <v>123.8</v>
      </c>
      <c r="AA67" s="5"/>
      <c r="AB67" s="5">
        <f t="shared" si="19"/>
        <v>0</v>
      </c>
      <c r="AC67" s="5">
        <f t="shared" si="20"/>
        <v>0</v>
      </c>
      <c r="AD67" s="5"/>
      <c r="AE67" s="1"/>
      <c r="AF67" s="1"/>
      <c r="AG67" s="1">
        <f>(H67+Q67+R67+S67+T67+U67+V67+W67+X67+Y67+AC67+AD67)/Z67</f>
        <v>11.607431340872376</v>
      </c>
      <c r="AH67" s="1">
        <f>(H67+Q67+R67+S67+T67+U67+V67+W67+X67+Y67)/Z67</f>
        <v>11.607431340872376</v>
      </c>
      <c r="AI67" s="1">
        <v>114.2</v>
      </c>
      <c r="AJ67" s="1">
        <v>94.8</v>
      </c>
      <c r="AK67" s="1">
        <v>209</v>
      </c>
      <c r="AL67" s="1">
        <v>283.39999999999998</v>
      </c>
      <c r="AM67" s="1">
        <v>167</v>
      </c>
      <c r="AN67" s="1">
        <v>155.6</v>
      </c>
      <c r="AO67" s="1">
        <v>157.4</v>
      </c>
      <c r="AP67" s="1">
        <v>200.4</v>
      </c>
      <c r="AQ67" s="1"/>
      <c r="AR67" s="1">
        <f>ROUND(I67*AC67,0)</f>
        <v>0</v>
      </c>
      <c r="AS67" s="1">
        <f>ROUND(I67*AD67,0)</f>
        <v>0</v>
      </c>
      <c r="AT67" s="1"/>
      <c r="AU67" s="1"/>
      <c r="AV67" s="1"/>
      <c r="AW67" s="1"/>
      <c r="AX67" s="1"/>
      <c r="AY67" s="1"/>
      <c r="AZ67" s="1"/>
      <c r="BA67" s="1"/>
      <c r="BB67" s="1"/>
    </row>
    <row r="68" spans="1:54" x14ac:dyDescent="0.25">
      <c r="A68" s="1" t="s">
        <v>118</v>
      </c>
      <c r="B68" s="1" t="s">
        <v>48</v>
      </c>
      <c r="C68" s="1">
        <v>17</v>
      </c>
      <c r="D68" s="1">
        <v>1285</v>
      </c>
      <c r="E68" s="1">
        <v>360</v>
      </c>
      <c r="F68" s="1">
        <v>224</v>
      </c>
      <c r="G68" s="1"/>
      <c r="H68" s="1">
        <f t="shared" si="11"/>
        <v>224</v>
      </c>
      <c r="I68" s="7">
        <v>0.4</v>
      </c>
      <c r="J68" s="1">
        <v>40</v>
      </c>
      <c r="K68" s="11" t="s">
        <v>53</v>
      </c>
      <c r="L68" s="1"/>
      <c r="M68" s="1">
        <v>392</v>
      </c>
      <c r="N68" s="1">
        <f t="shared" si="12"/>
        <v>-32</v>
      </c>
      <c r="O68" s="1">
        <f t="shared" si="13"/>
        <v>360</v>
      </c>
      <c r="P68" s="1"/>
      <c r="Q68" s="1">
        <v>106.3</v>
      </c>
      <c r="R68" s="1"/>
      <c r="S68" s="1">
        <v>143.69999999999999</v>
      </c>
      <c r="T68" s="1"/>
      <c r="U68" s="1"/>
      <c r="V68" s="1">
        <v>0</v>
      </c>
      <c r="W68" s="1"/>
      <c r="X68" s="1"/>
      <c r="Y68" s="1"/>
      <c r="Z68" s="1">
        <f>O68/5</f>
        <v>72</v>
      </c>
      <c r="AA68" s="5">
        <f>11*Z68-Y68-X68-W68-V68-U68-T68-S68-R68-Q68-H68</f>
        <v>318</v>
      </c>
      <c r="AB68" s="5">
        <f t="shared" si="19"/>
        <v>413.40000000000003</v>
      </c>
      <c r="AC68" s="5">
        <f t="shared" si="20"/>
        <v>413.40000000000003</v>
      </c>
      <c r="AD68" s="5">
        <f>0.5*AB68</f>
        <v>206.70000000000002</v>
      </c>
      <c r="AE68" s="1">
        <v>200</v>
      </c>
      <c r="AF68" s="1" t="str">
        <f>VLOOKUP(A68,[2]Лист1!$A:$B,2,0)</f>
        <v>до 200 шт</v>
      </c>
      <c r="AG68" s="1">
        <f>(H68+Q68+R68+S68+T68+U68+V68+W68+X68+Y68+AC68+AD68)/Z68</f>
        <v>15.195833333333335</v>
      </c>
      <c r="AH68" s="1">
        <f>(H68+Q68+R68+S68+T68+U68+V68+W68+X68+Y68)/Z68</f>
        <v>6.583333333333333</v>
      </c>
      <c r="AI68" s="1">
        <v>53.8</v>
      </c>
      <c r="AJ68" s="1">
        <v>26.4</v>
      </c>
      <c r="AK68" s="1">
        <v>52.6</v>
      </c>
      <c r="AL68" s="1">
        <v>97</v>
      </c>
      <c r="AM68" s="1">
        <v>65.8</v>
      </c>
      <c r="AN68" s="1">
        <v>20</v>
      </c>
      <c r="AO68" s="1">
        <v>15.6</v>
      </c>
      <c r="AP68" s="1">
        <v>37.799999999999997</v>
      </c>
      <c r="AQ68" s="1"/>
      <c r="AR68" s="1">
        <f>ROUND(I68*AC68,0)</f>
        <v>165</v>
      </c>
      <c r="AS68" s="1">
        <f>ROUND(I68*AD68,0)</f>
        <v>83</v>
      </c>
      <c r="AT68" s="1"/>
      <c r="AU68" s="1"/>
      <c r="AV68" s="1"/>
      <c r="AW68" s="1"/>
      <c r="AX68" s="1"/>
      <c r="AY68" s="1"/>
      <c r="AZ68" s="1"/>
      <c r="BA68" s="1"/>
      <c r="BB68" s="1"/>
    </row>
    <row r="69" spans="1:54" x14ac:dyDescent="0.25">
      <c r="A69" s="1" t="s">
        <v>119</v>
      </c>
      <c r="B69" s="1" t="s">
        <v>42</v>
      </c>
      <c r="C69" s="1">
        <v>40.313000000000002</v>
      </c>
      <c r="D69" s="1">
        <v>146.631</v>
      </c>
      <c r="E69" s="1">
        <v>63.137</v>
      </c>
      <c r="F69" s="1"/>
      <c r="G69" s="1"/>
      <c r="H69" s="1">
        <f t="shared" si="11"/>
        <v>0</v>
      </c>
      <c r="I69" s="7">
        <v>1</v>
      </c>
      <c r="J69" s="1">
        <v>40</v>
      </c>
      <c r="K69" s="11" t="s">
        <v>53</v>
      </c>
      <c r="L69" s="1"/>
      <c r="M69" s="1">
        <v>123.86799999999999</v>
      </c>
      <c r="N69" s="1">
        <f t="shared" si="12"/>
        <v>-60.730999999999995</v>
      </c>
      <c r="O69" s="1">
        <f t="shared" si="13"/>
        <v>63.137</v>
      </c>
      <c r="P69" s="1"/>
      <c r="Q69" s="1">
        <v>200</v>
      </c>
      <c r="R69" s="1"/>
      <c r="S69" s="1"/>
      <c r="T69" s="1"/>
      <c r="U69" s="1"/>
      <c r="V69" s="1">
        <v>192.10180000000011</v>
      </c>
      <c r="W69" s="1"/>
      <c r="X69" s="1"/>
      <c r="Y69" s="1"/>
      <c r="Z69" s="1">
        <f>O69/5</f>
        <v>12.6274</v>
      </c>
      <c r="AA69" s="5"/>
      <c r="AB69" s="5">
        <f t="shared" si="19"/>
        <v>0</v>
      </c>
      <c r="AC69" s="5">
        <f t="shared" si="20"/>
        <v>0</v>
      </c>
      <c r="AD69" s="5"/>
      <c r="AE69" s="1"/>
      <c r="AF69" s="1"/>
      <c r="AG69" s="1">
        <f>(H69+Q69+R69+S69+T69+U69+V69+W69+X69+Y69+AC69+AD69)/Z69</f>
        <v>31.051665425978438</v>
      </c>
      <c r="AH69" s="1">
        <f>(H69+Q69+R69+S69+T69+U69+V69+W69+X69+Y69)/Z69</f>
        <v>31.051665425978438</v>
      </c>
      <c r="AI69" s="1">
        <v>29.1814</v>
      </c>
      <c r="AJ69" s="1">
        <v>13.0938</v>
      </c>
      <c r="AK69" s="1">
        <v>1.0998000000000001</v>
      </c>
      <c r="AL69" s="1">
        <v>6.0128000000000004</v>
      </c>
      <c r="AM69" s="1">
        <v>19.421600000000002</v>
      </c>
      <c r="AN69" s="1">
        <v>9.282</v>
      </c>
      <c r="AO69" s="1">
        <v>10.1296</v>
      </c>
      <c r="AP69" s="1">
        <v>11.0182</v>
      </c>
      <c r="AQ69" s="1"/>
      <c r="AR69" s="1">
        <f>ROUND(I69*AC69,0)</f>
        <v>0</v>
      </c>
      <c r="AS69" s="1">
        <f>ROUND(I69*AD69,0)</f>
        <v>0</v>
      </c>
      <c r="AT69" s="1"/>
      <c r="AU69" s="1"/>
      <c r="AV69" s="1"/>
      <c r="AW69" s="1"/>
      <c r="AX69" s="1"/>
      <c r="AY69" s="1"/>
      <c r="AZ69" s="1"/>
      <c r="BA69" s="1"/>
      <c r="BB69" s="1"/>
    </row>
    <row r="70" spans="1:54" x14ac:dyDescent="0.25">
      <c r="A70" s="1" t="s">
        <v>120</v>
      </c>
      <c r="B70" s="1" t="s">
        <v>42</v>
      </c>
      <c r="C70" s="1">
        <v>-3.6509999999999998</v>
      </c>
      <c r="D70" s="1">
        <v>335.81599999999997</v>
      </c>
      <c r="E70" s="1">
        <v>64.218999999999994</v>
      </c>
      <c r="F70" s="1"/>
      <c r="G70" s="1"/>
      <c r="H70" s="1">
        <f t="shared" ref="H70:H101" si="21">F70-G70</f>
        <v>0</v>
      </c>
      <c r="I70" s="7">
        <v>1</v>
      </c>
      <c r="J70" s="1">
        <v>40</v>
      </c>
      <c r="K70" s="11" t="s">
        <v>53</v>
      </c>
      <c r="L70" s="1"/>
      <c r="M70" s="1">
        <v>147.81100000000001</v>
      </c>
      <c r="N70" s="1">
        <f t="shared" ref="N70:N101" si="22">E70-M70</f>
        <v>-83.592000000000013</v>
      </c>
      <c r="O70" s="1">
        <f t="shared" ref="O70:O101" si="23">E70-P70</f>
        <v>60.607999999999997</v>
      </c>
      <c r="P70" s="1">
        <v>3.6110000000000002</v>
      </c>
      <c r="Q70" s="1">
        <v>100</v>
      </c>
      <c r="R70" s="1"/>
      <c r="S70" s="1"/>
      <c r="T70" s="1"/>
      <c r="U70" s="1"/>
      <c r="V70" s="1">
        <v>60</v>
      </c>
      <c r="W70" s="1">
        <v>-64.8</v>
      </c>
      <c r="X70" s="1"/>
      <c r="Y70" s="1">
        <v>30</v>
      </c>
      <c r="Z70" s="1">
        <f>O70/5</f>
        <v>12.121599999999999</v>
      </c>
      <c r="AA70" s="5">
        <v>40</v>
      </c>
      <c r="AB70" s="5">
        <f t="shared" si="19"/>
        <v>52</v>
      </c>
      <c r="AC70" s="5">
        <f t="shared" si="20"/>
        <v>52</v>
      </c>
      <c r="AD70" s="5"/>
      <c r="AE70" s="1"/>
      <c r="AF70" s="1"/>
      <c r="AG70" s="1">
        <f>(H70+Q70+R70+S70+T70+U70+V70+W70+X70+Y70+AC70+AD70)/Z70</f>
        <v>14.618532206969377</v>
      </c>
      <c r="AH70" s="1">
        <f>(H70+Q70+R70+S70+T70+U70+V70+W70+X70+Y70)/Z70</f>
        <v>10.328669482576558</v>
      </c>
      <c r="AI70" s="1">
        <v>9.0609999999999982</v>
      </c>
      <c r="AJ70" s="1">
        <v>10.6732</v>
      </c>
      <c r="AK70" s="1">
        <v>19.827200000000001</v>
      </c>
      <c r="AL70" s="1">
        <v>18.578600000000002</v>
      </c>
      <c r="AM70" s="1">
        <v>13.1068</v>
      </c>
      <c r="AN70" s="1">
        <v>10.066800000000001</v>
      </c>
      <c r="AO70" s="1">
        <v>14.335800000000001</v>
      </c>
      <c r="AP70" s="1">
        <v>32.4208</v>
      </c>
      <c r="AQ70" s="1"/>
      <c r="AR70" s="1">
        <f>ROUND(I70*AC70,0)</f>
        <v>52</v>
      </c>
      <c r="AS70" s="1">
        <f>ROUND(I70*AD70,0)</f>
        <v>0</v>
      </c>
      <c r="AT70" s="1"/>
      <c r="AU70" s="1"/>
      <c r="AV70" s="1"/>
      <c r="AW70" s="1"/>
      <c r="AX70" s="1"/>
      <c r="AY70" s="1"/>
      <c r="AZ70" s="1"/>
      <c r="BA70" s="1"/>
      <c r="BB70" s="1"/>
    </row>
    <row r="71" spans="1:54" x14ac:dyDescent="0.25">
      <c r="A71" s="1" t="s">
        <v>121</v>
      </c>
      <c r="B71" s="1" t="s">
        <v>42</v>
      </c>
      <c r="C71" s="1">
        <v>-85.762</v>
      </c>
      <c r="D71" s="1">
        <v>2654.8090000000002</v>
      </c>
      <c r="E71" s="1">
        <v>1001.924</v>
      </c>
      <c r="F71" s="1">
        <v>0.85</v>
      </c>
      <c r="G71" s="1"/>
      <c r="H71" s="1">
        <f t="shared" si="21"/>
        <v>0.85</v>
      </c>
      <c r="I71" s="7">
        <v>1</v>
      </c>
      <c r="J71" s="1">
        <v>40</v>
      </c>
      <c r="K71" s="11" t="s">
        <v>53</v>
      </c>
      <c r="L71" s="1"/>
      <c r="M71" s="1">
        <v>1265.1369999999999</v>
      </c>
      <c r="N71" s="1">
        <f t="shared" si="22"/>
        <v>-263.21299999999997</v>
      </c>
      <c r="O71" s="1">
        <f t="shared" si="23"/>
        <v>1001.924</v>
      </c>
      <c r="P71" s="1"/>
      <c r="Q71" s="1">
        <v>106.3</v>
      </c>
      <c r="R71" s="1">
        <v>-108</v>
      </c>
      <c r="S71" s="1">
        <v>143.69999999999999</v>
      </c>
      <c r="T71" s="1">
        <v>-145.80000000000001</v>
      </c>
      <c r="U71" s="1"/>
      <c r="V71" s="1">
        <v>900</v>
      </c>
      <c r="W71" s="1">
        <v>-901.8</v>
      </c>
      <c r="X71" s="1"/>
      <c r="Y71" s="1">
        <v>414</v>
      </c>
      <c r="Z71" s="1">
        <f>O71/5</f>
        <v>200.38479999999998</v>
      </c>
      <c r="AA71" s="5">
        <v>300</v>
      </c>
      <c r="AB71" s="5">
        <f t="shared" si="19"/>
        <v>390</v>
      </c>
      <c r="AC71" s="5">
        <f t="shared" si="20"/>
        <v>390</v>
      </c>
      <c r="AD71" s="5">
        <f>0.5*AB71</f>
        <v>195</v>
      </c>
      <c r="AE71" s="1">
        <v>900</v>
      </c>
      <c r="AF71" s="1" t="str">
        <f>VLOOKUP(A71,[2]Лист1!$A:$B,2,0)</f>
        <v>до 900кг (акция)</v>
      </c>
      <c r="AG71" s="1">
        <f>(H71+Q71+R71+S71+T71+U71+V71+W71+X71+Y71+AC71+AD71)/Z71</f>
        <v>4.9617036821156102</v>
      </c>
      <c r="AH71" s="1">
        <f>(H71+Q71+R71+S71+T71+U71+V71+W71+X71+Y71)/Z71</f>
        <v>2.0423205752132896</v>
      </c>
      <c r="AI71" s="1">
        <v>150.6652</v>
      </c>
      <c r="AJ71" s="1">
        <v>10.826000000000001</v>
      </c>
      <c r="AK71" s="1">
        <v>108.81619999999999</v>
      </c>
      <c r="AL71" s="1">
        <v>142.37799999999999</v>
      </c>
      <c r="AM71" s="1">
        <v>60.96</v>
      </c>
      <c r="AN71" s="1">
        <v>40.290599999999998</v>
      </c>
      <c r="AO71" s="1">
        <v>85.263000000000005</v>
      </c>
      <c r="AP71" s="1">
        <v>100.748</v>
      </c>
      <c r="AQ71" s="1" t="s">
        <v>45</v>
      </c>
      <c r="AR71" s="1">
        <f>ROUND(I71*AC71,0)</f>
        <v>390</v>
      </c>
      <c r="AS71" s="1">
        <f>ROUND(I71*AD71,0)</f>
        <v>195</v>
      </c>
      <c r="AT71" s="1"/>
      <c r="AU71" s="1"/>
      <c r="AV71" s="1"/>
      <c r="AW71" s="1"/>
      <c r="AX71" s="1"/>
      <c r="AY71" s="1"/>
      <c r="AZ71" s="1"/>
      <c r="BA71" s="1"/>
      <c r="BB71" s="1"/>
    </row>
    <row r="72" spans="1:54" x14ac:dyDescent="0.25">
      <c r="A72" s="1" t="s">
        <v>122</v>
      </c>
      <c r="B72" s="1" t="s">
        <v>42</v>
      </c>
      <c r="C72" s="1">
        <v>-21.93</v>
      </c>
      <c r="D72" s="1">
        <v>108.92</v>
      </c>
      <c r="E72" s="1">
        <v>18.148</v>
      </c>
      <c r="F72" s="1">
        <v>0.92400000000000004</v>
      </c>
      <c r="G72" s="1"/>
      <c r="H72" s="1">
        <f t="shared" si="21"/>
        <v>0.92400000000000004</v>
      </c>
      <c r="I72" s="7">
        <v>1</v>
      </c>
      <c r="J72" s="1">
        <v>40</v>
      </c>
      <c r="K72" s="11" t="s">
        <v>53</v>
      </c>
      <c r="L72" s="1"/>
      <c r="M72" s="1">
        <v>83.33</v>
      </c>
      <c r="N72" s="1">
        <f t="shared" si="22"/>
        <v>-65.182000000000002</v>
      </c>
      <c r="O72" s="1">
        <f t="shared" si="23"/>
        <v>1.8180000000000014</v>
      </c>
      <c r="P72" s="1">
        <v>16.329999999999998</v>
      </c>
      <c r="Q72" s="1">
        <v>100</v>
      </c>
      <c r="R72" s="1">
        <v>-103</v>
      </c>
      <c r="S72" s="1"/>
      <c r="T72" s="1"/>
      <c r="U72" s="1"/>
      <c r="V72" s="1">
        <v>50</v>
      </c>
      <c r="W72" s="1">
        <v>-54</v>
      </c>
      <c r="X72" s="1"/>
      <c r="Y72" s="1"/>
      <c r="Z72" s="1">
        <f>O72/5</f>
        <v>0.36360000000000026</v>
      </c>
      <c r="AA72" s="5">
        <v>30</v>
      </c>
      <c r="AB72" s="5">
        <f t="shared" si="19"/>
        <v>39</v>
      </c>
      <c r="AC72" s="5">
        <f t="shared" si="20"/>
        <v>39</v>
      </c>
      <c r="AD72" s="5"/>
      <c r="AE72" s="1">
        <v>150</v>
      </c>
      <c r="AF72" s="1" t="str">
        <f>VLOOKUP(A72,[2]Лист1!$A:$B,2,0)</f>
        <v>до 150 кг</v>
      </c>
      <c r="AG72" s="1">
        <f>(H72+Q72+R72+S72+T72+U72+V72+W72+X72+Y72+AC72+AD72)/Z72</f>
        <v>90.550055005500511</v>
      </c>
      <c r="AH72" s="1">
        <f>(H72+Q72+R72+S72+T72+U72+V72+W72+X72+Y72)/Z72</f>
        <v>-16.710671067106681</v>
      </c>
      <c r="AI72" s="1">
        <v>3.6232000000000002</v>
      </c>
      <c r="AJ72" s="1">
        <v>4.3747999999999996</v>
      </c>
      <c r="AK72" s="1">
        <v>13.090400000000001</v>
      </c>
      <c r="AL72" s="1">
        <v>12.855399999999999</v>
      </c>
      <c r="AM72" s="1">
        <v>3.5981999999999998</v>
      </c>
      <c r="AN72" s="1">
        <v>1.6362000000000001</v>
      </c>
      <c r="AO72" s="1">
        <v>3.9883999999999999</v>
      </c>
      <c r="AP72" s="1">
        <v>20.392199999999999</v>
      </c>
      <c r="AQ72" s="1"/>
      <c r="AR72" s="1">
        <f>ROUND(I72*AC72,0)</f>
        <v>39</v>
      </c>
      <c r="AS72" s="1">
        <f>ROUND(I72*AD72,0)</f>
        <v>0</v>
      </c>
      <c r="AT72" s="1"/>
      <c r="AU72" s="1"/>
      <c r="AV72" s="1"/>
      <c r="AW72" s="1"/>
      <c r="AX72" s="1"/>
      <c r="AY72" s="1"/>
      <c r="AZ72" s="1"/>
      <c r="BA72" s="1"/>
      <c r="BB72" s="1"/>
    </row>
    <row r="73" spans="1:54" x14ac:dyDescent="0.25">
      <c r="A73" s="12" t="s">
        <v>123</v>
      </c>
      <c r="B73" s="12" t="s">
        <v>48</v>
      </c>
      <c r="C73" s="12"/>
      <c r="D73" s="12"/>
      <c r="E73" s="12"/>
      <c r="F73" s="12"/>
      <c r="G73" s="12"/>
      <c r="H73" s="12">
        <f t="shared" si="21"/>
        <v>0</v>
      </c>
      <c r="I73" s="13">
        <v>0</v>
      </c>
      <c r="J73" s="12"/>
      <c r="K73" s="12" t="s">
        <v>43</v>
      </c>
      <c r="L73" s="12"/>
      <c r="M73" s="12"/>
      <c r="N73" s="12">
        <f t="shared" si="22"/>
        <v>0</v>
      </c>
      <c r="O73" s="12">
        <f t="shared" si="23"/>
        <v>0</v>
      </c>
      <c r="P73" s="12"/>
      <c r="Q73" s="12">
        <v>0</v>
      </c>
      <c r="R73" s="12"/>
      <c r="S73" s="12"/>
      <c r="T73" s="12"/>
      <c r="U73" s="12"/>
      <c r="V73" s="12">
        <v>0</v>
      </c>
      <c r="W73" s="12"/>
      <c r="X73" s="12"/>
      <c r="Y73" s="12"/>
      <c r="Z73" s="12">
        <f>O73/5</f>
        <v>0</v>
      </c>
      <c r="AA73" s="14"/>
      <c r="AB73" s="5">
        <f t="shared" ref="AB73:AB134" si="24">AA73</f>
        <v>0</v>
      </c>
      <c r="AC73" s="5"/>
      <c r="AD73" s="5"/>
      <c r="AE73" s="12"/>
      <c r="AF73" s="1"/>
      <c r="AG73" s="1" t="e">
        <f>(H73+Q73+R73+S73+T73+U73+V73+W73+X73+Y73+AC73+AD73)/Z73</f>
        <v>#DIV/0!</v>
      </c>
      <c r="AH73" s="12" t="e">
        <f>(H73+Q73+R73+S73+T73+U73+V73+W73+X73+Y73)/Z73</f>
        <v>#DIV/0!</v>
      </c>
      <c r="AI73" s="12">
        <v>0</v>
      </c>
      <c r="AJ73" s="12">
        <v>0</v>
      </c>
      <c r="AK73" s="12">
        <v>0</v>
      </c>
      <c r="AL73" s="12">
        <v>0</v>
      </c>
      <c r="AM73" s="12">
        <v>0</v>
      </c>
      <c r="AN73" s="12">
        <v>0</v>
      </c>
      <c r="AO73" s="12">
        <v>0</v>
      </c>
      <c r="AP73" s="12">
        <v>0</v>
      </c>
      <c r="AQ73" s="12" t="s">
        <v>65</v>
      </c>
      <c r="AR73" s="1">
        <f>ROUND(I73*AC73,0)</f>
        <v>0</v>
      </c>
      <c r="AS73" s="1">
        <f>ROUND(I73*AD73,0)</f>
        <v>0</v>
      </c>
      <c r="AT73" s="1"/>
      <c r="AU73" s="1"/>
      <c r="AV73" s="1"/>
      <c r="AW73" s="1"/>
      <c r="AX73" s="1"/>
      <c r="AY73" s="1"/>
      <c r="AZ73" s="1"/>
      <c r="BA73" s="1"/>
      <c r="BB73" s="1"/>
    </row>
    <row r="74" spans="1:54" x14ac:dyDescent="0.25">
      <c r="A74" s="1" t="s">
        <v>124</v>
      </c>
      <c r="B74" s="1" t="s">
        <v>42</v>
      </c>
      <c r="C74" s="1">
        <v>349.16199999999998</v>
      </c>
      <c r="D74" s="1">
        <v>575.96799999999996</v>
      </c>
      <c r="E74" s="1">
        <v>150.97399999999999</v>
      </c>
      <c r="F74" s="1">
        <v>148.946</v>
      </c>
      <c r="G74" s="1"/>
      <c r="H74" s="1">
        <f t="shared" si="21"/>
        <v>148.946</v>
      </c>
      <c r="I74" s="7">
        <v>1</v>
      </c>
      <c r="J74" s="1">
        <v>30</v>
      </c>
      <c r="K74" s="11" t="s">
        <v>53</v>
      </c>
      <c r="L74" s="1"/>
      <c r="M74" s="1">
        <v>205.416</v>
      </c>
      <c r="N74" s="1">
        <f t="shared" si="22"/>
        <v>-54.442000000000007</v>
      </c>
      <c r="O74" s="1">
        <f t="shared" si="23"/>
        <v>148.50799999999998</v>
      </c>
      <c r="P74" s="1">
        <v>2.4660000000000002</v>
      </c>
      <c r="Q74" s="1">
        <v>57.487799999999993</v>
      </c>
      <c r="R74" s="1"/>
      <c r="S74" s="1"/>
      <c r="T74" s="1"/>
      <c r="U74" s="1"/>
      <c r="V74" s="1">
        <v>187.63720000000001</v>
      </c>
      <c r="W74" s="1"/>
      <c r="X74" s="1"/>
      <c r="Y74" s="1"/>
      <c r="Z74" s="1">
        <f>O74/5</f>
        <v>29.701599999999996</v>
      </c>
      <c r="AA74" s="5">
        <v>50</v>
      </c>
      <c r="AB74" s="5">
        <f>AA74*1.3</f>
        <v>65</v>
      </c>
      <c r="AC74" s="5">
        <f>AB74</f>
        <v>65</v>
      </c>
      <c r="AD74" s="5"/>
      <c r="AE74" s="1">
        <v>100</v>
      </c>
      <c r="AF74" s="1" t="str">
        <f>VLOOKUP(A74,[2]Лист1!$A:$B,2,0)</f>
        <v>до 100кг</v>
      </c>
      <c r="AG74" s="1">
        <f>(H74+Q74+R74+S74+T74+U74+V74+W74+X74+Y74+AC74+AD74)/Z74</f>
        <v>15.456103374902366</v>
      </c>
      <c r="AH74" s="1">
        <f>(H74+Q74+R74+S74+T74+U74+V74+W74+X74+Y74)/Z74</f>
        <v>13.26766908180031</v>
      </c>
      <c r="AI74" s="1">
        <v>39.893999999999998</v>
      </c>
      <c r="AJ74" s="1">
        <v>36.8568</v>
      </c>
      <c r="AK74" s="1">
        <v>31.719799999999999</v>
      </c>
      <c r="AL74" s="1">
        <v>39.7896</v>
      </c>
      <c r="AM74" s="1">
        <v>33.502800000000001</v>
      </c>
      <c r="AN74" s="1">
        <v>31.885400000000001</v>
      </c>
      <c r="AO74" s="1">
        <v>80.1066</v>
      </c>
      <c r="AP74" s="1">
        <v>96.989400000000003</v>
      </c>
      <c r="AQ74" s="1"/>
      <c r="AR74" s="1">
        <f>ROUND(I74*AC74,0)</f>
        <v>65</v>
      </c>
      <c r="AS74" s="1">
        <f>ROUND(I74*AD74,0)</f>
        <v>0</v>
      </c>
      <c r="AT74" s="1"/>
      <c r="AU74" s="1"/>
      <c r="AV74" s="1"/>
      <c r="AW74" s="1"/>
      <c r="AX74" s="1"/>
      <c r="AY74" s="1"/>
      <c r="AZ74" s="1"/>
      <c r="BA74" s="1"/>
      <c r="BB74" s="1"/>
    </row>
    <row r="75" spans="1:54" x14ac:dyDescent="0.25">
      <c r="A75" s="12" t="s">
        <v>125</v>
      </c>
      <c r="B75" s="12" t="s">
        <v>48</v>
      </c>
      <c r="C75" s="12">
        <v>-1</v>
      </c>
      <c r="D75" s="12">
        <v>1</v>
      </c>
      <c r="E75" s="12"/>
      <c r="F75" s="12"/>
      <c r="G75" s="12"/>
      <c r="H75" s="12">
        <f t="shared" si="21"/>
        <v>0</v>
      </c>
      <c r="I75" s="13">
        <v>0</v>
      </c>
      <c r="J75" s="12"/>
      <c r="K75" s="12" t="s">
        <v>56</v>
      </c>
      <c r="L75" s="12"/>
      <c r="M75" s="12"/>
      <c r="N75" s="12">
        <f t="shared" si="22"/>
        <v>0</v>
      </c>
      <c r="O75" s="12">
        <f t="shared" si="23"/>
        <v>0</v>
      </c>
      <c r="P75" s="12"/>
      <c r="Q75" s="12">
        <v>0</v>
      </c>
      <c r="R75" s="12"/>
      <c r="S75" s="12"/>
      <c r="T75" s="12"/>
      <c r="U75" s="12"/>
      <c r="V75" s="12">
        <v>0</v>
      </c>
      <c r="W75" s="12"/>
      <c r="X75" s="12"/>
      <c r="Y75" s="12"/>
      <c r="Z75" s="12">
        <f>O75/5</f>
        <v>0</v>
      </c>
      <c r="AA75" s="14"/>
      <c r="AB75" s="5">
        <f t="shared" si="24"/>
        <v>0</v>
      </c>
      <c r="AC75" s="5"/>
      <c r="AD75" s="5"/>
      <c r="AE75" s="12"/>
      <c r="AF75" s="1"/>
      <c r="AG75" s="1" t="e">
        <f>(H75+Q75+R75+S75+T75+U75+V75+W75+X75+Y75+AC75+AD75)/Z75</f>
        <v>#DIV/0!</v>
      </c>
      <c r="AH75" s="12" t="e">
        <f>(H75+Q75+R75+S75+T75+U75+V75+W75+X75+Y75)/Z75</f>
        <v>#DIV/0!</v>
      </c>
      <c r="AI75" s="12">
        <v>0</v>
      </c>
      <c r="AJ75" s="12">
        <v>0</v>
      </c>
      <c r="AK75" s="12">
        <v>0</v>
      </c>
      <c r="AL75" s="12">
        <v>0</v>
      </c>
      <c r="AM75" s="12">
        <v>0</v>
      </c>
      <c r="AN75" s="12">
        <v>0</v>
      </c>
      <c r="AO75" s="12">
        <v>0</v>
      </c>
      <c r="AP75" s="12">
        <v>0</v>
      </c>
      <c r="AQ75" s="12"/>
      <c r="AR75" s="1">
        <f>ROUND(I75*AC75,0)</f>
        <v>0</v>
      </c>
      <c r="AS75" s="1">
        <f>ROUND(I75*AD75,0)</f>
        <v>0</v>
      </c>
      <c r="AT75" s="1"/>
      <c r="AU75" s="1"/>
      <c r="AV75" s="1"/>
      <c r="AW75" s="1"/>
      <c r="AX75" s="1"/>
      <c r="AY75" s="1"/>
      <c r="AZ75" s="1"/>
      <c r="BA75" s="1"/>
      <c r="BB75" s="1"/>
    </row>
    <row r="76" spans="1:54" x14ac:dyDescent="0.25">
      <c r="A76" s="1" t="s">
        <v>126</v>
      </c>
      <c r="B76" s="1" t="s">
        <v>48</v>
      </c>
      <c r="C76" s="1">
        <v>776</v>
      </c>
      <c r="D76" s="1">
        <v>8998</v>
      </c>
      <c r="E76" s="1">
        <v>879</v>
      </c>
      <c r="F76" s="1">
        <v>2453</v>
      </c>
      <c r="G76" s="1"/>
      <c r="H76" s="1">
        <f t="shared" si="21"/>
        <v>2453</v>
      </c>
      <c r="I76" s="7">
        <v>0.6</v>
      </c>
      <c r="J76" s="1">
        <v>60</v>
      </c>
      <c r="K76" s="1" t="s">
        <v>43</v>
      </c>
      <c r="L76" s="1"/>
      <c r="M76" s="1">
        <v>945</v>
      </c>
      <c r="N76" s="1">
        <f t="shared" si="22"/>
        <v>-66</v>
      </c>
      <c r="O76" s="1">
        <f t="shared" si="23"/>
        <v>879</v>
      </c>
      <c r="P76" s="1"/>
      <c r="Q76" s="1">
        <v>0</v>
      </c>
      <c r="R76" s="1"/>
      <c r="S76" s="1"/>
      <c r="T76" s="1"/>
      <c r="U76" s="1"/>
      <c r="V76" s="1">
        <v>0</v>
      </c>
      <c r="W76" s="1"/>
      <c r="X76" s="1"/>
      <c r="Y76" s="1"/>
      <c r="Z76" s="1">
        <f>O76/5</f>
        <v>175.8</v>
      </c>
      <c r="AA76" s="5"/>
      <c r="AB76" s="5">
        <f t="shared" si="24"/>
        <v>0</v>
      </c>
      <c r="AC76" s="5"/>
      <c r="AD76" s="5"/>
      <c r="AE76" s="1"/>
      <c r="AF76" s="1"/>
      <c r="AG76" s="1">
        <f>(H76+Q76+R76+S76+T76+U76+V76+W76+X76+Y76+AC76+AD76)/Z76</f>
        <v>13.953356086461888</v>
      </c>
      <c r="AH76" s="1">
        <f>(H76+Q76+R76+S76+T76+U76+V76+W76+X76+Y76)/Z76</f>
        <v>13.953356086461888</v>
      </c>
      <c r="AI76" s="1">
        <v>177.8</v>
      </c>
      <c r="AJ76" s="1">
        <v>262.60000000000002</v>
      </c>
      <c r="AK76" s="1">
        <v>297.60000000000002</v>
      </c>
      <c r="AL76" s="1">
        <v>160.4</v>
      </c>
      <c r="AM76" s="1">
        <v>152</v>
      </c>
      <c r="AN76" s="1">
        <v>139</v>
      </c>
      <c r="AO76" s="1">
        <v>114.6</v>
      </c>
      <c r="AP76" s="1">
        <v>82</v>
      </c>
      <c r="AQ76" s="1"/>
      <c r="AR76" s="1">
        <f>ROUND(I76*AC76,0)</f>
        <v>0</v>
      </c>
      <c r="AS76" s="1">
        <f>ROUND(I76*AD76,0)</f>
        <v>0</v>
      </c>
      <c r="AT76" s="1"/>
      <c r="AU76" s="1"/>
      <c r="AV76" s="1"/>
      <c r="AW76" s="1"/>
      <c r="AX76" s="1"/>
      <c r="AY76" s="1"/>
      <c r="AZ76" s="1"/>
      <c r="BA76" s="1"/>
      <c r="BB76" s="1"/>
    </row>
    <row r="77" spans="1:54" x14ac:dyDescent="0.25">
      <c r="A77" s="1" t="s">
        <v>127</v>
      </c>
      <c r="B77" s="1" t="s">
        <v>48</v>
      </c>
      <c r="C77" s="1">
        <v>1536</v>
      </c>
      <c r="D77" s="1">
        <v>5278</v>
      </c>
      <c r="E77" s="1">
        <v>762</v>
      </c>
      <c r="F77" s="1">
        <v>880</v>
      </c>
      <c r="G77" s="1"/>
      <c r="H77" s="1">
        <f t="shared" si="21"/>
        <v>880</v>
      </c>
      <c r="I77" s="7">
        <v>0.6</v>
      </c>
      <c r="J77" s="1">
        <v>60</v>
      </c>
      <c r="K77" s="1" t="s">
        <v>43</v>
      </c>
      <c r="L77" s="1"/>
      <c r="M77" s="1">
        <v>775</v>
      </c>
      <c r="N77" s="1">
        <f t="shared" si="22"/>
        <v>-13</v>
      </c>
      <c r="O77" s="1">
        <f t="shared" si="23"/>
        <v>762</v>
      </c>
      <c r="P77" s="1"/>
      <c r="Q77" s="1">
        <v>0</v>
      </c>
      <c r="R77" s="1"/>
      <c r="S77" s="1"/>
      <c r="T77" s="1"/>
      <c r="U77" s="1"/>
      <c r="V77" s="1">
        <v>202.56432000000009</v>
      </c>
      <c r="W77" s="1"/>
      <c r="X77" s="1"/>
      <c r="Y77" s="1">
        <v>375.03568000000013</v>
      </c>
      <c r="Z77" s="1">
        <f>O77/5</f>
        <v>152.4</v>
      </c>
      <c r="AA77" s="5">
        <f>11*Z77-Y77-X77-W77-V77-U77-T77-S77-R77-Q77-H77</f>
        <v>218.79999999999973</v>
      </c>
      <c r="AB77" s="5">
        <f t="shared" ref="AB77:AB78" si="25">AE77</f>
        <v>0</v>
      </c>
      <c r="AC77" s="5"/>
      <c r="AD77" s="5"/>
      <c r="AE77" s="1">
        <v>0</v>
      </c>
      <c r="AF77" s="1" t="str">
        <f>VLOOKUP(A77,[2]Лист1!$A:$B,2,0)</f>
        <v>до 0</v>
      </c>
      <c r="AG77" s="1">
        <f>(H77+Q77+R77+S77+T77+U77+V77+W77+X77+Y77+AC77+AD77)/Z77</f>
        <v>9.5643044619422586</v>
      </c>
      <c r="AH77" s="1">
        <f>(H77+Q77+R77+S77+T77+U77+V77+W77+X77+Y77)/Z77</f>
        <v>9.5643044619422586</v>
      </c>
      <c r="AI77" s="1">
        <v>131.80000000000001</v>
      </c>
      <c r="AJ77" s="1">
        <v>116.8</v>
      </c>
      <c r="AK77" s="1">
        <v>156.80000000000001</v>
      </c>
      <c r="AL77" s="1">
        <v>202.8</v>
      </c>
      <c r="AM77" s="1">
        <v>171.6</v>
      </c>
      <c r="AN77" s="1">
        <v>133.80000000000001</v>
      </c>
      <c r="AO77" s="1">
        <v>123.8</v>
      </c>
      <c r="AP77" s="1">
        <v>92.2</v>
      </c>
      <c r="AQ77" s="1"/>
      <c r="AR77" s="1">
        <f>ROUND(I77*AC77,0)</f>
        <v>0</v>
      </c>
      <c r="AS77" s="1">
        <f>ROUND(I77*AD77,0)</f>
        <v>0</v>
      </c>
      <c r="AT77" s="1"/>
      <c r="AU77" s="1"/>
      <c r="AV77" s="1"/>
      <c r="AW77" s="1"/>
      <c r="AX77" s="1"/>
      <c r="AY77" s="1"/>
      <c r="AZ77" s="1"/>
      <c r="BA77" s="1"/>
      <c r="BB77" s="1"/>
    </row>
    <row r="78" spans="1:54" x14ac:dyDescent="0.25">
      <c r="A78" s="1" t="s">
        <v>128</v>
      </c>
      <c r="B78" s="1" t="s">
        <v>48</v>
      </c>
      <c r="C78" s="1">
        <v>33</v>
      </c>
      <c r="D78" s="1">
        <v>51</v>
      </c>
      <c r="E78" s="1">
        <v>50</v>
      </c>
      <c r="F78" s="1">
        <v>16</v>
      </c>
      <c r="G78" s="1"/>
      <c r="H78" s="1">
        <f t="shared" si="21"/>
        <v>16</v>
      </c>
      <c r="I78" s="7">
        <v>0.4</v>
      </c>
      <c r="J78" s="1"/>
      <c r="K78" s="1" t="s">
        <v>43</v>
      </c>
      <c r="L78" s="1"/>
      <c r="M78" s="1">
        <v>58</v>
      </c>
      <c r="N78" s="1">
        <f t="shared" si="22"/>
        <v>-8</v>
      </c>
      <c r="O78" s="1">
        <f t="shared" si="23"/>
        <v>50</v>
      </c>
      <c r="P78" s="1"/>
      <c r="Q78" s="1">
        <v>0</v>
      </c>
      <c r="R78" s="1"/>
      <c r="S78" s="1"/>
      <c r="T78" s="1"/>
      <c r="U78" s="1"/>
      <c r="V78" s="1">
        <v>48.199999999999989</v>
      </c>
      <c r="W78" s="1"/>
      <c r="X78" s="1"/>
      <c r="Y78" s="1"/>
      <c r="Z78" s="1">
        <f>O78/5</f>
        <v>10</v>
      </c>
      <c r="AA78" s="5">
        <f>11*Z78-Y78-X78-W78-V78-U78-T78-S78-R78-Q78-H78</f>
        <v>45.800000000000011</v>
      </c>
      <c r="AB78" s="5">
        <f t="shared" si="25"/>
        <v>120</v>
      </c>
      <c r="AC78" s="5">
        <f>AB78-AD78</f>
        <v>24</v>
      </c>
      <c r="AD78" s="5">
        <f>AB78*$AD$1</f>
        <v>96</v>
      </c>
      <c r="AE78" s="1">
        <v>120</v>
      </c>
      <c r="AF78" s="1" t="str">
        <f>VLOOKUP(A78,[2]Лист1!$A:$B,2,0)</f>
        <v>до 120 шт</v>
      </c>
      <c r="AG78" s="1">
        <f>(H78+Q78+R78+S78+T78+U78+V78+W78+X78+Y78+AC78+AD78)/Z78</f>
        <v>18.419999999999998</v>
      </c>
      <c r="AH78" s="1">
        <f>(H78+Q78+R78+S78+T78+U78+V78+W78+X78+Y78)/Z78</f>
        <v>6.419999999999999</v>
      </c>
      <c r="AI78" s="1">
        <v>6.6</v>
      </c>
      <c r="AJ78" s="1">
        <v>5</v>
      </c>
      <c r="AK78" s="1">
        <v>4</v>
      </c>
      <c r="AL78" s="1">
        <v>7.6</v>
      </c>
      <c r="AM78" s="1">
        <v>6.6</v>
      </c>
      <c r="AN78" s="1">
        <v>3.8</v>
      </c>
      <c r="AO78" s="1">
        <v>4</v>
      </c>
      <c r="AP78" s="1">
        <v>1</v>
      </c>
      <c r="AQ78" s="1"/>
      <c r="AR78" s="1">
        <f>ROUND(I78*AC78,0)</f>
        <v>10</v>
      </c>
      <c r="AS78" s="1">
        <f>ROUND(I78*AD78,0)</f>
        <v>38</v>
      </c>
      <c r="AT78" s="1"/>
      <c r="AU78" s="1"/>
      <c r="AV78" s="1"/>
      <c r="AW78" s="1"/>
      <c r="AX78" s="1"/>
      <c r="AY78" s="1"/>
      <c r="AZ78" s="1"/>
      <c r="BA78" s="1"/>
      <c r="BB78" s="1"/>
    </row>
    <row r="79" spans="1:54" x14ac:dyDescent="0.25">
      <c r="A79" s="12" t="s">
        <v>129</v>
      </c>
      <c r="B79" s="12" t="s">
        <v>48</v>
      </c>
      <c r="C79" s="12">
        <v>1</v>
      </c>
      <c r="D79" s="12"/>
      <c r="E79" s="12"/>
      <c r="F79" s="12"/>
      <c r="G79" s="12"/>
      <c r="H79" s="12">
        <f t="shared" si="21"/>
        <v>0</v>
      </c>
      <c r="I79" s="13">
        <v>0</v>
      </c>
      <c r="J79" s="12"/>
      <c r="K79" s="12" t="s">
        <v>43</v>
      </c>
      <c r="L79" s="12"/>
      <c r="M79" s="12"/>
      <c r="N79" s="12">
        <f t="shared" si="22"/>
        <v>0</v>
      </c>
      <c r="O79" s="12">
        <f t="shared" si="23"/>
        <v>0</v>
      </c>
      <c r="P79" s="12"/>
      <c r="Q79" s="12">
        <v>0</v>
      </c>
      <c r="R79" s="12"/>
      <c r="S79" s="12"/>
      <c r="T79" s="12"/>
      <c r="U79" s="12"/>
      <c r="V79" s="12">
        <v>0</v>
      </c>
      <c r="W79" s="12"/>
      <c r="X79" s="12"/>
      <c r="Y79" s="12"/>
      <c r="Z79" s="12">
        <f>O79/5</f>
        <v>0</v>
      </c>
      <c r="AA79" s="14"/>
      <c r="AB79" s="5">
        <f t="shared" si="24"/>
        <v>0</v>
      </c>
      <c r="AC79" s="5"/>
      <c r="AD79" s="5"/>
      <c r="AE79" s="12"/>
      <c r="AF79" s="1"/>
      <c r="AG79" s="1" t="e">
        <f>(H79+Q79+R79+S79+T79+U79+V79+W79+X79+Y79+AC79+AD79)/Z79</f>
        <v>#DIV/0!</v>
      </c>
      <c r="AH79" s="12" t="e">
        <f>(H79+Q79+R79+S79+T79+U79+V79+W79+X79+Y79)/Z79</f>
        <v>#DIV/0!</v>
      </c>
      <c r="AI79" s="12">
        <v>0</v>
      </c>
      <c r="AJ79" s="12">
        <v>0</v>
      </c>
      <c r="AK79" s="12">
        <v>0</v>
      </c>
      <c r="AL79" s="12">
        <v>0</v>
      </c>
      <c r="AM79" s="12">
        <v>0</v>
      </c>
      <c r="AN79" s="12">
        <v>0</v>
      </c>
      <c r="AO79" s="12">
        <v>0</v>
      </c>
      <c r="AP79" s="12">
        <v>0</v>
      </c>
      <c r="AQ79" s="12" t="s">
        <v>65</v>
      </c>
      <c r="AR79" s="1">
        <f>ROUND(I79*AC79,0)</f>
        <v>0</v>
      </c>
      <c r="AS79" s="1">
        <f>ROUND(I79*AD79,0)</f>
        <v>0</v>
      </c>
      <c r="AT79" s="1"/>
      <c r="AU79" s="1"/>
      <c r="AV79" s="1"/>
      <c r="AW79" s="1"/>
      <c r="AX79" s="1"/>
      <c r="AY79" s="1"/>
      <c r="AZ79" s="1"/>
      <c r="BA79" s="1"/>
      <c r="BB79" s="1"/>
    </row>
    <row r="80" spans="1:54" x14ac:dyDescent="0.25">
      <c r="A80" s="1" t="s">
        <v>130</v>
      </c>
      <c r="B80" s="1" t="s">
        <v>48</v>
      </c>
      <c r="C80" s="1">
        <v>19</v>
      </c>
      <c r="D80" s="1">
        <v>57</v>
      </c>
      <c r="E80" s="1"/>
      <c r="F80" s="1"/>
      <c r="G80" s="1"/>
      <c r="H80" s="1">
        <f t="shared" si="21"/>
        <v>0</v>
      </c>
      <c r="I80" s="7">
        <v>0.35</v>
      </c>
      <c r="J80" s="1">
        <v>90</v>
      </c>
      <c r="K80" s="11" t="s">
        <v>53</v>
      </c>
      <c r="L80" s="1"/>
      <c r="M80" s="1">
        <v>59</v>
      </c>
      <c r="N80" s="1">
        <f t="shared" si="22"/>
        <v>-59</v>
      </c>
      <c r="O80" s="1">
        <f t="shared" si="23"/>
        <v>0</v>
      </c>
      <c r="P80" s="1"/>
      <c r="Q80" s="1">
        <v>40</v>
      </c>
      <c r="R80" s="1"/>
      <c r="S80" s="1"/>
      <c r="T80" s="1"/>
      <c r="U80" s="1"/>
      <c r="V80" s="1">
        <v>0</v>
      </c>
      <c r="W80" s="1"/>
      <c r="X80" s="1"/>
      <c r="Y80" s="1"/>
      <c r="Z80" s="1">
        <f>O80/5</f>
        <v>0</v>
      </c>
      <c r="AA80" s="5">
        <v>30</v>
      </c>
      <c r="AB80" s="5">
        <f>AA80*1.3</f>
        <v>39</v>
      </c>
      <c r="AC80" s="5">
        <f>AB80</f>
        <v>39</v>
      </c>
      <c r="AD80" s="5"/>
      <c r="AE80" s="1"/>
      <c r="AF80" s="1"/>
      <c r="AG80" s="1" t="e">
        <f>(H80+Q80+R80+S80+T80+U80+V80+W80+X80+Y80+AC80+AD80)/Z80</f>
        <v>#DIV/0!</v>
      </c>
      <c r="AH80" s="1" t="e">
        <f>(H80+Q80+R80+S80+T80+U80+V80+W80+X80+Y80)/Z80</f>
        <v>#DIV/0!</v>
      </c>
      <c r="AI80" s="1">
        <v>4.5999999999999996</v>
      </c>
      <c r="AJ80" s="1">
        <v>8.6</v>
      </c>
      <c r="AK80" s="1">
        <v>6.4</v>
      </c>
      <c r="AL80" s="1">
        <v>3.4</v>
      </c>
      <c r="AM80" s="1">
        <v>2</v>
      </c>
      <c r="AN80" s="1">
        <v>5.6</v>
      </c>
      <c r="AO80" s="1">
        <v>7.2</v>
      </c>
      <c r="AP80" s="1">
        <v>5.2</v>
      </c>
      <c r="AQ80" s="1"/>
      <c r="AR80" s="1">
        <f>ROUND(I80*AC80,0)</f>
        <v>14</v>
      </c>
      <c r="AS80" s="1">
        <f>ROUND(I80*AD80,0)</f>
        <v>0</v>
      </c>
      <c r="AT80" s="1"/>
      <c r="AU80" s="1"/>
      <c r="AV80" s="1"/>
      <c r="AW80" s="1"/>
      <c r="AX80" s="1"/>
      <c r="AY80" s="1"/>
      <c r="AZ80" s="1"/>
      <c r="BA80" s="1"/>
      <c r="BB80" s="1"/>
    </row>
    <row r="81" spans="1:54" x14ac:dyDescent="0.25">
      <c r="A81" s="1" t="s">
        <v>131</v>
      </c>
      <c r="B81" s="1" t="s">
        <v>48</v>
      </c>
      <c r="C81" s="1">
        <v>324</v>
      </c>
      <c r="D81" s="1">
        <v>447</v>
      </c>
      <c r="E81" s="1">
        <v>123</v>
      </c>
      <c r="F81" s="1">
        <v>213</v>
      </c>
      <c r="G81" s="1"/>
      <c r="H81" s="1">
        <f t="shared" si="21"/>
        <v>213</v>
      </c>
      <c r="I81" s="7">
        <v>0.37</v>
      </c>
      <c r="J81" s="1">
        <v>50</v>
      </c>
      <c r="K81" s="1" t="s">
        <v>43</v>
      </c>
      <c r="L81" s="1"/>
      <c r="M81" s="1">
        <v>134</v>
      </c>
      <c r="N81" s="1">
        <f t="shared" si="22"/>
        <v>-11</v>
      </c>
      <c r="O81" s="1">
        <f t="shared" si="23"/>
        <v>123</v>
      </c>
      <c r="P81" s="1"/>
      <c r="Q81" s="1">
        <v>0</v>
      </c>
      <c r="R81" s="1"/>
      <c r="S81" s="1"/>
      <c r="T81" s="1"/>
      <c r="U81" s="1"/>
      <c r="V81" s="1">
        <v>34.399999999999977</v>
      </c>
      <c r="W81" s="1"/>
      <c r="X81" s="1"/>
      <c r="Y81" s="1"/>
      <c r="Z81" s="1">
        <f>O81/5</f>
        <v>24.6</v>
      </c>
      <c r="AA81" s="5">
        <f>11*Z81-Y81-X81-W81-V81-U81-T81-S81-R81-Q81-H81</f>
        <v>23.200000000000045</v>
      </c>
      <c r="AB81" s="5">
        <f t="shared" si="24"/>
        <v>23.200000000000045</v>
      </c>
      <c r="AC81" s="5">
        <f t="shared" ref="AC81:AC84" si="26">AB81-AD81</f>
        <v>23.200000000000045</v>
      </c>
      <c r="AD81" s="5"/>
      <c r="AE81" s="1"/>
      <c r="AF81" s="1"/>
      <c r="AG81" s="1">
        <f>(H81+Q81+R81+S81+T81+U81+V81+W81+X81+Y81+AC81+AD81)/Z81</f>
        <v>11</v>
      </c>
      <c r="AH81" s="1">
        <f>(H81+Q81+R81+S81+T81+U81+V81+W81+X81+Y81)/Z81</f>
        <v>10.056910569105689</v>
      </c>
      <c r="AI81" s="1">
        <v>23.2</v>
      </c>
      <c r="AJ81" s="1">
        <v>23.8</v>
      </c>
      <c r="AK81" s="1">
        <v>28.6</v>
      </c>
      <c r="AL81" s="1">
        <v>31.4</v>
      </c>
      <c r="AM81" s="1">
        <v>34.200000000000003</v>
      </c>
      <c r="AN81" s="1">
        <v>25.6</v>
      </c>
      <c r="AO81" s="1">
        <v>18.2</v>
      </c>
      <c r="AP81" s="1">
        <v>21.2</v>
      </c>
      <c r="AQ81" s="1"/>
      <c r="AR81" s="1">
        <f>ROUND(I81*AC81,0)</f>
        <v>9</v>
      </c>
      <c r="AS81" s="1">
        <f>ROUND(I81*AD81,0)</f>
        <v>0</v>
      </c>
      <c r="AT81" s="1"/>
      <c r="AU81" s="1"/>
      <c r="AV81" s="1"/>
      <c r="AW81" s="1"/>
      <c r="AX81" s="1"/>
      <c r="AY81" s="1"/>
      <c r="AZ81" s="1"/>
      <c r="BA81" s="1"/>
      <c r="BB81" s="1"/>
    </row>
    <row r="82" spans="1:54" x14ac:dyDescent="0.25">
      <c r="A82" s="1" t="s">
        <v>132</v>
      </c>
      <c r="B82" s="1" t="s">
        <v>48</v>
      </c>
      <c r="C82" s="1">
        <v>356</v>
      </c>
      <c r="D82" s="1">
        <v>3425</v>
      </c>
      <c r="E82" s="1">
        <v>296</v>
      </c>
      <c r="F82" s="1">
        <v>193</v>
      </c>
      <c r="G82" s="1"/>
      <c r="H82" s="1">
        <f t="shared" si="21"/>
        <v>193</v>
      </c>
      <c r="I82" s="7">
        <v>0.6</v>
      </c>
      <c r="J82" s="1">
        <v>70</v>
      </c>
      <c r="K82" s="1" t="s">
        <v>43</v>
      </c>
      <c r="L82" s="1"/>
      <c r="M82" s="1">
        <v>298</v>
      </c>
      <c r="N82" s="1">
        <f t="shared" si="22"/>
        <v>-2</v>
      </c>
      <c r="O82" s="1">
        <f t="shared" si="23"/>
        <v>296</v>
      </c>
      <c r="P82" s="1"/>
      <c r="Q82" s="1">
        <v>0</v>
      </c>
      <c r="R82" s="1"/>
      <c r="S82" s="1"/>
      <c r="T82" s="1"/>
      <c r="U82" s="1"/>
      <c r="V82" s="1">
        <v>102.26412000000001</v>
      </c>
      <c r="W82" s="1"/>
      <c r="X82" s="1"/>
      <c r="Y82" s="1">
        <v>189.33587999999989</v>
      </c>
      <c r="Z82" s="1">
        <f>O82/5</f>
        <v>59.2</v>
      </c>
      <c r="AA82" s="5">
        <f>11*Z82-Y82-X82-W82-V82-U82-T82-S82-R82-Q82-H82</f>
        <v>166.60000000000019</v>
      </c>
      <c r="AB82" s="5">
        <f t="shared" ref="AB82:AB84" si="27">AE82</f>
        <v>250</v>
      </c>
      <c r="AC82" s="5">
        <f t="shared" si="26"/>
        <v>50</v>
      </c>
      <c r="AD82" s="5">
        <f t="shared" ref="AD82:AD84" si="28">AB82*$AD$1</f>
        <v>200</v>
      </c>
      <c r="AE82" s="1">
        <v>250</v>
      </c>
      <c r="AF82" s="1" t="str">
        <f>VLOOKUP(A82,[2]Лист1!$A:$B,2,0)</f>
        <v>до 250 шт</v>
      </c>
      <c r="AG82" s="1">
        <f>(H82+Q82+R82+S82+T82+U82+V82+W82+X82+Y82+AC82+AD82)/Z82</f>
        <v>12.408783783783782</v>
      </c>
      <c r="AH82" s="1">
        <f>(H82+Q82+R82+S82+T82+U82+V82+W82+X82+Y82)/Z82</f>
        <v>8.1858108108108087</v>
      </c>
      <c r="AI82" s="1">
        <v>51.8</v>
      </c>
      <c r="AJ82" s="1">
        <v>45.2</v>
      </c>
      <c r="AK82" s="1">
        <v>52</v>
      </c>
      <c r="AL82" s="1">
        <v>67.8</v>
      </c>
      <c r="AM82" s="1">
        <v>63.6</v>
      </c>
      <c r="AN82" s="1">
        <v>44.6</v>
      </c>
      <c r="AO82" s="1">
        <v>41.8</v>
      </c>
      <c r="AP82" s="1">
        <v>40.799999999999997</v>
      </c>
      <c r="AQ82" s="1"/>
      <c r="AR82" s="1">
        <f>ROUND(I82*AC82,0)</f>
        <v>30</v>
      </c>
      <c r="AS82" s="1">
        <f>ROUND(I82*AD82,0)</f>
        <v>120</v>
      </c>
      <c r="AT82" s="1"/>
      <c r="AU82" s="1"/>
      <c r="AV82" s="1"/>
      <c r="AW82" s="1"/>
      <c r="AX82" s="1"/>
      <c r="AY82" s="1"/>
      <c r="AZ82" s="1"/>
      <c r="BA82" s="1"/>
      <c r="BB82" s="1"/>
    </row>
    <row r="83" spans="1:54" x14ac:dyDescent="0.25">
      <c r="A83" s="1" t="s">
        <v>133</v>
      </c>
      <c r="B83" s="1" t="s">
        <v>48</v>
      </c>
      <c r="C83" s="1">
        <v>611</v>
      </c>
      <c r="D83" s="1">
        <v>1753</v>
      </c>
      <c r="E83" s="1">
        <v>381</v>
      </c>
      <c r="F83" s="1">
        <v>226</v>
      </c>
      <c r="G83" s="1"/>
      <c r="H83" s="1">
        <f t="shared" si="21"/>
        <v>226</v>
      </c>
      <c r="I83" s="7">
        <v>0.33</v>
      </c>
      <c r="J83" s="1">
        <v>40</v>
      </c>
      <c r="K83" s="1" t="s">
        <v>43</v>
      </c>
      <c r="L83" s="1"/>
      <c r="M83" s="1">
        <v>407</v>
      </c>
      <c r="N83" s="1">
        <f t="shared" si="22"/>
        <v>-26</v>
      </c>
      <c r="O83" s="1">
        <f t="shared" si="23"/>
        <v>381</v>
      </c>
      <c r="P83" s="1"/>
      <c r="Q83" s="1">
        <v>107.83072</v>
      </c>
      <c r="R83" s="1"/>
      <c r="S83" s="1">
        <v>145.76928000000001</v>
      </c>
      <c r="T83" s="1"/>
      <c r="U83" s="1"/>
      <c r="V83" s="1">
        <v>152.27394000000001</v>
      </c>
      <c r="W83" s="1"/>
      <c r="X83" s="1"/>
      <c r="Y83" s="1">
        <v>281.92606000000001</v>
      </c>
      <c r="Z83" s="1">
        <f>O83/5</f>
        <v>76.2</v>
      </c>
      <c r="AA83" s="5"/>
      <c r="AB83" s="5">
        <f t="shared" si="27"/>
        <v>150</v>
      </c>
      <c r="AC83" s="5">
        <f t="shared" si="26"/>
        <v>30</v>
      </c>
      <c r="AD83" s="5">
        <f t="shared" si="28"/>
        <v>120</v>
      </c>
      <c r="AE83" s="1">
        <v>150</v>
      </c>
      <c r="AF83" s="1" t="str">
        <f>VLOOKUP(A83,[2]Лист1!$A:$B,2,0)</f>
        <v>150 шт</v>
      </c>
      <c r="AG83" s="1">
        <f>(H83+Q83+R83+S83+T83+U83+V83+W83+X83+Y83+AC83+AD83)/Z83</f>
        <v>13.960629921259844</v>
      </c>
      <c r="AH83" s="1">
        <f>(H83+Q83+R83+S83+T83+U83+V83+W83+X83+Y83)/Z83</f>
        <v>11.992125984251969</v>
      </c>
      <c r="AI83" s="1">
        <v>80.400000000000006</v>
      </c>
      <c r="AJ83" s="1">
        <v>78.599999999999994</v>
      </c>
      <c r="AK83" s="1">
        <v>60.2</v>
      </c>
      <c r="AL83" s="1">
        <v>23.2</v>
      </c>
      <c r="AM83" s="1">
        <v>35.4</v>
      </c>
      <c r="AN83" s="1">
        <v>69.599999999999994</v>
      </c>
      <c r="AO83" s="1">
        <v>62</v>
      </c>
      <c r="AP83" s="1">
        <v>50.8</v>
      </c>
      <c r="AQ83" s="1"/>
      <c r="AR83" s="1">
        <f>ROUND(I83*AC83,0)</f>
        <v>10</v>
      </c>
      <c r="AS83" s="1">
        <f>ROUND(I83*AD83,0)</f>
        <v>40</v>
      </c>
      <c r="AT83" s="1"/>
      <c r="AU83" s="1"/>
      <c r="AV83" s="1"/>
      <c r="AW83" s="1"/>
      <c r="AX83" s="1"/>
      <c r="AY83" s="1"/>
      <c r="AZ83" s="1"/>
      <c r="BA83" s="1"/>
      <c r="BB83" s="1"/>
    </row>
    <row r="84" spans="1:54" x14ac:dyDescent="0.25">
      <c r="A84" s="1" t="s">
        <v>134</v>
      </c>
      <c r="B84" s="1" t="s">
        <v>48</v>
      </c>
      <c r="C84" s="1">
        <v>42</v>
      </c>
      <c r="D84" s="1">
        <v>129</v>
      </c>
      <c r="E84" s="1">
        <v>52</v>
      </c>
      <c r="F84" s="1">
        <v>23</v>
      </c>
      <c r="G84" s="1"/>
      <c r="H84" s="1">
        <f t="shared" si="21"/>
        <v>23</v>
      </c>
      <c r="I84" s="7">
        <v>0.4</v>
      </c>
      <c r="J84" s="1">
        <v>55</v>
      </c>
      <c r="K84" s="1" t="s">
        <v>43</v>
      </c>
      <c r="L84" s="1"/>
      <c r="M84" s="1">
        <v>60</v>
      </c>
      <c r="N84" s="1">
        <f t="shared" si="22"/>
        <v>-8</v>
      </c>
      <c r="O84" s="1">
        <f t="shared" si="23"/>
        <v>52</v>
      </c>
      <c r="P84" s="1"/>
      <c r="Q84" s="1">
        <v>0</v>
      </c>
      <c r="R84" s="1"/>
      <c r="S84" s="1"/>
      <c r="T84" s="1"/>
      <c r="U84" s="1"/>
      <c r="V84" s="1">
        <v>14.19999999999999</v>
      </c>
      <c r="W84" s="1"/>
      <c r="X84" s="1"/>
      <c r="Y84" s="1"/>
      <c r="Z84" s="1">
        <f>O84/5</f>
        <v>10.4</v>
      </c>
      <c r="AA84" s="5">
        <f>11*Z84-Y84-X84-W84-V84-U84-T84-S84-R84-Q84-H84</f>
        <v>77.200000000000017</v>
      </c>
      <c r="AB84" s="5">
        <f t="shared" si="27"/>
        <v>150</v>
      </c>
      <c r="AC84" s="5">
        <f t="shared" si="26"/>
        <v>30</v>
      </c>
      <c r="AD84" s="5">
        <f t="shared" si="28"/>
        <v>120</v>
      </c>
      <c r="AE84" s="1">
        <v>150</v>
      </c>
      <c r="AF84" s="1" t="str">
        <f>VLOOKUP(A84,[2]Лист1!$A:$B,2,0)</f>
        <v>до 150 шт</v>
      </c>
      <c r="AG84" s="1">
        <f>(H84+Q84+R84+S84+T84+U84+V84+W84+X84+Y84+AC84+AD84)/Z84</f>
        <v>18</v>
      </c>
      <c r="AH84" s="1">
        <f>(H84+Q84+R84+S84+T84+U84+V84+W84+X84+Y84)/Z84</f>
        <v>3.5769230769230758</v>
      </c>
      <c r="AI84" s="1">
        <v>7.6</v>
      </c>
      <c r="AJ84" s="1">
        <v>7.6</v>
      </c>
      <c r="AK84" s="1">
        <v>10.199999999999999</v>
      </c>
      <c r="AL84" s="1">
        <v>12.6</v>
      </c>
      <c r="AM84" s="1">
        <v>9.4</v>
      </c>
      <c r="AN84" s="1">
        <v>11</v>
      </c>
      <c r="AO84" s="1">
        <v>11.2</v>
      </c>
      <c r="AP84" s="1">
        <v>5.8</v>
      </c>
      <c r="AQ84" s="1"/>
      <c r="AR84" s="1">
        <f>ROUND(I84*AC84,0)</f>
        <v>12</v>
      </c>
      <c r="AS84" s="1">
        <f>ROUND(I84*AD84,0)</f>
        <v>48</v>
      </c>
      <c r="AT84" s="1"/>
      <c r="AU84" s="1"/>
      <c r="AV84" s="1"/>
      <c r="AW84" s="1"/>
      <c r="AX84" s="1"/>
      <c r="AY84" s="1"/>
      <c r="AZ84" s="1"/>
      <c r="BA84" s="1"/>
      <c r="BB84" s="1"/>
    </row>
    <row r="85" spans="1:54" x14ac:dyDescent="0.25">
      <c r="A85" s="1" t="s">
        <v>135</v>
      </c>
      <c r="B85" s="1" t="s">
        <v>48</v>
      </c>
      <c r="C85" s="1">
        <v>-9</v>
      </c>
      <c r="D85" s="1">
        <v>256</v>
      </c>
      <c r="E85" s="1">
        <v>79</v>
      </c>
      <c r="F85" s="1"/>
      <c r="G85" s="1"/>
      <c r="H85" s="1">
        <f t="shared" si="21"/>
        <v>0</v>
      </c>
      <c r="I85" s="7">
        <v>0.35</v>
      </c>
      <c r="J85" s="1">
        <v>40</v>
      </c>
      <c r="K85" s="11" t="s">
        <v>53</v>
      </c>
      <c r="L85" s="1"/>
      <c r="M85" s="1">
        <v>135</v>
      </c>
      <c r="N85" s="1">
        <f t="shared" si="22"/>
        <v>-56</v>
      </c>
      <c r="O85" s="1">
        <f t="shared" si="23"/>
        <v>79</v>
      </c>
      <c r="P85" s="1"/>
      <c r="Q85" s="1">
        <v>100</v>
      </c>
      <c r="R85" s="1">
        <v>-102.8571428571429</v>
      </c>
      <c r="S85" s="1"/>
      <c r="T85" s="1"/>
      <c r="U85" s="1"/>
      <c r="V85" s="1">
        <v>50</v>
      </c>
      <c r="W85" s="1"/>
      <c r="X85" s="1"/>
      <c r="Y85" s="1">
        <v>50</v>
      </c>
      <c r="Z85" s="1">
        <f>O85/5</f>
        <v>15.8</v>
      </c>
      <c r="AA85" s="5">
        <v>50</v>
      </c>
      <c r="AB85" s="5">
        <f t="shared" ref="AB85:AB86" si="29">AA85*1.3</f>
        <v>65</v>
      </c>
      <c r="AC85" s="5">
        <f t="shared" ref="AC85:AC86" si="30">AB85</f>
        <v>65</v>
      </c>
      <c r="AD85" s="5"/>
      <c r="AE85" s="1">
        <v>160</v>
      </c>
      <c r="AF85" s="1" t="str">
        <f>VLOOKUP(A85,[2]Лист1!$A:$B,2,0)</f>
        <v>до 160 шт</v>
      </c>
      <c r="AG85" s="1">
        <f>(H85+Q85+R85+S85+T85+U85+V85+W85+X85+Y85+AC85+AD85)/Z85</f>
        <v>10.262206148282095</v>
      </c>
      <c r="AH85" s="1">
        <f>(H85+Q85+R85+S85+T85+U85+V85+W85+X85+Y85)/Z85</f>
        <v>6.148282097649183</v>
      </c>
      <c r="AI85" s="1">
        <v>8.4</v>
      </c>
      <c r="AJ85" s="1">
        <v>-0.6</v>
      </c>
      <c r="AK85" s="1">
        <v>-1.2</v>
      </c>
      <c r="AL85" s="1">
        <v>-0.4</v>
      </c>
      <c r="AM85" s="1">
        <v>14</v>
      </c>
      <c r="AN85" s="1">
        <v>31.6</v>
      </c>
      <c r="AO85" s="1">
        <v>57.2</v>
      </c>
      <c r="AP85" s="1">
        <v>52.2</v>
      </c>
      <c r="AQ85" s="1"/>
      <c r="AR85" s="1">
        <f>ROUND(I85*AC85,0)</f>
        <v>23</v>
      </c>
      <c r="AS85" s="1">
        <f>ROUND(I85*AD85,0)</f>
        <v>0</v>
      </c>
      <c r="AT85" s="1"/>
      <c r="AU85" s="1"/>
      <c r="AV85" s="1"/>
      <c r="AW85" s="1"/>
      <c r="AX85" s="1"/>
      <c r="AY85" s="1"/>
      <c r="AZ85" s="1"/>
      <c r="BA85" s="1"/>
      <c r="BB85" s="1"/>
    </row>
    <row r="86" spans="1:54" x14ac:dyDescent="0.25">
      <c r="A86" s="1" t="s">
        <v>136</v>
      </c>
      <c r="B86" s="1" t="s">
        <v>48</v>
      </c>
      <c r="C86" s="1">
        <v>-11</v>
      </c>
      <c r="D86" s="1">
        <v>743</v>
      </c>
      <c r="E86" s="1">
        <v>301</v>
      </c>
      <c r="F86" s="1">
        <v>148</v>
      </c>
      <c r="G86" s="1"/>
      <c r="H86" s="1">
        <f t="shared" si="21"/>
        <v>148</v>
      </c>
      <c r="I86" s="7">
        <v>0.35</v>
      </c>
      <c r="J86" s="1">
        <v>45</v>
      </c>
      <c r="K86" s="11" t="s">
        <v>53</v>
      </c>
      <c r="L86" s="1"/>
      <c r="M86" s="1">
        <v>315</v>
      </c>
      <c r="N86" s="1">
        <f t="shared" si="22"/>
        <v>-14</v>
      </c>
      <c r="O86" s="1">
        <f t="shared" si="23"/>
        <v>301</v>
      </c>
      <c r="P86" s="1"/>
      <c r="Q86" s="1">
        <v>0</v>
      </c>
      <c r="R86" s="1"/>
      <c r="S86" s="1"/>
      <c r="T86" s="1"/>
      <c r="U86" s="1"/>
      <c r="V86" s="1">
        <v>40</v>
      </c>
      <c r="W86" s="1"/>
      <c r="X86" s="1"/>
      <c r="Y86" s="1">
        <v>20</v>
      </c>
      <c r="Z86" s="1">
        <f>O86/5</f>
        <v>60.2</v>
      </c>
      <c r="AA86" s="5">
        <v>350</v>
      </c>
      <c r="AB86" s="5">
        <f t="shared" si="29"/>
        <v>455</v>
      </c>
      <c r="AC86" s="5">
        <f t="shared" si="30"/>
        <v>455</v>
      </c>
      <c r="AD86" s="5">
        <f>0.5*AB86</f>
        <v>227.5</v>
      </c>
      <c r="AE86" s="1"/>
      <c r="AF86" s="1"/>
      <c r="AG86" s="1">
        <f>(H86+Q86+R86+S86+T86+U86+V86+W86+X86+Y86+AC86+AD86)/Z86</f>
        <v>14.79235880398671</v>
      </c>
      <c r="AH86" s="1">
        <f>(H86+Q86+R86+S86+T86+U86+V86+W86+X86+Y86)/Z86</f>
        <v>3.4551495016611296</v>
      </c>
      <c r="AI86" s="1">
        <v>18.600000000000001</v>
      </c>
      <c r="AJ86" s="1">
        <v>1.2</v>
      </c>
      <c r="AK86" s="1">
        <v>24.8</v>
      </c>
      <c r="AL86" s="1">
        <v>57.2</v>
      </c>
      <c r="AM86" s="1">
        <v>41.6</v>
      </c>
      <c r="AN86" s="1">
        <v>37.4</v>
      </c>
      <c r="AO86" s="1">
        <v>49.2</v>
      </c>
      <c r="AP86" s="1">
        <v>41</v>
      </c>
      <c r="AQ86" s="1"/>
      <c r="AR86" s="1">
        <f>ROUND(I86*AC86,0)</f>
        <v>159</v>
      </c>
      <c r="AS86" s="1">
        <f>ROUND(I86*AD86,0)</f>
        <v>80</v>
      </c>
      <c r="AT86" s="1"/>
      <c r="AU86" s="1"/>
      <c r="AV86" s="1"/>
      <c r="AW86" s="1"/>
      <c r="AX86" s="1"/>
      <c r="AY86" s="1"/>
      <c r="AZ86" s="1"/>
      <c r="BA86" s="1"/>
      <c r="BB86" s="1"/>
    </row>
    <row r="87" spans="1:54" x14ac:dyDescent="0.25">
      <c r="A87" s="1" t="s">
        <v>137</v>
      </c>
      <c r="B87" s="1" t="s">
        <v>48</v>
      </c>
      <c r="C87" s="1">
        <v>50</v>
      </c>
      <c r="D87" s="1">
        <v>68</v>
      </c>
      <c r="E87" s="1">
        <v>10</v>
      </c>
      <c r="F87" s="1">
        <v>40</v>
      </c>
      <c r="G87" s="1"/>
      <c r="H87" s="1">
        <f t="shared" si="21"/>
        <v>40</v>
      </c>
      <c r="I87" s="7">
        <v>0.4</v>
      </c>
      <c r="J87" s="1">
        <v>55</v>
      </c>
      <c r="K87" s="1" t="s">
        <v>43</v>
      </c>
      <c r="L87" s="1"/>
      <c r="M87" s="1">
        <v>10</v>
      </c>
      <c r="N87" s="1">
        <f t="shared" si="22"/>
        <v>0</v>
      </c>
      <c r="O87" s="1">
        <f t="shared" si="23"/>
        <v>10</v>
      </c>
      <c r="P87" s="1"/>
      <c r="Q87" s="1">
        <v>12</v>
      </c>
      <c r="R87" s="1"/>
      <c r="S87" s="1"/>
      <c r="T87" s="1"/>
      <c r="U87" s="1"/>
      <c r="V87" s="1">
        <v>0</v>
      </c>
      <c r="W87" s="1"/>
      <c r="X87" s="1"/>
      <c r="Y87" s="1"/>
      <c r="Z87" s="1">
        <f>O87/5</f>
        <v>2</v>
      </c>
      <c r="AA87" s="5"/>
      <c r="AB87" s="5">
        <f t="shared" si="24"/>
        <v>0</v>
      </c>
      <c r="AC87" s="5"/>
      <c r="AD87" s="5"/>
      <c r="AE87" s="1"/>
      <c r="AF87" s="1"/>
      <c r="AG87" s="1">
        <f>(H87+Q87+R87+S87+T87+U87+V87+W87+X87+Y87+AC87+AD87)/Z87</f>
        <v>26</v>
      </c>
      <c r="AH87" s="1">
        <f>(H87+Q87+R87+S87+T87+U87+V87+W87+X87+Y87)/Z87</f>
        <v>26</v>
      </c>
      <c r="AI87" s="1">
        <v>2</v>
      </c>
      <c r="AJ87" s="1">
        <v>6.2</v>
      </c>
      <c r="AK87" s="1">
        <v>4.4000000000000004</v>
      </c>
      <c r="AL87" s="1">
        <v>0.2</v>
      </c>
      <c r="AM87" s="1">
        <v>4.2</v>
      </c>
      <c r="AN87" s="1">
        <v>4.2</v>
      </c>
      <c r="AO87" s="1">
        <v>0</v>
      </c>
      <c r="AP87" s="1">
        <v>0</v>
      </c>
      <c r="AQ87" s="17" t="s">
        <v>76</v>
      </c>
      <c r="AR87" s="1">
        <f>ROUND(I87*AC87,0)</f>
        <v>0</v>
      </c>
      <c r="AS87" s="1">
        <f>ROUND(I87*AD87,0)</f>
        <v>0</v>
      </c>
      <c r="AT87" s="1"/>
      <c r="AU87" s="1"/>
      <c r="AV87" s="1"/>
      <c r="AW87" s="1"/>
      <c r="AX87" s="1"/>
      <c r="AY87" s="1"/>
      <c r="AZ87" s="1"/>
      <c r="BA87" s="1"/>
      <c r="BB87" s="1"/>
    </row>
    <row r="88" spans="1:54" x14ac:dyDescent="0.25">
      <c r="A88" s="1" t="s">
        <v>138</v>
      </c>
      <c r="B88" s="1" t="s">
        <v>42</v>
      </c>
      <c r="C88" s="1">
        <v>20.971</v>
      </c>
      <c r="D88" s="1">
        <v>6.7240000000000002</v>
      </c>
      <c r="E88" s="1">
        <v>3.7170000000000001</v>
      </c>
      <c r="F88" s="1">
        <v>2.56</v>
      </c>
      <c r="G88" s="1"/>
      <c r="H88" s="1">
        <f t="shared" si="21"/>
        <v>2.56</v>
      </c>
      <c r="I88" s="7">
        <v>1</v>
      </c>
      <c r="J88" s="1">
        <v>55</v>
      </c>
      <c r="K88" s="1" t="s">
        <v>43</v>
      </c>
      <c r="L88" s="1"/>
      <c r="M88" s="1">
        <v>7.8</v>
      </c>
      <c r="N88" s="1">
        <f t="shared" si="22"/>
        <v>-4.0830000000000002</v>
      </c>
      <c r="O88" s="1">
        <f t="shared" si="23"/>
        <v>3.7170000000000001</v>
      </c>
      <c r="P88" s="1"/>
      <c r="Q88" s="1">
        <v>0</v>
      </c>
      <c r="R88" s="1"/>
      <c r="S88" s="1"/>
      <c r="T88" s="1"/>
      <c r="U88" s="1"/>
      <c r="V88" s="1">
        <v>0</v>
      </c>
      <c r="W88" s="1"/>
      <c r="X88" s="1"/>
      <c r="Y88" s="1"/>
      <c r="Z88" s="1">
        <f>O88/5</f>
        <v>0.74340000000000006</v>
      </c>
      <c r="AA88" s="5">
        <f>11*Z88-Y88-X88-W88-V88-U88-T88-S88-R88-Q88-H88</f>
        <v>5.6173999999999999</v>
      </c>
      <c r="AB88" s="5">
        <f t="shared" si="24"/>
        <v>5.6173999999999999</v>
      </c>
      <c r="AC88" s="5">
        <f>AB88-AD88</f>
        <v>5.6173999999999999</v>
      </c>
      <c r="AD88" s="5"/>
      <c r="AE88" s="1"/>
      <c r="AF88" s="1"/>
      <c r="AG88" s="1">
        <f>(H88+Q88+R88+S88+T88+U88+V88+W88+X88+Y88+AC88+AD88)/Z88</f>
        <v>11</v>
      </c>
      <c r="AH88" s="1">
        <f>(H88+Q88+R88+S88+T88+U88+V88+W88+X88+Y88)/Z88</f>
        <v>3.4436373419424267</v>
      </c>
      <c r="AI88" s="1">
        <v>0.26700000000000002</v>
      </c>
      <c r="AJ88" s="1">
        <v>0.26700000000000002</v>
      </c>
      <c r="AK88" s="1">
        <v>0.29099999999999998</v>
      </c>
      <c r="AL88" s="1">
        <v>0.59099999999999997</v>
      </c>
      <c r="AM88" s="1">
        <v>0.3</v>
      </c>
      <c r="AN88" s="1">
        <v>0.56580000000000008</v>
      </c>
      <c r="AO88" s="1">
        <v>0.85500000000000009</v>
      </c>
      <c r="AP88" s="1">
        <v>0.5796</v>
      </c>
      <c r="AQ88" s="10" t="s">
        <v>191</v>
      </c>
      <c r="AR88" s="1">
        <f>ROUND(I88*AC88,0)</f>
        <v>6</v>
      </c>
      <c r="AS88" s="1">
        <f>ROUND(I88*AD88,0)</f>
        <v>0</v>
      </c>
      <c r="AT88" s="1"/>
      <c r="AU88" s="1"/>
      <c r="AV88" s="1"/>
      <c r="AW88" s="1"/>
      <c r="AX88" s="1"/>
      <c r="AY88" s="1"/>
      <c r="AZ88" s="1"/>
      <c r="BA88" s="1"/>
      <c r="BB88" s="1"/>
    </row>
    <row r="89" spans="1:54" x14ac:dyDescent="0.25">
      <c r="A89" s="12" t="s">
        <v>139</v>
      </c>
      <c r="B89" s="12" t="s">
        <v>42</v>
      </c>
      <c r="C89" s="12"/>
      <c r="D89" s="12"/>
      <c r="E89" s="12"/>
      <c r="F89" s="12"/>
      <c r="G89" s="12"/>
      <c r="H89" s="12">
        <f t="shared" si="21"/>
        <v>0</v>
      </c>
      <c r="I89" s="13">
        <v>0</v>
      </c>
      <c r="J89" s="12"/>
      <c r="K89" s="12" t="s">
        <v>43</v>
      </c>
      <c r="L89" s="12"/>
      <c r="M89" s="12"/>
      <c r="N89" s="12">
        <f t="shared" si="22"/>
        <v>0</v>
      </c>
      <c r="O89" s="12">
        <f t="shared" si="23"/>
        <v>0</v>
      </c>
      <c r="P89" s="12"/>
      <c r="Q89" s="12">
        <v>0</v>
      </c>
      <c r="R89" s="12"/>
      <c r="S89" s="12"/>
      <c r="T89" s="12"/>
      <c r="U89" s="12"/>
      <c r="V89" s="12">
        <v>0</v>
      </c>
      <c r="W89" s="12"/>
      <c r="X89" s="12"/>
      <c r="Y89" s="12"/>
      <c r="Z89" s="12">
        <f>O89/5</f>
        <v>0</v>
      </c>
      <c r="AA89" s="14"/>
      <c r="AB89" s="5">
        <f t="shared" si="24"/>
        <v>0</v>
      </c>
      <c r="AC89" s="5"/>
      <c r="AD89" s="5"/>
      <c r="AE89" s="12"/>
      <c r="AF89" s="1"/>
      <c r="AG89" s="1" t="e">
        <f>(H89+Q89+R89+S89+T89+U89+V89+W89+X89+Y89+AC89+AD89)/Z89</f>
        <v>#DIV/0!</v>
      </c>
      <c r="AH89" s="12" t="e">
        <f>(H89+Q89+R89+S89+T89+U89+V89+W89+X89+Y89)/Z89</f>
        <v>#DIV/0!</v>
      </c>
      <c r="AI89" s="12">
        <v>0</v>
      </c>
      <c r="AJ89" s="12">
        <v>0</v>
      </c>
      <c r="AK89" s="12">
        <v>0</v>
      </c>
      <c r="AL89" s="12">
        <v>0</v>
      </c>
      <c r="AM89" s="12">
        <v>0</v>
      </c>
      <c r="AN89" s="12">
        <v>0</v>
      </c>
      <c r="AO89" s="12">
        <v>0</v>
      </c>
      <c r="AP89" s="12">
        <v>0</v>
      </c>
      <c r="AQ89" s="12" t="s">
        <v>65</v>
      </c>
      <c r="AR89" s="1">
        <f>ROUND(I89*AC89,0)</f>
        <v>0</v>
      </c>
      <c r="AS89" s="1">
        <f>ROUND(I89*AD89,0)</f>
        <v>0</v>
      </c>
      <c r="AT89" s="1"/>
      <c r="AU89" s="1"/>
      <c r="AV89" s="1"/>
      <c r="AW89" s="1"/>
      <c r="AX89" s="1"/>
      <c r="AY89" s="1"/>
      <c r="AZ89" s="1"/>
      <c r="BA89" s="1"/>
      <c r="BB89" s="1"/>
    </row>
    <row r="90" spans="1:54" x14ac:dyDescent="0.25">
      <c r="A90" s="1" t="s">
        <v>140</v>
      </c>
      <c r="B90" s="1" t="s">
        <v>42</v>
      </c>
      <c r="C90" s="1">
        <v>2492.0329999999999</v>
      </c>
      <c r="D90" s="1">
        <v>12296.638999999999</v>
      </c>
      <c r="E90" s="1">
        <v>2655.576</v>
      </c>
      <c r="F90" s="1">
        <v>3863.9169999999999</v>
      </c>
      <c r="G90" s="1">
        <f>VLOOKUP(A90,[1]TDSheet!$A:$B,2,0)</f>
        <v>506.06299999999999</v>
      </c>
      <c r="H90" s="1">
        <f t="shared" si="21"/>
        <v>3357.8539999999998</v>
      </c>
      <c r="I90" s="7">
        <v>1</v>
      </c>
      <c r="J90" s="1">
        <v>60</v>
      </c>
      <c r="K90" s="1" t="s">
        <v>43</v>
      </c>
      <c r="L90" s="1"/>
      <c r="M90" s="1">
        <v>2725.2950000000001</v>
      </c>
      <c r="N90" s="1">
        <f t="shared" si="22"/>
        <v>-69.719000000000051</v>
      </c>
      <c r="O90" s="1">
        <f t="shared" si="23"/>
        <v>2614.7809999999999</v>
      </c>
      <c r="P90" s="1">
        <v>40.795000000000002</v>
      </c>
      <c r="Q90" s="1">
        <v>348.8982426799999</v>
      </c>
      <c r="R90" s="1"/>
      <c r="S90" s="1">
        <v>471.65265731999978</v>
      </c>
      <c r="T90" s="1"/>
      <c r="U90" s="1"/>
      <c r="V90" s="1">
        <v>559.06353026999955</v>
      </c>
      <c r="W90" s="1"/>
      <c r="X90" s="1"/>
      <c r="Y90" s="1">
        <v>1035.072569729999</v>
      </c>
      <c r="Z90" s="1">
        <f>O90/5</f>
        <v>522.95619999999997</v>
      </c>
      <c r="AA90" s="5"/>
      <c r="AB90" s="5">
        <f>AE90</f>
        <v>1200</v>
      </c>
      <c r="AC90" s="5">
        <f>AB90-AD90</f>
        <v>240</v>
      </c>
      <c r="AD90" s="5">
        <f>AB90*$AD$1</f>
        <v>960</v>
      </c>
      <c r="AE90" s="1">
        <v>1200</v>
      </c>
      <c r="AF90" s="1" t="str">
        <f>VLOOKUP(A90,[2]Лист1!$A:$B,2,0)</f>
        <v>1200 кг (акция)</v>
      </c>
      <c r="AG90" s="1">
        <f>(H90+Q90+R90+S90+T90+U90+V90+W90+X90+Y90+AC90+AD90)/Z90</f>
        <v>13.332934957076708</v>
      </c>
      <c r="AH90" s="1">
        <f>(H90+Q90+R90+S90+T90+U90+V90+W90+X90+Y90)/Z90</f>
        <v>11.038287718933244</v>
      </c>
      <c r="AI90" s="1">
        <v>517.02299999999991</v>
      </c>
      <c r="AJ90" s="1">
        <v>538.73500000000001</v>
      </c>
      <c r="AK90" s="1">
        <v>591.0634</v>
      </c>
      <c r="AL90" s="1">
        <v>673.63120000000004</v>
      </c>
      <c r="AM90" s="1">
        <v>428.86399999999998</v>
      </c>
      <c r="AN90" s="1">
        <v>368.13479999999998</v>
      </c>
      <c r="AO90" s="1">
        <v>482.79840000000002</v>
      </c>
      <c r="AP90" s="1">
        <v>547.7278</v>
      </c>
      <c r="AQ90" s="1" t="s">
        <v>45</v>
      </c>
      <c r="AR90" s="1">
        <f>ROUND(I90*AC90,0)</f>
        <v>240</v>
      </c>
      <c r="AS90" s="1">
        <f>ROUND(I90*AD90,0)</f>
        <v>960</v>
      </c>
      <c r="AT90" s="1"/>
      <c r="AU90" s="1"/>
      <c r="AV90" s="1"/>
      <c r="AW90" s="1"/>
      <c r="AX90" s="1"/>
      <c r="AY90" s="1"/>
      <c r="AZ90" s="1"/>
      <c r="BA90" s="1"/>
      <c r="BB90" s="1"/>
    </row>
    <row r="91" spans="1:54" x14ac:dyDescent="0.25">
      <c r="A91" s="1" t="s">
        <v>141</v>
      </c>
      <c r="B91" s="1" t="s">
        <v>48</v>
      </c>
      <c r="C91" s="1">
        <v>782</v>
      </c>
      <c r="D91" s="1">
        <v>1648</v>
      </c>
      <c r="E91" s="1">
        <v>194</v>
      </c>
      <c r="F91" s="1">
        <v>621</v>
      </c>
      <c r="G91" s="1"/>
      <c r="H91" s="1">
        <f t="shared" si="21"/>
        <v>621</v>
      </c>
      <c r="I91" s="7">
        <v>0.3</v>
      </c>
      <c r="J91" s="1">
        <v>40</v>
      </c>
      <c r="K91" s="1" t="s">
        <v>43</v>
      </c>
      <c r="L91" s="1"/>
      <c r="M91" s="1">
        <v>207</v>
      </c>
      <c r="N91" s="1">
        <f t="shared" si="22"/>
        <v>-13</v>
      </c>
      <c r="O91" s="1">
        <f t="shared" si="23"/>
        <v>194</v>
      </c>
      <c r="P91" s="1"/>
      <c r="Q91" s="1">
        <v>0</v>
      </c>
      <c r="R91" s="1"/>
      <c r="S91" s="1"/>
      <c r="T91" s="1"/>
      <c r="U91" s="1"/>
      <c r="V91" s="1">
        <v>0</v>
      </c>
      <c r="W91" s="1"/>
      <c r="X91" s="1"/>
      <c r="Y91" s="1"/>
      <c r="Z91" s="1">
        <f>O91/5</f>
        <v>38.799999999999997</v>
      </c>
      <c r="AA91" s="5"/>
      <c r="AB91" s="5">
        <f t="shared" si="24"/>
        <v>0</v>
      </c>
      <c r="AC91" s="5"/>
      <c r="AD91" s="5"/>
      <c r="AE91" s="1"/>
      <c r="AF91" s="1"/>
      <c r="AG91" s="1">
        <f>(H91+Q91+R91+S91+T91+U91+V91+W91+X91+Y91+AC91+AD91)/Z91</f>
        <v>16.005154639175259</v>
      </c>
      <c r="AH91" s="1">
        <f>(H91+Q91+R91+S91+T91+U91+V91+W91+X91+Y91)/Z91</f>
        <v>16.005154639175259</v>
      </c>
      <c r="AI91" s="1">
        <v>47.6</v>
      </c>
      <c r="AJ91" s="1">
        <v>64.8</v>
      </c>
      <c r="AK91" s="1">
        <v>54.6</v>
      </c>
      <c r="AL91" s="1">
        <v>43.4</v>
      </c>
      <c r="AM91" s="1">
        <v>52.8</v>
      </c>
      <c r="AN91" s="1">
        <v>49.8</v>
      </c>
      <c r="AO91" s="1">
        <v>36.200000000000003</v>
      </c>
      <c r="AP91" s="1">
        <v>35.799999999999997</v>
      </c>
      <c r="AQ91" s="1"/>
      <c r="AR91" s="1">
        <f>ROUND(I91*AC91,0)</f>
        <v>0</v>
      </c>
      <c r="AS91" s="1">
        <f>ROUND(I91*AD91,0)</f>
        <v>0</v>
      </c>
      <c r="AT91" s="1"/>
      <c r="AU91" s="1"/>
      <c r="AV91" s="1"/>
      <c r="AW91" s="1"/>
      <c r="AX91" s="1"/>
      <c r="AY91" s="1"/>
      <c r="AZ91" s="1"/>
      <c r="BA91" s="1"/>
      <c r="BB91" s="1"/>
    </row>
    <row r="92" spans="1:54" x14ac:dyDescent="0.25">
      <c r="A92" s="1" t="s">
        <v>142</v>
      </c>
      <c r="B92" s="1" t="s">
        <v>42</v>
      </c>
      <c r="C92" s="1">
        <v>1425.6410000000001</v>
      </c>
      <c r="D92" s="1">
        <v>3470.5819999999999</v>
      </c>
      <c r="E92" s="1">
        <v>1585.105</v>
      </c>
      <c r="F92" s="1">
        <v>1256.9169999999999</v>
      </c>
      <c r="G92" s="1"/>
      <c r="H92" s="1">
        <f t="shared" si="21"/>
        <v>1256.9169999999999</v>
      </c>
      <c r="I92" s="7">
        <v>1</v>
      </c>
      <c r="J92" s="1">
        <v>60</v>
      </c>
      <c r="K92" s="1" t="s">
        <v>43</v>
      </c>
      <c r="L92" s="1"/>
      <c r="M92" s="1">
        <v>1750.2719999999999</v>
      </c>
      <c r="N92" s="1">
        <f t="shared" si="22"/>
        <v>-165.16699999999992</v>
      </c>
      <c r="O92" s="1">
        <f t="shared" si="23"/>
        <v>1449.923</v>
      </c>
      <c r="P92" s="1">
        <v>135.18199999999999</v>
      </c>
      <c r="Q92" s="1">
        <v>297.64</v>
      </c>
      <c r="R92" s="1"/>
      <c r="S92" s="1">
        <v>402.36</v>
      </c>
      <c r="T92" s="1"/>
      <c r="U92" s="1">
        <v>390</v>
      </c>
      <c r="V92" s="1">
        <v>246.04803384000019</v>
      </c>
      <c r="W92" s="1"/>
      <c r="X92" s="1">
        <v>300</v>
      </c>
      <c r="Y92" s="1">
        <v>455.54316616000028</v>
      </c>
      <c r="Z92" s="1">
        <f>O92/5</f>
        <v>289.9846</v>
      </c>
      <c r="AA92" s="5"/>
      <c r="AB92" s="5">
        <v>1000</v>
      </c>
      <c r="AC92" s="5">
        <f t="shared" ref="AC92:AC94" si="31">AB92-AD92</f>
        <v>200</v>
      </c>
      <c r="AD92" s="5">
        <f t="shared" ref="AD92:AD94" si="32">AB92*$AD$1</f>
        <v>800</v>
      </c>
      <c r="AE92" s="1">
        <v>450</v>
      </c>
      <c r="AF92" s="1" t="str">
        <f>VLOOKUP(A92,[2]Лист1!$A:$B,2,0)</f>
        <v>450 кг (акция)</v>
      </c>
      <c r="AG92" s="1">
        <f>(H92+Q92+R92+S92+T92+U92+V92+W92+X92+Y92+AC92+AD92)/Z92</f>
        <v>14.995652182909025</v>
      </c>
      <c r="AH92" s="1">
        <f>(H92+Q92+R92+S92+T92+U92+V92+W92+X92+Y92)/Z92</f>
        <v>11.547193195776604</v>
      </c>
      <c r="AI92" s="1">
        <v>263.73020000000002</v>
      </c>
      <c r="AJ92" s="1">
        <v>277.47519999999997</v>
      </c>
      <c r="AK92" s="1">
        <v>257.95119999999997</v>
      </c>
      <c r="AL92" s="1">
        <v>283.8922</v>
      </c>
      <c r="AM92" s="1">
        <v>197.21299999999999</v>
      </c>
      <c r="AN92" s="1">
        <v>160.90700000000001</v>
      </c>
      <c r="AO92" s="1">
        <v>215.4</v>
      </c>
      <c r="AP92" s="1">
        <v>379.45499999999998</v>
      </c>
      <c r="AQ92" s="1"/>
      <c r="AR92" s="1">
        <f>ROUND(I92*AC92,0)</f>
        <v>200</v>
      </c>
      <c r="AS92" s="1">
        <f>ROUND(I92*AD92,0)</f>
        <v>800</v>
      </c>
      <c r="AT92" s="1"/>
      <c r="AU92" s="1"/>
      <c r="AV92" s="1"/>
      <c r="AW92" s="1"/>
      <c r="AX92" s="1"/>
      <c r="AY92" s="1"/>
      <c r="AZ92" s="1"/>
      <c r="BA92" s="1"/>
      <c r="BB92" s="1"/>
    </row>
    <row r="93" spans="1:54" x14ac:dyDescent="0.25">
      <c r="A93" s="1" t="s">
        <v>143</v>
      </c>
      <c r="B93" s="1" t="s">
        <v>42</v>
      </c>
      <c r="C93" s="1">
        <v>2828.6</v>
      </c>
      <c r="D93" s="1">
        <v>8229.9030000000002</v>
      </c>
      <c r="E93" s="1">
        <v>2972.5169999999998</v>
      </c>
      <c r="F93" s="1">
        <v>1299.5999999999999</v>
      </c>
      <c r="G93" s="1"/>
      <c r="H93" s="1">
        <f t="shared" si="21"/>
        <v>1299.5999999999999</v>
      </c>
      <c r="I93" s="7">
        <v>1</v>
      </c>
      <c r="J93" s="1">
        <v>60</v>
      </c>
      <c r="K93" s="1" t="s">
        <v>43</v>
      </c>
      <c r="L93" s="1"/>
      <c r="M93" s="1">
        <v>3132.7150000000001</v>
      </c>
      <c r="N93" s="1">
        <f t="shared" si="22"/>
        <v>-160.19800000000032</v>
      </c>
      <c r="O93" s="1">
        <f t="shared" si="23"/>
        <v>2503.402</v>
      </c>
      <c r="P93" s="1">
        <v>469.11500000000001</v>
      </c>
      <c r="Q93" s="1">
        <v>765.36000000000013</v>
      </c>
      <c r="R93" s="1"/>
      <c r="S93" s="1">
        <v>1034.6400000000001</v>
      </c>
      <c r="T93" s="1"/>
      <c r="U93" s="1">
        <v>390</v>
      </c>
      <c r="V93" s="1">
        <v>507.39100650000017</v>
      </c>
      <c r="W93" s="1"/>
      <c r="X93" s="1">
        <v>510</v>
      </c>
      <c r="Y93" s="1">
        <v>939.4039935000003</v>
      </c>
      <c r="Z93" s="1">
        <f>O93/5</f>
        <v>500.68040000000002</v>
      </c>
      <c r="AA93" s="5">
        <f>11*Z93-Y93-X93-W93-V93-U93-T93-S93-R93-Q93-H93</f>
        <v>61.089399999999841</v>
      </c>
      <c r="AB93" s="5">
        <v>2100</v>
      </c>
      <c r="AC93" s="5">
        <f t="shared" si="31"/>
        <v>420</v>
      </c>
      <c r="AD93" s="5">
        <f t="shared" si="32"/>
        <v>1680</v>
      </c>
      <c r="AE93" s="1">
        <v>1700</v>
      </c>
      <c r="AF93" s="1" t="str">
        <f>VLOOKUP(A93,[2]Лист1!$A:$B,2,0)</f>
        <v>до 1700 кг (акция)</v>
      </c>
      <c r="AG93" s="1">
        <f>(H93+Q93+R93+S93+T93+U93+V93+W93+X93+Y93+AC93+AD93)/Z93</f>
        <v>15.072279641863352</v>
      </c>
      <c r="AH93" s="1">
        <f>(H93+Q93+R93+S93+T93+U93+V93+W93+X93+Y93)/Z93</f>
        <v>10.877987234970652</v>
      </c>
      <c r="AI93" s="1">
        <v>462.61800000000011</v>
      </c>
      <c r="AJ93" s="1">
        <v>495.69220000000001</v>
      </c>
      <c r="AK93" s="1">
        <v>523.89400000000001</v>
      </c>
      <c r="AL93" s="1">
        <v>507.10120000000012</v>
      </c>
      <c r="AM93" s="1">
        <v>403.74220000000003</v>
      </c>
      <c r="AN93" s="1">
        <v>422.80460000000011</v>
      </c>
      <c r="AO93" s="1">
        <v>423.51899999999989</v>
      </c>
      <c r="AP93" s="1">
        <v>694.55039999999997</v>
      </c>
      <c r="AQ93" s="1"/>
      <c r="AR93" s="1">
        <f>ROUND(I93*AC93,0)</f>
        <v>420</v>
      </c>
      <c r="AS93" s="1">
        <f>ROUND(I93*AD93,0)</f>
        <v>1680</v>
      </c>
      <c r="AT93" s="1"/>
      <c r="AU93" s="1"/>
      <c r="AV93" s="1"/>
      <c r="AW93" s="1"/>
      <c r="AX93" s="1"/>
      <c r="AY93" s="1"/>
      <c r="AZ93" s="1"/>
      <c r="BA93" s="1"/>
      <c r="BB93" s="1"/>
    </row>
    <row r="94" spans="1:54" x14ac:dyDescent="0.25">
      <c r="A94" s="1" t="s">
        <v>70</v>
      </c>
      <c r="B94" s="1" t="s">
        <v>42</v>
      </c>
      <c r="C94" s="1">
        <v>3985.8409999999999</v>
      </c>
      <c r="D94" s="1">
        <v>10980.736000000001</v>
      </c>
      <c r="E94" s="1">
        <v>3362.643</v>
      </c>
      <c r="F94" s="1">
        <v>1704.5830000000001</v>
      </c>
      <c r="G94" s="1">
        <f>VLOOKUP(A94,[1]TDSheet!$A:$B,2,0)</f>
        <v>359.18099999999998</v>
      </c>
      <c r="H94" s="1">
        <f t="shared" si="21"/>
        <v>1345.402</v>
      </c>
      <c r="I94" s="7">
        <v>1</v>
      </c>
      <c r="J94" s="1">
        <v>60</v>
      </c>
      <c r="K94" s="1" t="s">
        <v>43</v>
      </c>
      <c r="L94" s="1"/>
      <c r="M94" s="1">
        <v>3425.6979999999999</v>
      </c>
      <c r="N94" s="1">
        <f t="shared" si="22"/>
        <v>-63.054999999999836</v>
      </c>
      <c r="O94" s="1">
        <f t="shared" si="23"/>
        <v>2852.4650000000001</v>
      </c>
      <c r="P94" s="1">
        <v>510.178</v>
      </c>
      <c r="Q94" s="1">
        <v>765.36000000000013</v>
      </c>
      <c r="R94" s="1"/>
      <c r="S94" s="1">
        <v>1034.6400000000001</v>
      </c>
      <c r="T94" s="1"/>
      <c r="U94" s="1">
        <v>360</v>
      </c>
      <c r="V94" s="1">
        <v>659.92635828000016</v>
      </c>
      <c r="W94" s="1"/>
      <c r="X94" s="1">
        <v>1095</v>
      </c>
      <c r="Y94" s="1">
        <v>1221.81404172</v>
      </c>
      <c r="Z94" s="1">
        <f>O94/5</f>
        <v>570.49300000000005</v>
      </c>
      <c r="AA94" s="5"/>
      <c r="AB94" s="5">
        <v>2200</v>
      </c>
      <c r="AC94" s="5">
        <f t="shared" si="31"/>
        <v>440</v>
      </c>
      <c r="AD94" s="5">
        <f t="shared" si="32"/>
        <v>1760</v>
      </c>
      <c r="AE94" s="1">
        <v>1700</v>
      </c>
      <c r="AF94" s="1" t="str">
        <f>VLOOKUP(A94,[2]Лист1!$A:$B,2,0)</f>
        <v>1700 кг (акция)</v>
      </c>
      <c r="AG94" s="1">
        <f>(H94+Q94+R94+S94+T94+U94+V94+W94+X94+Y94+AC94+AD94)/Z94</f>
        <v>15.218665960844392</v>
      </c>
      <c r="AH94" s="1">
        <f>(H94+Q94+R94+S94+T94+U94+V94+W94+X94+Y94)/Z94</f>
        <v>11.362352211157718</v>
      </c>
      <c r="AI94" s="1">
        <v>578.13740000000007</v>
      </c>
      <c r="AJ94" s="1">
        <v>589.31639999999993</v>
      </c>
      <c r="AK94" s="1">
        <v>576.82039999999995</v>
      </c>
      <c r="AL94" s="1">
        <v>637.09520000000009</v>
      </c>
      <c r="AM94" s="1">
        <v>500.93239999999997</v>
      </c>
      <c r="AN94" s="1">
        <v>455.24059999999997</v>
      </c>
      <c r="AO94" s="1">
        <v>581.56139999999994</v>
      </c>
      <c r="AP94" s="1">
        <v>903.69920000000002</v>
      </c>
      <c r="AQ94" s="1"/>
      <c r="AR94" s="1">
        <f>ROUND(I94*AC94,0)</f>
        <v>440</v>
      </c>
      <c r="AS94" s="1">
        <f>ROUND(I94*AD94,0)</f>
        <v>1760</v>
      </c>
      <c r="AT94" s="1"/>
      <c r="AU94" s="1"/>
      <c r="AV94" s="1"/>
      <c r="AW94" s="1"/>
      <c r="AX94" s="1"/>
      <c r="AY94" s="1"/>
      <c r="AZ94" s="1"/>
      <c r="BA94" s="1"/>
      <c r="BB94" s="1"/>
    </row>
    <row r="95" spans="1:54" x14ac:dyDescent="0.25">
      <c r="A95" s="1" t="s">
        <v>144</v>
      </c>
      <c r="B95" s="1" t="s">
        <v>42</v>
      </c>
      <c r="C95" s="1">
        <v>17.547999999999998</v>
      </c>
      <c r="D95" s="1">
        <v>73.573999999999998</v>
      </c>
      <c r="E95" s="1">
        <v>16.13</v>
      </c>
      <c r="F95" s="1">
        <v>19.978999999999999</v>
      </c>
      <c r="G95" s="1"/>
      <c r="H95" s="1">
        <f t="shared" si="21"/>
        <v>19.978999999999999</v>
      </c>
      <c r="I95" s="7">
        <v>1</v>
      </c>
      <c r="J95" s="1">
        <v>55</v>
      </c>
      <c r="K95" s="1" t="s">
        <v>43</v>
      </c>
      <c r="L95" s="1"/>
      <c r="M95" s="1">
        <v>16.899999999999999</v>
      </c>
      <c r="N95" s="1">
        <f t="shared" si="22"/>
        <v>-0.76999999999999957</v>
      </c>
      <c r="O95" s="1">
        <f t="shared" si="23"/>
        <v>16.13</v>
      </c>
      <c r="P95" s="1"/>
      <c r="Q95" s="1">
        <v>13.0763</v>
      </c>
      <c r="R95" s="1"/>
      <c r="S95" s="1"/>
      <c r="T95" s="1"/>
      <c r="U95" s="1"/>
      <c r="V95" s="1">
        <v>4</v>
      </c>
      <c r="W95" s="1"/>
      <c r="X95" s="1"/>
      <c r="Y95" s="1"/>
      <c r="Z95" s="1">
        <f>O95/5</f>
        <v>3.226</v>
      </c>
      <c r="AA95" s="5"/>
      <c r="AB95" s="5">
        <f t="shared" si="24"/>
        <v>0</v>
      </c>
      <c r="AC95" s="5"/>
      <c r="AD95" s="5"/>
      <c r="AE95" s="1"/>
      <c r="AF95" s="1"/>
      <c r="AG95" s="1">
        <f>(H95+Q95+R95+S95+T95+U95+V95+W95+X95+Y95+AC95+AD95)/Z95</f>
        <v>11.486453812771234</v>
      </c>
      <c r="AH95" s="1">
        <f>(H95+Q95+R95+S95+T95+U95+V95+W95+X95+Y95)/Z95</f>
        <v>11.486453812771234</v>
      </c>
      <c r="AI95" s="1">
        <v>3.7902</v>
      </c>
      <c r="AJ95" s="1">
        <v>4.0486000000000004</v>
      </c>
      <c r="AK95" s="1">
        <v>4.0282</v>
      </c>
      <c r="AL95" s="1">
        <v>3.492</v>
      </c>
      <c r="AM95" s="1">
        <v>1.6095999999999999</v>
      </c>
      <c r="AN95" s="1">
        <v>2.2846000000000002</v>
      </c>
      <c r="AO95" s="1">
        <v>4.4762000000000004</v>
      </c>
      <c r="AP95" s="1">
        <v>4.0706000000000007</v>
      </c>
      <c r="AQ95" s="1"/>
      <c r="AR95" s="1">
        <f>ROUND(I95*AC95,0)</f>
        <v>0</v>
      </c>
      <c r="AS95" s="1">
        <f>ROUND(I95*AD95,0)</f>
        <v>0</v>
      </c>
      <c r="AT95" s="1"/>
      <c r="AU95" s="1"/>
      <c r="AV95" s="1"/>
      <c r="AW95" s="1"/>
      <c r="AX95" s="1"/>
      <c r="AY95" s="1"/>
      <c r="AZ95" s="1"/>
      <c r="BA95" s="1"/>
      <c r="BB95" s="1"/>
    </row>
    <row r="96" spans="1:54" x14ac:dyDescent="0.25">
      <c r="A96" s="12" t="s">
        <v>145</v>
      </c>
      <c r="B96" s="12" t="s">
        <v>42</v>
      </c>
      <c r="C96" s="12">
        <v>-1.36</v>
      </c>
      <c r="D96" s="12">
        <v>1.36</v>
      </c>
      <c r="E96" s="12"/>
      <c r="F96" s="12"/>
      <c r="G96" s="12"/>
      <c r="H96" s="12">
        <f t="shared" si="21"/>
        <v>0</v>
      </c>
      <c r="I96" s="13">
        <v>0</v>
      </c>
      <c r="J96" s="12"/>
      <c r="K96" s="12" t="s">
        <v>56</v>
      </c>
      <c r="L96" s="12"/>
      <c r="M96" s="12"/>
      <c r="N96" s="12">
        <f t="shared" si="22"/>
        <v>0</v>
      </c>
      <c r="O96" s="12">
        <f t="shared" si="23"/>
        <v>0</v>
      </c>
      <c r="P96" s="12"/>
      <c r="Q96" s="12">
        <v>0</v>
      </c>
      <c r="R96" s="12"/>
      <c r="S96" s="12"/>
      <c r="T96" s="12"/>
      <c r="U96" s="12"/>
      <c r="V96" s="12">
        <v>0</v>
      </c>
      <c r="W96" s="12"/>
      <c r="X96" s="12"/>
      <c r="Y96" s="12"/>
      <c r="Z96" s="12">
        <f>O96/5</f>
        <v>0</v>
      </c>
      <c r="AA96" s="14"/>
      <c r="AB96" s="5">
        <f t="shared" si="24"/>
        <v>0</v>
      </c>
      <c r="AC96" s="5"/>
      <c r="AD96" s="5"/>
      <c r="AE96" s="12"/>
      <c r="AF96" s="1"/>
      <c r="AG96" s="1" t="e">
        <f>(H96+Q96+R96+S96+T96+U96+V96+W96+X96+Y96+AC96+AD96)/Z96</f>
        <v>#DIV/0!</v>
      </c>
      <c r="AH96" s="12" t="e">
        <f>(H96+Q96+R96+S96+T96+U96+V96+W96+X96+Y96)/Z96</f>
        <v>#DIV/0!</v>
      </c>
      <c r="AI96" s="12">
        <v>0</v>
      </c>
      <c r="AJ96" s="12">
        <v>0</v>
      </c>
      <c r="AK96" s="12">
        <v>0</v>
      </c>
      <c r="AL96" s="12">
        <v>0</v>
      </c>
      <c r="AM96" s="12">
        <v>0</v>
      </c>
      <c r="AN96" s="12">
        <v>0</v>
      </c>
      <c r="AO96" s="12">
        <v>0</v>
      </c>
      <c r="AP96" s="12">
        <v>0</v>
      </c>
      <c r="AQ96" s="12"/>
      <c r="AR96" s="1">
        <f>ROUND(I96*AC96,0)</f>
        <v>0</v>
      </c>
      <c r="AS96" s="1">
        <f>ROUND(I96*AD96,0)</f>
        <v>0</v>
      </c>
      <c r="AT96" s="1"/>
      <c r="AU96" s="1"/>
      <c r="AV96" s="1"/>
      <c r="AW96" s="1"/>
      <c r="AX96" s="1"/>
      <c r="AY96" s="1"/>
      <c r="AZ96" s="1"/>
      <c r="BA96" s="1"/>
      <c r="BB96" s="1"/>
    </row>
    <row r="97" spans="1:54" x14ac:dyDescent="0.25">
      <c r="A97" s="12" t="s">
        <v>146</v>
      </c>
      <c r="B97" s="12" t="s">
        <v>42</v>
      </c>
      <c r="C97" s="12">
        <v>-3.9460000000000002</v>
      </c>
      <c r="D97" s="12">
        <v>112.032</v>
      </c>
      <c r="E97" s="12"/>
      <c r="F97" s="12"/>
      <c r="G97" s="12"/>
      <c r="H97" s="12">
        <f t="shared" si="21"/>
        <v>0</v>
      </c>
      <c r="I97" s="13">
        <v>0</v>
      </c>
      <c r="J97" s="12"/>
      <c r="K97" s="12" t="s">
        <v>56</v>
      </c>
      <c r="L97" s="12"/>
      <c r="M97" s="12"/>
      <c r="N97" s="12">
        <f t="shared" si="22"/>
        <v>0</v>
      </c>
      <c r="O97" s="12">
        <f t="shared" si="23"/>
        <v>0</v>
      </c>
      <c r="P97" s="12"/>
      <c r="Q97" s="12">
        <v>0</v>
      </c>
      <c r="R97" s="12"/>
      <c r="S97" s="12"/>
      <c r="T97" s="12"/>
      <c r="U97" s="12"/>
      <c r="V97" s="12">
        <v>0</v>
      </c>
      <c r="W97" s="12"/>
      <c r="X97" s="12"/>
      <c r="Y97" s="12"/>
      <c r="Z97" s="12">
        <f>O97/5</f>
        <v>0</v>
      </c>
      <c r="AA97" s="14"/>
      <c r="AB97" s="5">
        <f t="shared" si="24"/>
        <v>0</v>
      </c>
      <c r="AC97" s="5"/>
      <c r="AD97" s="5"/>
      <c r="AE97" s="12"/>
      <c r="AF97" s="1"/>
      <c r="AG97" s="1" t="e">
        <f>(H97+Q97+R97+S97+T97+U97+V97+W97+X97+Y97+AC97+AD97)/Z97</f>
        <v>#DIV/0!</v>
      </c>
      <c r="AH97" s="12" t="e">
        <f>(H97+Q97+R97+S97+T97+U97+V97+W97+X97+Y97)/Z97</f>
        <v>#DIV/0!</v>
      </c>
      <c r="AI97" s="12">
        <v>0</v>
      </c>
      <c r="AJ97" s="12">
        <v>0</v>
      </c>
      <c r="AK97" s="12">
        <v>-8.5999999999999993E-2</v>
      </c>
      <c r="AL97" s="12">
        <v>-8.5999999999999993E-2</v>
      </c>
      <c r="AM97" s="12">
        <v>0</v>
      </c>
      <c r="AN97" s="12">
        <v>-0.26900000000000002</v>
      </c>
      <c r="AO97" s="12">
        <v>-0.47220000000000012</v>
      </c>
      <c r="AP97" s="12">
        <v>-0.20319999999999999</v>
      </c>
      <c r="AQ97" s="12"/>
      <c r="AR97" s="1">
        <f>ROUND(I97*AC97,0)</f>
        <v>0</v>
      </c>
      <c r="AS97" s="1">
        <f>ROUND(I97*AD97,0)</f>
        <v>0</v>
      </c>
      <c r="AT97" s="1"/>
      <c r="AU97" s="1"/>
      <c r="AV97" s="1"/>
      <c r="AW97" s="1"/>
      <c r="AX97" s="1"/>
      <c r="AY97" s="1"/>
      <c r="AZ97" s="1"/>
      <c r="BA97" s="1"/>
      <c r="BB97" s="1"/>
    </row>
    <row r="98" spans="1:54" x14ac:dyDescent="0.25">
      <c r="A98" s="1" t="s">
        <v>147</v>
      </c>
      <c r="B98" s="1" t="s">
        <v>48</v>
      </c>
      <c r="C98" s="1">
        <v>-5</v>
      </c>
      <c r="D98" s="1">
        <v>91</v>
      </c>
      <c r="E98" s="1"/>
      <c r="F98" s="1"/>
      <c r="G98" s="1"/>
      <c r="H98" s="1">
        <f t="shared" si="21"/>
        <v>0</v>
      </c>
      <c r="I98" s="7">
        <v>0.3</v>
      </c>
      <c r="J98" s="1">
        <v>40</v>
      </c>
      <c r="K98" s="11" t="s">
        <v>53</v>
      </c>
      <c r="L98" s="1"/>
      <c r="M98" s="1">
        <v>89</v>
      </c>
      <c r="N98" s="1">
        <f t="shared" si="22"/>
        <v>-89</v>
      </c>
      <c r="O98" s="1">
        <f t="shared" si="23"/>
        <v>0</v>
      </c>
      <c r="P98" s="1"/>
      <c r="Q98" s="1">
        <v>100</v>
      </c>
      <c r="R98" s="1">
        <v>-103.3333333333333</v>
      </c>
      <c r="S98" s="1"/>
      <c r="T98" s="1"/>
      <c r="U98" s="1"/>
      <c r="V98" s="1">
        <v>80</v>
      </c>
      <c r="W98" s="1">
        <v>-84</v>
      </c>
      <c r="X98" s="1"/>
      <c r="Y98" s="1">
        <v>40</v>
      </c>
      <c r="Z98" s="1">
        <f>O98/5</f>
        <v>0</v>
      </c>
      <c r="AA98" s="5">
        <v>80</v>
      </c>
      <c r="AB98" s="5">
        <f>AA98*1.3</f>
        <v>104</v>
      </c>
      <c r="AC98" s="5">
        <f>AB98</f>
        <v>104</v>
      </c>
      <c r="AD98" s="5"/>
      <c r="AE98" s="1"/>
      <c r="AF98" s="1"/>
      <c r="AG98" s="1" t="e">
        <f>(H98+Q98+R98+S98+T98+U98+V98+W98+X98+Y98+AC98+AD98)/Z98</f>
        <v>#DIV/0!</v>
      </c>
      <c r="AH98" s="1" t="e">
        <f>(H98+Q98+R98+S98+T98+U98+V98+W98+X98+Y98)/Z98</f>
        <v>#DIV/0!</v>
      </c>
      <c r="AI98" s="1">
        <v>0</v>
      </c>
      <c r="AJ98" s="1">
        <v>-0.4</v>
      </c>
      <c r="AK98" s="1">
        <v>-0.4</v>
      </c>
      <c r="AL98" s="1">
        <v>0</v>
      </c>
      <c r="AM98" s="1">
        <v>-0.2</v>
      </c>
      <c r="AN98" s="1">
        <v>-0.6</v>
      </c>
      <c r="AO98" s="1">
        <v>-0.4</v>
      </c>
      <c r="AP98" s="1">
        <v>-0.8</v>
      </c>
      <c r="AQ98" s="1"/>
      <c r="AR98" s="1">
        <f>ROUND(I98*AC98,0)</f>
        <v>31</v>
      </c>
      <c r="AS98" s="1">
        <f>ROUND(I98*AD98,0)</f>
        <v>0</v>
      </c>
      <c r="AT98" s="1"/>
      <c r="AU98" s="1"/>
      <c r="AV98" s="1"/>
      <c r="AW98" s="1"/>
      <c r="AX98" s="1"/>
      <c r="AY98" s="1"/>
      <c r="AZ98" s="1"/>
      <c r="BA98" s="1"/>
      <c r="BB98" s="1"/>
    </row>
    <row r="99" spans="1:54" x14ac:dyDescent="0.25">
      <c r="A99" s="1" t="s">
        <v>148</v>
      </c>
      <c r="B99" s="1" t="s">
        <v>48</v>
      </c>
      <c r="C99" s="1">
        <v>61</v>
      </c>
      <c r="D99" s="1">
        <v>182</v>
      </c>
      <c r="E99" s="1">
        <v>28</v>
      </c>
      <c r="F99" s="1">
        <v>51</v>
      </c>
      <c r="G99" s="1"/>
      <c r="H99" s="1">
        <f t="shared" si="21"/>
        <v>51</v>
      </c>
      <c r="I99" s="7">
        <v>0.3</v>
      </c>
      <c r="J99" s="1">
        <v>40</v>
      </c>
      <c r="K99" s="1" t="s">
        <v>43</v>
      </c>
      <c r="L99" s="1"/>
      <c r="M99" s="1">
        <v>37</v>
      </c>
      <c r="N99" s="1">
        <f t="shared" si="22"/>
        <v>-9</v>
      </c>
      <c r="O99" s="1">
        <f t="shared" si="23"/>
        <v>28</v>
      </c>
      <c r="P99" s="1"/>
      <c r="Q99" s="1">
        <v>0</v>
      </c>
      <c r="R99" s="1"/>
      <c r="S99" s="1"/>
      <c r="T99" s="1"/>
      <c r="U99" s="1"/>
      <c r="V99" s="1">
        <v>0</v>
      </c>
      <c r="W99" s="1"/>
      <c r="X99" s="1"/>
      <c r="Y99" s="1"/>
      <c r="Z99" s="1">
        <f>O99/5</f>
        <v>5.6</v>
      </c>
      <c r="AA99" s="5">
        <f>11*Z99-Y99-X99-W99-V99-U99-T99-S99-R99-Q99-H99</f>
        <v>10.599999999999994</v>
      </c>
      <c r="AB99" s="5">
        <f t="shared" si="24"/>
        <v>10.599999999999994</v>
      </c>
      <c r="AC99" s="5">
        <f>AB99-AD99</f>
        <v>10.599999999999994</v>
      </c>
      <c r="AD99" s="5"/>
      <c r="AE99" s="1"/>
      <c r="AF99" s="1"/>
      <c r="AG99" s="1">
        <f>(H99+Q99+R99+S99+T99+U99+V99+W99+X99+Y99+AC99+AD99)/Z99</f>
        <v>11</v>
      </c>
      <c r="AH99" s="1">
        <f>(H99+Q99+R99+S99+T99+U99+V99+W99+X99+Y99)/Z99</f>
        <v>9.1071428571428577</v>
      </c>
      <c r="AI99" s="1">
        <v>4.2</v>
      </c>
      <c r="AJ99" s="1">
        <v>6.4</v>
      </c>
      <c r="AK99" s="1">
        <v>8.8000000000000007</v>
      </c>
      <c r="AL99" s="1">
        <v>6</v>
      </c>
      <c r="AM99" s="1">
        <v>1.6</v>
      </c>
      <c r="AN99" s="1">
        <v>2.2000000000000002</v>
      </c>
      <c r="AO99" s="1">
        <v>6.8</v>
      </c>
      <c r="AP99" s="1">
        <v>8.1999999999999993</v>
      </c>
      <c r="AQ99" s="1"/>
      <c r="AR99" s="1">
        <f>ROUND(I99*AC99,0)</f>
        <v>3</v>
      </c>
      <c r="AS99" s="1">
        <f>ROUND(I99*AD99,0)</f>
        <v>0</v>
      </c>
      <c r="AT99" s="1"/>
      <c r="AU99" s="1"/>
      <c r="AV99" s="1"/>
      <c r="AW99" s="1"/>
      <c r="AX99" s="1"/>
      <c r="AY99" s="1"/>
      <c r="AZ99" s="1"/>
      <c r="BA99" s="1"/>
      <c r="BB99" s="1"/>
    </row>
    <row r="100" spans="1:54" x14ac:dyDescent="0.25">
      <c r="A100" s="1" t="s">
        <v>149</v>
      </c>
      <c r="B100" s="1" t="s">
        <v>48</v>
      </c>
      <c r="C100" s="1">
        <v>15</v>
      </c>
      <c r="D100" s="1">
        <v>479</v>
      </c>
      <c r="E100" s="1">
        <v>102</v>
      </c>
      <c r="F100" s="1">
        <v>18</v>
      </c>
      <c r="G100" s="1"/>
      <c r="H100" s="1">
        <f t="shared" si="21"/>
        <v>18</v>
      </c>
      <c r="I100" s="7">
        <v>7.0000000000000007E-2</v>
      </c>
      <c r="J100" s="1">
        <v>90</v>
      </c>
      <c r="K100" s="11" t="s">
        <v>53</v>
      </c>
      <c r="L100" s="1"/>
      <c r="M100" s="1">
        <v>242</v>
      </c>
      <c r="N100" s="1">
        <f t="shared" si="22"/>
        <v>-140</v>
      </c>
      <c r="O100" s="1">
        <f t="shared" si="23"/>
        <v>102</v>
      </c>
      <c r="P100" s="1"/>
      <c r="Q100" s="1">
        <v>0</v>
      </c>
      <c r="R100" s="1"/>
      <c r="S100" s="1"/>
      <c r="T100" s="1"/>
      <c r="U100" s="1"/>
      <c r="V100" s="1">
        <v>90.199999999999989</v>
      </c>
      <c r="W100" s="1">
        <v>-89.999999999999986</v>
      </c>
      <c r="X100" s="1"/>
      <c r="Y100" s="1">
        <v>50</v>
      </c>
      <c r="Z100" s="1">
        <f>O100/5</f>
        <v>20.399999999999999</v>
      </c>
      <c r="AA100" s="5">
        <v>100</v>
      </c>
      <c r="AB100" s="5">
        <f t="shared" ref="AB100:AB102" si="33">AA100*1.3</f>
        <v>130</v>
      </c>
      <c r="AC100" s="5">
        <f t="shared" ref="AC100:AC102" si="34">AB100</f>
        <v>130</v>
      </c>
      <c r="AD100" s="5"/>
      <c r="AE100" s="1">
        <v>200</v>
      </c>
      <c r="AF100" s="1" t="s">
        <v>197</v>
      </c>
      <c r="AG100" s="1">
        <f>(H100+Q100+R100+S100+T100+U100+V100+W100+X100+Y100+AC100+AD100)/Z100</f>
        <v>9.7156862745098032</v>
      </c>
      <c r="AH100" s="1">
        <f>(H100+Q100+R100+S100+T100+U100+V100+W100+X100+Y100)/Z100</f>
        <v>3.3431372549019613</v>
      </c>
      <c r="AI100" s="1">
        <v>12.6</v>
      </c>
      <c r="AJ100" s="1">
        <v>0.4</v>
      </c>
      <c r="AK100" s="1">
        <v>3</v>
      </c>
      <c r="AL100" s="1">
        <v>4.8</v>
      </c>
      <c r="AM100" s="1">
        <v>17.399999999999999</v>
      </c>
      <c r="AN100" s="1">
        <v>32</v>
      </c>
      <c r="AO100" s="1">
        <v>45.8</v>
      </c>
      <c r="AP100" s="1">
        <v>47.2</v>
      </c>
      <c r="AQ100" s="1"/>
      <c r="AR100" s="1">
        <f>ROUND(I100*AC100,0)</f>
        <v>9</v>
      </c>
      <c r="AS100" s="1">
        <f>ROUND(I100*AD100,0)</f>
        <v>0</v>
      </c>
      <c r="AT100" s="1"/>
      <c r="AU100" s="1"/>
      <c r="AV100" s="1"/>
      <c r="AW100" s="1"/>
      <c r="AX100" s="1"/>
      <c r="AY100" s="1"/>
      <c r="AZ100" s="1"/>
      <c r="BA100" s="1"/>
      <c r="BB100" s="1"/>
    </row>
    <row r="101" spans="1:54" x14ac:dyDescent="0.25">
      <c r="A101" s="1" t="s">
        <v>150</v>
      </c>
      <c r="B101" s="1" t="s">
        <v>48</v>
      </c>
      <c r="C101" s="1">
        <v>-12</v>
      </c>
      <c r="D101" s="1">
        <v>812</v>
      </c>
      <c r="E101" s="1">
        <v>138</v>
      </c>
      <c r="F101" s="1">
        <v>96</v>
      </c>
      <c r="G101" s="1"/>
      <c r="H101" s="1">
        <f t="shared" si="21"/>
        <v>96</v>
      </c>
      <c r="I101" s="7">
        <v>7.0000000000000007E-2</v>
      </c>
      <c r="J101" s="1">
        <v>90</v>
      </c>
      <c r="K101" s="11" t="s">
        <v>53</v>
      </c>
      <c r="L101" s="1"/>
      <c r="M101" s="1">
        <v>169</v>
      </c>
      <c r="N101" s="1">
        <f t="shared" si="22"/>
        <v>-31</v>
      </c>
      <c r="O101" s="1">
        <f t="shared" si="23"/>
        <v>138</v>
      </c>
      <c r="P101" s="1"/>
      <c r="Q101" s="1">
        <v>154.3000000000001</v>
      </c>
      <c r="R101" s="1"/>
      <c r="S101" s="1"/>
      <c r="T101" s="1"/>
      <c r="U101" s="1"/>
      <c r="V101" s="1">
        <v>145.09999999999991</v>
      </c>
      <c r="W101" s="1">
        <v>-144</v>
      </c>
      <c r="X101" s="1"/>
      <c r="Y101" s="1"/>
      <c r="Z101" s="1">
        <f>O101/5</f>
        <v>27.6</v>
      </c>
      <c r="AA101" s="5">
        <v>100</v>
      </c>
      <c r="AB101" s="5">
        <f t="shared" si="33"/>
        <v>130</v>
      </c>
      <c r="AC101" s="5">
        <f t="shared" si="34"/>
        <v>130</v>
      </c>
      <c r="AD101" s="5"/>
      <c r="AE101" s="1"/>
      <c r="AF101" s="1"/>
      <c r="AG101" s="1">
        <f>(H101+Q101+R101+S101+T101+U101+V101+W101+X101+Y101+AC101+AD101)/Z101</f>
        <v>13.818840579710143</v>
      </c>
      <c r="AH101" s="1">
        <f>(H101+Q101+R101+S101+T101+U101+V101+W101+X101+Y101)/Z101</f>
        <v>9.1086956521739122</v>
      </c>
      <c r="AI101" s="1">
        <v>35.200000000000003</v>
      </c>
      <c r="AJ101" s="1">
        <v>34.200000000000003</v>
      </c>
      <c r="AK101" s="1">
        <v>44.6</v>
      </c>
      <c r="AL101" s="1">
        <v>28.2</v>
      </c>
      <c r="AM101" s="1">
        <v>6.6</v>
      </c>
      <c r="AN101" s="1">
        <v>30</v>
      </c>
      <c r="AO101" s="1">
        <v>51.8</v>
      </c>
      <c r="AP101" s="1">
        <v>48</v>
      </c>
      <c r="AQ101" s="1"/>
      <c r="AR101" s="1">
        <f>ROUND(I101*AC101,0)</f>
        <v>9</v>
      </c>
      <c r="AS101" s="1">
        <f>ROUND(I101*AD101,0)</f>
        <v>0</v>
      </c>
      <c r="AT101" s="1"/>
      <c r="AU101" s="1"/>
      <c r="AV101" s="1"/>
      <c r="AW101" s="1"/>
      <c r="AX101" s="1"/>
      <c r="AY101" s="1"/>
      <c r="AZ101" s="1"/>
      <c r="BA101" s="1"/>
      <c r="BB101" s="1"/>
    </row>
    <row r="102" spans="1:54" x14ac:dyDescent="0.25">
      <c r="A102" s="1" t="s">
        <v>151</v>
      </c>
      <c r="B102" s="1" t="s">
        <v>48</v>
      </c>
      <c r="C102" s="1">
        <v>135</v>
      </c>
      <c r="D102" s="1">
        <v>761</v>
      </c>
      <c r="E102" s="1">
        <v>190</v>
      </c>
      <c r="F102" s="1">
        <v>66</v>
      </c>
      <c r="G102" s="1"/>
      <c r="H102" s="1">
        <f t="shared" ref="H102:H133" si="35">F102-G102</f>
        <v>66</v>
      </c>
      <c r="I102" s="7">
        <v>7.0000000000000007E-2</v>
      </c>
      <c r="J102" s="1">
        <v>90</v>
      </c>
      <c r="K102" s="11" t="s">
        <v>53</v>
      </c>
      <c r="L102" s="1"/>
      <c r="M102" s="1">
        <v>233</v>
      </c>
      <c r="N102" s="1">
        <f t="shared" ref="N102:N133" si="36">E102-M102</f>
        <v>-43</v>
      </c>
      <c r="O102" s="1">
        <f t="shared" ref="O102:O133" si="37">E102-P102</f>
        <v>190</v>
      </c>
      <c r="P102" s="1"/>
      <c r="Q102" s="1">
        <v>50</v>
      </c>
      <c r="R102" s="1"/>
      <c r="S102" s="1"/>
      <c r="T102" s="1"/>
      <c r="U102" s="1"/>
      <c r="V102" s="1">
        <v>383.2</v>
      </c>
      <c r="W102" s="1"/>
      <c r="X102" s="1"/>
      <c r="Y102" s="1"/>
      <c r="Z102" s="1">
        <f>O102/5</f>
        <v>38</v>
      </c>
      <c r="AA102" s="5">
        <v>50</v>
      </c>
      <c r="AB102" s="5">
        <f t="shared" si="33"/>
        <v>65</v>
      </c>
      <c r="AC102" s="5">
        <f t="shared" si="34"/>
        <v>65</v>
      </c>
      <c r="AD102" s="5"/>
      <c r="AE102" s="1">
        <v>150</v>
      </c>
      <c r="AF102" s="1" t="str">
        <f>VLOOKUP(A102,[2]Лист1!$A:$B,2,0)</f>
        <v>до 150 шт</v>
      </c>
      <c r="AG102" s="1">
        <f>(H102+Q102+R102+S102+T102+U102+V102+W102+X102+Y102+AC102+AD102)/Z102</f>
        <v>14.847368421052632</v>
      </c>
      <c r="AH102" s="1">
        <f>(H102+Q102+R102+S102+T102+U102+V102+W102+X102+Y102)/Z102</f>
        <v>13.136842105263158</v>
      </c>
      <c r="AI102" s="1">
        <v>42.6</v>
      </c>
      <c r="AJ102" s="1">
        <v>11.4</v>
      </c>
      <c r="AK102" s="1">
        <v>17.8</v>
      </c>
      <c r="AL102" s="1">
        <v>18.2</v>
      </c>
      <c r="AM102" s="1">
        <v>23</v>
      </c>
      <c r="AN102" s="1">
        <v>39.200000000000003</v>
      </c>
      <c r="AO102" s="1">
        <v>42</v>
      </c>
      <c r="AP102" s="1">
        <v>40.799999999999997</v>
      </c>
      <c r="AQ102" s="1"/>
      <c r="AR102" s="1">
        <f>ROUND(I102*AC102,0)</f>
        <v>5</v>
      </c>
      <c r="AS102" s="1">
        <f>ROUND(I102*AD102,0)</f>
        <v>0</v>
      </c>
      <c r="AT102" s="1"/>
      <c r="AU102" s="1"/>
      <c r="AV102" s="1"/>
      <c r="AW102" s="1"/>
      <c r="AX102" s="1"/>
      <c r="AY102" s="1"/>
      <c r="AZ102" s="1"/>
      <c r="BA102" s="1"/>
      <c r="BB102" s="1"/>
    </row>
    <row r="103" spans="1:54" x14ac:dyDescent="0.25">
      <c r="A103" s="12" t="s">
        <v>152</v>
      </c>
      <c r="B103" s="12" t="s">
        <v>48</v>
      </c>
      <c r="C103" s="12">
        <v>4</v>
      </c>
      <c r="D103" s="12">
        <v>17</v>
      </c>
      <c r="E103" s="12">
        <v>-2</v>
      </c>
      <c r="F103" s="12"/>
      <c r="G103" s="12"/>
      <c r="H103" s="12">
        <f t="shared" si="35"/>
        <v>0</v>
      </c>
      <c r="I103" s="13">
        <v>0</v>
      </c>
      <c r="J103" s="12">
        <v>90</v>
      </c>
      <c r="K103" s="12" t="s">
        <v>56</v>
      </c>
      <c r="L103" s="12"/>
      <c r="M103" s="12">
        <v>40</v>
      </c>
      <c r="N103" s="12">
        <f t="shared" si="36"/>
        <v>-42</v>
      </c>
      <c r="O103" s="12">
        <f t="shared" si="37"/>
        <v>-2</v>
      </c>
      <c r="P103" s="12"/>
      <c r="Q103" s="12">
        <v>0</v>
      </c>
      <c r="R103" s="12"/>
      <c r="S103" s="12"/>
      <c r="T103" s="12"/>
      <c r="U103" s="12"/>
      <c r="V103" s="12">
        <v>0</v>
      </c>
      <c r="W103" s="12"/>
      <c r="X103" s="12"/>
      <c r="Y103" s="12"/>
      <c r="Z103" s="12">
        <f>O103/5</f>
        <v>-0.4</v>
      </c>
      <c r="AA103" s="14"/>
      <c r="AB103" s="5">
        <f t="shared" si="24"/>
        <v>0</v>
      </c>
      <c r="AC103" s="5"/>
      <c r="AD103" s="5"/>
      <c r="AE103" s="12"/>
      <c r="AF103" s="1"/>
      <c r="AG103" s="1">
        <f>(H103+Q103+R103+S103+T103+U103+V103+W103+X103+Y103+AC103+AD103)/Z103</f>
        <v>0</v>
      </c>
      <c r="AH103" s="12">
        <f>(H103+Q103+R103+S103+T103+U103+V103+W103+X103+Y103)/Z103</f>
        <v>0</v>
      </c>
      <c r="AI103" s="12">
        <v>-0.4</v>
      </c>
      <c r="AJ103" s="12">
        <v>-0.4</v>
      </c>
      <c r="AK103" s="12">
        <v>-0.6</v>
      </c>
      <c r="AL103" s="12">
        <v>-0.2</v>
      </c>
      <c r="AM103" s="12">
        <v>0</v>
      </c>
      <c r="AN103" s="12">
        <v>-0.2</v>
      </c>
      <c r="AO103" s="12">
        <v>-0.2</v>
      </c>
      <c r="AP103" s="12">
        <v>0</v>
      </c>
      <c r="AQ103" s="12"/>
      <c r="AR103" s="1">
        <f>ROUND(I103*AC103,0)</f>
        <v>0</v>
      </c>
      <c r="AS103" s="1">
        <f>ROUND(I103*AD103,0)</f>
        <v>0</v>
      </c>
      <c r="AT103" s="1"/>
      <c r="AU103" s="1"/>
      <c r="AV103" s="1"/>
      <c r="AW103" s="1"/>
      <c r="AX103" s="1"/>
      <c r="AY103" s="1"/>
      <c r="AZ103" s="1"/>
      <c r="BA103" s="1"/>
      <c r="BB103" s="1"/>
    </row>
    <row r="104" spans="1:54" x14ac:dyDescent="0.25">
      <c r="A104" s="1" t="s">
        <v>153</v>
      </c>
      <c r="B104" s="1" t="s">
        <v>48</v>
      </c>
      <c r="C104" s="1">
        <v>52</v>
      </c>
      <c r="D104" s="1">
        <v>62</v>
      </c>
      <c r="E104" s="1">
        <v>32</v>
      </c>
      <c r="F104" s="1">
        <v>22</v>
      </c>
      <c r="G104" s="1"/>
      <c r="H104" s="1">
        <f t="shared" si="35"/>
        <v>22</v>
      </c>
      <c r="I104" s="7">
        <v>0.3</v>
      </c>
      <c r="J104" s="1">
        <v>40</v>
      </c>
      <c r="K104" s="1" t="s">
        <v>43</v>
      </c>
      <c r="L104" s="1"/>
      <c r="M104" s="1">
        <v>33</v>
      </c>
      <c r="N104" s="1">
        <f t="shared" si="36"/>
        <v>-1</v>
      </c>
      <c r="O104" s="1">
        <f t="shared" si="37"/>
        <v>32</v>
      </c>
      <c r="P104" s="1"/>
      <c r="Q104" s="1">
        <v>0</v>
      </c>
      <c r="R104" s="1"/>
      <c r="S104" s="1"/>
      <c r="T104" s="1"/>
      <c r="U104" s="1"/>
      <c r="V104" s="1">
        <v>4.4000000000000057</v>
      </c>
      <c r="W104" s="1"/>
      <c r="X104" s="1"/>
      <c r="Y104" s="1"/>
      <c r="Z104" s="1">
        <f>O104/5</f>
        <v>6.4</v>
      </c>
      <c r="AA104" s="5">
        <f>11*Z104-Y104-X104-W104-V104-U104-T104-S104-R104-Q104-H104</f>
        <v>44</v>
      </c>
      <c r="AB104" s="5">
        <f t="shared" si="24"/>
        <v>44</v>
      </c>
      <c r="AC104" s="5">
        <f>AB104-AD104</f>
        <v>44</v>
      </c>
      <c r="AD104" s="5"/>
      <c r="AE104" s="1"/>
      <c r="AF104" s="1"/>
      <c r="AG104" s="1">
        <f>(H104+Q104+R104+S104+T104+U104+V104+W104+X104+Y104+AC104+AD104)/Z104</f>
        <v>11</v>
      </c>
      <c r="AH104" s="1">
        <f>(H104+Q104+R104+S104+T104+U104+V104+W104+X104+Y104)/Z104</f>
        <v>4.1250000000000009</v>
      </c>
      <c r="AI104" s="1">
        <v>4.2</v>
      </c>
      <c r="AJ104" s="1">
        <v>4</v>
      </c>
      <c r="AK104" s="1">
        <v>2.4</v>
      </c>
      <c r="AL104" s="1">
        <v>2.4</v>
      </c>
      <c r="AM104" s="1">
        <v>6.8</v>
      </c>
      <c r="AN104" s="1">
        <v>4.2</v>
      </c>
      <c r="AO104" s="1">
        <v>1.2</v>
      </c>
      <c r="AP104" s="1">
        <v>3.4</v>
      </c>
      <c r="AQ104" s="1"/>
      <c r="AR104" s="1">
        <f>ROUND(I104*AC104,0)</f>
        <v>13</v>
      </c>
      <c r="AS104" s="1">
        <f>ROUND(I104*AD104,0)</f>
        <v>0</v>
      </c>
      <c r="AT104" s="1"/>
      <c r="AU104" s="1"/>
      <c r="AV104" s="1"/>
      <c r="AW104" s="1"/>
      <c r="AX104" s="1"/>
      <c r="AY104" s="1"/>
      <c r="AZ104" s="1"/>
      <c r="BA104" s="1"/>
      <c r="BB104" s="1"/>
    </row>
    <row r="105" spans="1:54" x14ac:dyDescent="0.25">
      <c r="A105" s="1" t="s">
        <v>154</v>
      </c>
      <c r="B105" s="1" t="s">
        <v>42</v>
      </c>
      <c r="C105" s="1">
        <v>-2.5</v>
      </c>
      <c r="D105" s="1">
        <v>58.109000000000002</v>
      </c>
      <c r="E105" s="1">
        <v>12.78</v>
      </c>
      <c r="F105" s="1">
        <v>33.872999999999998</v>
      </c>
      <c r="G105" s="1"/>
      <c r="H105" s="1">
        <f t="shared" si="35"/>
        <v>33.872999999999998</v>
      </c>
      <c r="I105" s="7">
        <v>1</v>
      </c>
      <c r="J105" s="1">
        <v>55</v>
      </c>
      <c r="K105" s="11" t="s">
        <v>53</v>
      </c>
      <c r="L105" s="1"/>
      <c r="M105" s="1">
        <v>14.5</v>
      </c>
      <c r="N105" s="1">
        <f t="shared" si="36"/>
        <v>-1.7200000000000006</v>
      </c>
      <c r="O105" s="1">
        <f t="shared" si="37"/>
        <v>12.78</v>
      </c>
      <c r="P105" s="1"/>
      <c r="Q105" s="1">
        <v>5</v>
      </c>
      <c r="R105" s="1"/>
      <c r="S105" s="1"/>
      <c r="T105" s="1"/>
      <c r="U105" s="1"/>
      <c r="V105" s="1">
        <v>0</v>
      </c>
      <c r="W105" s="1"/>
      <c r="X105" s="1"/>
      <c r="Y105" s="1"/>
      <c r="Z105" s="1">
        <f>O105/5</f>
        <v>2.556</v>
      </c>
      <c r="AA105" s="5"/>
      <c r="AB105" s="5">
        <f>AA105*1.3</f>
        <v>0</v>
      </c>
      <c r="AC105" s="5">
        <f>AB105</f>
        <v>0</v>
      </c>
      <c r="AD105" s="5"/>
      <c r="AE105" s="1"/>
      <c r="AF105" s="1"/>
      <c r="AG105" s="1">
        <f>(H105+Q105+R105+S105+T105+U105+V105+W105+X105+Y105+AC105+AD105)/Z105</f>
        <v>15.208528951486697</v>
      </c>
      <c r="AH105" s="1">
        <f>(H105+Q105+R105+S105+T105+U105+V105+W105+X105+Y105)/Z105</f>
        <v>15.208528951486697</v>
      </c>
      <c r="AI105" s="1">
        <v>2.0268000000000002</v>
      </c>
      <c r="AJ105" s="1">
        <v>3.2402000000000002</v>
      </c>
      <c r="AK105" s="1">
        <v>3.1644000000000001</v>
      </c>
      <c r="AL105" s="1">
        <v>1.3438000000000001</v>
      </c>
      <c r="AM105" s="1">
        <v>1.5089999999999999</v>
      </c>
      <c r="AN105" s="1">
        <v>4.0606</v>
      </c>
      <c r="AO105" s="1">
        <v>3.5045999999999999</v>
      </c>
      <c r="AP105" s="1">
        <v>1.7738</v>
      </c>
      <c r="AQ105" s="1"/>
      <c r="AR105" s="1">
        <f>ROUND(I105*AC105,0)</f>
        <v>0</v>
      </c>
      <c r="AS105" s="1">
        <f>ROUND(I105*AD105,0)</f>
        <v>0</v>
      </c>
      <c r="AT105" s="1"/>
      <c r="AU105" s="1"/>
      <c r="AV105" s="1"/>
      <c r="AW105" s="1"/>
      <c r="AX105" s="1"/>
      <c r="AY105" s="1"/>
      <c r="AZ105" s="1"/>
      <c r="BA105" s="1"/>
      <c r="BB105" s="1"/>
    </row>
    <row r="106" spans="1:54" x14ac:dyDescent="0.25">
      <c r="A106" s="1" t="s">
        <v>155</v>
      </c>
      <c r="B106" s="1" t="s">
        <v>48</v>
      </c>
      <c r="C106" s="1">
        <v>330</v>
      </c>
      <c r="D106" s="1">
        <v>880</v>
      </c>
      <c r="E106" s="1">
        <v>163</v>
      </c>
      <c r="F106" s="1">
        <v>412</v>
      </c>
      <c r="G106" s="1"/>
      <c r="H106" s="1">
        <f t="shared" si="35"/>
        <v>412</v>
      </c>
      <c r="I106" s="7">
        <v>0.11</v>
      </c>
      <c r="J106" s="1">
        <v>30</v>
      </c>
      <c r="K106" s="1" t="s">
        <v>43</v>
      </c>
      <c r="L106" s="1"/>
      <c r="M106" s="1">
        <v>285</v>
      </c>
      <c r="N106" s="1">
        <f t="shared" si="36"/>
        <v>-122</v>
      </c>
      <c r="O106" s="1">
        <f t="shared" si="37"/>
        <v>163</v>
      </c>
      <c r="P106" s="1"/>
      <c r="Q106" s="1">
        <v>0</v>
      </c>
      <c r="R106" s="1"/>
      <c r="S106" s="1"/>
      <c r="T106" s="1"/>
      <c r="U106" s="1"/>
      <c r="V106" s="1">
        <v>39</v>
      </c>
      <c r="W106" s="1"/>
      <c r="X106" s="1"/>
      <c r="Y106" s="1"/>
      <c r="Z106" s="1">
        <f>O106/5</f>
        <v>32.6</v>
      </c>
      <c r="AA106" s="5"/>
      <c r="AB106" s="5">
        <f t="shared" si="24"/>
        <v>0</v>
      </c>
      <c r="AC106" s="5"/>
      <c r="AD106" s="5"/>
      <c r="AE106" s="1"/>
      <c r="AF106" s="1"/>
      <c r="AG106" s="1">
        <f>(H106+Q106+R106+S106+T106+U106+V106+W106+X106+Y106+AC106+AD106)/Z106</f>
        <v>13.834355828220858</v>
      </c>
      <c r="AH106" s="1">
        <f>(H106+Q106+R106+S106+T106+U106+V106+W106+X106+Y106)/Z106</f>
        <v>13.834355828220858</v>
      </c>
      <c r="AI106" s="1">
        <v>33</v>
      </c>
      <c r="AJ106" s="1">
        <v>11.2</v>
      </c>
      <c r="AK106" s="1">
        <v>28.2</v>
      </c>
      <c r="AL106" s="1">
        <v>51.2</v>
      </c>
      <c r="AM106" s="1">
        <v>43.4</v>
      </c>
      <c r="AN106" s="1">
        <v>17</v>
      </c>
      <c r="AO106" s="1">
        <v>11.6</v>
      </c>
      <c r="AP106" s="1">
        <v>20.399999999999999</v>
      </c>
      <c r="AQ106" s="1"/>
      <c r="AR106" s="1">
        <f>ROUND(I106*AC106,0)</f>
        <v>0</v>
      </c>
      <c r="AS106" s="1">
        <f>ROUND(I106*AD106,0)</f>
        <v>0</v>
      </c>
      <c r="AT106" s="1"/>
      <c r="AU106" s="1"/>
      <c r="AV106" s="1"/>
      <c r="AW106" s="1"/>
      <c r="AX106" s="1"/>
      <c r="AY106" s="1"/>
      <c r="AZ106" s="1"/>
      <c r="BA106" s="1"/>
      <c r="BB106" s="1"/>
    </row>
    <row r="107" spans="1:54" x14ac:dyDescent="0.25">
      <c r="A107" s="12" t="s">
        <v>156</v>
      </c>
      <c r="B107" s="12" t="s">
        <v>48</v>
      </c>
      <c r="C107" s="12"/>
      <c r="D107" s="12"/>
      <c r="E107" s="12"/>
      <c r="F107" s="12"/>
      <c r="G107" s="12"/>
      <c r="H107" s="12">
        <f t="shared" si="35"/>
        <v>0</v>
      </c>
      <c r="I107" s="13">
        <v>0</v>
      </c>
      <c r="J107" s="12"/>
      <c r="K107" s="12" t="s">
        <v>43</v>
      </c>
      <c r="L107" s="12"/>
      <c r="M107" s="12"/>
      <c r="N107" s="12">
        <f t="shared" si="36"/>
        <v>0</v>
      </c>
      <c r="O107" s="12">
        <f t="shared" si="37"/>
        <v>0</v>
      </c>
      <c r="P107" s="12"/>
      <c r="Q107" s="12">
        <v>0</v>
      </c>
      <c r="R107" s="12"/>
      <c r="S107" s="12"/>
      <c r="T107" s="12"/>
      <c r="U107" s="12"/>
      <c r="V107" s="12">
        <v>0</v>
      </c>
      <c r="W107" s="12"/>
      <c r="X107" s="12"/>
      <c r="Y107" s="12"/>
      <c r="Z107" s="12">
        <f>O107/5</f>
        <v>0</v>
      </c>
      <c r="AA107" s="14"/>
      <c r="AB107" s="5">
        <f t="shared" si="24"/>
        <v>0</v>
      </c>
      <c r="AC107" s="5"/>
      <c r="AD107" s="5"/>
      <c r="AE107" s="12"/>
      <c r="AF107" s="1"/>
      <c r="AG107" s="1" t="e">
        <f>(H107+Q107+R107+S107+T107+U107+V107+W107+X107+Y107+AC107+AD107)/Z107</f>
        <v>#DIV/0!</v>
      </c>
      <c r="AH107" s="12" t="e">
        <f>(H107+Q107+R107+S107+T107+U107+V107+W107+X107+Y107)/Z107</f>
        <v>#DIV/0!</v>
      </c>
      <c r="AI107" s="12">
        <v>0</v>
      </c>
      <c r="AJ107" s="12">
        <v>0</v>
      </c>
      <c r="AK107" s="12">
        <v>0</v>
      </c>
      <c r="AL107" s="12">
        <v>0</v>
      </c>
      <c r="AM107" s="12">
        <v>0</v>
      </c>
      <c r="AN107" s="12">
        <v>0</v>
      </c>
      <c r="AO107" s="12">
        <v>0</v>
      </c>
      <c r="AP107" s="12">
        <v>0</v>
      </c>
      <c r="AQ107" s="12" t="s">
        <v>65</v>
      </c>
      <c r="AR107" s="1">
        <f>ROUND(I107*AC107,0)</f>
        <v>0</v>
      </c>
      <c r="AS107" s="1">
        <f>ROUND(I107*AD107,0)</f>
        <v>0</v>
      </c>
      <c r="AT107" s="1"/>
      <c r="AU107" s="1"/>
      <c r="AV107" s="1"/>
      <c r="AW107" s="1"/>
      <c r="AX107" s="1"/>
      <c r="AY107" s="1"/>
      <c r="AZ107" s="1"/>
      <c r="BA107" s="1"/>
      <c r="BB107" s="1"/>
    </row>
    <row r="108" spans="1:54" x14ac:dyDescent="0.25">
      <c r="A108" s="1" t="s">
        <v>157</v>
      </c>
      <c r="B108" s="1" t="s">
        <v>48</v>
      </c>
      <c r="C108" s="1">
        <v>419</v>
      </c>
      <c r="D108" s="1">
        <v>1761</v>
      </c>
      <c r="E108" s="1">
        <v>275</v>
      </c>
      <c r="F108" s="1">
        <v>641</v>
      </c>
      <c r="G108" s="1"/>
      <c r="H108" s="1">
        <f t="shared" si="35"/>
        <v>641</v>
      </c>
      <c r="I108" s="7">
        <v>0.08</v>
      </c>
      <c r="J108" s="1">
        <v>45</v>
      </c>
      <c r="K108" s="1" t="s">
        <v>43</v>
      </c>
      <c r="L108" s="1"/>
      <c r="M108" s="1">
        <v>327</v>
      </c>
      <c r="N108" s="1">
        <f t="shared" si="36"/>
        <v>-52</v>
      </c>
      <c r="O108" s="1">
        <f t="shared" si="37"/>
        <v>275</v>
      </c>
      <c r="P108" s="1"/>
      <c r="Q108" s="1">
        <v>0</v>
      </c>
      <c r="R108" s="1"/>
      <c r="S108" s="1"/>
      <c r="T108" s="1"/>
      <c r="U108" s="1"/>
      <c r="V108" s="1">
        <v>88.400000000000091</v>
      </c>
      <c r="W108" s="1"/>
      <c r="X108" s="1"/>
      <c r="Y108" s="1"/>
      <c r="Z108" s="1">
        <f>O108/5</f>
        <v>55</v>
      </c>
      <c r="AA108" s="5"/>
      <c r="AB108" s="5">
        <f t="shared" si="24"/>
        <v>0</v>
      </c>
      <c r="AC108" s="5"/>
      <c r="AD108" s="5"/>
      <c r="AE108" s="1"/>
      <c r="AF108" s="1"/>
      <c r="AG108" s="1">
        <f>(H108+Q108+R108+S108+T108+U108+V108+W108+X108+Y108+AC108+AD108)/Z108</f>
        <v>13.261818181818184</v>
      </c>
      <c r="AH108" s="1">
        <f>(H108+Q108+R108+S108+T108+U108+V108+W108+X108+Y108)/Z108</f>
        <v>13.261818181818184</v>
      </c>
      <c r="AI108" s="1">
        <v>67.2</v>
      </c>
      <c r="AJ108" s="1">
        <v>78.400000000000006</v>
      </c>
      <c r="AK108" s="1">
        <v>93.4</v>
      </c>
      <c r="AL108" s="1">
        <v>89.4</v>
      </c>
      <c r="AM108" s="1">
        <v>91.2</v>
      </c>
      <c r="AN108" s="1">
        <v>65.8</v>
      </c>
      <c r="AO108" s="1">
        <v>55.2</v>
      </c>
      <c r="AP108" s="1">
        <v>52</v>
      </c>
      <c r="AQ108" s="1"/>
      <c r="AR108" s="1">
        <f>ROUND(I108*AC108,0)</f>
        <v>0</v>
      </c>
      <c r="AS108" s="1">
        <f>ROUND(I108*AD108,0)</f>
        <v>0</v>
      </c>
      <c r="AT108" s="1"/>
      <c r="AU108" s="1"/>
      <c r="AV108" s="1"/>
      <c r="AW108" s="1"/>
      <c r="AX108" s="1"/>
      <c r="AY108" s="1"/>
      <c r="AZ108" s="1"/>
      <c r="BA108" s="1"/>
      <c r="BB108" s="1"/>
    </row>
    <row r="109" spans="1:54" x14ac:dyDescent="0.25">
      <c r="A109" s="1" t="s">
        <v>158</v>
      </c>
      <c r="B109" s="1" t="s">
        <v>48</v>
      </c>
      <c r="C109" s="1">
        <v>423</v>
      </c>
      <c r="D109" s="1">
        <v>1858</v>
      </c>
      <c r="E109" s="1">
        <v>205</v>
      </c>
      <c r="F109" s="1">
        <v>723</v>
      </c>
      <c r="G109" s="1"/>
      <c r="H109" s="1">
        <f t="shared" si="35"/>
        <v>723</v>
      </c>
      <c r="I109" s="7">
        <v>0.08</v>
      </c>
      <c r="J109" s="1">
        <v>45</v>
      </c>
      <c r="K109" s="1" t="s">
        <v>43</v>
      </c>
      <c r="L109" s="1"/>
      <c r="M109" s="1">
        <v>253</v>
      </c>
      <c r="N109" s="1">
        <f t="shared" si="36"/>
        <v>-48</v>
      </c>
      <c r="O109" s="1">
        <f t="shared" si="37"/>
        <v>205</v>
      </c>
      <c r="P109" s="1"/>
      <c r="Q109" s="1">
        <v>0</v>
      </c>
      <c r="R109" s="1"/>
      <c r="S109" s="1"/>
      <c r="T109" s="1"/>
      <c r="U109" s="1"/>
      <c r="V109" s="1">
        <v>0</v>
      </c>
      <c r="W109" s="1"/>
      <c r="X109" s="1"/>
      <c r="Y109" s="1"/>
      <c r="Z109" s="1">
        <f>O109/5</f>
        <v>41</v>
      </c>
      <c r="AA109" s="5"/>
      <c r="AB109" s="5">
        <f t="shared" si="24"/>
        <v>0</v>
      </c>
      <c r="AC109" s="5"/>
      <c r="AD109" s="5"/>
      <c r="AE109" s="1"/>
      <c r="AF109" s="1"/>
      <c r="AG109" s="1">
        <f>(H109+Q109+R109+S109+T109+U109+V109+W109+X109+Y109+AC109+AD109)/Z109</f>
        <v>17.634146341463413</v>
      </c>
      <c r="AH109" s="1">
        <f>(H109+Q109+R109+S109+T109+U109+V109+W109+X109+Y109)/Z109</f>
        <v>17.634146341463413</v>
      </c>
      <c r="AI109" s="1">
        <v>50.6</v>
      </c>
      <c r="AJ109" s="1">
        <v>60.4</v>
      </c>
      <c r="AK109" s="1">
        <v>86.8</v>
      </c>
      <c r="AL109" s="1">
        <v>88.8</v>
      </c>
      <c r="AM109" s="1">
        <v>80</v>
      </c>
      <c r="AN109" s="1">
        <v>44.6</v>
      </c>
      <c r="AO109" s="1">
        <v>42</v>
      </c>
      <c r="AP109" s="1">
        <v>44.6</v>
      </c>
      <c r="AQ109" s="1"/>
      <c r="AR109" s="1">
        <f>ROUND(I109*AC109,0)</f>
        <v>0</v>
      </c>
      <c r="AS109" s="1">
        <f>ROUND(I109*AD109,0)</f>
        <v>0</v>
      </c>
      <c r="AT109" s="1"/>
      <c r="AU109" s="1"/>
      <c r="AV109" s="1"/>
      <c r="AW109" s="1"/>
      <c r="AX109" s="1"/>
      <c r="AY109" s="1"/>
      <c r="AZ109" s="1"/>
      <c r="BA109" s="1"/>
      <c r="BB109" s="1"/>
    </row>
    <row r="110" spans="1:54" x14ac:dyDescent="0.25">
      <c r="A110" s="1" t="s">
        <v>159</v>
      </c>
      <c r="B110" s="1" t="s">
        <v>48</v>
      </c>
      <c r="C110" s="1">
        <v>380</v>
      </c>
      <c r="D110" s="1">
        <v>925</v>
      </c>
      <c r="E110" s="1">
        <v>139</v>
      </c>
      <c r="F110" s="1">
        <v>381</v>
      </c>
      <c r="G110" s="1"/>
      <c r="H110" s="1">
        <f t="shared" si="35"/>
        <v>381</v>
      </c>
      <c r="I110" s="7">
        <v>0.17</v>
      </c>
      <c r="J110" s="1">
        <v>30</v>
      </c>
      <c r="K110" s="1" t="s">
        <v>43</v>
      </c>
      <c r="L110" s="1"/>
      <c r="M110" s="1">
        <v>225</v>
      </c>
      <c r="N110" s="1">
        <f t="shared" si="36"/>
        <v>-86</v>
      </c>
      <c r="O110" s="1">
        <f t="shared" si="37"/>
        <v>139</v>
      </c>
      <c r="P110" s="1"/>
      <c r="Q110" s="1">
        <v>0</v>
      </c>
      <c r="R110" s="1"/>
      <c r="S110" s="1"/>
      <c r="T110" s="1"/>
      <c r="U110" s="1"/>
      <c r="V110" s="1">
        <v>40.681199999999997</v>
      </c>
      <c r="W110" s="1">
        <v>-2</v>
      </c>
      <c r="X110" s="1"/>
      <c r="Y110" s="1">
        <v>75.318799999999996</v>
      </c>
      <c r="Z110" s="1">
        <f>O110/5</f>
        <v>27.8</v>
      </c>
      <c r="AA110" s="5"/>
      <c r="AB110" s="5">
        <f t="shared" si="24"/>
        <v>0</v>
      </c>
      <c r="AC110" s="5"/>
      <c r="AD110" s="5"/>
      <c r="AE110" s="1"/>
      <c r="AF110" s="1"/>
      <c r="AG110" s="1">
        <f>(H110+Q110+R110+S110+T110+U110+V110+W110+X110+Y110+AC110+AD110)/Z110</f>
        <v>17.805755395683452</v>
      </c>
      <c r="AH110" s="1">
        <f>(H110+Q110+R110+S110+T110+U110+V110+W110+X110+Y110)/Z110</f>
        <v>17.805755395683452</v>
      </c>
      <c r="AI110" s="1">
        <v>35</v>
      </c>
      <c r="AJ110" s="1">
        <v>11.4</v>
      </c>
      <c r="AK110" s="1">
        <v>28</v>
      </c>
      <c r="AL110" s="1">
        <v>48.4</v>
      </c>
      <c r="AM110" s="1">
        <v>49.4</v>
      </c>
      <c r="AN110" s="1">
        <v>25.6</v>
      </c>
      <c r="AO110" s="1">
        <v>19.2</v>
      </c>
      <c r="AP110" s="1">
        <v>25.8</v>
      </c>
      <c r="AQ110" s="1"/>
      <c r="AR110" s="1">
        <f>ROUND(I110*AC110,0)</f>
        <v>0</v>
      </c>
      <c r="AS110" s="1">
        <f>ROUND(I110*AD110,0)</f>
        <v>0</v>
      </c>
      <c r="AT110" s="1"/>
      <c r="AU110" s="1"/>
      <c r="AV110" s="1"/>
      <c r="AW110" s="1"/>
      <c r="AX110" s="1"/>
      <c r="AY110" s="1"/>
      <c r="AZ110" s="1"/>
      <c r="BA110" s="1"/>
      <c r="BB110" s="1"/>
    </row>
    <row r="111" spans="1:54" x14ac:dyDescent="0.25">
      <c r="A111" s="1" t="s">
        <v>160</v>
      </c>
      <c r="B111" s="1" t="s">
        <v>42</v>
      </c>
      <c r="C111" s="1">
        <v>-15.329000000000001</v>
      </c>
      <c r="D111" s="1">
        <v>857.26</v>
      </c>
      <c r="E111" s="1">
        <v>269.13299999999998</v>
      </c>
      <c r="F111" s="1">
        <v>38.948999999999998</v>
      </c>
      <c r="G111" s="1"/>
      <c r="H111" s="1">
        <f t="shared" si="35"/>
        <v>38.948999999999998</v>
      </c>
      <c r="I111" s="7">
        <v>1</v>
      </c>
      <c r="J111" s="1">
        <v>40</v>
      </c>
      <c r="K111" s="11" t="s">
        <v>53</v>
      </c>
      <c r="L111" s="1"/>
      <c r="M111" s="1">
        <v>385.06099999999998</v>
      </c>
      <c r="N111" s="1">
        <f t="shared" si="36"/>
        <v>-115.928</v>
      </c>
      <c r="O111" s="1">
        <f t="shared" si="37"/>
        <v>269.13299999999998</v>
      </c>
      <c r="P111" s="1"/>
      <c r="Q111" s="1">
        <v>106.3</v>
      </c>
      <c r="R111" s="1">
        <v>-109</v>
      </c>
      <c r="S111" s="1">
        <v>143.69999999999999</v>
      </c>
      <c r="T111" s="1">
        <v>-147</v>
      </c>
      <c r="U111" s="1"/>
      <c r="V111" s="1">
        <v>0</v>
      </c>
      <c r="W111" s="1"/>
      <c r="X111" s="1"/>
      <c r="Y111" s="1"/>
      <c r="Z111" s="1">
        <f>O111/5</f>
        <v>53.826599999999999</v>
      </c>
      <c r="AA111" s="5">
        <v>250</v>
      </c>
      <c r="AB111" s="5">
        <f t="shared" ref="AB111:AB113" si="38">AA111*1.3</f>
        <v>325</v>
      </c>
      <c r="AC111" s="5">
        <f t="shared" ref="AC111:AC113" si="39">AB111</f>
        <v>325</v>
      </c>
      <c r="AD111" s="5">
        <f>0.5*AB111</f>
        <v>162.5</v>
      </c>
      <c r="AE111" s="1">
        <v>300</v>
      </c>
      <c r="AF111" s="1" t="str">
        <f>VLOOKUP(A111,[2]Лист1!$A:$B,2,0)</f>
        <v>до 300 кг</v>
      </c>
      <c r="AG111" s="1">
        <f>(H111+Q111+R111+S111+T111+U111+V111+W111+X111+Y111+AC111+AD111)/Z111</f>
        <v>9.6689926541895641</v>
      </c>
      <c r="AH111" s="1">
        <f>(H111+Q111+R111+S111+T111+U111+V111+W111+X111+Y111)/Z111</f>
        <v>0.61213229146927328</v>
      </c>
      <c r="AI111" s="1">
        <v>11.5198</v>
      </c>
      <c r="AJ111" s="1">
        <v>44.968600000000002</v>
      </c>
      <c r="AK111" s="1">
        <v>78.888000000000005</v>
      </c>
      <c r="AL111" s="1">
        <v>74.961399999999998</v>
      </c>
      <c r="AM111" s="1">
        <v>27.752199999999998</v>
      </c>
      <c r="AN111" s="1">
        <v>9.1273999999999997</v>
      </c>
      <c r="AO111" s="1">
        <v>22.7928</v>
      </c>
      <c r="AP111" s="1">
        <v>34.8264</v>
      </c>
      <c r="AQ111" s="1"/>
      <c r="AR111" s="1">
        <f>ROUND(I111*AC111,0)</f>
        <v>325</v>
      </c>
      <c r="AS111" s="1">
        <f>ROUND(I111*AD111,0)</f>
        <v>163</v>
      </c>
      <c r="AT111" s="1"/>
      <c r="AU111" s="1"/>
      <c r="AV111" s="1"/>
      <c r="AW111" s="1"/>
      <c r="AX111" s="1"/>
      <c r="AY111" s="1"/>
      <c r="AZ111" s="1"/>
      <c r="BA111" s="1"/>
      <c r="BB111" s="1"/>
    </row>
    <row r="112" spans="1:54" x14ac:dyDescent="0.25">
      <c r="A112" s="1" t="s">
        <v>161</v>
      </c>
      <c r="B112" s="1" t="s">
        <v>42</v>
      </c>
      <c r="C112" s="1">
        <v>-7.5039999999999996</v>
      </c>
      <c r="D112" s="1">
        <v>409.84800000000001</v>
      </c>
      <c r="E112" s="1">
        <v>191.65</v>
      </c>
      <c r="F112" s="1">
        <v>-0.26700000000000002</v>
      </c>
      <c r="G112" s="1"/>
      <c r="H112" s="1">
        <f t="shared" si="35"/>
        <v>-0.26700000000000002</v>
      </c>
      <c r="I112" s="7">
        <v>1</v>
      </c>
      <c r="J112" s="1">
        <v>40</v>
      </c>
      <c r="K112" s="11" t="s">
        <v>53</v>
      </c>
      <c r="L112" s="1"/>
      <c r="M112" s="1">
        <v>264.75900000000001</v>
      </c>
      <c r="N112" s="1">
        <f t="shared" si="36"/>
        <v>-73.109000000000009</v>
      </c>
      <c r="O112" s="1">
        <f t="shared" si="37"/>
        <v>166.136</v>
      </c>
      <c r="P112" s="1">
        <v>25.513999999999999</v>
      </c>
      <c r="Q112" s="1">
        <v>191.34</v>
      </c>
      <c r="R112" s="1">
        <v>-193</v>
      </c>
      <c r="S112" s="1">
        <v>258.66000000000003</v>
      </c>
      <c r="T112" s="1">
        <v>-259</v>
      </c>
      <c r="U112" s="1"/>
      <c r="V112" s="1">
        <v>0</v>
      </c>
      <c r="W112" s="1"/>
      <c r="X112" s="1"/>
      <c r="Y112" s="1"/>
      <c r="Z112" s="1">
        <f>O112/5</f>
        <v>33.227199999999996</v>
      </c>
      <c r="AA112" s="5">
        <v>150</v>
      </c>
      <c r="AB112" s="5">
        <f t="shared" si="38"/>
        <v>195</v>
      </c>
      <c r="AC112" s="5">
        <f t="shared" si="39"/>
        <v>195</v>
      </c>
      <c r="AD112" s="5"/>
      <c r="AE112" s="1">
        <v>250</v>
      </c>
      <c r="AF112" s="1" t="str">
        <f>VLOOKUP(A112,[2]Лист1!$A:$B,2,0)</f>
        <v>до 250 кг</v>
      </c>
      <c r="AG112" s="1">
        <f>(H112+Q112+R112+S112+T112+U112+V112+W112+X112+Y112+AC112+AD112)/Z112</f>
        <v>5.8004586603746358</v>
      </c>
      <c r="AH112" s="1">
        <f>(H112+Q112+R112+S112+T112+U112+V112+W112+X112+Y112)/Z112</f>
        <v>-6.8227235517887133E-2</v>
      </c>
      <c r="AI112" s="1">
        <v>28.0884</v>
      </c>
      <c r="AJ112" s="1">
        <v>45.462800000000001</v>
      </c>
      <c r="AK112" s="1">
        <v>36.320399999999999</v>
      </c>
      <c r="AL112" s="1">
        <v>32.119199999999999</v>
      </c>
      <c r="AM112" s="1">
        <v>27.328199999999999</v>
      </c>
      <c r="AN112" s="1">
        <v>22.582599999999999</v>
      </c>
      <c r="AO112" s="1">
        <v>18.3916</v>
      </c>
      <c r="AP112" s="1">
        <v>16.235600000000002</v>
      </c>
      <c r="AQ112" s="1"/>
      <c r="AR112" s="1">
        <f>ROUND(I112*AC112,0)</f>
        <v>195</v>
      </c>
      <c r="AS112" s="1">
        <f>ROUND(I112*AD112,0)</f>
        <v>0</v>
      </c>
      <c r="AT112" s="1"/>
      <c r="AU112" s="1"/>
      <c r="AV112" s="1"/>
      <c r="AW112" s="1"/>
      <c r="AX112" s="1"/>
      <c r="AY112" s="1"/>
      <c r="AZ112" s="1"/>
      <c r="BA112" s="1"/>
      <c r="BB112" s="1"/>
    </row>
    <row r="113" spans="1:54" x14ac:dyDescent="0.25">
      <c r="A113" s="1" t="s">
        <v>162</v>
      </c>
      <c r="B113" s="1" t="s">
        <v>42</v>
      </c>
      <c r="C113" s="1">
        <v>-8.6039999999999992</v>
      </c>
      <c r="D113" s="1">
        <v>241.61799999999999</v>
      </c>
      <c r="E113" s="1">
        <v>-0.71599999999999997</v>
      </c>
      <c r="F113" s="1"/>
      <c r="G113" s="1"/>
      <c r="H113" s="1">
        <f t="shared" si="35"/>
        <v>0</v>
      </c>
      <c r="I113" s="7">
        <v>1</v>
      </c>
      <c r="J113" s="1">
        <v>40</v>
      </c>
      <c r="K113" s="11" t="s">
        <v>53</v>
      </c>
      <c r="L113" s="1"/>
      <c r="M113" s="1">
        <v>20.8</v>
      </c>
      <c r="N113" s="1">
        <f t="shared" si="36"/>
        <v>-21.516000000000002</v>
      </c>
      <c r="O113" s="1">
        <f t="shared" si="37"/>
        <v>-0.71599999999999997</v>
      </c>
      <c r="P113" s="1"/>
      <c r="Q113" s="1">
        <v>50</v>
      </c>
      <c r="R113" s="1">
        <v>-53</v>
      </c>
      <c r="S113" s="1"/>
      <c r="T113" s="1"/>
      <c r="U113" s="1"/>
      <c r="V113" s="1">
        <v>40</v>
      </c>
      <c r="W113" s="1">
        <v>-42</v>
      </c>
      <c r="X113" s="1"/>
      <c r="Y113" s="1">
        <v>20</v>
      </c>
      <c r="Z113" s="1">
        <f>O113/5</f>
        <v>-0.14319999999999999</v>
      </c>
      <c r="AA113" s="5">
        <v>20</v>
      </c>
      <c r="AB113" s="5">
        <f t="shared" si="38"/>
        <v>26</v>
      </c>
      <c r="AC113" s="5">
        <f t="shared" si="39"/>
        <v>26</v>
      </c>
      <c r="AD113" s="5"/>
      <c r="AE113" s="1">
        <v>50</v>
      </c>
      <c r="AF113" s="1" t="str">
        <f>VLOOKUP(A113,[2]Лист1!$A:$B,2,0)</f>
        <v>до 50 кг</v>
      </c>
      <c r="AG113" s="1">
        <f>(H113+Q113+R113+S113+T113+U113+V113+W113+X113+Y113+AC113+AD113)/Z113</f>
        <v>-286.31284916201116</v>
      </c>
      <c r="AH113" s="1">
        <f>(H113+Q113+R113+S113+T113+U113+V113+W113+X113+Y113)/Z113</f>
        <v>-104.74860335195531</v>
      </c>
      <c r="AI113" s="1">
        <v>-0.58819999999999995</v>
      </c>
      <c r="AJ113" s="1">
        <v>-0.72819999999999996</v>
      </c>
      <c r="AK113" s="1">
        <v>-0.84860000000000002</v>
      </c>
      <c r="AL113" s="1">
        <v>-0.99199999999999999</v>
      </c>
      <c r="AM113" s="1">
        <v>-0.2918</v>
      </c>
      <c r="AN113" s="1">
        <v>0.2772</v>
      </c>
      <c r="AO113" s="1">
        <v>6.3255999999999997</v>
      </c>
      <c r="AP113" s="1">
        <v>28.129000000000001</v>
      </c>
      <c r="AQ113" s="1"/>
      <c r="AR113" s="1">
        <f>ROUND(I113*AC113,0)</f>
        <v>26</v>
      </c>
      <c r="AS113" s="1">
        <f>ROUND(I113*AD113,0)</f>
        <v>0</v>
      </c>
      <c r="AT113" s="1"/>
      <c r="AU113" s="1"/>
      <c r="AV113" s="1"/>
      <c r="AW113" s="1"/>
      <c r="AX113" s="1"/>
      <c r="AY113" s="1"/>
      <c r="AZ113" s="1"/>
      <c r="BA113" s="1"/>
      <c r="BB113" s="1"/>
    </row>
    <row r="114" spans="1:54" x14ac:dyDescent="0.25">
      <c r="A114" s="1" t="s">
        <v>163</v>
      </c>
      <c r="B114" s="1" t="s">
        <v>48</v>
      </c>
      <c r="C114" s="1">
        <v>9</v>
      </c>
      <c r="D114" s="1">
        <v>209</v>
      </c>
      <c r="E114" s="1">
        <v>57</v>
      </c>
      <c r="F114" s="1"/>
      <c r="G114" s="1"/>
      <c r="H114" s="1">
        <f t="shared" si="35"/>
        <v>0</v>
      </c>
      <c r="I114" s="7">
        <v>0.3</v>
      </c>
      <c r="J114" s="1">
        <v>45</v>
      </c>
      <c r="K114" s="1" t="s">
        <v>43</v>
      </c>
      <c r="L114" s="1"/>
      <c r="M114" s="1">
        <v>74</v>
      </c>
      <c r="N114" s="1">
        <f t="shared" si="36"/>
        <v>-17</v>
      </c>
      <c r="O114" s="1">
        <f t="shared" si="37"/>
        <v>57</v>
      </c>
      <c r="P114" s="1"/>
      <c r="Q114" s="1">
        <v>0</v>
      </c>
      <c r="R114" s="1"/>
      <c r="S114" s="1"/>
      <c r="T114" s="1"/>
      <c r="U114" s="1"/>
      <c r="V114" s="1">
        <v>53.8</v>
      </c>
      <c r="W114" s="1"/>
      <c r="X114" s="1"/>
      <c r="Y114" s="1"/>
      <c r="Z114" s="1">
        <f>O114/5</f>
        <v>11.4</v>
      </c>
      <c r="AA114" s="5">
        <f>11*Z114-Y114-X114-W114-V114-U114-T114-S114-R114-Q114-H114</f>
        <v>71.600000000000009</v>
      </c>
      <c r="AB114" s="5">
        <f t="shared" si="24"/>
        <v>71.600000000000009</v>
      </c>
      <c r="AC114" s="5">
        <f>AB114-AD114</f>
        <v>71.600000000000009</v>
      </c>
      <c r="AD114" s="5"/>
      <c r="AE114" s="1"/>
      <c r="AF114" s="1"/>
      <c r="AG114" s="1">
        <f>(H114+Q114+R114+S114+T114+U114+V114+W114+X114+Y114+AC114+AD114)/Z114</f>
        <v>11</v>
      </c>
      <c r="AH114" s="1">
        <f>(H114+Q114+R114+S114+T114+U114+V114+W114+X114+Y114)/Z114</f>
        <v>4.7192982456140351</v>
      </c>
      <c r="AI114" s="1">
        <v>7.2</v>
      </c>
      <c r="AJ114" s="1">
        <v>2.2000000000000002</v>
      </c>
      <c r="AK114" s="1">
        <v>5</v>
      </c>
      <c r="AL114" s="1">
        <v>11.4</v>
      </c>
      <c r="AM114" s="1">
        <v>8.1999999999999993</v>
      </c>
      <c r="AN114" s="1">
        <v>0.4</v>
      </c>
      <c r="AO114" s="1">
        <v>1.2</v>
      </c>
      <c r="AP114" s="1">
        <v>8.4</v>
      </c>
      <c r="AQ114" s="1"/>
      <c r="AR114" s="1">
        <f>ROUND(I114*AC114,0)</f>
        <v>21</v>
      </c>
      <c r="AS114" s="1">
        <f>ROUND(I114*AD114,0)</f>
        <v>0</v>
      </c>
      <c r="AT114" s="1"/>
      <c r="AU114" s="1"/>
      <c r="AV114" s="1"/>
      <c r="AW114" s="1"/>
      <c r="AX114" s="1"/>
      <c r="AY114" s="1"/>
      <c r="AZ114" s="1"/>
      <c r="BA114" s="1"/>
      <c r="BB114" s="1"/>
    </row>
    <row r="115" spans="1:54" x14ac:dyDescent="0.25">
      <c r="A115" s="1" t="s">
        <v>164</v>
      </c>
      <c r="B115" s="1" t="s">
        <v>42</v>
      </c>
      <c r="C115" s="1">
        <v>15.365</v>
      </c>
      <c r="D115" s="1">
        <v>3.6640000000000001</v>
      </c>
      <c r="E115" s="1">
        <v>2.74</v>
      </c>
      <c r="F115" s="1">
        <v>12.16</v>
      </c>
      <c r="G115" s="1"/>
      <c r="H115" s="1">
        <f t="shared" si="35"/>
        <v>12.16</v>
      </c>
      <c r="I115" s="7">
        <v>1</v>
      </c>
      <c r="J115" s="1">
        <v>55</v>
      </c>
      <c r="K115" s="1" t="s">
        <v>43</v>
      </c>
      <c r="L115" s="1"/>
      <c r="M115" s="1">
        <v>2.8</v>
      </c>
      <c r="N115" s="1">
        <f t="shared" si="36"/>
        <v>-5.9999999999999609E-2</v>
      </c>
      <c r="O115" s="1">
        <f t="shared" si="37"/>
        <v>2.74</v>
      </c>
      <c r="P115" s="1"/>
      <c r="Q115" s="1">
        <v>0</v>
      </c>
      <c r="R115" s="1"/>
      <c r="S115" s="1"/>
      <c r="T115" s="1"/>
      <c r="U115" s="1"/>
      <c r="V115" s="1">
        <v>0</v>
      </c>
      <c r="W115" s="1"/>
      <c r="X115" s="1"/>
      <c r="Y115" s="1"/>
      <c r="Z115" s="1">
        <f>O115/5</f>
        <v>0.54800000000000004</v>
      </c>
      <c r="AA115" s="5"/>
      <c r="AB115" s="5">
        <f t="shared" si="24"/>
        <v>0</v>
      </c>
      <c r="AC115" s="5"/>
      <c r="AD115" s="5"/>
      <c r="AE115" s="1"/>
      <c r="AF115" s="1"/>
      <c r="AG115" s="1">
        <f>(H115+Q115+R115+S115+T115+U115+V115+W115+X115+Y115+AC115+AD115)/Z115</f>
        <v>22.189781021897808</v>
      </c>
      <c r="AH115" s="1">
        <f>(H115+Q115+R115+S115+T115+U115+V115+W115+X115+Y115)/Z115</f>
        <v>22.189781021897808</v>
      </c>
      <c r="AI115" s="1">
        <v>0.53959999999999997</v>
      </c>
      <c r="AJ115" s="1">
        <v>0.53959999999999997</v>
      </c>
      <c r="AK115" s="1">
        <v>0.54379999999999995</v>
      </c>
      <c r="AL115" s="1">
        <v>0.54379999999999995</v>
      </c>
      <c r="AM115" s="1">
        <v>1.0960000000000001</v>
      </c>
      <c r="AN115" s="1">
        <v>1.0960000000000001</v>
      </c>
      <c r="AO115" s="1">
        <v>0.27679999999999999</v>
      </c>
      <c r="AP115" s="1">
        <v>0.27679999999999999</v>
      </c>
      <c r="AQ115" s="17" t="s">
        <v>76</v>
      </c>
      <c r="AR115" s="1">
        <f>ROUND(I115*AC115,0)</f>
        <v>0</v>
      </c>
      <c r="AS115" s="1">
        <f>ROUND(I115*AD115,0)</f>
        <v>0</v>
      </c>
      <c r="AT115" s="1"/>
      <c r="AU115" s="1"/>
      <c r="AV115" s="1"/>
      <c r="AW115" s="1"/>
      <c r="AX115" s="1"/>
      <c r="AY115" s="1"/>
      <c r="AZ115" s="1"/>
      <c r="BA115" s="1"/>
      <c r="BB115" s="1"/>
    </row>
    <row r="116" spans="1:54" x14ac:dyDescent="0.25">
      <c r="A116" s="1" t="s">
        <v>165</v>
      </c>
      <c r="B116" s="1" t="s">
        <v>48</v>
      </c>
      <c r="C116" s="1">
        <v>63</v>
      </c>
      <c r="D116" s="1">
        <v>1955</v>
      </c>
      <c r="E116" s="1">
        <v>463</v>
      </c>
      <c r="F116" s="1">
        <v>640</v>
      </c>
      <c r="G116" s="1"/>
      <c r="H116" s="1">
        <f t="shared" si="35"/>
        <v>640</v>
      </c>
      <c r="I116" s="7">
        <v>0.28000000000000003</v>
      </c>
      <c r="J116" s="1">
        <v>40</v>
      </c>
      <c r="K116" s="11" t="s">
        <v>53</v>
      </c>
      <c r="L116" s="1"/>
      <c r="M116" s="1">
        <v>531</v>
      </c>
      <c r="N116" s="1">
        <f t="shared" si="36"/>
        <v>-68</v>
      </c>
      <c r="O116" s="1">
        <f t="shared" si="37"/>
        <v>463</v>
      </c>
      <c r="P116" s="1"/>
      <c r="Q116" s="1">
        <v>0</v>
      </c>
      <c r="R116" s="1"/>
      <c r="S116" s="1"/>
      <c r="T116" s="1"/>
      <c r="U116" s="1"/>
      <c r="V116" s="1">
        <v>0</v>
      </c>
      <c r="W116" s="1"/>
      <c r="X116" s="1"/>
      <c r="Y116" s="1"/>
      <c r="Z116" s="1">
        <f>O116/5</f>
        <v>92.6</v>
      </c>
      <c r="AA116" s="5">
        <f>11*Z116-Y116-X116-W116-V116-U116-T116-S116-R116-Q116-H116</f>
        <v>378.59999999999991</v>
      </c>
      <c r="AB116" s="5">
        <f t="shared" ref="AB116:AB118" si="40">AA116*1.3</f>
        <v>492.17999999999989</v>
      </c>
      <c r="AC116" s="5">
        <f t="shared" ref="AC116:AC118" si="41">AB116</f>
        <v>492.17999999999989</v>
      </c>
      <c r="AD116" s="5">
        <f>0.5*AB116</f>
        <v>246.08999999999995</v>
      </c>
      <c r="AE116" s="1"/>
      <c r="AF116" s="1"/>
      <c r="AG116" s="1">
        <f>(H116+Q116+R116+S116+T116+U116+V116+W116+X116+Y116+AC116+AD116)/Z116</f>
        <v>14.8841252699784</v>
      </c>
      <c r="AH116" s="1">
        <f>(H116+Q116+R116+S116+T116+U116+V116+W116+X116+Y116)/Z116</f>
        <v>6.911447084233262</v>
      </c>
      <c r="AI116" s="1">
        <v>36.799999999999997</v>
      </c>
      <c r="AJ116" s="1">
        <v>29.6</v>
      </c>
      <c r="AK116" s="1">
        <v>101</v>
      </c>
      <c r="AL116" s="1">
        <v>125.4</v>
      </c>
      <c r="AM116" s="1">
        <v>60.4</v>
      </c>
      <c r="AN116" s="1">
        <v>3.4</v>
      </c>
      <c r="AO116" s="1">
        <v>27.6</v>
      </c>
      <c r="AP116" s="1">
        <v>72.8</v>
      </c>
      <c r="AQ116" s="1"/>
      <c r="AR116" s="1">
        <f>ROUND(I116*AC116,0)</f>
        <v>138</v>
      </c>
      <c r="AS116" s="1">
        <f>ROUND(I116*AD116,0)</f>
        <v>69</v>
      </c>
      <c r="AT116" s="1"/>
      <c r="AU116" s="1"/>
      <c r="AV116" s="1"/>
      <c r="AW116" s="1"/>
      <c r="AX116" s="1"/>
      <c r="AY116" s="1"/>
      <c r="AZ116" s="1"/>
      <c r="BA116" s="1"/>
      <c r="BB116" s="1"/>
    </row>
    <row r="117" spans="1:54" x14ac:dyDescent="0.25">
      <c r="A117" s="1" t="s">
        <v>166</v>
      </c>
      <c r="B117" s="1" t="s">
        <v>48</v>
      </c>
      <c r="C117" s="1">
        <v>5.726</v>
      </c>
      <c r="D117" s="1">
        <v>1077.2739999999999</v>
      </c>
      <c r="E117" s="1">
        <v>106</v>
      </c>
      <c r="F117" s="1">
        <v>-2</v>
      </c>
      <c r="G117" s="1"/>
      <c r="H117" s="1">
        <f t="shared" si="35"/>
        <v>-2</v>
      </c>
      <c r="I117" s="7">
        <v>0.28000000000000003</v>
      </c>
      <c r="J117" s="1">
        <v>40</v>
      </c>
      <c r="K117" s="11" t="s">
        <v>53</v>
      </c>
      <c r="L117" s="1"/>
      <c r="M117" s="1">
        <v>312</v>
      </c>
      <c r="N117" s="1">
        <f t="shared" si="36"/>
        <v>-206</v>
      </c>
      <c r="O117" s="1">
        <f t="shared" si="37"/>
        <v>106</v>
      </c>
      <c r="P117" s="1"/>
      <c r="Q117" s="1">
        <v>255.12</v>
      </c>
      <c r="R117" s="1"/>
      <c r="S117" s="1">
        <v>344.88</v>
      </c>
      <c r="T117" s="1"/>
      <c r="U117" s="1"/>
      <c r="V117" s="1">
        <v>0</v>
      </c>
      <c r="W117" s="1"/>
      <c r="X117" s="1"/>
      <c r="Y117" s="1"/>
      <c r="Z117" s="1">
        <f>O117/5</f>
        <v>21.2</v>
      </c>
      <c r="AA117" s="5">
        <v>50</v>
      </c>
      <c r="AB117" s="5">
        <f t="shared" si="40"/>
        <v>65</v>
      </c>
      <c r="AC117" s="5">
        <f t="shared" si="41"/>
        <v>65</v>
      </c>
      <c r="AD117" s="5"/>
      <c r="AE117" s="1">
        <v>250</v>
      </c>
      <c r="AF117" s="1" t="str">
        <f>VLOOKUP(A117,[2]Лист1!$A:$B,2,0)</f>
        <v>до 250 шт</v>
      </c>
      <c r="AG117" s="1">
        <f>(H117+Q117+R117+S117+T117+U117+V117+W117+X117+Y117+AC117+AD117)/Z117</f>
        <v>31.273584905660378</v>
      </c>
      <c r="AH117" s="1">
        <f>(H117+Q117+R117+S117+T117+U117+V117+W117+X117+Y117)/Z117</f>
        <v>28.20754716981132</v>
      </c>
      <c r="AI117" s="1">
        <v>42.8</v>
      </c>
      <c r="AJ117" s="1">
        <v>71.2</v>
      </c>
      <c r="AK117" s="1">
        <v>36.799999999999997</v>
      </c>
      <c r="AL117" s="1">
        <v>31.8</v>
      </c>
      <c r="AM117" s="1">
        <v>27.2</v>
      </c>
      <c r="AN117" s="1">
        <v>0.6</v>
      </c>
      <c r="AO117" s="1">
        <v>0</v>
      </c>
      <c r="AP117" s="1">
        <v>-0.8</v>
      </c>
      <c r="AQ117" s="1"/>
      <c r="AR117" s="1">
        <f>ROUND(I117*AC117,0)</f>
        <v>18</v>
      </c>
      <c r="AS117" s="1">
        <f>ROUND(I117*AD117,0)</f>
        <v>0</v>
      </c>
      <c r="AT117" s="1"/>
      <c r="AU117" s="1"/>
      <c r="AV117" s="1"/>
      <c r="AW117" s="1"/>
      <c r="AX117" s="1"/>
      <c r="AY117" s="1"/>
      <c r="AZ117" s="1"/>
      <c r="BA117" s="1"/>
      <c r="BB117" s="1"/>
    </row>
    <row r="118" spans="1:54" x14ac:dyDescent="0.25">
      <c r="A118" s="1" t="s">
        <v>167</v>
      </c>
      <c r="B118" s="1" t="s">
        <v>48</v>
      </c>
      <c r="C118" s="1">
        <v>-3.5</v>
      </c>
      <c r="D118" s="1">
        <v>3112.5</v>
      </c>
      <c r="E118" s="1">
        <v>575</v>
      </c>
      <c r="F118" s="1">
        <v>44</v>
      </c>
      <c r="G118" s="1"/>
      <c r="H118" s="1">
        <f t="shared" si="35"/>
        <v>44</v>
      </c>
      <c r="I118" s="7">
        <v>0.28000000000000003</v>
      </c>
      <c r="J118" s="1">
        <v>40</v>
      </c>
      <c r="K118" s="11" t="s">
        <v>53</v>
      </c>
      <c r="L118" s="1"/>
      <c r="M118" s="1">
        <v>628</v>
      </c>
      <c r="N118" s="1">
        <f t="shared" si="36"/>
        <v>-53</v>
      </c>
      <c r="O118" s="1">
        <f t="shared" si="37"/>
        <v>575</v>
      </c>
      <c r="P118" s="1"/>
      <c r="Q118" s="1">
        <v>0</v>
      </c>
      <c r="R118" s="1"/>
      <c r="S118" s="1"/>
      <c r="T118" s="1"/>
      <c r="U118" s="1"/>
      <c r="V118" s="1">
        <v>137.69999999999999</v>
      </c>
      <c r="W118" s="1">
        <v>-144</v>
      </c>
      <c r="X118" s="1"/>
      <c r="Y118" s="1"/>
      <c r="Z118" s="1">
        <f>O118/5</f>
        <v>115</v>
      </c>
      <c r="AA118" s="5">
        <v>300</v>
      </c>
      <c r="AB118" s="5">
        <f t="shared" si="40"/>
        <v>390</v>
      </c>
      <c r="AC118" s="5">
        <f t="shared" si="41"/>
        <v>390</v>
      </c>
      <c r="AD118" s="5">
        <f>0.5*AB118</f>
        <v>195</v>
      </c>
      <c r="AE118" s="1">
        <v>500</v>
      </c>
      <c r="AF118" s="1" t="str">
        <f>VLOOKUP(A118,[2]Лист1!$A:$B,2,0)</f>
        <v>до 500 шт</v>
      </c>
      <c r="AG118" s="1">
        <f>(H118+Q118+R118+S118+T118+U118+V118+W118+X118+Y118+AC118+AD118)/Z118</f>
        <v>5.4147826086956528</v>
      </c>
      <c r="AH118" s="1">
        <f>(H118+Q118+R118+S118+T118+U118+V118+W118+X118+Y118)/Z118</f>
        <v>0.32782608695652166</v>
      </c>
      <c r="AI118" s="1">
        <v>61.6</v>
      </c>
      <c r="AJ118" s="1">
        <v>65.400000000000006</v>
      </c>
      <c r="AK118" s="1">
        <v>102</v>
      </c>
      <c r="AL118" s="1">
        <v>112.2</v>
      </c>
      <c r="AM118" s="1">
        <v>55.2</v>
      </c>
      <c r="AN118" s="1">
        <v>0.2</v>
      </c>
      <c r="AO118" s="1">
        <v>26</v>
      </c>
      <c r="AP118" s="1">
        <v>100.4</v>
      </c>
      <c r="AQ118" s="1"/>
      <c r="AR118" s="1">
        <f>ROUND(I118*AC118,0)</f>
        <v>109</v>
      </c>
      <c r="AS118" s="1">
        <f>ROUND(I118*AD118,0)</f>
        <v>55</v>
      </c>
      <c r="AT118" s="1"/>
      <c r="AU118" s="1"/>
      <c r="AV118" s="1"/>
      <c r="AW118" s="1"/>
      <c r="AX118" s="1"/>
      <c r="AY118" s="1"/>
      <c r="AZ118" s="1"/>
      <c r="BA118" s="1"/>
      <c r="BB118" s="1"/>
    </row>
    <row r="119" spans="1:54" x14ac:dyDescent="0.25">
      <c r="A119" s="1" t="s">
        <v>168</v>
      </c>
      <c r="B119" s="1" t="s">
        <v>48</v>
      </c>
      <c r="C119" s="1">
        <v>180</v>
      </c>
      <c r="D119" s="1">
        <v>1656</v>
      </c>
      <c r="E119" s="1">
        <v>186</v>
      </c>
      <c r="F119" s="1">
        <v>651</v>
      </c>
      <c r="G119" s="1"/>
      <c r="H119" s="1">
        <f t="shared" si="35"/>
        <v>651</v>
      </c>
      <c r="I119" s="7">
        <v>0.09</v>
      </c>
      <c r="J119" s="1">
        <v>45</v>
      </c>
      <c r="K119" s="1" t="s">
        <v>43</v>
      </c>
      <c r="L119" s="1"/>
      <c r="M119" s="1">
        <v>256</v>
      </c>
      <c r="N119" s="1">
        <f t="shared" si="36"/>
        <v>-70</v>
      </c>
      <c r="O119" s="1">
        <f t="shared" si="37"/>
        <v>186</v>
      </c>
      <c r="P119" s="1"/>
      <c r="Q119" s="1">
        <v>0</v>
      </c>
      <c r="R119" s="1"/>
      <c r="S119" s="1"/>
      <c r="T119" s="1"/>
      <c r="U119" s="1"/>
      <c r="V119" s="1">
        <v>0</v>
      </c>
      <c r="W119" s="1"/>
      <c r="X119" s="1"/>
      <c r="Y119" s="1"/>
      <c r="Z119" s="1">
        <f>O119/5</f>
        <v>37.200000000000003</v>
      </c>
      <c r="AA119" s="5"/>
      <c r="AB119" s="5">
        <f t="shared" si="24"/>
        <v>0</v>
      </c>
      <c r="AC119" s="5"/>
      <c r="AD119" s="5"/>
      <c r="AE119" s="1"/>
      <c r="AF119" s="1"/>
      <c r="AG119" s="1">
        <f>(H119+Q119+R119+S119+T119+U119+V119+W119+X119+Y119+AC119+AD119)/Z119</f>
        <v>17.5</v>
      </c>
      <c r="AH119" s="1">
        <f>(H119+Q119+R119+S119+T119+U119+V119+W119+X119+Y119)/Z119</f>
        <v>17.5</v>
      </c>
      <c r="AI119" s="1">
        <v>45.6</v>
      </c>
      <c r="AJ119" s="1">
        <v>44.2</v>
      </c>
      <c r="AK119" s="1">
        <v>73.2</v>
      </c>
      <c r="AL119" s="1">
        <v>85.6</v>
      </c>
      <c r="AM119" s="1">
        <v>59.6</v>
      </c>
      <c r="AN119" s="1">
        <v>28.2</v>
      </c>
      <c r="AO119" s="1">
        <v>32.6</v>
      </c>
      <c r="AP119" s="1">
        <v>32.799999999999997</v>
      </c>
      <c r="AQ119" s="1"/>
      <c r="AR119" s="1">
        <f>ROUND(I119*AC119,0)</f>
        <v>0</v>
      </c>
      <c r="AS119" s="1">
        <f>ROUND(I119*AD119,0)</f>
        <v>0</v>
      </c>
      <c r="AT119" s="1"/>
      <c r="AU119" s="1"/>
      <c r="AV119" s="1"/>
      <c r="AW119" s="1"/>
      <c r="AX119" s="1"/>
      <c r="AY119" s="1"/>
      <c r="AZ119" s="1"/>
      <c r="BA119" s="1"/>
      <c r="BB119" s="1"/>
    </row>
    <row r="120" spans="1:54" x14ac:dyDescent="0.25">
      <c r="A120" s="12" t="s">
        <v>169</v>
      </c>
      <c r="B120" s="12" t="s">
        <v>42</v>
      </c>
      <c r="C120" s="12">
        <v>-2.8069999999999999</v>
      </c>
      <c r="D120" s="12">
        <v>12.41</v>
      </c>
      <c r="E120" s="12">
        <v>-0.02</v>
      </c>
      <c r="F120" s="12">
        <v>8.2780000000000005</v>
      </c>
      <c r="G120" s="12"/>
      <c r="H120" s="12">
        <f t="shared" si="35"/>
        <v>8.2780000000000005</v>
      </c>
      <c r="I120" s="13">
        <v>0</v>
      </c>
      <c r="J120" s="12">
        <v>55</v>
      </c>
      <c r="K120" s="12" t="s">
        <v>56</v>
      </c>
      <c r="L120" s="12"/>
      <c r="M120" s="12">
        <v>1.4</v>
      </c>
      <c r="N120" s="12">
        <f t="shared" si="36"/>
        <v>-1.42</v>
      </c>
      <c r="O120" s="12">
        <f t="shared" si="37"/>
        <v>-0.02</v>
      </c>
      <c r="P120" s="12"/>
      <c r="Q120" s="12">
        <v>0</v>
      </c>
      <c r="R120" s="12"/>
      <c r="S120" s="12"/>
      <c r="T120" s="12"/>
      <c r="U120" s="12"/>
      <c r="V120" s="12">
        <v>0</v>
      </c>
      <c r="W120" s="12"/>
      <c r="X120" s="12"/>
      <c r="Y120" s="12"/>
      <c r="Z120" s="12">
        <f>O120/5</f>
        <v>-4.0000000000000001E-3</v>
      </c>
      <c r="AA120" s="14"/>
      <c r="AB120" s="5">
        <f t="shared" si="24"/>
        <v>0</v>
      </c>
      <c r="AC120" s="5"/>
      <c r="AD120" s="5"/>
      <c r="AE120" s="12"/>
      <c r="AF120" s="1"/>
      <c r="AG120" s="1">
        <f>(H120+Q120+R120+S120+T120+U120+V120+W120+X120+Y120+AC120+AD120)/Z120</f>
        <v>-2069.5</v>
      </c>
      <c r="AH120" s="12">
        <f>(H120+Q120+R120+S120+T120+U120+V120+W120+X120+Y120)/Z120</f>
        <v>-2069.5</v>
      </c>
      <c r="AI120" s="12">
        <v>-0.26900000000000002</v>
      </c>
      <c r="AJ120" s="12">
        <v>0</v>
      </c>
      <c r="AK120" s="12">
        <v>0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/>
      <c r="AR120" s="1">
        <f>ROUND(I120*AC120,0)</f>
        <v>0</v>
      </c>
      <c r="AS120" s="1">
        <f>ROUND(I120*AD120,0)</f>
        <v>0</v>
      </c>
      <c r="AT120" s="1"/>
      <c r="AU120" s="1"/>
      <c r="AV120" s="1"/>
      <c r="AW120" s="1"/>
      <c r="AX120" s="1"/>
      <c r="AY120" s="1"/>
      <c r="AZ120" s="1"/>
      <c r="BA120" s="1"/>
      <c r="BB120" s="1"/>
    </row>
    <row r="121" spans="1:54" x14ac:dyDescent="0.25">
      <c r="A121" s="1" t="s">
        <v>170</v>
      </c>
      <c r="B121" s="1" t="s">
        <v>42</v>
      </c>
      <c r="C121" s="1">
        <v>24.992000000000001</v>
      </c>
      <c r="D121" s="1">
        <v>63.09</v>
      </c>
      <c r="E121" s="1">
        <v>21.954000000000001</v>
      </c>
      <c r="F121" s="1">
        <v>22.635000000000002</v>
      </c>
      <c r="G121" s="1"/>
      <c r="H121" s="1">
        <f t="shared" si="35"/>
        <v>22.635000000000002</v>
      </c>
      <c r="I121" s="7">
        <v>1</v>
      </c>
      <c r="J121" s="1">
        <v>60</v>
      </c>
      <c r="K121" s="1" t="s">
        <v>43</v>
      </c>
      <c r="L121" s="1"/>
      <c r="M121" s="1">
        <v>22.5</v>
      </c>
      <c r="N121" s="1">
        <f t="shared" si="36"/>
        <v>-0.54599999999999937</v>
      </c>
      <c r="O121" s="1">
        <f t="shared" si="37"/>
        <v>21.954000000000001</v>
      </c>
      <c r="P121" s="1"/>
      <c r="Q121" s="1">
        <v>42.582399999999993</v>
      </c>
      <c r="R121" s="1"/>
      <c r="S121" s="1"/>
      <c r="T121" s="1"/>
      <c r="U121" s="1"/>
      <c r="V121" s="1">
        <v>0</v>
      </c>
      <c r="W121" s="1"/>
      <c r="X121" s="1"/>
      <c r="Y121" s="1"/>
      <c r="Z121" s="1">
        <f>O121/5</f>
        <v>4.3908000000000005</v>
      </c>
      <c r="AA121" s="5"/>
      <c r="AB121" s="5">
        <f t="shared" si="24"/>
        <v>0</v>
      </c>
      <c r="AC121" s="5"/>
      <c r="AD121" s="5"/>
      <c r="AE121" s="1"/>
      <c r="AF121" s="1"/>
      <c r="AG121" s="1">
        <f>(H121+Q121+R121+S121+T121+U121+V121+W121+X121+Y121+AC121+AD121)/Z121</f>
        <v>14.853193039992711</v>
      </c>
      <c r="AH121" s="1">
        <f>(H121+Q121+R121+S121+T121+U121+V121+W121+X121+Y121)/Z121</f>
        <v>14.853193039992711</v>
      </c>
      <c r="AI121" s="1">
        <v>7.3688000000000002</v>
      </c>
      <c r="AJ121" s="1">
        <v>7.8537999999999997</v>
      </c>
      <c r="AK121" s="1">
        <v>6.3715999999999999</v>
      </c>
      <c r="AL121" s="1">
        <v>5.3945999999999996</v>
      </c>
      <c r="AM121" s="1">
        <v>5.0279999999999996</v>
      </c>
      <c r="AN121" s="1">
        <v>5.5289999999999999</v>
      </c>
      <c r="AO121" s="1">
        <v>6.0906000000000002</v>
      </c>
      <c r="AP121" s="1">
        <v>9.970600000000001</v>
      </c>
      <c r="AQ121" s="1"/>
      <c r="AR121" s="1">
        <f>ROUND(I121*AC121,0)</f>
        <v>0</v>
      </c>
      <c r="AS121" s="1">
        <f>ROUND(I121*AD121,0)</f>
        <v>0</v>
      </c>
      <c r="AT121" s="1"/>
      <c r="AU121" s="1"/>
      <c r="AV121" s="1"/>
      <c r="AW121" s="1"/>
      <c r="AX121" s="1"/>
      <c r="AY121" s="1"/>
      <c r="AZ121" s="1"/>
      <c r="BA121" s="1"/>
      <c r="BB121" s="1"/>
    </row>
    <row r="122" spans="1:54" x14ac:dyDescent="0.25">
      <c r="A122" s="1" t="s">
        <v>171</v>
      </c>
      <c r="B122" s="1" t="s">
        <v>42</v>
      </c>
      <c r="C122" s="1">
        <v>24.329000000000001</v>
      </c>
      <c r="D122" s="1">
        <v>155.85300000000001</v>
      </c>
      <c r="E122" s="1">
        <v>14.816000000000001</v>
      </c>
      <c r="F122" s="1">
        <v>42.5</v>
      </c>
      <c r="G122" s="1"/>
      <c r="H122" s="1">
        <f t="shared" si="35"/>
        <v>42.5</v>
      </c>
      <c r="I122" s="7">
        <v>1</v>
      </c>
      <c r="J122" s="1">
        <v>50</v>
      </c>
      <c r="K122" s="1" t="s">
        <v>43</v>
      </c>
      <c r="L122" s="1"/>
      <c r="M122" s="1">
        <v>17.5</v>
      </c>
      <c r="N122" s="1">
        <f t="shared" si="36"/>
        <v>-2.6839999999999993</v>
      </c>
      <c r="O122" s="1">
        <f t="shared" si="37"/>
        <v>14.816000000000001</v>
      </c>
      <c r="P122" s="1"/>
      <c r="Q122" s="1">
        <v>29.239000000000001</v>
      </c>
      <c r="R122" s="1"/>
      <c r="S122" s="1"/>
      <c r="T122" s="1"/>
      <c r="U122" s="1"/>
      <c r="V122" s="1">
        <v>27.3612</v>
      </c>
      <c r="W122" s="1"/>
      <c r="X122" s="1"/>
      <c r="Y122" s="1"/>
      <c r="Z122" s="1">
        <f>O122/5</f>
        <v>2.9632000000000001</v>
      </c>
      <c r="AA122" s="5"/>
      <c r="AB122" s="5">
        <f t="shared" si="24"/>
        <v>0</v>
      </c>
      <c r="AC122" s="5"/>
      <c r="AD122" s="5"/>
      <c r="AE122" s="1"/>
      <c r="AF122" s="1"/>
      <c r="AG122" s="1">
        <f>(H122+Q122+R122+S122+T122+U122+V122+W122+X122+Y122+AC122+AD122)/Z122</f>
        <v>33.443642008639308</v>
      </c>
      <c r="AH122" s="1">
        <f>(H122+Q122+R122+S122+T122+U122+V122+W122+X122+Y122)/Z122</f>
        <v>33.443642008639308</v>
      </c>
      <c r="AI122" s="1">
        <v>5.9215999999999998</v>
      </c>
      <c r="AJ122" s="1">
        <v>5.3567999999999998</v>
      </c>
      <c r="AK122" s="1">
        <v>2.4121999999999999</v>
      </c>
      <c r="AL122" s="1">
        <v>1.9867999999999999</v>
      </c>
      <c r="AM122" s="1">
        <v>1.4796</v>
      </c>
      <c r="AN122" s="1">
        <v>0.99480000000000002</v>
      </c>
      <c r="AO122" s="1">
        <v>3.9885999999999999</v>
      </c>
      <c r="AP122" s="1">
        <v>3.4885999999999999</v>
      </c>
      <c r="AQ122" s="16" t="s">
        <v>67</v>
      </c>
      <c r="AR122" s="1">
        <f>ROUND(I122*AC122,0)</f>
        <v>0</v>
      </c>
      <c r="AS122" s="1">
        <f>ROUND(I122*AD122,0)</f>
        <v>0</v>
      </c>
      <c r="AT122" s="1"/>
      <c r="AU122" s="1"/>
      <c r="AV122" s="1"/>
      <c r="AW122" s="1"/>
      <c r="AX122" s="1"/>
      <c r="AY122" s="1"/>
      <c r="AZ122" s="1"/>
      <c r="BA122" s="1"/>
      <c r="BB122" s="1"/>
    </row>
    <row r="123" spans="1:54" x14ac:dyDescent="0.25">
      <c r="A123" s="1" t="s">
        <v>172</v>
      </c>
      <c r="B123" s="1" t="s">
        <v>48</v>
      </c>
      <c r="C123" s="1">
        <v>216</v>
      </c>
      <c r="D123" s="1">
        <v>1427</v>
      </c>
      <c r="E123" s="1">
        <v>150</v>
      </c>
      <c r="F123" s="1">
        <v>491</v>
      </c>
      <c r="G123" s="1"/>
      <c r="H123" s="1">
        <f t="shared" si="35"/>
        <v>491</v>
      </c>
      <c r="I123" s="7">
        <v>0.09</v>
      </c>
      <c r="J123" s="1">
        <v>45</v>
      </c>
      <c r="K123" s="1" t="s">
        <v>43</v>
      </c>
      <c r="L123" s="1"/>
      <c r="M123" s="1">
        <v>210</v>
      </c>
      <c r="N123" s="1">
        <f t="shared" si="36"/>
        <v>-60</v>
      </c>
      <c r="O123" s="1">
        <f t="shared" si="37"/>
        <v>150</v>
      </c>
      <c r="P123" s="1"/>
      <c r="Q123" s="1">
        <v>0</v>
      </c>
      <c r="R123" s="1"/>
      <c r="S123" s="1"/>
      <c r="T123" s="1"/>
      <c r="U123" s="1"/>
      <c r="V123" s="1">
        <v>0</v>
      </c>
      <c r="W123" s="1"/>
      <c r="X123" s="1"/>
      <c r="Y123" s="1"/>
      <c r="Z123" s="1">
        <f>O123/5</f>
        <v>30</v>
      </c>
      <c r="AA123" s="5"/>
      <c r="AB123" s="5">
        <f t="shared" si="24"/>
        <v>0</v>
      </c>
      <c r="AC123" s="5"/>
      <c r="AD123" s="5"/>
      <c r="AE123" s="1"/>
      <c r="AF123" s="1"/>
      <c r="AG123" s="1">
        <f>(H123+Q123+R123+S123+T123+U123+V123+W123+X123+Y123+AC123+AD123)/Z123</f>
        <v>16.366666666666667</v>
      </c>
      <c r="AH123" s="1">
        <f>(H123+Q123+R123+S123+T123+U123+V123+W123+X123+Y123)/Z123</f>
        <v>16.366666666666667</v>
      </c>
      <c r="AI123" s="1">
        <v>40</v>
      </c>
      <c r="AJ123" s="1">
        <v>17.2</v>
      </c>
      <c r="AK123" s="1">
        <v>42.6</v>
      </c>
      <c r="AL123" s="1">
        <v>84.4</v>
      </c>
      <c r="AM123" s="1">
        <v>65.2</v>
      </c>
      <c r="AN123" s="1">
        <v>29</v>
      </c>
      <c r="AO123" s="1">
        <v>42.4</v>
      </c>
      <c r="AP123" s="1">
        <v>38.6</v>
      </c>
      <c r="AQ123" s="1"/>
      <c r="AR123" s="1">
        <f>ROUND(I123*AC123,0)</f>
        <v>0</v>
      </c>
      <c r="AS123" s="1">
        <f>ROUND(I123*AD123,0)</f>
        <v>0</v>
      </c>
      <c r="AT123" s="1"/>
      <c r="AU123" s="1"/>
      <c r="AV123" s="1"/>
      <c r="AW123" s="1"/>
      <c r="AX123" s="1"/>
      <c r="AY123" s="1"/>
      <c r="AZ123" s="1"/>
      <c r="BA123" s="1"/>
      <c r="BB123" s="1"/>
    </row>
    <row r="124" spans="1:54" x14ac:dyDescent="0.25">
      <c r="A124" s="1" t="s">
        <v>173</v>
      </c>
      <c r="B124" s="1" t="s">
        <v>48</v>
      </c>
      <c r="C124" s="1">
        <v>198</v>
      </c>
      <c r="D124" s="1">
        <v>1357</v>
      </c>
      <c r="E124" s="1">
        <v>150</v>
      </c>
      <c r="F124" s="1">
        <v>451</v>
      </c>
      <c r="G124" s="1"/>
      <c r="H124" s="1">
        <f t="shared" si="35"/>
        <v>451</v>
      </c>
      <c r="I124" s="7">
        <v>0.09</v>
      </c>
      <c r="J124" s="1">
        <v>45</v>
      </c>
      <c r="K124" s="1" t="s">
        <v>43</v>
      </c>
      <c r="L124" s="1"/>
      <c r="M124" s="1">
        <v>187</v>
      </c>
      <c r="N124" s="1">
        <f t="shared" si="36"/>
        <v>-37</v>
      </c>
      <c r="O124" s="1">
        <f t="shared" si="37"/>
        <v>150</v>
      </c>
      <c r="P124" s="1"/>
      <c r="Q124" s="1">
        <v>0</v>
      </c>
      <c r="R124" s="1"/>
      <c r="S124" s="1"/>
      <c r="T124" s="1"/>
      <c r="U124" s="1"/>
      <c r="V124" s="1">
        <v>24.799999999999951</v>
      </c>
      <c r="W124" s="1"/>
      <c r="X124" s="1"/>
      <c r="Y124" s="1"/>
      <c r="Z124" s="1">
        <f>O124/5</f>
        <v>30</v>
      </c>
      <c r="AA124" s="5"/>
      <c r="AB124" s="5">
        <f t="shared" si="24"/>
        <v>0</v>
      </c>
      <c r="AC124" s="5"/>
      <c r="AD124" s="5"/>
      <c r="AE124" s="1"/>
      <c r="AF124" s="1"/>
      <c r="AG124" s="1">
        <f>(H124+Q124+R124+S124+T124+U124+V124+W124+X124+Y124+AC124+AD124)/Z124</f>
        <v>15.859999999999998</v>
      </c>
      <c r="AH124" s="1">
        <f>(H124+Q124+R124+S124+T124+U124+V124+W124+X124+Y124)/Z124</f>
        <v>15.859999999999998</v>
      </c>
      <c r="AI124" s="1">
        <v>39.4</v>
      </c>
      <c r="AJ124" s="1">
        <v>27.8</v>
      </c>
      <c r="AK124" s="1">
        <v>52.8</v>
      </c>
      <c r="AL124" s="1">
        <v>83</v>
      </c>
      <c r="AM124" s="1">
        <v>59</v>
      </c>
      <c r="AN124" s="1">
        <v>24</v>
      </c>
      <c r="AO124" s="1">
        <v>39.799999999999997</v>
      </c>
      <c r="AP124" s="1">
        <v>38.200000000000003</v>
      </c>
      <c r="AQ124" s="1"/>
      <c r="AR124" s="1">
        <f>ROUND(I124*AC124,0)</f>
        <v>0</v>
      </c>
      <c r="AS124" s="1">
        <f>ROUND(I124*AD124,0)</f>
        <v>0</v>
      </c>
      <c r="AT124" s="1"/>
      <c r="AU124" s="1"/>
      <c r="AV124" s="1"/>
      <c r="AW124" s="1"/>
      <c r="AX124" s="1"/>
      <c r="AY124" s="1"/>
      <c r="AZ124" s="1"/>
      <c r="BA124" s="1"/>
      <c r="BB124" s="1"/>
    </row>
    <row r="125" spans="1:54" x14ac:dyDescent="0.25">
      <c r="A125" s="1" t="s">
        <v>174</v>
      </c>
      <c r="B125" s="1" t="s">
        <v>42</v>
      </c>
      <c r="C125" s="1">
        <v>68.103999999999999</v>
      </c>
      <c r="D125" s="1">
        <v>652.36599999999999</v>
      </c>
      <c r="E125" s="1">
        <v>102.61499999999999</v>
      </c>
      <c r="F125" s="1">
        <v>198.28</v>
      </c>
      <c r="G125" s="1"/>
      <c r="H125" s="1">
        <f t="shared" si="35"/>
        <v>198.28</v>
      </c>
      <c r="I125" s="7">
        <v>1</v>
      </c>
      <c r="J125" s="1">
        <v>60</v>
      </c>
      <c r="K125" s="1" t="s">
        <v>43</v>
      </c>
      <c r="L125" s="1"/>
      <c r="M125" s="1">
        <v>103.8</v>
      </c>
      <c r="N125" s="1">
        <f t="shared" si="36"/>
        <v>-1.1850000000000023</v>
      </c>
      <c r="O125" s="1">
        <f t="shared" si="37"/>
        <v>102.61499999999999</v>
      </c>
      <c r="P125" s="1"/>
      <c r="Q125" s="1">
        <v>0</v>
      </c>
      <c r="R125" s="1"/>
      <c r="S125" s="1"/>
      <c r="T125" s="1"/>
      <c r="U125" s="1"/>
      <c r="V125" s="1">
        <v>0</v>
      </c>
      <c r="W125" s="1"/>
      <c r="X125" s="1"/>
      <c r="Y125" s="1"/>
      <c r="Z125" s="1">
        <f>O125/5</f>
        <v>20.523</v>
      </c>
      <c r="AA125" s="5">
        <f>11*Z125-Y125-X125-W125-V125-U125-T125-S125-R125-Q125-H125</f>
        <v>27.472999999999985</v>
      </c>
      <c r="AB125" s="5">
        <f t="shared" si="24"/>
        <v>27.472999999999985</v>
      </c>
      <c r="AC125" s="5">
        <f t="shared" ref="AC125:AC126" si="42">AB125-AD125</f>
        <v>27.472999999999985</v>
      </c>
      <c r="AD125" s="5"/>
      <c r="AE125" s="1"/>
      <c r="AF125" s="1"/>
      <c r="AG125" s="1">
        <f>(H125+Q125+R125+S125+T125+U125+V125+W125+X125+Y125+AC125+AD125)/Z125</f>
        <v>11</v>
      </c>
      <c r="AH125" s="1">
        <f>(H125+Q125+R125+S125+T125+U125+V125+W125+X125+Y125)/Z125</f>
        <v>9.6613555523071675</v>
      </c>
      <c r="AI125" s="1">
        <v>19.683800000000002</v>
      </c>
      <c r="AJ125" s="1">
        <v>23.858799999999999</v>
      </c>
      <c r="AK125" s="1">
        <v>30.072199999999999</v>
      </c>
      <c r="AL125" s="1">
        <v>28.821999999999999</v>
      </c>
      <c r="AM125" s="1">
        <v>19.371600000000001</v>
      </c>
      <c r="AN125" s="1">
        <v>16.9956</v>
      </c>
      <c r="AO125" s="1">
        <v>23.003799999999998</v>
      </c>
      <c r="AP125" s="1">
        <v>24.015000000000001</v>
      </c>
      <c r="AQ125" s="1" t="s">
        <v>45</v>
      </c>
      <c r="AR125" s="1">
        <f>ROUND(I125*AC125,0)</f>
        <v>27</v>
      </c>
      <c r="AS125" s="1">
        <f>ROUND(I125*AD125,0)</f>
        <v>0</v>
      </c>
      <c r="AT125" s="1"/>
      <c r="AU125" s="1"/>
      <c r="AV125" s="1"/>
      <c r="AW125" s="1"/>
      <c r="AX125" s="1"/>
      <c r="AY125" s="1"/>
      <c r="AZ125" s="1"/>
      <c r="BA125" s="1"/>
      <c r="BB125" s="1"/>
    </row>
    <row r="126" spans="1:54" x14ac:dyDescent="0.25">
      <c r="A126" s="1" t="s">
        <v>175</v>
      </c>
      <c r="B126" s="1" t="s">
        <v>42</v>
      </c>
      <c r="C126" s="1">
        <v>413.68200000000002</v>
      </c>
      <c r="D126" s="1">
        <v>2099.79</v>
      </c>
      <c r="E126" s="1">
        <v>734.10699999999997</v>
      </c>
      <c r="F126" s="1">
        <v>935.08600000000001</v>
      </c>
      <c r="G126" s="1"/>
      <c r="H126" s="1">
        <f t="shared" si="35"/>
        <v>935.08600000000001</v>
      </c>
      <c r="I126" s="7">
        <v>1</v>
      </c>
      <c r="J126" s="1">
        <v>60</v>
      </c>
      <c r="K126" s="1" t="s">
        <v>43</v>
      </c>
      <c r="L126" s="1"/>
      <c r="M126" s="1">
        <v>736.76099999999997</v>
      </c>
      <c r="N126" s="1">
        <f t="shared" si="36"/>
        <v>-2.6539999999999964</v>
      </c>
      <c r="O126" s="1">
        <f t="shared" si="37"/>
        <v>734.10699999999997</v>
      </c>
      <c r="P126" s="1"/>
      <c r="Q126" s="1">
        <v>200</v>
      </c>
      <c r="R126" s="1"/>
      <c r="S126" s="1"/>
      <c r="T126" s="1"/>
      <c r="U126" s="1"/>
      <c r="V126" s="1">
        <v>77.649749519999887</v>
      </c>
      <c r="W126" s="1"/>
      <c r="X126" s="1"/>
      <c r="Y126" s="1">
        <v>143.76385047999969</v>
      </c>
      <c r="Z126" s="1">
        <f>O126/5</f>
        <v>146.82139999999998</v>
      </c>
      <c r="AA126" s="5">
        <f>11*Z126-Y126-X126-W126-V126-U126-T126-S126-R126-Q126-H126</f>
        <v>258.53580000000011</v>
      </c>
      <c r="AB126" s="5">
        <f>AA126+$AB$1*Z126</f>
        <v>508.13218000000006</v>
      </c>
      <c r="AC126" s="5">
        <f t="shared" si="42"/>
        <v>101.62643600000001</v>
      </c>
      <c r="AD126" s="5">
        <f>AB126*$AD$1</f>
        <v>406.50574400000005</v>
      </c>
      <c r="AE126" s="1"/>
      <c r="AF126" s="1"/>
      <c r="AG126" s="1">
        <f>(H126+Q126+R126+S126+T126+U126+V126+W126+X126+Y126+AC126+AD126)/Z126</f>
        <v>12.7</v>
      </c>
      <c r="AH126" s="1">
        <f>(H126+Q126+R126+S126+T126+U126+V126+W126+X126+Y126)/Z126</f>
        <v>9.23911364419628</v>
      </c>
      <c r="AI126" s="1">
        <v>140.74080000000001</v>
      </c>
      <c r="AJ126" s="1">
        <v>154.98939999999999</v>
      </c>
      <c r="AK126" s="1">
        <v>181.70920000000001</v>
      </c>
      <c r="AL126" s="1">
        <v>175.9854</v>
      </c>
      <c r="AM126" s="1">
        <v>98.486199999999997</v>
      </c>
      <c r="AN126" s="1">
        <v>89.586800000000011</v>
      </c>
      <c r="AO126" s="1">
        <v>117.7424</v>
      </c>
      <c r="AP126" s="1">
        <v>113.4314</v>
      </c>
      <c r="AQ126" s="1" t="s">
        <v>45</v>
      </c>
      <c r="AR126" s="1">
        <f>ROUND(I126*AC126,0)</f>
        <v>102</v>
      </c>
      <c r="AS126" s="1">
        <f>ROUND(I126*AD126,0)</f>
        <v>407</v>
      </c>
      <c r="AT126" s="1"/>
      <c r="AU126" s="1"/>
      <c r="AV126" s="1"/>
      <c r="AW126" s="1"/>
      <c r="AX126" s="1"/>
      <c r="AY126" s="1"/>
      <c r="AZ126" s="1"/>
      <c r="BA126" s="1"/>
      <c r="BB126" s="1"/>
    </row>
    <row r="127" spans="1:54" x14ac:dyDescent="0.25">
      <c r="A127" s="1" t="s">
        <v>176</v>
      </c>
      <c r="B127" s="1" t="s">
        <v>42</v>
      </c>
      <c r="C127" s="1">
        <v>54.177999999999997</v>
      </c>
      <c r="D127" s="1">
        <v>154.09100000000001</v>
      </c>
      <c r="E127" s="1">
        <v>57.816000000000003</v>
      </c>
      <c r="F127" s="1">
        <v>81.203000000000003</v>
      </c>
      <c r="G127" s="1"/>
      <c r="H127" s="1">
        <f t="shared" si="35"/>
        <v>81.203000000000003</v>
      </c>
      <c r="I127" s="7">
        <v>1</v>
      </c>
      <c r="J127" s="1">
        <v>60</v>
      </c>
      <c r="K127" s="1" t="s">
        <v>43</v>
      </c>
      <c r="L127" s="1"/>
      <c r="M127" s="1">
        <v>75.7</v>
      </c>
      <c r="N127" s="1">
        <f t="shared" si="36"/>
        <v>-17.884</v>
      </c>
      <c r="O127" s="1">
        <f t="shared" si="37"/>
        <v>57.816000000000003</v>
      </c>
      <c r="P127" s="1"/>
      <c r="Q127" s="1">
        <v>10.690400000000009</v>
      </c>
      <c r="R127" s="1"/>
      <c r="S127" s="1"/>
      <c r="T127" s="1"/>
      <c r="U127" s="1"/>
      <c r="V127" s="1">
        <v>37.005600000000001</v>
      </c>
      <c r="W127" s="1"/>
      <c r="X127" s="1"/>
      <c r="Y127" s="1"/>
      <c r="Z127" s="1">
        <f>O127/5</f>
        <v>11.5632</v>
      </c>
      <c r="AA127" s="5"/>
      <c r="AB127" s="5">
        <f t="shared" si="24"/>
        <v>0</v>
      </c>
      <c r="AC127" s="5"/>
      <c r="AD127" s="5"/>
      <c r="AE127" s="1"/>
      <c r="AF127" s="1"/>
      <c r="AG127" s="1">
        <f>(H127+Q127+R127+S127+T127+U127+V127+W127+X127+Y127+AC127+AD127)/Z127</f>
        <v>11.147346755223467</v>
      </c>
      <c r="AH127" s="1">
        <f>(H127+Q127+R127+S127+T127+U127+V127+W127+X127+Y127)/Z127</f>
        <v>11.147346755223467</v>
      </c>
      <c r="AI127" s="1">
        <v>12.903</v>
      </c>
      <c r="AJ127" s="1">
        <v>13.724600000000001</v>
      </c>
      <c r="AK127" s="1">
        <v>13.781000000000001</v>
      </c>
      <c r="AL127" s="1">
        <v>13.204599999999999</v>
      </c>
      <c r="AM127" s="1">
        <v>10.835599999999999</v>
      </c>
      <c r="AN127" s="1">
        <v>10.377000000000001</v>
      </c>
      <c r="AO127" s="1">
        <v>15.2936</v>
      </c>
      <c r="AP127" s="1">
        <v>14.958</v>
      </c>
      <c r="AQ127" s="1"/>
      <c r="AR127" s="1">
        <f>ROUND(I127*AC127,0)</f>
        <v>0</v>
      </c>
      <c r="AS127" s="1">
        <f>ROUND(I127*AD127,0)</f>
        <v>0</v>
      </c>
      <c r="AT127" s="1"/>
      <c r="AU127" s="1"/>
      <c r="AV127" s="1"/>
      <c r="AW127" s="1"/>
      <c r="AX127" s="1"/>
      <c r="AY127" s="1"/>
      <c r="AZ127" s="1"/>
      <c r="BA127" s="1"/>
      <c r="BB127" s="1"/>
    </row>
    <row r="128" spans="1:54" x14ac:dyDescent="0.25">
      <c r="A128" s="1" t="s">
        <v>63</v>
      </c>
      <c r="B128" s="1" t="s">
        <v>42</v>
      </c>
      <c r="C128" s="1">
        <v>886.44600000000003</v>
      </c>
      <c r="D128" s="1">
        <v>1570.6289999999999</v>
      </c>
      <c r="E128" s="15">
        <f>1019.851+E19</f>
        <v>1019.331</v>
      </c>
      <c r="F128" s="1">
        <v>891.32500000000005</v>
      </c>
      <c r="G128" s="1"/>
      <c r="H128" s="1">
        <f t="shared" si="35"/>
        <v>891.32500000000005</v>
      </c>
      <c r="I128" s="7">
        <v>1</v>
      </c>
      <c r="J128" s="1">
        <v>60</v>
      </c>
      <c r="K128" s="1" t="s">
        <v>43</v>
      </c>
      <c r="L128" s="1"/>
      <c r="M128" s="1">
        <v>1021.475</v>
      </c>
      <c r="N128" s="1">
        <f t="shared" si="36"/>
        <v>-2.1440000000000055</v>
      </c>
      <c r="O128" s="1">
        <f t="shared" si="37"/>
        <v>1019.331</v>
      </c>
      <c r="P128" s="1"/>
      <c r="Q128" s="1">
        <v>90.363121320000047</v>
      </c>
      <c r="R128" s="1"/>
      <c r="S128" s="1">
        <v>122.15597868</v>
      </c>
      <c r="T128" s="1"/>
      <c r="U128" s="1"/>
      <c r="V128" s="1">
        <v>270.13975611000001</v>
      </c>
      <c r="W128" s="1"/>
      <c r="X128" s="1"/>
      <c r="Y128" s="1">
        <v>500.14754389000001</v>
      </c>
      <c r="Z128" s="1">
        <f>O128/5</f>
        <v>203.86619999999999</v>
      </c>
      <c r="AA128" s="5">
        <f>11*Z128-Y128-X128-W128-V128-U128-T128-S128-R128-Q128-H128</f>
        <v>368.39679999999953</v>
      </c>
      <c r="AB128" s="5">
        <v>1300</v>
      </c>
      <c r="AC128" s="5">
        <f>AB128-AD128</f>
        <v>260</v>
      </c>
      <c r="AD128" s="5">
        <f>AB128*$AD$1</f>
        <v>1040</v>
      </c>
      <c r="AE128" s="1"/>
      <c r="AF128" s="1"/>
      <c r="AG128" s="1">
        <f>(H128+Q128+R128+S128+T128+U128+V128+W128+X128+Y128+AC128+AD128)/Z128</f>
        <v>15.569679525100288</v>
      </c>
      <c r="AH128" s="1">
        <f>(H128+Q128+R128+S128+T128+U128+V128+W128+X128+Y128)/Z128</f>
        <v>9.1929481198943233</v>
      </c>
      <c r="AI128" s="1">
        <v>195.4562</v>
      </c>
      <c r="AJ128" s="1">
        <v>194.12459999999999</v>
      </c>
      <c r="AK128" s="1">
        <v>210.81899999999999</v>
      </c>
      <c r="AL128" s="1">
        <v>218.63480000000001</v>
      </c>
      <c r="AM128" s="1">
        <v>145.69720000000001</v>
      </c>
      <c r="AN128" s="1">
        <v>131.56319999999999</v>
      </c>
      <c r="AO128" s="1">
        <v>184.21879999999999</v>
      </c>
      <c r="AP128" s="1">
        <v>182.80520000000001</v>
      </c>
      <c r="AQ128" s="1"/>
      <c r="AR128" s="1">
        <f>ROUND(I128*AC128,0)</f>
        <v>260</v>
      </c>
      <c r="AS128" s="1">
        <f>ROUND(I128*AD128,0)</f>
        <v>1040</v>
      </c>
      <c r="AT128" s="1"/>
      <c r="AU128" s="1"/>
      <c r="AV128" s="1"/>
      <c r="AW128" s="1"/>
      <c r="AX128" s="1"/>
      <c r="AY128" s="1"/>
      <c r="AZ128" s="1"/>
      <c r="BA128" s="1"/>
      <c r="BB128" s="1"/>
    </row>
    <row r="129" spans="1:54" x14ac:dyDescent="0.25">
      <c r="A129" s="1" t="s">
        <v>177</v>
      </c>
      <c r="B129" s="1" t="s">
        <v>48</v>
      </c>
      <c r="C129" s="1">
        <v>38</v>
      </c>
      <c r="D129" s="1">
        <v>166</v>
      </c>
      <c r="E129" s="1">
        <v>4</v>
      </c>
      <c r="F129" s="1">
        <v>200</v>
      </c>
      <c r="G129" s="1"/>
      <c r="H129" s="1">
        <f t="shared" si="35"/>
        <v>200</v>
      </c>
      <c r="I129" s="7">
        <v>0.25</v>
      </c>
      <c r="J129" s="1">
        <v>1096</v>
      </c>
      <c r="K129" s="1" t="s">
        <v>43</v>
      </c>
      <c r="L129" s="1"/>
      <c r="M129" s="1">
        <v>4</v>
      </c>
      <c r="N129" s="1">
        <f t="shared" si="36"/>
        <v>0</v>
      </c>
      <c r="O129" s="1">
        <f t="shared" si="37"/>
        <v>4</v>
      </c>
      <c r="P129" s="1"/>
      <c r="Q129" s="1">
        <v>0</v>
      </c>
      <c r="R129" s="1"/>
      <c r="S129" s="1"/>
      <c r="T129" s="1"/>
      <c r="U129" s="1"/>
      <c r="V129" s="1">
        <v>0</v>
      </c>
      <c r="W129" s="1"/>
      <c r="X129" s="1"/>
      <c r="Y129" s="1"/>
      <c r="Z129" s="1">
        <f>O129/5</f>
        <v>0.8</v>
      </c>
      <c r="AA129" s="5"/>
      <c r="AB129" s="5">
        <f t="shared" si="24"/>
        <v>0</v>
      </c>
      <c r="AC129" s="5"/>
      <c r="AD129" s="5"/>
      <c r="AE129" s="1"/>
      <c r="AF129" s="1"/>
      <c r="AG129" s="1">
        <f>(H129+Q129+R129+S129+T129+U129+V129+W129+X129+Y129+AC129+AD129)/Z129</f>
        <v>250</v>
      </c>
      <c r="AH129" s="1">
        <f>(H129+Q129+R129+S129+T129+U129+V129+W129+X129+Y129)/Z129</f>
        <v>250</v>
      </c>
      <c r="AI129" s="1">
        <v>0.8</v>
      </c>
      <c r="AJ129" s="1">
        <v>1</v>
      </c>
      <c r="AK129" s="1">
        <v>5.6</v>
      </c>
      <c r="AL129" s="1">
        <v>10</v>
      </c>
      <c r="AM129" s="1">
        <v>6</v>
      </c>
      <c r="AN129" s="1">
        <v>1.2</v>
      </c>
      <c r="AO129" s="1">
        <v>3.6</v>
      </c>
      <c r="AP129" s="1">
        <v>4.2</v>
      </c>
      <c r="AQ129" s="17" t="s">
        <v>178</v>
      </c>
      <c r="AR129" s="1">
        <f>ROUND(I129*AC129,0)</f>
        <v>0</v>
      </c>
      <c r="AS129" s="1">
        <f>ROUND(I129*AD129,0)</f>
        <v>0</v>
      </c>
      <c r="AT129" s="1"/>
      <c r="AU129" s="1"/>
      <c r="AV129" s="1"/>
      <c r="AW129" s="1"/>
      <c r="AX129" s="1"/>
      <c r="AY129" s="1"/>
      <c r="AZ129" s="1"/>
      <c r="BA129" s="1"/>
      <c r="BB129" s="1"/>
    </row>
    <row r="130" spans="1:54" x14ac:dyDescent="0.25">
      <c r="A130" s="1" t="s">
        <v>179</v>
      </c>
      <c r="B130" s="1" t="s">
        <v>48</v>
      </c>
      <c r="C130" s="1">
        <v>9</v>
      </c>
      <c r="D130" s="1">
        <v>118</v>
      </c>
      <c r="E130" s="1">
        <v>5</v>
      </c>
      <c r="F130" s="15">
        <f>115+F138</f>
        <v>145</v>
      </c>
      <c r="G130" s="1"/>
      <c r="H130" s="1">
        <f t="shared" si="35"/>
        <v>145</v>
      </c>
      <c r="I130" s="7">
        <v>0.32500000000000001</v>
      </c>
      <c r="J130" s="1">
        <v>1096</v>
      </c>
      <c r="K130" s="1" t="s">
        <v>43</v>
      </c>
      <c r="L130" s="1"/>
      <c r="M130" s="1">
        <v>5</v>
      </c>
      <c r="N130" s="1">
        <f t="shared" si="36"/>
        <v>0</v>
      </c>
      <c r="O130" s="1">
        <f t="shared" si="37"/>
        <v>5</v>
      </c>
      <c r="P130" s="1"/>
      <c r="Q130" s="1">
        <v>0</v>
      </c>
      <c r="R130" s="1"/>
      <c r="S130" s="1"/>
      <c r="T130" s="1"/>
      <c r="U130" s="1"/>
      <c r="V130" s="1">
        <v>0</v>
      </c>
      <c r="W130" s="1"/>
      <c r="X130" s="1"/>
      <c r="Y130" s="1"/>
      <c r="Z130" s="1">
        <f>O130/5</f>
        <v>1</v>
      </c>
      <c r="AA130" s="5"/>
      <c r="AB130" s="5">
        <f t="shared" si="24"/>
        <v>0</v>
      </c>
      <c r="AC130" s="5"/>
      <c r="AD130" s="5"/>
      <c r="AE130" s="1"/>
      <c r="AF130" s="1"/>
      <c r="AG130" s="1">
        <f>(H130+Q130+R130+S130+T130+U130+V130+W130+X130+Y130+AC130+AD130)/Z130</f>
        <v>145</v>
      </c>
      <c r="AH130" s="1">
        <f>(H130+Q130+R130+S130+T130+U130+V130+W130+X130+Y130)/Z130</f>
        <v>145</v>
      </c>
      <c r="AI130" s="1">
        <v>1</v>
      </c>
      <c r="AJ130" s="1">
        <v>1</v>
      </c>
      <c r="AK130" s="1">
        <v>5.2</v>
      </c>
      <c r="AL130" s="1">
        <v>7.2</v>
      </c>
      <c r="AM130" s="1">
        <v>3.8</v>
      </c>
      <c r="AN130" s="1">
        <v>1</v>
      </c>
      <c r="AO130" s="1">
        <v>2.8</v>
      </c>
      <c r="AP130" s="1">
        <v>3.6</v>
      </c>
      <c r="AQ130" s="17" t="s">
        <v>178</v>
      </c>
      <c r="AR130" s="1">
        <f>ROUND(I130*AC130,0)</f>
        <v>0</v>
      </c>
      <c r="AS130" s="1">
        <f>ROUND(I130*AD130,0)</f>
        <v>0</v>
      </c>
      <c r="AT130" s="1"/>
      <c r="AU130" s="1"/>
      <c r="AV130" s="1"/>
      <c r="AW130" s="1"/>
      <c r="AX130" s="1"/>
      <c r="AY130" s="1"/>
      <c r="AZ130" s="1"/>
      <c r="BA130" s="1"/>
      <c r="BB130" s="1"/>
    </row>
    <row r="131" spans="1:54" x14ac:dyDescent="0.25">
      <c r="A131" s="1" t="s">
        <v>180</v>
      </c>
      <c r="B131" s="1" t="s">
        <v>48</v>
      </c>
      <c r="C131" s="1">
        <v>63</v>
      </c>
      <c r="D131" s="1">
        <v>163</v>
      </c>
      <c r="E131" s="1">
        <v>29</v>
      </c>
      <c r="F131" s="1">
        <v>176</v>
      </c>
      <c r="G131" s="1"/>
      <c r="H131" s="1">
        <f t="shared" si="35"/>
        <v>176</v>
      </c>
      <c r="I131" s="7">
        <v>0.25</v>
      </c>
      <c r="J131" s="1">
        <v>1096</v>
      </c>
      <c r="K131" s="1" t="s">
        <v>43</v>
      </c>
      <c r="L131" s="1"/>
      <c r="M131" s="1">
        <v>29</v>
      </c>
      <c r="N131" s="1">
        <f t="shared" si="36"/>
        <v>0</v>
      </c>
      <c r="O131" s="1">
        <f t="shared" si="37"/>
        <v>29</v>
      </c>
      <c r="P131" s="1"/>
      <c r="Q131" s="1">
        <v>0</v>
      </c>
      <c r="R131" s="1"/>
      <c r="S131" s="1"/>
      <c r="T131" s="1"/>
      <c r="U131" s="1"/>
      <c r="V131" s="1">
        <v>0</v>
      </c>
      <c r="W131" s="1"/>
      <c r="X131" s="1"/>
      <c r="Y131" s="1"/>
      <c r="Z131" s="1">
        <f>O131/5</f>
        <v>5.8</v>
      </c>
      <c r="AA131" s="5"/>
      <c r="AB131" s="5">
        <f t="shared" si="24"/>
        <v>0</v>
      </c>
      <c r="AC131" s="5"/>
      <c r="AD131" s="5"/>
      <c r="AE131" s="1"/>
      <c r="AF131" s="1"/>
      <c r="AG131" s="1">
        <f>(H131+Q131+R131+S131+T131+U131+V131+W131+X131+Y131+AC131+AD131)/Z131</f>
        <v>30.344827586206897</v>
      </c>
      <c r="AH131" s="1">
        <f>(H131+Q131+R131+S131+T131+U131+V131+W131+X131+Y131)/Z131</f>
        <v>30.344827586206897</v>
      </c>
      <c r="AI131" s="1">
        <v>1.8</v>
      </c>
      <c r="AJ131" s="1">
        <v>2</v>
      </c>
      <c r="AK131" s="1">
        <v>6.4</v>
      </c>
      <c r="AL131" s="1">
        <v>12.4</v>
      </c>
      <c r="AM131" s="1">
        <v>8.6</v>
      </c>
      <c r="AN131" s="1">
        <v>2</v>
      </c>
      <c r="AO131" s="1">
        <v>8</v>
      </c>
      <c r="AP131" s="1">
        <v>9.8000000000000007</v>
      </c>
      <c r="AQ131" s="17" t="s">
        <v>178</v>
      </c>
      <c r="AR131" s="1">
        <f>ROUND(I131*AC131,0)</f>
        <v>0</v>
      </c>
      <c r="AS131" s="1">
        <f>ROUND(I131*AD131,0)</f>
        <v>0</v>
      </c>
      <c r="AT131" s="1"/>
      <c r="AU131" s="1"/>
      <c r="AV131" s="1"/>
      <c r="AW131" s="1"/>
      <c r="AX131" s="1"/>
      <c r="AY131" s="1"/>
      <c r="AZ131" s="1"/>
      <c r="BA131" s="1"/>
      <c r="BB131" s="1"/>
    </row>
    <row r="132" spans="1:54" x14ac:dyDescent="0.25">
      <c r="A132" s="1" t="s">
        <v>181</v>
      </c>
      <c r="B132" s="1" t="s">
        <v>48</v>
      </c>
      <c r="C132" s="1">
        <v>31</v>
      </c>
      <c r="D132" s="1">
        <v>262</v>
      </c>
      <c r="E132" s="1">
        <v>17</v>
      </c>
      <c r="F132" s="1"/>
      <c r="G132" s="1"/>
      <c r="H132" s="1">
        <f t="shared" si="35"/>
        <v>0</v>
      </c>
      <c r="I132" s="7">
        <v>0.3</v>
      </c>
      <c r="J132" s="1">
        <v>40</v>
      </c>
      <c r="K132" s="11" t="s">
        <v>53</v>
      </c>
      <c r="L132" s="1"/>
      <c r="M132" s="1">
        <v>107</v>
      </c>
      <c r="N132" s="1">
        <f t="shared" si="36"/>
        <v>-90</v>
      </c>
      <c r="O132" s="1">
        <f t="shared" si="37"/>
        <v>17</v>
      </c>
      <c r="P132" s="1"/>
      <c r="Q132" s="1">
        <v>30</v>
      </c>
      <c r="R132" s="1">
        <v>-30</v>
      </c>
      <c r="S132" s="1"/>
      <c r="T132" s="1"/>
      <c r="U132" s="1"/>
      <c r="V132" s="1">
        <v>30</v>
      </c>
      <c r="W132" s="1">
        <v>-30</v>
      </c>
      <c r="X132" s="1"/>
      <c r="Y132" s="1"/>
      <c r="Z132" s="1">
        <f>O132/5</f>
        <v>3.4</v>
      </c>
      <c r="AA132" s="5">
        <v>40</v>
      </c>
      <c r="AB132" s="5">
        <f t="shared" ref="AB132:AB133" si="43">AA132*1.3</f>
        <v>52</v>
      </c>
      <c r="AC132" s="5">
        <f t="shared" ref="AC132:AC133" si="44">AB132</f>
        <v>52</v>
      </c>
      <c r="AD132" s="5"/>
      <c r="AE132" s="1"/>
      <c r="AF132" s="1"/>
      <c r="AG132" s="1">
        <f>(H132+Q132+R132+S132+T132+U132+V132+W132+X132+Y132+AC132+AD132)/Z132</f>
        <v>15.294117647058824</v>
      </c>
      <c r="AH132" s="1">
        <f>(H132+Q132+R132+S132+T132+U132+V132+W132+X132+Y132)/Z132</f>
        <v>0</v>
      </c>
      <c r="AI132" s="1">
        <v>-0.2</v>
      </c>
      <c r="AJ132" s="1">
        <v>13.2</v>
      </c>
      <c r="AK132" s="1">
        <v>28.8</v>
      </c>
      <c r="AL132" s="1">
        <v>16.8</v>
      </c>
      <c r="AM132" s="1">
        <v>0</v>
      </c>
      <c r="AN132" s="1">
        <v>-0.4</v>
      </c>
      <c r="AO132" s="1">
        <v>-0.4</v>
      </c>
      <c r="AP132" s="1">
        <v>-0.6</v>
      </c>
      <c r="AQ132" s="1"/>
      <c r="AR132" s="1">
        <f>ROUND(I132*AC132,0)</f>
        <v>16</v>
      </c>
      <c r="AS132" s="1">
        <f>ROUND(I132*AD132,0)</f>
        <v>0</v>
      </c>
      <c r="AT132" s="1"/>
      <c r="AU132" s="1"/>
      <c r="AV132" s="1"/>
      <c r="AW132" s="1"/>
      <c r="AX132" s="1"/>
      <c r="AY132" s="1"/>
      <c r="AZ132" s="1"/>
      <c r="BA132" s="1"/>
      <c r="BB132" s="1"/>
    </row>
    <row r="133" spans="1:54" x14ac:dyDescent="0.25">
      <c r="A133" s="1" t="s">
        <v>182</v>
      </c>
      <c r="B133" s="1" t="s">
        <v>48</v>
      </c>
      <c r="C133" s="1">
        <v>-15</v>
      </c>
      <c r="D133" s="1">
        <v>149</v>
      </c>
      <c r="E133" s="1">
        <v>-5</v>
      </c>
      <c r="F133" s="1"/>
      <c r="G133" s="1"/>
      <c r="H133" s="1">
        <f t="shared" si="35"/>
        <v>0</v>
      </c>
      <c r="I133" s="7">
        <v>0.3</v>
      </c>
      <c r="J133" s="1">
        <v>40</v>
      </c>
      <c r="K133" s="11" t="s">
        <v>53</v>
      </c>
      <c r="L133" s="1"/>
      <c r="M133" s="1">
        <v>26</v>
      </c>
      <c r="N133" s="1">
        <f t="shared" si="36"/>
        <v>-31</v>
      </c>
      <c r="O133" s="1">
        <f t="shared" si="37"/>
        <v>-5</v>
      </c>
      <c r="P133" s="1"/>
      <c r="Q133" s="1">
        <v>50</v>
      </c>
      <c r="R133" s="1">
        <v>-53.333333333333343</v>
      </c>
      <c r="S133" s="1"/>
      <c r="T133" s="1"/>
      <c r="U133" s="1"/>
      <c r="V133" s="1">
        <v>50</v>
      </c>
      <c r="W133" s="1">
        <v>-54</v>
      </c>
      <c r="X133" s="1"/>
      <c r="Y133" s="1"/>
      <c r="Z133" s="1">
        <f>O133/5</f>
        <v>-1</v>
      </c>
      <c r="AA133" s="5">
        <v>40</v>
      </c>
      <c r="AB133" s="5">
        <f t="shared" si="43"/>
        <v>52</v>
      </c>
      <c r="AC133" s="5">
        <f t="shared" si="44"/>
        <v>52</v>
      </c>
      <c r="AD133" s="5"/>
      <c r="AE133" s="1"/>
      <c r="AF133" s="1"/>
      <c r="AG133" s="1">
        <f>(H133+Q133+R133+S133+T133+U133+V133+W133+X133+Y133+AC133+AD133)/Z133</f>
        <v>-44.666666666666657</v>
      </c>
      <c r="AH133" s="1">
        <f>(H133+Q133+R133+S133+T133+U133+V133+W133+X133+Y133)/Z133</f>
        <v>7.3333333333333428</v>
      </c>
      <c r="AI133" s="1">
        <v>0.6</v>
      </c>
      <c r="AJ133" s="1">
        <v>9.1999999999999993</v>
      </c>
      <c r="AK133" s="1">
        <v>8</v>
      </c>
      <c r="AL133" s="1">
        <v>0</v>
      </c>
      <c r="AM133" s="1">
        <v>-0.2</v>
      </c>
      <c r="AN133" s="1">
        <v>-1.2</v>
      </c>
      <c r="AO133" s="1">
        <v>-0.2</v>
      </c>
      <c r="AP133" s="1">
        <v>0</v>
      </c>
      <c r="AQ133" s="1"/>
      <c r="AR133" s="1">
        <f>ROUND(I133*AC133,0)</f>
        <v>16</v>
      </c>
      <c r="AS133" s="1">
        <f>ROUND(I133*AD133,0)</f>
        <v>0</v>
      </c>
      <c r="AT133" s="1"/>
      <c r="AU133" s="1"/>
      <c r="AV133" s="1"/>
      <c r="AW133" s="1"/>
      <c r="AX133" s="1"/>
      <c r="AY133" s="1"/>
      <c r="AZ133" s="1"/>
      <c r="BA133" s="1"/>
      <c r="BB133" s="1"/>
    </row>
    <row r="134" spans="1:54" x14ac:dyDescent="0.25">
      <c r="A134" s="1" t="s">
        <v>183</v>
      </c>
      <c r="B134" s="1" t="s">
        <v>42</v>
      </c>
      <c r="C134" s="1">
        <v>27.206</v>
      </c>
      <c r="D134" s="1">
        <v>188.64</v>
      </c>
      <c r="E134" s="1">
        <v>80.543999999999997</v>
      </c>
      <c r="F134" s="1">
        <v>14.891</v>
      </c>
      <c r="G134" s="1"/>
      <c r="H134" s="1">
        <f t="shared" ref="H134:H138" si="45">F134-G134</f>
        <v>14.891</v>
      </c>
      <c r="I134" s="7">
        <v>1</v>
      </c>
      <c r="J134" s="1">
        <v>50</v>
      </c>
      <c r="K134" s="1" t="s">
        <v>43</v>
      </c>
      <c r="L134" s="1"/>
      <c r="M134" s="1">
        <v>85.35</v>
      </c>
      <c r="N134" s="1">
        <f t="shared" ref="N134:N138" si="46">E134-M134</f>
        <v>-4.8059999999999974</v>
      </c>
      <c r="O134" s="1">
        <f t="shared" ref="O134:O138" si="47">E134-P134</f>
        <v>80.543999999999997</v>
      </c>
      <c r="P134" s="1"/>
      <c r="Q134" s="1">
        <v>28.977399999999971</v>
      </c>
      <c r="R134" s="1"/>
      <c r="S134" s="1"/>
      <c r="T134" s="1"/>
      <c r="U134" s="1"/>
      <c r="V134" s="1">
        <v>69.44440000000003</v>
      </c>
      <c r="W134" s="1"/>
      <c r="X134" s="1"/>
      <c r="Y134" s="1"/>
      <c r="Z134" s="1">
        <f>O134/5</f>
        <v>16.108799999999999</v>
      </c>
      <c r="AA134" s="5">
        <f>11*Z134-Y134-X134-W134-V134-U134-T134-S134-R134-Q134-H134</f>
        <v>63.883999999999993</v>
      </c>
      <c r="AB134" s="5">
        <f t="shared" si="24"/>
        <v>63.883999999999993</v>
      </c>
      <c r="AC134" s="5">
        <f>AB134-AD134</f>
        <v>63.883999999999993</v>
      </c>
      <c r="AD134" s="5"/>
      <c r="AE134" s="1"/>
      <c r="AF134" s="1"/>
      <c r="AG134" s="1">
        <f>(H134+Q134+R134+S134+T134+U134+V134+W134+X134+Y134+AC134+AD134)/Z134</f>
        <v>11</v>
      </c>
      <c r="AH134" s="1">
        <f>(H134+Q134+R134+S134+T134+U134+V134+W134+X134+Y134)/Z134</f>
        <v>7.0342173222089803</v>
      </c>
      <c r="AI134" s="1">
        <v>13.9884</v>
      </c>
      <c r="AJ134" s="1">
        <v>11.2852</v>
      </c>
      <c r="AK134" s="1">
        <v>10.900600000000001</v>
      </c>
      <c r="AL134" s="1">
        <v>11.664199999999999</v>
      </c>
      <c r="AM134" s="1">
        <v>8.6918000000000006</v>
      </c>
      <c r="AN134" s="1">
        <v>8.6745999999999999</v>
      </c>
      <c r="AO134" s="1">
        <v>10.775399999999999</v>
      </c>
      <c r="AP134" s="1">
        <v>8.8368000000000002</v>
      </c>
      <c r="AQ134" s="1"/>
      <c r="AR134" s="1">
        <f>ROUND(I134*AC134,0)</f>
        <v>64</v>
      </c>
      <c r="AS134" s="1">
        <f>ROUND(I134*AD134,0)</f>
        <v>0</v>
      </c>
      <c r="AT134" s="1"/>
      <c r="AU134" s="1"/>
      <c r="AV134" s="1"/>
      <c r="AW134" s="1"/>
      <c r="AX134" s="1"/>
      <c r="AY134" s="1"/>
      <c r="AZ134" s="1"/>
      <c r="BA134" s="1"/>
      <c r="BB134" s="1"/>
    </row>
    <row r="135" spans="1:54" x14ac:dyDescent="0.25">
      <c r="A135" s="1" t="s">
        <v>184</v>
      </c>
      <c r="B135" s="1" t="s">
        <v>48</v>
      </c>
      <c r="C135" s="1">
        <v>2</v>
      </c>
      <c r="D135" s="1">
        <v>47</v>
      </c>
      <c r="E135" s="1">
        <v>1</v>
      </c>
      <c r="F135" s="1"/>
      <c r="G135" s="1"/>
      <c r="H135" s="1">
        <f t="shared" si="45"/>
        <v>0</v>
      </c>
      <c r="I135" s="7">
        <v>0.3</v>
      </c>
      <c r="J135" s="1">
        <v>40</v>
      </c>
      <c r="K135" s="11" t="s">
        <v>53</v>
      </c>
      <c r="L135" s="1"/>
      <c r="M135" s="1">
        <v>9</v>
      </c>
      <c r="N135" s="1">
        <f t="shared" si="46"/>
        <v>-8</v>
      </c>
      <c r="O135" s="1">
        <f t="shared" si="47"/>
        <v>1</v>
      </c>
      <c r="P135" s="1"/>
      <c r="Q135" s="1">
        <v>20</v>
      </c>
      <c r="R135" s="1">
        <v>-23.333333333333339</v>
      </c>
      <c r="S135" s="1"/>
      <c r="T135" s="1"/>
      <c r="U135" s="1"/>
      <c r="V135" s="1">
        <v>20</v>
      </c>
      <c r="W135" s="1">
        <v>-24</v>
      </c>
      <c r="X135" s="1"/>
      <c r="Y135" s="1"/>
      <c r="Z135" s="1">
        <f>O135/5</f>
        <v>0.2</v>
      </c>
      <c r="AA135" s="5">
        <v>10</v>
      </c>
      <c r="AB135" s="5">
        <f t="shared" ref="AB135:AB136" si="48">AA135*1.3</f>
        <v>13</v>
      </c>
      <c r="AC135" s="5">
        <f t="shared" ref="AC135:AC136" si="49">AB135</f>
        <v>13</v>
      </c>
      <c r="AD135" s="5"/>
      <c r="AE135" s="1"/>
      <c r="AF135" s="1"/>
      <c r="AG135" s="1">
        <f>(H135+Q135+R135+S135+T135+U135+V135+W135+X135+Y135+AC135+AD135)/Z135</f>
        <v>28.333333333333304</v>
      </c>
      <c r="AH135" s="1">
        <f>(H135+Q135+R135+S135+T135+U135+V135+W135+X135+Y135)/Z135</f>
        <v>-36.666666666666693</v>
      </c>
      <c r="AI135" s="1">
        <v>0.2</v>
      </c>
      <c r="AJ135" s="1">
        <v>-0.2</v>
      </c>
      <c r="AK135" s="1">
        <v>0.6</v>
      </c>
      <c r="AL135" s="1">
        <v>5.8</v>
      </c>
      <c r="AM135" s="1">
        <v>7.2</v>
      </c>
      <c r="AN135" s="1">
        <v>4.5999999999999996</v>
      </c>
      <c r="AO135" s="1">
        <v>2.6</v>
      </c>
      <c r="AP135" s="1">
        <v>0</v>
      </c>
      <c r="AQ135" s="1"/>
      <c r="AR135" s="1">
        <f>ROUND(I135*AC135,0)</f>
        <v>4</v>
      </c>
      <c r="AS135" s="1">
        <f>ROUND(I135*AD135,0)</f>
        <v>0</v>
      </c>
      <c r="AT135" s="1"/>
      <c r="AU135" s="1"/>
      <c r="AV135" s="1"/>
      <c r="AW135" s="1"/>
      <c r="AX135" s="1"/>
      <c r="AY135" s="1"/>
      <c r="AZ135" s="1"/>
      <c r="BA135" s="1"/>
      <c r="BB135" s="1"/>
    </row>
    <row r="136" spans="1:54" x14ac:dyDescent="0.25">
      <c r="A136" s="1" t="s">
        <v>185</v>
      </c>
      <c r="B136" s="1" t="s">
        <v>48</v>
      </c>
      <c r="C136" s="1">
        <v>4</v>
      </c>
      <c r="D136" s="1">
        <v>248</v>
      </c>
      <c r="E136" s="1">
        <v>44</v>
      </c>
      <c r="F136" s="1">
        <v>49</v>
      </c>
      <c r="G136" s="1"/>
      <c r="H136" s="1">
        <f t="shared" si="45"/>
        <v>49</v>
      </c>
      <c r="I136" s="7">
        <v>0.12</v>
      </c>
      <c r="J136" s="1">
        <v>45</v>
      </c>
      <c r="K136" s="11" t="s">
        <v>53</v>
      </c>
      <c r="L136" s="1"/>
      <c r="M136" s="1">
        <v>56</v>
      </c>
      <c r="N136" s="1">
        <f t="shared" si="46"/>
        <v>-12</v>
      </c>
      <c r="O136" s="1">
        <f t="shared" si="47"/>
        <v>44</v>
      </c>
      <c r="P136" s="1"/>
      <c r="Q136" s="1">
        <v>0</v>
      </c>
      <c r="R136" s="1"/>
      <c r="S136" s="1"/>
      <c r="T136" s="1"/>
      <c r="U136" s="1"/>
      <c r="V136" s="1">
        <v>0</v>
      </c>
      <c r="W136" s="1"/>
      <c r="X136" s="1"/>
      <c r="Y136" s="1"/>
      <c r="Z136" s="1">
        <f>O136/5</f>
        <v>8.8000000000000007</v>
      </c>
      <c r="AA136" s="5">
        <f>11*Z136-Y136-X136-W136-V136-U136-T136-S136-R136-Q136-H136</f>
        <v>47.800000000000011</v>
      </c>
      <c r="AB136" s="5">
        <f t="shared" si="48"/>
        <v>62.140000000000015</v>
      </c>
      <c r="AC136" s="5">
        <f t="shared" si="49"/>
        <v>62.140000000000015</v>
      </c>
      <c r="AD136" s="5"/>
      <c r="AE136" s="1"/>
      <c r="AF136" s="1"/>
      <c r="AG136" s="1">
        <f>(H136+Q136+R136+S136+T136+U136+V136+W136+X136+Y136+AC136+AD136)/Z136</f>
        <v>12.629545454545456</v>
      </c>
      <c r="AH136" s="1">
        <f>(H136+Q136+R136+S136+T136+U136+V136+W136+X136+Y136)/Z136</f>
        <v>5.5681818181818175</v>
      </c>
      <c r="AI136" s="1">
        <v>6.6</v>
      </c>
      <c r="AJ136" s="1">
        <v>8.4</v>
      </c>
      <c r="AK136" s="1">
        <v>10.4</v>
      </c>
      <c r="AL136" s="1">
        <v>13.2</v>
      </c>
      <c r="AM136" s="1">
        <v>9.8000000000000007</v>
      </c>
      <c r="AN136" s="1">
        <v>7.2</v>
      </c>
      <c r="AO136" s="1">
        <v>8</v>
      </c>
      <c r="AP136" s="1">
        <v>7</v>
      </c>
      <c r="AQ136" s="1"/>
      <c r="AR136" s="1">
        <f>ROUND(I136*AC136,0)</f>
        <v>7</v>
      </c>
      <c r="AS136" s="1">
        <f>ROUND(I136*AD136,0)</f>
        <v>0</v>
      </c>
      <c r="AT136" s="1"/>
      <c r="AU136" s="1"/>
      <c r="AV136" s="1"/>
      <c r="AW136" s="1"/>
      <c r="AX136" s="1"/>
      <c r="AY136" s="1"/>
      <c r="AZ136" s="1"/>
      <c r="BA136" s="1"/>
      <c r="BB136" s="1"/>
    </row>
    <row r="137" spans="1:54" x14ac:dyDescent="0.25">
      <c r="A137" s="12" t="s">
        <v>186</v>
      </c>
      <c r="B137" s="12" t="s">
        <v>48</v>
      </c>
      <c r="C137" s="12">
        <v>69</v>
      </c>
      <c r="D137" s="12">
        <v>51</v>
      </c>
      <c r="E137" s="15">
        <v>108</v>
      </c>
      <c r="F137" s="15">
        <v>10</v>
      </c>
      <c r="G137" s="12"/>
      <c r="H137" s="12">
        <f t="shared" si="45"/>
        <v>10</v>
      </c>
      <c r="I137" s="13">
        <v>0</v>
      </c>
      <c r="J137" s="12"/>
      <c r="K137" s="12" t="s">
        <v>187</v>
      </c>
      <c r="L137" s="12" t="s">
        <v>110</v>
      </c>
      <c r="M137" s="12">
        <v>113</v>
      </c>
      <c r="N137" s="12">
        <f t="shared" si="46"/>
        <v>-5</v>
      </c>
      <c r="O137" s="12">
        <f t="shared" si="47"/>
        <v>108</v>
      </c>
      <c r="P137" s="12"/>
      <c r="Q137" s="12">
        <v>0</v>
      </c>
      <c r="R137" s="12"/>
      <c r="S137" s="12"/>
      <c r="T137" s="12"/>
      <c r="U137" s="12"/>
      <c r="V137" s="12">
        <v>0</v>
      </c>
      <c r="W137" s="12"/>
      <c r="X137" s="12"/>
      <c r="Y137" s="12"/>
      <c r="Z137" s="12">
        <f>O137/5</f>
        <v>21.6</v>
      </c>
      <c r="AA137" s="14"/>
      <c r="AB137" s="5">
        <f t="shared" ref="AB137:AB138" si="50">AA137</f>
        <v>0</v>
      </c>
      <c r="AC137" s="5"/>
      <c r="AD137" s="5"/>
      <c r="AE137" s="12"/>
      <c r="AF137" s="1"/>
      <c r="AG137" s="1">
        <f>(H137+Q137+R137+S137+T137+U137+V137+W137+X137+Y137+AC137+AD137)/Z137</f>
        <v>0.46296296296296291</v>
      </c>
      <c r="AH137" s="12">
        <f>(H137+Q137+R137+S137+T137+U137+V137+W137+X137+Y137)/Z137</f>
        <v>0.46296296296296291</v>
      </c>
      <c r="AI137" s="12">
        <v>19.8</v>
      </c>
      <c r="AJ137" s="12">
        <v>10.4</v>
      </c>
      <c r="AK137" s="12">
        <v>11.2</v>
      </c>
      <c r="AL137" s="12">
        <v>14.6</v>
      </c>
      <c r="AM137" s="12">
        <v>5.2</v>
      </c>
      <c r="AN137" s="12">
        <v>0</v>
      </c>
      <c r="AO137" s="12">
        <v>0</v>
      </c>
      <c r="AP137" s="12">
        <v>0</v>
      </c>
      <c r="AQ137" s="12"/>
      <c r="AR137" s="1">
        <f>ROUND(I137*AC137,0)</f>
        <v>0</v>
      </c>
      <c r="AS137" s="1">
        <f>ROUND(I137*AD137,0)</f>
        <v>0</v>
      </c>
      <c r="AT137" s="1"/>
      <c r="AU137" s="1"/>
      <c r="AV137" s="1"/>
      <c r="AW137" s="1"/>
      <c r="AX137" s="1"/>
      <c r="AY137" s="1"/>
      <c r="AZ137" s="1"/>
      <c r="BA137" s="1"/>
      <c r="BB137" s="1"/>
    </row>
    <row r="138" spans="1:54" x14ac:dyDescent="0.25">
      <c r="A138" s="12" t="s">
        <v>188</v>
      </c>
      <c r="B138" s="12" t="s">
        <v>48</v>
      </c>
      <c r="C138" s="12">
        <v>30</v>
      </c>
      <c r="D138" s="12"/>
      <c r="E138" s="12"/>
      <c r="F138" s="15">
        <v>30</v>
      </c>
      <c r="G138" s="12"/>
      <c r="H138" s="12">
        <f t="shared" si="45"/>
        <v>30</v>
      </c>
      <c r="I138" s="13">
        <v>0</v>
      </c>
      <c r="J138" s="12"/>
      <c r="K138" s="12" t="s">
        <v>187</v>
      </c>
      <c r="L138" s="12" t="s">
        <v>179</v>
      </c>
      <c r="M138" s="12">
        <v>2</v>
      </c>
      <c r="N138" s="12">
        <f t="shared" si="46"/>
        <v>-2</v>
      </c>
      <c r="O138" s="12">
        <f t="shared" si="47"/>
        <v>0</v>
      </c>
      <c r="P138" s="12"/>
      <c r="Q138" s="12">
        <v>0</v>
      </c>
      <c r="R138" s="12"/>
      <c r="S138" s="12"/>
      <c r="T138" s="12"/>
      <c r="U138" s="12"/>
      <c r="V138" s="12">
        <v>0</v>
      </c>
      <c r="W138" s="12"/>
      <c r="X138" s="12"/>
      <c r="Y138" s="12"/>
      <c r="Z138" s="12">
        <f>O138/5</f>
        <v>0</v>
      </c>
      <c r="AA138" s="14"/>
      <c r="AB138" s="5">
        <f t="shared" si="50"/>
        <v>0</v>
      </c>
      <c r="AC138" s="5"/>
      <c r="AD138" s="5"/>
      <c r="AE138" s="12"/>
      <c r="AF138" s="1"/>
      <c r="AG138" s="1" t="e">
        <f>(H138+Q138+R138+S138+T138+U138+V138+W138+X138+Y138+AC138+AD138)/Z138</f>
        <v>#DIV/0!</v>
      </c>
      <c r="AH138" s="12" t="e">
        <f>(H138+Q138+R138+S138+T138+U138+V138+W138+X138+Y138)/Z138</f>
        <v>#DIV/0!</v>
      </c>
      <c r="AI138" s="12">
        <v>0</v>
      </c>
      <c r="AJ138" s="12">
        <v>0</v>
      </c>
      <c r="AK138" s="12">
        <v>0</v>
      </c>
      <c r="AL138" s="12">
        <v>0</v>
      </c>
      <c r="AM138" s="12">
        <v>0.2</v>
      </c>
      <c r="AN138" s="12">
        <v>0.4</v>
      </c>
      <c r="AO138" s="12">
        <v>2.4</v>
      </c>
      <c r="AP138" s="12">
        <v>2.6</v>
      </c>
      <c r="AQ138" s="12"/>
      <c r="AR138" s="1">
        <f>ROUND(I138*AC138,0)</f>
        <v>0</v>
      </c>
      <c r="AS138" s="1">
        <f>ROUND(I138*AD138,0)</f>
        <v>0</v>
      </c>
      <c r="AT138" s="1"/>
      <c r="AU138" s="1"/>
      <c r="AV138" s="1"/>
      <c r="AW138" s="1"/>
      <c r="AX138" s="1"/>
      <c r="AY138" s="1"/>
      <c r="AZ138" s="1"/>
      <c r="BA138" s="1"/>
      <c r="BB138" s="1"/>
    </row>
    <row r="139" spans="1:54" x14ac:dyDescent="0.25">
      <c r="A139" s="1"/>
      <c r="B139" s="1"/>
      <c r="C139" s="1"/>
      <c r="D139" s="1"/>
      <c r="E139" s="1"/>
      <c r="F139" s="1"/>
      <c r="G139" s="1"/>
      <c r="H139" s="1"/>
      <c r="I139" s="7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</row>
    <row r="140" spans="1:54" x14ac:dyDescent="0.25">
      <c r="A140" s="1"/>
      <c r="B140" s="1"/>
      <c r="C140" s="1"/>
      <c r="D140" s="1"/>
      <c r="E140" s="1"/>
      <c r="F140" s="1"/>
      <c r="G140" s="1"/>
      <c r="H140" s="1"/>
      <c r="I140" s="7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</row>
    <row r="141" spans="1:54" x14ac:dyDescent="0.25">
      <c r="A141" s="1"/>
      <c r="B141" s="1"/>
      <c r="C141" s="1"/>
      <c r="D141" s="1"/>
      <c r="E141" s="1"/>
      <c r="F141" s="1"/>
      <c r="G141" s="1"/>
      <c r="H141" s="1"/>
      <c r="I141" s="7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</row>
    <row r="142" spans="1:54" x14ac:dyDescent="0.25">
      <c r="A142" s="1"/>
      <c r="B142" s="1"/>
      <c r="C142" s="1"/>
      <c r="D142" s="1"/>
      <c r="E142" s="1"/>
      <c r="F142" s="1"/>
      <c r="G142" s="1"/>
      <c r="H142" s="1"/>
      <c r="I142" s="7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</row>
    <row r="143" spans="1:54" x14ac:dyDescent="0.25">
      <c r="A143" s="1"/>
      <c r="B143" s="1"/>
      <c r="C143" s="1"/>
      <c r="D143" s="1"/>
      <c r="E143" s="1"/>
      <c r="F143" s="1"/>
      <c r="G143" s="1"/>
      <c r="H143" s="1"/>
      <c r="I143" s="7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</row>
    <row r="144" spans="1:54" x14ac:dyDescent="0.25">
      <c r="A144" s="1"/>
      <c r="B144" s="1"/>
      <c r="C144" s="1"/>
      <c r="D144" s="1"/>
      <c r="E144" s="1"/>
      <c r="F144" s="1"/>
      <c r="G144" s="1"/>
      <c r="H144" s="1"/>
      <c r="I144" s="7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</row>
    <row r="145" spans="1:54" x14ac:dyDescent="0.25">
      <c r="A145" s="1"/>
      <c r="B145" s="1"/>
      <c r="C145" s="1"/>
      <c r="D145" s="1"/>
      <c r="E145" s="1"/>
      <c r="F145" s="1"/>
      <c r="G145" s="1"/>
      <c r="H145" s="1"/>
      <c r="I145" s="7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</row>
    <row r="146" spans="1:54" x14ac:dyDescent="0.25">
      <c r="A146" s="1"/>
      <c r="B146" s="1"/>
      <c r="C146" s="1"/>
      <c r="D146" s="1"/>
      <c r="E146" s="1"/>
      <c r="F146" s="1"/>
      <c r="G146" s="1"/>
      <c r="H146" s="1"/>
      <c r="I146" s="7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</row>
    <row r="147" spans="1:54" x14ac:dyDescent="0.25">
      <c r="A147" s="1"/>
      <c r="B147" s="1"/>
      <c r="C147" s="1"/>
      <c r="D147" s="1"/>
      <c r="E147" s="1"/>
      <c r="F147" s="1"/>
      <c r="G147" s="1"/>
      <c r="H147" s="1"/>
      <c r="I147" s="7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</row>
    <row r="148" spans="1:54" x14ac:dyDescent="0.25">
      <c r="A148" s="1"/>
      <c r="B148" s="1"/>
      <c r="C148" s="1"/>
      <c r="D148" s="1"/>
      <c r="E148" s="1"/>
      <c r="F148" s="1"/>
      <c r="G148" s="1"/>
      <c r="H148" s="1"/>
      <c r="I148" s="7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</row>
    <row r="149" spans="1:54" x14ac:dyDescent="0.25">
      <c r="A149" s="1"/>
      <c r="B149" s="1"/>
      <c r="C149" s="1"/>
      <c r="D149" s="1"/>
      <c r="E149" s="1"/>
      <c r="F149" s="1"/>
      <c r="G149" s="1"/>
      <c r="H149" s="1"/>
      <c r="I149" s="7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</row>
    <row r="150" spans="1:54" x14ac:dyDescent="0.25">
      <c r="A150" s="1"/>
      <c r="B150" s="1"/>
      <c r="C150" s="1"/>
      <c r="D150" s="1"/>
      <c r="E150" s="1"/>
      <c r="F150" s="1"/>
      <c r="G150" s="1"/>
      <c r="H150" s="1"/>
      <c r="I150" s="7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</row>
    <row r="151" spans="1:54" x14ac:dyDescent="0.25">
      <c r="A151" s="1"/>
      <c r="B151" s="1"/>
      <c r="C151" s="1"/>
      <c r="D151" s="1"/>
      <c r="E151" s="1"/>
      <c r="F151" s="1"/>
      <c r="G151" s="1"/>
      <c r="H151" s="1"/>
      <c r="I151" s="7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</row>
    <row r="152" spans="1:54" x14ac:dyDescent="0.25">
      <c r="A152" s="1"/>
      <c r="B152" s="1"/>
      <c r="C152" s="1"/>
      <c r="D152" s="1"/>
      <c r="E152" s="1"/>
      <c r="F152" s="1"/>
      <c r="G152" s="1"/>
      <c r="H152" s="1"/>
      <c r="I152" s="7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</row>
    <row r="153" spans="1:54" x14ac:dyDescent="0.25">
      <c r="A153" s="1"/>
      <c r="B153" s="1"/>
      <c r="C153" s="1"/>
      <c r="D153" s="1"/>
      <c r="E153" s="1"/>
      <c r="F153" s="1"/>
      <c r="G153" s="1"/>
      <c r="H153" s="1"/>
      <c r="I153" s="7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</row>
    <row r="154" spans="1:54" x14ac:dyDescent="0.25">
      <c r="A154" s="1"/>
      <c r="B154" s="1"/>
      <c r="C154" s="1"/>
      <c r="D154" s="1"/>
      <c r="E154" s="1"/>
      <c r="F154" s="1"/>
      <c r="G154" s="1"/>
      <c r="H154" s="1"/>
      <c r="I154" s="7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</row>
    <row r="155" spans="1:54" x14ac:dyDescent="0.25">
      <c r="A155" s="1"/>
      <c r="B155" s="1"/>
      <c r="C155" s="1"/>
      <c r="D155" s="1"/>
      <c r="E155" s="1"/>
      <c r="F155" s="1"/>
      <c r="G155" s="1"/>
      <c r="H155" s="1"/>
      <c r="I155" s="7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</row>
    <row r="156" spans="1:54" x14ac:dyDescent="0.25">
      <c r="A156" s="1"/>
      <c r="B156" s="1"/>
      <c r="C156" s="1"/>
      <c r="D156" s="1"/>
      <c r="E156" s="1"/>
      <c r="F156" s="1"/>
      <c r="G156" s="1"/>
      <c r="H156" s="1"/>
      <c r="I156" s="7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</row>
    <row r="157" spans="1:54" x14ac:dyDescent="0.25">
      <c r="A157" s="1"/>
      <c r="B157" s="1"/>
      <c r="C157" s="1"/>
      <c r="D157" s="1"/>
      <c r="E157" s="1"/>
      <c r="F157" s="1"/>
      <c r="G157" s="1"/>
      <c r="H157" s="1"/>
      <c r="I157" s="7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</row>
    <row r="158" spans="1:54" x14ac:dyDescent="0.25">
      <c r="A158" s="1"/>
      <c r="B158" s="1"/>
      <c r="C158" s="1"/>
      <c r="D158" s="1"/>
      <c r="E158" s="1"/>
      <c r="F158" s="1"/>
      <c r="G158" s="1"/>
      <c r="H158" s="1"/>
      <c r="I158" s="7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</row>
    <row r="159" spans="1:54" x14ac:dyDescent="0.25">
      <c r="A159" s="1"/>
      <c r="B159" s="1"/>
      <c r="C159" s="1"/>
      <c r="D159" s="1"/>
      <c r="E159" s="1"/>
      <c r="F159" s="1"/>
      <c r="G159" s="1"/>
      <c r="H159" s="1"/>
      <c r="I159" s="7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</row>
    <row r="160" spans="1:54" x14ac:dyDescent="0.25">
      <c r="A160" s="1"/>
      <c r="B160" s="1"/>
      <c r="C160" s="1"/>
      <c r="D160" s="1"/>
      <c r="E160" s="1"/>
      <c r="F160" s="1"/>
      <c r="G160" s="1"/>
      <c r="H160" s="1"/>
      <c r="I160" s="7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</row>
    <row r="161" spans="1:54" x14ac:dyDescent="0.25">
      <c r="A161" s="1"/>
      <c r="B161" s="1"/>
      <c r="C161" s="1"/>
      <c r="D161" s="1"/>
      <c r="E161" s="1"/>
      <c r="F161" s="1"/>
      <c r="G161" s="1"/>
      <c r="H161" s="1"/>
      <c r="I161" s="7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</row>
    <row r="162" spans="1:54" x14ac:dyDescent="0.25">
      <c r="A162" s="1"/>
      <c r="B162" s="1"/>
      <c r="C162" s="1"/>
      <c r="D162" s="1"/>
      <c r="E162" s="1"/>
      <c r="F162" s="1"/>
      <c r="G162" s="1"/>
      <c r="H162" s="1"/>
      <c r="I162" s="7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</row>
    <row r="163" spans="1:54" x14ac:dyDescent="0.25">
      <c r="A163" s="1"/>
      <c r="B163" s="1"/>
      <c r="C163" s="1"/>
      <c r="D163" s="1"/>
      <c r="E163" s="1"/>
      <c r="F163" s="1"/>
      <c r="G163" s="1"/>
      <c r="H163" s="1"/>
      <c r="I163" s="7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</row>
    <row r="164" spans="1:54" x14ac:dyDescent="0.25">
      <c r="A164" s="1"/>
      <c r="B164" s="1"/>
      <c r="C164" s="1"/>
      <c r="D164" s="1"/>
      <c r="E164" s="1"/>
      <c r="F164" s="1"/>
      <c r="G164" s="1"/>
      <c r="H164" s="1"/>
      <c r="I164" s="7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</row>
    <row r="165" spans="1:54" x14ac:dyDescent="0.25">
      <c r="A165" s="1"/>
      <c r="B165" s="1"/>
      <c r="C165" s="1"/>
      <c r="D165" s="1"/>
      <c r="E165" s="1"/>
      <c r="F165" s="1"/>
      <c r="G165" s="1"/>
      <c r="H165" s="1"/>
      <c r="I165" s="7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</row>
    <row r="166" spans="1:54" x14ac:dyDescent="0.25">
      <c r="A166" s="1"/>
      <c r="B166" s="1"/>
      <c r="C166" s="1"/>
      <c r="D166" s="1"/>
      <c r="E166" s="1"/>
      <c r="F166" s="1"/>
      <c r="G166" s="1"/>
      <c r="H166" s="1"/>
      <c r="I166" s="7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</row>
    <row r="167" spans="1:54" x14ac:dyDescent="0.25">
      <c r="A167" s="1"/>
      <c r="B167" s="1"/>
      <c r="C167" s="1"/>
      <c r="D167" s="1"/>
      <c r="E167" s="1"/>
      <c r="F167" s="1"/>
      <c r="G167" s="1"/>
      <c r="H167" s="1"/>
      <c r="I167" s="7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</row>
    <row r="168" spans="1:54" x14ac:dyDescent="0.25">
      <c r="A168" s="1"/>
      <c r="B168" s="1"/>
      <c r="C168" s="1"/>
      <c r="D168" s="1"/>
      <c r="E168" s="1"/>
      <c r="F168" s="1"/>
      <c r="G168" s="1"/>
      <c r="H168" s="1"/>
      <c r="I168" s="7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</row>
    <row r="169" spans="1:54" x14ac:dyDescent="0.25">
      <c r="A169" s="1"/>
      <c r="B169" s="1"/>
      <c r="C169" s="1"/>
      <c r="D169" s="1"/>
      <c r="E169" s="1"/>
      <c r="F169" s="1"/>
      <c r="G169" s="1"/>
      <c r="H169" s="1"/>
      <c r="I169" s="7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</row>
    <row r="170" spans="1:54" x14ac:dyDescent="0.25">
      <c r="A170" s="1"/>
      <c r="B170" s="1"/>
      <c r="C170" s="1"/>
      <c r="D170" s="1"/>
      <c r="E170" s="1"/>
      <c r="F170" s="1"/>
      <c r="G170" s="1"/>
      <c r="H170" s="1"/>
      <c r="I170" s="7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</row>
    <row r="171" spans="1:54" x14ac:dyDescent="0.25">
      <c r="A171" s="1"/>
      <c r="B171" s="1"/>
      <c r="C171" s="1"/>
      <c r="D171" s="1"/>
      <c r="E171" s="1"/>
      <c r="F171" s="1"/>
      <c r="G171" s="1"/>
      <c r="H171" s="1"/>
      <c r="I171" s="7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</row>
    <row r="172" spans="1:54" x14ac:dyDescent="0.25">
      <c r="A172" s="1"/>
      <c r="B172" s="1"/>
      <c r="C172" s="1"/>
      <c r="D172" s="1"/>
      <c r="E172" s="1"/>
      <c r="F172" s="1"/>
      <c r="G172" s="1"/>
      <c r="H172" s="1"/>
      <c r="I172" s="7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</row>
    <row r="173" spans="1:54" x14ac:dyDescent="0.25">
      <c r="A173" s="1"/>
      <c r="B173" s="1"/>
      <c r="C173" s="1"/>
      <c r="D173" s="1"/>
      <c r="E173" s="1"/>
      <c r="F173" s="1"/>
      <c r="G173" s="1"/>
      <c r="H173" s="1"/>
      <c r="I173" s="7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</row>
    <row r="174" spans="1:54" x14ac:dyDescent="0.25">
      <c r="A174" s="1"/>
      <c r="B174" s="1"/>
      <c r="C174" s="1"/>
      <c r="D174" s="1"/>
      <c r="E174" s="1"/>
      <c r="F174" s="1"/>
      <c r="G174" s="1"/>
      <c r="H174" s="1"/>
      <c r="I174" s="7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</row>
    <row r="175" spans="1:54" x14ac:dyDescent="0.25">
      <c r="A175" s="1"/>
      <c r="B175" s="1"/>
      <c r="C175" s="1"/>
      <c r="D175" s="1"/>
      <c r="E175" s="1"/>
      <c r="F175" s="1"/>
      <c r="G175" s="1"/>
      <c r="H175" s="1"/>
      <c r="I175" s="7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</row>
    <row r="176" spans="1:54" x14ac:dyDescent="0.25">
      <c r="A176" s="1"/>
      <c r="B176" s="1"/>
      <c r="C176" s="1"/>
      <c r="D176" s="1"/>
      <c r="E176" s="1"/>
      <c r="F176" s="1"/>
      <c r="G176" s="1"/>
      <c r="H176" s="1"/>
      <c r="I176" s="7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</row>
    <row r="177" spans="1:54" x14ac:dyDescent="0.25">
      <c r="A177" s="1"/>
      <c r="B177" s="1"/>
      <c r="C177" s="1"/>
      <c r="D177" s="1"/>
      <c r="E177" s="1"/>
      <c r="F177" s="1"/>
      <c r="G177" s="1"/>
      <c r="H177" s="1"/>
      <c r="I177" s="7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</row>
    <row r="178" spans="1:54" x14ac:dyDescent="0.25">
      <c r="A178" s="1"/>
      <c r="B178" s="1"/>
      <c r="C178" s="1"/>
      <c r="D178" s="1"/>
      <c r="E178" s="1"/>
      <c r="F178" s="1"/>
      <c r="G178" s="1"/>
      <c r="H178" s="1"/>
      <c r="I178" s="7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</row>
    <row r="179" spans="1:54" x14ac:dyDescent="0.25">
      <c r="A179" s="1"/>
      <c r="B179" s="1"/>
      <c r="C179" s="1"/>
      <c r="D179" s="1"/>
      <c r="E179" s="1"/>
      <c r="F179" s="1"/>
      <c r="G179" s="1"/>
      <c r="H179" s="1"/>
      <c r="I179" s="7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</row>
    <row r="180" spans="1:54" x14ac:dyDescent="0.25">
      <c r="A180" s="1"/>
      <c r="B180" s="1"/>
      <c r="C180" s="1"/>
      <c r="D180" s="1"/>
      <c r="E180" s="1"/>
      <c r="F180" s="1"/>
      <c r="G180" s="1"/>
      <c r="H180" s="1"/>
      <c r="I180" s="7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</row>
    <row r="181" spans="1:54" x14ac:dyDescent="0.25">
      <c r="A181" s="1"/>
      <c r="B181" s="1"/>
      <c r="C181" s="1"/>
      <c r="D181" s="1"/>
      <c r="E181" s="1"/>
      <c r="F181" s="1"/>
      <c r="G181" s="1"/>
      <c r="H181" s="1"/>
      <c r="I181" s="7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</row>
    <row r="182" spans="1:54" x14ac:dyDescent="0.25">
      <c r="A182" s="1"/>
      <c r="B182" s="1"/>
      <c r="C182" s="1"/>
      <c r="D182" s="1"/>
      <c r="E182" s="1"/>
      <c r="F182" s="1"/>
      <c r="G182" s="1"/>
      <c r="H182" s="1"/>
      <c r="I182" s="7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</row>
    <row r="183" spans="1:54" x14ac:dyDescent="0.25">
      <c r="A183" s="1"/>
      <c r="B183" s="1"/>
      <c r="C183" s="1"/>
      <c r="D183" s="1"/>
      <c r="E183" s="1"/>
      <c r="F183" s="1"/>
      <c r="G183" s="1"/>
      <c r="H183" s="1"/>
      <c r="I183" s="7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</row>
    <row r="184" spans="1:54" x14ac:dyDescent="0.25">
      <c r="A184" s="1"/>
      <c r="B184" s="1"/>
      <c r="C184" s="1"/>
      <c r="D184" s="1"/>
      <c r="E184" s="1"/>
      <c r="F184" s="1"/>
      <c r="G184" s="1"/>
      <c r="H184" s="1"/>
      <c r="I184" s="7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</row>
    <row r="185" spans="1:54" x14ac:dyDescent="0.25">
      <c r="A185" s="1"/>
      <c r="B185" s="1"/>
      <c r="C185" s="1"/>
      <c r="D185" s="1"/>
      <c r="E185" s="1"/>
      <c r="F185" s="1"/>
      <c r="G185" s="1"/>
      <c r="H185" s="1"/>
      <c r="I185" s="7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</row>
    <row r="186" spans="1:54" x14ac:dyDescent="0.25">
      <c r="A186" s="1"/>
      <c r="B186" s="1"/>
      <c r="C186" s="1"/>
      <c r="D186" s="1"/>
      <c r="E186" s="1"/>
      <c r="F186" s="1"/>
      <c r="G186" s="1"/>
      <c r="H186" s="1"/>
      <c r="I186" s="7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</row>
    <row r="187" spans="1:54" x14ac:dyDescent="0.25">
      <c r="A187" s="1"/>
      <c r="B187" s="1"/>
      <c r="C187" s="1"/>
      <c r="D187" s="1"/>
      <c r="E187" s="1"/>
      <c r="F187" s="1"/>
      <c r="G187" s="1"/>
      <c r="H187" s="1"/>
      <c r="I187" s="7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</row>
    <row r="188" spans="1:54" x14ac:dyDescent="0.25">
      <c r="A188" s="1"/>
      <c r="B188" s="1"/>
      <c r="C188" s="1"/>
      <c r="D188" s="1"/>
      <c r="E188" s="1"/>
      <c r="F188" s="1"/>
      <c r="G188" s="1"/>
      <c r="H188" s="1"/>
      <c r="I188" s="7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</row>
    <row r="189" spans="1:54" x14ac:dyDescent="0.25">
      <c r="A189" s="1"/>
      <c r="B189" s="1"/>
      <c r="C189" s="1"/>
      <c r="D189" s="1"/>
      <c r="E189" s="1"/>
      <c r="F189" s="1"/>
      <c r="G189" s="1"/>
      <c r="H189" s="1"/>
      <c r="I189" s="7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</row>
    <row r="190" spans="1:54" x14ac:dyDescent="0.25">
      <c r="A190" s="1"/>
      <c r="B190" s="1"/>
      <c r="C190" s="1"/>
      <c r="D190" s="1"/>
      <c r="E190" s="1"/>
      <c r="F190" s="1"/>
      <c r="G190" s="1"/>
      <c r="H190" s="1"/>
      <c r="I190" s="7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</row>
    <row r="191" spans="1:54" x14ac:dyDescent="0.25">
      <c r="A191" s="1"/>
      <c r="B191" s="1"/>
      <c r="C191" s="1"/>
      <c r="D191" s="1"/>
      <c r="E191" s="1"/>
      <c r="F191" s="1"/>
      <c r="G191" s="1"/>
      <c r="H191" s="1"/>
      <c r="I191" s="7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</row>
    <row r="192" spans="1:54" x14ac:dyDescent="0.25">
      <c r="A192" s="1"/>
      <c r="B192" s="1"/>
      <c r="C192" s="1"/>
      <c r="D192" s="1"/>
      <c r="E192" s="1"/>
      <c r="F192" s="1"/>
      <c r="G192" s="1"/>
      <c r="H192" s="1"/>
      <c r="I192" s="7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</row>
    <row r="193" spans="1:54" x14ac:dyDescent="0.25">
      <c r="A193" s="1"/>
      <c r="B193" s="1"/>
      <c r="C193" s="1"/>
      <c r="D193" s="1"/>
      <c r="E193" s="1"/>
      <c r="F193" s="1"/>
      <c r="G193" s="1"/>
      <c r="H193" s="1"/>
      <c r="I193" s="7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</row>
    <row r="194" spans="1:54" x14ac:dyDescent="0.25">
      <c r="A194" s="1"/>
      <c r="B194" s="1"/>
      <c r="C194" s="1"/>
      <c r="D194" s="1"/>
      <c r="E194" s="1"/>
      <c r="F194" s="1"/>
      <c r="G194" s="1"/>
      <c r="H194" s="1"/>
      <c r="I194" s="7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</row>
    <row r="195" spans="1:54" x14ac:dyDescent="0.25">
      <c r="A195" s="1"/>
      <c r="B195" s="1"/>
      <c r="C195" s="1"/>
      <c r="D195" s="1"/>
      <c r="E195" s="1"/>
      <c r="F195" s="1"/>
      <c r="G195" s="1"/>
      <c r="H195" s="1"/>
      <c r="I195" s="7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</row>
    <row r="196" spans="1:54" x14ac:dyDescent="0.25">
      <c r="A196" s="1"/>
      <c r="B196" s="1"/>
      <c r="C196" s="1"/>
      <c r="D196" s="1"/>
      <c r="E196" s="1"/>
      <c r="F196" s="1"/>
      <c r="G196" s="1"/>
      <c r="H196" s="1"/>
      <c r="I196" s="7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</row>
    <row r="197" spans="1:54" x14ac:dyDescent="0.25">
      <c r="A197" s="1"/>
      <c r="B197" s="1"/>
      <c r="C197" s="1"/>
      <c r="D197" s="1"/>
      <c r="E197" s="1"/>
      <c r="F197" s="1"/>
      <c r="G197" s="1"/>
      <c r="H197" s="1"/>
      <c r="I197" s="7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</row>
    <row r="198" spans="1:54" x14ac:dyDescent="0.25">
      <c r="A198" s="1"/>
      <c r="B198" s="1"/>
      <c r="C198" s="1"/>
      <c r="D198" s="1"/>
      <c r="E198" s="1"/>
      <c r="F198" s="1"/>
      <c r="G198" s="1"/>
      <c r="H198" s="1"/>
      <c r="I198" s="7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</row>
    <row r="199" spans="1:54" x14ac:dyDescent="0.25">
      <c r="A199" s="1"/>
      <c r="B199" s="1"/>
      <c r="C199" s="1"/>
      <c r="D199" s="1"/>
      <c r="E199" s="1"/>
      <c r="F199" s="1"/>
      <c r="G199" s="1"/>
      <c r="H199" s="1"/>
      <c r="I199" s="7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</row>
    <row r="200" spans="1:54" x14ac:dyDescent="0.25">
      <c r="A200" s="1"/>
      <c r="B200" s="1"/>
      <c r="C200" s="1"/>
      <c r="D200" s="1"/>
      <c r="E200" s="1"/>
      <c r="F200" s="1"/>
      <c r="G200" s="1"/>
      <c r="H200" s="1"/>
      <c r="I200" s="7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</row>
    <row r="201" spans="1:54" x14ac:dyDescent="0.25">
      <c r="A201" s="1"/>
      <c r="B201" s="1"/>
      <c r="C201" s="1"/>
      <c r="D201" s="1"/>
      <c r="E201" s="1"/>
      <c r="F201" s="1"/>
      <c r="G201" s="1"/>
      <c r="H201" s="1"/>
      <c r="I201" s="7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</row>
    <row r="202" spans="1:54" x14ac:dyDescent="0.25">
      <c r="A202" s="1"/>
      <c r="B202" s="1"/>
      <c r="C202" s="1"/>
      <c r="D202" s="1"/>
      <c r="E202" s="1"/>
      <c r="F202" s="1"/>
      <c r="G202" s="1"/>
      <c r="H202" s="1"/>
      <c r="I202" s="7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</row>
    <row r="203" spans="1:54" x14ac:dyDescent="0.25">
      <c r="A203" s="1"/>
      <c r="B203" s="1"/>
      <c r="C203" s="1"/>
      <c r="D203" s="1"/>
      <c r="E203" s="1"/>
      <c r="F203" s="1"/>
      <c r="G203" s="1"/>
      <c r="H203" s="1"/>
      <c r="I203" s="7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</row>
    <row r="204" spans="1:54" x14ac:dyDescent="0.25">
      <c r="A204" s="1"/>
      <c r="B204" s="1"/>
      <c r="C204" s="1"/>
      <c r="D204" s="1"/>
      <c r="E204" s="1"/>
      <c r="F204" s="1"/>
      <c r="G204" s="1"/>
      <c r="H204" s="1"/>
      <c r="I204" s="7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</row>
    <row r="205" spans="1:54" x14ac:dyDescent="0.25">
      <c r="A205" s="1"/>
      <c r="B205" s="1"/>
      <c r="C205" s="1"/>
      <c r="D205" s="1"/>
      <c r="E205" s="1"/>
      <c r="F205" s="1"/>
      <c r="G205" s="1"/>
      <c r="H205" s="1"/>
      <c r="I205" s="7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</row>
    <row r="206" spans="1:54" x14ac:dyDescent="0.25">
      <c r="A206" s="1"/>
      <c r="B206" s="1"/>
      <c r="C206" s="1"/>
      <c r="D206" s="1"/>
      <c r="E206" s="1"/>
      <c r="F206" s="1"/>
      <c r="G206" s="1"/>
      <c r="H206" s="1"/>
      <c r="I206" s="7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</row>
    <row r="207" spans="1:54" x14ac:dyDescent="0.25">
      <c r="A207" s="1"/>
      <c r="B207" s="1"/>
      <c r="C207" s="1"/>
      <c r="D207" s="1"/>
      <c r="E207" s="1"/>
      <c r="F207" s="1"/>
      <c r="G207" s="1"/>
      <c r="H207" s="1"/>
      <c r="I207" s="7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</row>
    <row r="208" spans="1:54" x14ac:dyDescent="0.25">
      <c r="A208" s="1"/>
      <c r="B208" s="1"/>
      <c r="C208" s="1"/>
      <c r="D208" s="1"/>
      <c r="E208" s="1"/>
      <c r="F208" s="1"/>
      <c r="G208" s="1"/>
      <c r="H208" s="1"/>
      <c r="I208" s="7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</row>
    <row r="209" spans="1:54" x14ac:dyDescent="0.25">
      <c r="A209" s="1"/>
      <c r="B209" s="1"/>
      <c r="C209" s="1"/>
      <c r="D209" s="1"/>
      <c r="E209" s="1"/>
      <c r="F209" s="1"/>
      <c r="G209" s="1"/>
      <c r="H209" s="1"/>
      <c r="I209" s="7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</row>
    <row r="210" spans="1:54" x14ac:dyDescent="0.25">
      <c r="A210" s="1"/>
      <c r="B210" s="1"/>
      <c r="C210" s="1"/>
      <c r="D210" s="1"/>
      <c r="E210" s="1"/>
      <c r="F210" s="1"/>
      <c r="G210" s="1"/>
      <c r="H210" s="1"/>
      <c r="I210" s="7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</row>
    <row r="211" spans="1:54" x14ac:dyDescent="0.25">
      <c r="A211" s="1"/>
      <c r="B211" s="1"/>
      <c r="C211" s="1"/>
      <c r="D211" s="1"/>
      <c r="E211" s="1"/>
      <c r="F211" s="1"/>
      <c r="G211" s="1"/>
      <c r="H211" s="1"/>
      <c r="I211" s="7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</row>
    <row r="212" spans="1:54" x14ac:dyDescent="0.25">
      <c r="A212" s="1"/>
      <c r="B212" s="1"/>
      <c r="C212" s="1"/>
      <c r="D212" s="1"/>
      <c r="E212" s="1"/>
      <c r="F212" s="1"/>
      <c r="G212" s="1"/>
      <c r="H212" s="1"/>
      <c r="I212" s="7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</row>
    <row r="213" spans="1:54" x14ac:dyDescent="0.25">
      <c r="A213" s="1"/>
      <c r="B213" s="1"/>
      <c r="C213" s="1"/>
      <c r="D213" s="1"/>
      <c r="E213" s="1"/>
      <c r="F213" s="1"/>
      <c r="G213" s="1"/>
      <c r="H213" s="1"/>
      <c r="I213" s="7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</row>
    <row r="214" spans="1:54" x14ac:dyDescent="0.25">
      <c r="A214" s="1"/>
      <c r="B214" s="1"/>
      <c r="C214" s="1"/>
      <c r="D214" s="1"/>
      <c r="E214" s="1"/>
      <c r="F214" s="1"/>
      <c r="G214" s="1"/>
      <c r="H214" s="1"/>
      <c r="I214" s="7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</row>
    <row r="215" spans="1:54" x14ac:dyDescent="0.25">
      <c r="A215" s="1"/>
      <c r="B215" s="1"/>
      <c r="C215" s="1"/>
      <c r="D215" s="1"/>
      <c r="E215" s="1"/>
      <c r="F215" s="1"/>
      <c r="G215" s="1"/>
      <c r="H215" s="1"/>
      <c r="I215" s="7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</row>
    <row r="216" spans="1:54" x14ac:dyDescent="0.25">
      <c r="A216" s="1"/>
      <c r="B216" s="1"/>
      <c r="C216" s="1"/>
      <c r="D216" s="1"/>
      <c r="E216" s="1"/>
      <c r="F216" s="1"/>
      <c r="G216" s="1"/>
      <c r="H216" s="1"/>
      <c r="I216" s="7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</row>
    <row r="217" spans="1:54" x14ac:dyDescent="0.25">
      <c r="A217" s="1"/>
      <c r="B217" s="1"/>
      <c r="C217" s="1"/>
      <c r="D217" s="1"/>
      <c r="E217" s="1"/>
      <c r="F217" s="1"/>
      <c r="G217" s="1"/>
      <c r="H217" s="1"/>
      <c r="I217" s="7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</row>
    <row r="218" spans="1:54" x14ac:dyDescent="0.25">
      <c r="A218" s="1"/>
      <c r="B218" s="1"/>
      <c r="C218" s="1"/>
      <c r="D218" s="1"/>
      <c r="E218" s="1"/>
      <c r="F218" s="1"/>
      <c r="G218" s="1"/>
      <c r="H218" s="1"/>
      <c r="I218" s="7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</row>
    <row r="219" spans="1:54" x14ac:dyDescent="0.25">
      <c r="A219" s="1"/>
      <c r="B219" s="1"/>
      <c r="C219" s="1"/>
      <c r="D219" s="1"/>
      <c r="E219" s="1"/>
      <c r="F219" s="1"/>
      <c r="G219" s="1"/>
      <c r="H219" s="1"/>
      <c r="I219" s="7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</row>
    <row r="220" spans="1:54" x14ac:dyDescent="0.25">
      <c r="A220" s="1"/>
      <c r="B220" s="1"/>
      <c r="C220" s="1"/>
      <c r="D220" s="1"/>
      <c r="E220" s="1"/>
      <c r="F220" s="1"/>
      <c r="G220" s="1"/>
      <c r="H220" s="1"/>
      <c r="I220" s="7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</row>
    <row r="221" spans="1:54" x14ac:dyDescent="0.25">
      <c r="A221" s="1"/>
      <c r="B221" s="1"/>
      <c r="C221" s="1"/>
      <c r="D221" s="1"/>
      <c r="E221" s="1"/>
      <c r="F221" s="1"/>
      <c r="G221" s="1"/>
      <c r="H221" s="1"/>
      <c r="I221" s="7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</row>
    <row r="222" spans="1:54" x14ac:dyDescent="0.25">
      <c r="A222" s="1"/>
      <c r="B222" s="1"/>
      <c r="C222" s="1"/>
      <c r="D222" s="1"/>
      <c r="E222" s="1"/>
      <c r="F222" s="1"/>
      <c r="G222" s="1"/>
      <c r="H222" s="1"/>
      <c r="I222" s="7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</row>
    <row r="223" spans="1:54" x14ac:dyDescent="0.25">
      <c r="A223" s="1"/>
      <c r="B223" s="1"/>
      <c r="C223" s="1"/>
      <c r="D223" s="1"/>
      <c r="E223" s="1"/>
      <c r="F223" s="1"/>
      <c r="G223" s="1"/>
      <c r="H223" s="1"/>
      <c r="I223" s="7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</row>
    <row r="224" spans="1:54" x14ac:dyDescent="0.25">
      <c r="A224" s="1"/>
      <c r="B224" s="1"/>
      <c r="C224" s="1"/>
      <c r="D224" s="1"/>
      <c r="E224" s="1"/>
      <c r="F224" s="1"/>
      <c r="G224" s="1"/>
      <c r="H224" s="1"/>
      <c r="I224" s="7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</row>
    <row r="225" spans="1:54" x14ac:dyDescent="0.25">
      <c r="A225" s="1"/>
      <c r="B225" s="1"/>
      <c r="C225" s="1"/>
      <c r="D225" s="1"/>
      <c r="E225" s="1"/>
      <c r="F225" s="1"/>
      <c r="G225" s="1"/>
      <c r="H225" s="1"/>
      <c r="I225" s="7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</row>
    <row r="226" spans="1:54" x14ac:dyDescent="0.25">
      <c r="A226" s="1"/>
      <c r="B226" s="1"/>
      <c r="C226" s="1"/>
      <c r="D226" s="1"/>
      <c r="E226" s="1"/>
      <c r="F226" s="1"/>
      <c r="G226" s="1"/>
      <c r="H226" s="1"/>
      <c r="I226" s="7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</row>
    <row r="227" spans="1:54" x14ac:dyDescent="0.25">
      <c r="A227" s="1"/>
      <c r="B227" s="1"/>
      <c r="C227" s="1"/>
      <c r="D227" s="1"/>
      <c r="E227" s="1"/>
      <c r="F227" s="1"/>
      <c r="G227" s="1"/>
      <c r="H227" s="1"/>
      <c r="I227" s="7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</row>
    <row r="228" spans="1:54" x14ac:dyDescent="0.25">
      <c r="A228" s="1"/>
      <c r="B228" s="1"/>
      <c r="C228" s="1"/>
      <c r="D228" s="1"/>
      <c r="E228" s="1"/>
      <c r="F228" s="1"/>
      <c r="G228" s="1"/>
      <c r="H228" s="1"/>
      <c r="I228" s="7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</row>
    <row r="229" spans="1:54" x14ac:dyDescent="0.25">
      <c r="A229" s="1"/>
      <c r="B229" s="1"/>
      <c r="C229" s="1"/>
      <c r="D229" s="1"/>
      <c r="E229" s="1"/>
      <c r="F229" s="1"/>
      <c r="G229" s="1"/>
      <c r="H229" s="1"/>
      <c r="I229" s="7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</row>
    <row r="230" spans="1:54" x14ac:dyDescent="0.25">
      <c r="A230" s="1"/>
      <c r="B230" s="1"/>
      <c r="C230" s="1"/>
      <c r="D230" s="1"/>
      <c r="E230" s="1"/>
      <c r="F230" s="1"/>
      <c r="G230" s="1"/>
      <c r="H230" s="1"/>
      <c r="I230" s="7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</row>
    <row r="231" spans="1:54" x14ac:dyDescent="0.25">
      <c r="A231" s="1"/>
      <c r="B231" s="1"/>
      <c r="C231" s="1"/>
      <c r="D231" s="1"/>
      <c r="E231" s="1"/>
      <c r="F231" s="1"/>
      <c r="G231" s="1"/>
      <c r="H231" s="1"/>
      <c r="I231" s="7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</row>
    <row r="232" spans="1:54" x14ac:dyDescent="0.25">
      <c r="A232" s="1"/>
      <c r="B232" s="1"/>
      <c r="C232" s="1"/>
      <c r="D232" s="1"/>
      <c r="E232" s="1"/>
      <c r="F232" s="1"/>
      <c r="G232" s="1"/>
      <c r="H232" s="1"/>
      <c r="I232" s="7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</row>
    <row r="233" spans="1:54" x14ac:dyDescent="0.25">
      <c r="A233" s="1"/>
      <c r="B233" s="1"/>
      <c r="C233" s="1"/>
      <c r="D233" s="1"/>
      <c r="E233" s="1"/>
      <c r="F233" s="1"/>
      <c r="G233" s="1"/>
      <c r="H233" s="1"/>
      <c r="I233" s="7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</row>
    <row r="234" spans="1:54" x14ac:dyDescent="0.25">
      <c r="A234" s="1"/>
      <c r="B234" s="1"/>
      <c r="C234" s="1"/>
      <c r="D234" s="1"/>
      <c r="E234" s="1"/>
      <c r="F234" s="1"/>
      <c r="G234" s="1"/>
      <c r="H234" s="1"/>
      <c r="I234" s="7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</row>
    <row r="235" spans="1:54" x14ac:dyDescent="0.25">
      <c r="A235" s="1"/>
      <c r="B235" s="1"/>
      <c r="C235" s="1"/>
      <c r="D235" s="1"/>
      <c r="E235" s="1"/>
      <c r="F235" s="1"/>
      <c r="G235" s="1"/>
      <c r="H235" s="1"/>
      <c r="I235" s="7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</row>
    <row r="236" spans="1:54" x14ac:dyDescent="0.25">
      <c r="A236" s="1"/>
      <c r="B236" s="1"/>
      <c r="C236" s="1"/>
      <c r="D236" s="1"/>
      <c r="E236" s="1"/>
      <c r="F236" s="1"/>
      <c r="G236" s="1"/>
      <c r="H236" s="1"/>
      <c r="I236" s="7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</row>
    <row r="237" spans="1:54" x14ac:dyDescent="0.25">
      <c r="A237" s="1"/>
      <c r="B237" s="1"/>
      <c r="C237" s="1"/>
      <c r="D237" s="1"/>
      <c r="E237" s="1"/>
      <c r="F237" s="1"/>
      <c r="G237" s="1"/>
      <c r="H237" s="1"/>
      <c r="I237" s="7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</row>
    <row r="238" spans="1:54" x14ac:dyDescent="0.25">
      <c r="A238" s="1"/>
      <c r="B238" s="1"/>
      <c r="C238" s="1"/>
      <c r="D238" s="1"/>
      <c r="E238" s="1"/>
      <c r="F238" s="1"/>
      <c r="G238" s="1"/>
      <c r="H238" s="1"/>
      <c r="I238" s="7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</row>
    <row r="239" spans="1:54" x14ac:dyDescent="0.25">
      <c r="A239" s="1"/>
      <c r="B239" s="1"/>
      <c r="C239" s="1"/>
      <c r="D239" s="1"/>
      <c r="E239" s="1"/>
      <c r="F239" s="1"/>
      <c r="G239" s="1"/>
      <c r="H239" s="1"/>
      <c r="I239" s="7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</row>
    <row r="240" spans="1:54" x14ac:dyDescent="0.25">
      <c r="A240" s="1"/>
      <c r="B240" s="1"/>
      <c r="C240" s="1"/>
      <c r="D240" s="1"/>
      <c r="E240" s="1"/>
      <c r="F240" s="1"/>
      <c r="G240" s="1"/>
      <c r="H240" s="1"/>
      <c r="I240" s="7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</row>
    <row r="241" spans="1:54" x14ac:dyDescent="0.25">
      <c r="A241" s="1"/>
      <c r="B241" s="1"/>
      <c r="C241" s="1"/>
      <c r="D241" s="1"/>
      <c r="E241" s="1"/>
      <c r="F241" s="1"/>
      <c r="G241" s="1"/>
      <c r="H241" s="1"/>
      <c r="I241" s="7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</row>
    <row r="242" spans="1:54" x14ac:dyDescent="0.25">
      <c r="A242" s="1"/>
      <c r="B242" s="1"/>
      <c r="C242" s="1"/>
      <c r="D242" s="1"/>
      <c r="E242" s="1"/>
      <c r="F242" s="1"/>
      <c r="G242" s="1"/>
      <c r="H242" s="1"/>
      <c r="I242" s="7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</row>
    <row r="243" spans="1:54" x14ac:dyDescent="0.25">
      <c r="A243" s="1"/>
      <c r="B243" s="1"/>
      <c r="C243" s="1"/>
      <c r="D243" s="1"/>
      <c r="E243" s="1"/>
      <c r="F243" s="1"/>
      <c r="G243" s="1"/>
      <c r="H243" s="1"/>
      <c r="I243" s="7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</row>
    <row r="244" spans="1:54" x14ac:dyDescent="0.25">
      <c r="A244" s="1"/>
      <c r="B244" s="1"/>
      <c r="C244" s="1"/>
      <c r="D244" s="1"/>
      <c r="E244" s="1"/>
      <c r="F244" s="1"/>
      <c r="G244" s="1"/>
      <c r="H244" s="1"/>
      <c r="I244" s="7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</row>
    <row r="245" spans="1:54" x14ac:dyDescent="0.25">
      <c r="A245" s="1"/>
      <c r="B245" s="1"/>
      <c r="C245" s="1"/>
      <c r="D245" s="1"/>
      <c r="E245" s="1"/>
      <c r="F245" s="1"/>
      <c r="G245" s="1"/>
      <c r="H245" s="1"/>
      <c r="I245" s="7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</row>
    <row r="246" spans="1:54" x14ac:dyDescent="0.25">
      <c r="A246" s="1"/>
      <c r="B246" s="1"/>
      <c r="C246" s="1"/>
      <c r="D246" s="1"/>
      <c r="E246" s="1"/>
      <c r="F246" s="1"/>
      <c r="G246" s="1"/>
      <c r="H246" s="1"/>
      <c r="I246" s="7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</row>
    <row r="247" spans="1:54" x14ac:dyDescent="0.25">
      <c r="A247" s="1"/>
      <c r="B247" s="1"/>
      <c r="C247" s="1"/>
      <c r="D247" s="1"/>
      <c r="E247" s="1"/>
      <c r="F247" s="1"/>
      <c r="G247" s="1"/>
      <c r="H247" s="1"/>
      <c r="I247" s="7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</row>
    <row r="248" spans="1:54" x14ac:dyDescent="0.25">
      <c r="A248" s="1"/>
      <c r="B248" s="1"/>
      <c r="C248" s="1"/>
      <c r="D248" s="1"/>
      <c r="E248" s="1"/>
      <c r="F248" s="1"/>
      <c r="G248" s="1"/>
      <c r="H248" s="1"/>
      <c r="I248" s="7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</row>
    <row r="249" spans="1:54" x14ac:dyDescent="0.25">
      <c r="A249" s="1"/>
      <c r="B249" s="1"/>
      <c r="C249" s="1"/>
      <c r="D249" s="1"/>
      <c r="E249" s="1"/>
      <c r="F249" s="1"/>
      <c r="G249" s="1"/>
      <c r="H249" s="1"/>
      <c r="I249" s="7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</row>
    <row r="250" spans="1:54" x14ac:dyDescent="0.25">
      <c r="A250" s="1"/>
      <c r="B250" s="1"/>
      <c r="C250" s="1"/>
      <c r="D250" s="1"/>
      <c r="E250" s="1"/>
      <c r="F250" s="1"/>
      <c r="G250" s="1"/>
      <c r="H250" s="1"/>
      <c r="I250" s="7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</row>
    <row r="251" spans="1:54" x14ac:dyDescent="0.25">
      <c r="A251" s="1"/>
      <c r="B251" s="1"/>
      <c r="C251" s="1"/>
      <c r="D251" s="1"/>
      <c r="E251" s="1"/>
      <c r="F251" s="1"/>
      <c r="G251" s="1"/>
      <c r="H251" s="1"/>
      <c r="I251" s="7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</row>
    <row r="252" spans="1:54" x14ac:dyDescent="0.25">
      <c r="A252" s="1"/>
      <c r="B252" s="1"/>
      <c r="C252" s="1"/>
      <c r="D252" s="1"/>
      <c r="E252" s="1"/>
      <c r="F252" s="1"/>
      <c r="G252" s="1"/>
      <c r="H252" s="1"/>
      <c r="I252" s="7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</row>
    <row r="253" spans="1:54" x14ac:dyDescent="0.25">
      <c r="A253" s="1"/>
      <c r="B253" s="1"/>
      <c r="C253" s="1"/>
      <c r="D253" s="1"/>
      <c r="E253" s="1"/>
      <c r="F253" s="1"/>
      <c r="G253" s="1"/>
      <c r="H253" s="1"/>
      <c r="I253" s="7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</row>
    <row r="254" spans="1:54" x14ac:dyDescent="0.25">
      <c r="A254" s="1"/>
      <c r="B254" s="1"/>
      <c r="C254" s="1"/>
      <c r="D254" s="1"/>
      <c r="E254" s="1"/>
      <c r="F254" s="1"/>
      <c r="G254" s="1"/>
      <c r="H254" s="1"/>
      <c r="I254" s="7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</row>
    <row r="255" spans="1:54" x14ac:dyDescent="0.25">
      <c r="A255" s="1"/>
      <c r="B255" s="1"/>
      <c r="C255" s="1"/>
      <c r="D255" s="1"/>
      <c r="E255" s="1"/>
      <c r="F255" s="1"/>
      <c r="G255" s="1"/>
      <c r="H255" s="1"/>
      <c r="I255" s="7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</row>
    <row r="256" spans="1:54" x14ac:dyDescent="0.25">
      <c r="A256" s="1"/>
      <c r="B256" s="1"/>
      <c r="C256" s="1"/>
      <c r="D256" s="1"/>
      <c r="E256" s="1"/>
      <c r="F256" s="1"/>
      <c r="G256" s="1"/>
      <c r="H256" s="1"/>
      <c r="I256" s="7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</row>
    <row r="257" spans="1:54" x14ac:dyDescent="0.25">
      <c r="A257" s="1"/>
      <c r="B257" s="1"/>
      <c r="C257" s="1"/>
      <c r="D257" s="1"/>
      <c r="E257" s="1"/>
      <c r="F257" s="1"/>
      <c r="G257" s="1"/>
      <c r="H257" s="1"/>
      <c r="I257" s="7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</row>
    <row r="258" spans="1:54" x14ac:dyDescent="0.25">
      <c r="A258" s="1"/>
      <c r="B258" s="1"/>
      <c r="C258" s="1"/>
      <c r="D258" s="1"/>
      <c r="E258" s="1"/>
      <c r="F258" s="1"/>
      <c r="G258" s="1"/>
      <c r="H258" s="1"/>
      <c r="I258" s="7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</row>
    <row r="259" spans="1:54" x14ac:dyDescent="0.25">
      <c r="A259" s="1"/>
      <c r="B259" s="1"/>
      <c r="C259" s="1"/>
      <c r="D259" s="1"/>
      <c r="E259" s="1"/>
      <c r="F259" s="1"/>
      <c r="G259" s="1"/>
      <c r="H259" s="1"/>
      <c r="I259" s="7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</row>
    <row r="260" spans="1:54" x14ac:dyDescent="0.25">
      <c r="A260" s="1"/>
      <c r="B260" s="1"/>
      <c r="C260" s="1"/>
      <c r="D260" s="1"/>
      <c r="E260" s="1"/>
      <c r="F260" s="1"/>
      <c r="G260" s="1"/>
      <c r="H260" s="1"/>
      <c r="I260" s="7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</row>
    <row r="261" spans="1:54" x14ac:dyDescent="0.25">
      <c r="A261" s="1"/>
      <c r="B261" s="1"/>
      <c r="C261" s="1"/>
      <c r="D261" s="1"/>
      <c r="E261" s="1"/>
      <c r="F261" s="1"/>
      <c r="G261" s="1"/>
      <c r="H261" s="1"/>
      <c r="I261" s="7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</row>
    <row r="262" spans="1:54" x14ac:dyDescent="0.25">
      <c r="A262" s="1"/>
      <c r="B262" s="1"/>
      <c r="C262" s="1"/>
      <c r="D262" s="1"/>
      <c r="E262" s="1"/>
      <c r="F262" s="1"/>
      <c r="G262" s="1"/>
      <c r="H262" s="1"/>
      <c r="I262" s="7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</row>
    <row r="263" spans="1:54" x14ac:dyDescent="0.25">
      <c r="A263" s="1"/>
      <c r="B263" s="1"/>
      <c r="C263" s="1"/>
      <c r="D263" s="1"/>
      <c r="E263" s="1"/>
      <c r="F263" s="1"/>
      <c r="G263" s="1"/>
      <c r="H263" s="1"/>
      <c r="I263" s="7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</row>
    <row r="264" spans="1:54" x14ac:dyDescent="0.25">
      <c r="A264" s="1"/>
      <c r="B264" s="1"/>
      <c r="C264" s="1"/>
      <c r="D264" s="1"/>
      <c r="E264" s="1"/>
      <c r="F264" s="1"/>
      <c r="G264" s="1"/>
      <c r="H264" s="1"/>
      <c r="I264" s="7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</row>
    <row r="265" spans="1:54" x14ac:dyDescent="0.25">
      <c r="A265" s="1"/>
      <c r="B265" s="1"/>
      <c r="C265" s="1"/>
      <c r="D265" s="1"/>
      <c r="E265" s="1"/>
      <c r="F265" s="1"/>
      <c r="G265" s="1"/>
      <c r="H265" s="1"/>
      <c r="I265" s="7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</row>
    <row r="266" spans="1:54" x14ac:dyDescent="0.25">
      <c r="A266" s="1"/>
      <c r="B266" s="1"/>
      <c r="C266" s="1"/>
      <c r="D266" s="1"/>
      <c r="E266" s="1"/>
      <c r="F266" s="1"/>
      <c r="G266" s="1"/>
      <c r="H266" s="1"/>
      <c r="I266" s="7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</row>
    <row r="267" spans="1:54" x14ac:dyDescent="0.25">
      <c r="A267" s="1"/>
      <c r="B267" s="1"/>
      <c r="C267" s="1"/>
      <c r="D267" s="1"/>
      <c r="E267" s="1"/>
      <c r="F267" s="1"/>
      <c r="G267" s="1"/>
      <c r="H267" s="1"/>
      <c r="I267" s="7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</row>
    <row r="268" spans="1:54" x14ac:dyDescent="0.25">
      <c r="A268" s="1"/>
      <c r="B268" s="1"/>
      <c r="C268" s="1"/>
      <c r="D268" s="1"/>
      <c r="E268" s="1"/>
      <c r="F268" s="1"/>
      <c r="G268" s="1"/>
      <c r="H268" s="1"/>
      <c r="I268" s="7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</row>
    <row r="269" spans="1:54" x14ac:dyDescent="0.25">
      <c r="A269" s="1"/>
      <c r="B269" s="1"/>
      <c r="C269" s="1"/>
      <c r="D269" s="1"/>
      <c r="E269" s="1"/>
      <c r="F269" s="1"/>
      <c r="G269" s="1"/>
      <c r="H269" s="1"/>
      <c r="I269" s="7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</row>
    <row r="270" spans="1:54" x14ac:dyDescent="0.25">
      <c r="A270" s="1"/>
      <c r="B270" s="1"/>
      <c r="C270" s="1"/>
      <c r="D270" s="1"/>
      <c r="E270" s="1"/>
      <c r="F270" s="1"/>
      <c r="G270" s="1"/>
      <c r="H270" s="1"/>
      <c r="I270" s="7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</row>
    <row r="271" spans="1:54" x14ac:dyDescent="0.25">
      <c r="A271" s="1"/>
      <c r="B271" s="1"/>
      <c r="C271" s="1"/>
      <c r="D271" s="1"/>
      <c r="E271" s="1"/>
      <c r="F271" s="1"/>
      <c r="G271" s="1"/>
      <c r="H271" s="1"/>
      <c r="I271" s="7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</row>
    <row r="272" spans="1:54" x14ac:dyDescent="0.25">
      <c r="A272" s="1"/>
      <c r="B272" s="1"/>
      <c r="C272" s="1"/>
      <c r="D272" s="1"/>
      <c r="E272" s="1"/>
      <c r="F272" s="1"/>
      <c r="G272" s="1"/>
      <c r="H272" s="1"/>
      <c r="I272" s="7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</row>
    <row r="273" spans="1:54" x14ac:dyDescent="0.25">
      <c r="A273" s="1"/>
      <c r="B273" s="1"/>
      <c r="C273" s="1"/>
      <c r="D273" s="1"/>
      <c r="E273" s="1"/>
      <c r="F273" s="1"/>
      <c r="G273" s="1"/>
      <c r="H273" s="1"/>
      <c r="I273" s="7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</row>
    <row r="274" spans="1:54" x14ac:dyDescent="0.25">
      <c r="A274" s="1"/>
      <c r="B274" s="1"/>
      <c r="C274" s="1"/>
      <c r="D274" s="1"/>
      <c r="E274" s="1"/>
      <c r="F274" s="1"/>
      <c r="G274" s="1"/>
      <c r="H274" s="1"/>
      <c r="I274" s="7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</row>
    <row r="275" spans="1:54" x14ac:dyDescent="0.25">
      <c r="A275" s="1"/>
      <c r="B275" s="1"/>
      <c r="C275" s="1"/>
      <c r="D275" s="1"/>
      <c r="E275" s="1"/>
      <c r="F275" s="1"/>
      <c r="G275" s="1"/>
      <c r="H275" s="1"/>
      <c r="I275" s="7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</row>
    <row r="276" spans="1:54" x14ac:dyDescent="0.25">
      <c r="A276" s="1"/>
      <c r="B276" s="1"/>
      <c r="C276" s="1"/>
      <c r="D276" s="1"/>
      <c r="E276" s="1"/>
      <c r="F276" s="1"/>
      <c r="G276" s="1"/>
      <c r="H276" s="1"/>
      <c r="I276" s="7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</row>
    <row r="277" spans="1:54" x14ac:dyDescent="0.25">
      <c r="A277" s="1"/>
      <c r="B277" s="1"/>
      <c r="C277" s="1"/>
      <c r="D277" s="1"/>
      <c r="E277" s="1"/>
      <c r="F277" s="1"/>
      <c r="G277" s="1"/>
      <c r="H277" s="1"/>
      <c r="I277" s="7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</row>
    <row r="278" spans="1:54" x14ac:dyDescent="0.25">
      <c r="A278" s="1"/>
      <c r="B278" s="1"/>
      <c r="C278" s="1"/>
      <c r="D278" s="1"/>
      <c r="E278" s="1"/>
      <c r="F278" s="1"/>
      <c r="G278" s="1"/>
      <c r="H278" s="1"/>
      <c r="I278" s="7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</row>
    <row r="279" spans="1:54" x14ac:dyDescent="0.25">
      <c r="A279" s="1"/>
      <c r="B279" s="1"/>
      <c r="C279" s="1"/>
      <c r="D279" s="1"/>
      <c r="E279" s="1"/>
      <c r="F279" s="1"/>
      <c r="G279" s="1"/>
      <c r="H279" s="1"/>
      <c r="I279" s="7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</row>
    <row r="280" spans="1:54" x14ac:dyDescent="0.25">
      <c r="A280" s="1"/>
      <c r="B280" s="1"/>
      <c r="C280" s="1"/>
      <c r="D280" s="1"/>
      <c r="E280" s="1"/>
      <c r="F280" s="1"/>
      <c r="G280" s="1"/>
      <c r="H280" s="1"/>
      <c r="I280" s="7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</row>
    <row r="281" spans="1:54" x14ac:dyDescent="0.25">
      <c r="A281" s="1"/>
      <c r="B281" s="1"/>
      <c r="C281" s="1"/>
      <c r="D281" s="1"/>
      <c r="E281" s="1"/>
      <c r="F281" s="1"/>
      <c r="G281" s="1"/>
      <c r="H281" s="1"/>
      <c r="I281" s="7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</row>
    <row r="282" spans="1:54" x14ac:dyDescent="0.25">
      <c r="A282" s="1"/>
      <c r="B282" s="1"/>
      <c r="C282" s="1"/>
      <c r="D282" s="1"/>
      <c r="E282" s="1"/>
      <c r="F282" s="1"/>
      <c r="G282" s="1"/>
      <c r="H282" s="1"/>
      <c r="I282" s="7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</row>
    <row r="283" spans="1:54" x14ac:dyDescent="0.25">
      <c r="A283" s="1"/>
      <c r="B283" s="1"/>
      <c r="C283" s="1"/>
      <c r="D283" s="1"/>
      <c r="E283" s="1"/>
      <c r="F283" s="1"/>
      <c r="G283" s="1"/>
      <c r="H283" s="1"/>
      <c r="I283" s="7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</row>
    <row r="284" spans="1:54" x14ac:dyDescent="0.25">
      <c r="A284" s="1"/>
      <c r="B284" s="1"/>
      <c r="C284" s="1"/>
      <c r="D284" s="1"/>
      <c r="E284" s="1"/>
      <c r="F284" s="1"/>
      <c r="G284" s="1"/>
      <c r="H284" s="1"/>
      <c r="I284" s="7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</row>
    <row r="285" spans="1:54" x14ac:dyDescent="0.25">
      <c r="A285" s="1"/>
      <c r="B285" s="1"/>
      <c r="C285" s="1"/>
      <c r="D285" s="1"/>
      <c r="E285" s="1"/>
      <c r="F285" s="1"/>
      <c r="G285" s="1"/>
      <c r="H285" s="1"/>
      <c r="I285" s="7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</row>
    <row r="286" spans="1:54" x14ac:dyDescent="0.25">
      <c r="A286" s="1"/>
      <c r="B286" s="1"/>
      <c r="C286" s="1"/>
      <c r="D286" s="1"/>
      <c r="E286" s="1"/>
      <c r="F286" s="1"/>
      <c r="G286" s="1"/>
      <c r="H286" s="1"/>
      <c r="I286" s="7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</row>
    <row r="287" spans="1:54" x14ac:dyDescent="0.25">
      <c r="A287" s="1"/>
      <c r="B287" s="1"/>
      <c r="C287" s="1"/>
      <c r="D287" s="1"/>
      <c r="E287" s="1"/>
      <c r="F287" s="1"/>
      <c r="G287" s="1"/>
      <c r="H287" s="1"/>
      <c r="I287" s="7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</row>
    <row r="288" spans="1:54" x14ac:dyDescent="0.25">
      <c r="A288" s="1"/>
      <c r="B288" s="1"/>
      <c r="C288" s="1"/>
      <c r="D288" s="1"/>
      <c r="E288" s="1"/>
      <c r="F288" s="1"/>
      <c r="G288" s="1"/>
      <c r="H288" s="1"/>
      <c r="I288" s="7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</row>
    <row r="289" spans="1:54" x14ac:dyDescent="0.25">
      <c r="A289" s="1"/>
      <c r="B289" s="1"/>
      <c r="C289" s="1"/>
      <c r="D289" s="1"/>
      <c r="E289" s="1"/>
      <c r="F289" s="1"/>
      <c r="G289" s="1"/>
      <c r="H289" s="1"/>
      <c r="I289" s="7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</row>
    <row r="290" spans="1:54" x14ac:dyDescent="0.25">
      <c r="A290" s="1"/>
      <c r="B290" s="1"/>
      <c r="C290" s="1"/>
      <c r="D290" s="1"/>
      <c r="E290" s="1"/>
      <c r="F290" s="1"/>
      <c r="G290" s="1"/>
      <c r="H290" s="1"/>
      <c r="I290" s="7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</row>
    <row r="291" spans="1:54" x14ac:dyDescent="0.25">
      <c r="A291" s="1"/>
      <c r="B291" s="1"/>
      <c r="C291" s="1"/>
      <c r="D291" s="1"/>
      <c r="E291" s="1"/>
      <c r="F291" s="1"/>
      <c r="G291" s="1"/>
      <c r="H291" s="1"/>
      <c r="I291" s="7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</row>
    <row r="292" spans="1:54" x14ac:dyDescent="0.25">
      <c r="A292" s="1"/>
      <c r="B292" s="1"/>
      <c r="C292" s="1"/>
      <c r="D292" s="1"/>
      <c r="E292" s="1"/>
      <c r="F292" s="1"/>
      <c r="G292" s="1"/>
      <c r="H292" s="1"/>
      <c r="I292" s="7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</row>
    <row r="293" spans="1:54" x14ac:dyDescent="0.25">
      <c r="A293" s="1"/>
      <c r="B293" s="1"/>
      <c r="C293" s="1"/>
      <c r="D293" s="1"/>
      <c r="E293" s="1"/>
      <c r="F293" s="1"/>
      <c r="G293" s="1"/>
      <c r="H293" s="1"/>
      <c r="I293" s="7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</row>
    <row r="294" spans="1:54" x14ac:dyDescent="0.25">
      <c r="A294" s="1"/>
      <c r="B294" s="1"/>
      <c r="C294" s="1"/>
      <c r="D294" s="1"/>
      <c r="E294" s="1"/>
      <c r="F294" s="1"/>
      <c r="G294" s="1"/>
      <c r="H294" s="1"/>
      <c r="I294" s="7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</row>
    <row r="295" spans="1:54" x14ac:dyDescent="0.25">
      <c r="A295" s="1"/>
      <c r="B295" s="1"/>
      <c r="C295" s="1"/>
      <c r="D295" s="1"/>
      <c r="E295" s="1"/>
      <c r="F295" s="1"/>
      <c r="G295" s="1"/>
      <c r="H295" s="1"/>
      <c r="I295" s="7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</row>
    <row r="296" spans="1:54" x14ac:dyDescent="0.25">
      <c r="A296" s="1"/>
      <c r="B296" s="1"/>
      <c r="C296" s="1"/>
      <c r="D296" s="1"/>
      <c r="E296" s="1"/>
      <c r="F296" s="1"/>
      <c r="G296" s="1"/>
      <c r="H296" s="1"/>
      <c r="I296" s="7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</row>
    <row r="297" spans="1:54" x14ac:dyDescent="0.25">
      <c r="A297" s="1"/>
      <c r="B297" s="1"/>
      <c r="C297" s="1"/>
      <c r="D297" s="1"/>
      <c r="E297" s="1"/>
      <c r="F297" s="1"/>
      <c r="G297" s="1"/>
      <c r="H297" s="1"/>
      <c r="I297" s="7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</row>
    <row r="298" spans="1:54" x14ac:dyDescent="0.25">
      <c r="A298" s="1"/>
      <c r="B298" s="1"/>
      <c r="C298" s="1"/>
      <c r="D298" s="1"/>
      <c r="E298" s="1"/>
      <c r="F298" s="1"/>
      <c r="G298" s="1"/>
      <c r="H298" s="1"/>
      <c r="I298" s="7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</row>
    <row r="299" spans="1:54" x14ac:dyDescent="0.25">
      <c r="A299" s="1"/>
      <c r="B299" s="1"/>
      <c r="C299" s="1"/>
      <c r="D299" s="1"/>
      <c r="E299" s="1"/>
      <c r="F299" s="1"/>
      <c r="G299" s="1"/>
      <c r="H299" s="1"/>
      <c r="I299" s="7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</row>
    <row r="300" spans="1:54" x14ac:dyDescent="0.25">
      <c r="A300" s="1"/>
      <c r="B300" s="1"/>
      <c r="C300" s="1"/>
      <c r="D300" s="1"/>
      <c r="E300" s="1"/>
      <c r="F300" s="1"/>
      <c r="G300" s="1"/>
      <c r="H300" s="1"/>
      <c r="I300" s="7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</row>
    <row r="301" spans="1:54" x14ac:dyDescent="0.25">
      <c r="A301" s="1"/>
      <c r="B301" s="1"/>
      <c r="C301" s="1"/>
      <c r="D301" s="1"/>
      <c r="E301" s="1"/>
      <c r="F301" s="1"/>
      <c r="G301" s="1"/>
      <c r="H301" s="1"/>
      <c r="I301" s="7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</row>
    <row r="302" spans="1:54" x14ac:dyDescent="0.25">
      <c r="A302" s="1"/>
      <c r="B302" s="1"/>
      <c r="C302" s="1"/>
      <c r="D302" s="1"/>
      <c r="E302" s="1"/>
      <c r="F302" s="1"/>
      <c r="G302" s="1"/>
      <c r="H302" s="1"/>
      <c r="I302" s="7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</row>
    <row r="303" spans="1:54" x14ac:dyDescent="0.25">
      <c r="A303" s="1"/>
      <c r="B303" s="1"/>
      <c r="C303" s="1"/>
      <c r="D303" s="1"/>
      <c r="E303" s="1"/>
      <c r="F303" s="1"/>
      <c r="G303" s="1"/>
      <c r="H303" s="1"/>
      <c r="I303" s="7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</row>
    <row r="304" spans="1:54" x14ac:dyDescent="0.25">
      <c r="A304" s="1"/>
      <c r="B304" s="1"/>
      <c r="C304" s="1"/>
      <c r="D304" s="1"/>
      <c r="E304" s="1"/>
      <c r="F304" s="1"/>
      <c r="G304" s="1"/>
      <c r="H304" s="1"/>
      <c r="I304" s="7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</row>
    <row r="305" spans="1:54" x14ac:dyDescent="0.25">
      <c r="A305" s="1"/>
      <c r="B305" s="1"/>
      <c r="C305" s="1"/>
      <c r="D305" s="1"/>
      <c r="E305" s="1"/>
      <c r="F305" s="1"/>
      <c r="G305" s="1"/>
      <c r="H305" s="1"/>
      <c r="I305" s="7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</row>
    <row r="306" spans="1:54" x14ac:dyDescent="0.25">
      <c r="A306" s="1"/>
      <c r="B306" s="1"/>
      <c r="C306" s="1"/>
      <c r="D306" s="1"/>
      <c r="E306" s="1"/>
      <c r="F306" s="1"/>
      <c r="G306" s="1"/>
      <c r="H306" s="1"/>
      <c r="I306" s="7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</row>
    <row r="307" spans="1:54" x14ac:dyDescent="0.25">
      <c r="A307" s="1"/>
      <c r="B307" s="1"/>
      <c r="C307" s="1"/>
      <c r="D307" s="1"/>
      <c r="E307" s="1"/>
      <c r="F307" s="1"/>
      <c r="G307" s="1"/>
      <c r="H307" s="1"/>
      <c r="I307" s="7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</row>
    <row r="308" spans="1:54" x14ac:dyDescent="0.25">
      <c r="A308" s="1"/>
      <c r="B308" s="1"/>
      <c r="C308" s="1"/>
      <c r="D308" s="1"/>
      <c r="E308" s="1"/>
      <c r="F308" s="1"/>
      <c r="G308" s="1"/>
      <c r="H308" s="1"/>
      <c r="I308" s="7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</row>
    <row r="309" spans="1:54" x14ac:dyDescent="0.25">
      <c r="A309" s="1"/>
      <c r="B309" s="1"/>
      <c r="C309" s="1"/>
      <c r="D309" s="1"/>
      <c r="E309" s="1"/>
      <c r="F309" s="1"/>
      <c r="G309" s="1"/>
      <c r="H309" s="1"/>
      <c r="I309" s="7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</row>
    <row r="310" spans="1:54" x14ac:dyDescent="0.25">
      <c r="A310" s="1"/>
      <c r="B310" s="1"/>
      <c r="C310" s="1"/>
      <c r="D310" s="1"/>
      <c r="E310" s="1"/>
      <c r="F310" s="1"/>
      <c r="G310" s="1"/>
      <c r="H310" s="1"/>
      <c r="I310" s="7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</row>
    <row r="311" spans="1:54" x14ac:dyDescent="0.25">
      <c r="A311" s="1"/>
      <c r="B311" s="1"/>
      <c r="C311" s="1"/>
      <c r="D311" s="1"/>
      <c r="E311" s="1"/>
      <c r="F311" s="1"/>
      <c r="G311" s="1"/>
      <c r="H311" s="1"/>
      <c r="I311" s="7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</row>
    <row r="312" spans="1:54" x14ac:dyDescent="0.25">
      <c r="A312" s="1"/>
      <c r="B312" s="1"/>
      <c r="C312" s="1"/>
      <c r="D312" s="1"/>
      <c r="E312" s="1"/>
      <c r="F312" s="1"/>
      <c r="G312" s="1"/>
      <c r="H312" s="1"/>
      <c r="I312" s="7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</row>
    <row r="313" spans="1:54" x14ac:dyDescent="0.25">
      <c r="A313" s="1"/>
      <c r="B313" s="1"/>
      <c r="C313" s="1"/>
      <c r="D313" s="1"/>
      <c r="E313" s="1"/>
      <c r="F313" s="1"/>
      <c r="G313" s="1"/>
      <c r="H313" s="1"/>
      <c r="I313" s="7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</row>
    <row r="314" spans="1:54" x14ac:dyDescent="0.25">
      <c r="A314" s="1"/>
      <c r="B314" s="1"/>
      <c r="C314" s="1"/>
      <c r="D314" s="1"/>
      <c r="E314" s="1"/>
      <c r="F314" s="1"/>
      <c r="G314" s="1"/>
      <c r="H314" s="1"/>
      <c r="I314" s="7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</row>
    <row r="315" spans="1:54" x14ac:dyDescent="0.25">
      <c r="A315" s="1"/>
      <c r="B315" s="1"/>
      <c r="C315" s="1"/>
      <c r="D315" s="1"/>
      <c r="E315" s="1"/>
      <c r="F315" s="1"/>
      <c r="G315" s="1"/>
      <c r="H315" s="1"/>
      <c r="I315" s="7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</row>
    <row r="316" spans="1:54" x14ac:dyDescent="0.25">
      <c r="A316" s="1"/>
      <c r="B316" s="1"/>
      <c r="C316" s="1"/>
      <c r="D316" s="1"/>
      <c r="E316" s="1"/>
      <c r="F316" s="1"/>
      <c r="G316" s="1"/>
      <c r="H316" s="1"/>
      <c r="I316" s="7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</row>
    <row r="317" spans="1:54" x14ac:dyDescent="0.25">
      <c r="A317" s="1"/>
      <c r="B317" s="1"/>
      <c r="C317" s="1"/>
      <c r="D317" s="1"/>
      <c r="E317" s="1"/>
      <c r="F317" s="1"/>
      <c r="G317" s="1"/>
      <c r="H317" s="1"/>
      <c r="I317" s="7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</row>
    <row r="318" spans="1:54" x14ac:dyDescent="0.25">
      <c r="A318" s="1"/>
      <c r="B318" s="1"/>
      <c r="C318" s="1"/>
      <c r="D318" s="1"/>
      <c r="E318" s="1"/>
      <c r="F318" s="1"/>
      <c r="G318" s="1"/>
      <c r="H318" s="1"/>
      <c r="I318" s="7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</row>
    <row r="319" spans="1:54" x14ac:dyDescent="0.25">
      <c r="A319" s="1"/>
      <c r="B319" s="1"/>
      <c r="C319" s="1"/>
      <c r="D319" s="1"/>
      <c r="E319" s="1"/>
      <c r="F319" s="1"/>
      <c r="G319" s="1"/>
      <c r="H319" s="1"/>
      <c r="I319" s="7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</row>
    <row r="320" spans="1:54" x14ac:dyDescent="0.25">
      <c r="A320" s="1"/>
      <c r="B320" s="1"/>
      <c r="C320" s="1"/>
      <c r="D320" s="1"/>
      <c r="E320" s="1"/>
      <c r="F320" s="1"/>
      <c r="G320" s="1"/>
      <c r="H320" s="1"/>
      <c r="I320" s="7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</row>
    <row r="321" spans="1:54" x14ac:dyDescent="0.25">
      <c r="A321" s="1"/>
      <c r="B321" s="1"/>
      <c r="C321" s="1"/>
      <c r="D321" s="1"/>
      <c r="E321" s="1"/>
      <c r="F321" s="1"/>
      <c r="G321" s="1"/>
      <c r="H321" s="1"/>
      <c r="I321" s="7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</row>
    <row r="322" spans="1:54" x14ac:dyDescent="0.25">
      <c r="A322" s="1"/>
      <c r="B322" s="1"/>
      <c r="C322" s="1"/>
      <c r="D322" s="1"/>
      <c r="E322" s="1"/>
      <c r="F322" s="1"/>
      <c r="G322" s="1"/>
      <c r="H322" s="1"/>
      <c r="I322" s="7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</row>
    <row r="323" spans="1:54" x14ac:dyDescent="0.25">
      <c r="A323" s="1"/>
      <c r="B323" s="1"/>
      <c r="C323" s="1"/>
      <c r="D323" s="1"/>
      <c r="E323" s="1"/>
      <c r="F323" s="1"/>
      <c r="G323" s="1"/>
      <c r="H323" s="1"/>
      <c r="I323" s="7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</row>
    <row r="324" spans="1:54" x14ac:dyDescent="0.25">
      <c r="A324" s="1"/>
      <c r="B324" s="1"/>
      <c r="C324" s="1"/>
      <c r="D324" s="1"/>
      <c r="E324" s="1"/>
      <c r="F324" s="1"/>
      <c r="G324" s="1"/>
      <c r="H324" s="1"/>
      <c r="I324" s="7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</row>
    <row r="325" spans="1:54" x14ac:dyDescent="0.25">
      <c r="A325" s="1"/>
      <c r="B325" s="1"/>
      <c r="C325" s="1"/>
      <c r="D325" s="1"/>
      <c r="E325" s="1"/>
      <c r="F325" s="1"/>
      <c r="G325" s="1"/>
      <c r="H325" s="1"/>
      <c r="I325" s="7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</row>
    <row r="326" spans="1:54" x14ac:dyDescent="0.25">
      <c r="A326" s="1"/>
      <c r="B326" s="1"/>
      <c r="C326" s="1"/>
      <c r="D326" s="1"/>
      <c r="E326" s="1"/>
      <c r="F326" s="1"/>
      <c r="G326" s="1"/>
      <c r="H326" s="1"/>
      <c r="I326" s="7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</row>
    <row r="327" spans="1:54" x14ac:dyDescent="0.25">
      <c r="A327" s="1"/>
      <c r="B327" s="1"/>
      <c r="C327" s="1"/>
      <c r="D327" s="1"/>
      <c r="E327" s="1"/>
      <c r="F327" s="1"/>
      <c r="G327" s="1"/>
      <c r="H327" s="1"/>
      <c r="I327" s="7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</row>
    <row r="328" spans="1:54" x14ac:dyDescent="0.25">
      <c r="A328" s="1"/>
      <c r="B328" s="1"/>
      <c r="C328" s="1"/>
      <c r="D328" s="1"/>
      <c r="E328" s="1"/>
      <c r="F328" s="1"/>
      <c r="G328" s="1"/>
      <c r="H328" s="1"/>
      <c r="I328" s="7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</row>
    <row r="329" spans="1:54" x14ac:dyDescent="0.25">
      <c r="A329" s="1"/>
      <c r="B329" s="1"/>
      <c r="C329" s="1"/>
      <c r="D329" s="1"/>
      <c r="E329" s="1"/>
      <c r="F329" s="1"/>
      <c r="G329" s="1"/>
      <c r="H329" s="1"/>
      <c r="I329" s="7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</row>
    <row r="330" spans="1:54" x14ac:dyDescent="0.25">
      <c r="A330" s="1"/>
      <c r="B330" s="1"/>
      <c r="C330" s="1"/>
      <c r="D330" s="1"/>
      <c r="E330" s="1"/>
      <c r="F330" s="1"/>
      <c r="G330" s="1"/>
      <c r="H330" s="1"/>
      <c r="I330" s="7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</row>
    <row r="331" spans="1:54" x14ac:dyDescent="0.25">
      <c r="A331" s="1"/>
      <c r="B331" s="1"/>
      <c r="C331" s="1"/>
      <c r="D331" s="1"/>
      <c r="E331" s="1"/>
      <c r="F331" s="1"/>
      <c r="G331" s="1"/>
      <c r="H331" s="1"/>
      <c r="I331" s="7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</row>
    <row r="332" spans="1:54" x14ac:dyDescent="0.25">
      <c r="A332" s="1"/>
      <c r="B332" s="1"/>
      <c r="C332" s="1"/>
      <c r="D332" s="1"/>
      <c r="E332" s="1"/>
      <c r="F332" s="1"/>
      <c r="G332" s="1"/>
      <c r="H332" s="1"/>
      <c r="I332" s="7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</row>
    <row r="333" spans="1:54" x14ac:dyDescent="0.25">
      <c r="A333" s="1"/>
      <c r="B333" s="1"/>
      <c r="C333" s="1"/>
      <c r="D333" s="1"/>
      <c r="E333" s="1"/>
      <c r="F333" s="1"/>
      <c r="G333" s="1"/>
      <c r="H333" s="1"/>
      <c r="I333" s="7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</row>
    <row r="334" spans="1:54" x14ac:dyDescent="0.25">
      <c r="A334" s="1"/>
      <c r="B334" s="1"/>
      <c r="C334" s="1"/>
      <c r="D334" s="1"/>
      <c r="E334" s="1"/>
      <c r="F334" s="1"/>
      <c r="G334" s="1"/>
      <c r="H334" s="1"/>
      <c r="I334" s="7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</row>
    <row r="335" spans="1:54" x14ac:dyDescent="0.25">
      <c r="A335" s="1"/>
      <c r="B335" s="1"/>
      <c r="C335" s="1"/>
      <c r="D335" s="1"/>
      <c r="E335" s="1"/>
      <c r="F335" s="1"/>
      <c r="G335" s="1"/>
      <c r="H335" s="1"/>
      <c r="I335" s="7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</row>
    <row r="336" spans="1:54" x14ac:dyDescent="0.25">
      <c r="A336" s="1"/>
      <c r="B336" s="1"/>
      <c r="C336" s="1"/>
      <c r="D336" s="1"/>
      <c r="E336" s="1"/>
      <c r="F336" s="1"/>
      <c r="G336" s="1"/>
      <c r="H336" s="1"/>
      <c r="I336" s="7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</row>
    <row r="337" spans="1:54" x14ac:dyDescent="0.25">
      <c r="A337" s="1"/>
      <c r="B337" s="1"/>
      <c r="C337" s="1"/>
      <c r="D337" s="1"/>
      <c r="E337" s="1"/>
      <c r="F337" s="1"/>
      <c r="G337" s="1"/>
      <c r="H337" s="1"/>
      <c r="I337" s="7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</row>
    <row r="338" spans="1:54" x14ac:dyDescent="0.25">
      <c r="A338" s="1"/>
      <c r="B338" s="1"/>
      <c r="C338" s="1"/>
      <c r="D338" s="1"/>
      <c r="E338" s="1"/>
      <c r="F338" s="1"/>
      <c r="G338" s="1"/>
      <c r="H338" s="1"/>
      <c r="I338" s="7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</row>
    <row r="339" spans="1:54" x14ac:dyDescent="0.25">
      <c r="A339" s="1"/>
      <c r="B339" s="1"/>
      <c r="C339" s="1"/>
      <c r="D339" s="1"/>
      <c r="E339" s="1"/>
      <c r="F339" s="1"/>
      <c r="G339" s="1"/>
      <c r="H339" s="1"/>
      <c r="I339" s="7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</row>
    <row r="340" spans="1:54" x14ac:dyDescent="0.25">
      <c r="A340" s="1"/>
      <c r="B340" s="1"/>
      <c r="C340" s="1"/>
      <c r="D340" s="1"/>
      <c r="E340" s="1"/>
      <c r="F340" s="1"/>
      <c r="G340" s="1"/>
      <c r="H340" s="1"/>
      <c r="I340" s="7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</row>
    <row r="341" spans="1:54" x14ac:dyDescent="0.25">
      <c r="A341" s="1"/>
      <c r="B341" s="1"/>
      <c r="C341" s="1"/>
      <c r="D341" s="1"/>
      <c r="E341" s="1"/>
      <c r="F341" s="1"/>
      <c r="G341" s="1"/>
      <c r="H341" s="1"/>
      <c r="I341" s="7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</row>
    <row r="342" spans="1:54" x14ac:dyDescent="0.25">
      <c r="A342" s="1"/>
      <c r="B342" s="1"/>
      <c r="C342" s="1"/>
      <c r="D342" s="1"/>
      <c r="E342" s="1"/>
      <c r="F342" s="1"/>
      <c r="G342" s="1"/>
      <c r="H342" s="1"/>
      <c r="I342" s="7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</row>
    <row r="343" spans="1:54" x14ac:dyDescent="0.25">
      <c r="A343" s="1"/>
      <c r="B343" s="1"/>
      <c r="C343" s="1"/>
      <c r="D343" s="1"/>
      <c r="E343" s="1"/>
      <c r="F343" s="1"/>
      <c r="G343" s="1"/>
      <c r="H343" s="1"/>
      <c r="I343" s="7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</row>
    <row r="344" spans="1:54" x14ac:dyDescent="0.25">
      <c r="A344" s="1"/>
      <c r="B344" s="1"/>
      <c r="C344" s="1"/>
      <c r="D344" s="1"/>
      <c r="E344" s="1"/>
      <c r="F344" s="1"/>
      <c r="G344" s="1"/>
      <c r="H344" s="1"/>
      <c r="I344" s="7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</row>
    <row r="345" spans="1:54" x14ac:dyDescent="0.25">
      <c r="A345" s="1"/>
      <c r="B345" s="1"/>
      <c r="C345" s="1"/>
      <c r="D345" s="1"/>
      <c r="E345" s="1"/>
      <c r="F345" s="1"/>
      <c r="G345" s="1"/>
      <c r="H345" s="1"/>
      <c r="I345" s="7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</row>
    <row r="346" spans="1:54" x14ac:dyDescent="0.25">
      <c r="A346" s="1"/>
      <c r="B346" s="1"/>
      <c r="C346" s="1"/>
      <c r="D346" s="1"/>
      <c r="E346" s="1"/>
      <c r="F346" s="1"/>
      <c r="G346" s="1"/>
      <c r="H346" s="1"/>
      <c r="I346" s="7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</row>
    <row r="347" spans="1:54" x14ac:dyDescent="0.25">
      <c r="A347" s="1"/>
      <c r="B347" s="1"/>
      <c r="C347" s="1"/>
      <c r="D347" s="1"/>
      <c r="E347" s="1"/>
      <c r="F347" s="1"/>
      <c r="G347" s="1"/>
      <c r="H347" s="1"/>
      <c r="I347" s="7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</row>
    <row r="348" spans="1:54" x14ac:dyDescent="0.25">
      <c r="A348" s="1"/>
      <c r="B348" s="1"/>
      <c r="C348" s="1"/>
      <c r="D348" s="1"/>
      <c r="E348" s="1"/>
      <c r="F348" s="1"/>
      <c r="G348" s="1"/>
      <c r="H348" s="1"/>
      <c r="I348" s="7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</row>
    <row r="349" spans="1:54" x14ac:dyDescent="0.25">
      <c r="A349" s="1"/>
      <c r="B349" s="1"/>
      <c r="C349" s="1"/>
      <c r="D349" s="1"/>
      <c r="E349" s="1"/>
      <c r="F349" s="1"/>
      <c r="G349" s="1"/>
      <c r="H349" s="1"/>
      <c r="I349" s="7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</row>
    <row r="350" spans="1:54" x14ac:dyDescent="0.25">
      <c r="A350" s="1"/>
      <c r="B350" s="1"/>
      <c r="C350" s="1"/>
      <c r="D350" s="1"/>
      <c r="E350" s="1"/>
      <c r="F350" s="1"/>
      <c r="G350" s="1"/>
      <c r="H350" s="1"/>
      <c r="I350" s="7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</row>
    <row r="351" spans="1:54" x14ac:dyDescent="0.25">
      <c r="A351" s="1"/>
      <c r="B351" s="1"/>
      <c r="C351" s="1"/>
      <c r="D351" s="1"/>
      <c r="E351" s="1"/>
      <c r="F351" s="1"/>
      <c r="G351" s="1"/>
      <c r="H351" s="1"/>
      <c r="I351" s="7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</row>
    <row r="352" spans="1:54" x14ac:dyDescent="0.25">
      <c r="A352" s="1"/>
      <c r="B352" s="1"/>
      <c r="C352" s="1"/>
      <c r="D352" s="1"/>
      <c r="E352" s="1"/>
      <c r="F352" s="1"/>
      <c r="G352" s="1"/>
      <c r="H352" s="1"/>
      <c r="I352" s="7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</row>
    <row r="353" spans="1:54" x14ac:dyDescent="0.25">
      <c r="A353" s="1"/>
      <c r="B353" s="1"/>
      <c r="C353" s="1"/>
      <c r="D353" s="1"/>
      <c r="E353" s="1"/>
      <c r="F353" s="1"/>
      <c r="G353" s="1"/>
      <c r="H353" s="1"/>
      <c r="I353" s="7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</row>
    <row r="354" spans="1:54" x14ac:dyDescent="0.25">
      <c r="A354" s="1"/>
      <c r="B354" s="1"/>
      <c r="C354" s="1"/>
      <c r="D354" s="1"/>
      <c r="E354" s="1"/>
      <c r="F354" s="1"/>
      <c r="G354" s="1"/>
      <c r="H354" s="1"/>
      <c r="I354" s="7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</row>
    <row r="355" spans="1:54" x14ac:dyDescent="0.25">
      <c r="A355" s="1"/>
      <c r="B355" s="1"/>
      <c r="C355" s="1"/>
      <c r="D355" s="1"/>
      <c r="E355" s="1"/>
      <c r="F355" s="1"/>
      <c r="G355" s="1"/>
      <c r="H355" s="1"/>
      <c r="I355" s="7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</row>
    <row r="356" spans="1:54" x14ac:dyDescent="0.25">
      <c r="A356" s="1"/>
      <c r="B356" s="1"/>
      <c r="C356" s="1"/>
      <c r="D356" s="1"/>
      <c r="E356" s="1"/>
      <c r="F356" s="1"/>
      <c r="G356" s="1"/>
      <c r="H356" s="1"/>
      <c r="I356" s="7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</row>
    <row r="357" spans="1:54" x14ac:dyDescent="0.25">
      <c r="A357" s="1"/>
      <c r="B357" s="1"/>
      <c r="C357" s="1"/>
      <c r="D357" s="1"/>
      <c r="E357" s="1"/>
      <c r="F357" s="1"/>
      <c r="G357" s="1"/>
      <c r="H357" s="1"/>
      <c r="I357" s="7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</row>
    <row r="358" spans="1:54" x14ac:dyDescent="0.25">
      <c r="A358" s="1"/>
      <c r="B358" s="1"/>
      <c r="C358" s="1"/>
      <c r="D358" s="1"/>
      <c r="E358" s="1"/>
      <c r="F358" s="1"/>
      <c r="G358" s="1"/>
      <c r="H358" s="1"/>
      <c r="I358" s="7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</row>
    <row r="359" spans="1:54" x14ac:dyDescent="0.25">
      <c r="A359" s="1"/>
      <c r="B359" s="1"/>
      <c r="C359" s="1"/>
      <c r="D359" s="1"/>
      <c r="E359" s="1"/>
      <c r="F359" s="1"/>
      <c r="G359" s="1"/>
      <c r="H359" s="1"/>
      <c r="I359" s="7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</row>
    <row r="360" spans="1:54" x14ac:dyDescent="0.25">
      <c r="A360" s="1"/>
      <c r="B360" s="1"/>
      <c r="C360" s="1"/>
      <c r="D360" s="1"/>
      <c r="E360" s="1"/>
      <c r="F360" s="1"/>
      <c r="G360" s="1"/>
      <c r="H360" s="1"/>
      <c r="I360" s="7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</row>
    <row r="361" spans="1:54" x14ac:dyDescent="0.25">
      <c r="A361" s="1"/>
      <c r="B361" s="1"/>
      <c r="C361" s="1"/>
      <c r="D361" s="1"/>
      <c r="E361" s="1"/>
      <c r="F361" s="1"/>
      <c r="G361" s="1"/>
      <c r="H361" s="1"/>
      <c r="I361" s="7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</row>
    <row r="362" spans="1:54" x14ac:dyDescent="0.25">
      <c r="A362" s="1"/>
      <c r="B362" s="1"/>
      <c r="C362" s="1"/>
      <c r="D362" s="1"/>
      <c r="E362" s="1"/>
      <c r="F362" s="1"/>
      <c r="G362" s="1"/>
      <c r="H362" s="1"/>
      <c r="I362" s="7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</row>
    <row r="363" spans="1:54" x14ac:dyDescent="0.25">
      <c r="A363" s="1"/>
      <c r="B363" s="1"/>
      <c r="C363" s="1"/>
      <c r="D363" s="1"/>
      <c r="E363" s="1"/>
      <c r="F363" s="1"/>
      <c r="G363" s="1"/>
      <c r="H363" s="1"/>
      <c r="I363" s="7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</row>
    <row r="364" spans="1:54" x14ac:dyDescent="0.25">
      <c r="A364" s="1"/>
      <c r="B364" s="1"/>
      <c r="C364" s="1"/>
      <c r="D364" s="1"/>
      <c r="E364" s="1"/>
      <c r="F364" s="1"/>
      <c r="G364" s="1"/>
      <c r="H364" s="1"/>
      <c r="I364" s="7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</row>
    <row r="365" spans="1:54" x14ac:dyDescent="0.25">
      <c r="A365" s="1"/>
      <c r="B365" s="1"/>
      <c r="C365" s="1"/>
      <c r="D365" s="1"/>
      <c r="E365" s="1"/>
      <c r="F365" s="1"/>
      <c r="G365" s="1"/>
      <c r="H365" s="1"/>
      <c r="I365" s="7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</row>
    <row r="366" spans="1:54" x14ac:dyDescent="0.25">
      <c r="A366" s="1"/>
      <c r="B366" s="1"/>
      <c r="C366" s="1"/>
      <c r="D366" s="1"/>
      <c r="E366" s="1"/>
      <c r="F366" s="1"/>
      <c r="G366" s="1"/>
      <c r="H366" s="1"/>
      <c r="I366" s="7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</row>
    <row r="367" spans="1:54" x14ac:dyDescent="0.25">
      <c r="A367" s="1"/>
      <c r="B367" s="1"/>
      <c r="C367" s="1"/>
      <c r="D367" s="1"/>
      <c r="E367" s="1"/>
      <c r="F367" s="1"/>
      <c r="G367" s="1"/>
      <c r="H367" s="1"/>
      <c r="I367" s="7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</row>
    <row r="368" spans="1:54" x14ac:dyDescent="0.25">
      <c r="A368" s="1"/>
      <c r="B368" s="1"/>
      <c r="C368" s="1"/>
      <c r="D368" s="1"/>
      <c r="E368" s="1"/>
      <c r="F368" s="1"/>
      <c r="G368" s="1"/>
      <c r="H368" s="1"/>
      <c r="I368" s="7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</row>
    <row r="369" spans="1:54" x14ac:dyDescent="0.25">
      <c r="A369" s="1"/>
      <c r="B369" s="1"/>
      <c r="C369" s="1"/>
      <c r="D369" s="1"/>
      <c r="E369" s="1"/>
      <c r="F369" s="1"/>
      <c r="G369" s="1"/>
      <c r="H369" s="1"/>
      <c r="I369" s="7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</row>
    <row r="370" spans="1:54" x14ac:dyDescent="0.25">
      <c r="A370" s="1"/>
      <c r="B370" s="1"/>
      <c r="C370" s="1"/>
      <c r="D370" s="1"/>
      <c r="E370" s="1"/>
      <c r="F370" s="1"/>
      <c r="G370" s="1"/>
      <c r="H370" s="1"/>
      <c r="I370" s="7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</row>
    <row r="371" spans="1:54" x14ac:dyDescent="0.25">
      <c r="A371" s="1"/>
      <c r="B371" s="1"/>
      <c r="C371" s="1"/>
      <c r="D371" s="1"/>
      <c r="E371" s="1"/>
      <c r="F371" s="1"/>
      <c r="G371" s="1"/>
      <c r="H371" s="1"/>
      <c r="I371" s="7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</row>
    <row r="372" spans="1:54" x14ac:dyDescent="0.25">
      <c r="A372" s="1"/>
      <c r="B372" s="1"/>
      <c r="C372" s="1"/>
      <c r="D372" s="1"/>
      <c r="E372" s="1"/>
      <c r="F372" s="1"/>
      <c r="G372" s="1"/>
      <c r="H372" s="1"/>
      <c r="I372" s="7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</row>
    <row r="373" spans="1:54" x14ac:dyDescent="0.25">
      <c r="A373" s="1"/>
      <c r="B373" s="1"/>
      <c r="C373" s="1"/>
      <c r="D373" s="1"/>
      <c r="E373" s="1"/>
      <c r="F373" s="1"/>
      <c r="G373" s="1"/>
      <c r="H373" s="1"/>
      <c r="I373" s="7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</row>
    <row r="374" spans="1:54" x14ac:dyDescent="0.25">
      <c r="A374" s="1"/>
      <c r="B374" s="1"/>
      <c r="C374" s="1"/>
      <c r="D374" s="1"/>
      <c r="E374" s="1"/>
      <c r="F374" s="1"/>
      <c r="G374" s="1"/>
      <c r="H374" s="1"/>
      <c r="I374" s="7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</row>
    <row r="375" spans="1:54" x14ac:dyDescent="0.25">
      <c r="A375" s="1"/>
      <c r="B375" s="1"/>
      <c r="C375" s="1"/>
      <c r="D375" s="1"/>
      <c r="E375" s="1"/>
      <c r="F375" s="1"/>
      <c r="G375" s="1"/>
      <c r="H375" s="1"/>
      <c r="I375" s="7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</row>
    <row r="376" spans="1:54" x14ac:dyDescent="0.25">
      <c r="A376" s="1"/>
      <c r="B376" s="1"/>
      <c r="C376" s="1"/>
      <c r="D376" s="1"/>
      <c r="E376" s="1"/>
      <c r="F376" s="1"/>
      <c r="G376" s="1"/>
      <c r="H376" s="1"/>
      <c r="I376" s="7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</row>
    <row r="377" spans="1:54" x14ac:dyDescent="0.25">
      <c r="A377" s="1"/>
      <c r="B377" s="1"/>
      <c r="C377" s="1"/>
      <c r="D377" s="1"/>
      <c r="E377" s="1"/>
      <c r="F377" s="1"/>
      <c r="G377" s="1"/>
      <c r="H377" s="1"/>
      <c r="I377" s="7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</row>
    <row r="378" spans="1:54" x14ac:dyDescent="0.25">
      <c r="A378" s="1"/>
      <c r="B378" s="1"/>
      <c r="C378" s="1"/>
      <c r="D378" s="1"/>
      <c r="E378" s="1"/>
      <c r="F378" s="1"/>
      <c r="G378" s="1"/>
      <c r="H378" s="1"/>
      <c r="I378" s="7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</row>
    <row r="379" spans="1:54" x14ac:dyDescent="0.25">
      <c r="A379" s="1"/>
      <c r="B379" s="1"/>
      <c r="C379" s="1"/>
      <c r="D379" s="1"/>
      <c r="E379" s="1"/>
      <c r="F379" s="1"/>
      <c r="G379" s="1"/>
      <c r="H379" s="1"/>
      <c r="I379" s="7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</row>
    <row r="380" spans="1:54" x14ac:dyDescent="0.25">
      <c r="A380" s="1"/>
      <c r="B380" s="1"/>
      <c r="C380" s="1"/>
      <c r="D380" s="1"/>
      <c r="E380" s="1"/>
      <c r="F380" s="1"/>
      <c r="G380" s="1"/>
      <c r="H380" s="1"/>
      <c r="I380" s="7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</row>
    <row r="381" spans="1:54" x14ac:dyDescent="0.25">
      <c r="A381" s="1"/>
      <c r="B381" s="1"/>
      <c r="C381" s="1"/>
      <c r="D381" s="1"/>
      <c r="E381" s="1"/>
      <c r="F381" s="1"/>
      <c r="G381" s="1"/>
      <c r="H381" s="1"/>
      <c r="I381" s="7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</row>
    <row r="382" spans="1:54" x14ac:dyDescent="0.25">
      <c r="A382" s="1"/>
      <c r="B382" s="1"/>
      <c r="C382" s="1"/>
      <c r="D382" s="1"/>
      <c r="E382" s="1"/>
      <c r="F382" s="1"/>
      <c r="G382" s="1"/>
      <c r="H382" s="1"/>
      <c r="I382" s="7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</row>
    <row r="383" spans="1:54" x14ac:dyDescent="0.25">
      <c r="A383" s="1"/>
      <c r="B383" s="1"/>
      <c r="C383" s="1"/>
      <c r="D383" s="1"/>
      <c r="E383" s="1"/>
      <c r="F383" s="1"/>
      <c r="G383" s="1"/>
      <c r="H383" s="1"/>
      <c r="I383" s="7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</row>
    <row r="384" spans="1:54" x14ac:dyDescent="0.25">
      <c r="A384" s="1"/>
      <c r="B384" s="1"/>
      <c r="C384" s="1"/>
      <c r="D384" s="1"/>
      <c r="E384" s="1"/>
      <c r="F384" s="1"/>
      <c r="G384" s="1"/>
      <c r="H384" s="1"/>
      <c r="I384" s="7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</row>
    <row r="385" spans="1:54" x14ac:dyDescent="0.25">
      <c r="A385" s="1"/>
      <c r="B385" s="1"/>
      <c r="C385" s="1"/>
      <c r="D385" s="1"/>
      <c r="E385" s="1"/>
      <c r="F385" s="1"/>
      <c r="G385" s="1"/>
      <c r="H385" s="1"/>
      <c r="I385" s="7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</row>
    <row r="386" spans="1:54" x14ac:dyDescent="0.25">
      <c r="A386" s="1"/>
      <c r="B386" s="1"/>
      <c r="C386" s="1"/>
      <c r="D386" s="1"/>
      <c r="E386" s="1"/>
      <c r="F386" s="1"/>
      <c r="G386" s="1"/>
      <c r="H386" s="1"/>
      <c r="I386" s="7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</row>
    <row r="387" spans="1:54" x14ac:dyDescent="0.25">
      <c r="A387" s="1"/>
      <c r="B387" s="1"/>
      <c r="C387" s="1"/>
      <c r="D387" s="1"/>
      <c r="E387" s="1"/>
      <c r="F387" s="1"/>
      <c r="G387" s="1"/>
      <c r="H387" s="1"/>
      <c r="I387" s="7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</row>
    <row r="388" spans="1:54" x14ac:dyDescent="0.25">
      <c r="A388" s="1"/>
      <c r="B388" s="1"/>
      <c r="C388" s="1"/>
      <c r="D388" s="1"/>
      <c r="E388" s="1"/>
      <c r="F388" s="1"/>
      <c r="G388" s="1"/>
      <c r="H388" s="1"/>
      <c r="I388" s="7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</row>
    <row r="389" spans="1:54" x14ac:dyDescent="0.25">
      <c r="A389" s="1"/>
      <c r="B389" s="1"/>
      <c r="C389" s="1"/>
      <c r="D389" s="1"/>
      <c r="E389" s="1"/>
      <c r="F389" s="1"/>
      <c r="G389" s="1"/>
      <c r="H389" s="1"/>
      <c r="I389" s="7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</row>
    <row r="390" spans="1:54" x14ac:dyDescent="0.25">
      <c r="A390" s="1"/>
      <c r="B390" s="1"/>
      <c r="C390" s="1"/>
      <c r="D390" s="1"/>
      <c r="E390" s="1"/>
      <c r="F390" s="1"/>
      <c r="G390" s="1"/>
      <c r="H390" s="1"/>
      <c r="I390" s="7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</row>
    <row r="391" spans="1:54" x14ac:dyDescent="0.25">
      <c r="A391" s="1"/>
      <c r="B391" s="1"/>
      <c r="C391" s="1"/>
      <c r="D391" s="1"/>
      <c r="E391" s="1"/>
      <c r="F391" s="1"/>
      <c r="G391" s="1"/>
      <c r="H391" s="1"/>
      <c r="I391" s="7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</row>
    <row r="392" spans="1:54" x14ac:dyDescent="0.25">
      <c r="A392" s="1"/>
      <c r="B392" s="1"/>
      <c r="C392" s="1"/>
      <c r="D392" s="1"/>
      <c r="E392" s="1"/>
      <c r="F392" s="1"/>
      <c r="G392" s="1"/>
      <c r="H392" s="1"/>
      <c r="I392" s="7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</row>
    <row r="393" spans="1:54" x14ac:dyDescent="0.25">
      <c r="A393" s="1"/>
      <c r="B393" s="1"/>
      <c r="C393" s="1"/>
      <c r="D393" s="1"/>
      <c r="E393" s="1"/>
      <c r="F393" s="1"/>
      <c r="G393" s="1"/>
      <c r="H393" s="1"/>
      <c r="I393" s="7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</row>
    <row r="394" spans="1:54" x14ac:dyDescent="0.25">
      <c r="A394" s="1"/>
      <c r="B394" s="1"/>
      <c r="C394" s="1"/>
      <c r="D394" s="1"/>
      <c r="E394" s="1"/>
      <c r="F394" s="1"/>
      <c r="G394" s="1"/>
      <c r="H394" s="1"/>
      <c r="I394" s="7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</row>
    <row r="395" spans="1:54" x14ac:dyDescent="0.25">
      <c r="A395" s="1"/>
      <c r="B395" s="1"/>
      <c r="C395" s="1"/>
      <c r="D395" s="1"/>
      <c r="E395" s="1"/>
      <c r="F395" s="1"/>
      <c r="G395" s="1"/>
      <c r="H395" s="1"/>
      <c r="I395" s="7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</row>
    <row r="396" spans="1:54" x14ac:dyDescent="0.25">
      <c r="A396" s="1"/>
      <c r="B396" s="1"/>
      <c r="C396" s="1"/>
      <c r="D396" s="1"/>
      <c r="E396" s="1"/>
      <c r="F396" s="1"/>
      <c r="G396" s="1"/>
      <c r="H396" s="1"/>
      <c r="I396" s="7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</row>
    <row r="397" spans="1:54" x14ac:dyDescent="0.25">
      <c r="A397" s="1"/>
      <c r="B397" s="1"/>
      <c r="C397" s="1"/>
      <c r="D397" s="1"/>
      <c r="E397" s="1"/>
      <c r="F397" s="1"/>
      <c r="G397" s="1"/>
      <c r="H397" s="1"/>
      <c r="I397" s="7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</row>
    <row r="398" spans="1:54" x14ac:dyDescent="0.25">
      <c r="A398" s="1"/>
      <c r="B398" s="1"/>
      <c r="C398" s="1"/>
      <c r="D398" s="1"/>
      <c r="E398" s="1"/>
      <c r="F398" s="1"/>
      <c r="G398" s="1"/>
      <c r="H398" s="1"/>
      <c r="I398" s="7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</row>
    <row r="399" spans="1:54" x14ac:dyDescent="0.25">
      <c r="A399" s="1"/>
      <c r="B399" s="1"/>
      <c r="C399" s="1"/>
      <c r="D399" s="1"/>
      <c r="E399" s="1"/>
      <c r="F399" s="1"/>
      <c r="G399" s="1"/>
      <c r="H399" s="1"/>
      <c r="I399" s="7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</row>
    <row r="400" spans="1:54" x14ac:dyDescent="0.25">
      <c r="A400" s="1"/>
      <c r="B400" s="1"/>
      <c r="C400" s="1"/>
      <c r="D400" s="1"/>
      <c r="E400" s="1"/>
      <c r="F400" s="1"/>
      <c r="G400" s="1"/>
      <c r="H400" s="1"/>
      <c r="I400" s="7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</row>
    <row r="401" spans="1:54" x14ac:dyDescent="0.25">
      <c r="A401" s="1"/>
      <c r="B401" s="1"/>
      <c r="C401" s="1"/>
      <c r="D401" s="1"/>
      <c r="E401" s="1"/>
      <c r="F401" s="1"/>
      <c r="G401" s="1"/>
      <c r="H401" s="1"/>
      <c r="I401" s="7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</row>
    <row r="402" spans="1:54" x14ac:dyDescent="0.25">
      <c r="A402" s="1"/>
      <c r="B402" s="1"/>
      <c r="C402" s="1"/>
      <c r="D402" s="1"/>
      <c r="E402" s="1"/>
      <c r="F402" s="1"/>
      <c r="G402" s="1"/>
      <c r="H402" s="1"/>
      <c r="I402" s="7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</row>
    <row r="403" spans="1:54" x14ac:dyDescent="0.25">
      <c r="A403" s="1"/>
      <c r="B403" s="1"/>
      <c r="C403" s="1"/>
      <c r="D403" s="1"/>
      <c r="E403" s="1"/>
      <c r="F403" s="1"/>
      <c r="G403" s="1"/>
      <c r="H403" s="1"/>
      <c r="I403" s="7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</row>
    <row r="404" spans="1:54" x14ac:dyDescent="0.25">
      <c r="A404" s="1"/>
      <c r="B404" s="1"/>
      <c r="C404" s="1"/>
      <c r="D404" s="1"/>
      <c r="E404" s="1"/>
      <c r="F404" s="1"/>
      <c r="G404" s="1"/>
      <c r="H404" s="1"/>
      <c r="I404" s="7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</row>
    <row r="405" spans="1:54" x14ac:dyDescent="0.25">
      <c r="A405" s="1"/>
      <c r="B405" s="1"/>
      <c r="C405" s="1"/>
      <c r="D405" s="1"/>
      <c r="E405" s="1"/>
      <c r="F405" s="1"/>
      <c r="G405" s="1"/>
      <c r="H405" s="1"/>
      <c r="I405" s="7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</row>
    <row r="406" spans="1:54" x14ac:dyDescent="0.25">
      <c r="A406" s="1"/>
      <c r="B406" s="1"/>
      <c r="C406" s="1"/>
      <c r="D406" s="1"/>
      <c r="E406" s="1"/>
      <c r="F406" s="1"/>
      <c r="G406" s="1"/>
      <c r="H406" s="1"/>
      <c r="I406" s="7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</row>
    <row r="407" spans="1:54" x14ac:dyDescent="0.25">
      <c r="A407" s="1"/>
      <c r="B407" s="1"/>
      <c r="C407" s="1"/>
      <c r="D407" s="1"/>
      <c r="E407" s="1"/>
      <c r="F407" s="1"/>
      <c r="G407" s="1"/>
      <c r="H407" s="1"/>
      <c r="I407" s="7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</row>
    <row r="408" spans="1:54" x14ac:dyDescent="0.25">
      <c r="A408" s="1"/>
      <c r="B408" s="1"/>
      <c r="C408" s="1"/>
      <c r="D408" s="1"/>
      <c r="E408" s="1"/>
      <c r="F408" s="1"/>
      <c r="G408" s="1"/>
      <c r="H408" s="1"/>
      <c r="I408" s="7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</row>
    <row r="409" spans="1:54" x14ac:dyDescent="0.25">
      <c r="A409" s="1"/>
      <c r="B409" s="1"/>
      <c r="C409" s="1"/>
      <c r="D409" s="1"/>
      <c r="E409" s="1"/>
      <c r="F409" s="1"/>
      <c r="G409" s="1"/>
      <c r="H409" s="1"/>
      <c r="I409" s="7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</row>
    <row r="410" spans="1:54" x14ac:dyDescent="0.25">
      <c r="A410" s="1"/>
      <c r="B410" s="1"/>
      <c r="C410" s="1"/>
      <c r="D410" s="1"/>
      <c r="E410" s="1"/>
      <c r="F410" s="1"/>
      <c r="G410" s="1"/>
      <c r="H410" s="1"/>
      <c r="I410" s="7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</row>
    <row r="411" spans="1:54" x14ac:dyDescent="0.25">
      <c r="A411" s="1"/>
      <c r="B411" s="1"/>
      <c r="C411" s="1"/>
      <c r="D411" s="1"/>
      <c r="E411" s="1"/>
      <c r="F411" s="1"/>
      <c r="G411" s="1"/>
      <c r="H411" s="1"/>
      <c r="I411" s="7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</row>
    <row r="412" spans="1:54" x14ac:dyDescent="0.25">
      <c r="A412" s="1"/>
      <c r="B412" s="1"/>
      <c r="C412" s="1"/>
      <c r="D412" s="1"/>
      <c r="E412" s="1"/>
      <c r="F412" s="1"/>
      <c r="G412" s="1"/>
      <c r="H412" s="1"/>
      <c r="I412" s="7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</row>
    <row r="413" spans="1:54" x14ac:dyDescent="0.25">
      <c r="A413" s="1"/>
      <c r="B413" s="1"/>
      <c r="C413" s="1"/>
      <c r="D413" s="1"/>
      <c r="E413" s="1"/>
      <c r="F413" s="1"/>
      <c r="G413" s="1"/>
      <c r="H413" s="1"/>
      <c r="I413" s="7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</row>
    <row r="414" spans="1:54" x14ac:dyDescent="0.25">
      <c r="A414" s="1"/>
      <c r="B414" s="1"/>
      <c r="C414" s="1"/>
      <c r="D414" s="1"/>
      <c r="E414" s="1"/>
      <c r="F414" s="1"/>
      <c r="G414" s="1"/>
      <c r="H414" s="1"/>
      <c r="I414" s="7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</row>
    <row r="415" spans="1:54" x14ac:dyDescent="0.25">
      <c r="A415" s="1"/>
      <c r="B415" s="1"/>
      <c r="C415" s="1"/>
      <c r="D415" s="1"/>
      <c r="E415" s="1"/>
      <c r="F415" s="1"/>
      <c r="G415" s="1"/>
      <c r="H415" s="1"/>
      <c r="I415" s="7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</row>
    <row r="416" spans="1:54" x14ac:dyDescent="0.25">
      <c r="A416" s="1"/>
      <c r="B416" s="1"/>
      <c r="C416" s="1"/>
      <c r="D416" s="1"/>
      <c r="E416" s="1"/>
      <c r="F416" s="1"/>
      <c r="G416" s="1"/>
      <c r="H416" s="1"/>
      <c r="I416" s="7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</row>
    <row r="417" spans="1:54" x14ac:dyDescent="0.25">
      <c r="A417" s="1"/>
      <c r="B417" s="1"/>
      <c r="C417" s="1"/>
      <c r="D417" s="1"/>
      <c r="E417" s="1"/>
      <c r="F417" s="1"/>
      <c r="G417" s="1"/>
      <c r="H417" s="1"/>
      <c r="I417" s="7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</row>
    <row r="418" spans="1:54" x14ac:dyDescent="0.25">
      <c r="A418" s="1"/>
      <c r="B418" s="1"/>
      <c r="C418" s="1"/>
      <c r="D418" s="1"/>
      <c r="E418" s="1"/>
      <c r="F418" s="1"/>
      <c r="G418" s="1"/>
      <c r="H418" s="1"/>
      <c r="I418" s="7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</row>
    <row r="419" spans="1:54" x14ac:dyDescent="0.25">
      <c r="A419" s="1"/>
      <c r="B419" s="1"/>
      <c r="C419" s="1"/>
      <c r="D419" s="1"/>
      <c r="E419" s="1"/>
      <c r="F419" s="1"/>
      <c r="G419" s="1"/>
      <c r="H419" s="1"/>
      <c r="I419" s="7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</row>
    <row r="420" spans="1:54" x14ac:dyDescent="0.25">
      <c r="A420" s="1"/>
      <c r="B420" s="1"/>
      <c r="C420" s="1"/>
      <c r="D420" s="1"/>
      <c r="E420" s="1"/>
      <c r="F420" s="1"/>
      <c r="G420" s="1"/>
      <c r="H420" s="1"/>
      <c r="I420" s="7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</row>
    <row r="421" spans="1:54" x14ac:dyDescent="0.25">
      <c r="A421" s="1"/>
      <c r="B421" s="1"/>
      <c r="C421" s="1"/>
      <c r="D421" s="1"/>
      <c r="E421" s="1"/>
      <c r="F421" s="1"/>
      <c r="G421" s="1"/>
      <c r="H421" s="1"/>
      <c r="I421" s="7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</row>
    <row r="422" spans="1:54" x14ac:dyDescent="0.25">
      <c r="A422" s="1"/>
      <c r="B422" s="1"/>
      <c r="C422" s="1"/>
      <c r="D422" s="1"/>
      <c r="E422" s="1"/>
      <c r="F422" s="1"/>
      <c r="G422" s="1"/>
      <c r="H422" s="1"/>
      <c r="I422" s="7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</row>
    <row r="423" spans="1:54" x14ac:dyDescent="0.25">
      <c r="A423" s="1"/>
      <c r="B423" s="1"/>
      <c r="C423" s="1"/>
      <c r="D423" s="1"/>
      <c r="E423" s="1"/>
      <c r="F423" s="1"/>
      <c r="G423" s="1"/>
      <c r="H423" s="1"/>
      <c r="I423" s="7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</row>
    <row r="424" spans="1:54" x14ac:dyDescent="0.25">
      <c r="A424" s="1"/>
      <c r="B424" s="1"/>
      <c r="C424" s="1"/>
      <c r="D424" s="1"/>
      <c r="E424" s="1"/>
      <c r="F424" s="1"/>
      <c r="G424" s="1"/>
      <c r="H424" s="1"/>
      <c r="I424" s="7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</row>
    <row r="425" spans="1:54" x14ac:dyDescent="0.25">
      <c r="A425" s="1"/>
      <c r="B425" s="1"/>
      <c r="C425" s="1"/>
      <c r="D425" s="1"/>
      <c r="E425" s="1"/>
      <c r="F425" s="1"/>
      <c r="G425" s="1"/>
      <c r="H425" s="1"/>
      <c r="I425" s="7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</row>
    <row r="426" spans="1:54" x14ac:dyDescent="0.25">
      <c r="A426" s="1"/>
      <c r="B426" s="1"/>
      <c r="C426" s="1"/>
      <c r="D426" s="1"/>
      <c r="E426" s="1"/>
      <c r="F426" s="1"/>
      <c r="G426" s="1"/>
      <c r="H426" s="1"/>
      <c r="I426" s="7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</row>
    <row r="427" spans="1:54" x14ac:dyDescent="0.25">
      <c r="A427" s="1"/>
      <c r="B427" s="1"/>
      <c r="C427" s="1"/>
      <c r="D427" s="1"/>
      <c r="E427" s="1"/>
      <c r="F427" s="1"/>
      <c r="G427" s="1"/>
      <c r="H427" s="1"/>
      <c r="I427" s="7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</row>
    <row r="428" spans="1:54" x14ac:dyDescent="0.25">
      <c r="A428" s="1"/>
      <c r="B428" s="1"/>
      <c r="C428" s="1"/>
      <c r="D428" s="1"/>
      <c r="E428" s="1"/>
      <c r="F428" s="1"/>
      <c r="G428" s="1"/>
      <c r="H428" s="1"/>
      <c r="I428" s="7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</row>
    <row r="429" spans="1:54" x14ac:dyDescent="0.25">
      <c r="A429" s="1"/>
      <c r="B429" s="1"/>
      <c r="C429" s="1"/>
      <c r="D429" s="1"/>
      <c r="E429" s="1"/>
      <c r="F429" s="1"/>
      <c r="G429" s="1"/>
      <c r="H429" s="1"/>
      <c r="I429" s="7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</row>
    <row r="430" spans="1:54" x14ac:dyDescent="0.25">
      <c r="A430" s="1"/>
      <c r="B430" s="1"/>
      <c r="C430" s="1"/>
      <c r="D430" s="1"/>
      <c r="E430" s="1"/>
      <c r="F430" s="1"/>
      <c r="G430" s="1"/>
      <c r="H430" s="1"/>
      <c r="I430" s="7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</row>
    <row r="431" spans="1:54" x14ac:dyDescent="0.25">
      <c r="A431" s="1"/>
      <c r="B431" s="1"/>
      <c r="C431" s="1"/>
      <c r="D431" s="1"/>
      <c r="E431" s="1"/>
      <c r="F431" s="1"/>
      <c r="G431" s="1"/>
      <c r="H431" s="1"/>
      <c r="I431" s="7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</row>
    <row r="432" spans="1:54" x14ac:dyDescent="0.25">
      <c r="A432" s="1"/>
      <c r="B432" s="1"/>
      <c r="C432" s="1"/>
      <c r="D432" s="1"/>
      <c r="E432" s="1"/>
      <c r="F432" s="1"/>
      <c r="G432" s="1"/>
      <c r="H432" s="1"/>
      <c r="I432" s="7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</row>
    <row r="433" spans="1:54" x14ac:dyDescent="0.25">
      <c r="A433" s="1"/>
      <c r="B433" s="1"/>
      <c r="C433" s="1"/>
      <c r="D433" s="1"/>
      <c r="E433" s="1"/>
      <c r="F433" s="1"/>
      <c r="G433" s="1"/>
      <c r="H433" s="1"/>
      <c r="I433" s="7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</row>
    <row r="434" spans="1:54" x14ac:dyDescent="0.25">
      <c r="A434" s="1"/>
      <c r="B434" s="1"/>
      <c r="C434" s="1"/>
      <c r="D434" s="1"/>
      <c r="E434" s="1"/>
      <c r="F434" s="1"/>
      <c r="G434" s="1"/>
      <c r="H434" s="1"/>
      <c r="I434" s="7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</row>
    <row r="435" spans="1:54" x14ac:dyDescent="0.25">
      <c r="A435" s="1"/>
      <c r="B435" s="1"/>
      <c r="C435" s="1"/>
      <c r="D435" s="1"/>
      <c r="E435" s="1"/>
      <c r="F435" s="1"/>
      <c r="G435" s="1"/>
      <c r="H435" s="1"/>
      <c r="I435" s="7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</row>
    <row r="436" spans="1:54" x14ac:dyDescent="0.25">
      <c r="A436" s="1"/>
      <c r="B436" s="1"/>
      <c r="C436" s="1"/>
      <c r="D436" s="1"/>
      <c r="E436" s="1"/>
      <c r="F436" s="1"/>
      <c r="G436" s="1"/>
      <c r="H436" s="1"/>
      <c r="I436" s="7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</row>
    <row r="437" spans="1:54" x14ac:dyDescent="0.25">
      <c r="A437" s="1"/>
      <c r="B437" s="1"/>
      <c r="C437" s="1"/>
      <c r="D437" s="1"/>
      <c r="E437" s="1"/>
      <c r="F437" s="1"/>
      <c r="G437" s="1"/>
      <c r="H437" s="1"/>
      <c r="I437" s="7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</row>
    <row r="438" spans="1:54" x14ac:dyDescent="0.25">
      <c r="A438" s="1"/>
      <c r="B438" s="1"/>
      <c r="C438" s="1"/>
      <c r="D438" s="1"/>
      <c r="E438" s="1"/>
      <c r="F438" s="1"/>
      <c r="G438" s="1"/>
      <c r="H438" s="1"/>
      <c r="I438" s="7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</row>
    <row r="439" spans="1:54" x14ac:dyDescent="0.25">
      <c r="A439" s="1"/>
      <c r="B439" s="1"/>
      <c r="C439" s="1"/>
      <c r="D439" s="1"/>
      <c r="E439" s="1"/>
      <c r="F439" s="1"/>
      <c r="G439" s="1"/>
      <c r="H439" s="1"/>
      <c r="I439" s="7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</row>
    <row r="440" spans="1:54" x14ac:dyDescent="0.25">
      <c r="A440" s="1"/>
      <c r="B440" s="1"/>
      <c r="C440" s="1"/>
      <c r="D440" s="1"/>
      <c r="E440" s="1"/>
      <c r="F440" s="1"/>
      <c r="G440" s="1"/>
      <c r="H440" s="1"/>
      <c r="I440" s="7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</row>
    <row r="441" spans="1:54" x14ac:dyDescent="0.25">
      <c r="A441" s="1"/>
      <c r="B441" s="1"/>
      <c r="C441" s="1"/>
      <c r="D441" s="1"/>
      <c r="E441" s="1"/>
      <c r="F441" s="1"/>
      <c r="G441" s="1"/>
      <c r="H441" s="1"/>
      <c r="I441" s="7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</row>
    <row r="442" spans="1:54" x14ac:dyDescent="0.25">
      <c r="A442" s="1"/>
      <c r="B442" s="1"/>
      <c r="C442" s="1"/>
      <c r="D442" s="1"/>
      <c r="E442" s="1"/>
      <c r="F442" s="1"/>
      <c r="G442" s="1"/>
      <c r="H442" s="1"/>
      <c r="I442" s="7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</row>
    <row r="443" spans="1:54" x14ac:dyDescent="0.25">
      <c r="A443" s="1"/>
      <c r="B443" s="1"/>
      <c r="C443" s="1"/>
      <c r="D443" s="1"/>
      <c r="E443" s="1"/>
      <c r="F443" s="1"/>
      <c r="G443" s="1"/>
      <c r="H443" s="1"/>
      <c r="I443" s="7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</row>
    <row r="444" spans="1:54" x14ac:dyDescent="0.25">
      <c r="A444" s="1"/>
      <c r="B444" s="1"/>
      <c r="C444" s="1"/>
      <c r="D444" s="1"/>
      <c r="E444" s="1"/>
      <c r="F444" s="1"/>
      <c r="G444" s="1"/>
      <c r="H444" s="1"/>
      <c r="I444" s="7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</row>
    <row r="445" spans="1:54" x14ac:dyDescent="0.25">
      <c r="A445" s="1"/>
      <c r="B445" s="1"/>
      <c r="C445" s="1"/>
      <c r="D445" s="1"/>
      <c r="E445" s="1"/>
      <c r="F445" s="1"/>
      <c r="G445" s="1"/>
      <c r="H445" s="1"/>
      <c r="I445" s="7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</row>
    <row r="446" spans="1:54" x14ac:dyDescent="0.25">
      <c r="A446" s="1"/>
      <c r="B446" s="1"/>
      <c r="C446" s="1"/>
      <c r="D446" s="1"/>
      <c r="E446" s="1"/>
      <c r="F446" s="1"/>
      <c r="G446" s="1"/>
      <c r="H446" s="1"/>
      <c r="I446" s="7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</row>
    <row r="447" spans="1:54" x14ac:dyDescent="0.25">
      <c r="A447" s="1"/>
      <c r="B447" s="1"/>
      <c r="C447" s="1"/>
      <c r="D447" s="1"/>
      <c r="E447" s="1"/>
      <c r="F447" s="1"/>
      <c r="G447" s="1"/>
      <c r="H447" s="1"/>
      <c r="I447" s="7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</row>
    <row r="448" spans="1:54" x14ac:dyDescent="0.25">
      <c r="A448" s="1"/>
      <c r="B448" s="1"/>
      <c r="C448" s="1"/>
      <c r="D448" s="1"/>
      <c r="E448" s="1"/>
      <c r="F448" s="1"/>
      <c r="G448" s="1"/>
      <c r="H448" s="1"/>
      <c r="I448" s="7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</row>
    <row r="449" spans="1:54" x14ac:dyDescent="0.25">
      <c r="A449" s="1"/>
      <c r="B449" s="1"/>
      <c r="C449" s="1"/>
      <c r="D449" s="1"/>
      <c r="E449" s="1"/>
      <c r="F449" s="1"/>
      <c r="G449" s="1"/>
      <c r="H449" s="1"/>
      <c r="I449" s="7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</row>
    <row r="450" spans="1:54" x14ac:dyDescent="0.25">
      <c r="A450" s="1"/>
      <c r="B450" s="1"/>
      <c r="C450" s="1"/>
      <c r="D450" s="1"/>
      <c r="E450" s="1"/>
      <c r="F450" s="1"/>
      <c r="G450" s="1"/>
      <c r="H450" s="1"/>
      <c r="I450" s="7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</row>
    <row r="451" spans="1:54" x14ac:dyDescent="0.25">
      <c r="A451" s="1"/>
      <c r="B451" s="1"/>
      <c r="C451" s="1"/>
      <c r="D451" s="1"/>
      <c r="E451" s="1"/>
      <c r="F451" s="1"/>
      <c r="G451" s="1"/>
      <c r="H451" s="1"/>
      <c r="I451" s="7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</row>
    <row r="452" spans="1:54" x14ac:dyDescent="0.25">
      <c r="A452" s="1"/>
      <c r="B452" s="1"/>
      <c r="C452" s="1"/>
      <c r="D452" s="1"/>
      <c r="E452" s="1"/>
      <c r="F452" s="1"/>
      <c r="G452" s="1"/>
      <c r="H452" s="1"/>
      <c r="I452" s="7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</row>
    <row r="453" spans="1:54" x14ac:dyDescent="0.25">
      <c r="A453" s="1"/>
      <c r="B453" s="1"/>
      <c r="C453" s="1"/>
      <c r="D453" s="1"/>
      <c r="E453" s="1"/>
      <c r="F453" s="1"/>
      <c r="G453" s="1"/>
      <c r="H453" s="1"/>
      <c r="I453" s="7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</row>
    <row r="454" spans="1:54" x14ac:dyDescent="0.25">
      <c r="A454" s="1"/>
      <c r="B454" s="1"/>
      <c r="C454" s="1"/>
      <c r="D454" s="1"/>
      <c r="E454" s="1"/>
      <c r="F454" s="1"/>
      <c r="G454" s="1"/>
      <c r="H454" s="1"/>
      <c r="I454" s="7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</row>
    <row r="455" spans="1:54" x14ac:dyDescent="0.25">
      <c r="A455" s="1"/>
      <c r="B455" s="1"/>
      <c r="C455" s="1"/>
      <c r="D455" s="1"/>
      <c r="E455" s="1"/>
      <c r="F455" s="1"/>
      <c r="G455" s="1"/>
      <c r="H455" s="1"/>
      <c r="I455" s="7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</row>
    <row r="456" spans="1:54" x14ac:dyDescent="0.25">
      <c r="A456" s="1"/>
      <c r="B456" s="1"/>
      <c r="C456" s="1"/>
      <c r="D456" s="1"/>
      <c r="E456" s="1"/>
      <c r="F456" s="1"/>
      <c r="G456" s="1"/>
      <c r="H456" s="1"/>
      <c r="I456" s="7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</row>
    <row r="457" spans="1:54" x14ac:dyDescent="0.25">
      <c r="A457" s="1"/>
      <c r="B457" s="1"/>
      <c r="C457" s="1"/>
      <c r="D457" s="1"/>
      <c r="E457" s="1"/>
      <c r="F457" s="1"/>
      <c r="G457" s="1"/>
      <c r="H457" s="1"/>
      <c r="I457" s="7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</row>
    <row r="458" spans="1:54" x14ac:dyDescent="0.25">
      <c r="A458" s="1"/>
      <c r="B458" s="1"/>
      <c r="C458" s="1"/>
      <c r="D458" s="1"/>
      <c r="E458" s="1"/>
      <c r="F458" s="1"/>
      <c r="G458" s="1"/>
      <c r="H458" s="1"/>
      <c r="I458" s="7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</row>
    <row r="459" spans="1:54" x14ac:dyDescent="0.25">
      <c r="A459" s="1"/>
      <c r="B459" s="1"/>
      <c r="C459" s="1"/>
      <c r="D459" s="1"/>
      <c r="E459" s="1"/>
      <c r="F459" s="1"/>
      <c r="G459" s="1"/>
      <c r="H459" s="1"/>
      <c r="I459" s="7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</row>
    <row r="460" spans="1:54" x14ac:dyDescent="0.25">
      <c r="A460" s="1"/>
      <c r="B460" s="1"/>
      <c r="C460" s="1"/>
      <c r="D460" s="1"/>
      <c r="E460" s="1"/>
      <c r="F460" s="1"/>
      <c r="G460" s="1"/>
      <c r="H460" s="1"/>
      <c r="I460" s="7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</row>
    <row r="461" spans="1:54" x14ac:dyDescent="0.25">
      <c r="A461" s="1"/>
      <c r="B461" s="1"/>
      <c r="C461" s="1"/>
      <c r="D461" s="1"/>
      <c r="E461" s="1"/>
      <c r="F461" s="1"/>
      <c r="G461" s="1"/>
      <c r="H461" s="1"/>
      <c r="I461" s="7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</row>
    <row r="462" spans="1:54" x14ac:dyDescent="0.25">
      <c r="A462" s="1"/>
      <c r="B462" s="1"/>
      <c r="C462" s="1"/>
      <c r="D462" s="1"/>
      <c r="E462" s="1"/>
      <c r="F462" s="1"/>
      <c r="G462" s="1"/>
      <c r="H462" s="1"/>
      <c r="I462" s="7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</row>
    <row r="463" spans="1:54" x14ac:dyDescent="0.25">
      <c r="A463" s="1"/>
      <c r="B463" s="1"/>
      <c r="C463" s="1"/>
      <c r="D463" s="1"/>
      <c r="E463" s="1"/>
      <c r="F463" s="1"/>
      <c r="G463" s="1"/>
      <c r="H463" s="1"/>
      <c r="I463" s="7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</row>
    <row r="464" spans="1:54" x14ac:dyDescent="0.25">
      <c r="A464" s="1"/>
      <c r="B464" s="1"/>
      <c r="C464" s="1"/>
      <c r="D464" s="1"/>
      <c r="E464" s="1"/>
      <c r="F464" s="1"/>
      <c r="G464" s="1"/>
      <c r="H464" s="1"/>
      <c r="I464" s="7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</row>
    <row r="465" spans="1:54" x14ac:dyDescent="0.25">
      <c r="A465" s="1"/>
      <c r="B465" s="1"/>
      <c r="C465" s="1"/>
      <c r="D465" s="1"/>
      <c r="E465" s="1"/>
      <c r="F465" s="1"/>
      <c r="G465" s="1"/>
      <c r="H465" s="1"/>
      <c r="I465" s="7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</row>
    <row r="466" spans="1:54" x14ac:dyDescent="0.25">
      <c r="A466" s="1"/>
      <c r="B466" s="1"/>
      <c r="C466" s="1"/>
      <c r="D466" s="1"/>
      <c r="E466" s="1"/>
      <c r="F466" s="1"/>
      <c r="G466" s="1"/>
      <c r="H466" s="1"/>
      <c r="I466" s="7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</row>
    <row r="467" spans="1:54" x14ac:dyDescent="0.25">
      <c r="A467" s="1"/>
      <c r="B467" s="1"/>
      <c r="C467" s="1"/>
      <c r="D467" s="1"/>
      <c r="E467" s="1"/>
      <c r="F467" s="1"/>
      <c r="G467" s="1"/>
      <c r="H467" s="1"/>
      <c r="I467" s="7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</row>
    <row r="468" spans="1:54" x14ac:dyDescent="0.25">
      <c r="A468" s="1"/>
      <c r="B468" s="1"/>
      <c r="C468" s="1"/>
      <c r="D468" s="1"/>
      <c r="E468" s="1"/>
      <c r="F468" s="1"/>
      <c r="G468" s="1"/>
      <c r="H468" s="1"/>
      <c r="I468" s="7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</row>
    <row r="469" spans="1:54" x14ac:dyDescent="0.25">
      <c r="A469" s="1"/>
      <c r="B469" s="1"/>
      <c r="C469" s="1"/>
      <c r="D469" s="1"/>
      <c r="E469" s="1"/>
      <c r="F469" s="1"/>
      <c r="G469" s="1"/>
      <c r="H469" s="1"/>
      <c r="I469" s="7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</row>
    <row r="470" spans="1:54" x14ac:dyDescent="0.25">
      <c r="A470" s="1"/>
      <c r="B470" s="1"/>
      <c r="C470" s="1"/>
      <c r="D470" s="1"/>
      <c r="E470" s="1"/>
      <c r="F470" s="1"/>
      <c r="G470" s="1"/>
      <c r="H470" s="1"/>
      <c r="I470" s="7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</row>
    <row r="471" spans="1:54" x14ac:dyDescent="0.25">
      <c r="A471" s="1"/>
      <c r="B471" s="1"/>
      <c r="C471" s="1"/>
      <c r="D471" s="1"/>
      <c r="E471" s="1"/>
      <c r="F471" s="1"/>
      <c r="G471" s="1"/>
      <c r="H471" s="1"/>
      <c r="I471" s="7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</row>
    <row r="472" spans="1:54" x14ac:dyDescent="0.25">
      <c r="A472" s="1"/>
      <c r="B472" s="1"/>
      <c r="C472" s="1"/>
      <c r="D472" s="1"/>
      <c r="E472" s="1"/>
      <c r="F472" s="1"/>
      <c r="G472" s="1"/>
      <c r="H472" s="1"/>
      <c r="I472" s="7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</row>
    <row r="473" spans="1:54" x14ac:dyDescent="0.25">
      <c r="A473" s="1"/>
      <c r="B473" s="1"/>
      <c r="C473" s="1"/>
      <c r="D473" s="1"/>
      <c r="E473" s="1"/>
      <c r="F473" s="1"/>
      <c r="G473" s="1"/>
      <c r="H473" s="1"/>
      <c r="I473" s="7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</row>
    <row r="474" spans="1:54" x14ac:dyDescent="0.25">
      <c r="A474" s="1"/>
      <c r="B474" s="1"/>
      <c r="C474" s="1"/>
      <c r="D474" s="1"/>
      <c r="E474" s="1"/>
      <c r="F474" s="1"/>
      <c r="G474" s="1"/>
      <c r="H474" s="1"/>
      <c r="I474" s="7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</row>
    <row r="475" spans="1:54" x14ac:dyDescent="0.25">
      <c r="A475" s="1"/>
      <c r="B475" s="1"/>
      <c r="C475" s="1"/>
      <c r="D475" s="1"/>
      <c r="E475" s="1"/>
      <c r="F475" s="1"/>
      <c r="G475" s="1"/>
      <c r="H475" s="1"/>
      <c r="I475" s="7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</row>
    <row r="476" spans="1:54" x14ac:dyDescent="0.25">
      <c r="A476" s="1"/>
      <c r="B476" s="1"/>
      <c r="C476" s="1"/>
      <c r="D476" s="1"/>
      <c r="E476" s="1"/>
      <c r="F476" s="1"/>
      <c r="G476" s="1"/>
      <c r="H476" s="1"/>
      <c r="I476" s="7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</row>
    <row r="477" spans="1:54" x14ac:dyDescent="0.25">
      <c r="A477" s="1"/>
      <c r="B477" s="1"/>
      <c r="C477" s="1"/>
      <c r="D477" s="1"/>
      <c r="E477" s="1"/>
      <c r="F477" s="1"/>
      <c r="G477" s="1"/>
      <c r="H477" s="1"/>
      <c r="I477" s="7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</row>
    <row r="478" spans="1:54" x14ac:dyDescent="0.25">
      <c r="A478" s="1"/>
      <c r="B478" s="1"/>
      <c r="C478" s="1"/>
      <c r="D478" s="1"/>
      <c r="E478" s="1"/>
      <c r="F478" s="1"/>
      <c r="G478" s="1"/>
      <c r="H478" s="1"/>
      <c r="I478" s="7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</row>
    <row r="479" spans="1:54" x14ac:dyDescent="0.25">
      <c r="A479" s="1"/>
      <c r="B479" s="1"/>
      <c r="C479" s="1"/>
      <c r="D479" s="1"/>
      <c r="E479" s="1"/>
      <c r="F479" s="1"/>
      <c r="G479" s="1"/>
      <c r="H479" s="1"/>
      <c r="I479" s="7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</row>
    <row r="480" spans="1:54" x14ac:dyDescent="0.25">
      <c r="A480" s="1"/>
      <c r="B480" s="1"/>
      <c r="C480" s="1"/>
      <c r="D480" s="1"/>
      <c r="E480" s="1"/>
      <c r="F480" s="1"/>
      <c r="G480" s="1"/>
      <c r="H480" s="1"/>
      <c r="I480" s="7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</row>
    <row r="481" spans="1:54" x14ac:dyDescent="0.25">
      <c r="A481" s="1"/>
      <c r="B481" s="1"/>
      <c r="C481" s="1"/>
      <c r="D481" s="1"/>
      <c r="E481" s="1"/>
      <c r="F481" s="1"/>
      <c r="G481" s="1"/>
      <c r="H481" s="1"/>
      <c r="I481" s="7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</row>
    <row r="482" spans="1:54" x14ac:dyDescent="0.25">
      <c r="A482" s="1"/>
      <c r="B482" s="1"/>
      <c r="C482" s="1"/>
      <c r="D482" s="1"/>
      <c r="E482" s="1"/>
      <c r="F482" s="1"/>
      <c r="G482" s="1"/>
      <c r="H482" s="1"/>
      <c r="I482" s="7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</row>
    <row r="483" spans="1:54" x14ac:dyDescent="0.25">
      <c r="A483" s="1"/>
      <c r="B483" s="1"/>
      <c r="C483" s="1"/>
      <c r="D483" s="1"/>
      <c r="E483" s="1"/>
      <c r="F483" s="1"/>
      <c r="G483" s="1"/>
      <c r="H483" s="1"/>
      <c r="I483" s="7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</row>
    <row r="484" spans="1:54" x14ac:dyDescent="0.25">
      <c r="A484" s="1"/>
      <c r="B484" s="1"/>
      <c r="C484" s="1"/>
      <c r="D484" s="1"/>
      <c r="E484" s="1"/>
      <c r="F484" s="1"/>
      <c r="G484" s="1"/>
      <c r="H484" s="1"/>
      <c r="I484" s="7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</row>
    <row r="485" spans="1:54" x14ac:dyDescent="0.25">
      <c r="A485" s="1"/>
      <c r="B485" s="1"/>
      <c r="C485" s="1"/>
      <c r="D485" s="1"/>
      <c r="E485" s="1"/>
      <c r="F485" s="1"/>
      <c r="G485" s="1"/>
      <c r="H485" s="1"/>
      <c r="I485" s="7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</row>
    <row r="486" spans="1:54" x14ac:dyDescent="0.25">
      <c r="A486" s="1"/>
      <c r="B486" s="1"/>
      <c r="C486" s="1"/>
      <c r="D486" s="1"/>
      <c r="E486" s="1"/>
      <c r="F486" s="1"/>
      <c r="G486" s="1"/>
      <c r="H486" s="1"/>
      <c r="I486" s="7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</row>
    <row r="487" spans="1:54" x14ac:dyDescent="0.25">
      <c r="A487" s="1"/>
      <c r="B487" s="1"/>
      <c r="C487" s="1"/>
      <c r="D487" s="1"/>
      <c r="E487" s="1"/>
      <c r="F487" s="1"/>
      <c r="G487" s="1"/>
      <c r="H487" s="1"/>
      <c r="I487" s="7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</row>
    <row r="488" spans="1:54" x14ac:dyDescent="0.25">
      <c r="A488" s="1"/>
      <c r="B488" s="1"/>
      <c r="C488" s="1"/>
      <c r="D488" s="1"/>
      <c r="E488" s="1"/>
      <c r="F488" s="1"/>
      <c r="G488" s="1"/>
      <c r="H488" s="1"/>
      <c r="I488" s="7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</row>
    <row r="489" spans="1:54" x14ac:dyDescent="0.25">
      <c r="A489" s="1"/>
      <c r="B489" s="1"/>
      <c r="C489" s="1"/>
      <c r="D489" s="1"/>
      <c r="E489" s="1"/>
      <c r="F489" s="1"/>
      <c r="G489" s="1"/>
      <c r="H489" s="1"/>
      <c r="I489" s="7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</row>
    <row r="490" spans="1:54" x14ac:dyDescent="0.25">
      <c r="A490" s="1"/>
      <c r="B490" s="1"/>
      <c r="C490" s="1"/>
      <c r="D490" s="1"/>
      <c r="E490" s="1"/>
      <c r="F490" s="1"/>
      <c r="G490" s="1"/>
      <c r="H490" s="1"/>
      <c r="I490" s="7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</row>
    <row r="491" spans="1:54" x14ac:dyDescent="0.25">
      <c r="A491" s="1"/>
      <c r="B491" s="1"/>
      <c r="C491" s="1"/>
      <c r="D491" s="1"/>
      <c r="E491" s="1"/>
      <c r="F491" s="1"/>
      <c r="G491" s="1"/>
      <c r="H491" s="1"/>
      <c r="I491" s="7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</row>
    <row r="492" spans="1:54" x14ac:dyDescent="0.25">
      <c r="A492" s="1"/>
      <c r="B492" s="1"/>
      <c r="C492" s="1"/>
      <c r="D492" s="1"/>
      <c r="E492" s="1"/>
      <c r="F492" s="1"/>
      <c r="G492" s="1"/>
      <c r="H492" s="1"/>
      <c r="I492" s="7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</row>
    <row r="493" spans="1:54" x14ac:dyDescent="0.25">
      <c r="A493" s="1"/>
      <c r="B493" s="1"/>
      <c r="C493" s="1"/>
      <c r="D493" s="1"/>
      <c r="E493" s="1"/>
      <c r="F493" s="1"/>
      <c r="G493" s="1"/>
      <c r="H493" s="1"/>
      <c r="I493" s="7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</row>
    <row r="494" spans="1:54" x14ac:dyDescent="0.25">
      <c r="A494" s="1"/>
      <c r="B494" s="1"/>
      <c r="C494" s="1"/>
      <c r="D494" s="1"/>
      <c r="E494" s="1"/>
      <c r="F494" s="1"/>
      <c r="G494" s="1"/>
      <c r="H494" s="1"/>
      <c r="I494" s="7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</row>
    <row r="495" spans="1:54" x14ac:dyDescent="0.25">
      <c r="A495" s="1"/>
      <c r="B495" s="1"/>
      <c r="C495" s="1"/>
      <c r="D495" s="1"/>
      <c r="E495" s="1"/>
      <c r="F495" s="1"/>
      <c r="G495" s="1"/>
      <c r="H495" s="1"/>
      <c r="I495" s="7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</row>
    <row r="496" spans="1:54" x14ac:dyDescent="0.25">
      <c r="A496" s="1"/>
      <c r="B496" s="1"/>
      <c r="C496" s="1"/>
      <c r="D496" s="1"/>
      <c r="E496" s="1"/>
      <c r="F496" s="1"/>
      <c r="G496" s="1"/>
      <c r="H496" s="1"/>
      <c r="I496" s="7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</row>
    <row r="497" spans="1:54" x14ac:dyDescent="0.25">
      <c r="A497" s="1"/>
      <c r="B497" s="1"/>
      <c r="C497" s="1"/>
      <c r="D497" s="1"/>
      <c r="E497" s="1"/>
      <c r="F497" s="1"/>
      <c r="G497" s="1"/>
      <c r="H497" s="1"/>
      <c r="I497" s="7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</row>
    <row r="498" spans="1:54" x14ac:dyDescent="0.25">
      <c r="A498" s="1"/>
      <c r="B498" s="1"/>
      <c r="C498" s="1"/>
      <c r="D498" s="1"/>
      <c r="E498" s="1"/>
      <c r="F498" s="1"/>
      <c r="G498" s="1"/>
      <c r="H498" s="1"/>
      <c r="I498" s="7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</row>
    <row r="499" spans="1:54" x14ac:dyDescent="0.25">
      <c r="A499" s="1"/>
      <c r="B499" s="1"/>
      <c r="C499" s="1"/>
      <c r="D499" s="1"/>
      <c r="E499" s="1"/>
      <c r="F499" s="1"/>
      <c r="G499" s="1"/>
      <c r="H499" s="1"/>
      <c r="I499" s="7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</row>
    <row r="500" spans="1:54" x14ac:dyDescent="0.25">
      <c r="A500" s="1"/>
      <c r="B500" s="1"/>
      <c r="C500" s="1"/>
      <c r="D500" s="1"/>
      <c r="E500" s="1"/>
      <c r="F500" s="1"/>
      <c r="G500" s="1"/>
      <c r="H500" s="1"/>
      <c r="I500" s="7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</row>
  </sheetData>
  <autoFilter ref="A3:AR138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2026-09-22T13:32:56Z</dcterms:created>
  <dcterms:modified xsi:type="dcterms:W3CDTF">2026-09-24T15:50:31Z</dcterms:modified>
</cp:coreProperties>
</file>