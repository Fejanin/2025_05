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FD20C4-DDAA-435B-AC32-60BDACD724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Sheet!$A$3:$AR$131</definedName>
  </definedNames>
  <calcPr calcId="191029"/>
</workbook>
</file>

<file path=xl/calcChain.xml><?xml version="1.0" encoding="utf-8"?>
<calcChain xmlns="http://schemas.openxmlformats.org/spreadsheetml/2006/main">
  <c r="AQ83" i="1" l="1"/>
  <c r="S7" i="1" l="1"/>
  <c r="S8" i="1"/>
  <c r="S11" i="1"/>
  <c r="S15" i="1"/>
  <c r="S19" i="1"/>
  <c r="S21" i="1"/>
  <c r="S22" i="1"/>
  <c r="S27" i="1"/>
  <c r="S29" i="1"/>
  <c r="S42" i="1"/>
  <c r="S56" i="1"/>
  <c r="S59" i="1"/>
  <c r="S60" i="1"/>
  <c r="S72" i="1"/>
  <c r="S73" i="1"/>
  <c r="S74" i="1"/>
  <c r="S96" i="1"/>
  <c r="S107" i="1"/>
  <c r="S6" i="1"/>
  <c r="S5" i="1" l="1"/>
  <c r="AQ8" i="1"/>
  <c r="AQ9" i="1"/>
  <c r="AQ10" i="1"/>
  <c r="AQ13" i="1"/>
  <c r="AQ15" i="1"/>
  <c r="AQ16" i="1"/>
  <c r="AQ19" i="1"/>
  <c r="AQ20" i="1"/>
  <c r="AQ21" i="1"/>
  <c r="AQ22" i="1"/>
  <c r="AQ24" i="1"/>
  <c r="AQ26" i="1"/>
  <c r="AQ30" i="1"/>
  <c r="AQ31" i="1"/>
  <c r="AQ33" i="1"/>
  <c r="AQ34" i="1"/>
  <c r="AQ35" i="1"/>
  <c r="AQ36" i="1"/>
  <c r="AQ37" i="1"/>
  <c r="AQ38" i="1"/>
  <c r="AQ40" i="1"/>
  <c r="AQ43" i="1"/>
  <c r="AQ44" i="1"/>
  <c r="AQ46" i="1"/>
  <c r="AQ47" i="1"/>
  <c r="AQ49" i="1"/>
  <c r="AQ50" i="1"/>
  <c r="AQ52" i="1"/>
  <c r="AQ53" i="1"/>
  <c r="AQ55" i="1"/>
  <c r="AQ56" i="1"/>
  <c r="AQ57" i="1"/>
  <c r="AQ62" i="1"/>
  <c r="AQ63" i="1"/>
  <c r="AQ64" i="1"/>
  <c r="AQ65" i="1"/>
  <c r="AQ66" i="1"/>
  <c r="AQ67" i="1"/>
  <c r="AQ72" i="1"/>
  <c r="AQ75" i="1"/>
  <c r="AQ76" i="1"/>
  <c r="AQ78" i="1"/>
  <c r="AQ79" i="1"/>
  <c r="AQ81" i="1"/>
  <c r="AQ85" i="1"/>
  <c r="AQ86" i="1"/>
  <c r="AQ87" i="1"/>
  <c r="AQ88" i="1"/>
  <c r="AQ89" i="1"/>
  <c r="AQ90" i="1"/>
  <c r="AQ92" i="1"/>
  <c r="AQ94" i="1"/>
  <c r="AQ98" i="1"/>
  <c r="AQ102" i="1"/>
  <c r="AQ103" i="1"/>
  <c r="AQ105" i="1"/>
  <c r="AQ108" i="1"/>
  <c r="AQ109" i="1"/>
  <c r="AQ111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6" i="1"/>
  <c r="AA131" i="1"/>
  <c r="AP131" i="1"/>
  <c r="AA130" i="1"/>
  <c r="AP130" i="1"/>
  <c r="AP129" i="1"/>
  <c r="AA129" i="1"/>
  <c r="AD129" i="1" l="1"/>
  <c r="AR129" i="1"/>
  <c r="AD130" i="1"/>
  <c r="AR130" i="1"/>
  <c r="AD131" i="1"/>
  <c r="AR131" i="1"/>
  <c r="AE131" i="1"/>
  <c r="AE130" i="1"/>
  <c r="AE129" i="1"/>
  <c r="AA128" i="1" l="1"/>
  <c r="AR128" i="1" s="1"/>
  <c r="AA127" i="1"/>
  <c r="AR127" i="1" s="1"/>
  <c r="AA126" i="1"/>
  <c r="AR126" i="1" s="1"/>
  <c r="AA125" i="1"/>
  <c r="AR125" i="1" s="1"/>
  <c r="AA124" i="1"/>
  <c r="AR124" i="1" s="1"/>
  <c r="AA123" i="1"/>
  <c r="AR123" i="1" s="1"/>
  <c r="AA122" i="1"/>
  <c r="AR122" i="1" s="1"/>
  <c r="AA121" i="1"/>
  <c r="AR121" i="1" s="1"/>
  <c r="AA120" i="1"/>
  <c r="AR120" i="1" s="1"/>
  <c r="AA119" i="1"/>
  <c r="AR119" i="1" s="1"/>
  <c r="AA118" i="1"/>
  <c r="AR118" i="1" s="1"/>
  <c r="AA117" i="1"/>
  <c r="AR117" i="1" s="1"/>
  <c r="AA116" i="1"/>
  <c r="AR116" i="1" s="1"/>
  <c r="AA115" i="1"/>
  <c r="AR115" i="1" s="1"/>
  <c r="AA114" i="1"/>
  <c r="AR114" i="1" s="1"/>
  <c r="AA113" i="1"/>
  <c r="AR113" i="1" s="1"/>
  <c r="AE114" i="1" l="1"/>
  <c r="AD114" i="1"/>
  <c r="AE116" i="1"/>
  <c r="AD116" i="1"/>
  <c r="AE118" i="1"/>
  <c r="AD118" i="1"/>
  <c r="AE120" i="1"/>
  <c r="AD120" i="1"/>
  <c r="AE122" i="1"/>
  <c r="AD122" i="1"/>
  <c r="AE124" i="1"/>
  <c r="AD124" i="1"/>
  <c r="AE126" i="1"/>
  <c r="AD126" i="1"/>
  <c r="AE127" i="1"/>
  <c r="AD127" i="1"/>
  <c r="AE113" i="1"/>
  <c r="AD113" i="1"/>
  <c r="AE115" i="1"/>
  <c r="AD115" i="1"/>
  <c r="AE117" i="1"/>
  <c r="AD117" i="1"/>
  <c r="AE119" i="1"/>
  <c r="AD119" i="1"/>
  <c r="AE121" i="1"/>
  <c r="AD121" i="1"/>
  <c r="AE123" i="1"/>
  <c r="AD123" i="1"/>
  <c r="AE125" i="1"/>
  <c r="AD125" i="1"/>
  <c r="AE128" i="1"/>
  <c r="AD128" i="1"/>
  <c r="M7" i="1"/>
  <c r="AA7" i="1" s="1"/>
  <c r="M8" i="1"/>
  <c r="AA8" i="1" s="1"/>
  <c r="AS8" i="1" s="1"/>
  <c r="M9" i="1"/>
  <c r="AA9" i="1" s="1"/>
  <c r="M10" i="1"/>
  <c r="AA10" i="1" s="1"/>
  <c r="M11" i="1"/>
  <c r="AA11" i="1" s="1"/>
  <c r="M12" i="1"/>
  <c r="AA12" i="1" s="1"/>
  <c r="AR12" i="1" s="1"/>
  <c r="M13" i="1"/>
  <c r="AA13" i="1" s="1"/>
  <c r="M14" i="1"/>
  <c r="AA14" i="1" s="1"/>
  <c r="AR14" i="1" s="1"/>
  <c r="M15" i="1"/>
  <c r="AA15" i="1" s="1"/>
  <c r="AS15" i="1" s="1"/>
  <c r="M16" i="1"/>
  <c r="AA16" i="1" s="1"/>
  <c r="AS16" i="1" s="1"/>
  <c r="M17" i="1"/>
  <c r="AA17" i="1" s="1"/>
  <c r="AR17" i="1" s="1"/>
  <c r="M18" i="1"/>
  <c r="AA18" i="1" s="1"/>
  <c r="AR18" i="1" s="1"/>
  <c r="M19" i="1"/>
  <c r="AA19" i="1" s="1"/>
  <c r="AS19" i="1" s="1"/>
  <c r="M20" i="1"/>
  <c r="AA20" i="1" s="1"/>
  <c r="M21" i="1"/>
  <c r="AA21" i="1" s="1"/>
  <c r="AS21" i="1" s="1"/>
  <c r="M22" i="1"/>
  <c r="AA22" i="1" s="1"/>
  <c r="AS22" i="1" s="1"/>
  <c r="M23" i="1"/>
  <c r="AA23" i="1" s="1"/>
  <c r="AR23" i="1" s="1"/>
  <c r="M24" i="1"/>
  <c r="AA24" i="1" s="1"/>
  <c r="AS24" i="1" s="1"/>
  <c r="M25" i="1"/>
  <c r="AA25" i="1" s="1"/>
  <c r="AR25" i="1" s="1"/>
  <c r="M26" i="1"/>
  <c r="AA26" i="1" s="1"/>
  <c r="AS26" i="1" s="1"/>
  <c r="M27" i="1"/>
  <c r="AA27" i="1" s="1"/>
  <c r="M28" i="1"/>
  <c r="AA28" i="1" s="1"/>
  <c r="AR28" i="1" s="1"/>
  <c r="M29" i="1"/>
  <c r="AA29" i="1" s="1"/>
  <c r="AR29" i="1" s="1"/>
  <c r="M30" i="1"/>
  <c r="AA30" i="1" s="1"/>
  <c r="M31" i="1"/>
  <c r="AA31" i="1" s="1"/>
  <c r="AR31" i="1" s="1"/>
  <c r="M32" i="1"/>
  <c r="AA32" i="1" s="1"/>
  <c r="AR32" i="1" s="1"/>
  <c r="M33" i="1"/>
  <c r="AA33" i="1" s="1"/>
  <c r="M34" i="1"/>
  <c r="AA34" i="1" s="1"/>
  <c r="M35" i="1"/>
  <c r="AA35" i="1" s="1"/>
  <c r="M36" i="1"/>
  <c r="AA36" i="1" s="1"/>
  <c r="M37" i="1"/>
  <c r="AA37" i="1" s="1"/>
  <c r="AR37" i="1" s="1"/>
  <c r="M38" i="1"/>
  <c r="AA38" i="1" s="1"/>
  <c r="M39" i="1"/>
  <c r="AA39" i="1" s="1"/>
  <c r="AR39" i="1" s="1"/>
  <c r="M40" i="1"/>
  <c r="AA40" i="1" s="1"/>
  <c r="M41" i="1"/>
  <c r="AA41" i="1" s="1"/>
  <c r="AR41" i="1" s="1"/>
  <c r="M42" i="1"/>
  <c r="AA42" i="1" s="1"/>
  <c r="AR42" i="1" s="1"/>
  <c r="M43" i="1"/>
  <c r="AA43" i="1" s="1"/>
  <c r="AR43" i="1" s="1"/>
  <c r="M44" i="1"/>
  <c r="AA44" i="1" s="1"/>
  <c r="AS44" i="1" s="1"/>
  <c r="M45" i="1"/>
  <c r="AA45" i="1" s="1"/>
  <c r="AR45" i="1" s="1"/>
  <c r="M46" i="1"/>
  <c r="AA46" i="1" s="1"/>
  <c r="AS46" i="1" s="1"/>
  <c r="M47" i="1"/>
  <c r="AA47" i="1" s="1"/>
  <c r="AR47" i="1" s="1"/>
  <c r="M48" i="1"/>
  <c r="AA48" i="1" s="1"/>
  <c r="AR48" i="1" s="1"/>
  <c r="M49" i="1"/>
  <c r="AA49" i="1" s="1"/>
  <c r="AR49" i="1" s="1"/>
  <c r="M50" i="1"/>
  <c r="AA50" i="1" s="1"/>
  <c r="M51" i="1"/>
  <c r="AA51" i="1" s="1"/>
  <c r="AR51" i="1" s="1"/>
  <c r="M52" i="1"/>
  <c r="AA52" i="1" s="1"/>
  <c r="M53" i="1"/>
  <c r="AA53" i="1" s="1"/>
  <c r="M54" i="1"/>
  <c r="AA54" i="1" s="1"/>
  <c r="AR54" i="1" s="1"/>
  <c r="M55" i="1"/>
  <c r="AA55" i="1" s="1"/>
  <c r="M56" i="1"/>
  <c r="AA56" i="1" s="1"/>
  <c r="AS56" i="1" s="1"/>
  <c r="M57" i="1"/>
  <c r="AA57" i="1" s="1"/>
  <c r="AR57" i="1" s="1"/>
  <c r="M58" i="1"/>
  <c r="AA58" i="1" s="1"/>
  <c r="AR58" i="1" s="1"/>
  <c r="M59" i="1"/>
  <c r="AA59" i="1" s="1"/>
  <c r="AR59" i="1" s="1"/>
  <c r="M60" i="1"/>
  <c r="AA60" i="1" s="1"/>
  <c r="AR60" i="1" s="1"/>
  <c r="M61" i="1"/>
  <c r="AA61" i="1" s="1"/>
  <c r="AR61" i="1" s="1"/>
  <c r="M62" i="1"/>
  <c r="AA62" i="1" s="1"/>
  <c r="M63" i="1"/>
  <c r="M64" i="1"/>
  <c r="AA64" i="1" s="1"/>
  <c r="M65" i="1"/>
  <c r="AA65" i="1" s="1"/>
  <c r="AR65" i="1" s="1"/>
  <c r="M66" i="1"/>
  <c r="AA66" i="1" s="1"/>
  <c r="AR66" i="1" s="1"/>
  <c r="M67" i="1"/>
  <c r="AA67" i="1" s="1"/>
  <c r="M68" i="1"/>
  <c r="AA68" i="1" s="1"/>
  <c r="AR68" i="1" s="1"/>
  <c r="M69" i="1"/>
  <c r="AA69" i="1" s="1"/>
  <c r="AR69" i="1" s="1"/>
  <c r="M70" i="1"/>
  <c r="AA70" i="1" s="1"/>
  <c r="M71" i="1"/>
  <c r="AA71" i="1" s="1"/>
  <c r="AR71" i="1" s="1"/>
  <c r="M72" i="1"/>
  <c r="AA72" i="1" s="1"/>
  <c r="AS72" i="1" s="1"/>
  <c r="M73" i="1"/>
  <c r="AA73" i="1" s="1"/>
  <c r="M74" i="1"/>
  <c r="AA74" i="1" s="1"/>
  <c r="M75" i="1"/>
  <c r="AA75" i="1" s="1"/>
  <c r="M76" i="1"/>
  <c r="AA76" i="1" s="1"/>
  <c r="M77" i="1"/>
  <c r="AA77" i="1" s="1"/>
  <c r="AR77" i="1" s="1"/>
  <c r="M78" i="1"/>
  <c r="AA78" i="1" s="1"/>
  <c r="M79" i="1"/>
  <c r="AA79" i="1" s="1"/>
  <c r="M80" i="1"/>
  <c r="AA80" i="1" s="1"/>
  <c r="AR80" i="1" s="1"/>
  <c r="M81" i="1"/>
  <c r="AA81" i="1" s="1"/>
  <c r="M82" i="1"/>
  <c r="AA82" i="1" s="1"/>
  <c r="AR82" i="1" s="1"/>
  <c r="M83" i="1"/>
  <c r="AA83" i="1" s="1"/>
  <c r="M84" i="1"/>
  <c r="AA84" i="1" s="1"/>
  <c r="AR84" i="1" s="1"/>
  <c r="M85" i="1"/>
  <c r="AA85" i="1" s="1"/>
  <c r="M86" i="1"/>
  <c r="AA86" i="1" s="1"/>
  <c r="AR86" i="1" s="1"/>
  <c r="M87" i="1"/>
  <c r="AA87" i="1" s="1"/>
  <c r="M88" i="1"/>
  <c r="AA88" i="1" s="1"/>
  <c r="M89" i="1"/>
  <c r="AA89" i="1" s="1"/>
  <c r="M90" i="1"/>
  <c r="AA90" i="1" s="1"/>
  <c r="M91" i="1"/>
  <c r="AA91" i="1" s="1"/>
  <c r="AR91" i="1" s="1"/>
  <c r="M92" i="1"/>
  <c r="AA92" i="1" s="1"/>
  <c r="M93" i="1"/>
  <c r="AA93" i="1" s="1"/>
  <c r="AR93" i="1" s="1"/>
  <c r="M94" i="1"/>
  <c r="AA94" i="1" s="1"/>
  <c r="M95" i="1"/>
  <c r="AA95" i="1" s="1"/>
  <c r="AR95" i="1" s="1"/>
  <c r="M96" i="1"/>
  <c r="AA96" i="1" s="1"/>
  <c r="AR96" i="1" s="1"/>
  <c r="M97" i="1"/>
  <c r="AA97" i="1" s="1"/>
  <c r="AR97" i="1" s="1"/>
  <c r="M98" i="1"/>
  <c r="AA98" i="1" s="1"/>
  <c r="M99" i="1"/>
  <c r="AA99" i="1" s="1"/>
  <c r="AR99" i="1" s="1"/>
  <c r="M100" i="1"/>
  <c r="AA100" i="1" s="1"/>
  <c r="AR100" i="1" s="1"/>
  <c r="M101" i="1"/>
  <c r="AA101" i="1" s="1"/>
  <c r="AR101" i="1" s="1"/>
  <c r="M102" i="1"/>
  <c r="AA102" i="1" s="1"/>
  <c r="M103" i="1"/>
  <c r="AA103" i="1" s="1"/>
  <c r="AR103" i="1" s="1"/>
  <c r="M104" i="1"/>
  <c r="AA104" i="1" s="1"/>
  <c r="AR104" i="1" s="1"/>
  <c r="M105" i="1"/>
  <c r="AA105" i="1" s="1"/>
  <c r="AR105" i="1" s="1"/>
  <c r="M106" i="1"/>
  <c r="AA106" i="1" s="1"/>
  <c r="AR106" i="1" s="1"/>
  <c r="M107" i="1"/>
  <c r="AA107" i="1" s="1"/>
  <c r="M108" i="1"/>
  <c r="AA108" i="1" s="1"/>
  <c r="M109" i="1"/>
  <c r="AA109" i="1" s="1"/>
  <c r="AR109" i="1" s="1"/>
  <c r="M110" i="1"/>
  <c r="AA110" i="1" s="1"/>
  <c r="AR110" i="1" s="1"/>
  <c r="M111" i="1"/>
  <c r="AA111" i="1" s="1"/>
  <c r="AR111" i="1" s="1"/>
  <c r="M112" i="1"/>
  <c r="AA112" i="1" s="1"/>
  <c r="AR112" i="1" s="1"/>
  <c r="M6" i="1"/>
  <c r="AA6" i="1" s="1"/>
  <c r="AS6" i="1" s="1"/>
  <c r="AP112" i="1"/>
  <c r="L112" i="1"/>
  <c r="L111" i="1"/>
  <c r="AP110" i="1"/>
  <c r="L110" i="1"/>
  <c r="L109" i="1"/>
  <c r="AP108" i="1"/>
  <c r="L108" i="1"/>
  <c r="L107" i="1"/>
  <c r="AP106" i="1"/>
  <c r="L106" i="1"/>
  <c r="L105" i="1"/>
  <c r="AP104" i="1"/>
  <c r="L104" i="1"/>
  <c r="L103" i="1"/>
  <c r="AP102" i="1"/>
  <c r="L102" i="1"/>
  <c r="L101" i="1"/>
  <c r="AP100" i="1"/>
  <c r="L100" i="1"/>
  <c r="L99" i="1"/>
  <c r="L98" i="1"/>
  <c r="AP97" i="1"/>
  <c r="L97" i="1"/>
  <c r="AP96" i="1"/>
  <c r="L96" i="1"/>
  <c r="AP95" i="1"/>
  <c r="L95" i="1"/>
  <c r="AP94" i="1"/>
  <c r="L94" i="1"/>
  <c r="AP93" i="1"/>
  <c r="L93" i="1"/>
  <c r="AP92" i="1"/>
  <c r="L92" i="1"/>
  <c r="AP91" i="1"/>
  <c r="L91" i="1"/>
  <c r="AP90" i="1"/>
  <c r="L90" i="1"/>
  <c r="AP89" i="1"/>
  <c r="L89" i="1"/>
  <c r="L88" i="1"/>
  <c r="AP87" i="1"/>
  <c r="L87" i="1"/>
  <c r="L86" i="1"/>
  <c r="L85" i="1"/>
  <c r="AP84" i="1"/>
  <c r="L84" i="1"/>
  <c r="L83" i="1"/>
  <c r="AP82" i="1"/>
  <c r="L82" i="1"/>
  <c r="L81" i="1"/>
  <c r="AP80" i="1"/>
  <c r="L80" i="1"/>
  <c r="L79" i="1"/>
  <c r="AP78" i="1"/>
  <c r="L78" i="1"/>
  <c r="L77" i="1"/>
  <c r="L76" i="1"/>
  <c r="L75" i="1"/>
  <c r="AP74" i="1"/>
  <c r="L74" i="1"/>
  <c r="L73" i="1"/>
  <c r="AP72" i="1"/>
  <c r="L72" i="1"/>
  <c r="L71" i="1"/>
  <c r="AP70" i="1"/>
  <c r="L70" i="1"/>
  <c r="L69" i="1"/>
  <c r="AP68" i="1"/>
  <c r="L68" i="1"/>
  <c r="L67" i="1"/>
  <c r="L66" i="1"/>
  <c r="L65" i="1"/>
  <c r="L64" i="1"/>
  <c r="L63" i="1"/>
  <c r="AP62" i="1"/>
  <c r="L62" i="1"/>
  <c r="L61" i="1"/>
  <c r="AP60" i="1"/>
  <c r="L60" i="1"/>
  <c r="L59" i="1"/>
  <c r="AP58" i="1"/>
  <c r="L58" i="1"/>
  <c r="L57" i="1"/>
  <c r="AP56" i="1"/>
  <c r="L56" i="1"/>
  <c r="L55" i="1"/>
  <c r="AP54" i="1"/>
  <c r="L54" i="1"/>
  <c r="L53" i="1"/>
  <c r="L52" i="1"/>
  <c r="L51" i="1"/>
  <c r="AP50" i="1"/>
  <c r="L50" i="1"/>
  <c r="L49" i="1"/>
  <c r="AP48" i="1"/>
  <c r="L48" i="1"/>
  <c r="L47" i="1"/>
  <c r="AP46" i="1"/>
  <c r="L46" i="1"/>
  <c r="L45" i="1"/>
  <c r="L44" i="1"/>
  <c r="L43" i="1"/>
  <c r="AP42" i="1"/>
  <c r="L42" i="1"/>
  <c r="L41" i="1"/>
  <c r="L40" i="1"/>
  <c r="L39" i="1"/>
  <c r="AP38" i="1"/>
  <c r="L38" i="1"/>
  <c r="L37" i="1"/>
  <c r="AP36" i="1"/>
  <c r="L36" i="1"/>
  <c r="L35" i="1"/>
  <c r="AP34" i="1"/>
  <c r="L34" i="1"/>
  <c r="L33" i="1"/>
  <c r="AP32" i="1"/>
  <c r="L32" i="1"/>
  <c r="L31" i="1"/>
  <c r="L30" i="1"/>
  <c r="L29" i="1"/>
  <c r="AP28" i="1"/>
  <c r="L28" i="1"/>
  <c r="L27" i="1"/>
  <c r="L26" i="1"/>
  <c r="L25" i="1"/>
  <c r="L24" i="1"/>
  <c r="AP23" i="1"/>
  <c r="L23" i="1"/>
  <c r="AP22" i="1"/>
  <c r="L22" i="1"/>
  <c r="AP21" i="1"/>
  <c r="L21" i="1"/>
  <c r="AP20" i="1"/>
  <c r="L20" i="1"/>
  <c r="AP19" i="1"/>
  <c r="L19" i="1"/>
  <c r="AP18" i="1"/>
  <c r="L18" i="1"/>
  <c r="AP17" i="1"/>
  <c r="L17" i="1"/>
  <c r="L16" i="1"/>
  <c r="AP15" i="1"/>
  <c r="L15" i="1"/>
  <c r="AP14" i="1"/>
  <c r="L14" i="1"/>
  <c r="AP13" i="1"/>
  <c r="L13" i="1"/>
  <c r="AP12" i="1"/>
  <c r="L12" i="1"/>
  <c r="AP11" i="1"/>
  <c r="L11" i="1"/>
  <c r="AP10" i="1"/>
  <c r="L10" i="1"/>
  <c r="AP9" i="1"/>
  <c r="L9" i="1"/>
  <c r="AP8" i="1"/>
  <c r="L8" i="1"/>
  <c r="AP7" i="1"/>
  <c r="L7" i="1"/>
  <c r="L6" i="1"/>
  <c r="AN5" i="1"/>
  <c r="AM5" i="1"/>
  <c r="AL5" i="1"/>
  <c r="AK5" i="1"/>
  <c r="AJ5" i="1"/>
  <c r="AI5" i="1"/>
  <c r="AH5" i="1"/>
  <c r="AG5" i="1"/>
  <c r="AF5" i="1"/>
  <c r="Z5" i="1"/>
  <c r="Y5" i="1"/>
  <c r="X5" i="1"/>
  <c r="W5" i="1"/>
  <c r="V5" i="1"/>
  <c r="U5" i="1"/>
  <c r="T5" i="1"/>
  <c r="R5" i="1"/>
  <c r="Q5" i="1"/>
  <c r="P5" i="1"/>
  <c r="O5" i="1"/>
  <c r="N5" i="1"/>
  <c r="K5" i="1"/>
  <c r="F5" i="1"/>
  <c r="E5" i="1"/>
  <c r="AR74" i="1" l="1"/>
  <c r="AS74" i="1"/>
  <c r="AR70" i="1"/>
  <c r="AS70" i="1"/>
  <c r="AR107" i="1"/>
  <c r="AS107" i="1"/>
  <c r="AR73" i="1"/>
  <c r="AS73" i="1"/>
  <c r="AR27" i="1"/>
  <c r="AS27" i="1"/>
  <c r="AR11" i="1"/>
  <c r="AS11" i="1"/>
  <c r="AR7" i="1"/>
  <c r="AS7" i="1"/>
  <c r="AB6" i="1"/>
  <c r="AD6" i="1" s="1"/>
  <c r="AR6" i="1"/>
  <c r="AD89" i="1"/>
  <c r="AR89" i="1"/>
  <c r="AD87" i="1"/>
  <c r="AR87" i="1"/>
  <c r="AB85" i="1"/>
  <c r="AD85" i="1" s="1"/>
  <c r="AR85" i="1"/>
  <c r="AD83" i="1"/>
  <c r="AR83" i="1"/>
  <c r="AB81" i="1"/>
  <c r="AD81" i="1" s="1"/>
  <c r="AR81" i="1"/>
  <c r="AB79" i="1"/>
  <c r="AD79" i="1" s="1"/>
  <c r="AR79" i="1"/>
  <c r="AB75" i="1"/>
  <c r="AD75" i="1" s="1"/>
  <c r="AR75" i="1"/>
  <c r="AB67" i="1"/>
  <c r="AP67" i="1" s="1"/>
  <c r="AR67" i="1"/>
  <c r="AB55" i="1"/>
  <c r="AP55" i="1" s="1"/>
  <c r="AR55" i="1"/>
  <c r="AB53" i="1"/>
  <c r="AP53" i="1" s="1"/>
  <c r="AR53" i="1"/>
  <c r="AB35" i="1"/>
  <c r="AP35" i="1" s="1"/>
  <c r="AR35" i="1"/>
  <c r="AB33" i="1"/>
  <c r="AP33" i="1" s="1"/>
  <c r="AR33" i="1"/>
  <c r="AD21" i="1"/>
  <c r="AR21" i="1"/>
  <c r="AD19" i="1"/>
  <c r="AR19" i="1"/>
  <c r="AD15" i="1"/>
  <c r="AR15" i="1"/>
  <c r="AD13" i="1"/>
  <c r="AR13" i="1"/>
  <c r="AD9" i="1"/>
  <c r="AR9" i="1"/>
  <c r="AD108" i="1"/>
  <c r="AR108" i="1"/>
  <c r="AD102" i="1"/>
  <c r="AR102" i="1"/>
  <c r="AB98" i="1"/>
  <c r="AD98" i="1" s="1"/>
  <c r="AR98" i="1"/>
  <c r="AD94" i="1"/>
  <c r="AR94" i="1"/>
  <c r="AD92" i="1"/>
  <c r="AR92" i="1"/>
  <c r="AD90" i="1"/>
  <c r="AR90" i="1"/>
  <c r="AB88" i="1"/>
  <c r="AD88" i="1" s="1"/>
  <c r="AR88" i="1"/>
  <c r="AD78" i="1"/>
  <c r="AR78" i="1"/>
  <c r="AD76" i="1"/>
  <c r="AR76" i="1"/>
  <c r="AD72" i="1"/>
  <c r="AR72" i="1"/>
  <c r="AB64" i="1"/>
  <c r="AD64" i="1" s="1"/>
  <c r="AR64" i="1"/>
  <c r="AD62" i="1"/>
  <c r="AR62" i="1"/>
  <c r="AD56" i="1"/>
  <c r="AR56" i="1"/>
  <c r="AB52" i="1"/>
  <c r="AD52" i="1" s="1"/>
  <c r="AR52" i="1"/>
  <c r="AD50" i="1"/>
  <c r="AR50" i="1"/>
  <c r="AD46" i="1"/>
  <c r="AR46" i="1"/>
  <c r="AB44" i="1"/>
  <c r="AD44" i="1" s="1"/>
  <c r="AR44" i="1"/>
  <c r="AB40" i="1"/>
  <c r="AD40" i="1" s="1"/>
  <c r="AR40" i="1"/>
  <c r="AD38" i="1"/>
  <c r="AR38" i="1"/>
  <c r="AD36" i="1"/>
  <c r="AR36" i="1"/>
  <c r="AD34" i="1"/>
  <c r="AR34" i="1"/>
  <c r="AB30" i="1"/>
  <c r="AD30" i="1" s="1"/>
  <c r="AR30" i="1"/>
  <c r="AB26" i="1"/>
  <c r="AD26" i="1" s="1"/>
  <c r="AR26" i="1"/>
  <c r="AB24" i="1"/>
  <c r="AD24" i="1" s="1"/>
  <c r="AR24" i="1"/>
  <c r="AD22" i="1"/>
  <c r="AR22" i="1"/>
  <c r="AD20" i="1"/>
  <c r="AR20" i="1"/>
  <c r="AB16" i="1"/>
  <c r="AD16" i="1" s="1"/>
  <c r="AR16" i="1"/>
  <c r="AD10" i="1"/>
  <c r="AR10" i="1"/>
  <c r="AD8" i="1"/>
  <c r="AR8" i="1"/>
  <c r="AP86" i="1"/>
  <c r="AD86" i="1"/>
  <c r="AP111" i="1"/>
  <c r="AD111" i="1"/>
  <c r="AP109" i="1"/>
  <c r="AD109" i="1"/>
  <c r="AP107" i="1"/>
  <c r="AP105" i="1"/>
  <c r="AD105" i="1"/>
  <c r="AP103" i="1"/>
  <c r="AD103" i="1"/>
  <c r="AP101" i="1"/>
  <c r="AP73" i="1"/>
  <c r="AP71" i="1"/>
  <c r="AP69" i="1"/>
  <c r="AP65" i="1"/>
  <c r="AD65" i="1"/>
  <c r="AP61" i="1"/>
  <c r="AP59" i="1"/>
  <c r="AP57" i="1"/>
  <c r="AD57" i="1"/>
  <c r="AP51" i="1"/>
  <c r="AP49" i="1"/>
  <c r="AD49" i="1"/>
  <c r="AP47" i="1"/>
  <c r="AD47" i="1"/>
  <c r="AP45" i="1"/>
  <c r="AP43" i="1"/>
  <c r="AD43" i="1"/>
  <c r="AP41" i="1"/>
  <c r="AP39" i="1"/>
  <c r="AP37" i="1"/>
  <c r="AD37" i="1"/>
  <c r="AP31" i="1"/>
  <c r="AD31" i="1"/>
  <c r="AP29" i="1"/>
  <c r="AP27" i="1"/>
  <c r="AB66" i="1"/>
  <c r="AP63" i="1"/>
  <c r="AA63" i="1"/>
  <c r="AE6" i="1"/>
  <c r="AE111" i="1"/>
  <c r="AE109" i="1"/>
  <c r="AE107" i="1"/>
  <c r="AE105" i="1"/>
  <c r="AE103" i="1"/>
  <c r="AE101" i="1"/>
  <c r="AC101" i="1" s="1"/>
  <c r="AE99" i="1"/>
  <c r="AQ99" i="1" s="1"/>
  <c r="AE97" i="1"/>
  <c r="AC97" i="1" s="1"/>
  <c r="AE95" i="1"/>
  <c r="AC95" i="1" s="1"/>
  <c r="AE93" i="1"/>
  <c r="AE91" i="1"/>
  <c r="AC91" i="1" s="1"/>
  <c r="AE89" i="1"/>
  <c r="AE87" i="1"/>
  <c r="AE85" i="1"/>
  <c r="AE83" i="1"/>
  <c r="AE81" i="1"/>
  <c r="AE79" i="1"/>
  <c r="AE77" i="1"/>
  <c r="AQ77" i="1" s="1"/>
  <c r="AE75" i="1"/>
  <c r="AE73" i="1"/>
  <c r="AE71" i="1"/>
  <c r="AC71" i="1" s="1"/>
  <c r="AE69" i="1"/>
  <c r="AC69" i="1" s="1"/>
  <c r="AE67" i="1"/>
  <c r="AE65" i="1"/>
  <c r="AE61" i="1"/>
  <c r="AE59" i="1"/>
  <c r="AC59" i="1" s="1"/>
  <c r="AE57" i="1"/>
  <c r="AE55" i="1"/>
  <c r="AE53" i="1"/>
  <c r="AE51" i="1"/>
  <c r="AC51" i="1" s="1"/>
  <c r="AE49" i="1"/>
  <c r="AE47" i="1"/>
  <c r="AE45" i="1"/>
  <c r="AC45" i="1" s="1"/>
  <c r="AE43" i="1"/>
  <c r="AE41" i="1"/>
  <c r="AE39" i="1"/>
  <c r="AC39" i="1" s="1"/>
  <c r="AE37" i="1"/>
  <c r="AE35" i="1"/>
  <c r="AE33" i="1"/>
  <c r="AE31" i="1"/>
  <c r="AE29" i="1"/>
  <c r="AE27" i="1"/>
  <c r="AE25" i="1"/>
  <c r="AQ25" i="1" s="1"/>
  <c r="AE23" i="1"/>
  <c r="AC23" i="1" s="1"/>
  <c r="AE21" i="1"/>
  <c r="AE19" i="1"/>
  <c r="AE17" i="1"/>
  <c r="AC17" i="1" s="1"/>
  <c r="AE15" i="1"/>
  <c r="AE13" i="1"/>
  <c r="AE11" i="1"/>
  <c r="AE9" i="1"/>
  <c r="AE7" i="1"/>
  <c r="AE112" i="1"/>
  <c r="AE110" i="1"/>
  <c r="AC110" i="1" s="1"/>
  <c r="AE108" i="1"/>
  <c r="AE106" i="1"/>
  <c r="AE104" i="1"/>
  <c r="AC104" i="1" s="1"/>
  <c r="AE102" i="1"/>
  <c r="AE100" i="1"/>
  <c r="AC100" i="1" s="1"/>
  <c r="AE98" i="1"/>
  <c r="AE96" i="1"/>
  <c r="AE94" i="1"/>
  <c r="AE92" i="1"/>
  <c r="AE90" i="1"/>
  <c r="AE88" i="1"/>
  <c r="AE86" i="1"/>
  <c r="AE84" i="1"/>
  <c r="AC84" i="1" s="1"/>
  <c r="AE82" i="1"/>
  <c r="AC82" i="1" s="1"/>
  <c r="AE80" i="1"/>
  <c r="AC80" i="1" s="1"/>
  <c r="AE78" i="1"/>
  <c r="AE76" i="1"/>
  <c r="AE74" i="1"/>
  <c r="AE72" i="1"/>
  <c r="AE70" i="1"/>
  <c r="AE68" i="1"/>
  <c r="AE66" i="1"/>
  <c r="AE64" i="1"/>
  <c r="AE62" i="1"/>
  <c r="AE60" i="1"/>
  <c r="AC60" i="1" s="1"/>
  <c r="AE58" i="1"/>
  <c r="AE56" i="1"/>
  <c r="AE54" i="1"/>
  <c r="AC54" i="1" s="1"/>
  <c r="AE52" i="1"/>
  <c r="AE50" i="1"/>
  <c r="AE48" i="1"/>
  <c r="AC48" i="1" s="1"/>
  <c r="AE46" i="1"/>
  <c r="AE44" i="1"/>
  <c r="AE42" i="1"/>
  <c r="AE40" i="1"/>
  <c r="AE38" i="1"/>
  <c r="AE36" i="1"/>
  <c r="AE34" i="1"/>
  <c r="AE32" i="1"/>
  <c r="AE30" i="1"/>
  <c r="AE28" i="1"/>
  <c r="AE26" i="1"/>
  <c r="AE24" i="1"/>
  <c r="AE22" i="1"/>
  <c r="AE20" i="1"/>
  <c r="AE18" i="1"/>
  <c r="AE16" i="1"/>
  <c r="AE14" i="1"/>
  <c r="AC14" i="1" s="1"/>
  <c r="AE12" i="1"/>
  <c r="AE10" i="1"/>
  <c r="AE8" i="1"/>
  <c r="L5" i="1"/>
  <c r="M5" i="1"/>
  <c r="AQ95" i="1" l="1"/>
  <c r="AQ93" i="1"/>
  <c r="AQ17" i="1"/>
  <c r="AQ97" i="1"/>
  <c r="AQ80" i="1"/>
  <c r="AQ54" i="1"/>
  <c r="AQ42" i="1"/>
  <c r="AQ96" i="1"/>
  <c r="AQ82" i="1"/>
  <c r="AQ29" i="1"/>
  <c r="AQ48" i="1"/>
  <c r="AQ14" i="1"/>
  <c r="AQ27" i="1"/>
  <c r="AQ110" i="1"/>
  <c r="AQ39" i="1"/>
  <c r="AQ32" i="1"/>
  <c r="AQ45" i="1"/>
  <c r="AQ70" i="1"/>
  <c r="AQ7" i="1"/>
  <c r="AP98" i="1"/>
  <c r="AD35" i="1"/>
  <c r="AP85" i="1"/>
  <c r="AD55" i="1"/>
  <c r="AP79" i="1"/>
  <c r="AP16" i="1"/>
  <c r="AP6" i="1"/>
  <c r="AD33" i="1"/>
  <c r="AD53" i="1"/>
  <c r="AD67" i="1"/>
  <c r="AP75" i="1"/>
  <c r="AP81" i="1"/>
  <c r="AP52" i="1"/>
  <c r="AP30" i="1"/>
  <c r="AP40" i="1"/>
  <c r="AP26" i="1"/>
  <c r="AP88" i="1"/>
  <c r="AB5" i="1"/>
  <c r="AP64" i="1"/>
  <c r="AP44" i="1"/>
  <c r="AP24" i="1"/>
  <c r="AD63" i="1"/>
  <c r="AR63" i="1"/>
  <c r="AD45" i="1"/>
  <c r="AD17" i="1"/>
  <c r="AD32" i="1"/>
  <c r="AD95" i="1"/>
  <c r="AD48" i="1"/>
  <c r="AD70" i="1"/>
  <c r="AD82" i="1"/>
  <c r="AD110" i="1"/>
  <c r="AD27" i="1"/>
  <c r="AD29" i="1"/>
  <c r="AD39" i="1"/>
  <c r="AD93" i="1"/>
  <c r="AD97" i="1"/>
  <c r="AD42" i="1"/>
  <c r="AD54" i="1"/>
  <c r="AD80" i="1"/>
  <c r="AD96" i="1"/>
  <c r="AD7" i="1"/>
  <c r="AA5" i="1"/>
  <c r="AE63" i="1"/>
  <c r="AD18" i="1"/>
  <c r="AQ18" i="1"/>
  <c r="AD58" i="1"/>
  <c r="AQ58" i="1"/>
  <c r="AD74" i="1"/>
  <c r="AQ74" i="1"/>
  <c r="AD106" i="1"/>
  <c r="AQ106" i="1"/>
  <c r="AD11" i="1"/>
  <c r="AQ11" i="1"/>
  <c r="AD23" i="1"/>
  <c r="AQ23" i="1"/>
  <c r="AD51" i="1"/>
  <c r="AQ51" i="1"/>
  <c r="AD59" i="1"/>
  <c r="AQ59" i="1"/>
  <c r="AD71" i="1"/>
  <c r="AQ71" i="1"/>
  <c r="AD91" i="1"/>
  <c r="AQ91" i="1"/>
  <c r="AD99" i="1"/>
  <c r="AD107" i="1"/>
  <c r="AQ107" i="1"/>
  <c r="AD12" i="1"/>
  <c r="AQ12" i="1"/>
  <c r="AD28" i="1"/>
  <c r="AQ28" i="1"/>
  <c r="AD60" i="1"/>
  <c r="AQ60" i="1"/>
  <c r="AD68" i="1"/>
  <c r="AQ68" i="1"/>
  <c r="AD84" i="1"/>
  <c r="AQ84" i="1"/>
  <c r="AD100" i="1"/>
  <c r="AQ100" i="1"/>
  <c r="AD104" i="1"/>
  <c r="AQ104" i="1"/>
  <c r="AD112" i="1"/>
  <c r="AQ112" i="1"/>
  <c r="AD25" i="1"/>
  <c r="AD41" i="1"/>
  <c r="AQ41" i="1"/>
  <c r="AD61" i="1"/>
  <c r="AQ61" i="1"/>
  <c r="AD69" i="1"/>
  <c r="AQ69" i="1"/>
  <c r="AD73" i="1"/>
  <c r="AQ73" i="1"/>
  <c r="AD77" i="1"/>
  <c r="AD101" i="1"/>
  <c r="AQ101" i="1"/>
  <c r="AC5" i="1"/>
  <c r="AD14" i="1"/>
  <c r="AP66" i="1"/>
  <c r="AD66" i="1"/>
  <c r="AP5" i="1" l="1"/>
  <c r="AQ5" i="1"/>
</calcChain>
</file>

<file path=xl/sharedStrings.xml><?xml version="1.0" encoding="utf-8"?>
<sst xmlns="http://schemas.openxmlformats.org/spreadsheetml/2006/main" count="500" uniqueCount="192">
  <si>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</si>
  <si>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</si>
  <si>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</si>
  <si>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</si>
  <si>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</si>
  <si>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</si>
  <si>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</si>
  <si>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</si>
  <si>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</si>
  <si>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</si>
  <si>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</si>
  <si>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</si>
  <si>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</si>
  <si>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</si>
  <si>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</si>
  <si>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</si>
  <si>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</si>
  <si>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</si>
  <si>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</si>
  <si>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</si>
  <si>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</si>
  <si>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</si>
  <si>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брак</t>
  </si>
  <si>
    <t>18,07,</t>
  </si>
  <si>
    <t>18,07,(дозаказ)</t>
  </si>
  <si>
    <t>19,07,</t>
  </si>
  <si>
    <t>19,07,(недогруз)</t>
  </si>
  <si>
    <t>19,07,(дозаказ)</t>
  </si>
  <si>
    <t>20,07,(дозаказ)</t>
  </si>
  <si>
    <t>20,07,(недогруз)</t>
  </si>
  <si>
    <t>20,07,</t>
  </si>
  <si>
    <t>21,07,</t>
  </si>
  <si>
    <t>21,07,(2)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</si>
  <si>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</si>
  <si>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</si>
  <si>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</si>
  <si>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</si>
  <si>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</si>
  <si>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</si>
  <si>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</si>
  <si>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</si>
  <si>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</si>
  <si>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</si>
  <si>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</si>
  <si>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</si>
  <si>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</si>
  <si>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</si>
  <si>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19 шт списано (12,07,26)</t>
  </si>
  <si>
    <t xml:space="preserve"> 030  Сосиски Вязанка Молочные, Вязанка вискофан МГС, 0.45кг, ПОКОМ</t>
  </si>
  <si>
    <t>1000шт под ЮТЛ (Хмель 15,07,26)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</si>
  <si>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</si>
  <si>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</si>
  <si>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</si>
  <si>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</si>
  <si>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</si>
  <si>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</si>
  <si>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</si>
  <si>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</si>
  <si>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</si>
  <si>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</si>
  <si>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</si>
  <si>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</si>
  <si>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</si>
  <si>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</si>
  <si>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>3500кг БРАК!!!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</si>
  <si>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</si>
  <si>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</si>
  <si>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</si>
  <si>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</si>
  <si>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</si>
  <si>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</si>
  <si>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</si>
  <si>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</si>
  <si>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</si>
  <si>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>нужно увеличить продажи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</si>
  <si>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</si>
  <si>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</si>
  <si>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</si>
  <si>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</si>
  <si>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17,07,26 уменьшить до 200 шт (Хмель) / 15,07,26 уменьшить до 200 шт (Хмель)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</si>
  <si>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</si>
  <si>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</si>
  <si>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</si>
  <si>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</si>
  <si>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</si>
  <si>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</si>
  <si>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</si>
  <si>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</si>
  <si>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</si>
  <si>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</si>
  <si>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</si>
  <si>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</si>
  <si>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</si>
  <si>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</si>
  <si>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>нужно увеличить продажи!!!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</si>
  <si>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</si>
  <si>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</si>
  <si>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</si>
  <si>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</si>
  <si>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</si>
  <si>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</si>
  <si>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</si>
  <si>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</si>
  <si>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</si>
  <si>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</si>
  <si>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</si>
  <si>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</si>
  <si>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>500шт под ЮТЛ (Хмель 15,07,26)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</si>
  <si>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</si>
  <si>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</si>
  <si>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</si>
  <si>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</si>
  <si>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</si>
  <si>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</si>
  <si>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</si>
  <si>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</si>
  <si>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</si>
  <si>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</si>
  <si>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</si>
  <si>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</si>
  <si>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</si>
  <si>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</si>
  <si>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>не в матрице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</si>
  <si>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</si>
  <si>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</si>
  <si>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</si>
  <si>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</si>
  <si>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</si>
  <si>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</si>
  <si>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</si>
  <si>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</si>
  <si>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</si>
  <si>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</si>
  <si>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</si>
  <si>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</si>
  <si>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</si>
  <si>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</si>
  <si>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</si>
  <si>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</si>
  <si>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</si>
  <si>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</si>
  <si>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</si>
  <si>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</si>
  <si>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</si>
  <si>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</si>
  <si>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</si>
  <si>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</si>
  <si>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</si>
  <si>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</si>
  <si>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30шт плюсом (Ректо 15,07,26)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</si>
  <si>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</si>
  <si>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</si>
  <si>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</si>
  <si>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</si>
  <si>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</si>
  <si>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</si>
  <si>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</si>
  <si>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</si>
  <si>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</si>
  <si>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248  Сардельки Сочные ТМ Особый рецепт,   ПОКОМ</t>
  </si>
  <si>
    <t>нет потребности</t>
  </si>
  <si>
    <t xml:space="preserve"> 263  Шпикачки Стародворские, ВЕС.  ПОКОМ</t>
  </si>
  <si>
    <t xml:space="preserve"> 247  Сардельки Нежные, ВЕС.  ПОКОМ</t>
  </si>
  <si>
    <t xml:space="preserve"> 283  Сосиски Сочинки, ВЕС, ТМ Стародворье ПОКОМ</t>
  </si>
  <si>
    <t xml:space="preserve"> 436  Колбаса Молочная стародворская с молоком, ВЕС, ТМ Стародворье  ПОКОМ</t>
  </si>
  <si>
    <t xml:space="preserve"> 388  Сосиски Восточные Халяль ТМ Вязанка 0,33 кг АК. ПОКОМ</t>
  </si>
  <si>
    <t xml:space="preserve"> 318  Сосиски Датские ТМ Зареченские, ВЕС  ПОКОМ</t>
  </si>
  <si>
    <t xml:space="preserve"> 265  Колбаса Балыкбургская, ВЕС, ТМ Баварушка  ПОКОМ</t>
  </si>
  <si>
    <t xml:space="preserve"> 387  Колбаса вареная Мусульманская Халяль ТМ Вязанка, 0,4 кг ПОКОМ</t>
  </si>
  <si>
    <t xml:space="preserve"> 328  Сардельки Сочинки Стародворье ТМ  0,4 кг ПОКОМ</t>
  </si>
  <si>
    <t xml:space="preserve"> 225  Колбаса Дугушка со шпиком, ВЕС, ТМ Стародворье   ПОКОМ</t>
  </si>
  <si>
    <t xml:space="preserve"> 267  Колбаса Салями Филейбургская зернистая, оболочка фиброуз, ВЕС, ТМ Баварушка  ПОКОМ</t>
  </si>
  <si>
    <t xml:space="preserve"> 257  Сосиски Молочные оригинальные ТМ Особый рецепт, ВЕС.   ПОКОМ</t>
  </si>
  <si>
    <t xml:space="preserve"> 240  Колбаса Салями охотничья, ВЕС.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</si>
  <si>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</si>
  <si>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</si>
  <si>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>матрица</t>
  </si>
  <si>
    <t>Консервы Гречка по-купечески с говядиной и овощами ТМ Стародворье банка металлическая ф/в 0,325 кг РК</t>
  </si>
  <si>
    <t>новинка</t>
  </si>
  <si>
    <t>Консервы Индейка томленая в собственном соку ТМ Стародворье банка металлическая ф/в 0,25 кг РК</t>
  </si>
  <si>
    <t>Консервы Буженина в пряном маринаде ТМ Стародворье банка металлическая ф/в 0,25 кг РК</t>
  </si>
  <si>
    <t>ВНИМАНИЕ / матрица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</si>
  <si>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710шт под клиента отгрузили 02,07,26</t>
    </r>
  </si>
  <si>
    <t>нужно увеличить продажи / убрать из заказа (Рекуто 15,07,26)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</si>
  <si>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+350кг (задача от завода для ТК / просили 450кг)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</si>
  <si>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08,07,26 +250кг (задача от завода для ТК / просили 350кг)</t>
    </r>
  </si>
  <si>
    <t>нужно увеличить продажи / вместо 219</t>
  </si>
  <si>
    <t>перемещение</t>
  </si>
  <si>
    <t>ТОП</t>
  </si>
  <si>
    <t>ТОП / матрица</t>
  </si>
  <si>
    <t>приход</t>
  </si>
  <si>
    <t>ТК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</si>
</sst>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4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5" fontId="1" fillId="0" borderId="1" xfId="1" applyNumberFormat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4" fillId="5" borderId="1" xfId="1" applyNumberFormat="1" applyFont="1" applyFill="1"/>
    <xf numFmtId="165" fontId="1" fillId="4" borderId="1" xfId="1" applyNumberFormat="1" applyFill="1"/>
    <xf numFmtId="164" fontId="2" fillId="4" borderId="1" xfId="1" applyNumberFormat="1" applyFont="1" applyFill="1"/>
    <xf numFmtId="0" fontId="0" fillId="4" borderId="1" xfId="0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&#1044;&#1086;&#1085;&#1077;&#1094;&#1082;/&#1044;&#1086;&#1085;&#1077;&#1094;&#1082;%20&#1087;&#1088;&#1080;&#1093;&#1086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Номенклатура</v>
          </cell>
          <cell r="B1" t="str">
            <v>Количество</v>
          </cell>
        </row>
        <row r="2">
          <cell r="A2" t="str">
            <v xml:space="preserve"> 005  Колбаса Докторская ГОСТ, Вязанка вектор,ВЕС. ПОКОМ</v>
          </cell>
          <cell r="B2">
            <v>1484.461</v>
          </cell>
        </row>
        <row r="3">
          <cell r="A3" t="str">
            <v xml:space="preserve"> 322  Колбаса вареная Молокуша 0,45кг ТМ Вязанка  ПОКОМ</v>
          </cell>
          <cell r="B3">
            <v>200</v>
          </cell>
        </row>
        <row r="4">
          <cell r="A4" t="str">
            <v xml:space="preserve"> 016  Сосиски Вязанка Молочные, Вязанка вискофан  ВЕС.ПОКОМ</v>
          </cell>
          <cell r="B4">
            <v>382.59</v>
          </cell>
        </row>
        <row r="5">
          <cell r="A5" t="str">
            <v xml:space="preserve"> 017  Сосиски Вязанка Сливочные, Вязанка амицел ВЕС.ПОКОМ</v>
          </cell>
          <cell r="B5">
            <v>1027.153</v>
          </cell>
        </row>
        <row r="6">
          <cell r="A6" t="str">
            <v xml:space="preserve"> 032  Сосиски Вязанка Сливочные, Вязанка амицел МГС, 0.45кг, ПОКОМ</v>
          </cell>
          <cell r="B6">
            <v>660</v>
          </cell>
        </row>
        <row r="7">
          <cell r="A7" t="str">
            <v xml:space="preserve"> 570  Колбаса Сервелат Финский ТМ Вязанка в оболочке фиброуз в вак. упаковке 0,28 кг срез  ПОКОМ</v>
          </cell>
          <cell r="B7">
            <v>282</v>
          </cell>
        </row>
        <row r="8">
          <cell r="A8" t="str">
            <v xml:space="preserve"> 346  Колбаса Сочинка зернистая с сочной грудинкой ТМ Стародворье.ВЕС ПОКОМ</v>
          </cell>
          <cell r="B8">
            <v>309.83800000000002</v>
          </cell>
        </row>
        <row r="9">
          <cell r="A9" t="str">
            <v xml:space="preserve"> 273  Сосиски Сочинки с сочной грудинкой, МГС 0.4кг,   ПОКОМ</v>
          </cell>
          <cell r="B9">
            <v>1038</v>
          </cell>
        </row>
        <row r="10">
          <cell r="A10" t="str">
            <v xml:space="preserve"> 278  Сосиски Сочинки с сочным окороком, МГС 0.4кг,   ПОКОМ</v>
          </cell>
          <cell r="B10">
            <v>294</v>
          </cell>
        </row>
        <row r="11">
          <cell r="A11" t="str">
            <v xml:space="preserve"> 457  Колбаса Молочная ТМ Особый рецепт ВЕС большой батон  ПОКОМ</v>
          </cell>
          <cell r="B11">
            <v>1399.9390000000001</v>
          </cell>
        </row>
        <row r="12">
          <cell r="A12" t="str">
            <v xml:space="preserve"> 452  Колбаса Со шпиком ВЕС большой батон ТМ Особый рецепт  ПОКОМ</v>
          </cell>
          <cell r="B12">
            <v>595.88</v>
          </cell>
        </row>
        <row r="13">
          <cell r="A13" t="str">
            <v xml:space="preserve"> 456  Колбаса Филейная ТМ Особый рецепт ВЕС большой батон  ПОКОМ</v>
          </cell>
          <cell r="B13">
            <v>833.05</v>
          </cell>
        </row>
        <row r="14">
          <cell r="A14" t="str">
            <v xml:space="preserve"> 597  Колбаса Классическая ТМ Особый рецепт в оболочке полиамид ВЕС. ПОКОМ</v>
          </cell>
          <cell r="B14">
            <v>281.54399999999998</v>
          </cell>
        </row>
        <row r="15">
          <cell r="A15" t="str">
            <v xml:space="preserve"> 229  Колбаса Молочная Дугушка, в/у, ВЕС, ТМ Стародворье   ПОКОМ</v>
          </cell>
          <cell r="B15">
            <v>511.54</v>
          </cell>
        </row>
        <row r="16">
          <cell r="A16" t="str">
            <v xml:space="preserve"> 376  Колбаса Докторская Дугушка 0,6кг ГОСТ ТМ Стародворье  ПОКОМ </v>
          </cell>
          <cell r="B16">
            <v>248</v>
          </cell>
        </row>
        <row r="17">
          <cell r="A17" t="str">
            <v xml:space="preserve"> 377  Колбаса Молочная Дугушка 0,6кг ТМ Стародворье  ПОКОМ</v>
          </cell>
          <cell r="B17">
            <v>160</v>
          </cell>
        </row>
        <row r="18">
          <cell r="A18" t="str">
            <v xml:space="preserve"> 200  Ветчина Дугушка ТМ Стародворье, вектор в/у    ПОКОМ</v>
          </cell>
          <cell r="B18">
            <v>666.875</v>
          </cell>
        </row>
        <row r="19">
          <cell r="A19" t="str">
            <v xml:space="preserve"> 239  Колбаса Салями запеч Дугушка, оболочка вектор, ВЕС, ТМ Стародворье  ПОКОМ</v>
          </cell>
          <cell r="B19">
            <v>264.286</v>
          </cell>
        </row>
        <row r="20">
          <cell r="A20" t="str">
            <v xml:space="preserve"> 242  Колбаса Сервелат ЗАПЕЧ.Дугушка ТМ Стародворье, вектор, в/к     ПОКОМ</v>
          </cell>
          <cell r="B20">
            <v>443.16</v>
          </cell>
        </row>
        <row r="21">
          <cell r="A21" t="str">
            <v>Европоддон (невозвратный)</v>
          </cell>
          <cell r="B21">
            <v>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42.140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7109375" customWidth="1"/>
    <col min="10" max="10" width="1" customWidth="1"/>
    <col min="11" max="16" width="7" customWidth="1"/>
    <col min="17" max="17" width="6" customWidth="1"/>
    <col min="18" max="18" width="7" customWidth="1"/>
    <col min="19" max="19" width="7" style="25" hidden="1" customWidth="1"/>
    <col min="20" max="23" width="6.140625" customWidth="1"/>
    <col min="24" max="24" width="7" customWidth="1"/>
    <col min="25" max="26" width="6.5703125" customWidth="1"/>
    <col min="27" max="27" width="6.42578125" customWidth="1"/>
    <col min="28" max="29" width="7" customWidth="1"/>
    <col min="30" max="31" width="5" customWidth="1"/>
    <col min="32" max="40" width="6" customWidth="1"/>
    <col min="41" max="41" width="14.28515625" customWidth="1"/>
    <col min="42" max="43" width="7" customWidth="1"/>
    <col min="44" max="44" width="8.42578125" hidden="1" customWidth="1"/>
    <col min="45" max="45" width="7.5703125" hidden="1" customWidth="1"/>
    <col min="46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0"/>
      <c r="T1" s="1"/>
      <c r="U1" s="1"/>
      <c r="V1" s="1"/>
      <c r="W1" s="1"/>
      <c r="X1" s="1"/>
      <c r="Y1" s="1"/>
      <c r="Z1" s="1"/>
      <c r="AA1" s="1"/>
      <c r="AB1" s="1">
        <v>11.5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6">
        <v>12.9</v>
      </c>
      <c r="Q2" s="16">
        <v>4</v>
      </c>
      <c r="R2" s="16">
        <v>9.4</v>
      </c>
      <c r="S2" s="23"/>
      <c r="T2" s="16"/>
      <c r="U2" s="16">
        <v>4</v>
      </c>
      <c r="V2" s="16">
        <v>1.7</v>
      </c>
      <c r="W2" s="16"/>
      <c r="X2" s="16">
        <v>14.1</v>
      </c>
      <c r="Y2" s="16">
        <v>4</v>
      </c>
      <c r="Z2" s="16">
        <v>3.4</v>
      </c>
      <c r="AA2" s="1"/>
      <c r="AB2" s="1"/>
      <c r="AC2" s="1" t="s">
        <v>46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 t="s">
        <v>42</v>
      </c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4" t="s">
        <v>190</v>
      </c>
      <c r="T3" s="2" t="s">
        <v>14</v>
      </c>
      <c r="U3" s="2" t="s">
        <v>14</v>
      </c>
      <c r="V3" s="2" t="s">
        <v>14</v>
      </c>
      <c r="W3" s="2" t="s">
        <v>14</v>
      </c>
      <c r="X3" s="2" t="s">
        <v>14</v>
      </c>
      <c r="Y3" s="2" t="s">
        <v>14</v>
      </c>
      <c r="Z3" s="2" t="s">
        <v>14</v>
      </c>
      <c r="AA3" s="2" t="s">
        <v>15</v>
      </c>
      <c r="AB3" s="3" t="s">
        <v>16</v>
      </c>
      <c r="AC3" s="3" t="s">
        <v>187</v>
      </c>
      <c r="AD3" s="2" t="s">
        <v>17</v>
      </c>
      <c r="AE3" s="2" t="s">
        <v>18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19</v>
      </c>
      <c r="AO3" s="2" t="s">
        <v>20</v>
      </c>
      <c r="AP3" s="2" t="s">
        <v>21</v>
      </c>
      <c r="AQ3" s="2" t="s">
        <v>21</v>
      </c>
      <c r="AR3" s="1" t="s">
        <v>188</v>
      </c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 t="s">
        <v>26</v>
      </c>
      <c r="U4" s="1" t="s">
        <v>27</v>
      </c>
      <c r="V4" s="1" t="s">
        <v>28</v>
      </c>
      <c r="W4" s="1" t="s">
        <v>29</v>
      </c>
      <c r="X4" s="1" t="s">
        <v>30</v>
      </c>
      <c r="Y4" s="1" t="s">
        <v>31</v>
      </c>
      <c r="Z4" s="1" t="s">
        <v>32</v>
      </c>
      <c r="AA4" s="1" t="s">
        <v>31</v>
      </c>
      <c r="AB4" s="1"/>
      <c r="AC4" s="1" t="s">
        <v>187</v>
      </c>
      <c r="AD4" s="1"/>
      <c r="AE4" s="1"/>
      <c r="AF4" s="1" t="s">
        <v>30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  <c r="AN4" s="1" t="s">
        <v>40</v>
      </c>
      <c r="AO4" s="1"/>
      <c r="AP4" s="1"/>
      <c r="AQ4" s="9" t="s">
        <v>187</v>
      </c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60531.97600000001</v>
      </c>
      <c r="F5" s="4">
        <f>SUM(F6:F497)</f>
        <v>80155.660999999993</v>
      </c>
      <c r="G5" s="7"/>
      <c r="H5" s="1"/>
      <c r="I5" s="1"/>
      <c r="J5" s="1"/>
      <c r="K5" s="4">
        <f t="shared" ref="K5:AC5" si="0">SUM(K6:K497)</f>
        <v>89543.702999999994</v>
      </c>
      <c r="L5" s="4">
        <f t="shared" si="0"/>
        <v>-29011.727000000006</v>
      </c>
      <c r="M5" s="4">
        <f t="shared" si="0"/>
        <v>57804.186999999998</v>
      </c>
      <c r="N5" s="4">
        <f t="shared" si="0"/>
        <v>2727.7889999999998</v>
      </c>
      <c r="O5" s="4">
        <f t="shared" si="0"/>
        <v>-3500</v>
      </c>
      <c r="P5" s="4">
        <f t="shared" si="0"/>
        <v>21673.42295480047</v>
      </c>
      <c r="Q5" s="4">
        <f t="shared" si="0"/>
        <v>4000</v>
      </c>
      <c r="R5" s="4">
        <f t="shared" si="0"/>
        <v>15680.571047421266</v>
      </c>
      <c r="S5" s="4">
        <f t="shared" si="0"/>
        <v>11082.315999999999</v>
      </c>
      <c r="T5" s="4">
        <f t="shared" si="0"/>
        <v>-4381</v>
      </c>
      <c r="U5" s="4">
        <f t="shared" si="0"/>
        <v>4000</v>
      </c>
      <c r="V5" s="4">
        <f t="shared" si="0"/>
        <v>1700</v>
      </c>
      <c r="W5" s="4">
        <f t="shared" si="0"/>
        <v>-3234.6</v>
      </c>
      <c r="X5" s="4">
        <f t="shared" si="0"/>
        <v>22072.497033999993</v>
      </c>
      <c r="Y5" s="4">
        <f t="shared" si="0"/>
        <v>4563</v>
      </c>
      <c r="Z5" s="4">
        <f t="shared" si="0"/>
        <v>4230</v>
      </c>
      <c r="AA5" s="4">
        <f t="shared" si="0"/>
        <v>11560.837400000002</v>
      </c>
      <c r="AB5" s="4">
        <f t="shared" si="0"/>
        <v>10988.041840884802</v>
      </c>
      <c r="AC5" s="4">
        <f t="shared" si="0"/>
        <v>-23664.573656</v>
      </c>
      <c r="AD5" s="1"/>
      <c r="AE5" s="1"/>
      <c r="AF5" s="4">
        <f t="shared" ref="AF5:AN5" si="1">SUM(AF6:AF497)</f>
        <v>11734.1994</v>
      </c>
      <c r="AG5" s="4">
        <f t="shared" si="1"/>
        <v>14138.868400000007</v>
      </c>
      <c r="AH5" s="4">
        <f t="shared" si="1"/>
        <v>14537.335200000001</v>
      </c>
      <c r="AI5" s="4">
        <f t="shared" si="1"/>
        <v>14045.6934</v>
      </c>
      <c r="AJ5" s="4">
        <f t="shared" si="1"/>
        <v>13116.186799999999</v>
      </c>
      <c r="AK5" s="4">
        <f t="shared" si="1"/>
        <v>13766.086000000007</v>
      </c>
      <c r="AL5" s="4">
        <f t="shared" si="1"/>
        <v>14781.186599999995</v>
      </c>
      <c r="AM5" s="4">
        <f t="shared" si="1"/>
        <v>14428.942000000005</v>
      </c>
      <c r="AN5" s="4">
        <f t="shared" si="1"/>
        <v>14320.503199999997</v>
      </c>
      <c r="AO5" s="1"/>
      <c r="AP5" s="4">
        <f>SUM(AP6:AP497)</f>
        <v>9639.19654291392</v>
      </c>
      <c r="AQ5" s="4">
        <f>SUM(AQ6:AQ497)</f>
        <v>17149.174334159998</v>
      </c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1877.972</v>
      </c>
      <c r="D6" s="1">
        <v>2133.636</v>
      </c>
      <c r="E6" s="1">
        <v>2188.4430000000002</v>
      </c>
      <c r="F6" s="1">
        <v>1262.0450000000001</v>
      </c>
      <c r="G6" s="7">
        <v>1</v>
      </c>
      <c r="H6" s="1">
        <v>50</v>
      </c>
      <c r="I6" s="1" t="s">
        <v>189</v>
      </c>
      <c r="J6" s="1"/>
      <c r="K6" s="1">
        <v>2928.3</v>
      </c>
      <c r="L6" s="1">
        <f t="shared" ref="L6:L37" si="2">E6-K6</f>
        <v>-739.85699999999997</v>
      </c>
      <c r="M6" s="1">
        <f>E6-N6</f>
        <v>1986.1030000000003</v>
      </c>
      <c r="N6" s="1">
        <v>202.34</v>
      </c>
      <c r="O6" s="1"/>
      <c r="P6" s="1">
        <v>1462.6171972223999</v>
      </c>
      <c r="Q6" s="1"/>
      <c r="R6" s="1">
        <v>1486.2077971776</v>
      </c>
      <c r="S6" s="1">
        <f>VLOOKUP(A6,[1]TDSheet!$A:$B,2,0)</f>
        <v>1484.461</v>
      </c>
      <c r="T6" s="1"/>
      <c r="U6" s="1"/>
      <c r="V6" s="1"/>
      <c r="W6" s="1"/>
      <c r="X6" s="1">
        <v>138.62062799999981</v>
      </c>
      <c r="Y6" s="1"/>
      <c r="Z6" s="1"/>
      <c r="AA6" s="1">
        <f>M6/5</f>
        <v>397.22060000000005</v>
      </c>
      <c r="AB6" s="5">
        <f>11*AA6-Z6-Y6-X6-W6-V6-U6-T6-R6-Q6-P6-O6-F6</f>
        <v>19.935977600001252</v>
      </c>
      <c r="AC6" s="5"/>
      <c r="AD6" s="1">
        <f>(F6+O6+P6+Q6+R6+T6+U6+V6+W6+X6+Y6+Z6+AB6+AC6)/AA6</f>
        <v>11</v>
      </c>
      <c r="AE6" s="1">
        <f>(F6+O6+P6+Q6+R6+T6+U6+V6+W6+X6+Y6+Z6)/AA6</f>
        <v>10.949811319956718</v>
      </c>
      <c r="AF6" s="1">
        <v>387.44979999999998</v>
      </c>
      <c r="AG6" s="1">
        <v>475.30520000000001</v>
      </c>
      <c r="AH6" s="1">
        <v>548.64239999999995</v>
      </c>
      <c r="AI6" s="1">
        <v>471.7946</v>
      </c>
      <c r="AJ6" s="1">
        <v>438.9076</v>
      </c>
      <c r="AK6" s="1">
        <v>507.63760000000002</v>
      </c>
      <c r="AL6" s="1">
        <v>550.45600000000002</v>
      </c>
      <c r="AM6" s="1">
        <v>574.12580000000003</v>
      </c>
      <c r="AN6" s="1">
        <v>568.09579999999994</v>
      </c>
      <c r="AO6" s="1"/>
      <c r="AP6" s="1">
        <f>G6*AB6</f>
        <v>19.935977600001252</v>
      </c>
      <c r="AQ6" s="1">
        <f>-1*AC6*G6</f>
        <v>0</v>
      </c>
      <c r="AR6" s="1">
        <f>(AN6+AM6+AL6+AK6+AJ6+AI6+AH6+AG6+AF6+AA6)*G6</f>
        <v>4919.6354000000001</v>
      </c>
      <c r="AS6" s="1">
        <f>(F6+S6+U6+O6)/AA6</f>
        <v>6.9143090766188866</v>
      </c>
      <c r="AT6" s="1"/>
      <c r="AU6" s="1"/>
      <c r="AV6" s="1"/>
      <c r="AW6" s="1"/>
      <c r="AX6" s="1"/>
    </row>
    <row r="7" spans="1:50" x14ac:dyDescent="0.25">
      <c r="A7" s="1" t="s">
        <v>43</v>
      </c>
      <c r="B7" s="1" t="s">
        <v>42</v>
      </c>
      <c r="C7" s="1">
        <v>1009.152</v>
      </c>
      <c r="D7" s="1">
        <v>794.66899999999998</v>
      </c>
      <c r="E7" s="1">
        <v>695.69200000000001</v>
      </c>
      <c r="F7" s="1">
        <v>1032.778</v>
      </c>
      <c r="G7" s="7">
        <v>1</v>
      </c>
      <c r="H7" s="1">
        <v>45</v>
      </c>
      <c r="I7" s="1" t="s">
        <v>189</v>
      </c>
      <c r="J7" s="1"/>
      <c r="K7" s="1">
        <v>1017.6</v>
      </c>
      <c r="L7" s="1">
        <f t="shared" si="2"/>
        <v>-321.90800000000002</v>
      </c>
      <c r="M7" s="1">
        <f t="shared" ref="M7:M70" si="3">E7-N7</f>
        <v>695.69200000000001</v>
      </c>
      <c r="N7" s="1"/>
      <c r="O7" s="1"/>
      <c r="P7" s="1">
        <v>373.73589619910399</v>
      </c>
      <c r="Q7" s="1"/>
      <c r="R7" s="1">
        <v>379.7638945248961</v>
      </c>
      <c r="S7" s="1">
        <f>VLOOKUP(A7,[1]TDSheet!$A:$B,2,0)</f>
        <v>382.59</v>
      </c>
      <c r="T7" s="1"/>
      <c r="U7" s="1"/>
      <c r="V7" s="1"/>
      <c r="W7" s="1"/>
      <c r="X7" s="1">
        <v>227.7324500000002</v>
      </c>
      <c r="Y7" s="1"/>
      <c r="Z7" s="1"/>
      <c r="AA7" s="1">
        <f t="shared" ref="AA7:AA70" si="4">M7/5</f>
        <v>139.13839999999999</v>
      </c>
      <c r="AB7" s="5"/>
      <c r="AC7" s="5">
        <v>-500</v>
      </c>
      <c r="AD7" s="1">
        <f>(F7+O7+P7+Q7+R7+T7+U7+V7+W7+X7+Y7+Z7+AB7+AC7)/AA7</f>
        <v>10.88132564931033</v>
      </c>
      <c r="AE7" s="1">
        <f>(F7+O7+P7+Q7+R7+T7+U7+V7+W7+X7+Y7+Z7)/AA7</f>
        <v>14.474869918900897</v>
      </c>
      <c r="AF7" s="1">
        <v>153.54400000000001</v>
      </c>
      <c r="AG7" s="1">
        <v>198.9838</v>
      </c>
      <c r="AH7" s="1">
        <v>211.20099999999999</v>
      </c>
      <c r="AI7" s="1">
        <v>193.32560000000001</v>
      </c>
      <c r="AJ7" s="1">
        <v>182.81979999999999</v>
      </c>
      <c r="AK7" s="1">
        <v>175.50360000000001</v>
      </c>
      <c r="AL7" s="1">
        <v>191.05959999999999</v>
      </c>
      <c r="AM7" s="1">
        <v>216.93260000000001</v>
      </c>
      <c r="AN7" s="1">
        <v>206.46279999999999</v>
      </c>
      <c r="AO7" s="1"/>
      <c r="AP7" s="1">
        <f>G7*AB7</f>
        <v>0</v>
      </c>
      <c r="AQ7" s="1">
        <f>-1*AC7*G7</f>
        <v>500</v>
      </c>
      <c r="AR7" s="1">
        <f>(AN7+AM7+AL7+AK7+AJ7+AI7+AH7+AG7+AF7+AA7)*G7</f>
        <v>1868.9712</v>
      </c>
      <c r="AS7" s="1">
        <f>(F7+S7+U7+O7)/AA7</f>
        <v>10.172375131523721</v>
      </c>
      <c r="AT7" s="1"/>
      <c r="AU7" s="1"/>
      <c r="AV7" s="1"/>
      <c r="AW7" s="1"/>
      <c r="AX7" s="1"/>
    </row>
    <row r="8" spans="1:50" x14ac:dyDescent="0.25">
      <c r="A8" s="1" t="s">
        <v>44</v>
      </c>
      <c r="B8" s="1" t="s">
        <v>42</v>
      </c>
      <c r="C8" s="1">
        <v>3064.7020000000002</v>
      </c>
      <c r="D8" s="1">
        <v>2326.3090000000002</v>
      </c>
      <c r="E8" s="1">
        <v>2466.7350000000001</v>
      </c>
      <c r="F8" s="1">
        <v>2676.4969999999998</v>
      </c>
      <c r="G8" s="7">
        <v>1</v>
      </c>
      <c r="H8" s="1">
        <v>45</v>
      </c>
      <c r="I8" s="1" t="s">
        <v>189</v>
      </c>
      <c r="J8" s="1"/>
      <c r="K8" s="1">
        <v>3557.4</v>
      </c>
      <c r="L8" s="1">
        <f t="shared" si="2"/>
        <v>-1090.665</v>
      </c>
      <c r="M8" s="1">
        <f t="shared" si="3"/>
        <v>2417.3589999999999</v>
      </c>
      <c r="N8" s="1">
        <v>49.375999999999998</v>
      </c>
      <c r="O8" s="1"/>
      <c r="P8" s="1">
        <v>998.37705574111988</v>
      </c>
      <c r="Q8" s="1"/>
      <c r="R8" s="1">
        <v>1014.47991147888</v>
      </c>
      <c r="S8" s="1">
        <f>VLOOKUP(A8,[1]TDSheet!$A:$B,2,0)</f>
        <v>1027.153</v>
      </c>
      <c r="T8" s="1"/>
      <c r="U8" s="1"/>
      <c r="V8" s="1"/>
      <c r="W8" s="1"/>
      <c r="X8" s="1">
        <v>1013.029752000002</v>
      </c>
      <c r="Y8" s="1"/>
      <c r="Z8" s="1">
        <v>500</v>
      </c>
      <c r="AA8" s="1">
        <f t="shared" si="4"/>
        <v>483.47179999999997</v>
      </c>
      <c r="AB8" s="5"/>
      <c r="AC8" s="5">
        <v>-500</v>
      </c>
      <c r="AD8" s="1">
        <f>(F8+O8+P8+Q8+R8+T8+U8+V8+W8+X8+Y8+Z8+AB8+AC8)/AA8</f>
        <v>11.794656315466593</v>
      </c>
      <c r="AE8" s="1">
        <f>(F8+O8+P8+Q8+R8+T8+U8+V8+W8+X8+Y8+Z8)/AA8</f>
        <v>12.828842797490985</v>
      </c>
      <c r="AF8" s="1">
        <v>504.71640000000002</v>
      </c>
      <c r="AG8" s="1">
        <v>603.90640000000008</v>
      </c>
      <c r="AH8" s="1">
        <v>611.28559999999993</v>
      </c>
      <c r="AI8" s="1">
        <v>564.65660000000003</v>
      </c>
      <c r="AJ8" s="1">
        <v>559.11500000000001</v>
      </c>
      <c r="AK8" s="1">
        <v>520.86239999999998</v>
      </c>
      <c r="AL8" s="1">
        <v>595.93939999999998</v>
      </c>
      <c r="AM8" s="1">
        <v>645.5598</v>
      </c>
      <c r="AN8" s="1">
        <v>584.85239999999999</v>
      </c>
      <c r="AO8" s="1"/>
      <c r="AP8" s="1">
        <f>G8*AB8</f>
        <v>0</v>
      </c>
      <c r="AQ8" s="1">
        <f>-1*AC8*G8</f>
        <v>500</v>
      </c>
      <c r="AR8" s="1">
        <f>(AN8+AM8+AL8+AK8+AJ8+AI8+AH8+AG8+AF8+AA8)*G8</f>
        <v>5674.3658000000005</v>
      </c>
      <c r="AS8" s="1">
        <f>(F8+S8+U8+O8)/AA8</f>
        <v>7.6605295282992714</v>
      </c>
      <c r="AT8" s="1"/>
      <c r="AU8" s="1"/>
      <c r="AV8" s="1"/>
      <c r="AW8" s="1"/>
      <c r="AX8" s="1"/>
    </row>
    <row r="9" spans="1:50" x14ac:dyDescent="0.25">
      <c r="A9" s="1" t="s">
        <v>45</v>
      </c>
      <c r="B9" s="1" t="s">
        <v>46</v>
      </c>
      <c r="C9" s="1"/>
      <c r="D9" s="1"/>
      <c r="E9" s="1"/>
      <c r="F9" s="1"/>
      <c r="G9" s="7">
        <v>0.4</v>
      </c>
      <c r="H9" s="1">
        <v>50</v>
      </c>
      <c r="I9" s="1" t="s">
        <v>176</v>
      </c>
      <c r="J9" s="1"/>
      <c r="K9" s="1"/>
      <c r="L9" s="1">
        <f t="shared" si="2"/>
        <v>0</v>
      </c>
      <c r="M9" s="1">
        <f t="shared" si="3"/>
        <v>0</v>
      </c>
      <c r="N9" s="1"/>
      <c r="O9" s="1"/>
      <c r="P9" s="1">
        <v>15</v>
      </c>
      <c r="Q9" s="1"/>
      <c r="R9" s="1"/>
      <c r="S9" s="10"/>
      <c r="T9" s="1"/>
      <c r="U9" s="1"/>
      <c r="V9" s="1"/>
      <c r="W9" s="1"/>
      <c r="X9" s="1">
        <v>0</v>
      </c>
      <c r="Y9" s="1"/>
      <c r="Z9" s="1"/>
      <c r="AA9" s="1">
        <f t="shared" si="4"/>
        <v>0</v>
      </c>
      <c r="AB9" s="5"/>
      <c r="AC9" s="5"/>
      <c r="AD9" s="1" t="e">
        <f>(F9+O9+P9+Q9+R9+T9+U9+V9+W9+X9+Y9+Z9+AB9+AC9)/AA9</f>
        <v>#DIV/0!</v>
      </c>
      <c r="AE9" s="1" t="e">
        <f>(F9+O9+P9+Q9+R9+T9+U9+V9+W9+X9+Y9+Z9)/AA9</f>
        <v>#DIV/0!</v>
      </c>
      <c r="AF9" s="1">
        <v>0</v>
      </c>
      <c r="AG9" s="1">
        <v>0</v>
      </c>
      <c r="AH9" s="1">
        <v>0.6</v>
      </c>
      <c r="AI9" s="1">
        <v>0.6</v>
      </c>
      <c r="AJ9" s="1">
        <v>0</v>
      </c>
      <c r="AK9" s="1">
        <v>0</v>
      </c>
      <c r="AL9" s="1">
        <v>0.2</v>
      </c>
      <c r="AM9" s="1">
        <v>4.2</v>
      </c>
      <c r="AN9" s="1">
        <v>5.8</v>
      </c>
      <c r="AO9" s="1" t="s">
        <v>47</v>
      </c>
      <c r="AP9" s="1">
        <f>G9*AB9</f>
        <v>0</v>
      </c>
      <c r="AQ9" s="1">
        <f>-1*AC9*G9</f>
        <v>0</v>
      </c>
      <c r="AR9" s="1">
        <f>(AN9+AM9+AL9+AK9+AJ9+AI9+AH9+AG9+AF9+AA9)*G9</f>
        <v>4.5599999999999996</v>
      </c>
      <c r="AS9" s="1"/>
      <c r="AT9" s="1"/>
      <c r="AU9" s="1"/>
      <c r="AV9" s="1"/>
      <c r="AW9" s="1"/>
      <c r="AX9" s="1"/>
    </row>
    <row r="10" spans="1:50" x14ac:dyDescent="0.25">
      <c r="A10" s="1" t="s">
        <v>48</v>
      </c>
      <c r="B10" s="1" t="s">
        <v>46</v>
      </c>
      <c r="C10" s="1">
        <v>3448</v>
      </c>
      <c r="D10" s="1">
        <v>1075</v>
      </c>
      <c r="E10" s="1">
        <v>2766</v>
      </c>
      <c r="F10" s="1">
        <v>1139</v>
      </c>
      <c r="G10" s="7">
        <v>0.45</v>
      </c>
      <c r="H10" s="1">
        <v>45</v>
      </c>
      <c r="I10" s="21" t="s">
        <v>181</v>
      </c>
      <c r="J10" s="1"/>
      <c r="K10" s="1">
        <v>3849</v>
      </c>
      <c r="L10" s="1">
        <f t="shared" si="2"/>
        <v>-1083</v>
      </c>
      <c r="M10" s="1">
        <f t="shared" si="3"/>
        <v>2736</v>
      </c>
      <c r="N10" s="1">
        <v>30</v>
      </c>
      <c r="O10" s="1"/>
      <c r="P10" s="1">
        <v>1000</v>
      </c>
      <c r="Q10" s="1"/>
      <c r="R10" s="1"/>
      <c r="S10" s="10"/>
      <c r="T10" s="1"/>
      <c r="U10" s="1"/>
      <c r="V10" s="1"/>
      <c r="W10" s="1"/>
      <c r="X10" s="1">
        <v>1000</v>
      </c>
      <c r="Y10" s="1">
        <v>500</v>
      </c>
      <c r="Z10" s="1">
        <v>1000</v>
      </c>
      <c r="AA10" s="1">
        <f t="shared" si="4"/>
        <v>547.20000000000005</v>
      </c>
      <c r="AB10" s="5"/>
      <c r="AC10" s="5"/>
      <c r="AD10" s="1">
        <f>(F10+O10+P10+Q10+R10+T10+U10+V10+W10+X10+Y10+Z10+AB10+AC10)/AA10</f>
        <v>8.4777046783625725</v>
      </c>
      <c r="AE10" s="1">
        <f>(F10+O10+P10+Q10+R10+T10+U10+V10+W10+X10+Y10+Z10)/AA10</f>
        <v>8.4777046783625725</v>
      </c>
      <c r="AF10" s="1">
        <v>563.6</v>
      </c>
      <c r="AG10" s="1">
        <v>673.6</v>
      </c>
      <c r="AH10" s="1">
        <v>380.8</v>
      </c>
      <c r="AI10" s="1">
        <v>376.4</v>
      </c>
      <c r="AJ10" s="1">
        <v>381.8</v>
      </c>
      <c r="AK10" s="1">
        <v>353.6</v>
      </c>
      <c r="AL10" s="1">
        <v>327.60000000000002</v>
      </c>
      <c r="AM10" s="1">
        <v>392</v>
      </c>
      <c r="AN10" s="1">
        <v>376.6</v>
      </c>
      <c r="AO10" s="1" t="s">
        <v>49</v>
      </c>
      <c r="AP10" s="1">
        <f>G10*AB10</f>
        <v>0</v>
      </c>
      <c r="AQ10" s="1">
        <f>-1*AC10*G10</f>
        <v>0</v>
      </c>
      <c r="AR10" s="1">
        <f>(AN10+AM10+AL10+AK10+AJ10+AI10+AH10+AG10+AF10+AA10)*G10</f>
        <v>1967.94</v>
      </c>
      <c r="AS10" s="1"/>
      <c r="AT10" s="1"/>
      <c r="AU10" s="1"/>
      <c r="AV10" s="1"/>
      <c r="AW10" s="1"/>
      <c r="AX10" s="1"/>
    </row>
    <row r="11" spans="1:50" x14ac:dyDescent="0.25">
      <c r="A11" s="1" t="s">
        <v>50</v>
      </c>
      <c r="B11" s="1" t="s">
        <v>46</v>
      </c>
      <c r="C11" s="1">
        <v>3088</v>
      </c>
      <c r="D11" s="1">
        <v>4857</v>
      </c>
      <c r="E11" s="1">
        <v>2287</v>
      </c>
      <c r="F11" s="1">
        <v>4907</v>
      </c>
      <c r="G11" s="7">
        <v>0.45</v>
      </c>
      <c r="H11" s="1">
        <v>45</v>
      </c>
      <c r="I11" s="1" t="s">
        <v>189</v>
      </c>
      <c r="J11" s="1"/>
      <c r="K11" s="1">
        <v>3717</v>
      </c>
      <c r="L11" s="1">
        <f t="shared" si="2"/>
        <v>-1430</v>
      </c>
      <c r="M11" s="1">
        <f t="shared" si="3"/>
        <v>2227</v>
      </c>
      <c r="N11" s="1">
        <v>60</v>
      </c>
      <c r="O11" s="1"/>
      <c r="P11" s="1">
        <v>649.09806342206957</v>
      </c>
      <c r="Q11" s="1"/>
      <c r="R11" s="1">
        <v>659.56738702565144</v>
      </c>
      <c r="S11" s="1">
        <f>VLOOKUP(A11,[1]TDSheet!$A:$B,2,0)</f>
        <v>660</v>
      </c>
      <c r="T11" s="1"/>
      <c r="U11" s="1"/>
      <c r="V11" s="1"/>
      <c r="W11" s="1"/>
      <c r="X11" s="1">
        <v>823.24719999999888</v>
      </c>
      <c r="Y11" s="1">
        <v>500</v>
      </c>
      <c r="Z11" s="1"/>
      <c r="AA11" s="1">
        <f t="shared" si="4"/>
        <v>445.4</v>
      </c>
      <c r="AB11" s="5"/>
      <c r="AC11" s="5">
        <v>-2500</v>
      </c>
      <c r="AD11" s="1">
        <f>(F11+O11+P11+Q11+R11+T11+U11+V11+W11+X11+Y11+Z11+AB11+AC11)/AA11</f>
        <v>11.313230018966593</v>
      </c>
      <c r="AE11" s="1">
        <f>(F11+O11+P11+Q11+R11+T11+U11+V11+W11+X11+Y11+Z11)/AA11</f>
        <v>16.926162214745666</v>
      </c>
      <c r="AF11" s="1">
        <v>495.2</v>
      </c>
      <c r="AG11" s="1">
        <v>660.46</v>
      </c>
      <c r="AH11" s="1">
        <v>717.66000000000008</v>
      </c>
      <c r="AI11" s="1">
        <v>698.8</v>
      </c>
      <c r="AJ11" s="1">
        <v>602.20000000000005</v>
      </c>
      <c r="AK11" s="1">
        <v>550.4</v>
      </c>
      <c r="AL11" s="1">
        <v>621.79999999999995</v>
      </c>
      <c r="AM11" s="1">
        <v>638.6</v>
      </c>
      <c r="AN11" s="1">
        <v>583.79999999999995</v>
      </c>
      <c r="AO11" s="14" t="s">
        <v>74</v>
      </c>
      <c r="AP11" s="1">
        <f>G11*AB11</f>
        <v>0</v>
      </c>
      <c r="AQ11" s="1">
        <f>-1*AC11*G11</f>
        <v>1125</v>
      </c>
      <c r="AR11" s="1">
        <f>(AN11+AM11+AL11+AK11+AJ11+AI11+AH11+AG11+AF11+AA11)*G11</f>
        <v>2706.444</v>
      </c>
      <c r="AS11" s="1">
        <f>(F11+S11+U11+O11)/AA11</f>
        <v>12.498877413560844</v>
      </c>
      <c r="AT11" s="1"/>
      <c r="AU11" s="1"/>
      <c r="AV11" s="1"/>
      <c r="AW11" s="1"/>
      <c r="AX11" s="1"/>
    </row>
    <row r="12" spans="1:50" x14ac:dyDescent="0.25">
      <c r="A12" s="1" t="s">
        <v>51</v>
      </c>
      <c r="B12" s="1" t="s">
        <v>46</v>
      </c>
      <c r="C12" s="1">
        <v>57</v>
      </c>
      <c r="D12" s="1">
        <v>78</v>
      </c>
      <c r="E12" s="1">
        <v>27</v>
      </c>
      <c r="F12" s="1">
        <v>105</v>
      </c>
      <c r="G12" s="7">
        <v>0.17</v>
      </c>
      <c r="H12" s="1">
        <v>180</v>
      </c>
      <c r="I12" s="1" t="s">
        <v>176</v>
      </c>
      <c r="J12" s="1"/>
      <c r="K12" s="1">
        <v>108</v>
      </c>
      <c r="L12" s="1">
        <f t="shared" si="2"/>
        <v>-81</v>
      </c>
      <c r="M12" s="1">
        <f t="shared" si="3"/>
        <v>27</v>
      </c>
      <c r="N12" s="1"/>
      <c r="O12" s="1"/>
      <c r="P12" s="1">
        <v>109.8</v>
      </c>
      <c r="Q12" s="1"/>
      <c r="R12" s="1"/>
      <c r="S12" s="10"/>
      <c r="T12" s="1"/>
      <c r="U12" s="1"/>
      <c r="V12" s="1"/>
      <c r="W12" s="1"/>
      <c r="X12" s="1">
        <v>10</v>
      </c>
      <c r="Y12" s="1"/>
      <c r="Z12" s="1"/>
      <c r="AA12" s="1">
        <f t="shared" si="4"/>
        <v>5.4</v>
      </c>
      <c r="AB12" s="5"/>
      <c r="AC12" s="5">
        <v>-80</v>
      </c>
      <c r="AD12" s="1">
        <f>(F12+O12+P12+Q12+R12+T12+U12+V12+W12+X12+Y12+Z12+AB12+AC12)/AA12</f>
        <v>26.814814814814817</v>
      </c>
      <c r="AE12" s="1">
        <f>(F12+O12+P12+Q12+R12+T12+U12+V12+W12+X12+Y12+Z12)/AA12</f>
        <v>41.629629629629626</v>
      </c>
      <c r="AF12" s="1">
        <v>12.6</v>
      </c>
      <c r="AG12" s="1">
        <v>17.2</v>
      </c>
      <c r="AH12" s="1">
        <v>21</v>
      </c>
      <c r="AI12" s="1">
        <v>14.4</v>
      </c>
      <c r="AJ12" s="1">
        <v>13.6</v>
      </c>
      <c r="AK12" s="1">
        <v>11.2</v>
      </c>
      <c r="AL12" s="1">
        <v>12.6</v>
      </c>
      <c r="AM12" s="1">
        <v>17</v>
      </c>
      <c r="AN12" s="1">
        <v>16.2</v>
      </c>
      <c r="AO12" s="15" t="s">
        <v>94</v>
      </c>
      <c r="AP12" s="1">
        <f>G12*AB12</f>
        <v>0</v>
      </c>
      <c r="AQ12" s="1">
        <f>-1*AC12*G12</f>
        <v>13.600000000000001</v>
      </c>
      <c r="AR12" s="1">
        <f>(AN12+AM12+AL12+AK12+AJ12+AI12+AH12+AG12+AF12+AA12)*G12</f>
        <v>24.004000000000005</v>
      </c>
      <c r="AS12" s="1"/>
      <c r="AT12" s="1"/>
      <c r="AU12" s="1"/>
      <c r="AV12" s="1"/>
      <c r="AW12" s="1"/>
      <c r="AX12" s="1"/>
    </row>
    <row r="13" spans="1:50" x14ac:dyDescent="0.25">
      <c r="A13" s="1" t="s">
        <v>52</v>
      </c>
      <c r="B13" s="1" t="s">
        <v>46</v>
      </c>
      <c r="C13" s="1">
        <v>9</v>
      </c>
      <c r="D13" s="1">
        <v>2</v>
      </c>
      <c r="E13" s="1">
        <v>4</v>
      </c>
      <c r="F13" s="1">
        <v>3</v>
      </c>
      <c r="G13" s="7">
        <v>0.3</v>
      </c>
      <c r="H13" s="1">
        <v>40</v>
      </c>
      <c r="I13" s="1" t="s">
        <v>176</v>
      </c>
      <c r="J13" s="1"/>
      <c r="K13" s="1">
        <v>47</v>
      </c>
      <c r="L13" s="1">
        <f t="shared" si="2"/>
        <v>-43</v>
      </c>
      <c r="M13" s="1">
        <f t="shared" si="3"/>
        <v>4</v>
      </c>
      <c r="N13" s="1"/>
      <c r="O13" s="1"/>
      <c r="P13" s="1">
        <v>84.8</v>
      </c>
      <c r="Q13" s="1"/>
      <c r="R13" s="1"/>
      <c r="S13" s="10"/>
      <c r="T13" s="1"/>
      <c r="U13" s="1"/>
      <c r="V13" s="1"/>
      <c r="W13" s="1"/>
      <c r="X13" s="1">
        <v>26.7</v>
      </c>
      <c r="Y13" s="1"/>
      <c r="Z13" s="1"/>
      <c r="AA13" s="1">
        <f t="shared" si="4"/>
        <v>0.8</v>
      </c>
      <c r="AB13" s="5"/>
      <c r="AC13" s="5"/>
      <c r="AD13" s="1">
        <f>(F13+O13+P13+Q13+R13+T13+U13+V13+W13+X13+Y13+Z13+AB13+AC13)/AA13</f>
        <v>143.125</v>
      </c>
      <c r="AE13" s="1">
        <f>(F13+O13+P13+Q13+R13+T13+U13+V13+W13+X13+Y13+Z13)/AA13</f>
        <v>143.125</v>
      </c>
      <c r="AF13" s="1">
        <v>2.6</v>
      </c>
      <c r="AG13" s="1">
        <v>9.4</v>
      </c>
      <c r="AH13" s="1">
        <v>13.4</v>
      </c>
      <c r="AI13" s="1">
        <v>4.4000000000000004</v>
      </c>
      <c r="AJ13" s="1">
        <v>0.4</v>
      </c>
      <c r="AK13" s="1">
        <v>5.8</v>
      </c>
      <c r="AL13" s="1">
        <v>7</v>
      </c>
      <c r="AM13" s="1">
        <v>1.6</v>
      </c>
      <c r="AN13" s="1">
        <v>-0.4</v>
      </c>
      <c r="AO13" s="1"/>
      <c r="AP13" s="1">
        <f>G13*AB13</f>
        <v>0</v>
      </c>
      <c r="AQ13" s="1">
        <f>-1*AC13*G13</f>
        <v>0</v>
      </c>
      <c r="AR13" s="1">
        <f>(AN13+AM13+AL13+AK13+AJ13+AI13+AH13+AG13+AF13+AA13)*G13</f>
        <v>13.5</v>
      </c>
      <c r="AS13" s="1"/>
      <c r="AT13" s="1"/>
      <c r="AU13" s="1"/>
      <c r="AV13" s="1"/>
      <c r="AW13" s="1"/>
      <c r="AX13" s="1"/>
    </row>
    <row r="14" spans="1:50" x14ac:dyDescent="0.25">
      <c r="A14" s="1" t="s">
        <v>53</v>
      </c>
      <c r="B14" s="1" t="s">
        <v>46</v>
      </c>
      <c r="C14" s="1">
        <v>41</v>
      </c>
      <c r="D14" s="1">
        <v>772</v>
      </c>
      <c r="E14" s="1">
        <v>107</v>
      </c>
      <c r="F14" s="1">
        <v>674</v>
      </c>
      <c r="G14" s="7">
        <v>0.17</v>
      </c>
      <c r="H14" s="1">
        <v>180</v>
      </c>
      <c r="I14" s="1" t="s">
        <v>176</v>
      </c>
      <c r="J14" s="1"/>
      <c r="K14" s="1">
        <v>254</v>
      </c>
      <c r="L14" s="1">
        <f t="shared" si="2"/>
        <v>-147</v>
      </c>
      <c r="M14" s="1">
        <f t="shared" si="3"/>
        <v>107</v>
      </c>
      <c r="N14" s="1"/>
      <c r="O14" s="1"/>
      <c r="P14" s="1">
        <v>55.200000000000159</v>
      </c>
      <c r="Q14" s="1"/>
      <c r="R14" s="1"/>
      <c r="S14" s="10"/>
      <c r="T14" s="1"/>
      <c r="U14" s="1"/>
      <c r="V14" s="1"/>
      <c r="W14" s="1"/>
      <c r="X14" s="1">
        <v>0</v>
      </c>
      <c r="Y14" s="1"/>
      <c r="Z14" s="1"/>
      <c r="AA14" s="1">
        <f t="shared" si="4"/>
        <v>21.4</v>
      </c>
      <c r="AB14" s="5"/>
      <c r="AC14" s="5">
        <f>(AE14-$AB$1)*AA14*(-1)</f>
        <v>-483.10000000000019</v>
      </c>
      <c r="AD14" s="1">
        <f>(F14+O14+P14+Q14+R14+T14+U14+V14+W14+X14+Y14+Z14+AB14+AC14)/AA14</f>
        <v>11.5</v>
      </c>
      <c r="AE14" s="1">
        <f>(F14+O14+P14+Q14+R14+T14+U14+V14+W14+X14+Y14+Z14)/AA14</f>
        <v>34.074766355140198</v>
      </c>
      <c r="AF14" s="1">
        <v>16.2</v>
      </c>
      <c r="AG14" s="1">
        <v>29.4</v>
      </c>
      <c r="AH14" s="1">
        <v>74.2</v>
      </c>
      <c r="AI14" s="1">
        <v>73.8</v>
      </c>
      <c r="AJ14" s="1">
        <v>37.6</v>
      </c>
      <c r="AK14" s="1">
        <v>35.200000000000003</v>
      </c>
      <c r="AL14" s="1">
        <v>46.2</v>
      </c>
      <c r="AM14" s="1">
        <v>49.6</v>
      </c>
      <c r="AN14" s="1">
        <v>43.2</v>
      </c>
      <c r="AO14" s="14" t="s">
        <v>74</v>
      </c>
      <c r="AP14" s="1">
        <f>G14*AB14</f>
        <v>0</v>
      </c>
      <c r="AQ14" s="1">
        <f>-1*AC14*G14</f>
        <v>82.127000000000038</v>
      </c>
      <c r="AR14" s="1">
        <f>(AN14+AM14+AL14+AK14+AJ14+AI14+AH14+AG14+AF14+AA14)*G14</f>
        <v>72.555999999999983</v>
      </c>
      <c r="AS14" s="1"/>
      <c r="AT14" s="1"/>
      <c r="AU14" s="1"/>
      <c r="AV14" s="1"/>
      <c r="AW14" s="1"/>
      <c r="AX14" s="1"/>
    </row>
    <row r="15" spans="1:50" x14ac:dyDescent="0.25">
      <c r="A15" s="1" t="s">
        <v>54</v>
      </c>
      <c r="B15" s="1" t="s">
        <v>42</v>
      </c>
      <c r="C15" s="1">
        <v>4081.1529999999998</v>
      </c>
      <c r="D15" s="1">
        <v>3384.971</v>
      </c>
      <c r="E15" s="1">
        <v>2939.857</v>
      </c>
      <c r="F15" s="1">
        <v>4216.1760000000004</v>
      </c>
      <c r="G15" s="7">
        <v>1</v>
      </c>
      <c r="H15" s="1">
        <v>70</v>
      </c>
      <c r="I15" s="1" t="s">
        <v>189</v>
      </c>
      <c r="J15" s="1"/>
      <c r="K15" s="1">
        <v>4118.8549999999996</v>
      </c>
      <c r="L15" s="1">
        <f t="shared" si="2"/>
        <v>-1178.9979999999996</v>
      </c>
      <c r="M15" s="1">
        <f t="shared" si="3"/>
        <v>2734.6889999999999</v>
      </c>
      <c r="N15" s="1">
        <v>205.16800000000001</v>
      </c>
      <c r="O15" s="1"/>
      <c r="P15" s="1">
        <v>650.32179464705507</v>
      </c>
      <c r="Q15" s="1"/>
      <c r="R15" s="1">
        <v>660.81085585103995</v>
      </c>
      <c r="S15" s="1">
        <f>VLOOKUP(A15,[1]TDSheet!$A:$B,2,0)</f>
        <v>666.875</v>
      </c>
      <c r="T15" s="1"/>
      <c r="U15" s="1"/>
      <c r="V15" s="1"/>
      <c r="W15" s="1"/>
      <c r="X15" s="1">
        <v>800</v>
      </c>
      <c r="Y15" s="1">
        <v>500</v>
      </c>
      <c r="Z15" s="1">
        <v>500</v>
      </c>
      <c r="AA15" s="1">
        <f t="shared" si="4"/>
        <v>546.93779999999992</v>
      </c>
      <c r="AB15" s="5"/>
      <c r="AC15" s="5"/>
      <c r="AD15" s="1">
        <f>(F15+O15+P15+Q15+R15+T15+U15+V15+W15+X15+Y15+Z15+AB15+AC15)/AA15</f>
        <v>13.396968815280452</v>
      </c>
      <c r="AE15" s="1">
        <f>(F15+O15+P15+Q15+R15+T15+U15+V15+W15+X15+Y15+Z15)/AA15</f>
        <v>13.396968815280452</v>
      </c>
      <c r="AF15" s="1">
        <v>609.09219999999993</v>
      </c>
      <c r="AG15" s="1">
        <v>717.98599999999999</v>
      </c>
      <c r="AH15" s="1">
        <v>729.06079999999997</v>
      </c>
      <c r="AI15" s="1">
        <v>733.47640000000001</v>
      </c>
      <c r="AJ15" s="1">
        <v>698.62239999999997</v>
      </c>
      <c r="AK15" s="1">
        <v>743.16840000000002</v>
      </c>
      <c r="AL15" s="1">
        <v>777.8900000000001</v>
      </c>
      <c r="AM15" s="1">
        <v>793.41980000000001</v>
      </c>
      <c r="AN15" s="1">
        <v>813.2912</v>
      </c>
      <c r="AO15" s="1"/>
      <c r="AP15" s="1">
        <f>G15*AB15</f>
        <v>0</v>
      </c>
      <c r="AQ15" s="1">
        <f>-1*AC15*G15</f>
        <v>0</v>
      </c>
      <c r="AR15" s="1">
        <f>(AN15+AM15+AL15+AK15+AJ15+AI15+AH15+AG15+AF15+AA15)*G15</f>
        <v>7162.9450000000006</v>
      </c>
      <c r="AS15" s="1">
        <f>(F15+S15+U15+O15)/AA15</f>
        <v>8.9279823043863509</v>
      </c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42</v>
      </c>
      <c r="C16" s="1">
        <v>3757.902</v>
      </c>
      <c r="D16" s="1">
        <v>2376.846</v>
      </c>
      <c r="E16" s="1">
        <v>3277.9780000000001</v>
      </c>
      <c r="F16" s="1">
        <v>2641.9380000000001</v>
      </c>
      <c r="G16" s="7">
        <v>1</v>
      </c>
      <c r="H16" s="1">
        <v>50</v>
      </c>
      <c r="I16" s="1" t="s">
        <v>189</v>
      </c>
      <c r="J16" s="1"/>
      <c r="K16" s="1">
        <v>4707.66</v>
      </c>
      <c r="L16" s="1">
        <f t="shared" si="2"/>
        <v>-1429.6819999999998</v>
      </c>
      <c r="M16" s="1">
        <f t="shared" si="3"/>
        <v>3277.9780000000001</v>
      </c>
      <c r="N16" s="1"/>
      <c r="O16" s="1"/>
      <c r="P16" s="1">
        <v>924.85034467840137</v>
      </c>
      <c r="Q16" s="1"/>
      <c r="R16" s="1">
        <v>939.76728572160141</v>
      </c>
      <c r="S16" s="10"/>
      <c r="T16" s="1">
        <v>-940</v>
      </c>
      <c r="U16" s="1"/>
      <c r="V16" s="1"/>
      <c r="W16" s="1"/>
      <c r="X16" s="1">
        <v>1226.0137919999991</v>
      </c>
      <c r="Y16" s="1">
        <v>500</v>
      </c>
      <c r="Z16" s="1"/>
      <c r="AA16" s="1">
        <f t="shared" si="4"/>
        <v>655.59559999999999</v>
      </c>
      <c r="AB16" s="5">
        <f t="shared" ref="AB16:AB24" si="5">11*AA16-Z16-Y16-X16-W16-V16-U16-T16-R16-Q16-P16-O16-F16</f>
        <v>1918.9821775999981</v>
      </c>
      <c r="AC16" s="5"/>
      <c r="AD16" s="1">
        <f>(F16+O16+P16+Q16+R16+T16+U16+V16+W16+X16+Y16+Z16+AB16+AC16)/AA16</f>
        <v>11</v>
      </c>
      <c r="AE16" s="1">
        <f>(F16+O16+P16+Q16+R16+T16+U16+V16+W16+X16+Y16+Z16)/AA16</f>
        <v>8.0729178511875332</v>
      </c>
      <c r="AF16" s="1">
        <v>514.53160000000003</v>
      </c>
      <c r="AG16" s="1">
        <v>650.99779999999998</v>
      </c>
      <c r="AH16" s="1">
        <v>665.4226000000001</v>
      </c>
      <c r="AI16" s="1">
        <v>618.9745999999999</v>
      </c>
      <c r="AJ16" s="1">
        <v>533.11019999999996</v>
      </c>
      <c r="AK16" s="1">
        <v>718.05599999999993</v>
      </c>
      <c r="AL16" s="1">
        <v>883.88040000000001</v>
      </c>
      <c r="AM16" s="1">
        <v>762.78340000000003</v>
      </c>
      <c r="AN16" s="1">
        <v>722.84620000000007</v>
      </c>
      <c r="AO16" s="1"/>
      <c r="AP16" s="1">
        <f>G16*AB16</f>
        <v>1918.9821775999981</v>
      </c>
      <c r="AQ16" s="1">
        <f>-1*AC16*G16</f>
        <v>0</v>
      </c>
      <c r="AR16" s="1">
        <f>(AN16+AM16+AL16+AK16+AJ16+AI16+AH16+AG16+AF16+AA16)*G16</f>
        <v>6726.1984000000002</v>
      </c>
      <c r="AS16" s="1">
        <f>(F16+S16+U16+O16)/AA16</f>
        <v>4.029828754189321</v>
      </c>
      <c r="AT16" s="1"/>
      <c r="AU16" s="1"/>
      <c r="AV16" s="1"/>
      <c r="AW16" s="1"/>
      <c r="AX16" s="1"/>
    </row>
    <row r="17" spans="1:50" x14ac:dyDescent="0.25">
      <c r="A17" s="1" t="s">
        <v>56</v>
      </c>
      <c r="B17" s="1" t="s">
        <v>42</v>
      </c>
      <c r="C17" s="1">
        <v>753.55399999999997</v>
      </c>
      <c r="D17" s="1">
        <v>82.524000000000001</v>
      </c>
      <c r="E17" s="1">
        <v>199.56299999999999</v>
      </c>
      <c r="F17" s="1">
        <v>553.99099999999999</v>
      </c>
      <c r="G17" s="7">
        <v>1</v>
      </c>
      <c r="H17" s="1">
        <v>60</v>
      </c>
      <c r="I17" s="1" t="s">
        <v>176</v>
      </c>
      <c r="J17" s="1"/>
      <c r="K17" s="1">
        <v>316</v>
      </c>
      <c r="L17" s="1">
        <f t="shared" si="2"/>
        <v>-116.43700000000001</v>
      </c>
      <c r="M17" s="1">
        <f t="shared" si="3"/>
        <v>199.56299999999999</v>
      </c>
      <c r="N17" s="1"/>
      <c r="O17" s="1"/>
      <c r="P17" s="1">
        <v>0</v>
      </c>
      <c r="Q17" s="1"/>
      <c r="R17" s="1"/>
      <c r="S17" s="10"/>
      <c r="T17" s="1"/>
      <c r="U17" s="1"/>
      <c r="V17" s="1"/>
      <c r="W17" s="1"/>
      <c r="X17" s="1">
        <v>32.171500000000037</v>
      </c>
      <c r="Y17" s="1"/>
      <c r="Z17" s="1"/>
      <c r="AA17" s="1">
        <f t="shared" si="4"/>
        <v>39.912599999999998</v>
      </c>
      <c r="AB17" s="5"/>
      <c r="AC17" s="5">
        <f>(AE17-$AB$1)*AA17*(-1)</f>
        <v>-127.16760000000004</v>
      </c>
      <c r="AD17" s="1">
        <f>(F17+O17+P17+Q17+R17+T17+U17+V17+W17+X17+Y17+Z17+AB17+AC17)/AA17</f>
        <v>11.5</v>
      </c>
      <c r="AE17" s="1">
        <f>(F17+O17+P17+Q17+R17+T17+U17+V17+W17+X17+Y17+Z17)/AA17</f>
        <v>14.6861517415553</v>
      </c>
      <c r="AF17" s="1">
        <v>46.755800000000001</v>
      </c>
      <c r="AG17" s="1">
        <v>52.686199999999999</v>
      </c>
      <c r="AH17" s="1">
        <v>53.1126</v>
      </c>
      <c r="AI17" s="1">
        <v>49.364400000000003</v>
      </c>
      <c r="AJ17" s="1">
        <v>53.144799999999996</v>
      </c>
      <c r="AK17" s="1">
        <v>67.895600000000002</v>
      </c>
      <c r="AL17" s="1">
        <v>65.342600000000004</v>
      </c>
      <c r="AM17" s="1">
        <v>56.481399999999987</v>
      </c>
      <c r="AN17" s="1">
        <v>55.717200000000012</v>
      </c>
      <c r="AO17" s="1"/>
      <c r="AP17" s="1">
        <f>G17*AB17</f>
        <v>0</v>
      </c>
      <c r="AQ17" s="1">
        <f>-1*AC17*G17</f>
        <v>127.16760000000004</v>
      </c>
      <c r="AR17" s="1">
        <f>(AN17+AM17+AL17+AK17+AJ17+AI17+AH17+AG17+AF17+AA17)*G17</f>
        <v>540.41319999999996</v>
      </c>
      <c r="AS17" s="1"/>
      <c r="AT17" s="1"/>
      <c r="AU17" s="1"/>
      <c r="AV17" s="1"/>
      <c r="AW17" s="1"/>
      <c r="AX17" s="1"/>
    </row>
    <row r="18" spans="1:50" x14ac:dyDescent="0.25">
      <c r="A18" s="1" t="s">
        <v>57</v>
      </c>
      <c r="B18" s="1" t="s">
        <v>42</v>
      </c>
      <c r="C18" s="1">
        <v>10.029999999999999</v>
      </c>
      <c r="D18" s="1">
        <v>1.079</v>
      </c>
      <c r="E18" s="1">
        <v>2.8570000000000002</v>
      </c>
      <c r="F18" s="1">
        <v>7.173</v>
      </c>
      <c r="G18" s="7">
        <v>1</v>
      </c>
      <c r="H18" s="1">
        <v>180</v>
      </c>
      <c r="I18" s="1" t="s">
        <v>176</v>
      </c>
      <c r="J18" s="1"/>
      <c r="K18" s="1">
        <v>7.15</v>
      </c>
      <c r="L18" s="1">
        <f t="shared" si="2"/>
        <v>-4.2930000000000001</v>
      </c>
      <c r="M18" s="1">
        <f t="shared" si="3"/>
        <v>2.8570000000000002</v>
      </c>
      <c r="N18" s="1"/>
      <c r="O18" s="1"/>
      <c r="P18" s="1">
        <v>4</v>
      </c>
      <c r="Q18" s="1"/>
      <c r="R18" s="1"/>
      <c r="S18" s="10"/>
      <c r="T18" s="1"/>
      <c r="U18" s="1"/>
      <c r="V18" s="1"/>
      <c r="W18" s="1"/>
      <c r="X18" s="1">
        <v>4</v>
      </c>
      <c r="Y18" s="1"/>
      <c r="Z18" s="1"/>
      <c r="AA18" s="1">
        <f t="shared" si="4"/>
        <v>0.57140000000000002</v>
      </c>
      <c r="AB18" s="5"/>
      <c r="AC18" s="5"/>
      <c r="AD18" s="1">
        <f>(F18+O18+P18+Q18+R18+T18+U18+V18+W18+X18+Y18+Z18+AB18+AC18)/AA18</f>
        <v>26.554077703885195</v>
      </c>
      <c r="AE18" s="1">
        <f>(F18+O18+P18+Q18+R18+T18+U18+V18+W18+X18+Y18+Z18)/AA18</f>
        <v>26.554077703885195</v>
      </c>
      <c r="AF18" s="1">
        <v>0.63460000000000005</v>
      </c>
      <c r="AG18" s="1">
        <v>1.0533999999999999</v>
      </c>
      <c r="AH18" s="1">
        <v>1.054</v>
      </c>
      <c r="AI18" s="1">
        <v>0.2838</v>
      </c>
      <c r="AJ18" s="1">
        <v>6.9999999999999993E-2</v>
      </c>
      <c r="AK18" s="1">
        <v>0.49559999999999998</v>
      </c>
      <c r="AL18" s="1">
        <v>0.99740000000000006</v>
      </c>
      <c r="AM18" s="1">
        <v>1.117</v>
      </c>
      <c r="AN18" s="1">
        <v>0.61639999999999995</v>
      </c>
      <c r="AO18" s="14" t="s">
        <v>74</v>
      </c>
      <c r="AP18" s="1">
        <f>G18*AB18</f>
        <v>0</v>
      </c>
      <c r="AQ18" s="1">
        <f>-1*AC18*G18</f>
        <v>0</v>
      </c>
      <c r="AR18" s="1">
        <f>(AN18+AM18+AL18+AK18+AJ18+AI18+AH18+AG18+AF18+AA18)*G18</f>
        <v>6.8935999999999993</v>
      </c>
      <c r="AS18" s="1"/>
      <c r="AT18" s="1"/>
      <c r="AU18" s="1"/>
      <c r="AV18" s="1"/>
      <c r="AW18" s="1"/>
      <c r="AX18" s="1"/>
    </row>
    <row r="19" spans="1:50" x14ac:dyDescent="0.25">
      <c r="A19" s="1" t="s">
        <v>58</v>
      </c>
      <c r="B19" s="1" t="s">
        <v>42</v>
      </c>
      <c r="C19" s="1">
        <v>5553.3379999999997</v>
      </c>
      <c r="D19" s="1">
        <v>4176.2929999999997</v>
      </c>
      <c r="E19" s="1">
        <v>3377.8159999999998</v>
      </c>
      <c r="F19" s="1">
        <v>5909.8869999999997</v>
      </c>
      <c r="G19" s="7">
        <v>1</v>
      </c>
      <c r="H19" s="1">
        <v>60</v>
      </c>
      <c r="I19" s="1" t="s">
        <v>189</v>
      </c>
      <c r="J19" s="1"/>
      <c r="K19" s="1">
        <v>4962.05</v>
      </c>
      <c r="L19" s="1">
        <f t="shared" si="2"/>
        <v>-1584.2340000000004</v>
      </c>
      <c r="M19" s="1">
        <f t="shared" si="3"/>
        <v>3377.8159999999998</v>
      </c>
      <c r="N19" s="1"/>
      <c r="O19" s="1"/>
      <c r="P19" s="1">
        <v>493.59247989370459</v>
      </c>
      <c r="Q19" s="1"/>
      <c r="R19" s="1">
        <v>501.55364892424819</v>
      </c>
      <c r="S19" s="1">
        <f>VLOOKUP(A19,[1]TDSheet!$A:$B,2,0)</f>
        <v>511.54</v>
      </c>
      <c r="T19" s="1"/>
      <c r="U19" s="1"/>
      <c r="V19" s="1"/>
      <c r="W19" s="1"/>
      <c r="X19" s="1">
        <v>1064.1240119999991</v>
      </c>
      <c r="Y19" s="1">
        <v>900</v>
      </c>
      <c r="Z19" s="1">
        <v>500</v>
      </c>
      <c r="AA19" s="1">
        <f t="shared" si="4"/>
        <v>675.56319999999994</v>
      </c>
      <c r="AB19" s="5"/>
      <c r="AC19" s="5">
        <v>-2200</v>
      </c>
      <c r="AD19" s="1">
        <f>(F19+O19+P19+Q19+R19+T19+U19+V19+W19+X19+Y19+Z19+AB19+AC19)/AA19</f>
        <v>10.612119104205131</v>
      </c>
      <c r="AE19" s="1">
        <f>(F19+O19+P19+Q19+R19+T19+U19+V19+W19+X19+Y19+Z19)/AA19</f>
        <v>13.868661201228772</v>
      </c>
      <c r="AF19" s="1">
        <v>724.81880000000001</v>
      </c>
      <c r="AG19" s="1">
        <v>877.02520000000004</v>
      </c>
      <c r="AH19" s="1">
        <v>881.83860000000004</v>
      </c>
      <c r="AI19" s="1">
        <v>955.75059999999996</v>
      </c>
      <c r="AJ19" s="1">
        <v>939.14380000000006</v>
      </c>
      <c r="AK19" s="1">
        <v>972.13600000000008</v>
      </c>
      <c r="AL19" s="1">
        <v>972.09439999999995</v>
      </c>
      <c r="AM19" s="1">
        <v>939.87340000000006</v>
      </c>
      <c r="AN19" s="1">
        <v>926.64840000000004</v>
      </c>
      <c r="AO19" s="1"/>
      <c r="AP19" s="1">
        <f>G19*AB19</f>
        <v>0</v>
      </c>
      <c r="AQ19" s="1">
        <f>-1*AC19*G19</f>
        <v>2200</v>
      </c>
      <c r="AR19" s="1">
        <f>(AN19+AM19+AL19+AK19+AJ19+AI19+AH19+AG19+AF19+AA19)*G19</f>
        <v>8864.8924000000006</v>
      </c>
      <c r="AS19" s="1">
        <f>(F19+S19+U19+O19)/AA19</f>
        <v>9.505294249301917</v>
      </c>
      <c r="AT19" s="1"/>
      <c r="AU19" s="1"/>
      <c r="AV19" s="1"/>
      <c r="AW19" s="1"/>
      <c r="AX19" s="1"/>
    </row>
    <row r="20" spans="1:50" x14ac:dyDescent="0.25">
      <c r="A20" s="1" t="s">
        <v>59</v>
      </c>
      <c r="B20" s="1" t="s">
        <v>42</v>
      </c>
      <c r="C20" s="1">
        <v>855.07399999999996</v>
      </c>
      <c r="D20" s="1">
        <v>580.279</v>
      </c>
      <c r="E20" s="1">
        <v>413.90300000000002</v>
      </c>
      <c r="F20" s="1">
        <v>941.71699999999998</v>
      </c>
      <c r="G20" s="7">
        <v>1</v>
      </c>
      <c r="H20" s="1">
        <v>70</v>
      </c>
      <c r="I20" s="1" t="s">
        <v>176</v>
      </c>
      <c r="J20" s="1"/>
      <c r="K20" s="1">
        <v>596.9</v>
      </c>
      <c r="L20" s="1">
        <f t="shared" si="2"/>
        <v>-182.99699999999996</v>
      </c>
      <c r="M20" s="1">
        <f t="shared" si="3"/>
        <v>413.90300000000002</v>
      </c>
      <c r="N20" s="1"/>
      <c r="O20" s="1"/>
      <c r="P20" s="1">
        <v>0</v>
      </c>
      <c r="Q20" s="1"/>
      <c r="R20" s="1"/>
      <c r="S20" s="10"/>
      <c r="T20" s="1"/>
      <c r="U20" s="1"/>
      <c r="V20" s="1"/>
      <c r="W20" s="1"/>
      <c r="X20" s="1">
        <v>0</v>
      </c>
      <c r="Y20" s="1"/>
      <c r="Z20" s="1"/>
      <c r="AA20" s="1">
        <f t="shared" si="4"/>
        <v>82.780600000000007</v>
      </c>
      <c r="AB20" s="5"/>
      <c r="AC20" s="5"/>
      <c r="AD20" s="1">
        <f>(F20+O20+P20+Q20+R20+T20+U20+V20+W20+X20+Y20+Z20+AB20+AC20)/AA20</f>
        <v>11.37605912496406</v>
      </c>
      <c r="AE20" s="1">
        <f>(F20+O20+P20+Q20+R20+T20+U20+V20+W20+X20+Y20+Z20)/AA20</f>
        <v>11.37605912496406</v>
      </c>
      <c r="AF20" s="1">
        <v>84.445999999999998</v>
      </c>
      <c r="AG20" s="1">
        <v>87.766999999999996</v>
      </c>
      <c r="AH20" s="1">
        <v>81.984399999999994</v>
      </c>
      <c r="AI20" s="1">
        <v>105.79219999999999</v>
      </c>
      <c r="AJ20" s="1">
        <v>91.558999999999997</v>
      </c>
      <c r="AK20" s="1">
        <v>105.01179999999999</v>
      </c>
      <c r="AL20" s="1">
        <v>101.4824</v>
      </c>
      <c r="AM20" s="1">
        <v>87.5822</v>
      </c>
      <c r="AN20" s="1">
        <v>89.291799999999995</v>
      </c>
      <c r="AO20" s="1"/>
      <c r="AP20" s="1">
        <f>G20*AB20</f>
        <v>0</v>
      </c>
      <c r="AQ20" s="1">
        <f>-1*AC20*G20</f>
        <v>0</v>
      </c>
      <c r="AR20" s="1">
        <f>(AN20+AM20+AL20+AK20+AJ20+AI20+AH20+AG20+AF20+AA20)*G20</f>
        <v>917.69740000000013</v>
      </c>
      <c r="AS20" s="1"/>
      <c r="AT20" s="1"/>
      <c r="AU20" s="1"/>
      <c r="AV20" s="1"/>
      <c r="AW20" s="1"/>
      <c r="AX20" s="1"/>
    </row>
    <row r="21" spans="1:50" x14ac:dyDescent="0.25">
      <c r="A21" s="1" t="s">
        <v>60</v>
      </c>
      <c r="B21" s="1" t="s">
        <v>42</v>
      </c>
      <c r="C21" s="1">
        <v>1798.404</v>
      </c>
      <c r="D21" s="1">
        <v>425.70299999999997</v>
      </c>
      <c r="E21" s="1">
        <v>952.52800000000002</v>
      </c>
      <c r="F21" s="1">
        <v>1155.0530000000001</v>
      </c>
      <c r="G21" s="7">
        <v>1</v>
      </c>
      <c r="H21" s="1">
        <v>70</v>
      </c>
      <c r="I21" s="1" t="s">
        <v>189</v>
      </c>
      <c r="J21" s="1"/>
      <c r="K21" s="1">
        <v>1274.277</v>
      </c>
      <c r="L21" s="1">
        <f t="shared" si="2"/>
        <v>-321.74900000000002</v>
      </c>
      <c r="M21" s="1">
        <f t="shared" si="3"/>
        <v>952.52800000000002</v>
      </c>
      <c r="N21" s="1"/>
      <c r="O21" s="1"/>
      <c r="P21" s="1">
        <v>259.85550588160021</v>
      </c>
      <c r="Q21" s="1"/>
      <c r="R21" s="1">
        <v>264.04672371840007</v>
      </c>
      <c r="S21" s="1">
        <f>VLOOKUP(A21,[1]TDSheet!$A:$B,2,0)</f>
        <v>264.286</v>
      </c>
      <c r="T21" s="1"/>
      <c r="U21" s="1"/>
      <c r="V21" s="1"/>
      <c r="W21" s="1"/>
      <c r="X21" s="1">
        <v>437.60030000000012</v>
      </c>
      <c r="Y21" s="1">
        <v>400</v>
      </c>
      <c r="Z21" s="1"/>
      <c r="AA21" s="1">
        <f t="shared" si="4"/>
        <v>190.50560000000002</v>
      </c>
      <c r="AB21" s="5"/>
      <c r="AC21" s="5"/>
      <c r="AD21" s="1">
        <f>(F21+O21+P21+Q21+R21+T21+U21+V21+W21+X21+Y21+Z21+AB21+AC21)/AA21</f>
        <v>13.209876925402721</v>
      </c>
      <c r="AE21" s="1">
        <f>(F21+O21+P21+Q21+R21+T21+U21+V21+W21+X21+Y21+Z21)/AA21</f>
        <v>13.209876925402721</v>
      </c>
      <c r="AF21" s="1">
        <v>210.42779999999999</v>
      </c>
      <c r="AG21" s="1">
        <v>235.95099999999999</v>
      </c>
      <c r="AH21" s="1">
        <v>225.54</v>
      </c>
      <c r="AI21" s="1">
        <v>220.38339999999999</v>
      </c>
      <c r="AJ21" s="1">
        <v>213.50020000000001</v>
      </c>
      <c r="AK21" s="1">
        <v>289.41840000000002</v>
      </c>
      <c r="AL21" s="1">
        <v>307.0924</v>
      </c>
      <c r="AM21" s="1">
        <v>271.95859999999999</v>
      </c>
      <c r="AN21" s="1">
        <v>269.67360000000002</v>
      </c>
      <c r="AO21" s="1"/>
      <c r="AP21" s="1">
        <f>G21*AB21</f>
        <v>0</v>
      </c>
      <c r="AQ21" s="1">
        <f>-1*AC21*G21</f>
        <v>0</v>
      </c>
      <c r="AR21" s="1">
        <f>(AN21+AM21+AL21+AK21+AJ21+AI21+AH21+AG21+AF21+AA21)*G21</f>
        <v>2434.451</v>
      </c>
      <c r="AS21" s="1">
        <f>(F21+S21+U21+O21)/AA21</f>
        <v>7.4503794114188775</v>
      </c>
      <c r="AT21" s="1"/>
      <c r="AU21" s="1"/>
      <c r="AV21" s="1"/>
      <c r="AW21" s="1"/>
      <c r="AX21" s="1"/>
    </row>
    <row r="22" spans="1:50" x14ac:dyDescent="0.25">
      <c r="A22" s="1" t="s">
        <v>61</v>
      </c>
      <c r="B22" s="1" t="s">
        <v>42</v>
      </c>
      <c r="C22" s="1">
        <v>2302.8200000000002</v>
      </c>
      <c r="D22" s="1">
        <v>1944.8710000000001</v>
      </c>
      <c r="E22" s="1">
        <v>1660.1980000000001</v>
      </c>
      <c r="F22" s="1">
        <v>2398.0520000000001</v>
      </c>
      <c r="G22" s="7">
        <v>1</v>
      </c>
      <c r="H22" s="1">
        <v>70</v>
      </c>
      <c r="I22" s="1" t="s">
        <v>189</v>
      </c>
      <c r="J22" s="1"/>
      <c r="K22" s="1">
        <v>2313.366</v>
      </c>
      <c r="L22" s="1">
        <f t="shared" si="2"/>
        <v>-653.16799999999989</v>
      </c>
      <c r="M22" s="1">
        <f t="shared" si="3"/>
        <v>1660.1980000000001</v>
      </c>
      <c r="N22" s="1"/>
      <c r="O22" s="1"/>
      <c r="P22" s="1">
        <v>434.92934343984001</v>
      </c>
      <c r="Q22" s="1"/>
      <c r="R22" s="1">
        <v>441.94433285015998</v>
      </c>
      <c r="S22" s="1">
        <f>VLOOKUP(A22,[1]TDSheet!$A:$B,2,0)</f>
        <v>443.16</v>
      </c>
      <c r="T22" s="1"/>
      <c r="U22" s="1"/>
      <c r="V22" s="1"/>
      <c r="W22" s="1"/>
      <c r="X22" s="1">
        <v>705.53755199999955</v>
      </c>
      <c r="Y22" s="1">
        <v>400</v>
      </c>
      <c r="Z22" s="1">
        <v>230</v>
      </c>
      <c r="AA22" s="1">
        <f t="shared" si="4"/>
        <v>332.03960000000001</v>
      </c>
      <c r="AB22" s="5"/>
      <c r="AC22" s="5">
        <v>-300</v>
      </c>
      <c r="AD22" s="1">
        <f>(F22+O22+P22+Q22+R22+T22+U22+V22+W22+X22+Y22+Z22+AB22+AC22)/AA22</f>
        <v>12.981774548246655</v>
      </c>
      <c r="AE22" s="1">
        <f>(F22+O22+P22+Q22+R22+T22+U22+V22+W22+X22+Y22+Z22)/AA22</f>
        <v>13.885281238412526</v>
      </c>
      <c r="AF22" s="1">
        <v>377.9864</v>
      </c>
      <c r="AG22" s="1">
        <v>429.1764</v>
      </c>
      <c r="AH22" s="1">
        <v>423.87560000000002</v>
      </c>
      <c r="AI22" s="1">
        <v>418.34640000000002</v>
      </c>
      <c r="AJ22" s="1">
        <v>400.0342</v>
      </c>
      <c r="AK22" s="1">
        <v>384.5324</v>
      </c>
      <c r="AL22" s="1">
        <v>404.67020000000002</v>
      </c>
      <c r="AM22" s="1">
        <v>469.15940000000001</v>
      </c>
      <c r="AN22" s="1">
        <v>501.86099999999999</v>
      </c>
      <c r="AO22" s="1"/>
      <c r="AP22" s="1">
        <f>G22*AB22</f>
        <v>0</v>
      </c>
      <c r="AQ22" s="1">
        <f>-1*AC22*G22</f>
        <v>300</v>
      </c>
      <c r="AR22" s="1">
        <f>(AN22+AM22+AL22+AK22+AJ22+AI22+AH22+AG22+AF22+AA22)*G22</f>
        <v>4141.6815999999999</v>
      </c>
      <c r="AS22" s="1">
        <f>(F22+S22+U22+O22)/AA22</f>
        <v>8.5568468339318553</v>
      </c>
      <c r="AT22" s="1"/>
      <c r="AU22" s="1"/>
      <c r="AV22" s="1"/>
      <c r="AW22" s="1"/>
      <c r="AX22" s="1"/>
    </row>
    <row r="23" spans="1:50" x14ac:dyDescent="0.25">
      <c r="A23" s="1" t="s">
        <v>62</v>
      </c>
      <c r="B23" s="1" t="s">
        <v>42</v>
      </c>
      <c r="C23" s="1">
        <v>78.712000000000003</v>
      </c>
      <c r="D23" s="1">
        <v>41.43</v>
      </c>
      <c r="E23" s="1">
        <v>23.24</v>
      </c>
      <c r="F23" s="1">
        <v>94.721999999999994</v>
      </c>
      <c r="G23" s="7">
        <v>1</v>
      </c>
      <c r="H23" s="1">
        <v>40</v>
      </c>
      <c r="I23" s="1" t="s">
        <v>176</v>
      </c>
      <c r="J23" s="1"/>
      <c r="K23" s="1">
        <v>58.9</v>
      </c>
      <c r="L23" s="1">
        <f t="shared" si="2"/>
        <v>-35.659999999999997</v>
      </c>
      <c r="M23" s="1">
        <f t="shared" si="3"/>
        <v>23.24</v>
      </c>
      <c r="N23" s="1"/>
      <c r="O23" s="1"/>
      <c r="P23" s="1">
        <v>0</v>
      </c>
      <c r="Q23" s="1"/>
      <c r="R23" s="1"/>
      <c r="S23" s="10"/>
      <c r="T23" s="1"/>
      <c r="U23" s="1"/>
      <c r="V23" s="1"/>
      <c r="W23" s="1"/>
      <c r="X23" s="1">
        <v>0</v>
      </c>
      <c r="Y23" s="1"/>
      <c r="Z23" s="1"/>
      <c r="AA23" s="1">
        <f t="shared" si="4"/>
        <v>4.6479999999999997</v>
      </c>
      <c r="AB23" s="5"/>
      <c r="AC23" s="5">
        <f>(AE23-$AB$1)*AA23*(-1)</f>
        <v>-41.269999999999989</v>
      </c>
      <c r="AD23" s="1">
        <f>(F23+O23+P23+Q23+R23+T23+U23+V23+W23+X23+Y23+Z23+AB23+AC23)/AA23</f>
        <v>11.500000000000002</v>
      </c>
      <c r="AE23" s="1">
        <f>(F23+O23+P23+Q23+R23+T23+U23+V23+W23+X23+Y23+Z23)/AA23</f>
        <v>20.379087779690188</v>
      </c>
      <c r="AF23" s="1">
        <v>5.9480000000000004</v>
      </c>
      <c r="AG23" s="1">
        <v>7.4024000000000001</v>
      </c>
      <c r="AH23" s="1">
        <v>6.2479999999999993</v>
      </c>
      <c r="AI23" s="1">
        <v>11.03</v>
      </c>
      <c r="AJ23" s="1">
        <v>9.5733999999999995</v>
      </c>
      <c r="AK23" s="1">
        <v>1.4523999999999999</v>
      </c>
      <c r="AL23" s="1">
        <v>1.8864000000000001</v>
      </c>
      <c r="AM23" s="1">
        <v>3.0478000000000001</v>
      </c>
      <c r="AN23" s="1">
        <v>2.6137999999999999</v>
      </c>
      <c r="AO23" s="15" t="s">
        <v>94</v>
      </c>
      <c r="AP23" s="1">
        <f>G23*AB23</f>
        <v>0</v>
      </c>
      <c r="AQ23" s="1">
        <f>-1*AC23*G23</f>
        <v>41.269999999999989</v>
      </c>
      <c r="AR23" s="1">
        <f>(AN23+AM23+AL23+AK23+AJ23+AI23+AH23+AG23+AF23+AA23)*G23</f>
        <v>53.850200000000001</v>
      </c>
      <c r="AS23" s="1"/>
      <c r="AT23" s="1"/>
      <c r="AU23" s="1"/>
      <c r="AV23" s="1"/>
      <c r="AW23" s="1"/>
      <c r="AX23" s="1"/>
    </row>
    <row r="24" spans="1:50" x14ac:dyDescent="0.25">
      <c r="A24" s="1" t="s">
        <v>63</v>
      </c>
      <c r="B24" s="1" t="s">
        <v>42</v>
      </c>
      <c r="C24" s="1">
        <v>5190.2139999999999</v>
      </c>
      <c r="D24" s="1">
        <v>2699.3670000000002</v>
      </c>
      <c r="E24" s="1">
        <v>2202.2750000000001</v>
      </c>
      <c r="F24" s="1">
        <v>5247.3220000000001</v>
      </c>
      <c r="G24" s="7">
        <v>1</v>
      </c>
      <c r="H24" s="1">
        <v>30</v>
      </c>
      <c r="I24" s="1" t="s">
        <v>189</v>
      </c>
      <c r="J24" s="1"/>
      <c r="K24" s="1">
        <v>3175.962</v>
      </c>
      <c r="L24" s="1">
        <f t="shared" si="2"/>
        <v>-973.6869999999999</v>
      </c>
      <c r="M24" s="1">
        <f t="shared" si="3"/>
        <v>2202.2750000000001</v>
      </c>
      <c r="N24" s="1"/>
      <c r="O24" s="1">
        <v>-3500</v>
      </c>
      <c r="P24" s="1">
        <v>700</v>
      </c>
      <c r="Q24" s="1"/>
      <c r="R24" s="1">
        <v>700</v>
      </c>
      <c r="S24" s="10"/>
      <c r="T24" s="1">
        <v>-700</v>
      </c>
      <c r="U24" s="1"/>
      <c r="V24" s="1"/>
      <c r="W24" s="1">
        <v>-405.6</v>
      </c>
      <c r="X24" s="1">
        <v>400</v>
      </c>
      <c r="Y24" s="1">
        <v>300</v>
      </c>
      <c r="Z24" s="1"/>
      <c r="AA24" s="1">
        <f t="shared" si="4"/>
        <v>440.45500000000004</v>
      </c>
      <c r="AB24" s="5">
        <f t="shared" si="5"/>
        <v>2103.2830000000004</v>
      </c>
      <c r="AC24" s="5"/>
      <c r="AD24" s="1">
        <f>(F24+O24+P24+Q24+R24+T24+U24+V24+W24+X24+Y24+Z24+AB24+AC24)/AA24</f>
        <v>11.000000000000002</v>
      </c>
      <c r="AE24" s="1">
        <f>(F24+O24+P24+Q24+R24+T24+U24+V24+W24+X24+Y24+Z24)/AA24</f>
        <v>6.2247494068633573</v>
      </c>
      <c r="AF24" s="1">
        <v>413.21019999999999</v>
      </c>
      <c r="AG24" s="1">
        <v>344.91699999999997</v>
      </c>
      <c r="AH24" s="1">
        <v>256.0514</v>
      </c>
      <c r="AI24" s="1">
        <v>349.7722</v>
      </c>
      <c r="AJ24" s="1">
        <v>272.06720000000001</v>
      </c>
      <c r="AK24" s="1">
        <v>228.89760000000001</v>
      </c>
      <c r="AL24" s="1">
        <v>443.47500000000002</v>
      </c>
      <c r="AM24" s="1">
        <v>527.50740000000008</v>
      </c>
      <c r="AN24" s="1">
        <v>438.75599999999997</v>
      </c>
      <c r="AO24" s="1" t="s">
        <v>64</v>
      </c>
      <c r="AP24" s="1">
        <f>G24*AB24</f>
        <v>2103.2830000000004</v>
      </c>
      <c r="AQ24" s="1">
        <f>-1*AC24*G24</f>
        <v>0</v>
      </c>
      <c r="AR24" s="1">
        <f>(AN24+AM24+AL24+AK24+AJ24+AI24+AH24+AG24+AF24+AA24)*G24</f>
        <v>3715.1089999999999</v>
      </c>
      <c r="AS24" s="1">
        <f>(F24+S24+U24+O24)/AA24</f>
        <v>3.9670840380969676</v>
      </c>
      <c r="AT24" s="1"/>
      <c r="AU24" s="1"/>
      <c r="AV24" s="1"/>
      <c r="AW24" s="1"/>
      <c r="AX24" s="1"/>
    </row>
    <row r="25" spans="1:50" x14ac:dyDescent="0.25">
      <c r="A25" s="10" t="s">
        <v>65</v>
      </c>
      <c r="B25" s="10" t="s">
        <v>42</v>
      </c>
      <c r="C25" s="10">
        <v>89.971000000000004</v>
      </c>
      <c r="D25" s="10">
        <v>38.767000000000003</v>
      </c>
      <c r="E25" s="10">
        <v>20.091000000000001</v>
      </c>
      <c r="F25" s="10">
        <v>108.64700000000001</v>
      </c>
      <c r="G25" s="11">
        <v>0</v>
      </c>
      <c r="H25" s="10">
        <v>40</v>
      </c>
      <c r="I25" s="10" t="s">
        <v>122</v>
      </c>
      <c r="J25" s="10"/>
      <c r="K25" s="10">
        <v>92.5</v>
      </c>
      <c r="L25" s="10">
        <f t="shared" si="2"/>
        <v>-72.408999999999992</v>
      </c>
      <c r="M25" s="10">
        <f t="shared" si="3"/>
        <v>20.091000000000001</v>
      </c>
      <c r="N25" s="10"/>
      <c r="O25" s="10"/>
      <c r="P25" s="10">
        <v>0</v>
      </c>
      <c r="Q25" s="10"/>
      <c r="R25" s="10"/>
      <c r="S25" s="10"/>
      <c r="T25" s="10"/>
      <c r="U25" s="10"/>
      <c r="V25" s="10"/>
      <c r="W25" s="10"/>
      <c r="X25" s="10">
        <v>0</v>
      </c>
      <c r="Y25" s="10"/>
      <c r="Z25" s="10"/>
      <c r="AA25" s="10">
        <f t="shared" si="4"/>
        <v>4.0182000000000002</v>
      </c>
      <c r="AB25" s="12"/>
      <c r="AC25" s="12">
        <v>-40</v>
      </c>
      <c r="AD25" s="1">
        <f>(F25+O25+P25+Q25+R25+T25+U25+V25+W25+X25+Y25+Z25+AB25+AC25)/AA25</f>
        <v>17.084017719376835</v>
      </c>
      <c r="AE25" s="10">
        <f>(F25+O25+P25+Q25+R25+T25+U25+V25+W25+X25+Y25+Z25)/AA25</f>
        <v>27.038723806679609</v>
      </c>
      <c r="AF25" s="10">
        <v>1.0573999999999999</v>
      </c>
      <c r="AG25" s="10">
        <v>8.8558000000000003</v>
      </c>
      <c r="AH25" s="10">
        <v>9.4266000000000005</v>
      </c>
      <c r="AI25" s="10">
        <v>13.422000000000001</v>
      </c>
      <c r="AJ25" s="10">
        <v>12.8826</v>
      </c>
      <c r="AK25" s="10">
        <v>1.8428</v>
      </c>
      <c r="AL25" s="10">
        <v>1.2907999999999999</v>
      </c>
      <c r="AM25" s="10">
        <v>8.7688000000000006</v>
      </c>
      <c r="AN25" s="10">
        <v>8.7688000000000006</v>
      </c>
      <c r="AO25" s="15" t="s">
        <v>94</v>
      </c>
      <c r="AP25" s="10"/>
      <c r="AQ25" s="1">
        <f>-1*AC25</f>
        <v>40</v>
      </c>
      <c r="AR25" s="1">
        <f>(AN25+AM25+AL25+AK25+AJ25+AI25+AH25+AG25+AF25+AA25)*G25</f>
        <v>0</v>
      </c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42</v>
      </c>
      <c r="C26" s="1">
        <v>4127.884</v>
      </c>
      <c r="D26" s="1">
        <v>10801.566999999999</v>
      </c>
      <c r="E26" s="1">
        <v>6917.2039999999997</v>
      </c>
      <c r="F26" s="1">
        <v>6288.5929999999998</v>
      </c>
      <c r="G26" s="7">
        <v>1</v>
      </c>
      <c r="H26" s="1">
        <v>40</v>
      </c>
      <c r="I26" s="1" t="s">
        <v>189</v>
      </c>
      <c r="J26" s="1"/>
      <c r="K26" s="1">
        <v>8797.8269999999993</v>
      </c>
      <c r="L26" s="1">
        <f t="shared" si="2"/>
        <v>-1880.6229999999996</v>
      </c>
      <c r="M26" s="1">
        <f t="shared" si="3"/>
        <v>6358.0779999999995</v>
      </c>
      <c r="N26" s="1">
        <v>559.12599999999998</v>
      </c>
      <c r="O26" s="1"/>
      <c r="P26" s="1">
        <v>2697.241814681599</v>
      </c>
      <c r="Q26" s="1"/>
      <c r="R26" s="1">
        <v>2740.7457149184002</v>
      </c>
      <c r="S26" s="10"/>
      <c r="T26" s="1">
        <v>-2741</v>
      </c>
      <c r="U26" s="1"/>
      <c r="V26" s="1"/>
      <c r="W26" s="1">
        <v>-621</v>
      </c>
      <c r="X26" s="1">
        <v>613.95624799999973</v>
      </c>
      <c r="Y26" s="1">
        <v>500</v>
      </c>
      <c r="Z26" s="1"/>
      <c r="AA26" s="1">
        <f t="shared" si="4"/>
        <v>1271.6155999999999</v>
      </c>
      <c r="AB26" s="5">
        <f t="shared" ref="AB26:AB75" si="6">11*AA26-Z26-Y26-X26-W26-V26-U26-T26-R26-Q26-P26-O26-F26</f>
        <v>4509.2348223999988</v>
      </c>
      <c r="AC26" s="5"/>
      <c r="AD26" s="1">
        <f>(F26+O26+P26+Q26+R26+T26+U26+V26+W26+X26+Y26+Z26+AB26+AC26)/AA26</f>
        <v>11.000000000000002</v>
      </c>
      <c r="AE26" s="1">
        <f>(F26+O26+P26+Q26+R26+T26+U26+V26+W26+X26+Y26+Z26)/AA26</f>
        <v>7.4539324443644777</v>
      </c>
      <c r="AF26" s="1">
        <v>1208.7454</v>
      </c>
      <c r="AG26" s="1">
        <v>1373.8782000000001</v>
      </c>
      <c r="AH26" s="1">
        <v>1608.1394</v>
      </c>
      <c r="AI26" s="1">
        <v>1503.0753999999999</v>
      </c>
      <c r="AJ26" s="1">
        <v>1112.3946000000001</v>
      </c>
      <c r="AK26" s="1">
        <v>1252.3152</v>
      </c>
      <c r="AL26" s="1">
        <v>1806.3748000000001</v>
      </c>
      <c r="AM26" s="1">
        <v>1535.5788</v>
      </c>
      <c r="AN26" s="1">
        <v>1474.7154</v>
      </c>
      <c r="AO26" s="1"/>
      <c r="AP26" s="1">
        <f>G26*AB26</f>
        <v>4509.2348223999988</v>
      </c>
      <c r="AQ26" s="1">
        <f>-1*AC26*G26</f>
        <v>0</v>
      </c>
      <c r="AR26" s="1">
        <f>(AN26+AM26+AL26+AK26+AJ26+AI26+AH26+AG26+AF26+AA26)*G26</f>
        <v>14146.832799999998</v>
      </c>
      <c r="AS26" s="1">
        <f>(F26+S26+U26+O26)/AA26</f>
        <v>4.9453569144637743</v>
      </c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46</v>
      </c>
      <c r="C27" s="1">
        <v>4223</v>
      </c>
      <c r="D27" s="1">
        <v>4853</v>
      </c>
      <c r="E27" s="1">
        <v>2984</v>
      </c>
      <c r="F27" s="1">
        <v>5392</v>
      </c>
      <c r="G27" s="7">
        <v>0.4</v>
      </c>
      <c r="H27" s="1">
        <v>45</v>
      </c>
      <c r="I27" s="1" t="s">
        <v>189</v>
      </c>
      <c r="J27" s="1"/>
      <c r="K27" s="1">
        <v>4730</v>
      </c>
      <c r="L27" s="1">
        <f t="shared" si="2"/>
        <v>-1746</v>
      </c>
      <c r="M27" s="1">
        <f t="shared" si="3"/>
        <v>2924</v>
      </c>
      <c r="N27" s="1">
        <v>60</v>
      </c>
      <c r="O27" s="1"/>
      <c r="P27" s="1">
        <v>1015.896950679909</v>
      </c>
      <c r="Q27" s="1"/>
      <c r="R27" s="1">
        <v>1032.2823853682939</v>
      </c>
      <c r="S27" s="1">
        <f>VLOOKUP(A27,[1]TDSheet!$A:$B,2,0)</f>
        <v>1038</v>
      </c>
      <c r="T27" s="1"/>
      <c r="U27" s="1"/>
      <c r="V27" s="1"/>
      <c r="W27" s="1"/>
      <c r="X27" s="1">
        <v>824.21199999999953</v>
      </c>
      <c r="Y27" s="1"/>
      <c r="Z27" s="1">
        <v>500</v>
      </c>
      <c r="AA27" s="1">
        <f t="shared" si="4"/>
        <v>584.79999999999995</v>
      </c>
      <c r="AB27" s="5"/>
      <c r="AC27" s="5">
        <v>-2300</v>
      </c>
      <c r="AD27" s="1">
        <f>(F27+O27+P27+Q27+R27+T27+U27+V27+W27+X27+Y27+Z27+AB27+AC27)/AA27</f>
        <v>11.05402075247641</v>
      </c>
      <c r="AE27" s="1">
        <f>(F27+O27+P27+Q27+R27+T27+U27+V27+W27+X27+Y27+Z27)/AA27</f>
        <v>14.98698928872812</v>
      </c>
      <c r="AF27" s="1">
        <v>637.6</v>
      </c>
      <c r="AG27" s="1">
        <v>816</v>
      </c>
      <c r="AH27" s="1">
        <v>898.6</v>
      </c>
      <c r="AI27" s="1">
        <v>865</v>
      </c>
      <c r="AJ27" s="1">
        <v>794.6</v>
      </c>
      <c r="AK27" s="1">
        <v>770.4</v>
      </c>
      <c r="AL27" s="1">
        <v>777.8</v>
      </c>
      <c r="AM27" s="1">
        <v>836.4</v>
      </c>
      <c r="AN27" s="1">
        <v>934.6</v>
      </c>
      <c r="AO27" s="1"/>
      <c r="AP27" s="1">
        <f>G27*AB27</f>
        <v>0</v>
      </c>
      <c r="AQ27" s="1">
        <f>-1*AC27*G27</f>
        <v>920</v>
      </c>
      <c r="AR27" s="1">
        <f>(AN27+AM27+AL27+AK27+AJ27+AI27+AH27+AG27+AF27+AA27)*G27</f>
        <v>3166.3200000000006</v>
      </c>
      <c r="AS27" s="1">
        <f>(F27+S27+U27+O27)/AA27</f>
        <v>10.995212038303695</v>
      </c>
      <c r="AT27" s="1"/>
      <c r="AU27" s="1"/>
      <c r="AV27" s="1"/>
      <c r="AW27" s="1"/>
      <c r="AX27" s="1"/>
    </row>
    <row r="28" spans="1:50" x14ac:dyDescent="0.25">
      <c r="A28" s="1" t="s">
        <v>68</v>
      </c>
      <c r="B28" s="1" t="s">
        <v>46</v>
      </c>
      <c r="C28" s="1">
        <v>706.75</v>
      </c>
      <c r="D28" s="1">
        <v>2842.25</v>
      </c>
      <c r="E28" s="1">
        <v>591</v>
      </c>
      <c r="F28" s="1">
        <v>2854.75</v>
      </c>
      <c r="G28" s="7">
        <v>0.45</v>
      </c>
      <c r="H28" s="1">
        <v>50</v>
      </c>
      <c r="I28" s="21" t="s">
        <v>181</v>
      </c>
      <c r="J28" s="1"/>
      <c r="K28" s="1">
        <v>821</v>
      </c>
      <c r="L28" s="1">
        <f t="shared" si="2"/>
        <v>-230</v>
      </c>
      <c r="M28" s="1">
        <f t="shared" si="3"/>
        <v>591</v>
      </c>
      <c r="N28" s="1"/>
      <c r="O28" s="1"/>
      <c r="P28" s="1">
        <v>0</v>
      </c>
      <c r="Q28" s="1"/>
      <c r="R28" s="1"/>
      <c r="S28" s="10"/>
      <c r="T28" s="1"/>
      <c r="U28" s="1"/>
      <c r="V28" s="1"/>
      <c r="W28" s="1"/>
      <c r="X28" s="1">
        <v>0</v>
      </c>
      <c r="Y28" s="1"/>
      <c r="Z28" s="1"/>
      <c r="AA28" s="1">
        <f t="shared" si="4"/>
        <v>118.2</v>
      </c>
      <c r="AB28" s="5"/>
      <c r="AC28" s="5">
        <v>-1600</v>
      </c>
      <c r="AD28" s="1">
        <f>(F28+O28+P28+Q28+R28+T28+U28+V28+W28+X28+Y28+Z28+AB28+AC28)/AA28</f>
        <v>10.615482233502538</v>
      </c>
      <c r="AE28" s="1">
        <f>(F28+O28+P28+Q28+R28+T28+U28+V28+W28+X28+Y28+Z28)/AA28</f>
        <v>24.151861252115058</v>
      </c>
      <c r="AF28" s="1">
        <v>109.4</v>
      </c>
      <c r="AG28" s="1">
        <v>109.6</v>
      </c>
      <c r="AH28" s="1">
        <v>174.8</v>
      </c>
      <c r="AI28" s="1">
        <v>277.8</v>
      </c>
      <c r="AJ28" s="1">
        <v>284.8</v>
      </c>
      <c r="AK28" s="1">
        <v>208.4</v>
      </c>
      <c r="AL28" s="1">
        <v>87.4</v>
      </c>
      <c r="AM28" s="1">
        <v>111.2</v>
      </c>
      <c r="AN28" s="1">
        <v>94.2</v>
      </c>
      <c r="AO28" s="22" t="s">
        <v>182</v>
      </c>
      <c r="AP28" s="1">
        <f>G28*AB28</f>
        <v>0</v>
      </c>
      <c r="AQ28" s="1">
        <f>-1*AC28*G28</f>
        <v>720</v>
      </c>
      <c r="AR28" s="1">
        <f>(AN28+AM28+AL28+AK28+AJ28+AI28+AH28+AG28+AF28+AA28)*G28</f>
        <v>709.11</v>
      </c>
      <c r="AS28" s="1"/>
      <c r="AT28" s="1"/>
      <c r="AU28" s="1"/>
      <c r="AV28" s="1"/>
      <c r="AW28" s="1"/>
      <c r="AX28" s="1"/>
    </row>
    <row r="29" spans="1:50" x14ac:dyDescent="0.25">
      <c r="A29" s="1" t="s">
        <v>69</v>
      </c>
      <c r="B29" s="1" t="s">
        <v>46</v>
      </c>
      <c r="C29" s="1">
        <v>688</v>
      </c>
      <c r="D29" s="1">
        <v>1767</v>
      </c>
      <c r="E29" s="1">
        <v>738</v>
      </c>
      <c r="F29" s="1">
        <v>1423</v>
      </c>
      <c r="G29" s="7">
        <v>0.4</v>
      </c>
      <c r="H29" s="1">
        <v>45</v>
      </c>
      <c r="I29" s="1" t="s">
        <v>176</v>
      </c>
      <c r="J29" s="1"/>
      <c r="K29" s="1">
        <v>1414</v>
      </c>
      <c r="L29" s="1">
        <f t="shared" si="2"/>
        <v>-676</v>
      </c>
      <c r="M29" s="1">
        <f t="shared" si="3"/>
        <v>708</v>
      </c>
      <c r="N29" s="1">
        <v>30</v>
      </c>
      <c r="O29" s="1"/>
      <c r="P29" s="1">
        <v>286.83060425766388</v>
      </c>
      <c r="Q29" s="1"/>
      <c r="R29" s="1">
        <v>291.45690432633592</v>
      </c>
      <c r="S29" s="1">
        <f>VLOOKUP(A29,[1]TDSheet!$A:$B,2,0)</f>
        <v>294</v>
      </c>
      <c r="T29" s="1"/>
      <c r="U29" s="1"/>
      <c r="V29" s="1"/>
      <c r="W29" s="1"/>
      <c r="X29" s="1">
        <v>166.15400000000031</v>
      </c>
      <c r="Y29" s="1"/>
      <c r="Z29" s="1"/>
      <c r="AA29" s="1">
        <f t="shared" si="4"/>
        <v>141.6</v>
      </c>
      <c r="AB29" s="5"/>
      <c r="AC29" s="5">
        <v>-700</v>
      </c>
      <c r="AD29" s="1">
        <f>(F29+O29+P29+Q29+R29+T29+U29+V29+W29+X29+Y29+Z29+AB29+AC29)/AA29</f>
        <v>10.363287490000001</v>
      </c>
      <c r="AE29" s="1">
        <f>(F29+O29+P29+Q29+R29+T29+U29+V29+W29+X29+Y29+Z29)/AA29</f>
        <v>15.306790314858759</v>
      </c>
      <c r="AF29" s="1">
        <v>149</v>
      </c>
      <c r="AG29" s="1">
        <v>204.2</v>
      </c>
      <c r="AH29" s="1">
        <v>235.2</v>
      </c>
      <c r="AI29" s="1">
        <v>211</v>
      </c>
      <c r="AJ29" s="1">
        <v>165</v>
      </c>
      <c r="AK29" s="1">
        <v>174</v>
      </c>
      <c r="AL29" s="1">
        <v>215.2</v>
      </c>
      <c r="AM29" s="1">
        <v>201.2</v>
      </c>
      <c r="AN29" s="1">
        <v>198.2</v>
      </c>
      <c r="AO29" s="1"/>
      <c r="AP29" s="1">
        <f>G29*AB29</f>
        <v>0</v>
      </c>
      <c r="AQ29" s="1">
        <f>-1*AC29*G29</f>
        <v>280</v>
      </c>
      <c r="AR29" s="1">
        <f>(AN29+AM29+AL29+AK29+AJ29+AI29+AH29+AG29+AF29+AA29)*G29</f>
        <v>757.84</v>
      </c>
      <c r="AS29" s="1"/>
      <c r="AT29" s="1"/>
      <c r="AU29" s="1"/>
      <c r="AV29" s="1"/>
      <c r="AW29" s="1"/>
      <c r="AX29" s="1"/>
    </row>
    <row r="30" spans="1:50" x14ac:dyDescent="0.25">
      <c r="A30" s="1" t="s">
        <v>70</v>
      </c>
      <c r="B30" s="1" t="s">
        <v>46</v>
      </c>
      <c r="C30" s="1">
        <v>1140</v>
      </c>
      <c r="D30" s="1">
        <v>214</v>
      </c>
      <c r="E30" s="1">
        <v>422</v>
      </c>
      <c r="F30" s="1">
        <v>717</v>
      </c>
      <c r="G30" s="7">
        <v>0.4</v>
      </c>
      <c r="H30" s="1">
        <v>40</v>
      </c>
      <c r="I30" s="1" t="s">
        <v>176</v>
      </c>
      <c r="J30" s="1"/>
      <c r="K30" s="1">
        <v>706</v>
      </c>
      <c r="L30" s="1">
        <f t="shared" si="2"/>
        <v>-284</v>
      </c>
      <c r="M30" s="1">
        <f t="shared" si="3"/>
        <v>392</v>
      </c>
      <c r="N30" s="1">
        <v>30</v>
      </c>
      <c r="O30" s="1"/>
      <c r="P30" s="1">
        <v>0</v>
      </c>
      <c r="Q30" s="1"/>
      <c r="R30" s="1"/>
      <c r="S30" s="10"/>
      <c r="T30" s="1"/>
      <c r="U30" s="1"/>
      <c r="V30" s="1"/>
      <c r="W30" s="1">
        <v>-522</v>
      </c>
      <c r="X30" s="1">
        <v>517.19000000000005</v>
      </c>
      <c r="Y30" s="1"/>
      <c r="Z30" s="1"/>
      <c r="AA30" s="1">
        <f t="shared" si="4"/>
        <v>78.400000000000006</v>
      </c>
      <c r="AB30" s="5">
        <f t="shared" si="6"/>
        <v>150.21000000000004</v>
      </c>
      <c r="AC30" s="5"/>
      <c r="AD30" s="1">
        <f>(F30+O30+P30+Q30+R30+T30+U30+V30+W30+X30+Y30+Z30+AB30+AC30)/AA30</f>
        <v>11</v>
      </c>
      <c r="AE30" s="1">
        <f>(F30+O30+P30+Q30+R30+T30+U30+V30+W30+X30+Y30+Z30)/AA30</f>
        <v>9.0840561224489793</v>
      </c>
      <c r="AF30" s="1">
        <v>89</v>
      </c>
      <c r="AG30" s="1">
        <v>117.4</v>
      </c>
      <c r="AH30" s="1">
        <v>80.400000000000006</v>
      </c>
      <c r="AI30" s="1">
        <v>83.2</v>
      </c>
      <c r="AJ30" s="1">
        <v>136</v>
      </c>
      <c r="AK30" s="1">
        <v>101.6</v>
      </c>
      <c r="AL30" s="1">
        <v>63.2</v>
      </c>
      <c r="AM30" s="1">
        <v>73.2</v>
      </c>
      <c r="AN30" s="1">
        <v>81.8</v>
      </c>
      <c r="AO30" s="1"/>
      <c r="AP30" s="1">
        <f>G30*AB30</f>
        <v>60.084000000000017</v>
      </c>
      <c r="AQ30" s="1">
        <f>-1*AC30*G30</f>
        <v>0</v>
      </c>
      <c r="AR30" s="1">
        <f>(AN30+AM30+AL30+AK30+AJ30+AI30+AH30+AG30+AF30+AA30)*G30</f>
        <v>361.68</v>
      </c>
      <c r="AS30" s="1"/>
      <c r="AT30" s="1"/>
      <c r="AU30" s="1"/>
      <c r="AV30" s="1"/>
      <c r="AW30" s="1"/>
      <c r="AX30" s="1"/>
    </row>
    <row r="31" spans="1:50" x14ac:dyDescent="0.25">
      <c r="A31" s="1" t="s">
        <v>71</v>
      </c>
      <c r="B31" s="1" t="s">
        <v>46</v>
      </c>
      <c r="C31" s="1">
        <v>274</v>
      </c>
      <c r="D31" s="1">
        <v>192</v>
      </c>
      <c r="E31" s="1">
        <v>200</v>
      </c>
      <c r="F31" s="1">
        <v>250</v>
      </c>
      <c r="G31" s="7">
        <v>0.1</v>
      </c>
      <c r="H31" s="1">
        <v>731</v>
      </c>
      <c r="I31" s="1" t="s">
        <v>176</v>
      </c>
      <c r="J31" s="1"/>
      <c r="K31" s="1">
        <v>259</v>
      </c>
      <c r="L31" s="1">
        <f t="shared" si="2"/>
        <v>-59</v>
      </c>
      <c r="M31" s="1">
        <f t="shared" si="3"/>
        <v>200</v>
      </c>
      <c r="N31" s="1"/>
      <c r="O31" s="1"/>
      <c r="P31" s="1">
        <v>14</v>
      </c>
      <c r="Q31" s="1"/>
      <c r="R31" s="1"/>
      <c r="S31" s="10"/>
      <c r="T31" s="1"/>
      <c r="U31" s="1"/>
      <c r="V31" s="1"/>
      <c r="W31" s="1"/>
      <c r="X31" s="1">
        <v>236</v>
      </c>
      <c r="Y31" s="1"/>
      <c r="Z31" s="1"/>
      <c r="AA31" s="1">
        <f t="shared" si="4"/>
        <v>40</v>
      </c>
      <c r="AB31" s="5"/>
      <c r="AC31" s="5"/>
      <c r="AD31" s="1">
        <f>(F31+O31+P31+Q31+R31+T31+U31+V31+W31+X31+Y31+Z31+AB31+AC31)/AA31</f>
        <v>12.5</v>
      </c>
      <c r="AE31" s="1">
        <f>(F31+O31+P31+Q31+R31+T31+U31+V31+W31+X31+Y31+Z31)/AA31</f>
        <v>12.5</v>
      </c>
      <c r="AF31" s="1">
        <v>46</v>
      </c>
      <c r="AG31" s="1">
        <v>46</v>
      </c>
      <c r="AH31" s="1">
        <v>42</v>
      </c>
      <c r="AI31" s="1">
        <v>46</v>
      </c>
      <c r="AJ31" s="1">
        <v>39</v>
      </c>
      <c r="AK31" s="1">
        <v>48.2</v>
      </c>
      <c r="AL31" s="1">
        <v>46.8</v>
      </c>
      <c r="AM31" s="1">
        <v>41.2</v>
      </c>
      <c r="AN31" s="1">
        <v>42.4</v>
      </c>
      <c r="AO31" s="1"/>
      <c r="AP31" s="1">
        <f>G31*AB31</f>
        <v>0</v>
      </c>
      <c r="AQ31" s="1">
        <f>-1*AC31*G31</f>
        <v>0</v>
      </c>
      <c r="AR31" s="1">
        <f>(AN31+AM31+AL31+AK31+AJ31+AI31+AH31+AG31+AF31+AA31)*G31</f>
        <v>43.76</v>
      </c>
      <c r="AS31" s="1"/>
      <c r="AT31" s="1"/>
      <c r="AU31" s="1"/>
      <c r="AV31" s="1"/>
      <c r="AW31" s="1"/>
      <c r="AX31" s="1"/>
    </row>
    <row r="32" spans="1:50" x14ac:dyDescent="0.25">
      <c r="A32" s="1" t="s">
        <v>72</v>
      </c>
      <c r="B32" s="1" t="s">
        <v>46</v>
      </c>
      <c r="C32" s="1">
        <v>9</v>
      </c>
      <c r="D32" s="1">
        <v>191</v>
      </c>
      <c r="E32" s="1">
        <v>19</v>
      </c>
      <c r="F32" s="1">
        <v>175</v>
      </c>
      <c r="G32" s="7">
        <v>0.35</v>
      </c>
      <c r="H32" s="1">
        <v>40</v>
      </c>
      <c r="I32" s="1" t="s">
        <v>176</v>
      </c>
      <c r="J32" s="1"/>
      <c r="K32" s="1">
        <v>90</v>
      </c>
      <c r="L32" s="1">
        <f t="shared" si="2"/>
        <v>-71</v>
      </c>
      <c r="M32" s="1">
        <f t="shared" si="3"/>
        <v>19</v>
      </c>
      <c r="N32" s="1"/>
      <c r="O32" s="1"/>
      <c r="P32" s="1">
        <v>118</v>
      </c>
      <c r="Q32" s="1"/>
      <c r="R32" s="1"/>
      <c r="S32" s="10"/>
      <c r="T32" s="1"/>
      <c r="U32" s="1"/>
      <c r="V32" s="1"/>
      <c r="W32" s="1"/>
      <c r="X32" s="1">
        <v>0</v>
      </c>
      <c r="Y32" s="1"/>
      <c r="Z32" s="1"/>
      <c r="AA32" s="1">
        <f t="shared" si="4"/>
        <v>3.8</v>
      </c>
      <c r="AB32" s="5"/>
      <c r="AC32" s="5">
        <v>-150</v>
      </c>
      <c r="AD32" s="1">
        <f>(F32+O32+P32+Q32+R32+T32+U32+V32+W32+X32+Y32+Z32+AB32+AC32)/AA32</f>
        <v>37.631578947368425</v>
      </c>
      <c r="AE32" s="1">
        <f>(F32+O32+P32+Q32+R32+T32+U32+V32+W32+X32+Y32+Z32)/AA32</f>
        <v>77.10526315789474</v>
      </c>
      <c r="AF32" s="1">
        <v>4.8</v>
      </c>
      <c r="AG32" s="1">
        <v>13</v>
      </c>
      <c r="AH32" s="1">
        <v>28.4</v>
      </c>
      <c r="AI32" s="1">
        <v>24.2</v>
      </c>
      <c r="AJ32" s="1">
        <v>16.399999999999999</v>
      </c>
      <c r="AK32" s="1">
        <v>18.399999999999999</v>
      </c>
      <c r="AL32" s="1">
        <v>15.6</v>
      </c>
      <c r="AM32" s="1">
        <v>17.2</v>
      </c>
      <c r="AN32" s="1">
        <v>15</v>
      </c>
      <c r="AO32" s="1"/>
      <c r="AP32" s="1">
        <f>G32*AB32</f>
        <v>0</v>
      </c>
      <c r="AQ32" s="1">
        <f>-1*AC32*G32</f>
        <v>52.5</v>
      </c>
      <c r="AR32" s="1">
        <f>(AN32+AM32+AL32+AK32+AJ32+AI32+AH32+AG32+AF32+AA32)*G32</f>
        <v>54.88</v>
      </c>
      <c r="AS32" s="1"/>
      <c r="AT32" s="1"/>
      <c r="AU32" s="1"/>
      <c r="AV32" s="1"/>
      <c r="AW32" s="1"/>
      <c r="AX32" s="1"/>
    </row>
    <row r="33" spans="1:50" x14ac:dyDescent="0.25">
      <c r="A33" s="1" t="s">
        <v>73</v>
      </c>
      <c r="B33" s="1" t="s">
        <v>42</v>
      </c>
      <c r="C33" s="1">
        <v>23.462</v>
      </c>
      <c r="D33" s="1">
        <v>23.071999999999999</v>
      </c>
      <c r="E33" s="1">
        <v>16.497</v>
      </c>
      <c r="F33" s="1">
        <v>27.550999999999998</v>
      </c>
      <c r="G33" s="7">
        <v>1</v>
      </c>
      <c r="H33" s="1">
        <v>40</v>
      </c>
      <c r="I33" s="1" t="s">
        <v>176</v>
      </c>
      <c r="J33" s="1"/>
      <c r="K33" s="1">
        <v>21.6</v>
      </c>
      <c r="L33" s="1">
        <f t="shared" si="2"/>
        <v>-5.1030000000000015</v>
      </c>
      <c r="M33" s="1">
        <f t="shared" si="3"/>
        <v>16.497</v>
      </c>
      <c r="N33" s="1"/>
      <c r="O33" s="1"/>
      <c r="P33" s="1">
        <v>0</v>
      </c>
      <c r="Q33" s="1"/>
      <c r="R33" s="1"/>
      <c r="S33" s="10"/>
      <c r="T33" s="1"/>
      <c r="U33" s="1"/>
      <c r="V33" s="1"/>
      <c r="W33" s="1"/>
      <c r="X33" s="1">
        <v>0</v>
      </c>
      <c r="Y33" s="1"/>
      <c r="Z33" s="1"/>
      <c r="AA33" s="1">
        <f t="shared" si="4"/>
        <v>3.2993999999999999</v>
      </c>
      <c r="AB33" s="5">
        <f t="shared" si="6"/>
        <v>8.7423999999999999</v>
      </c>
      <c r="AC33" s="5"/>
      <c r="AD33" s="1">
        <f>(F33+O33+P33+Q33+R33+T33+U33+V33+W33+X33+Y33+Z33+AB33+AC33)/AA33</f>
        <v>11</v>
      </c>
      <c r="AE33" s="1">
        <f>(F33+O33+P33+Q33+R33+T33+U33+V33+W33+X33+Y33+Z33)/AA33</f>
        <v>8.3503061162635621</v>
      </c>
      <c r="AF33" s="1">
        <v>1.956</v>
      </c>
      <c r="AG33" s="1">
        <v>1.4396</v>
      </c>
      <c r="AH33" s="1">
        <v>2.4447999999999999</v>
      </c>
      <c r="AI33" s="1">
        <v>3.2065999999999999</v>
      </c>
      <c r="AJ33" s="1">
        <v>2.0581999999999998</v>
      </c>
      <c r="AK33" s="1">
        <v>2.5327999999999999</v>
      </c>
      <c r="AL33" s="1">
        <v>3.35</v>
      </c>
      <c r="AM33" s="1">
        <v>4.3372000000000002</v>
      </c>
      <c r="AN33" s="1">
        <v>4.6543999999999999</v>
      </c>
      <c r="AO33" s="1"/>
      <c r="AP33" s="1">
        <f>G33*AB33</f>
        <v>8.7423999999999999</v>
      </c>
      <c r="AQ33" s="1">
        <f>-1*AC33*G33</f>
        <v>0</v>
      </c>
      <c r="AR33" s="1">
        <f>(AN33+AM33+AL33+AK33+AJ33+AI33+AH33+AG33+AF33+AA33)*G33</f>
        <v>29.279</v>
      </c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46</v>
      </c>
      <c r="C34" s="1">
        <v>1</v>
      </c>
      <c r="D34" s="1">
        <v>2</v>
      </c>
      <c r="E34" s="1">
        <v>-5</v>
      </c>
      <c r="F34" s="1">
        <v>-1</v>
      </c>
      <c r="G34" s="7">
        <v>0.4</v>
      </c>
      <c r="H34" s="1">
        <v>40</v>
      </c>
      <c r="I34" s="1" t="s">
        <v>176</v>
      </c>
      <c r="J34" s="1"/>
      <c r="K34" s="1">
        <v>289</v>
      </c>
      <c r="L34" s="1">
        <f t="shared" si="2"/>
        <v>-294</v>
      </c>
      <c r="M34" s="1">
        <f t="shared" si="3"/>
        <v>-5</v>
      </c>
      <c r="N34" s="1"/>
      <c r="O34" s="1"/>
      <c r="P34" s="1">
        <v>300</v>
      </c>
      <c r="Q34" s="1"/>
      <c r="R34" s="1"/>
      <c r="S34" s="10"/>
      <c r="T34" s="1"/>
      <c r="U34" s="1"/>
      <c r="V34" s="1"/>
      <c r="W34" s="1">
        <v>-204</v>
      </c>
      <c r="X34" s="1">
        <v>200</v>
      </c>
      <c r="Y34" s="1"/>
      <c r="Z34" s="1"/>
      <c r="AA34" s="1">
        <f t="shared" si="4"/>
        <v>-1</v>
      </c>
      <c r="AB34" s="5"/>
      <c r="AC34" s="5"/>
      <c r="AD34" s="1">
        <f>(F34+O34+P34+Q34+R34+T34+U34+V34+W34+X34+Y34+Z34+AB34+AC34)/AA34</f>
        <v>-295</v>
      </c>
      <c r="AE34" s="1">
        <f>(F34+O34+P34+Q34+R34+T34+U34+V34+W34+X34+Y34+Z34)/AA34</f>
        <v>-295</v>
      </c>
      <c r="AF34" s="1">
        <v>-1.2</v>
      </c>
      <c r="AG34" s="1">
        <v>-1</v>
      </c>
      <c r="AH34" s="1">
        <v>-1</v>
      </c>
      <c r="AI34" s="1">
        <v>12</v>
      </c>
      <c r="AJ34" s="1">
        <v>65.400000000000006</v>
      </c>
      <c r="AK34" s="1">
        <v>80.2</v>
      </c>
      <c r="AL34" s="1">
        <v>44.4</v>
      </c>
      <c r="AM34" s="1">
        <v>31.2</v>
      </c>
      <c r="AN34" s="1">
        <v>40.4</v>
      </c>
      <c r="AO34" s="1"/>
      <c r="AP34" s="1">
        <f>G34*AB34</f>
        <v>0</v>
      </c>
      <c r="AQ34" s="1">
        <f>-1*AC34*G34</f>
        <v>0</v>
      </c>
      <c r="AR34" s="1">
        <f>(AN34+AM34+AL34+AK34+AJ34+AI34+AH34+AG34+AF34+AA34)*G34</f>
        <v>107.76000000000002</v>
      </c>
      <c r="AS34" s="1"/>
      <c r="AT34" s="1"/>
      <c r="AU34" s="1"/>
      <c r="AV34" s="1"/>
      <c r="AW34" s="1"/>
      <c r="AX34" s="1"/>
    </row>
    <row r="35" spans="1:50" x14ac:dyDescent="0.25">
      <c r="A35" s="1" t="s">
        <v>76</v>
      </c>
      <c r="B35" s="1" t="s">
        <v>46</v>
      </c>
      <c r="C35" s="1">
        <v>225</v>
      </c>
      <c r="D35" s="1">
        <v>392</v>
      </c>
      <c r="E35" s="1">
        <v>204</v>
      </c>
      <c r="F35" s="1">
        <v>383</v>
      </c>
      <c r="G35" s="7">
        <v>0.4</v>
      </c>
      <c r="H35" s="1">
        <v>45</v>
      </c>
      <c r="I35" s="1" t="s">
        <v>176</v>
      </c>
      <c r="J35" s="1"/>
      <c r="K35" s="1">
        <v>348</v>
      </c>
      <c r="L35" s="1">
        <f t="shared" si="2"/>
        <v>-144</v>
      </c>
      <c r="M35" s="1">
        <f t="shared" si="3"/>
        <v>204</v>
      </c>
      <c r="N35" s="1"/>
      <c r="O35" s="1"/>
      <c r="P35" s="1">
        <v>0</v>
      </c>
      <c r="Q35" s="1"/>
      <c r="R35" s="1"/>
      <c r="S35" s="10"/>
      <c r="T35" s="1"/>
      <c r="U35" s="1"/>
      <c r="V35" s="1"/>
      <c r="W35" s="1">
        <v>-234</v>
      </c>
      <c r="X35" s="1">
        <v>232.7</v>
      </c>
      <c r="Y35" s="1"/>
      <c r="Z35" s="1"/>
      <c r="AA35" s="1">
        <f t="shared" si="4"/>
        <v>40.799999999999997</v>
      </c>
      <c r="AB35" s="5">
        <f t="shared" si="6"/>
        <v>67.099999999999966</v>
      </c>
      <c r="AC35" s="5"/>
      <c r="AD35" s="1">
        <f>(F35+O35+P35+Q35+R35+T35+U35+V35+W35+X35+Y35+Z35+AB35+AC35)/AA35</f>
        <v>11</v>
      </c>
      <c r="AE35" s="1">
        <f>(F35+O35+P35+Q35+R35+T35+U35+V35+W35+X35+Y35+Z35)/AA35</f>
        <v>9.3553921568627452</v>
      </c>
      <c r="AF35" s="1">
        <v>47</v>
      </c>
      <c r="AG35" s="1">
        <v>52.2</v>
      </c>
      <c r="AH35" s="1">
        <v>48.4</v>
      </c>
      <c r="AI35" s="1">
        <v>56.4</v>
      </c>
      <c r="AJ35" s="1">
        <v>42</v>
      </c>
      <c r="AK35" s="1">
        <v>27.6</v>
      </c>
      <c r="AL35" s="1">
        <v>34.799999999999997</v>
      </c>
      <c r="AM35" s="1">
        <v>54.8</v>
      </c>
      <c r="AN35" s="1">
        <v>53.6</v>
      </c>
      <c r="AO35" s="1"/>
      <c r="AP35" s="1">
        <f>G35*AB35</f>
        <v>26.839999999999989</v>
      </c>
      <c r="AQ35" s="1">
        <f>-1*AC35*G35</f>
        <v>0</v>
      </c>
      <c r="AR35" s="1">
        <f>(AN35+AM35+AL35+AK35+AJ35+AI35+AH35+AG35+AF35+AA35)*G35</f>
        <v>183.04</v>
      </c>
      <c r="AS35" s="1"/>
      <c r="AT35" s="1"/>
      <c r="AU35" s="1"/>
      <c r="AV35" s="1"/>
      <c r="AW35" s="1"/>
      <c r="AX35" s="1"/>
    </row>
    <row r="36" spans="1:50" x14ac:dyDescent="0.25">
      <c r="A36" s="1" t="s">
        <v>77</v>
      </c>
      <c r="B36" s="1" t="s">
        <v>42</v>
      </c>
      <c r="C36" s="1">
        <v>42.332000000000001</v>
      </c>
      <c r="D36" s="1">
        <v>2.5059999999999998</v>
      </c>
      <c r="E36" s="1">
        <v>19.556999999999999</v>
      </c>
      <c r="F36" s="1">
        <v>22.774999999999999</v>
      </c>
      <c r="G36" s="7">
        <v>1</v>
      </c>
      <c r="H36" s="1">
        <v>40</v>
      </c>
      <c r="I36" s="1" t="s">
        <v>176</v>
      </c>
      <c r="J36" s="1"/>
      <c r="K36" s="1">
        <v>28.6</v>
      </c>
      <c r="L36" s="1">
        <f t="shared" si="2"/>
        <v>-9.0430000000000028</v>
      </c>
      <c r="M36" s="1">
        <f t="shared" si="3"/>
        <v>19.556999999999999</v>
      </c>
      <c r="N36" s="1"/>
      <c r="O36" s="1"/>
      <c r="P36" s="1">
        <v>18.178999999999991</v>
      </c>
      <c r="Q36" s="1"/>
      <c r="R36" s="1"/>
      <c r="S36" s="10"/>
      <c r="T36" s="1"/>
      <c r="U36" s="1"/>
      <c r="V36" s="1"/>
      <c r="W36" s="1"/>
      <c r="X36" s="1">
        <v>13.53950000000002</v>
      </c>
      <c r="Y36" s="1"/>
      <c r="Z36" s="1"/>
      <c r="AA36" s="1">
        <f t="shared" si="4"/>
        <v>3.9113999999999995</v>
      </c>
      <c r="AB36" s="5"/>
      <c r="AC36" s="5"/>
      <c r="AD36" s="1">
        <f>(F36+O36+P36+Q36+R36+T36+U36+V36+W36+X36+Y36+Z36+AB36+AC36)/AA36</f>
        <v>13.931968093265843</v>
      </c>
      <c r="AE36" s="1">
        <f>(F36+O36+P36+Q36+R36+T36+U36+V36+W36+X36+Y36+Z36)/AA36</f>
        <v>13.931968093265843</v>
      </c>
      <c r="AF36" s="1">
        <v>4.0561999999999996</v>
      </c>
      <c r="AG36" s="1">
        <v>5.2270000000000003</v>
      </c>
      <c r="AH36" s="1">
        <v>5.5009999999999986</v>
      </c>
      <c r="AI36" s="1">
        <v>4.4914000000000014</v>
      </c>
      <c r="AJ36" s="1">
        <v>6.1063999999999998</v>
      </c>
      <c r="AK36" s="1">
        <v>6.3879999999999999</v>
      </c>
      <c r="AL36" s="1">
        <v>3.4708000000000001</v>
      </c>
      <c r="AM36" s="1">
        <v>4.7606000000000002</v>
      </c>
      <c r="AN36" s="1">
        <v>6.7906000000000004</v>
      </c>
      <c r="AO36" s="1"/>
      <c r="AP36" s="1">
        <f>G36*AB36</f>
        <v>0</v>
      </c>
      <c r="AQ36" s="1">
        <f>-1*AC36*G36</f>
        <v>0</v>
      </c>
      <c r="AR36" s="1">
        <f>(AN36+AM36+AL36+AK36+AJ36+AI36+AH36+AG36+AF36+AA36)*G36</f>
        <v>50.703399999999995</v>
      </c>
      <c r="AS36" s="1"/>
      <c r="AT36" s="1"/>
      <c r="AU36" s="1"/>
      <c r="AV36" s="1"/>
      <c r="AW36" s="1"/>
      <c r="AX36" s="1"/>
    </row>
    <row r="37" spans="1:50" x14ac:dyDescent="0.25">
      <c r="A37" s="1" t="s">
        <v>78</v>
      </c>
      <c r="B37" s="1" t="s">
        <v>46</v>
      </c>
      <c r="C37" s="1">
        <v>808</v>
      </c>
      <c r="D37" s="1">
        <v>67</v>
      </c>
      <c r="E37" s="1">
        <v>404</v>
      </c>
      <c r="F37" s="1">
        <v>399</v>
      </c>
      <c r="G37" s="7">
        <v>0.35</v>
      </c>
      <c r="H37" s="1">
        <v>40</v>
      </c>
      <c r="I37" s="21" t="s">
        <v>181</v>
      </c>
      <c r="J37" s="1"/>
      <c r="K37" s="1">
        <v>895</v>
      </c>
      <c r="L37" s="1">
        <f t="shared" si="2"/>
        <v>-491</v>
      </c>
      <c r="M37" s="1">
        <f t="shared" si="3"/>
        <v>404</v>
      </c>
      <c r="N37" s="1"/>
      <c r="O37" s="1"/>
      <c r="P37" s="1">
        <v>200</v>
      </c>
      <c r="Q37" s="1"/>
      <c r="R37" s="1"/>
      <c r="S37" s="10"/>
      <c r="T37" s="1"/>
      <c r="U37" s="1"/>
      <c r="V37" s="1"/>
      <c r="W37" s="1"/>
      <c r="X37" s="1">
        <v>490.5</v>
      </c>
      <c r="Y37" s="1"/>
      <c r="Z37" s="1"/>
      <c r="AA37" s="1">
        <f t="shared" si="4"/>
        <v>80.8</v>
      </c>
      <c r="AB37" s="5"/>
      <c r="AC37" s="5"/>
      <c r="AD37" s="1">
        <f>(F37+O37+P37+Q37+R37+T37+U37+V37+W37+X37+Y37+Z37+AB37+AC37)/AA37</f>
        <v>13.48391089108911</v>
      </c>
      <c r="AE37" s="1">
        <f>(F37+O37+P37+Q37+R37+T37+U37+V37+W37+X37+Y37+Z37)/AA37</f>
        <v>13.48391089108911</v>
      </c>
      <c r="AF37" s="1">
        <v>89.4</v>
      </c>
      <c r="AG37" s="1">
        <v>110</v>
      </c>
      <c r="AH37" s="1">
        <v>269.2</v>
      </c>
      <c r="AI37" s="1">
        <v>266.39999999999998</v>
      </c>
      <c r="AJ37" s="1">
        <v>466.2</v>
      </c>
      <c r="AK37" s="1">
        <v>465.2</v>
      </c>
      <c r="AL37" s="1">
        <v>121.2</v>
      </c>
      <c r="AM37" s="1">
        <v>128.6</v>
      </c>
      <c r="AN37" s="1">
        <v>118</v>
      </c>
      <c r="AO37" s="1" t="s">
        <v>79</v>
      </c>
      <c r="AP37" s="1">
        <f>G37*AB37</f>
        <v>0</v>
      </c>
      <c r="AQ37" s="1">
        <f>-1*AC37*G37</f>
        <v>0</v>
      </c>
      <c r="AR37" s="1">
        <f>(AN37+AM37+AL37+AK37+AJ37+AI37+AH37+AG37+AF37+AA37)*G37</f>
        <v>740.25</v>
      </c>
      <c r="AS37" s="1"/>
      <c r="AT37" s="1"/>
      <c r="AU37" s="1"/>
      <c r="AV37" s="1"/>
      <c r="AW37" s="1"/>
      <c r="AX37" s="1"/>
    </row>
    <row r="38" spans="1:50" x14ac:dyDescent="0.25">
      <c r="A38" s="1" t="s">
        <v>80</v>
      </c>
      <c r="B38" s="1" t="s">
        <v>46</v>
      </c>
      <c r="C38" s="1">
        <v>349</v>
      </c>
      <c r="D38" s="1">
        <v>67</v>
      </c>
      <c r="E38" s="1">
        <v>305</v>
      </c>
      <c r="F38" s="1">
        <v>41</v>
      </c>
      <c r="G38" s="7">
        <v>0.4</v>
      </c>
      <c r="H38" s="1">
        <v>40</v>
      </c>
      <c r="I38" s="1" t="s">
        <v>176</v>
      </c>
      <c r="J38" s="1"/>
      <c r="K38" s="1">
        <v>561</v>
      </c>
      <c r="L38" s="1">
        <f t="shared" ref="L38:L69" si="7">E38-K38</f>
        <v>-256</v>
      </c>
      <c r="M38" s="1">
        <f t="shared" si="3"/>
        <v>305</v>
      </c>
      <c r="N38" s="1"/>
      <c r="O38" s="1"/>
      <c r="P38" s="1">
        <v>251.6</v>
      </c>
      <c r="Q38" s="1"/>
      <c r="R38" s="1"/>
      <c r="S38" s="10"/>
      <c r="T38" s="1"/>
      <c r="U38" s="1"/>
      <c r="V38" s="1"/>
      <c r="W38" s="1"/>
      <c r="X38" s="1">
        <v>501.4</v>
      </c>
      <c r="Y38" s="1"/>
      <c r="Z38" s="1"/>
      <c r="AA38" s="1">
        <f t="shared" si="4"/>
        <v>61</v>
      </c>
      <c r="AB38" s="5"/>
      <c r="AC38" s="5"/>
      <c r="AD38" s="1">
        <f>(F38+O38+P38+Q38+R38+T38+U38+V38+W38+X38+Y38+Z38+AB38+AC38)/AA38</f>
        <v>13.016393442622951</v>
      </c>
      <c r="AE38" s="1">
        <f>(F38+O38+P38+Q38+R38+T38+U38+V38+W38+X38+Y38+Z38)/AA38</f>
        <v>13.016393442622951</v>
      </c>
      <c r="AF38" s="1">
        <v>63.8</v>
      </c>
      <c r="AG38" s="1">
        <v>76</v>
      </c>
      <c r="AH38" s="1">
        <v>54.6</v>
      </c>
      <c r="AI38" s="1">
        <v>57.4</v>
      </c>
      <c r="AJ38" s="1">
        <v>95.4</v>
      </c>
      <c r="AK38" s="1">
        <v>87.2</v>
      </c>
      <c r="AL38" s="1">
        <v>75.599999999999994</v>
      </c>
      <c r="AM38" s="1">
        <v>88.2</v>
      </c>
      <c r="AN38" s="1">
        <v>91.4</v>
      </c>
      <c r="AO38" s="1"/>
      <c r="AP38" s="1">
        <f>G38*AB38</f>
        <v>0</v>
      </c>
      <c r="AQ38" s="1">
        <f>-1*AC38*G38</f>
        <v>0</v>
      </c>
      <c r="AR38" s="1">
        <f>(AN38+AM38+AL38+AK38+AJ38+AI38+AH38+AG38+AF38+AA38)*G38</f>
        <v>300.24</v>
      </c>
      <c r="AS38" s="1"/>
      <c r="AT38" s="1"/>
      <c r="AU38" s="1"/>
      <c r="AV38" s="1"/>
      <c r="AW38" s="1"/>
      <c r="AX38" s="1"/>
    </row>
    <row r="39" spans="1:50" x14ac:dyDescent="0.25">
      <c r="A39" s="1" t="s">
        <v>81</v>
      </c>
      <c r="B39" s="1" t="s">
        <v>42</v>
      </c>
      <c r="C39" s="1">
        <v>212.47</v>
      </c>
      <c r="D39" s="1">
        <v>14.754</v>
      </c>
      <c r="E39" s="1">
        <v>79.418999999999997</v>
      </c>
      <c r="F39" s="1">
        <v>134.40100000000001</v>
      </c>
      <c r="G39" s="7">
        <v>1</v>
      </c>
      <c r="H39" s="1">
        <v>50</v>
      </c>
      <c r="I39" s="1" t="s">
        <v>176</v>
      </c>
      <c r="J39" s="1"/>
      <c r="K39" s="1">
        <v>144.69999999999999</v>
      </c>
      <c r="L39" s="1">
        <f t="shared" si="7"/>
        <v>-65.280999999999992</v>
      </c>
      <c r="M39" s="1">
        <f t="shared" si="3"/>
        <v>79.418999999999997</v>
      </c>
      <c r="N39" s="1"/>
      <c r="O39" s="1"/>
      <c r="P39" s="1">
        <v>16.167200000000008</v>
      </c>
      <c r="Q39" s="1"/>
      <c r="R39" s="1"/>
      <c r="S39" s="10"/>
      <c r="T39" s="1"/>
      <c r="U39" s="1"/>
      <c r="V39" s="1"/>
      <c r="W39" s="1"/>
      <c r="X39" s="1">
        <v>79.456299999999999</v>
      </c>
      <c r="Y39" s="1"/>
      <c r="Z39" s="1"/>
      <c r="AA39" s="1">
        <f t="shared" si="4"/>
        <v>15.883799999999999</v>
      </c>
      <c r="AB39" s="5"/>
      <c r="AC39" s="5">
        <f>(AE39-$AB$1)*AA39*(-1)</f>
        <v>-47.36080000000004</v>
      </c>
      <c r="AD39" s="1">
        <f>(F39+O39+P39+Q39+R39+T39+U39+V39+W39+X39+Y39+Z39+AB39+AC39)/AA39</f>
        <v>11.5</v>
      </c>
      <c r="AE39" s="1">
        <f>(F39+O39+P39+Q39+R39+T39+U39+V39+W39+X39+Y39+Z39)/AA39</f>
        <v>14.481704629874466</v>
      </c>
      <c r="AF39" s="1">
        <v>16.6876</v>
      </c>
      <c r="AG39" s="1">
        <v>20.451000000000001</v>
      </c>
      <c r="AH39" s="1">
        <v>20.7852</v>
      </c>
      <c r="AI39" s="1">
        <v>18.385200000000001</v>
      </c>
      <c r="AJ39" s="1">
        <v>26.343</v>
      </c>
      <c r="AK39" s="1">
        <v>19.9468</v>
      </c>
      <c r="AL39" s="1">
        <v>21.797999999999998</v>
      </c>
      <c r="AM39" s="1">
        <v>22.839600000000001</v>
      </c>
      <c r="AN39" s="1">
        <v>22.878599999999999</v>
      </c>
      <c r="AO39" s="1"/>
      <c r="AP39" s="1">
        <f>G39*AB39</f>
        <v>0</v>
      </c>
      <c r="AQ39" s="1">
        <f>-1*AC39*G39</f>
        <v>47.36080000000004</v>
      </c>
      <c r="AR39" s="1">
        <f>(AN39+AM39+AL39+AK39+AJ39+AI39+AH39+AG39+AF39+AA39)*G39</f>
        <v>205.99880000000002</v>
      </c>
      <c r="AS39" s="1"/>
      <c r="AT39" s="1"/>
      <c r="AU39" s="1"/>
      <c r="AV39" s="1"/>
      <c r="AW39" s="1"/>
      <c r="AX39" s="1"/>
    </row>
    <row r="40" spans="1:50" x14ac:dyDescent="0.25">
      <c r="A40" s="1" t="s">
        <v>82</v>
      </c>
      <c r="B40" s="1" t="s">
        <v>42</v>
      </c>
      <c r="C40" s="1">
        <v>605.51300000000003</v>
      </c>
      <c r="D40" s="1">
        <v>98.021000000000001</v>
      </c>
      <c r="E40" s="1">
        <v>542.19500000000005</v>
      </c>
      <c r="F40" s="1">
        <v>116.514</v>
      </c>
      <c r="G40" s="7">
        <v>1</v>
      </c>
      <c r="H40" s="1">
        <v>50</v>
      </c>
      <c r="I40" s="1" t="s">
        <v>176</v>
      </c>
      <c r="J40" s="1"/>
      <c r="K40" s="1">
        <v>825.3</v>
      </c>
      <c r="L40" s="1">
        <f t="shared" si="7"/>
        <v>-283.1049999999999</v>
      </c>
      <c r="M40" s="1">
        <f t="shared" si="3"/>
        <v>488.35900000000004</v>
      </c>
      <c r="N40" s="1">
        <v>53.835999999999999</v>
      </c>
      <c r="O40" s="1"/>
      <c r="P40" s="1">
        <v>279.68899999999991</v>
      </c>
      <c r="Q40" s="1"/>
      <c r="R40" s="1"/>
      <c r="S40" s="10"/>
      <c r="T40" s="1"/>
      <c r="U40" s="14">
        <v>300</v>
      </c>
      <c r="V40" s="1">
        <v>100</v>
      </c>
      <c r="W40" s="1"/>
      <c r="X40" s="1">
        <v>192.2442999999999</v>
      </c>
      <c r="Y40" s="1"/>
      <c r="Z40" s="1"/>
      <c r="AA40" s="1">
        <f t="shared" si="4"/>
        <v>97.671800000000005</v>
      </c>
      <c r="AB40" s="5">
        <f t="shared" si="6"/>
        <v>85.942500000000408</v>
      </c>
      <c r="AC40" s="5"/>
      <c r="AD40" s="1">
        <f>(F40+O40+P40+Q40+R40+T40+U40+V40+W40+X40+Y40+Z40+AB40+AC40)/AA40</f>
        <v>11.000000000000002</v>
      </c>
      <c r="AE40" s="1">
        <f>(F40+O40+P40+Q40+R40+T40+U40+V40+W40+X40+Y40+Z40)/AA40</f>
        <v>10.12008891000268</v>
      </c>
      <c r="AF40" s="1">
        <v>62.823599999999999</v>
      </c>
      <c r="AG40" s="1">
        <v>78.122199999999992</v>
      </c>
      <c r="AH40" s="1">
        <v>85.384200000000007</v>
      </c>
      <c r="AI40" s="1">
        <v>84.619600000000005</v>
      </c>
      <c r="AJ40" s="1">
        <v>57.522199999999998</v>
      </c>
      <c r="AK40" s="1">
        <v>111.0634</v>
      </c>
      <c r="AL40" s="1">
        <v>151.00360000000001</v>
      </c>
      <c r="AM40" s="1">
        <v>105.7694</v>
      </c>
      <c r="AN40" s="1">
        <v>88.509799999999998</v>
      </c>
      <c r="AO40" s="1"/>
      <c r="AP40" s="1">
        <f>G40*AB40</f>
        <v>85.942500000000408</v>
      </c>
      <c r="AQ40" s="1">
        <f>-1*AC40*G40</f>
        <v>0</v>
      </c>
      <c r="AR40" s="1">
        <f>(AN40+AM40+AL40+AK40+AJ40+AI40+AH40+AG40+AF40+AA40)*G40</f>
        <v>922.48979999999995</v>
      </c>
      <c r="AS40" s="1"/>
      <c r="AT40" s="1"/>
      <c r="AU40" s="1"/>
      <c r="AV40" s="1"/>
      <c r="AW40" s="1"/>
      <c r="AX40" s="1"/>
    </row>
    <row r="41" spans="1:50" x14ac:dyDescent="0.25">
      <c r="A41" s="1" t="s">
        <v>83</v>
      </c>
      <c r="B41" s="1" t="s">
        <v>46</v>
      </c>
      <c r="C41" s="1">
        <v>660</v>
      </c>
      <c r="D41" s="1">
        <v>371</v>
      </c>
      <c r="E41" s="1">
        <v>324</v>
      </c>
      <c r="F41" s="1">
        <v>604</v>
      </c>
      <c r="G41" s="7">
        <v>0.45</v>
      </c>
      <c r="H41" s="1">
        <v>50</v>
      </c>
      <c r="I41" s="1" t="s">
        <v>176</v>
      </c>
      <c r="J41" s="1"/>
      <c r="K41" s="1">
        <v>583</v>
      </c>
      <c r="L41" s="1">
        <f t="shared" si="7"/>
        <v>-259</v>
      </c>
      <c r="M41" s="1">
        <f t="shared" si="3"/>
        <v>324</v>
      </c>
      <c r="N41" s="1"/>
      <c r="O41" s="1"/>
      <c r="P41" s="1">
        <v>195.67769929999989</v>
      </c>
      <c r="Q41" s="1"/>
      <c r="R41" s="1"/>
      <c r="S41" s="10"/>
      <c r="T41" s="1"/>
      <c r="U41" s="1"/>
      <c r="V41" s="1"/>
      <c r="W41" s="1"/>
      <c r="X41" s="1">
        <v>306.2</v>
      </c>
      <c r="Y41" s="1"/>
      <c r="Z41" s="1"/>
      <c r="AA41" s="1">
        <f t="shared" si="4"/>
        <v>64.8</v>
      </c>
      <c r="AB41" s="5"/>
      <c r="AC41" s="5">
        <v>-400</v>
      </c>
      <c r="AD41" s="1">
        <f>(F41+O41+P41+Q41+R41+T41+U41+V41+W41+X41+Y41+Z41+AB41+AC41)/AA41</f>
        <v>10.893174371913579</v>
      </c>
      <c r="AE41" s="1">
        <f>(F41+O41+P41+Q41+R41+T41+U41+V41+W41+X41+Y41+Z41)/AA41</f>
        <v>17.066013878086419</v>
      </c>
      <c r="AF41" s="1">
        <v>74.2</v>
      </c>
      <c r="AG41" s="1">
        <v>96</v>
      </c>
      <c r="AH41" s="1">
        <v>96.8</v>
      </c>
      <c r="AI41" s="1">
        <v>97.4</v>
      </c>
      <c r="AJ41" s="1">
        <v>102</v>
      </c>
      <c r="AK41" s="1">
        <v>99.8</v>
      </c>
      <c r="AL41" s="1">
        <v>86.137</v>
      </c>
      <c r="AM41" s="1">
        <v>64.936999999999998</v>
      </c>
      <c r="AN41" s="1">
        <v>81.20320000000001</v>
      </c>
      <c r="AO41" s="22" t="s">
        <v>74</v>
      </c>
      <c r="AP41" s="1">
        <f>G41*AB41</f>
        <v>0</v>
      </c>
      <c r="AQ41" s="1">
        <f>-1*AC41*G41</f>
        <v>180</v>
      </c>
      <c r="AR41" s="1">
        <f>(AN41+AM41+AL41+AK41+AJ41+AI41+AH41+AG41+AF41+AA41)*G41</f>
        <v>388.47474</v>
      </c>
      <c r="AS41" s="1"/>
      <c r="AT41" s="1"/>
      <c r="AU41" s="1"/>
      <c r="AV41" s="1"/>
      <c r="AW41" s="1"/>
      <c r="AX41" s="1"/>
    </row>
    <row r="42" spans="1:50" x14ac:dyDescent="0.25">
      <c r="A42" s="1" t="s">
        <v>84</v>
      </c>
      <c r="B42" s="1" t="s">
        <v>46</v>
      </c>
      <c r="C42" s="1">
        <v>579</v>
      </c>
      <c r="D42" s="1">
        <v>731</v>
      </c>
      <c r="E42" s="1">
        <v>446</v>
      </c>
      <c r="F42" s="1">
        <v>727</v>
      </c>
      <c r="G42" s="7">
        <v>0.45</v>
      </c>
      <c r="H42" s="1">
        <v>50</v>
      </c>
      <c r="I42" s="1" t="s">
        <v>176</v>
      </c>
      <c r="J42" s="1"/>
      <c r="K42" s="1">
        <v>851</v>
      </c>
      <c r="L42" s="1">
        <f t="shared" si="7"/>
        <v>-405</v>
      </c>
      <c r="M42" s="1">
        <f t="shared" si="3"/>
        <v>446</v>
      </c>
      <c r="N42" s="1"/>
      <c r="O42" s="1"/>
      <c r="P42" s="1">
        <v>194.65135311824011</v>
      </c>
      <c r="Q42" s="1"/>
      <c r="R42" s="1">
        <v>197.79089107176009</v>
      </c>
      <c r="S42" s="1">
        <f>VLOOKUP(A42,[1]TDSheet!$A:$B,2,0)</f>
        <v>200</v>
      </c>
      <c r="T42" s="1"/>
      <c r="U42" s="1"/>
      <c r="V42" s="1"/>
      <c r="W42" s="1"/>
      <c r="X42" s="1">
        <v>322.90999999999968</v>
      </c>
      <c r="Y42" s="1"/>
      <c r="Z42" s="1"/>
      <c r="AA42" s="1">
        <f t="shared" si="4"/>
        <v>89.2</v>
      </c>
      <c r="AB42" s="5"/>
      <c r="AC42" s="5">
        <v>-500</v>
      </c>
      <c r="AD42" s="1">
        <f>(F42+O42+P42+Q42+R42+T42+U42+V42+W42+X42+Y42+Z42+AB42+AC42)/AA42</f>
        <v>10.564487042488786</v>
      </c>
      <c r="AE42" s="1">
        <f>(F42+O42+P42+Q42+R42+T42+U42+V42+W42+X42+Y42+Z42)/AA42</f>
        <v>16.169868208408069</v>
      </c>
      <c r="AF42" s="1">
        <v>95.2</v>
      </c>
      <c r="AG42" s="1">
        <v>128.6</v>
      </c>
      <c r="AH42" s="1">
        <v>132</v>
      </c>
      <c r="AI42" s="1">
        <v>114.6</v>
      </c>
      <c r="AJ42" s="1">
        <v>104.4</v>
      </c>
      <c r="AK42" s="1">
        <v>96.4</v>
      </c>
      <c r="AL42" s="1">
        <v>86</v>
      </c>
      <c r="AM42" s="1">
        <v>79.2</v>
      </c>
      <c r="AN42" s="1">
        <v>98.6</v>
      </c>
      <c r="AO42" s="1"/>
      <c r="AP42" s="1">
        <f>G42*AB42</f>
        <v>0</v>
      </c>
      <c r="AQ42" s="1">
        <f>-1*AC42*G42</f>
        <v>225</v>
      </c>
      <c r="AR42" s="1">
        <f>(AN42+AM42+AL42+AK42+AJ42+AI42+AH42+AG42+AF42+AA42)*G42</f>
        <v>460.89000000000004</v>
      </c>
      <c r="AS42" s="1"/>
      <c r="AT42" s="1"/>
      <c r="AU42" s="1"/>
      <c r="AV42" s="1"/>
      <c r="AW42" s="1"/>
      <c r="AX42" s="1"/>
    </row>
    <row r="43" spans="1:50" x14ac:dyDescent="0.25">
      <c r="A43" s="1" t="s">
        <v>85</v>
      </c>
      <c r="B43" s="1" t="s">
        <v>46</v>
      </c>
      <c r="C43" s="1">
        <v>43</v>
      </c>
      <c r="D43" s="1">
        <v>3</v>
      </c>
      <c r="E43" s="1">
        <v>16</v>
      </c>
      <c r="F43" s="1">
        <v>19</v>
      </c>
      <c r="G43" s="7">
        <v>0.4</v>
      </c>
      <c r="H43" s="1">
        <v>40</v>
      </c>
      <c r="I43" s="1" t="s">
        <v>176</v>
      </c>
      <c r="J43" s="1"/>
      <c r="K43" s="1">
        <v>62</v>
      </c>
      <c r="L43" s="1">
        <f t="shared" si="7"/>
        <v>-46</v>
      </c>
      <c r="M43" s="1">
        <f t="shared" si="3"/>
        <v>16</v>
      </c>
      <c r="N43" s="1"/>
      <c r="O43" s="1"/>
      <c r="P43" s="1">
        <v>0</v>
      </c>
      <c r="Q43" s="1"/>
      <c r="R43" s="1"/>
      <c r="S43" s="10"/>
      <c r="T43" s="1"/>
      <c r="U43" s="1"/>
      <c r="V43" s="1"/>
      <c r="W43" s="1"/>
      <c r="X43" s="1">
        <v>18.5</v>
      </c>
      <c r="Y43" s="1"/>
      <c r="Z43" s="1"/>
      <c r="AA43" s="1">
        <f t="shared" si="4"/>
        <v>3.2</v>
      </c>
      <c r="AB43" s="5"/>
      <c r="AC43" s="5"/>
      <c r="AD43" s="1">
        <f>(F43+O43+P43+Q43+R43+T43+U43+V43+W43+X43+Y43+Z43+AB43+AC43)/AA43</f>
        <v>11.71875</v>
      </c>
      <c r="AE43" s="1">
        <f>(F43+O43+P43+Q43+R43+T43+U43+V43+W43+X43+Y43+Z43)/AA43</f>
        <v>11.71875</v>
      </c>
      <c r="AF43" s="1">
        <v>3.8</v>
      </c>
      <c r="AG43" s="1">
        <v>3.8</v>
      </c>
      <c r="AH43" s="1">
        <v>-0.6</v>
      </c>
      <c r="AI43" s="1">
        <v>0.8</v>
      </c>
      <c r="AJ43" s="1">
        <v>12.2</v>
      </c>
      <c r="AK43" s="1">
        <v>12.4</v>
      </c>
      <c r="AL43" s="1">
        <v>5</v>
      </c>
      <c r="AM43" s="1">
        <v>4.2</v>
      </c>
      <c r="AN43" s="1">
        <v>6.2</v>
      </c>
      <c r="AO43" s="1"/>
      <c r="AP43" s="1">
        <f>G43*AB43</f>
        <v>0</v>
      </c>
      <c r="AQ43" s="1">
        <f>-1*AC43*G43</f>
        <v>0</v>
      </c>
      <c r="AR43" s="1">
        <f>(AN43+AM43+AL43+AK43+AJ43+AI43+AH43+AG43+AF43+AA43)*G43</f>
        <v>20.399999999999999</v>
      </c>
      <c r="AS43" s="1"/>
      <c r="AT43" s="1"/>
      <c r="AU43" s="1"/>
      <c r="AV43" s="1"/>
      <c r="AW43" s="1"/>
      <c r="AX43" s="1"/>
    </row>
    <row r="44" spans="1:50" x14ac:dyDescent="0.25">
      <c r="A44" s="1" t="s">
        <v>86</v>
      </c>
      <c r="B44" s="1" t="s">
        <v>42</v>
      </c>
      <c r="C44" s="1">
        <v>453.49799999999999</v>
      </c>
      <c r="D44" s="1">
        <v>633.17499999999995</v>
      </c>
      <c r="E44" s="1">
        <v>519.44500000000005</v>
      </c>
      <c r="F44" s="1">
        <v>547.91499999999996</v>
      </c>
      <c r="G44" s="7">
        <v>1</v>
      </c>
      <c r="H44" s="1">
        <v>50</v>
      </c>
      <c r="I44" s="1" t="s">
        <v>189</v>
      </c>
      <c r="J44" s="1"/>
      <c r="K44" s="1">
        <v>722.2</v>
      </c>
      <c r="L44" s="1">
        <f t="shared" si="7"/>
        <v>-202.755</v>
      </c>
      <c r="M44" s="1">
        <f t="shared" si="3"/>
        <v>519.44500000000005</v>
      </c>
      <c r="N44" s="1"/>
      <c r="O44" s="1"/>
      <c r="P44" s="1">
        <v>298.38560000000012</v>
      </c>
      <c r="Q44" s="1"/>
      <c r="R44" s="1"/>
      <c r="S44" s="10"/>
      <c r="T44" s="1"/>
      <c r="U44" s="1"/>
      <c r="V44" s="1"/>
      <c r="W44" s="1"/>
      <c r="X44" s="1">
        <v>0</v>
      </c>
      <c r="Y44" s="1"/>
      <c r="Z44" s="1"/>
      <c r="AA44" s="1">
        <f t="shared" si="4"/>
        <v>103.88900000000001</v>
      </c>
      <c r="AB44" s="5">
        <f t="shared" si="6"/>
        <v>296.47839999999997</v>
      </c>
      <c r="AC44" s="5"/>
      <c r="AD44" s="1">
        <f>(F44+O44+P44+Q44+R44+T44+U44+V44+W44+X44+Y44+Z44+AB44+AC44)/AA44</f>
        <v>10.999999999999998</v>
      </c>
      <c r="AE44" s="1">
        <f>(F44+O44+P44+Q44+R44+T44+U44+V44+W44+X44+Y44+Z44)/AA44</f>
        <v>8.1462002714435595</v>
      </c>
      <c r="AF44" s="1">
        <v>63.091200000000001</v>
      </c>
      <c r="AG44" s="1">
        <v>69.980199999999996</v>
      </c>
      <c r="AH44" s="1">
        <v>120.0566</v>
      </c>
      <c r="AI44" s="1">
        <v>112.971</v>
      </c>
      <c r="AJ44" s="1">
        <v>95.999600000000001</v>
      </c>
      <c r="AK44" s="1">
        <v>109.7628</v>
      </c>
      <c r="AL44" s="1">
        <v>96.142200000000003</v>
      </c>
      <c r="AM44" s="1">
        <v>102.41540000000001</v>
      </c>
      <c r="AN44" s="1">
        <v>98.602599999999995</v>
      </c>
      <c r="AO44" s="1"/>
      <c r="AP44" s="1">
        <f>G44*AB44</f>
        <v>296.47839999999997</v>
      </c>
      <c r="AQ44" s="1">
        <f>-1*AC44*G44</f>
        <v>0</v>
      </c>
      <c r="AR44" s="1">
        <f>(AN44+AM44+AL44+AK44+AJ44+AI44+AH44+AG44+AF44+AA44)*G44</f>
        <v>972.91059999999993</v>
      </c>
      <c r="AS44" s="1">
        <f>(F44+S44+U44+O44)/AA44</f>
        <v>5.2740424876550929</v>
      </c>
      <c r="AT44" s="1"/>
      <c r="AU44" s="1"/>
      <c r="AV44" s="1"/>
      <c r="AW44" s="1"/>
      <c r="AX44" s="1"/>
    </row>
    <row r="45" spans="1:50" x14ac:dyDescent="0.25">
      <c r="A45" s="1" t="s">
        <v>87</v>
      </c>
      <c r="B45" s="1" t="s">
        <v>46</v>
      </c>
      <c r="C45" s="1">
        <v>147</v>
      </c>
      <c r="D45" s="1">
        <v>149</v>
      </c>
      <c r="E45" s="1">
        <v>101</v>
      </c>
      <c r="F45" s="1">
        <v>186</v>
      </c>
      <c r="G45" s="7">
        <v>0.1</v>
      </c>
      <c r="H45" s="1">
        <v>731</v>
      </c>
      <c r="I45" s="1" t="s">
        <v>176</v>
      </c>
      <c r="J45" s="1"/>
      <c r="K45" s="1">
        <v>138</v>
      </c>
      <c r="L45" s="1">
        <f t="shared" si="7"/>
        <v>-37</v>
      </c>
      <c r="M45" s="1">
        <f t="shared" si="3"/>
        <v>101</v>
      </c>
      <c r="N45" s="1"/>
      <c r="O45" s="1"/>
      <c r="P45" s="1">
        <v>35.199999999999989</v>
      </c>
      <c r="Q45" s="1"/>
      <c r="R45" s="1"/>
      <c r="S45" s="10"/>
      <c r="T45" s="1"/>
      <c r="U45" s="1"/>
      <c r="V45" s="1"/>
      <c r="W45" s="1"/>
      <c r="X45" s="1">
        <v>72.800000000000011</v>
      </c>
      <c r="Y45" s="1"/>
      <c r="Z45" s="1"/>
      <c r="AA45" s="1">
        <f t="shared" si="4"/>
        <v>20.2</v>
      </c>
      <c r="AB45" s="5"/>
      <c r="AC45" s="5">
        <f>(AE45-$AB$1)*AA45*(-1)</f>
        <v>-61.70000000000001</v>
      </c>
      <c r="AD45" s="1">
        <f>(F45+O45+P45+Q45+R45+T45+U45+V45+W45+X45+Y45+Z45+AB45+AC45)/AA45</f>
        <v>11.5</v>
      </c>
      <c r="AE45" s="1">
        <f>(F45+O45+P45+Q45+R45+T45+U45+V45+W45+X45+Y45+Z45)/AA45</f>
        <v>14.554455445544555</v>
      </c>
      <c r="AF45" s="1">
        <v>21.8</v>
      </c>
      <c r="AG45" s="1">
        <v>26.4</v>
      </c>
      <c r="AH45" s="1">
        <v>29.2</v>
      </c>
      <c r="AI45" s="1">
        <v>30</v>
      </c>
      <c r="AJ45" s="1">
        <v>19.600000000000001</v>
      </c>
      <c r="AK45" s="1">
        <v>25.6</v>
      </c>
      <c r="AL45" s="1">
        <v>36</v>
      </c>
      <c r="AM45" s="1">
        <v>27.6</v>
      </c>
      <c r="AN45" s="1">
        <v>21.6</v>
      </c>
      <c r="AO45" s="1"/>
      <c r="AP45" s="1">
        <f>G45*AB45</f>
        <v>0</v>
      </c>
      <c r="AQ45" s="1">
        <f>-1*AC45*G45</f>
        <v>6.1700000000000017</v>
      </c>
      <c r="AR45" s="1">
        <f>(AN45+AM45+AL45+AK45+AJ45+AI45+AH45+AG45+AF45+AA45)*G45</f>
        <v>25.8</v>
      </c>
      <c r="AS45" s="1"/>
      <c r="AT45" s="1"/>
      <c r="AU45" s="1"/>
      <c r="AV45" s="1"/>
      <c r="AW45" s="1"/>
      <c r="AX45" s="1"/>
    </row>
    <row r="46" spans="1:50" x14ac:dyDescent="0.25">
      <c r="A46" s="1" t="s">
        <v>88</v>
      </c>
      <c r="B46" s="1" t="s">
        <v>42</v>
      </c>
      <c r="C46" s="1">
        <v>991.68899999999996</v>
      </c>
      <c r="D46" s="1">
        <v>53.488</v>
      </c>
      <c r="E46" s="1">
        <v>316.40499999999997</v>
      </c>
      <c r="F46" s="1">
        <v>694.07100000000003</v>
      </c>
      <c r="G46" s="7">
        <v>1</v>
      </c>
      <c r="H46" s="1">
        <v>50</v>
      </c>
      <c r="I46" s="1" t="s">
        <v>189</v>
      </c>
      <c r="J46" s="1"/>
      <c r="K46" s="1">
        <v>549.20000000000005</v>
      </c>
      <c r="L46" s="1">
        <f t="shared" si="7"/>
        <v>-232.79500000000007</v>
      </c>
      <c r="M46" s="1">
        <f t="shared" si="3"/>
        <v>316.40499999999997</v>
      </c>
      <c r="N46" s="1"/>
      <c r="O46" s="1"/>
      <c r="P46" s="1">
        <v>0</v>
      </c>
      <c r="Q46" s="1"/>
      <c r="R46" s="1"/>
      <c r="S46" s="10"/>
      <c r="T46" s="1"/>
      <c r="U46" s="1"/>
      <c r="V46" s="1"/>
      <c r="W46" s="1"/>
      <c r="X46" s="1">
        <v>152.80499999999989</v>
      </c>
      <c r="Y46" s="1"/>
      <c r="Z46" s="1"/>
      <c r="AA46" s="1">
        <f t="shared" si="4"/>
        <v>63.280999999999992</v>
      </c>
      <c r="AB46" s="5"/>
      <c r="AC46" s="5"/>
      <c r="AD46" s="1">
        <f>(F46+O46+P46+Q46+R46+T46+U46+V46+W46+X46+Y46+Z46+AB46+AC46)/AA46</f>
        <v>13.382784722112484</v>
      </c>
      <c r="AE46" s="1">
        <f>(F46+O46+P46+Q46+R46+T46+U46+V46+W46+X46+Y46+Z46)/AA46</f>
        <v>13.382784722112484</v>
      </c>
      <c r="AF46" s="1">
        <v>79.756600000000006</v>
      </c>
      <c r="AG46" s="1">
        <v>81.925600000000003</v>
      </c>
      <c r="AH46" s="1">
        <v>86.080600000000004</v>
      </c>
      <c r="AI46" s="1">
        <v>92.588999999999999</v>
      </c>
      <c r="AJ46" s="1">
        <v>122.23399999999999</v>
      </c>
      <c r="AK46" s="1">
        <v>127.477</v>
      </c>
      <c r="AL46" s="1">
        <v>116.47839999999999</v>
      </c>
      <c r="AM46" s="1">
        <v>107.4956</v>
      </c>
      <c r="AN46" s="1">
        <v>89.548199999999994</v>
      </c>
      <c r="AO46" s="1"/>
      <c r="AP46" s="1">
        <f>G46*AB46</f>
        <v>0</v>
      </c>
      <c r="AQ46" s="1">
        <f>-1*AC46*G46</f>
        <v>0</v>
      </c>
      <c r="AR46" s="1">
        <f>(AN46+AM46+AL46+AK46+AJ46+AI46+AH46+AG46+AF46+AA46)*G46</f>
        <v>966.8660000000001</v>
      </c>
      <c r="AS46" s="1">
        <f>(F46+S46+U46+O46)/AA46</f>
        <v>10.968078886237578</v>
      </c>
      <c r="AT46" s="1"/>
      <c r="AU46" s="1"/>
      <c r="AV46" s="1"/>
      <c r="AW46" s="1"/>
      <c r="AX46" s="1"/>
    </row>
    <row r="47" spans="1:50" x14ac:dyDescent="0.25">
      <c r="A47" s="1" t="s">
        <v>89</v>
      </c>
      <c r="B47" s="1" t="s">
        <v>42</v>
      </c>
      <c r="C47" s="1">
        <v>74.055000000000007</v>
      </c>
      <c r="D47" s="1">
        <v>9.4190000000000005</v>
      </c>
      <c r="E47" s="1">
        <v>20.151</v>
      </c>
      <c r="F47" s="1">
        <v>53.904000000000003</v>
      </c>
      <c r="G47" s="7">
        <v>1</v>
      </c>
      <c r="H47" s="1">
        <v>55</v>
      </c>
      <c r="I47" s="1" t="s">
        <v>176</v>
      </c>
      <c r="J47" s="1"/>
      <c r="K47" s="1">
        <v>31.5</v>
      </c>
      <c r="L47" s="1">
        <f t="shared" si="7"/>
        <v>-11.349</v>
      </c>
      <c r="M47" s="1">
        <f t="shared" si="3"/>
        <v>20.151</v>
      </c>
      <c r="N47" s="1"/>
      <c r="O47" s="1"/>
      <c r="P47" s="1">
        <v>0</v>
      </c>
      <c r="Q47" s="1"/>
      <c r="R47" s="1"/>
      <c r="S47" s="10"/>
      <c r="T47" s="1"/>
      <c r="U47" s="1"/>
      <c r="V47" s="1"/>
      <c r="W47" s="1"/>
      <c r="X47" s="1">
        <v>7.1900000000000048</v>
      </c>
      <c r="Y47" s="1"/>
      <c r="Z47" s="1"/>
      <c r="AA47" s="1">
        <f t="shared" si="4"/>
        <v>4.0301999999999998</v>
      </c>
      <c r="AB47" s="5"/>
      <c r="AC47" s="5"/>
      <c r="AD47" s="1">
        <f>(F47+O47+P47+Q47+R47+T47+U47+V47+W47+X47+Y47+Z47+AB47+AC47)/AA47</f>
        <v>15.159049178700812</v>
      </c>
      <c r="AE47" s="1">
        <f>(F47+O47+P47+Q47+R47+T47+U47+V47+W47+X47+Y47+Z47)/AA47</f>
        <v>15.159049178700812</v>
      </c>
      <c r="AF47" s="1">
        <v>4.2412000000000001</v>
      </c>
      <c r="AG47" s="1">
        <v>5.3171999999999997</v>
      </c>
      <c r="AH47" s="1">
        <v>3.4356</v>
      </c>
      <c r="AI47" s="1">
        <v>4.8685999999999998</v>
      </c>
      <c r="AJ47" s="1">
        <v>7.0706000000000007</v>
      </c>
      <c r="AK47" s="1">
        <v>8.1921999999999997</v>
      </c>
      <c r="AL47" s="1">
        <v>4.92</v>
      </c>
      <c r="AM47" s="1">
        <v>4.6549999999999994</v>
      </c>
      <c r="AN47" s="1">
        <v>5.2093999999999996</v>
      </c>
      <c r="AO47" s="1"/>
      <c r="AP47" s="1">
        <f>G47*AB47</f>
        <v>0</v>
      </c>
      <c r="AQ47" s="1">
        <f>-1*AC47*G47</f>
        <v>0</v>
      </c>
      <c r="AR47" s="1">
        <f>(AN47+AM47+AL47+AK47+AJ47+AI47+AH47+AG47+AF47+AA47)*G47</f>
        <v>51.94</v>
      </c>
      <c r="AS47" s="1"/>
      <c r="AT47" s="1"/>
      <c r="AU47" s="1"/>
      <c r="AV47" s="1"/>
      <c r="AW47" s="1"/>
      <c r="AX47" s="1"/>
    </row>
    <row r="48" spans="1:50" x14ac:dyDescent="0.25">
      <c r="A48" s="1" t="s">
        <v>90</v>
      </c>
      <c r="B48" s="1" t="s">
        <v>46</v>
      </c>
      <c r="C48" s="1">
        <v>162</v>
      </c>
      <c r="D48" s="1">
        <v>149</v>
      </c>
      <c r="E48" s="1">
        <v>88</v>
      </c>
      <c r="F48" s="1">
        <v>214</v>
      </c>
      <c r="G48" s="7">
        <v>0.1</v>
      </c>
      <c r="H48" s="1">
        <v>731</v>
      </c>
      <c r="I48" s="1" t="s">
        <v>176</v>
      </c>
      <c r="J48" s="1"/>
      <c r="K48" s="1">
        <v>115</v>
      </c>
      <c r="L48" s="1">
        <f t="shared" si="7"/>
        <v>-27</v>
      </c>
      <c r="M48" s="1">
        <f t="shared" si="3"/>
        <v>88</v>
      </c>
      <c r="N48" s="1"/>
      <c r="O48" s="1"/>
      <c r="P48" s="1">
        <v>8</v>
      </c>
      <c r="Q48" s="1"/>
      <c r="R48" s="1"/>
      <c r="S48" s="10"/>
      <c r="T48" s="1"/>
      <c r="U48" s="1"/>
      <c r="V48" s="1"/>
      <c r="W48" s="1"/>
      <c r="X48" s="1">
        <v>42.199999999999989</v>
      </c>
      <c r="Y48" s="1"/>
      <c r="Z48" s="1"/>
      <c r="AA48" s="1">
        <f t="shared" si="4"/>
        <v>17.600000000000001</v>
      </c>
      <c r="AB48" s="5"/>
      <c r="AC48" s="5">
        <f>(AE48-$AB$1)*AA48*(-1)</f>
        <v>-61.799999999999983</v>
      </c>
      <c r="AD48" s="1">
        <f>(F48+O48+P48+Q48+R48+T48+U48+V48+W48+X48+Y48+Z48+AB48+AC48)/AA48</f>
        <v>11.5</v>
      </c>
      <c r="AE48" s="1">
        <f>(F48+O48+P48+Q48+R48+T48+U48+V48+W48+X48+Y48+Z48)/AA48</f>
        <v>15.011363636363635</v>
      </c>
      <c r="AF48" s="1">
        <v>20.8</v>
      </c>
      <c r="AG48" s="1">
        <v>23.6</v>
      </c>
      <c r="AH48" s="1">
        <v>27.2</v>
      </c>
      <c r="AI48" s="1">
        <v>30.4</v>
      </c>
      <c r="AJ48" s="1">
        <v>17.600000000000001</v>
      </c>
      <c r="AK48" s="1">
        <v>19.8</v>
      </c>
      <c r="AL48" s="1">
        <v>31.4</v>
      </c>
      <c r="AM48" s="1">
        <v>23.4</v>
      </c>
      <c r="AN48" s="1">
        <v>19.600000000000001</v>
      </c>
      <c r="AO48" s="1"/>
      <c r="AP48" s="1">
        <f>G48*AB48</f>
        <v>0</v>
      </c>
      <c r="AQ48" s="1">
        <f>-1*AC48*G48</f>
        <v>6.1799999999999988</v>
      </c>
      <c r="AR48" s="1">
        <f>(AN48+AM48+AL48+AK48+AJ48+AI48+AH48+AG48+AF48+AA48)*G48</f>
        <v>23.14</v>
      </c>
      <c r="AS48" s="1"/>
      <c r="AT48" s="1"/>
      <c r="AU48" s="1"/>
      <c r="AV48" s="1"/>
      <c r="AW48" s="1"/>
      <c r="AX48" s="1"/>
    </row>
    <row r="49" spans="1:50" x14ac:dyDescent="0.25">
      <c r="A49" s="1" t="s">
        <v>91</v>
      </c>
      <c r="B49" s="1" t="s">
        <v>46</v>
      </c>
      <c r="C49" s="1"/>
      <c r="D49" s="1">
        <v>10</v>
      </c>
      <c r="E49" s="1">
        <v>6</v>
      </c>
      <c r="F49" s="1">
        <v>4</v>
      </c>
      <c r="G49" s="7">
        <v>0.4</v>
      </c>
      <c r="H49" s="1">
        <v>50</v>
      </c>
      <c r="I49" s="1" t="s">
        <v>176</v>
      </c>
      <c r="J49" s="1"/>
      <c r="K49" s="1">
        <v>11</v>
      </c>
      <c r="L49" s="1">
        <f t="shared" si="7"/>
        <v>-5</v>
      </c>
      <c r="M49" s="1">
        <f t="shared" si="3"/>
        <v>6</v>
      </c>
      <c r="N49" s="1"/>
      <c r="O49" s="1"/>
      <c r="P49" s="1">
        <v>17.8</v>
      </c>
      <c r="Q49" s="1"/>
      <c r="R49" s="1"/>
      <c r="S49" s="10"/>
      <c r="T49" s="1"/>
      <c r="U49" s="1"/>
      <c r="V49" s="1"/>
      <c r="W49" s="1"/>
      <c r="X49" s="1">
        <v>0</v>
      </c>
      <c r="Y49" s="1"/>
      <c r="Z49" s="1"/>
      <c r="AA49" s="1">
        <f t="shared" si="4"/>
        <v>1.2</v>
      </c>
      <c r="AB49" s="5"/>
      <c r="AC49" s="5"/>
      <c r="AD49" s="1">
        <f>(F49+O49+P49+Q49+R49+T49+U49+V49+W49+X49+Y49+Z49+AB49+AC49)/AA49</f>
        <v>18.166666666666668</v>
      </c>
      <c r="AE49" s="1">
        <f>(F49+O49+P49+Q49+R49+T49+U49+V49+W49+X49+Y49+Z49)/AA49</f>
        <v>18.166666666666668</v>
      </c>
      <c r="AF49" s="1">
        <v>0.2</v>
      </c>
      <c r="AG49" s="1">
        <v>1.6</v>
      </c>
      <c r="AH49" s="1">
        <v>2.8</v>
      </c>
      <c r="AI49" s="1">
        <v>1.2</v>
      </c>
      <c r="AJ49" s="1">
        <v>0</v>
      </c>
      <c r="AK49" s="1">
        <v>0.4</v>
      </c>
      <c r="AL49" s="1">
        <v>0.4</v>
      </c>
      <c r="AM49" s="1">
        <v>0</v>
      </c>
      <c r="AN49" s="1">
        <v>0</v>
      </c>
      <c r="AO49" s="1"/>
      <c r="AP49" s="1">
        <f>G49*AB49</f>
        <v>0</v>
      </c>
      <c r="AQ49" s="1">
        <f>-1*AC49*G49</f>
        <v>0</v>
      </c>
      <c r="AR49" s="1">
        <f>(AN49+AM49+AL49+AK49+AJ49+AI49+AH49+AG49+AF49+AA49)*G49</f>
        <v>3.1200000000000006</v>
      </c>
      <c r="AS49" s="1"/>
      <c r="AT49" s="1"/>
      <c r="AU49" s="1"/>
      <c r="AV49" s="1"/>
      <c r="AW49" s="1"/>
      <c r="AX49" s="1"/>
    </row>
    <row r="50" spans="1:50" x14ac:dyDescent="0.25">
      <c r="A50" s="1" t="s">
        <v>92</v>
      </c>
      <c r="B50" s="1" t="s">
        <v>42</v>
      </c>
      <c r="C50" s="1">
        <v>79.894000000000005</v>
      </c>
      <c r="D50" s="1">
        <v>41.773000000000003</v>
      </c>
      <c r="E50" s="1">
        <v>49.811999999999998</v>
      </c>
      <c r="F50" s="1">
        <v>64.350999999999999</v>
      </c>
      <c r="G50" s="7">
        <v>1</v>
      </c>
      <c r="H50" s="1">
        <v>40</v>
      </c>
      <c r="I50" s="1" t="s">
        <v>176</v>
      </c>
      <c r="J50" s="1"/>
      <c r="K50" s="1">
        <v>103.1</v>
      </c>
      <c r="L50" s="1">
        <f t="shared" si="7"/>
        <v>-53.287999999999997</v>
      </c>
      <c r="M50" s="1">
        <f t="shared" si="3"/>
        <v>49.811999999999998</v>
      </c>
      <c r="N50" s="1"/>
      <c r="O50" s="1"/>
      <c r="P50" s="1">
        <v>39.049999999999983</v>
      </c>
      <c r="Q50" s="1"/>
      <c r="R50" s="1"/>
      <c r="S50" s="10"/>
      <c r="T50" s="1"/>
      <c r="U50" s="1"/>
      <c r="V50" s="1"/>
      <c r="W50" s="1"/>
      <c r="X50" s="1">
        <v>4</v>
      </c>
      <c r="Y50" s="1"/>
      <c r="Z50" s="1"/>
      <c r="AA50" s="1">
        <f t="shared" si="4"/>
        <v>9.9623999999999988</v>
      </c>
      <c r="AB50" s="5"/>
      <c r="AC50" s="5"/>
      <c r="AD50" s="1">
        <f>(F50+O50+P50+Q50+R50+T50+U50+V50+W50+X50+Y50+Z50+AB50+AC50)/AA50</f>
        <v>10.780635188308038</v>
      </c>
      <c r="AE50" s="1">
        <f>(F50+O50+P50+Q50+R50+T50+U50+V50+W50+X50+Y50+Z50)/AA50</f>
        <v>10.780635188308038</v>
      </c>
      <c r="AF50" s="1">
        <v>9.6790000000000003</v>
      </c>
      <c r="AG50" s="1">
        <v>10.668799999999999</v>
      </c>
      <c r="AH50" s="1">
        <v>14.4322</v>
      </c>
      <c r="AI50" s="1">
        <v>12.6326</v>
      </c>
      <c r="AJ50" s="1">
        <v>14.220599999999999</v>
      </c>
      <c r="AK50" s="1">
        <v>11.2966</v>
      </c>
      <c r="AL50" s="1">
        <v>0.4582</v>
      </c>
      <c r="AM50" s="1">
        <v>4.8795999999999999</v>
      </c>
      <c r="AN50" s="1">
        <v>24.591000000000001</v>
      </c>
      <c r="AO50" s="1"/>
      <c r="AP50" s="1">
        <f>G50*AB50</f>
        <v>0</v>
      </c>
      <c r="AQ50" s="1">
        <f>-1*AC50*G50</f>
        <v>0</v>
      </c>
      <c r="AR50" s="1">
        <f>(AN50+AM50+AL50+AK50+AJ50+AI50+AH50+AG50+AF50+AA50)*G50</f>
        <v>112.821</v>
      </c>
      <c r="AS50" s="1"/>
      <c r="AT50" s="1"/>
      <c r="AU50" s="1"/>
      <c r="AV50" s="1"/>
      <c r="AW50" s="1"/>
      <c r="AX50" s="1"/>
    </row>
    <row r="51" spans="1:50" x14ac:dyDescent="0.25">
      <c r="A51" s="1" t="s">
        <v>93</v>
      </c>
      <c r="B51" s="1" t="s">
        <v>42</v>
      </c>
      <c r="C51" s="1">
        <v>57.689</v>
      </c>
      <c r="D51" s="1"/>
      <c r="E51" s="1">
        <v>8.0389999999999997</v>
      </c>
      <c r="F51" s="1">
        <v>49.65</v>
      </c>
      <c r="G51" s="7">
        <v>1</v>
      </c>
      <c r="H51" s="1">
        <v>40</v>
      </c>
      <c r="I51" s="1" t="s">
        <v>176</v>
      </c>
      <c r="J51" s="1"/>
      <c r="K51" s="1">
        <v>8.9</v>
      </c>
      <c r="L51" s="1">
        <f t="shared" si="7"/>
        <v>-0.86100000000000065</v>
      </c>
      <c r="M51" s="1">
        <f t="shared" si="3"/>
        <v>8.0389999999999997</v>
      </c>
      <c r="N51" s="1"/>
      <c r="O51" s="1"/>
      <c r="P51" s="1">
        <v>0</v>
      </c>
      <c r="Q51" s="1"/>
      <c r="R51" s="1"/>
      <c r="S51" s="10"/>
      <c r="T51" s="1"/>
      <c r="U51" s="1"/>
      <c r="V51" s="1"/>
      <c r="W51" s="1"/>
      <c r="X51" s="1">
        <v>0</v>
      </c>
      <c r="Y51" s="1"/>
      <c r="Z51" s="1"/>
      <c r="AA51" s="1">
        <f t="shared" si="4"/>
        <v>1.6077999999999999</v>
      </c>
      <c r="AB51" s="5"/>
      <c r="AC51" s="5">
        <f>(AE51-$AB$1)*AA51*(-1)</f>
        <v>-31.160299999999999</v>
      </c>
      <c r="AD51" s="1">
        <f>(F51+O51+P51+Q51+R51+T51+U51+V51+W51+X51+Y51+Z51+AB51+AC51)/AA51</f>
        <v>11.5</v>
      </c>
      <c r="AE51" s="1">
        <f>(F51+O51+P51+Q51+R51+T51+U51+V51+W51+X51+Y51+Z51)/AA51</f>
        <v>30.880706555541735</v>
      </c>
      <c r="AF51" s="1">
        <v>1.6077999999999999</v>
      </c>
      <c r="AG51" s="1">
        <v>1.6292</v>
      </c>
      <c r="AH51" s="1">
        <v>1.1017999999999999</v>
      </c>
      <c r="AI51" s="1">
        <v>0.30680000000000002</v>
      </c>
      <c r="AJ51" s="1">
        <v>0.37080000000000002</v>
      </c>
      <c r="AK51" s="1">
        <v>0.44779999999999998</v>
      </c>
      <c r="AL51" s="1">
        <v>3.7235999999999998</v>
      </c>
      <c r="AM51" s="1">
        <v>8.1310000000000002</v>
      </c>
      <c r="AN51" s="1">
        <v>7.1864000000000008</v>
      </c>
      <c r="AO51" s="22" t="s">
        <v>182</v>
      </c>
      <c r="AP51" s="1">
        <f>G51*AB51</f>
        <v>0</v>
      </c>
      <c r="AQ51" s="1">
        <f>-1*AC51*G51</f>
        <v>31.160299999999999</v>
      </c>
      <c r="AR51" s="1">
        <f>(AN51+AM51+AL51+AK51+AJ51+AI51+AH51+AG51+AF51+AA51)*G51</f>
        <v>26.113000000000003</v>
      </c>
      <c r="AS51" s="1"/>
      <c r="AT51" s="1"/>
      <c r="AU51" s="1"/>
      <c r="AV51" s="1"/>
      <c r="AW51" s="1"/>
      <c r="AX51" s="1"/>
    </row>
    <row r="52" spans="1:50" x14ac:dyDescent="0.25">
      <c r="A52" s="1" t="s">
        <v>95</v>
      </c>
      <c r="B52" s="1" t="s">
        <v>46</v>
      </c>
      <c r="C52" s="1">
        <v>509</v>
      </c>
      <c r="D52" s="1">
        <v>546</v>
      </c>
      <c r="E52" s="1">
        <v>525</v>
      </c>
      <c r="F52" s="1">
        <v>384</v>
      </c>
      <c r="G52" s="7">
        <v>0.4</v>
      </c>
      <c r="H52" s="1">
        <v>40</v>
      </c>
      <c r="I52" s="1" t="s">
        <v>176</v>
      </c>
      <c r="J52" s="1"/>
      <c r="K52" s="1">
        <v>893</v>
      </c>
      <c r="L52" s="1">
        <f t="shared" si="7"/>
        <v>-368</v>
      </c>
      <c r="M52" s="1">
        <f t="shared" si="3"/>
        <v>495</v>
      </c>
      <c r="N52" s="1">
        <v>30</v>
      </c>
      <c r="O52" s="1"/>
      <c r="P52" s="1">
        <v>310.49599999999998</v>
      </c>
      <c r="Q52" s="1"/>
      <c r="R52" s="1">
        <v>315.50400000000002</v>
      </c>
      <c r="S52" s="10"/>
      <c r="T52" s="1"/>
      <c r="U52" s="1"/>
      <c r="V52" s="1"/>
      <c r="W52" s="1">
        <v>-246</v>
      </c>
      <c r="X52" s="1">
        <v>243.61999999999961</v>
      </c>
      <c r="Y52" s="1"/>
      <c r="Z52" s="1"/>
      <c r="AA52" s="1">
        <f t="shared" si="4"/>
        <v>99</v>
      </c>
      <c r="AB52" s="5">
        <f t="shared" si="6"/>
        <v>81.380000000000337</v>
      </c>
      <c r="AC52" s="5"/>
      <c r="AD52" s="1">
        <f>(F52+O52+P52+Q52+R52+T52+U52+V52+W52+X52+Y52+Z52+AB52+AC52)/AA52</f>
        <v>11</v>
      </c>
      <c r="AE52" s="1">
        <f>(F52+O52+P52+Q52+R52+T52+U52+V52+W52+X52+Y52+Z52)/AA52</f>
        <v>10.177979797979795</v>
      </c>
      <c r="AF52" s="1">
        <v>107.8</v>
      </c>
      <c r="AG52" s="1">
        <v>129.19999999999999</v>
      </c>
      <c r="AH52" s="1">
        <v>139.4</v>
      </c>
      <c r="AI52" s="1">
        <v>108.2</v>
      </c>
      <c r="AJ52" s="1">
        <v>105.6</v>
      </c>
      <c r="AK52" s="1">
        <v>124.6</v>
      </c>
      <c r="AL52" s="1">
        <v>83.8</v>
      </c>
      <c r="AM52" s="1">
        <v>22.4</v>
      </c>
      <c r="AN52" s="1">
        <v>59.2</v>
      </c>
      <c r="AO52" s="1"/>
      <c r="AP52" s="1">
        <f>G52*AB52</f>
        <v>32.552000000000135</v>
      </c>
      <c r="AQ52" s="1">
        <f>-1*AC52*G52</f>
        <v>0</v>
      </c>
      <c r="AR52" s="1">
        <f>(AN52+AM52+AL52+AK52+AJ52+AI52+AH52+AG52+AF52+AA52)*G52</f>
        <v>391.68000000000006</v>
      </c>
      <c r="AS52" s="1"/>
      <c r="AT52" s="1"/>
      <c r="AU52" s="1"/>
      <c r="AV52" s="1"/>
      <c r="AW52" s="1"/>
      <c r="AX52" s="1"/>
    </row>
    <row r="53" spans="1:50" x14ac:dyDescent="0.25">
      <c r="A53" s="1" t="s">
        <v>96</v>
      </c>
      <c r="B53" s="1" t="s">
        <v>46</v>
      </c>
      <c r="C53" s="1">
        <v>635</v>
      </c>
      <c r="D53" s="1">
        <v>316</v>
      </c>
      <c r="E53" s="1">
        <v>417</v>
      </c>
      <c r="F53" s="1">
        <v>450</v>
      </c>
      <c r="G53" s="7">
        <v>0.4</v>
      </c>
      <c r="H53" s="1">
        <v>40</v>
      </c>
      <c r="I53" s="1" t="s">
        <v>176</v>
      </c>
      <c r="J53" s="1"/>
      <c r="K53" s="1">
        <v>618</v>
      </c>
      <c r="L53" s="1">
        <f t="shared" si="7"/>
        <v>-201</v>
      </c>
      <c r="M53" s="1">
        <f t="shared" si="3"/>
        <v>417</v>
      </c>
      <c r="N53" s="1"/>
      <c r="O53" s="1"/>
      <c r="P53" s="1">
        <v>193.73283671519991</v>
      </c>
      <c r="Q53" s="1"/>
      <c r="R53" s="1"/>
      <c r="S53" s="10"/>
      <c r="T53" s="1"/>
      <c r="U53" s="1"/>
      <c r="V53" s="1"/>
      <c r="W53" s="1">
        <v>-426</v>
      </c>
      <c r="X53" s="1">
        <v>424.45999999999992</v>
      </c>
      <c r="Y53" s="1"/>
      <c r="Z53" s="1"/>
      <c r="AA53" s="1">
        <f t="shared" si="4"/>
        <v>83.4</v>
      </c>
      <c r="AB53" s="5">
        <f t="shared" si="6"/>
        <v>275.20716328480023</v>
      </c>
      <c r="AC53" s="5"/>
      <c r="AD53" s="1">
        <f>(F53+O53+P53+Q53+R53+T53+U53+V53+W53+X53+Y53+Z53+AB53+AC53)/AA53</f>
        <v>11</v>
      </c>
      <c r="AE53" s="1">
        <f>(F53+O53+P53+Q53+R53+T53+U53+V53+W53+X53+Y53+Z53)/AA53</f>
        <v>7.7001539174484392</v>
      </c>
      <c r="AF53" s="1">
        <v>95.6</v>
      </c>
      <c r="AG53" s="1">
        <v>103.6</v>
      </c>
      <c r="AH53" s="1">
        <v>96.2</v>
      </c>
      <c r="AI53" s="1">
        <v>93</v>
      </c>
      <c r="AJ53" s="1">
        <v>100.6</v>
      </c>
      <c r="AK53" s="1">
        <v>103.2</v>
      </c>
      <c r="AL53" s="1">
        <v>92.8</v>
      </c>
      <c r="AM53" s="1">
        <v>85.8</v>
      </c>
      <c r="AN53" s="1">
        <v>85.6</v>
      </c>
      <c r="AO53" s="1"/>
      <c r="AP53" s="1">
        <f>G53*AB53</f>
        <v>110.0828653139201</v>
      </c>
      <c r="AQ53" s="1">
        <f>-1*AC53*G53</f>
        <v>0</v>
      </c>
      <c r="AR53" s="1">
        <f>(AN53+AM53+AL53+AK53+AJ53+AI53+AH53+AG53+AF53+AA53)*G53</f>
        <v>375.92000000000007</v>
      </c>
      <c r="AS53" s="1"/>
      <c r="AT53" s="1"/>
      <c r="AU53" s="1"/>
      <c r="AV53" s="1"/>
      <c r="AW53" s="1"/>
      <c r="AX53" s="1"/>
    </row>
    <row r="54" spans="1:50" x14ac:dyDescent="0.25">
      <c r="A54" s="1" t="s">
        <v>97</v>
      </c>
      <c r="B54" s="1" t="s">
        <v>42</v>
      </c>
      <c r="C54" s="1">
        <v>164.233</v>
      </c>
      <c r="D54" s="1">
        <v>6.3319999999999999</v>
      </c>
      <c r="E54" s="1">
        <v>38.472000000000001</v>
      </c>
      <c r="F54" s="1">
        <v>125.761</v>
      </c>
      <c r="G54" s="7">
        <v>1</v>
      </c>
      <c r="H54" s="1">
        <v>40</v>
      </c>
      <c r="I54" s="1" t="s">
        <v>176</v>
      </c>
      <c r="J54" s="1"/>
      <c r="K54" s="1">
        <v>51.1</v>
      </c>
      <c r="L54" s="1">
        <f t="shared" si="7"/>
        <v>-12.628</v>
      </c>
      <c r="M54" s="1">
        <f t="shared" si="3"/>
        <v>38.472000000000001</v>
      </c>
      <c r="N54" s="1"/>
      <c r="O54" s="1"/>
      <c r="P54" s="1">
        <v>0</v>
      </c>
      <c r="Q54" s="1"/>
      <c r="R54" s="1"/>
      <c r="S54" s="10"/>
      <c r="T54" s="1"/>
      <c r="U54" s="1"/>
      <c r="V54" s="1"/>
      <c r="W54" s="1"/>
      <c r="X54" s="1">
        <v>0</v>
      </c>
      <c r="Y54" s="1"/>
      <c r="Z54" s="1"/>
      <c r="AA54" s="1">
        <f t="shared" si="4"/>
        <v>7.6943999999999999</v>
      </c>
      <c r="AB54" s="5"/>
      <c r="AC54" s="5">
        <f>(AE54-$AB$1)*AA54*(-1)</f>
        <v>-37.275400000000005</v>
      </c>
      <c r="AD54" s="1">
        <f>(F54+O54+P54+Q54+R54+T54+U54+V54+W54+X54+Y54+Z54+AB54+AC54)/AA54</f>
        <v>11.499999999999998</v>
      </c>
      <c r="AE54" s="1">
        <f>(F54+O54+P54+Q54+R54+T54+U54+V54+W54+X54+Y54+Z54)/AA54</f>
        <v>16.344484300270327</v>
      </c>
      <c r="AF54" s="1">
        <v>8.5982000000000003</v>
      </c>
      <c r="AG54" s="1">
        <v>10.3788</v>
      </c>
      <c r="AH54" s="1">
        <v>10.9048</v>
      </c>
      <c r="AI54" s="1">
        <v>10.0128</v>
      </c>
      <c r="AJ54" s="1">
        <v>18.179400000000001</v>
      </c>
      <c r="AK54" s="1">
        <v>18.554600000000001</v>
      </c>
      <c r="AL54" s="1">
        <v>5.6436000000000002</v>
      </c>
      <c r="AM54" s="1">
        <v>0.72619999999999996</v>
      </c>
      <c r="AN54" s="1">
        <v>-0.1802</v>
      </c>
      <c r="AO54" s="1"/>
      <c r="AP54" s="1">
        <f>G54*AB54</f>
        <v>0</v>
      </c>
      <c r="AQ54" s="1">
        <f>-1*AC54*G54</f>
        <v>37.275400000000005</v>
      </c>
      <c r="AR54" s="1">
        <f>(AN54+AM54+AL54+AK54+AJ54+AI54+AH54+AG54+AF54+AA54)*G54</f>
        <v>90.512600000000006</v>
      </c>
      <c r="AS54" s="1"/>
      <c r="AT54" s="1"/>
      <c r="AU54" s="1"/>
      <c r="AV54" s="1"/>
      <c r="AW54" s="1"/>
      <c r="AX54" s="1"/>
    </row>
    <row r="55" spans="1:50" x14ac:dyDescent="0.25">
      <c r="A55" s="1" t="s">
        <v>98</v>
      </c>
      <c r="B55" s="1" t="s">
        <v>42</v>
      </c>
      <c r="C55" s="1">
        <v>95.257999999999996</v>
      </c>
      <c r="D55" s="1">
        <v>86.384</v>
      </c>
      <c r="E55" s="1">
        <v>73.052000000000007</v>
      </c>
      <c r="F55" s="1">
        <v>102.286</v>
      </c>
      <c r="G55" s="7">
        <v>1</v>
      </c>
      <c r="H55" s="1">
        <v>40</v>
      </c>
      <c r="I55" s="1" t="s">
        <v>176</v>
      </c>
      <c r="J55" s="1"/>
      <c r="K55" s="1">
        <v>98.2</v>
      </c>
      <c r="L55" s="1">
        <f t="shared" si="7"/>
        <v>-25.147999999999996</v>
      </c>
      <c r="M55" s="1">
        <f t="shared" si="3"/>
        <v>73.052000000000007</v>
      </c>
      <c r="N55" s="1"/>
      <c r="O55" s="1"/>
      <c r="P55" s="1">
        <v>0</v>
      </c>
      <c r="Q55" s="1"/>
      <c r="R55" s="1"/>
      <c r="S55" s="10"/>
      <c r="T55" s="1"/>
      <c r="U55" s="1"/>
      <c r="V55" s="1"/>
      <c r="W55" s="1"/>
      <c r="X55" s="1">
        <v>16.926800000000011</v>
      </c>
      <c r="Y55" s="1"/>
      <c r="Z55" s="1"/>
      <c r="AA55" s="1">
        <f t="shared" si="4"/>
        <v>14.610400000000002</v>
      </c>
      <c r="AB55" s="5">
        <f t="shared" si="6"/>
        <v>41.501599999999996</v>
      </c>
      <c r="AC55" s="5"/>
      <c r="AD55" s="1">
        <f>(F55+O55+P55+Q55+R55+T55+U55+V55+W55+X55+Y55+Z55+AB55+AC55)/AA55</f>
        <v>11</v>
      </c>
      <c r="AE55" s="1">
        <f>(F55+O55+P55+Q55+R55+T55+U55+V55+W55+X55+Y55+Z55)/AA55</f>
        <v>8.1594480643924872</v>
      </c>
      <c r="AF55" s="1">
        <v>11.178800000000001</v>
      </c>
      <c r="AG55" s="1">
        <v>12.990399999999999</v>
      </c>
      <c r="AH55" s="1">
        <v>13.3424</v>
      </c>
      <c r="AI55" s="1">
        <v>17.515799999999999</v>
      </c>
      <c r="AJ55" s="1">
        <v>14.6234</v>
      </c>
      <c r="AK55" s="1">
        <v>4.8811999999999998</v>
      </c>
      <c r="AL55" s="1">
        <v>5.7866</v>
      </c>
      <c r="AM55" s="1">
        <v>13.375400000000001</v>
      </c>
      <c r="AN55" s="1">
        <v>12.828799999999999</v>
      </c>
      <c r="AO55" s="1"/>
      <c r="AP55" s="1">
        <f>G55*AB55</f>
        <v>41.501599999999996</v>
      </c>
      <c r="AQ55" s="1">
        <f>-1*AC55*G55</f>
        <v>0</v>
      </c>
      <c r="AR55" s="1">
        <f>(AN55+AM55+AL55+AK55+AJ55+AI55+AH55+AG55+AF55+AA55)*G55</f>
        <v>121.13319999999999</v>
      </c>
      <c r="AS55" s="1"/>
      <c r="AT55" s="1"/>
      <c r="AU55" s="1"/>
      <c r="AV55" s="1"/>
      <c r="AW55" s="1"/>
      <c r="AX55" s="1"/>
    </row>
    <row r="56" spans="1:50" x14ac:dyDescent="0.25">
      <c r="A56" s="1" t="s">
        <v>99</v>
      </c>
      <c r="B56" s="1" t="s">
        <v>42</v>
      </c>
      <c r="C56" s="1">
        <v>1162.0840000000001</v>
      </c>
      <c r="D56" s="1">
        <v>23.88</v>
      </c>
      <c r="E56" s="1">
        <v>780.51599999999996</v>
      </c>
      <c r="F56" s="1">
        <v>374.02</v>
      </c>
      <c r="G56" s="7">
        <v>1</v>
      </c>
      <c r="H56" s="1">
        <v>40</v>
      </c>
      <c r="I56" s="1" t="s">
        <v>189</v>
      </c>
      <c r="J56" s="1"/>
      <c r="K56" s="1">
        <v>961.81200000000001</v>
      </c>
      <c r="L56" s="1">
        <f t="shared" si="7"/>
        <v>-181.29600000000005</v>
      </c>
      <c r="M56" s="1">
        <f t="shared" si="3"/>
        <v>780.51599999999996</v>
      </c>
      <c r="N56" s="1"/>
      <c r="O56" s="1"/>
      <c r="P56" s="1">
        <v>298.72145599999999</v>
      </c>
      <c r="Q56" s="1"/>
      <c r="R56" s="1">
        <v>303.53954399999998</v>
      </c>
      <c r="S56" s="1">
        <f>VLOOKUP(A56,[1]TDSheet!$A:$B,2,0)</f>
        <v>309.83800000000002</v>
      </c>
      <c r="T56" s="1"/>
      <c r="U56" s="1"/>
      <c r="V56" s="1"/>
      <c r="W56" s="1"/>
      <c r="X56" s="1">
        <v>689.29949999999985</v>
      </c>
      <c r="Y56" s="1">
        <v>63</v>
      </c>
      <c r="Z56" s="1"/>
      <c r="AA56" s="1">
        <f t="shared" si="4"/>
        <v>156.10319999999999</v>
      </c>
      <c r="AB56" s="5"/>
      <c r="AC56" s="5"/>
      <c r="AD56" s="1">
        <f>(F56+O56+P56+Q56+R56+T56+U56+V56+W56+X56+Y56+Z56+AB56+AC56)/AA56</f>
        <v>11.073318804483188</v>
      </c>
      <c r="AE56" s="1">
        <f>(F56+O56+P56+Q56+R56+T56+U56+V56+W56+X56+Y56+Z56)/AA56</f>
        <v>11.073318804483188</v>
      </c>
      <c r="AF56" s="1">
        <v>121.55540000000001</v>
      </c>
      <c r="AG56" s="1">
        <v>176.9426</v>
      </c>
      <c r="AH56" s="1">
        <v>160.39500000000001</v>
      </c>
      <c r="AI56" s="1">
        <v>105.7924</v>
      </c>
      <c r="AJ56" s="1">
        <v>94.529399999999995</v>
      </c>
      <c r="AK56" s="1">
        <v>94.002600000000001</v>
      </c>
      <c r="AL56" s="1">
        <v>120.4922</v>
      </c>
      <c r="AM56" s="1">
        <v>204.0352</v>
      </c>
      <c r="AN56" s="1">
        <v>200.19560000000001</v>
      </c>
      <c r="AO56" s="1"/>
      <c r="AP56" s="1">
        <f>G56*AB56</f>
        <v>0</v>
      </c>
      <c r="AQ56" s="1">
        <f>-1*AC56*G56</f>
        <v>0</v>
      </c>
      <c r="AR56" s="1">
        <f>(AN56+AM56+AL56+AK56+AJ56+AI56+AH56+AG56+AF56+AA56)*G56</f>
        <v>1434.0436000000002</v>
      </c>
      <c r="AS56" s="1">
        <f>(F56+S56+U56+O56)/AA56</f>
        <v>4.380807055845108</v>
      </c>
      <c r="AT56" s="1"/>
      <c r="AU56" s="1"/>
      <c r="AV56" s="1"/>
      <c r="AW56" s="1"/>
      <c r="AX56" s="1"/>
    </row>
    <row r="57" spans="1:50" x14ac:dyDescent="0.25">
      <c r="A57" s="1" t="s">
        <v>100</v>
      </c>
      <c r="B57" s="1" t="s">
        <v>42</v>
      </c>
      <c r="C57" s="1">
        <v>21.736999999999998</v>
      </c>
      <c r="D57" s="1">
        <v>61.634999999999998</v>
      </c>
      <c r="E57" s="1">
        <v>40.534999999999997</v>
      </c>
      <c r="F57" s="1">
        <v>33.744999999999997</v>
      </c>
      <c r="G57" s="7">
        <v>1</v>
      </c>
      <c r="H57" s="1">
        <v>40</v>
      </c>
      <c r="I57" s="1" t="s">
        <v>176</v>
      </c>
      <c r="J57" s="1"/>
      <c r="K57" s="1">
        <v>94.4</v>
      </c>
      <c r="L57" s="1">
        <f t="shared" si="7"/>
        <v>-53.865000000000009</v>
      </c>
      <c r="M57" s="1">
        <f t="shared" si="3"/>
        <v>40.534999999999997</v>
      </c>
      <c r="N57" s="1"/>
      <c r="O57" s="1"/>
      <c r="P57" s="1">
        <v>75.207600000000014</v>
      </c>
      <c r="Q57" s="1"/>
      <c r="R57" s="1"/>
      <c r="S57" s="10"/>
      <c r="T57" s="1"/>
      <c r="U57" s="1"/>
      <c r="V57" s="1"/>
      <c r="W57" s="1"/>
      <c r="X57" s="1">
        <v>27.868500000000001</v>
      </c>
      <c r="Y57" s="1"/>
      <c r="Z57" s="1"/>
      <c r="AA57" s="1">
        <f t="shared" si="4"/>
        <v>8.1069999999999993</v>
      </c>
      <c r="AB57" s="5"/>
      <c r="AC57" s="5"/>
      <c r="AD57" s="1">
        <f>(F57+O57+P57+Q57+R57+T57+U57+V57+W57+X57+Y57+Z57+AB57+AC57)/AA57</f>
        <v>16.876908844208714</v>
      </c>
      <c r="AE57" s="1">
        <f>(F57+O57+P57+Q57+R57+T57+U57+V57+W57+X57+Y57+Z57)/AA57</f>
        <v>16.876908844208714</v>
      </c>
      <c r="AF57" s="1">
        <v>10.646599999999999</v>
      </c>
      <c r="AG57" s="1">
        <v>11.2418</v>
      </c>
      <c r="AH57" s="1">
        <v>12.716799999999999</v>
      </c>
      <c r="AI57" s="1">
        <v>8.7721999999999998</v>
      </c>
      <c r="AJ57" s="1">
        <v>8.0261999999999993</v>
      </c>
      <c r="AK57" s="1">
        <v>9.0599999999999987</v>
      </c>
      <c r="AL57" s="1">
        <v>10.198</v>
      </c>
      <c r="AM57" s="1">
        <v>9.1614000000000004</v>
      </c>
      <c r="AN57" s="1">
        <v>9.3217999999999996</v>
      </c>
      <c r="AO57" s="1"/>
      <c r="AP57" s="1">
        <f>G57*AB57</f>
        <v>0</v>
      </c>
      <c r="AQ57" s="1">
        <f>-1*AC57*G57</f>
        <v>0</v>
      </c>
      <c r="AR57" s="1">
        <f>(AN57+AM57+AL57+AK57+AJ57+AI57+AH57+AG57+AF57+AA57)*G57</f>
        <v>97.251799999999974</v>
      </c>
      <c r="AS57" s="1"/>
      <c r="AT57" s="1"/>
      <c r="AU57" s="1"/>
      <c r="AV57" s="1"/>
      <c r="AW57" s="1"/>
      <c r="AX57" s="1"/>
    </row>
    <row r="58" spans="1:50" x14ac:dyDescent="0.25">
      <c r="A58" s="1" t="s">
        <v>101</v>
      </c>
      <c r="B58" s="1" t="s">
        <v>42</v>
      </c>
      <c r="C58" s="1">
        <v>523.83600000000001</v>
      </c>
      <c r="D58" s="1">
        <v>146.74600000000001</v>
      </c>
      <c r="E58" s="1">
        <v>314.62599999999998</v>
      </c>
      <c r="F58" s="1">
        <v>290.87599999999998</v>
      </c>
      <c r="G58" s="7">
        <v>1</v>
      </c>
      <c r="H58" s="1">
        <v>30</v>
      </c>
      <c r="I58" s="1" t="s">
        <v>176</v>
      </c>
      <c r="J58" s="1"/>
      <c r="K58" s="1">
        <v>525.298</v>
      </c>
      <c r="L58" s="1">
        <f t="shared" si="7"/>
        <v>-210.67200000000003</v>
      </c>
      <c r="M58" s="1">
        <f t="shared" si="3"/>
        <v>314.62599999999998</v>
      </c>
      <c r="N58" s="1"/>
      <c r="O58" s="1"/>
      <c r="P58" s="1">
        <v>0</v>
      </c>
      <c r="Q58" s="1"/>
      <c r="R58" s="1"/>
      <c r="S58" s="10"/>
      <c r="T58" s="1"/>
      <c r="U58" s="1"/>
      <c r="V58" s="1"/>
      <c r="W58" s="1"/>
      <c r="X58" s="1">
        <v>918.31219000000021</v>
      </c>
      <c r="Y58" s="1"/>
      <c r="Z58" s="1"/>
      <c r="AA58" s="1">
        <f t="shared" si="4"/>
        <v>62.925199999999997</v>
      </c>
      <c r="AB58" s="5"/>
      <c r="AC58" s="5">
        <v>-100</v>
      </c>
      <c r="AD58" s="1">
        <f>(F58+O58+P58+Q58+R58+T58+U58+V58+W58+X58+Y58+Z58+AB58+AC58)/AA58</f>
        <v>17.627090418465105</v>
      </c>
      <c r="AE58" s="1">
        <f>(F58+O58+P58+Q58+R58+T58+U58+V58+W58+X58+Y58+Z58)/AA58</f>
        <v>19.216278851716012</v>
      </c>
      <c r="AF58" s="1">
        <v>91.303799999999995</v>
      </c>
      <c r="AG58" s="1">
        <v>116.23739999999999</v>
      </c>
      <c r="AH58" s="1">
        <v>91.614599999999996</v>
      </c>
      <c r="AI58" s="1">
        <v>122.62739999999999</v>
      </c>
      <c r="AJ58" s="1">
        <v>181.6866</v>
      </c>
      <c r="AK58" s="1">
        <v>114.6506</v>
      </c>
      <c r="AL58" s="1">
        <v>69.47999999999999</v>
      </c>
      <c r="AM58" s="1">
        <v>56.1828</v>
      </c>
      <c r="AN58" s="1">
        <v>55.811199999999999</v>
      </c>
      <c r="AO58" s="22" t="s">
        <v>183</v>
      </c>
      <c r="AP58" s="1">
        <f>G58*AB58</f>
        <v>0</v>
      </c>
      <c r="AQ58" s="1">
        <f>-1*AC58*G58</f>
        <v>100</v>
      </c>
      <c r="AR58" s="1">
        <f>(AN58+AM58+AL58+AK58+AJ58+AI58+AH58+AG58+AF58+AA58)*G58</f>
        <v>962.51959999999997</v>
      </c>
      <c r="AS58" s="1"/>
      <c r="AT58" s="1"/>
      <c r="AU58" s="1"/>
      <c r="AV58" s="1"/>
      <c r="AW58" s="1"/>
      <c r="AX58" s="1"/>
    </row>
    <row r="59" spans="1:50" x14ac:dyDescent="0.25">
      <c r="A59" s="1" t="s">
        <v>102</v>
      </c>
      <c r="B59" s="1" t="s">
        <v>46</v>
      </c>
      <c r="C59" s="1">
        <v>843</v>
      </c>
      <c r="D59" s="1">
        <v>281</v>
      </c>
      <c r="E59" s="1">
        <v>355</v>
      </c>
      <c r="F59" s="1">
        <v>560</v>
      </c>
      <c r="G59" s="7">
        <v>0.6</v>
      </c>
      <c r="H59" s="1">
        <v>60</v>
      </c>
      <c r="I59" s="1" t="s">
        <v>176</v>
      </c>
      <c r="J59" s="1"/>
      <c r="K59" s="1">
        <v>653</v>
      </c>
      <c r="L59" s="1">
        <f t="shared" si="7"/>
        <v>-298</v>
      </c>
      <c r="M59" s="1">
        <f t="shared" si="3"/>
        <v>355</v>
      </c>
      <c r="N59" s="1"/>
      <c r="O59" s="1"/>
      <c r="P59" s="1">
        <v>242.64319999999989</v>
      </c>
      <c r="Q59" s="1"/>
      <c r="R59" s="1">
        <v>246.5567999999999</v>
      </c>
      <c r="S59" s="1">
        <f>VLOOKUP(A59,[1]TDSheet!$A:$B,2,0)</f>
        <v>248</v>
      </c>
      <c r="T59" s="1"/>
      <c r="U59" s="1"/>
      <c r="V59" s="1"/>
      <c r="W59" s="1"/>
      <c r="X59" s="1">
        <v>302.10000000000008</v>
      </c>
      <c r="Y59" s="1"/>
      <c r="Z59" s="1"/>
      <c r="AA59" s="1">
        <f t="shared" si="4"/>
        <v>71</v>
      </c>
      <c r="AB59" s="5"/>
      <c r="AC59" s="5">
        <f>(AE59-$AB$1)*AA59*(-1)</f>
        <v>-534.79999999999984</v>
      </c>
      <c r="AD59" s="1">
        <f>(F59+O59+P59+Q59+R59+T59+U59+V59+W59+X59+Y59+Z59+AB59+AC59)/AA59</f>
        <v>11.500000000000002</v>
      </c>
      <c r="AE59" s="1">
        <f>(F59+O59+P59+Q59+R59+T59+U59+V59+W59+X59+Y59+Z59)/AA59</f>
        <v>19.032394366197181</v>
      </c>
      <c r="AF59" s="1">
        <v>74</v>
      </c>
      <c r="AG59" s="1">
        <v>122</v>
      </c>
      <c r="AH59" s="1">
        <v>127.6</v>
      </c>
      <c r="AI59" s="1">
        <v>96.2</v>
      </c>
      <c r="AJ59" s="1">
        <v>82</v>
      </c>
      <c r="AK59" s="1">
        <v>93.4</v>
      </c>
      <c r="AL59" s="1">
        <v>153</v>
      </c>
      <c r="AM59" s="1">
        <v>154</v>
      </c>
      <c r="AN59" s="1">
        <v>159</v>
      </c>
      <c r="AO59" s="22" t="s">
        <v>74</v>
      </c>
      <c r="AP59" s="1">
        <f>G59*AB59</f>
        <v>0</v>
      </c>
      <c r="AQ59" s="1">
        <f>-1*AC59*G59</f>
        <v>320.87999999999988</v>
      </c>
      <c r="AR59" s="1">
        <f>(AN59+AM59+AL59+AK59+AJ59+AI59+AH59+AG59+AF59+AA59)*G59</f>
        <v>679.32</v>
      </c>
      <c r="AS59" s="1"/>
      <c r="AT59" s="1"/>
      <c r="AU59" s="1"/>
      <c r="AV59" s="1"/>
      <c r="AW59" s="1"/>
      <c r="AX59" s="1"/>
    </row>
    <row r="60" spans="1:50" x14ac:dyDescent="0.25">
      <c r="A60" s="1" t="s">
        <v>103</v>
      </c>
      <c r="B60" s="1" t="s">
        <v>46</v>
      </c>
      <c r="C60" s="1">
        <v>457</v>
      </c>
      <c r="D60" s="1">
        <v>643</v>
      </c>
      <c r="E60" s="1">
        <v>324</v>
      </c>
      <c r="F60" s="1">
        <v>611</v>
      </c>
      <c r="G60" s="7">
        <v>0.6</v>
      </c>
      <c r="H60" s="1">
        <v>60</v>
      </c>
      <c r="I60" s="1" t="s">
        <v>176</v>
      </c>
      <c r="J60" s="1"/>
      <c r="K60" s="1">
        <v>653</v>
      </c>
      <c r="L60" s="1">
        <f t="shared" si="7"/>
        <v>-329</v>
      </c>
      <c r="M60" s="1">
        <f t="shared" si="3"/>
        <v>324</v>
      </c>
      <c r="N60" s="1"/>
      <c r="O60" s="1"/>
      <c r="P60" s="1">
        <v>151.1808</v>
      </c>
      <c r="Q60" s="1"/>
      <c r="R60" s="1">
        <v>153.61920000000001</v>
      </c>
      <c r="S60" s="1">
        <f>VLOOKUP(A60,[1]TDSheet!$A:$B,2,0)</f>
        <v>160</v>
      </c>
      <c r="T60" s="1"/>
      <c r="U60" s="1"/>
      <c r="V60" s="1"/>
      <c r="W60" s="1"/>
      <c r="X60" s="1">
        <v>280.30999999999977</v>
      </c>
      <c r="Y60" s="1"/>
      <c r="Z60" s="1"/>
      <c r="AA60" s="1">
        <f t="shared" si="4"/>
        <v>64.8</v>
      </c>
      <c r="AB60" s="5"/>
      <c r="AC60" s="5">
        <f>(AE60-$AB$1)*AA60*(-1)</f>
        <v>-450.90999999999968</v>
      </c>
      <c r="AD60" s="1">
        <f>(F60+O60+P60+Q60+R60+T60+U60+V60+W60+X60+Y60+Z60+AB60+AC60)/AA60</f>
        <v>11.500000000000002</v>
      </c>
      <c r="AE60" s="1">
        <f>(F60+O60+P60+Q60+R60+T60+U60+V60+W60+X60+Y60+Z60)/AA60</f>
        <v>18.458487654320983</v>
      </c>
      <c r="AF60" s="1">
        <v>68.599999999999994</v>
      </c>
      <c r="AG60" s="1">
        <v>104.6</v>
      </c>
      <c r="AH60" s="1">
        <v>112.2</v>
      </c>
      <c r="AI60" s="1">
        <v>95.2</v>
      </c>
      <c r="AJ60" s="1">
        <v>77.400000000000006</v>
      </c>
      <c r="AK60" s="1">
        <v>92.4</v>
      </c>
      <c r="AL60" s="1">
        <v>121.2</v>
      </c>
      <c r="AM60" s="1">
        <v>86.6</v>
      </c>
      <c r="AN60" s="1">
        <v>75.2</v>
      </c>
      <c r="AO60" s="22" t="s">
        <v>74</v>
      </c>
      <c r="AP60" s="1">
        <f>G60*AB60</f>
        <v>0</v>
      </c>
      <c r="AQ60" s="1">
        <f>-1*AC60*G60</f>
        <v>270.54599999999982</v>
      </c>
      <c r="AR60" s="1">
        <f>(AN60+AM60+AL60+AK60+AJ60+AI60+AH60+AG60+AF60+AA60)*G60</f>
        <v>538.91999999999996</v>
      </c>
      <c r="AS60" s="1"/>
      <c r="AT60" s="1"/>
      <c r="AU60" s="1"/>
      <c r="AV60" s="1"/>
      <c r="AW60" s="1"/>
      <c r="AX60" s="1"/>
    </row>
    <row r="61" spans="1:50" x14ac:dyDescent="0.25">
      <c r="A61" s="1" t="s">
        <v>104</v>
      </c>
      <c r="B61" s="1" t="s">
        <v>46</v>
      </c>
      <c r="C61" s="1">
        <v>76</v>
      </c>
      <c r="D61" s="1">
        <v>54</v>
      </c>
      <c r="E61" s="1">
        <v>26</v>
      </c>
      <c r="F61" s="1">
        <v>98</v>
      </c>
      <c r="G61" s="7">
        <v>0.35</v>
      </c>
      <c r="H61" s="1">
        <v>90</v>
      </c>
      <c r="I61" s="1" t="s">
        <v>176</v>
      </c>
      <c r="J61" s="1"/>
      <c r="K61" s="1">
        <v>35</v>
      </c>
      <c r="L61" s="1">
        <f t="shared" si="7"/>
        <v>-9</v>
      </c>
      <c r="M61" s="1">
        <f t="shared" si="3"/>
        <v>26</v>
      </c>
      <c r="N61" s="1"/>
      <c r="O61" s="1"/>
      <c r="P61" s="1">
        <v>68.799999999999955</v>
      </c>
      <c r="Q61" s="1"/>
      <c r="R61" s="1"/>
      <c r="S61" s="10"/>
      <c r="T61" s="1"/>
      <c r="U61" s="1"/>
      <c r="V61" s="1"/>
      <c r="W61" s="1"/>
      <c r="X61" s="1">
        <v>0</v>
      </c>
      <c r="Y61" s="1"/>
      <c r="Z61" s="1"/>
      <c r="AA61" s="1">
        <f t="shared" si="4"/>
        <v>5.2</v>
      </c>
      <c r="AB61" s="5"/>
      <c r="AC61" s="5">
        <v>-60</v>
      </c>
      <c r="AD61" s="1">
        <f>(F61+O61+P61+Q61+R61+T61+U61+V61+W61+X61+Y61+Z61+AB61+AC61)/AA61</f>
        <v>20.538461538461529</v>
      </c>
      <c r="AE61" s="1">
        <f>(F61+O61+P61+Q61+R61+T61+U61+V61+W61+X61+Y61+Z61)/AA61</f>
        <v>32.076923076923066</v>
      </c>
      <c r="AF61" s="1">
        <v>8.1999999999999993</v>
      </c>
      <c r="AG61" s="1">
        <v>11.2</v>
      </c>
      <c r="AH61" s="1">
        <v>17.399999999999999</v>
      </c>
      <c r="AI61" s="1">
        <v>13.8</v>
      </c>
      <c r="AJ61" s="1">
        <v>7.8</v>
      </c>
      <c r="AK61" s="1">
        <v>5.6</v>
      </c>
      <c r="AL61" s="1">
        <v>8.8000000000000007</v>
      </c>
      <c r="AM61" s="1">
        <v>17</v>
      </c>
      <c r="AN61" s="1">
        <v>11</v>
      </c>
      <c r="AO61" s="22" t="s">
        <v>182</v>
      </c>
      <c r="AP61" s="1">
        <f>G61*AB61</f>
        <v>0</v>
      </c>
      <c r="AQ61" s="1">
        <f>-1*AC61*G61</f>
        <v>21</v>
      </c>
      <c r="AR61" s="1">
        <f>(AN61+AM61+AL61+AK61+AJ61+AI61+AH61+AG61+AF61+AA61)*G61</f>
        <v>37.1</v>
      </c>
      <c r="AS61" s="1"/>
      <c r="AT61" s="1"/>
      <c r="AU61" s="1"/>
      <c r="AV61" s="1"/>
      <c r="AW61" s="1"/>
      <c r="AX61" s="1"/>
    </row>
    <row r="62" spans="1:50" x14ac:dyDescent="0.25">
      <c r="A62" s="1" t="s">
        <v>105</v>
      </c>
      <c r="B62" s="1" t="s">
        <v>46</v>
      </c>
      <c r="C62" s="1">
        <v>195</v>
      </c>
      <c r="D62" s="1">
        <v>189</v>
      </c>
      <c r="E62" s="1">
        <v>153</v>
      </c>
      <c r="F62" s="1">
        <v>202</v>
      </c>
      <c r="G62" s="7">
        <v>0.37</v>
      </c>
      <c r="H62" s="1">
        <v>50</v>
      </c>
      <c r="I62" s="1" t="s">
        <v>176</v>
      </c>
      <c r="J62" s="1"/>
      <c r="K62" s="1">
        <v>231</v>
      </c>
      <c r="L62" s="1">
        <f t="shared" si="7"/>
        <v>-78</v>
      </c>
      <c r="M62" s="1">
        <f t="shared" si="3"/>
        <v>153</v>
      </c>
      <c r="N62" s="1"/>
      <c r="O62" s="1"/>
      <c r="P62" s="1">
        <v>0</v>
      </c>
      <c r="Q62" s="1"/>
      <c r="R62" s="1"/>
      <c r="S62" s="10"/>
      <c r="T62" s="1"/>
      <c r="U62" s="1"/>
      <c r="V62" s="1"/>
      <c r="W62" s="1"/>
      <c r="X62" s="1">
        <v>155.50000000000011</v>
      </c>
      <c r="Y62" s="1"/>
      <c r="Z62" s="1"/>
      <c r="AA62" s="1">
        <f t="shared" si="4"/>
        <v>30.6</v>
      </c>
      <c r="AB62" s="5"/>
      <c r="AC62" s="5"/>
      <c r="AD62" s="1">
        <f>(F62+O62+P62+Q62+R62+T62+U62+V62+W62+X62+Y62+Z62+AB62+AC62)/AA62</f>
        <v>11.683006535947715</v>
      </c>
      <c r="AE62" s="1">
        <f>(F62+O62+P62+Q62+R62+T62+U62+V62+W62+X62+Y62+Z62)/AA62</f>
        <v>11.683006535947715</v>
      </c>
      <c r="AF62" s="1">
        <v>29</v>
      </c>
      <c r="AG62" s="1">
        <v>32.200000000000003</v>
      </c>
      <c r="AH62" s="1">
        <v>29.2</v>
      </c>
      <c r="AI62" s="1">
        <v>33</v>
      </c>
      <c r="AJ62" s="1">
        <v>30</v>
      </c>
      <c r="AK62" s="1">
        <v>16.600000000000001</v>
      </c>
      <c r="AL62" s="1">
        <v>15.8</v>
      </c>
      <c r="AM62" s="1">
        <v>23.6</v>
      </c>
      <c r="AN62" s="1">
        <v>31</v>
      </c>
      <c r="AO62" s="1"/>
      <c r="AP62" s="1">
        <f>G62*AB62</f>
        <v>0</v>
      </c>
      <c r="AQ62" s="1">
        <f>-1*AC62*G62</f>
        <v>0</v>
      </c>
      <c r="AR62" s="1">
        <f>(AN62+AM62+AL62+AK62+AJ62+AI62+AH62+AG62+AF62+AA62)*G62</f>
        <v>100.27</v>
      </c>
      <c r="AS62" s="1"/>
      <c r="AT62" s="1"/>
      <c r="AU62" s="1"/>
      <c r="AV62" s="1"/>
      <c r="AW62" s="1"/>
      <c r="AX62" s="1"/>
    </row>
    <row r="63" spans="1:50" x14ac:dyDescent="0.25">
      <c r="A63" s="1" t="s">
        <v>106</v>
      </c>
      <c r="B63" s="1" t="s">
        <v>46</v>
      </c>
      <c r="C63" s="1">
        <v>1673</v>
      </c>
      <c r="D63" s="1">
        <v>243</v>
      </c>
      <c r="E63" s="1">
        <v>1339</v>
      </c>
      <c r="F63" s="1">
        <v>544</v>
      </c>
      <c r="G63" s="7">
        <v>0.6</v>
      </c>
      <c r="H63" s="1">
        <v>70</v>
      </c>
      <c r="I63" s="21" t="s">
        <v>181</v>
      </c>
      <c r="J63" s="1"/>
      <c r="K63" s="1">
        <v>1429</v>
      </c>
      <c r="L63" s="1">
        <f t="shared" si="7"/>
        <v>-90</v>
      </c>
      <c r="M63" s="1">
        <f t="shared" si="3"/>
        <v>1339</v>
      </c>
      <c r="N63" s="1"/>
      <c r="O63" s="1"/>
      <c r="P63" s="1">
        <v>500</v>
      </c>
      <c r="Q63" s="1"/>
      <c r="R63" s="1"/>
      <c r="S63" s="10"/>
      <c r="T63" s="1"/>
      <c r="U63" s="1"/>
      <c r="V63" s="1"/>
      <c r="W63" s="1"/>
      <c r="X63" s="1">
        <v>100</v>
      </c>
      <c r="Y63" s="1"/>
      <c r="Z63" s="1"/>
      <c r="AA63" s="1">
        <f t="shared" si="4"/>
        <v>267.8</v>
      </c>
      <c r="AB63" s="5"/>
      <c r="AC63" s="5"/>
      <c r="AD63" s="1">
        <f>(F63+O63+P63+Q63+R63+T63+U63+V63+W63+X63+Y63+Z63+AB63+AC63)/AA63</f>
        <v>4.2718446601941746</v>
      </c>
      <c r="AE63" s="1">
        <f>(F63+O63+P63+Q63+R63+T63+U63+V63+W63+X63+Y63+Z63)/AA63</f>
        <v>4.2718446601941746</v>
      </c>
      <c r="AF63" s="1">
        <v>269</v>
      </c>
      <c r="AG63" s="1">
        <v>267.2</v>
      </c>
      <c r="AH63" s="1">
        <v>46.4</v>
      </c>
      <c r="AI63" s="1">
        <v>45.849400000000003</v>
      </c>
      <c r="AJ63" s="1">
        <v>42.6494</v>
      </c>
      <c r="AK63" s="1">
        <v>44.8</v>
      </c>
      <c r="AL63" s="1">
        <v>51.4</v>
      </c>
      <c r="AM63" s="1">
        <v>44.4</v>
      </c>
      <c r="AN63" s="1">
        <v>22.8</v>
      </c>
      <c r="AO63" s="1" t="s">
        <v>107</v>
      </c>
      <c r="AP63" s="1">
        <f>G63*AB63</f>
        <v>0</v>
      </c>
      <c r="AQ63" s="1">
        <f>-1*AC63*G63</f>
        <v>0</v>
      </c>
      <c r="AR63" s="1">
        <f>(AN63+AM63+AL63+AK63+AJ63+AI63+AH63+AG63+AF63+AA63)*G63</f>
        <v>661.37927999999999</v>
      </c>
      <c r="AS63" s="1"/>
      <c r="AT63" s="1"/>
      <c r="AU63" s="1"/>
      <c r="AV63" s="1"/>
      <c r="AW63" s="1"/>
      <c r="AX63" s="1"/>
    </row>
    <row r="64" spans="1:50" x14ac:dyDescent="0.25">
      <c r="A64" s="1" t="s">
        <v>108</v>
      </c>
      <c r="B64" s="1" t="s">
        <v>46</v>
      </c>
      <c r="C64" s="1">
        <v>163</v>
      </c>
      <c r="D64" s="1">
        <v>115</v>
      </c>
      <c r="E64" s="1">
        <v>177</v>
      </c>
      <c r="F64" s="1">
        <v>52</v>
      </c>
      <c r="G64" s="7">
        <v>0.33</v>
      </c>
      <c r="H64" s="1">
        <v>40</v>
      </c>
      <c r="I64" s="1" t="s">
        <v>176</v>
      </c>
      <c r="J64" s="1"/>
      <c r="K64" s="1">
        <v>410</v>
      </c>
      <c r="L64" s="1">
        <f t="shared" si="7"/>
        <v>-233</v>
      </c>
      <c r="M64" s="1">
        <f t="shared" si="3"/>
        <v>177</v>
      </c>
      <c r="N64" s="1"/>
      <c r="O64" s="1"/>
      <c r="P64" s="1">
        <v>54.800000000000011</v>
      </c>
      <c r="Q64" s="1"/>
      <c r="R64" s="1"/>
      <c r="S64" s="10"/>
      <c r="T64" s="1"/>
      <c r="U64" s="1"/>
      <c r="V64" s="1"/>
      <c r="W64" s="1"/>
      <c r="X64" s="1">
        <v>217.2</v>
      </c>
      <c r="Y64" s="1"/>
      <c r="Z64" s="1"/>
      <c r="AA64" s="1">
        <f t="shared" si="4"/>
        <v>35.4</v>
      </c>
      <c r="AB64" s="5">
        <f t="shared" si="6"/>
        <v>65.399999999999977</v>
      </c>
      <c r="AC64" s="5"/>
      <c r="AD64" s="1">
        <f>(F64+O64+P64+Q64+R64+T64+U64+V64+W64+X64+Y64+Z64+AB64+AC64)/AA64</f>
        <v>11</v>
      </c>
      <c r="AE64" s="1">
        <f>(F64+O64+P64+Q64+R64+T64+U64+V64+W64+X64+Y64+Z64)/AA64</f>
        <v>9.1525423728813564</v>
      </c>
      <c r="AF64" s="1">
        <v>34.799999999999997</v>
      </c>
      <c r="AG64" s="1">
        <v>35.6</v>
      </c>
      <c r="AH64" s="1">
        <v>19.8</v>
      </c>
      <c r="AI64" s="1">
        <v>12.8</v>
      </c>
      <c r="AJ64" s="1">
        <v>23.4</v>
      </c>
      <c r="AK64" s="1">
        <v>19.399999999999999</v>
      </c>
      <c r="AL64" s="1">
        <v>9.6</v>
      </c>
      <c r="AM64" s="1">
        <v>4.2</v>
      </c>
      <c r="AN64" s="1">
        <v>12</v>
      </c>
      <c r="AO64" s="1"/>
      <c r="AP64" s="1">
        <f>G64*AB64</f>
        <v>21.581999999999994</v>
      </c>
      <c r="AQ64" s="1">
        <f>-1*AC64*G64</f>
        <v>0</v>
      </c>
      <c r="AR64" s="1">
        <f>(AN64+AM64+AL64+AK64+AJ64+AI64+AH64+AG64+AF64+AA64)*G64</f>
        <v>68.309999999999988</v>
      </c>
      <c r="AS64" s="1"/>
      <c r="AT64" s="1"/>
      <c r="AU64" s="1"/>
      <c r="AV64" s="1"/>
      <c r="AW64" s="1"/>
      <c r="AX64" s="1"/>
    </row>
    <row r="65" spans="1:50" x14ac:dyDescent="0.25">
      <c r="A65" s="1" t="s">
        <v>109</v>
      </c>
      <c r="B65" s="1" t="s">
        <v>46</v>
      </c>
      <c r="C65" s="1">
        <v>74</v>
      </c>
      <c r="D65" s="1">
        <v>145</v>
      </c>
      <c r="E65" s="1">
        <v>60</v>
      </c>
      <c r="F65" s="1">
        <v>152</v>
      </c>
      <c r="G65" s="7">
        <v>0.4</v>
      </c>
      <c r="H65" s="1">
        <v>55</v>
      </c>
      <c r="I65" s="1" t="s">
        <v>176</v>
      </c>
      <c r="J65" s="1"/>
      <c r="K65" s="1">
        <v>96</v>
      </c>
      <c r="L65" s="1">
        <f t="shared" si="7"/>
        <v>-36</v>
      </c>
      <c r="M65" s="1">
        <f t="shared" si="3"/>
        <v>60</v>
      </c>
      <c r="N65" s="1"/>
      <c r="O65" s="1"/>
      <c r="P65" s="1">
        <v>0</v>
      </c>
      <c r="Q65" s="1"/>
      <c r="R65" s="1"/>
      <c r="S65" s="10"/>
      <c r="T65" s="1"/>
      <c r="U65" s="1"/>
      <c r="V65" s="1"/>
      <c r="W65" s="1"/>
      <c r="X65" s="1">
        <v>0</v>
      </c>
      <c r="Y65" s="1"/>
      <c r="Z65" s="1"/>
      <c r="AA65" s="1">
        <f t="shared" si="4"/>
        <v>12</v>
      </c>
      <c r="AB65" s="5"/>
      <c r="AC65" s="5"/>
      <c r="AD65" s="1">
        <f>(F65+O65+P65+Q65+R65+T65+U65+V65+W65+X65+Y65+Z65+AB65+AC65)/AA65</f>
        <v>12.666666666666666</v>
      </c>
      <c r="AE65" s="1">
        <f>(F65+O65+P65+Q65+R65+T65+U65+V65+W65+X65+Y65+Z65)/AA65</f>
        <v>12.666666666666666</v>
      </c>
      <c r="AF65" s="1">
        <v>8.4</v>
      </c>
      <c r="AG65" s="1">
        <v>7.2</v>
      </c>
      <c r="AH65" s="1">
        <v>5.8</v>
      </c>
      <c r="AI65" s="1">
        <v>17.2</v>
      </c>
      <c r="AJ65" s="1">
        <v>11.4</v>
      </c>
      <c r="AK65" s="1">
        <v>6</v>
      </c>
      <c r="AL65" s="1">
        <v>13.6</v>
      </c>
      <c r="AM65" s="1">
        <v>13.2</v>
      </c>
      <c r="AN65" s="1">
        <v>10.148</v>
      </c>
      <c r="AO65" s="1"/>
      <c r="AP65" s="1">
        <f>G65*AB65</f>
        <v>0</v>
      </c>
      <c r="AQ65" s="1">
        <f>-1*AC65*G65</f>
        <v>0</v>
      </c>
      <c r="AR65" s="1">
        <f>(AN65+AM65+AL65+AK65+AJ65+AI65+AH65+AG65+AF65+AA65)*G65</f>
        <v>41.979200000000006</v>
      </c>
      <c r="AS65" s="1"/>
      <c r="AT65" s="1"/>
      <c r="AU65" s="1"/>
      <c r="AV65" s="1"/>
      <c r="AW65" s="1"/>
      <c r="AX65" s="1"/>
    </row>
    <row r="66" spans="1:50" x14ac:dyDescent="0.25">
      <c r="A66" s="1" t="s">
        <v>110</v>
      </c>
      <c r="B66" s="1" t="s">
        <v>46</v>
      </c>
      <c r="C66" s="1">
        <v>153</v>
      </c>
      <c r="D66" s="1">
        <v>215</v>
      </c>
      <c r="E66" s="1">
        <v>233</v>
      </c>
      <c r="F66" s="1">
        <v>85</v>
      </c>
      <c r="G66" s="7">
        <v>0.35</v>
      </c>
      <c r="H66" s="1">
        <v>40</v>
      </c>
      <c r="I66" s="1" t="s">
        <v>176</v>
      </c>
      <c r="J66" s="1"/>
      <c r="K66" s="1">
        <v>354</v>
      </c>
      <c r="L66" s="1">
        <f t="shared" si="7"/>
        <v>-121</v>
      </c>
      <c r="M66" s="1">
        <f t="shared" si="3"/>
        <v>203</v>
      </c>
      <c r="N66" s="1">
        <v>30</v>
      </c>
      <c r="O66" s="1"/>
      <c r="P66" s="1">
        <v>62.199999999999989</v>
      </c>
      <c r="Q66" s="1"/>
      <c r="R66" s="1"/>
      <c r="S66" s="10"/>
      <c r="T66" s="1"/>
      <c r="U66" s="1"/>
      <c r="V66" s="1"/>
      <c r="W66" s="1">
        <v>-318</v>
      </c>
      <c r="X66" s="1">
        <v>313.10000000000002</v>
      </c>
      <c r="Y66" s="1"/>
      <c r="Z66" s="1"/>
      <c r="AA66" s="1">
        <f t="shared" si="4"/>
        <v>40.6</v>
      </c>
      <c r="AB66" s="5">
        <f>10*AA66-Z66-Y66-X66-W66-V66-U66-T66-R66-Q66-P66-O66-F66</f>
        <v>263.7</v>
      </c>
      <c r="AC66" s="5"/>
      <c r="AD66" s="1">
        <f>(F66+O66+P66+Q66+R66+T66+U66+V66+W66+X66+Y66+Z66+AB66+AC66)/AA66</f>
        <v>10</v>
      </c>
      <c r="AE66" s="1">
        <f>(F66+O66+P66+Q66+R66+T66+U66+V66+W66+X66+Y66+Z66)/AA66</f>
        <v>3.5049261083743843</v>
      </c>
      <c r="AF66" s="1">
        <v>41.6</v>
      </c>
      <c r="AG66" s="1">
        <v>46.2</v>
      </c>
      <c r="AH66" s="1">
        <v>34.4</v>
      </c>
      <c r="AI66" s="1">
        <v>36.6</v>
      </c>
      <c r="AJ66" s="1">
        <v>30</v>
      </c>
      <c r="AK66" s="1">
        <v>11.8</v>
      </c>
      <c r="AL66" s="1">
        <v>22.8</v>
      </c>
      <c r="AM66" s="1">
        <v>51.8</v>
      </c>
      <c r="AN66" s="1">
        <v>47.6</v>
      </c>
      <c r="AO66" s="1"/>
      <c r="AP66" s="1">
        <f>G66*AB66</f>
        <v>92.294999999999987</v>
      </c>
      <c r="AQ66" s="1">
        <f>-1*AC66*G66</f>
        <v>0</v>
      </c>
      <c r="AR66" s="1">
        <f>(AN66+AM66+AL66+AK66+AJ66+AI66+AH66+AG66+AF66+AA66)*G66</f>
        <v>127.19</v>
      </c>
      <c r="AS66" s="1"/>
      <c r="AT66" s="1"/>
      <c r="AU66" s="1"/>
      <c r="AV66" s="1"/>
      <c r="AW66" s="1"/>
      <c r="AX66" s="1"/>
    </row>
    <row r="67" spans="1:50" x14ac:dyDescent="0.25">
      <c r="A67" s="1" t="s">
        <v>111</v>
      </c>
      <c r="B67" s="1" t="s">
        <v>46</v>
      </c>
      <c r="C67" s="1">
        <v>597</v>
      </c>
      <c r="D67" s="1">
        <v>185</v>
      </c>
      <c r="E67" s="1">
        <v>393</v>
      </c>
      <c r="F67" s="1">
        <v>327</v>
      </c>
      <c r="G67" s="7">
        <v>0.35</v>
      </c>
      <c r="H67" s="1">
        <v>45</v>
      </c>
      <c r="I67" s="1" t="s">
        <v>176</v>
      </c>
      <c r="J67" s="1"/>
      <c r="K67" s="1">
        <v>641</v>
      </c>
      <c r="L67" s="1">
        <f t="shared" si="7"/>
        <v>-248</v>
      </c>
      <c r="M67" s="1">
        <f t="shared" si="3"/>
        <v>363</v>
      </c>
      <c r="N67" s="1">
        <v>30</v>
      </c>
      <c r="O67" s="1"/>
      <c r="P67" s="1">
        <v>214</v>
      </c>
      <c r="Q67" s="1"/>
      <c r="R67" s="1"/>
      <c r="S67" s="10"/>
      <c r="T67" s="1"/>
      <c r="U67" s="1"/>
      <c r="V67" s="1"/>
      <c r="W67" s="1">
        <v>-258</v>
      </c>
      <c r="X67" s="1">
        <v>254</v>
      </c>
      <c r="Y67" s="1"/>
      <c r="Z67" s="1"/>
      <c r="AA67" s="1">
        <f t="shared" si="4"/>
        <v>72.599999999999994</v>
      </c>
      <c r="AB67" s="5">
        <f t="shared" si="6"/>
        <v>261.59999999999991</v>
      </c>
      <c r="AC67" s="5"/>
      <c r="AD67" s="1">
        <f>(F67+O67+P67+Q67+R67+T67+U67+V67+W67+X67+Y67+Z67+AB67+AC67)/AA67</f>
        <v>11</v>
      </c>
      <c r="AE67" s="1">
        <f>(F67+O67+P67+Q67+R67+T67+U67+V67+W67+X67+Y67+Z67)/AA67</f>
        <v>7.3966942148760335</v>
      </c>
      <c r="AF67" s="1">
        <v>72.599999999999994</v>
      </c>
      <c r="AG67" s="1">
        <v>82</v>
      </c>
      <c r="AH67" s="1">
        <v>85</v>
      </c>
      <c r="AI67" s="1">
        <v>80</v>
      </c>
      <c r="AJ67" s="1">
        <v>70.599999999999994</v>
      </c>
      <c r="AK67" s="1">
        <v>69.400000000000006</v>
      </c>
      <c r="AL67" s="1">
        <v>121.4</v>
      </c>
      <c r="AM67" s="1">
        <v>133.4</v>
      </c>
      <c r="AN67" s="1">
        <v>75.8</v>
      </c>
      <c r="AO67" s="1"/>
      <c r="AP67" s="1">
        <f>G67*AB67</f>
        <v>91.55999999999996</v>
      </c>
      <c r="AQ67" s="1">
        <f>-1*AC67*G67</f>
        <v>0</v>
      </c>
      <c r="AR67" s="1">
        <f>(AN67+AM67+AL67+AK67+AJ67+AI67+AH67+AG67+AF67+AA67)*G67</f>
        <v>301.98</v>
      </c>
      <c r="AS67" s="1"/>
      <c r="AT67" s="1"/>
      <c r="AU67" s="1"/>
      <c r="AV67" s="1"/>
      <c r="AW67" s="1"/>
      <c r="AX67" s="1"/>
    </row>
    <row r="68" spans="1:50" x14ac:dyDescent="0.25">
      <c r="A68" s="1" t="s">
        <v>112</v>
      </c>
      <c r="B68" s="1" t="s">
        <v>46</v>
      </c>
      <c r="C68" s="1">
        <v>23</v>
      </c>
      <c r="D68" s="1"/>
      <c r="E68" s="1">
        <v>1</v>
      </c>
      <c r="F68" s="1">
        <v>22</v>
      </c>
      <c r="G68" s="7">
        <v>0.4</v>
      </c>
      <c r="H68" s="1">
        <v>55</v>
      </c>
      <c r="I68" s="1" t="s">
        <v>176</v>
      </c>
      <c r="J68" s="1"/>
      <c r="K68" s="1">
        <v>41</v>
      </c>
      <c r="L68" s="1">
        <f t="shared" si="7"/>
        <v>-40</v>
      </c>
      <c r="M68" s="1">
        <f t="shared" si="3"/>
        <v>1</v>
      </c>
      <c r="N68" s="1"/>
      <c r="O68" s="1"/>
      <c r="P68" s="1">
        <v>15</v>
      </c>
      <c r="Q68" s="1"/>
      <c r="R68" s="1"/>
      <c r="S68" s="10"/>
      <c r="T68" s="1"/>
      <c r="U68" s="1"/>
      <c r="V68" s="1"/>
      <c r="W68" s="1"/>
      <c r="X68" s="1">
        <v>20.499999999999989</v>
      </c>
      <c r="Y68" s="1"/>
      <c r="Z68" s="1"/>
      <c r="AA68" s="1">
        <f t="shared" si="4"/>
        <v>0.2</v>
      </c>
      <c r="AB68" s="5"/>
      <c r="AC68" s="5">
        <v>-10</v>
      </c>
      <c r="AD68" s="1">
        <f>(F68+O68+P68+Q68+R68+T68+U68+V68+W68+X68+Y68+Z68+AB68+AC68)/AA68</f>
        <v>237.49999999999991</v>
      </c>
      <c r="AE68" s="1">
        <f>(F68+O68+P68+Q68+R68+T68+U68+V68+W68+X68+Y68+Z68)/AA68</f>
        <v>287.49999999999989</v>
      </c>
      <c r="AF68" s="1">
        <v>0.2</v>
      </c>
      <c r="AG68" s="1">
        <v>4.5999999999999996</v>
      </c>
      <c r="AH68" s="1">
        <v>5</v>
      </c>
      <c r="AI68" s="1">
        <v>1</v>
      </c>
      <c r="AJ68" s="1">
        <v>0.4</v>
      </c>
      <c r="AK68" s="1">
        <v>0</v>
      </c>
      <c r="AL68" s="1">
        <v>0</v>
      </c>
      <c r="AM68" s="1">
        <v>1</v>
      </c>
      <c r="AN68" s="1">
        <v>1</v>
      </c>
      <c r="AO68" s="22" t="s">
        <v>182</v>
      </c>
      <c r="AP68" s="1">
        <f>G68*AB68</f>
        <v>0</v>
      </c>
      <c r="AQ68" s="1">
        <f>-1*AC68*G68</f>
        <v>4</v>
      </c>
      <c r="AR68" s="1">
        <f>(AN68+AM68+AL68+AK68+AJ68+AI68+AH68+AG68+AF68+AA68)*G68</f>
        <v>5.3599999999999994</v>
      </c>
      <c r="AS68" s="1"/>
      <c r="AT68" s="1"/>
      <c r="AU68" s="1"/>
      <c r="AV68" s="1"/>
      <c r="AW68" s="1"/>
      <c r="AX68" s="1"/>
    </row>
    <row r="69" spans="1:50" x14ac:dyDescent="0.25">
      <c r="A69" s="1" t="s">
        <v>113</v>
      </c>
      <c r="B69" s="1" t="s">
        <v>42</v>
      </c>
      <c r="C69" s="1">
        <v>66.683999999999997</v>
      </c>
      <c r="D69" s="1">
        <v>1.444</v>
      </c>
      <c r="E69" s="1">
        <v>5.6859999999999999</v>
      </c>
      <c r="F69" s="1">
        <v>60.997999999999998</v>
      </c>
      <c r="G69" s="7">
        <v>1</v>
      </c>
      <c r="H69" s="1">
        <v>55</v>
      </c>
      <c r="I69" s="1" t="s">
        <v>176</v>
      </c>
      <c r="J69" s="1"/>
      <c r="K69" s="1">
        <v>7.8</v>
      </c>
      <c r="L69" s="1">
        <f t="shared" si="7"/>
        <v>-2.1139999999999999</v>
      </c>
      <c r="M69" s="1">
        <f t="shared" si="3"/>
        <v>5.6859999999999999</v>
      </c>
      <c r="N69" s="1"/>
      <c r="O69" s="1"/>
      <c r="P69" s="1">
        <v>0</v>
      </c>
      <c r="Q69" s="1"/>
      <c r="R69" s="1"/>
      <c r="S69" s="10"/>
      <c r="T69" s="1"/>
      <c r="U69" s="1"/>
      <c r="V69" s="1"/>
      <c r="W69" s="1"/>
      <c r="X69" s="1">
        <v>0</v>
      </c>
      <c r="Y69" s="1"/>
      <c r="Z69" s="1"/>
      <c r="AA69" s="1">
        <f t="shared" si="4"/>
        <v>1.1372</v>
      </c>
      <c r="AB69" s="5"/>
      <c r="AC69" s="5">
        <f>(AE69-$AB$1)*AA69*(-1)</f>
        <v>-47.920200000000001</v>
      </c>
      <c r="AD69" s="1">
        <f>(F69+O69+P69+Q69+R69+T69+U69+V69+W69+X69+Y69+Z69+AB69+AC69)/AA69</f>
        <v>11.499999999999996</v>
      </c>
      <c r="AE69" s="1">
        <f>(F69+O69+P69+Q69+R69+T69+U69+V69+W69+X69+Y69+Z69)/AA69</f>
        <v>53.638761871262751</v>
      </c>
      <c r="AF69" s="1">
        <v>1.4352</v>
      </c>
      <c r="AG69" s="1">
        <v>2.8454000000000002</v>
      </c>
      <c r="AH69" s="1">
        <v>1.7416</v>
      </c>
      <c r="AI69" s="1">
        <v>3.1873999999999998</v>
      </c>
      <c r="AJ69" s="1">
        <v>6.8353999999999999</v>
      </c>
      <c r="AK69" s="1">
        <v>3.2829999999999999</v>
      </c>
      <c r="AL69" s="1">
        <v>2.9152</v>
      </c>
      <c r="AM69" s="1">
        <v>5.6456</v>
      </c>
      <c r="AN69" s="1">
        <v>4.0502000000000002</v>
      </c>
      <c r="AO69" s="22" t="s">
        <v>182</v>
      </c>
      <c r="AP69" s="1">
        <f>G69*AB69</f>
        <v>0</v>
      </c>
      <c r="AQ69" s="1">
        <f>-1*AC69*G69</f>
        <v>47.920200000000001</v>
      </c>
      <c r="AR69" s="1">
        <f>(AN69+AM69+AL69+AK69+AJ69+AI69+AH69+AG69+AF69+AA69)*G69</f>
        <v>33.0762</v>
      </c>
      <c r="AS69" s="1"/>
      <c r="AT69" s="1"/>
      <c r="AU69" s="1"/>
      <c r="AV69" s="1"/>
      <c r="AW69" s="1"/>
      <c r="AX69" s="1"/>
    </row>
    <row r="70" spans="1:50" x14ac:dyDescent="0.25">
      <c r="A70" s="1" t="s">
        <v>114</v>
      </c>
      <c r="B70" s="1" t="s">
        <v>42</v>
      </c>
      <c r="C70" s="1">
        <v>4990.4939999999997</v>
      </c>
      <c r="D70" s="1">
        <v>2199.4810000000002</v>
      </c>
      <c r="E70" s="1">
        <v>2512.5450000000001</v>
      </c>
      <c r="F70" s="1">
        <v>4448.7730000000001</v>
      </c>
      <c r="G70" s="7">
        <v>1</v>
      </c>
      <c r="H70" s="1">
        <v>60</v>
      </c>
      <c r="I70" s="1" t="s">
        <v>189</v>
      </c>
      <c r="J70" s="1"/>
      <c r="K70" s="1">
        <v>3650.3</v>
      </c>
      <c r="L70" s="1">
        <f t="shared" ref="L70:L99" si="8">E70-K70</f>
        <v>-1137.7550000000001</v>
      </c>
      <c r="M70" s="1">
        <f t="shared" si="3"/>
        <v>2431.0750000000003</v>
      </c>
      <c r="N70" s="1">
        <v>81.47</v>
      </c>
      <c r="O70" s="1"/>
      <c r="P70" s="1">
        <v>656.84412038656228</v>
      </c>
      <c r="Q70" s="1"/>
      <c r="R70" s="1"/>
      <c r="S70" s="10"/>
      <c r="T70" s="1"/>
      <c r="U70" s="1"/>
      <c r="V70" s="1"/>
      <c r="W70" s="1"/>
      <c r="X70" s="1">
        <v>1485.6944240000009</v>
      </c>
      <c r="Y70" s="1"/>
      <c r="Z70" s="1">
        <v>500</v>
      </c>
      <c r="AA70" s="1">
        <f t="shared" si="4"/>
        <v>486.21500000000003</v>
      </c>
      <c r="AB70" s="5"/>
      <c r="AC70" s="5">
        <v>-1500</v>
      </c>
      <c r="AD70" s="1">
        <f>(F70+O70+P70+Q70+R70+T70+U70+V70+W70+X70+Y70+Z70+AB70+AC70)/AA70</f>
        <v>11.499668962057038</v>
      </c>
      <c r="AE70" s="1">
        <f>(F70+O70+P70+Q70+R70+T70+U70+V70+W70+X70+Y70+Z70)/AA70</f>
        <v>14.584723927453005</v>
      </c>
      <c r="AF70" s="1">
        <v>545.07420000000002</v>
      </c>
      <c r="AG70" s="1">
        <v>663.97019999999998</v>
      </c>
      <c r="AH70" s="1">
        <v>653.57219999999995</v>
      </c>
      <c r="AI70" s="1">
        <v>665.99520000000007</v>
      </c>
      <c r="AJ70" s="1">
        <v>698.37220000000002</v>
      </c>
      <c r="AK70" s="1">
        <v>724.56380000000013</v>
      </c>
      <c r="AL70" s="1">
        <v>676.86879999999996</v>
      </c>
      <c r="AM70" s="1">
        <v>668.60320000000002</v>
      </c>
      <c r="AN70" s="1">
        <v>799.48800000000006</v>
      </c>
      <c r="AO70" s="1"/>
      <c r="AP70" s="1">
        <f>G70*AB70</f>
        <v>0</v>
      </c>
      <c r="AQ70" s="1">
        <f>-1*AC70*G70</f>
        <v>1500</v>
      </c>
      <c r="AR70" s="1">
        <f>(AN70+AM70+AL70+AK70+AJ70+AI70+AH70+AG70+AF70+AA70)*G70</f>
        <v>6582.7227999999996</v>
      </c>
      <c r="AS70" s="1">
        <f>(F70+S70+U70+O70)/AA70</f>
        <v>9.1498061557130068</v>
      </c>
      <c r="AT70" s="1"/>
      <c r="AU70" s="1"/>
      <c r="AV70" s="1"/>
      <c r="AW70" s="1"/>
      <c r="AX70" s="1"/>
    </row>
    <row r="71" spans="1:50" x14ac:dyDescent="0.25">
      <c r="A71" s="1" t="s">
        <v>115</v>
      </c>
      <c r="B71" s="1" t="s">
        <v>46</v>
      </c>
      <c r="C71" s="1">
        <v>257</v>
      </c>
      <c r="D71" s="1">
        <v>318</v>
      </c>
      <c r="E71" s="1">
        <v>98</v>
      </c>
      <c r="F71" s="1">
        <v>411</v>
      </c>
      <c r="G71" s="7">
        <v>0.3</v>
      </c>
      <c r="H71" s="1">
        <v>40</v>
      </c>
      <c r="I71" s="1" t="s">
        <v>176</v>
      </c>
      <c r="J71" s="1"/>
      <c r="K71" s="1">
        <v>178</v>
      </c>
      <c r="L71" s="1">
        <f t="shared" si="8"/>
        <v>-80</v>
      </c>
      <c r="M71" s="1">
        <f t="shared" ref="M71:M112" si="9">E71-N71</f>
        <v>98</v>
      </c>
      <c r="N71" s="1"/>
      <c r="O71" s="1"/>
      <c r="P71" s="1">
        <v>19.600000000000019</v>
      </c>
      <c r="Q71" s="1"/>
      <c r="R71" s="1"/>
      <c r="S71" s="10"/>
      <c r="T71" s="1"/>
      <c r="U71" s="1"/>
      <c r="V71" s="1"/>
      <c r="W71" s="1"/>
      <c r="X71" s="1">
        <v>0</v>
      </c>
      <c r="Y71" s="1"/>
      <c r="Z71" s="1"/>
      <c r="AA71" s="1">
        <f t="shared" ref="AA71:AA112" si="10">M71/5</f>
        <v>19.600000000000001</v>
      </c>
      <c r="AB71" s="5"/>
      <c r="AC71" s="5">
        <f>(AE71-$AB$1)*AA71*(-1)</f>
        <v>-205.20000000000002</v>
      </c>
      <c r="AD71" s="1">
        <f>(F71+O71+P71+Q71+R71+T71+U71+V71+W71+X71+Y71+Z71+AB71+AC71)/AA71</f>
        <v>11.5</v>
      </c>
      <c r="AE71" s="1">
        <f>(F71+O71+P71+Q71+R71+T71+U71+V71+W71+X71+Y71+Z71)/AA71</f>
        <v>21.969387755102041</v>
      </c>
      <c r="AF71" s="1">
        <v>20.399999999999999</v>
      </c>
      <c r="AG71" s="1">
        <v>31.2</v>
      </c>
      <c r="AH71" s="1">
        <v>47.6</v>
      </c>
      <c r="AI71" s="1">
        <v>47</v>
      </c>
      <c r="AJ71" s="1">
        <v>39.799999999999997</v>
      </c>
      <c r="AK71" s="1">
        <v>42.6</v>
      </c>
      <c r="AL71" s="1">
        <v>36.200000000000003</v>
      </c>
      <c r="AM71" s="1">
        <v>40.200000000000003</v>
      </c>
      <c r="AN71" s="1">
        <v>53</v>
      </c>
      <c r="AO71" s="22" t="s">
        <v>182</v>
      </c>
      <c r="AP71" s="1">
        <f>G71*AB71</f>
        <v>0</v>
      </c>
      <c r="AQ71" s="1">
        <f>-1*AC71*G71</f>
        <v>61.56</v>
      </c>
      <c r="AR71" s="1">
        <f>(AN71+AM71+AL71+AK71+AJ71+AI71+AH71+AG71+AF71+AA71)*G71</f>
        <v>113.28</v>
      </c>
      <c r="AS71" s="1"/>
      <c r="AT71" s="1"/>
      <c r="AU71" s="1"/>
      <c r="AV71" s="1"/>
      <c r="AW71" s="1"/>
      <c r="AX71" s="1"/>
    </row>
    <row r="72" spans="1:50" x14ac:dyDescent="0.25">
      <c r="A72" s="1" t="s">
        <v>116</v>
      </c>
      <c r="B72" s="1" t="s">
        <v>42</v>
      </c>
      <c r="C72" s="1">
        <v>2074.7759999999998</v>
      </c>
      <c r="D72" s="1">
        <v>322.55700000000002</v>
      </c>
      <c r="E72" s="1">
        <v>1210.549</v>
      </c>
      <c r="F72" s="1">
        <v>1085.2550000000001</v>
      </c>
      <c r="G72" s="7">
        <v>1</v>
      </c>
      <c r="H72" s="1">
        <v>60</v>
      </c>
      <c r="I72" s="1" t="s">
        <v>189</v>
      </c>
      <c r="J72" s="1"/>
      <c r="K72" s="1">
        <v>1679.8</v>
      </c>
      <c r="L72" s="1">
        <f t="shared" si="8"/>
        <v>-469.25099999999998</v>
      </c>
      <c r="M72" s="1">
        <f t="shared" si="9"/>
        <v>1001.169</v>
      </c>
      <c r="N72" s="1">
        <v>209.38</v>
      </c>
      <c r="O72" s="1"/>
      <c r="P72" s="1">
        <v>580.65548686080001</v>
      </c>
      <c r="Q72" s="1"/>
      <c r="R72" s="1">
        <v>590.02089793920004</v>
      </c>
      <c r="S72" s="1">
        <f>VLOOKUP(A72,[1]TDSheet!$A:$B,2,0)</f>
        <v>595.88</v>
      </c>
      <c r="T72" s="1"/>
      <c r="U72" s="1"/>
      <c r="V72" s="1"/>
      <c r="W72" s="1"/>
      <c r="X72" s="1">
        <v>176.31462600000009</v>
      </c>
      <c r="Y72" s="1"/>
      <c r="Z72" s="1"/>
      <c r="AA72" s="1">
        <f t="shared" si="10"/>
        <v>200.2338</v>
      </c>
      <c r="AB72" s="5"/>
      <c r="AC72" s="5"/>
      <c r="AD72" s="1">
        <f>(F72+O72+P72+Q72+R72+T72+U72+V72+W72+X72+Y72+Z72+AB72+AC72)/AA72</f>
        <v>12.147030175724581</v>
      </c>
      <c r="AE72" s="1">
        <f>(F72+O72+P72+Q72+R72+T72+U72+V72+W72+X72+Y72+Z72)/AA72</f>
        <v>12.147030175724581</v>
      </c>
      <c r="AF72" s="1">
        <v>224.22739999999999</v>
      </c>
      <c r="AG72" s="1">
        <v>269.709</v>
      </c>
      <c r="AH72" s="1">
        <v>297.4228</v>
      </c>
      <c r="AI72" s="1">
        <v>254.03819999999999</v>
      </c>
      <c r="AJ72" s="1">
        <v>250.9092</v>
      </c>
      <c r="AK72" s="1">
        <v>349.91320000000002</v>
      </c>
      <c r="AL72" s="1">
        <v>349.47840000000002</v>
      </c>
      <c r="AM72" s="1">
        <v>308.02800000000002</v>
      </c>
      <c r="AN72" s="1">
        <v>301.47000000000003</v>
      </c>
      <c r="AO72" s="1"/>
      <c r="AP72" s="1">
        <f>G72*AB72</f>
        <v>0</v>
      </c>
      <c r="AQ72" s="1">
        <f>-1*AC72*G72</f>
        <v>0</v>
      </c>
      <c r="AR72" s="1">
        <f>(AN72+AM72+AL72+AK72+AJ72+AI72+AH72+AG72+AF72+AA72)*G72</f>
        <v>2805.4299999999994</v>
      </c>
      <c r="AS72" s="1">
        <f>(F72+S72+U72+O72)/AA72</f>
        <v>8.3958602393801662</v>
      </c>
      <c r="AT72" s="1"/>
      <c r="AU72" s="1"/>
      <c r="AV72" s="1"/>
      <c r="AW72" s="1"/>
      <c r="AX72" s="1"/>
    </row>
    <row r="73" spans="1:50" x14ac:dyDescent="0.25">
      <c r="A73" s="1" t="s">
        <v>117</v>
      </c>
      <c r="B73" s="1" t="s">
        <v>42</v>
      </c>
      <c r="C73" s="1">
        <v>5281.3029999999999</v>
      </c>
      <c r="D73" s="1">
        <v>1669.4939999999999</v>
      </c>
      <c r="E73" s="1">
        <v>3190.7959999999998</v>
      </c>
      <c r="F73" s="1">
        <v>3347.357</v>
      </c>
      <c r="G73" s="7">
        <v>1</v>
      </c>
      <c r="H73" s="1">
        <v>60</v>
      </c>
      <c r="I73" s="1" t="s">
        <v>189</v>
      </c>
      <c r="J73" s="1"/>
      <c r="K73" s="1">
        <v>4076.1</v>
      </c>
      <c r="L73" s="1">
        <f t="shared" si="8"/>
        <v>-885.30400000000009</v>
      </c>
      <c r="M73" s="1">
        <f t="shared" si="9"/>
        <v>2435.0559999999996</v>
      </c>
      <c r="N73" s="1">
        <v>755.74</v>
      </c>
      <c r="O73" s="1"/>
      <c r="P73" s="1">
        <v>809.15368426239968</v>
      </c>
      <c r="Q73" s="1">
        <v>1600</v>
      </c>
      <c r="R73" s="1">
        <v>822.20455013759977</v>
      </c>
      <c r="S73" s="1">
        <f>VLOOKUP(A73,[1]TDSheet!$A:$B,2,0)</f>
        <v>833.05</v>
      </c>
      <c r="T73" s="1"/>
      <c r="U73" s="14">
        <v>1400</v>
      </c>
      <c r="V73" s="1">
        <v>800</v>
      </c>
      <c r="W73" s="1"/>
      <c r="X73" s="1">
        <v>59.182534000000373</v>
      </c>
      <c r="Y73" s="1"/>
      <c r="Z73" s="1"/>
      <c r="AA73" s="1">
        <f t="shared" si="10"/>
        <v>487.01119999999992</v>
      </c>
      <c r="AB73" s="5"/>
      <c r="AC73" s="5">
        <v>-2700</v>
      </c>
      <c r="AD73" s="1">
        <f>(F73+O73+P73+Q73+R73+T73+U73+V73+W73+X73+Y73+Z73+AB73+AC73)/AA73</f>
        <v>12.603196329776399</v>
      </c>
      <c r="AE73" s="1">
        <f>(F73+O73+P73+Q73+R73+T73+U73+V73+W73+X73+Y73+Z73)/AA73</f>
        <v>18.147216672635043</v>
      </c>
      <c r="AF73" s="1">
        <v>453.0684</v>
      </c>
      <c r="AG73" s="1">
        <v>606.41340000000002</v>
      </c>
      <c r="AH73" s="1">
        <v>702.14319999999998</v>
      </c>
      <c r="AI73" s="1">
        <v>695.84860000000003</v>
      </c>
      <c r="AJ73" s="1">
        <v>634.77740000000006</v>
      </c>
      <c r="AK73" s="1">
        <v>822.75660000000005</v>
      </c>
      <c r="AL73" s="1">
        <v>966.07039999999995</v>
      </c>
      <c r="AM73" s="1">
        <v>712.95320000000004</v>
      </c>
      <c r="AN73" s="1">
        <v>686.71839999999997</v>
      </c>
      <c r="AO73" s="22" t="s">
        <v>74</v>
      </c>
      <c r="AP73" s="1">
        <f>G73*AB73</f>
        <v>0</v>
      </c>
      <c r="AQ73" s="1">
        <f>-1*AC73*G73</f>
        <v>2700</v>
      </c>
      <c r="AR73" s="1">
        <f>(AN73+AM73+AL73+AK73+AJ73+AI73+AH73+AG73+AF73+AA73)*G73</f>
        <v>6767.7608</v>
      </c>
      <c r="AS73" s="1">
        <f>(F73+S73+U73+O73)/AA73</f>
        <v>11.458477751641032</v>
      </c>
      <c r="AT73" s="1"/>
      <c r="AU73" s="1"/>
      <c r="AV73" s="1"/>
      <c r="AW73" s="1"/>
      <c r="AX73" s="1"/>
    </row>
    <row r="74" spans="1:50" x14ac:dyDescent="0.25">
      <c r="A74" s="1" t="s">
        <v>118</v>
      </c>
      <c r="B74" s="1" t="s">
        <v>42</v>
      </c>
      <c r="C74" s="1">
        <v>2425.6640000000002</v>
      </c>
      <c r="D74" s="1">
        <v>4845.3770000000004</v>
      </c>
      <c r="E74" s="1">
        <v>3450.34</v>
      </c>
      <c r="F74" s="1">
        <v>3311.1289999999999</v>
      </c>
      <c r="G74" s="7">
        <v>1</v>
      </c>
      <c r="H74" s="1">
        <v>60</v>
      </c>
      <c r="I74" s="1" t="s">
        <v>189</v>
      </c>
      <c r="J74" s="1"/>
      <c r="K74" s="1">
        <v>4449.7</v>
      </c>
      <c r="L74" s="1">
        <f t="shared" si="8"/>
        <v>-999.35999999999967</v>
      </c>
      <c r="M74" s="1">
        <f t="shared" si="9"/>
        <v>3138.9870000000001</v>
      </c>
      <c r="N74" s="1">
        <v>311.35300000000001</v>
      </c>
      <c r="O74" s="1"/>
      <c r="P74" s="1">
        <v>1365.7285088128001</v>
      </c>
      <c r="Q74" s="1">
        <v>2000</v>
      </c>
      <c r="R74" s="1">
        <v>1387.7563879872</v>
      </c>
      <c r="S74" s="1">
        <f>VLOOKUP(A74,[1]TDSheet!$A:$B,2,0)</f>
        <v>1399.9390000000001</v>
      </c>
      <c r="T74" s="1"/>
      <c r="U74" s="14">
        <v>1400</v>
      </c>
      <c r="V74" s="1">
        <v>800</v>
      </c>
      <c r="W74" s="1"/>
      <c r="X74" s="1">
        <v>39.952035999999453</v>
      </c>
      <c r="Y74" s="1"/>
      <c r="Z74" s="1"/>
      <c r="AA74" s="1">
        <f t="shared" si="10"/>
        <v>627.79740000000004</v>
      </c>
      <c r="AB74" s="5"/>
      <c r="AC74" s="5">
        <v>-2700</v>
      </c>
      <c r="AD74" s="1">
        <f>(F74+O74+P74+Q74+R74+T74+U74+V74+W74+X74+Y74+Z74+AB74+AC74)/AA74</f>
        <v>12.113089243122062</v>
      </c>
      <c r="AE74" s="1">
        <f>(F74+O74+P74+Q74+R74+T74+U74+V74+W74+X74+Y74+Z74)/AA74</f>
        <v>16.413839771875445</v>
      </c>
      <c r="AF74" s="1">
        <v>577.65159999999992</v>
      </c>
      <c r="AG74" s="1">
        <v>698.26039999999989</v>
      </c>
      <c r="AH74" s="1">
        <v>814.36879999999996</v>
      </c>
      <c r="AI74" s="1">
        <v>736.1662</v>
      </c>
      <c r="AJ74" s="1">
        <v>609.91200000000003</v>
      </c>
      <c r="AK74" s="1">
        <v>659.83880000000011</v>
      </c>
      <c r="AL74" s="1">
        <v>775.93799999999987</v>
      </c>
      <c r="AM74" s="1">
        <v>804.43219999999997</v>
      </c>
      <c r="AN74" s="1">
        <v>793.85979999999995</v>
      </c>
      <c r="AO74" s="22" t="s">
        <v>74</v>
      </c>
      <c r="AP74" s="1">
        <f>G74*AB74</f>
        <v>0</v>
      </c>
      <c r="AQ74" s="1">
        <f>-1*AC74*G74</f>
        <v>2700</v>
      </c>
      <c r="AR74" s="1">
        <f>(AN74+AM74+AL74+AK74+AJ74+AI74+AH74+AG74+AF74+AA74)*G74</f>
        <v>7098.2251999999999</v>
      </c>
      <c r="AS74" s="1">
        <f>(F74+S74+U74+O74)/AA74</f>
        <v>9.7341403452769946</v>
      </c>
      <c r="AT74" s="1"/>
      <c r="AU74" s="1"/>
      <c r="AV74" s="1"/>
      <c r="AW74" s="1"/>
      <c r="AX74" s="1"/>
    </row>
    <row r="75" spans="1:50" x14ac:dyDescent="0.25">
      <c r="A75" s="1" t="s">
        <v>119</v>
      </c>
      <c r="B75" s="1" t="s">
        <v>42</v>
      </c>
      <c r="C75" s="1">
        <v>119.623</v>
      </c>
      <c r="D75" s="1">
        <v>1.35</v>
      </c>
      <c r="E75" s="1">
        <v>45.654000000000003</v>
      </c>
      <c r="F75" s="1">
        <v>73.968999999999994</v>
      </c>
      <c r="G75" s="7">
        <v>1</v>
      </c>
      <c r="H75" s="1">
        <v>55</v>
      </c>
      <c r="I75" s="1" t="s">
        <v>176</v>
      </c>
      <c r="J75" s="1"/>
      <c r="K75" s="1">
        <v>134</v>
      </c>
      <c r="L75" s="1">
        <f t="shared" si="8"/>
        <v>-88.346000000000004</v>
      </c>
      <c r="M75" s="1">
        <f t="shared" si="9"/>
        <v>45.654000000000003</v>
      </c>
      <c r="N75" s="1"/>
      <c r="O75" s="1"/>
      <c r="P75" s="1">
        <v>0</v>
      </c>
      <c r="Q75" s="1"/>
      <c r="R75" s="1"/>
      <c r="S75" s="10"/>
      <c r="T75" s="1"/>
      <c r="U75" s="1"/>
      <c r="V75" s="1"/>
      <c r="W75" s="1"/>
      <c r="X75" s="1">
        <v>0</v>
      </c>
      <c r="Y75" s="1"/>
      <c r="Z75" s="1"/>
      <c r="AA75" s="1">
        <f t="shared" si="10"/>
        <v>9.1308000000000007</v>
      </c>
      <c r="AB75" s="5">
        <f t="shared" si="6"/>
        <v>26.469800000000021</v>
      </c>
      <c r="AC75" s="5"/>
      <c r="AD75" s="1">
        <f>(F75+O75+P75+Q75+R75+T75+U75+V75+W75+X75+Y75+Z75+AB75+AC75)/AA75</f>
        <v>11</v>
      </c>
      <c r="AE75" s="1">
        <f>(F75+O75+P75+Q75+R75+T75+U75+V75+W75+X75+Y75+Z75)/AA75</f>
        <v>8.101042624961666</v>
      </c>
      <c r="AF75" s="1">
        <v>9.6712000000000007</v>
      </c>
      <c r="AG75" s="1">
        <v>9.3979999999999997</v>
      </c>
      <c r="AH75" s="1">
        <v>9.9340000000000011</v>
      </c>
      <c r="AI75" s="1">
        <v>15.5474</v>
      </c>
      <c r="AJ75" s="1">
        <v>15.0168</v>
      </c>
      <c r="AK75" s="1">
        <v>2.4350000000000001</v>
      </c>
      <c r="AL75" s="1">
        <v>1.0888</v>
      </c>
      <c r="AM75" s="1">
        <v>13.7394</v>
      </c>
      <c r="AN75" s="1">
        <v>13.4664</v>
      </c>
      <c r="AO75" s="1"/>
      <c r="AP75" s="1">
        <f>G75*AB75</f>
        <v>26.469800000000021</v>
      </c>
      <c r="AQ75" s="1">
        <f>-1*AC75*G75</f>
        <v>0</v>
      </c>
      <c r="AR75" s="1">
        <f>(AN75+AM75+AL75+AK75+AJ75+AI75+AH75+AG75+AF75+AA75)*G75</f>
        <v>99.427799999999991</v>
      </c>
      <c r="AS75" s="1"/>
      <c r="AT75" s="1"/>
      <c r="AU75" s="1"/>
      <c r="AV75" s="1"/>
      <c r="AW75" s="1"/>
      <c r="AX75" s="1"/>
    </row>
    <row r="76" spans="1:50" x14ac:dyDescent="0.25">
      <c r="A76" s="10" t="s">
        <v>120</v>
      </c>
      <c r="B76" s="10" t="s">
        <v>42</v>
      </c>
      <c r="C76" s="10"/>
      <c r="D76" s="10"/>
      <c r="E76" s="10">
        <v>1.36</v>
      </c>
      <c r="F76" s="10">
        <v>-1.36</v>
      </c>
      <c r="G76" s="11">
        <v>0</v>
      </c>
      <c r="H76" s="10"/>
      <c r="I76" s="10" t="s">
        <v>122</v>
      </c>
      <c r="J76" s="10"/>
      <c r="K76" s="10">
        <v>1.3</v>
      </c>
      <c r="L76" s="10">
        <f t="shared" si="8"/>
        <v>6.0000000000000053E-2</v>
      </c>
      <c r="M76" s="10">
        <f t="shared" si="9"/>
        <v>1.36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>
        <f t="shared" si="10"/>
        <v>0.27200000000000002</v>
      </c>
      <c r="AB76" s="12"/>
      <c r="AC76" s="12"/>
      <c r="AD76" s="1">
        <f>(F76+O76+P76+Q76+R76+T76+U76+V76+W76+X76+Y76+Z76+AB76+AC76)/AA76</f>
        <v>-5</v>
      </c>
      <c r="AE76" s="10">
        <f>(F76+O76+P76+Q76+R76+T76+U76+V76+W76+X76+Y76+Z76)/AA76</f>
        <v>-5</v>
      </c>
      <c r="AF76" s="10">
        <v>0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/>
      <c r="AP76" s="10"/>
      <c r="AQ76" s="1">
        <f>-1*AC76*G76</f>
        <v>0</v>
      </c>
      <c r="AR76" s="1">
        <f>(AN76+AM76+AL76+AK76+AJ76+AI76+AH76+AG76+AF76+AA76)*G76</f>
        <v>0</v>
      </c>
      <c r="AS76" s="1"/>
      <c r="AT76" s="1"/>
      <c r="AU76" s="1"/>
      <c r="AV76" s="1"/>
      <c r="AW76" s="1"/>
      <c r="AX76" s="1"/>
    </row>
    <row r="77" spans="1:50" x14ac:dyDescent="0.25">
      <c r="A77" s="10" t="s">
        <v>121</v>
      </c>
      <c r="B77" s="10" t="s">
        <v>42</v>
      </c>
      <c r="C77" s="10">
        <v>598.62300000000005</v>
      </c>
      <c r="D77" s="10">
        <v>2.7</v>
      </c>
      <c r="E77" s="10">
        <v>33.545000000000002</v>
      </c>
      <c r="F77" s="10">
        <v>565.07799999999997</v>
      </c>
      <c r="G77" s="11">
        <v>0</v>
      </c>
      <c r="H77" s="10"/>
      <c r="I77" s="10" t="s">
        <v>122</v>
      </c>
      <c r="J77" s="10"/>
      <c r="K77" s="10">
        <v>34.700000000000003</v>
      </c>
      <c r="L77" s="10">
        <f t="shared" si="8"/>
        <v>-1.1550000000000011</v>
      </c>
      <c r="M77" s="10">
        <f t="shared" si="9"/>
        <v>33.545000000000002</v>
      </c>
      <c r="N77" s="10"/>
      <c r="O77" s="10"/>
      <c r="P77" s="10">
        <v>0</v>
      </c>
      <c r="Q77" s="10"/>
      <c r="R77" s="10"/>
      <c r="S77" s="10"/>
      <c r="T77" s="10"/>
      <c r="U77" s="10"/>
      <c r="V77" s="10"/>
      <c r="W77" s="10"/>
      <c r="X77" s="10">
        <v>0</v>
      </c>
      <c r="Y77" s="10"/>
      <c r="Z77" s="10"/>
      <c r="AA77" s="10">
        <f t="shared" si="10"/>
        <v>6.7090000000000005</v>
      </c>
      <c r="AB77" s="12"/>
      <c r="AC77" s="12">
        <v>0</v>
      </c>
      <c r="AD77" s="1">
        <f>(F77+O77+P77+Q77+R77+T77+U77+V77+W77+X77+Y77+Z77+AB77+AC77)/AA77</f>
        <v>84.226859442539862</v>
      </c>
      <c r="AE77" s="10">
        <f>(F77+O77+P77+Q77+R77+T77+U77+V77+W77+X77+Y77+Z77)/AA77</f>
        <v>84.226859442539862</v>
      </c>
      <c r="AF77" s="10">
        <v>6.706999999999999</v>
      </c>
      <c r="AG77" s="10">
        <v>13.973000000000001</v>
      </c>
      <c r="AH77" s="10">
        <v>18.044</v>
      </c>
      <c r="AI77" s="10">
        <v>9.4331999999999994</v>
      </c>
      <c r="AJ77" s="10">
        <v>0.53720000000000001</v>
      </c>
      <c r="AK77" s="10">
        <v>1.339</v>
      </c>
      <c r="AL77" s="10">
        <v>2.4163999999999999</v>
      </c>
      <c r="AM77" s="10">
        <v>1.0773999999999999</v>
      </c>
      <c r="AN77" s="10">
        <v>0</v>
      </c>
      <c r="AO77" s="15" t="s">
        <v>191</v>
      </c>
      <c r="AP77" s="10"/>
      <c r="AQ77" s="1">
        <f>-1*AC77</f>
        <v>0</v>
      </c>
      <c r="AR77" s="1">
        <f>(AN77+AM77+AL77+AK77+AJ77+AI77+AH77+AG77+AF77+AA77)*G77</f>
        <v>0</v>
      </c>
      <c r="AS77" s="1"/>
      <c r="AT77" s="1"/>
      <c r="AU77" s="1"/>
      <c r="AV77" s="1"/>
      <c r="AW77" s="1"/>
      <c r="AX77" s="1"/>
    </row>
    <row r="78" spans="1:50" x14ac:dyDescent="0.25">
      <c r="A78" s="1" t="s">
        <v>123</v>
      </c>
      <c r="B78" s="1" t="s">
        <v>46</v>
      </c>
      <c r="C78" s="1">
        <v>222</v>
      </c>
      <c r="D78" s="1">
        <v>10</v>
      </c>
      <c r="E78" s="1">
        <v>101</v>
      </c>
      <c r="F78" s="1">
        <v>119</v>
      </c>
      <c r="G78" s="7">
        <v>0.3</v>
      </c>
      <c r="H78" s="1">
        <v>40</v>
      </c>
      <c r="I78" s="1" t="s">
        <v>176</v>
      </c>
      <c r="J78" s="1"/>
      <c r="K78" s="1">
        <v>144</v>
      </c>
      <c r="L78" s="1">
        <f t="shared" si="8"/>
        <v>-43</v>
      </c>
      <c r="M78" s="1">
        <f t="shared" si="9"/>
        <v>101</v>
      </c>
      <c r="N78" s="1"/>
      <c r="O78" s="1"/>
      <c r="P78" s="1">
        <v>0</v>
      </c>
      <c r="Q78" s="1"/>
      <c r="R78" s="1"/>
      <c r="S78" s="10"/>
      <c r="T78" s="1"/>
      <c r="U78" s="1"/>
      <c r="V78" s="1"/>
      <c r="W78" s="1"/>
      <c r="X78" s="1">
        <v>144.5</v>
      </c>
      <c r="Y78" s="1"/>
      <c r="Z78" s="1"/>
      <c r="AA78" s="1">
        <f t="shared" si="10"/>
        <v>20.2</v>
      </c>
      <c r="AB78" s="5"/>
      <c r="AC78" s="5"/>
      <c r="AD78" s="1">
        <f>(F78+O78+P78+Q78+R78+T78+U78+V78+W78+X78+Y78+Z78+AB78+AC78)/AA78</f>
        <v>13.044554455445544</v>
      </c>
      <c r="AE78" s="1">
        <f>(F78+O78+P78+Q78+R78+T78+U78+V78+W78+X78+Y78+Z78)/AA78</f>
        <v>13.044554455445544</v>
      </c>
      <c r="AF78" s="1">
        <v>22.8</v>
      </c>
      <c r="AG78" s="1">
        <v>24.2</v>
      </c>
      <c r="AH78" s="1">
        <v>18.2</v>
      </c>
      <c r="AI78" s="1">
        <v>15.4</v>
      </c>
      <c r="AJ78" s="1">
        <v>28.2</v>
      </c>
      <c r="AK78" s="1">
        <v>24.4</v>
      </c>
      <c r="AL78" s="1">
        <v>9.8000000000000007</v>
      </c>
      <c r="AM78" s="1">
        <v>18.399999999999999</v>
      </c>
      <c r="AN78" s="1">
        <v>31.8</v>
      </c>
      <c r="AO78" s="1"/>
      <c r="AP78" s="1">
        <f>G78*AB78</f>
        <v>0</v>
      </c>
      <c r="AQ78" s="1">
        <f>-1*AC78*G78</f>
        <v>0</v>
      </c>
      <c r="AR78" s="1">
        <f>(AN78+AM78+AL78+AK78+AJ78+AI78+AH78+AG78+AF78+AA78)*G78</f>
        <v>64.02</v>
      </c>
      <c r="AS78" s="1"/>
      <c r="AT78" s="1"/>
      <c r="AU78" s="1"/>
      <c r="AV78" s="1"/>
      <c r="AW78" s="1"/>
      <c r="AX78" s="1"/>
    </row>
    <row r="79" spans="1:50" x14ac:dyDescent="0.25">
      <c r="A79" s="1" t="s">
        <v>124</v>
      </c>
      <c r="B79" s="1" t="s">
        <v>46</v>
      </c>
      <c r="C79" s="1">
        <v>93</v>
      </c>
      <c r="D79" s="1"/>
      <c r="E79" s="1">
        <v>32</v>
      </c>
      <c r="F79" s="1">
        <v>61</v>
      </c>
      <c r="G79" s="7">
        <v>0.3</v>
      </c>
      <c r="H79" s="1">
        <v>40</v>
      </c>
      <c r="I79" s="1" t="s">
        <v>176</v>
      </c>
      <c r="J79" s="1"/>
      <c r="K79" s="1">
        <v>57</v>
      </c>
      <c r="L79" s="1">
        <f t="shared" si="8"/>
        <v>-25</v>
      </c>
      <c r="M79" s="1">
        <f t="shared" si="9"/>
        <v>32</v>
      </c>
      <c r="N79" s="1"/>
      <c r="O79" s="1"/>
      <c r="P79" s="1">
        <v>0</v>
      </c>
      <c r="Q79" s="1"/>
      <c r="R79" s="1"/>
      <c r="S79" s="10"/>
      <c r="T79" s="1"/>
      <c r="U79" s="1"/>
      <c r="V79" s="1"/>
      <c r="W79" s="1"/>
      <c r="X79" s="1">
        <v>0</v>
      </c>
      <c r="Y79" s="1"/>
      <c r="Z79" s="1"/>
      <c r="AA79" s="1">
        <f t="shared" si="10"/>
        <v>6.4</v>
      </c>
      <c r="AB79" s="5">
        <f t="shared" ref="AB79:AB81" si="11">11*AA79-Z79-Y79-X79-W79-V79-U79-T79-R79-Q79-P79-O79-F79</f>
        <v>9.4000000000000057</v>
      </c>
      <c r="AC79" s="5"/>
      <c r="AD79" s="1">
        <f>(F79+O79+P79+Q79+R79+T79+U79+V79+W79+X79+Y79+Z79+AB79+AC79)/AA79</f>
        <v>11</v>
      </c>
      <c r="AE79" s="1">
        <f>(F79+O79+P79+Q79+R79+T79+U79+V79+W79+X79+Y79+Z79)/AA79</f>
        <v>9.53125</v>
      </c>
      <c r="AF79" s="1">
        <v>1.4</v>
      </c>
      <c r="AG79" s="1">
        <v>2</v>
      </c>
      <c r="AH79" s="1">
        <v>2.4</v>
      </c>
      <c r="AI79" s="1">
        <v>12.2</v>
      </c>
      <c r="AJ79" s="1">
        <v>13.6</v>
      </c>
      <c r="AK79" s="1">
        <v>6.8</v>
      </c>
      <c r="AL79" s="1">
        <v>4.2</v>
      </c>
      <c r="AM79" s="1">
        <v>7.8</v>
      </c>
      <c r="AN79" s="1">
        <v>8.1999999999999993</v>
      </c>
      <c r="AO79" s="1"/>
      <c r="AP79" s="1">
        <f>G79*AB79</f>
        <v>2.8200000000000016</v>
      </c>
      <c r="AQ79" s="1">
        <f>-1*AC79*G79</f>
        <v>0</v>
      </c>
      <c r="AR79" s="1">
        <f>(AN79+AM79+AL79+AK79+AJ79+AI79+AH79+AG79+AF79+AA79)*G79</f>
        <v>19.5</v>
      </c>
      <c r="AS79" s="1"/>
      <c r="AT79" s="1"/>
      <c r="AU79" s="1"/>
      <c r="AV79" s="1"/>
      <c r="AW79" s="1"/>
      <c r="AX79" s="1"/>
    </row>
    <row r="80" spans="1:50" x14ac:dyDescent="0.25">
      <c r="A80" s="1" t="s">
        <v>125</v>
      </c>
      <c r="B80" s="1" t="s">
        <v>46</v>
      </c>
      <c r="C80" s="1">
        <v>107</v>
      </c>
      <c r="D80" s="1">
        <v>184</v>
      </c>
      <c r="E80" s="1">
        <v>113</v>
      </c>
      <c r="F80" s="1">
        <v>136</v>
      </c>
      <c r="G80" s="7">
        <v>7.0000000000000007E-2</v>
      </c>
      <c r="H80" s="1">
        <v>90</v>
      </c>
      <c r="I80" s="1" t="s">
        <v>176</v>
      </c>
      <c r="J80" s="1"/>
      <c r="K80" s="1">
        <v>228</v>
      </c>
      <c r="L80" s="1">
        <f t="shared" si="8"/>
        <v>-115</v>
      </c>
      <c r="M80" s="1">
        <f t="shared" si="9"/>
        <v>113</v>
      </c>
      <c r="N80" s="1"/>
      <c r="O80" s="1"/>
      <c r="P80" s="1">
        <v>66.318711999999977</v>
      </c>
      <c r="Q80" s="1"/>
      <c r="R80" s="1"/>
      <c r="S80" s="10"/>
      <c r="T80" s="1"/>
      <c r="U80" s="1"/>
      <c r="V80" s="1"/>
      <c r="W80" s="1"/>
      <c r="X80" s="1">
        <v>137.80000000000001</v>
      </c>
      <c r="Y80" s="1"/>
      <c r="Z80" s="1"/>
      <c r="AA80" s="1">
        <f t="shared" si="10"/>
        <v>22.6</v>
      </c>
      <c r="AB80" s="5"/>
      <c r="AC80" s="5">
        <f>(AE80-$AB$1)*AA80*(-1)</f>
        <v>-80.21871199999994</v>
      </c>
      <c r="AD80" s="1">
        <f>(F80+O80+P80+Q80+R80+T80+U80+V80+W80+X80+Y80+Z80+AB80+AC80)/AA80</f>
        <v>11.5</v>
      </c>
      <c r="AE80" s="1">
        <f>(F80+O80+P80+Q80+R80+T80+U80+V80+W80+X80+Y80+Z80)/AA80</f>
        <v>15.049500530973448</v>
      </c>
      <c r="AF80" s="1">
        <v>26.8</v>
      </c>
      <c r="AG80" s="1">
        <v>31.2</v>
      </c>
      <c r="AH80" s="1">
        <v>29.2</v>
      </c>
      <c r="AI80" s="1">
        <v>24.8</v>
      </c>
      <c r="AJ80" s="1">
        <v>22.8</v>
      </c>
      <c r="AK80" s="1">
        <v>19.600000000000001</v>
      </c>
      <c r="AL80" s="1">
        <v>16.8</v>
      </c>
      <c r="AM80" s="1">
        <v>16</v>
      </c>
      <c r="AN80" s="1">
        <v>16.399999999999999</v>
      </c>
      <c r="AO80" s="1"/>
      <c r="AP80" s="1">
        <f>G80*AB80</f>
        <v>0</v>
      </c>
      <c r="AQ80" s="1">
        <f>-1*AC80*G80</f>
        <v>5.6153098399999966</v>
      </c>
      <c r="AR80" s="1">
        <f>(AN80+AM80+AL80+AK80+AJ80+AI80+AH80+AG80+AF80+AA80)*G80</f>
        <v>15.834000000000001</v>
      </c>
      <c r="AS80" s="1"/>
      <c r="AT80" s="1"/>
      <c r="AU80" s="1"/>
      <c r="AV80" s="1"/>
      <c r="AW80" s="1"/>
      <c r="AX80" s="1"/>
    </row>
    <row r="81" spans="1:50" x14ac:dyDescent="0.25">
      <c r="A81" s="1" t="s">
        <v>126</v>
      </c>
      <c r="B81" s="1" t="s">
        <v>46</v>
      </c>
      <c r="C81" s="1">
        <v>143</v>
      </c>
      <c r="D81" s="1">
        <v>246</v>
      </c>
      <c r="E81" s="1">
        <v>131</v>
      </c>
      <c r="F81" s="1">
        <v>210</v>
      </c>
      <c r="G81" s="7">
        <v>7.0000000000000007E-2</v>
      </c>
      <c r="H81" s="1">
        <v>90</v>
      </c>
      <c r="I81" s="1" t="s">
        <v>176</v>
      </c>
      <c r="J81" s="1"/>
      <c r="K81" s="1">
        <v>214</v>
      </c>
      <c r="L81" s="1">
        <f t="shared" si="8"/>
        <v>-83</v>
      </c>
      <c r="M81" s="1">
        <f t="shared" si="9"/>
        <v>131</v>
      </c>
      <c r="N81" s="1"/>
      <c r="O81" s="1"/>
      <c r="P81" s="1">
        <v>0</v>
      </c>
      <c r="Q81" s="1"/>
      <c r="R81" s="1"/>
      <c r="S81" s="10"/>
      <c r="T81" s="1"/>
      <c r="U81" s="1"/>
      <c r="V81" s="1"/>
      <c r="W81" s="1"/>
      <c r="X81" s="1">
        <v>0</v>
      </c>
      <c r="Y81" s="1"/>
      <c r="Z81" s="1"/>
      <c r="AA81" s="1">
        <f t="shared" si="10"/>
        <v>26.2</v>
      </c>
      <c r="AB81" s="5">
        <f t="shared" si="11"/>
        <v>78.199999999999989</v>
      </c>
      <c r="AC81" s="5"/>
      <c r="AD81" s="1">
        <f>(F81+O81+P81+Q81+R81+T81+U81+V81+W81+X81+Y81+Z81+AB81+AC81)/AA81</f>
        <v>11</v>
      </c>
      <c r="AE81" s="1">
        <f>(F81+O81+P81+Q81+R81+T81+U81+V81+W81+X81+Y81+Z81)/AA81</f>
        <v>8.0152671755725198</v>
      </c>
      <c r="AF81" s="1">
        <v>20.399999999999999</v>
      </c>
      <c r="AG81" s="1">
        <v>22</v>
      </c>
      <c r="AH81" s="1">
        <v>23.4</v>
      </c>
      <c r="AI81" s="1">
        <v>33</v>
      </c>
      <c r="AJ81" s="1">
        <v>23.8</v>
      </c>
      <c r="AK81" s="1">
        <v>7.8</v>
      </c>
      <c r="AL81" s="1">
        <v>9.8000000000000007</v>
      </c>
      <c r="AM81" s="1">
        <v>23.8</v>
      </c>
      <c r="AN81" s="1">
        <v>23.6</v>
      </c>
      <c r="AO81" s="1"/>
      <c r="AP81" s="1">
        <f>G81*AB81</f>
        <v>5.4739999999999993</v>
      </c>
      <c r="AQ81" s="1">
        <f>-1*AC81*G81</f>
        <v>0</v>
      </c>
      <c r="AR81" s="1">
        <f>(AN81+AM81+AL81+AK81+AJ81+AI81+AH81+AG81+AF81+AA81)*G81</f>
        <v>14.966000000000001</v>
      </c>
      <c r="AS81" s="1"/>
      <c r="AT81" s="1"/>
      <c r="AU81" s="1"/>
      <c r="AV81" s="1"/>
      <c r="AW81" s="1"/>
      <c r="AX81" s="1"/>
    </row>
    <row r="82" spans="1:50" x14ac:dyDescent="0.25">
      <c r="A82" s="1" t="s">
        <v>127</v>
      </c>
      <c r="B82" s="1" t="s">
        <v>46</v>
      </c>
      <c r="C82" s="1">
        <v>82</v>
      </c>
      <c r="D82" s="1">
        <v>212</v>
      </c>
      <c r="E82" s="1">
        <v>92</v>
      </c>
      <c r="F82" s="1">
        <v>168</v>
      </c>
      <c r="G82" s="7">
        <v>7.0000000000000007E-2</v>
      </c>
      <c r="H82" s="1">
        <v>90</v>
      </c>
      <c r="I82" s="1" t="s">
        <v>176</v>
      </c>
      <c r="J82" s="1"/>
      <c r="K82" s="1">
        <v>150</v>
      </c>
      <c r="L82" s="1">
        <f t="shared" si="8"/>
        <v>-58</v>
      </c>
      <c r="M82" s="1">
        <f t="shared" si="9"/>
        <v>92</v>
      </c>
      <c r="N82" s="1"/>
      <c r="O82" s="1"/>
      <c r="P82" s="1">
        <v>0</v>
      </c>
      <c r="Q82" s="1"/>
      <c r="R82" s="1"/>
      <c r="S82" s="10"/>
      <c r="T82" s="1"/>
      <c r="U82" s="1"/>
      <c r="V82" s="1"/>
      <c r="W82" s="1"/>
      <c r="X82" s="1">
        <v>94.800000000000011</v>
      </c>
      <c r="Y82" s="1"/>
      <c r="Z82" s="1"/>
      <c r="AA82" s="1">
        <f t="shared" si="10"/>
        <v>18.399999999999999</v>
      </c>
      <c r="AB82" s="5"/>
      <c r="AC82" s="5">
        <f>(AE82-$AB$1)*AA82*(-1)</f>
        <v>-51.200000000000024</v>
      </c>
      <c r="AD82" s="1">
        <f>(F82+O82+P82+Q82+R82+T82+U82+V82+W82+X82+Y82+Z82+AB82+AC82)/AA82</f>
        <v>11.5</v>
      </c>
      <c r="AE82" s="1">
        <f>(F82+O82+P82+Q82+R82+T82+U82+V82+W82+X82+Y82+Z82)/AA82</f>
        <v>14.282608695652176</v>
      </c>
      <c r="AF82" s="1">
        <v>20.6</v>
      </c>
      <c r="AG82" s="1">
        <v>22.8</v>
      </c>
      <c r="AH82" s="1">
        <v>20.6</v>
      </c>
      <c r="AI82" s="1">
        <v>21.4</v>
      </c>
      <c r="AJ82" s="1">
        <v>16.399999999999999</v>
      </c>
      <c r="AK82" s="1">
        <v>7</v>
      </c>
      <c r="AL82" s="1">
        <v>11.2</v>
      </c>
      <c r="AM82" s="1">
        <v>16.8</v>
      </c>
      <c r="AN82" s="1">
        <v>13.8</v>
      </c>
      <c r="AO82" s="1"/>
      <c r="AP82" s="1">
        <f>G82*AB82</f>
        <v>0</v>
      </c>
      <c r="AQ82" s="1">
        <f>-1*AC82*G82</f>
        <v>3.5840000000000019</v>
      </c>
      <c r="AR82" s="1">
        <f>(AN82+AM82+AL82+AK82+AJ82+AI82+AH82+AG82+AF82+AA82)*G82</f>
        <v>11.830000000000002</v>
      </c>
      <c r="AS82" s="1"/>
      <c r="AT82" s="1"/>
      <c r="AU82" s="1"/>
      <c r="AV82" s="1"/>
      <c r="AW82" s="1"/>
      <c r="AX82" s="1"/>
    </row>
    <row r="83" spans="1:50" x14ac:dyDescent="0.25">
      <c r="A83" s="10" t="s">
        <v>128</v>
      </c>
      <c r="B83" s="10" t="s">
        <v>46</v>
      </c>
      <c r="C83" s="10">
        <v>37</v>
      </c>
      <c r="D83" s="10">
        <v>133</v>
      </c>
      <c r="E83" s="10">
        <v>49</v>
      </c>
      <c r="F83" s="10">
        <v>96</v>
      </c>
      <c r="G83" s="11">
        <v>0</v>
      </c>
      <c r="H83" s="10">
        <v>90</v>
      </c>
      <c r="I83" s="10" t="s">
        <v>122</v>
      </c>
      <c r="J83" s="10"/>
      <c r="K83" s="10">
        <v>166</v>
      </c>
      <c r="L83" s="10">
        <f t="shared" si="8"/>
        <v>-117</v>
      </c>
      <c r="M83" s="10">
        <f t="shared" si="9"/>
        <v>49</v>
      </c>
      <c r="N83" s="10"/>
      <c r="O83" s="10"/>
      <c r="P83" s="10">
        <v>89.200000000000017</v>
      </c>
      <c r="Q83" s="10"/>
      <c r="R83" s="10"/>
      <c r="S83" s="10"/>
      <c r="T83" s="10"/>
      <c r="U83" s="10"/>
      <c r="V83" s="10"/>
      <c r="W83" s="10"/>
      <c r="X83" s="10">
        <v>0</v>
      </c>
      <c r="Y83" s="10"/>
      <c r="Z83" s="10"/>
      <c r="AA83" s="10">
        <f t="shared" si="10"/>
        <v>9.8000000000000007</v>
      </c>
      <c r="AB83" s="12"/>
      <c r="AC83" s="12">
        <v>-96</v>
      </c>
      <c r="AD83" s="1">
        <f>(F83+O83+P83+Q83+R83+T83+U83+V83+W83+X83+Y83+Z83+AB83+AC83)/AA83</f>
        <v>9.1020408163265323</v>
      </c>
      <c r="AE83" s="10">
        <f>(F83+O83+P83+Q83+R83+T83+U83+V83+W83+X83+Y83+Z83)/AA83</f>
        <v>18.897959183673471</v>
      </c>
      <c r="AF83" s="10">
        <v>11</v>
      </c>
      <c r="AG83" s="10">
        <v>12</v>
      </c>
      <c r="AH83" s="10">
        <v>19.8</v>
      </c>
      <c r="AI83" s="10">
        <v>12.4</v>
      </c>
      <c r="AJ83" s="10">
        <v>2.6</v>
      </c>
      <c r="AK83" s="10">
        <v>9.6</v>
      </c>
      <c r="AL83" s="10">
        <v>8</v>
      </c>
      <c r="AM83" s="10">
        <v>4.4000000000000004</v>
      </c>
      <c r="AN83" s="10">
        <v>8.4</v>
      </c>
      <c r="AO83" s="10"/>
      <c r="AP83" s="10"/>
      <c r="AQ83" s="1">
        <f>-1*AC83*0.05</f>
        <v>4.8000000000000007</v>
      </c>
      <c r="AR83" s="1">
        <f>(AN83+AM83+AL83+AK83+AJ83+AI83+AH83+AG83+AF83+AA83)*G83</f>
        <v>0</v>
      </c>
      <c r="AS83" s="1"/>
      <c r="AT83" s="1"/>
      <c r="AU83" s="1"/>
      <c r="AV83" s="1"/>
      <c r="AW83" s="1"/>
      <c r="AX83" s="1"/>
    </row>
    <row r="84" spans="1:50" x14ac:dyDescent="0.25">
      <c r="A84" s="1" t="s">
        <v>129</v>
      </c>
      <c r="B84" s="1" t="s">
        <v>46</v>
      </c>
      <c r="C84" s="1">
        <v>54</v>
      </c>
      <c r="D84" s="1">
        <v>1</v>
      </c>
      <c r="E84" s="1">
        <v>8</v>
      </c>
      <c r="F84" s="1">
        <v>46</v>
      </c>
      <c r="G84" s="7">
        <v>0.3</v>
      </c>
      <c r="H84" s="1">
        <v>40</v>
      </c>
      <c r="I84" s="1" t="s">
        <v>176</v>
      </c>
      <c r="J84" s="1"/>
      <c r="K84" s="1">
        <v>69</v>
      </c>
      <c r="L84" s="1">
        <f t="shared" si="8"/>
        <v>-61</v>
      </c>
      <c r="M84" s="1">
        <f t="shared" si="9"/>
        <v>8</v>
      </c>
      <c r="N84" s="1"/>
      <c r="O84" s="1"/>
      <c r="P84" s="1">
        <v>0</v>
      </c>
      <c r="Q84" s="1"/>
      <c r="R84" s="1"/>
      <c r="S84" s="10"/>
      <c r="T84" s="1"/>
      <c r="U84" s="1"/>
      <c r="V84" s="1"/>
      <c r="W84" s="1"/>
      <c r="X84" s="1">
        <v>0</v>
      </c>
      <c r="Y84" s="1"/>
      <c r="Z84" s="1"/>
      <c r="AA84" s="1">
        <f t="shared" si="10"/>
        <v>1.6</v>
      </c>
      <c r="AB84" s="5"/>
      <c r="AC84" s="5">
        <f>(AE84-$AB$1)*AA84*(-1)</f>
        <v>-27.6</v>
      </c>
      <c r="AD84" s="1">
        <f>(F84+O84+P84+Q84+R84+T84+U84+V84+W84+X84+Y84+Z84+AB84+AC84)/AA84</f>
        <v>11.499999999999998</v>
      </c>
      <c r="AE84" s="1">
        <f>(F84+O84+P84+Q84+R84+T84+U84+V84+W84+X84+Y84+Z84)/AA84</f>
        <v>28.75</v>
      </c>
      <c r="AF84" s="1">
        <v>1.2</v>
      </c>
      <c r="AG84" s="1">
        <v>-0.2</v>
      </c>
      <c r="AH84" s="1">
        <v>-0.4</v>
      </c>
      <c r="AI84" s="1">
        <v>7.8</v>
      </c>
      <c r="AJ84" s="1">
        <v>8.1999999999999993</v>
      </c>
      <c r="AK84" s="1">
        <v>3.6</v>
      </c>
      <c r="AL84" s="1">
        <v>3</v>
      </c>
      <c r="AM84" s="1">
        <v>6.8</v>
      </c>
      <c r="AN84" s="1">
        <v>7.2</v>
      </c>
      <c r="AO84" s="15" t="s">
        <v>94</v>
      </c>
      <c r="AP84" s="1">
        <f>G84*AB84</f>
        <v>0</v>
      </c>
      <c r="AQ84" s="1">
        <f>-1*AC84*G84</f>
        <v>8.2799999999999994</v>
      </c>
      <c r="AR84" s="1">
        <f>(AN84+AM84+AL84+AK84+AJ84+AI84+AH84+AG84+AF84+AA84)*G84</f>
        <v>11.64</v>
      </c>
      <c r="AS84" s="1"/>
      <c r="AT84" s="1"/>
      <c r="AU84" s="1"/>
      <c r="AV84" s="1"/>
      <c r="AW84" s="1"/>
      <c r="AX84" s="1"/>
    </row>
    <row r="85" spans="1:50" x14ac:dyDescent="0.25">
      <c r="A85" s="1" t="s">
        <v>130</v>
      </c>
      <c r="B85" s="1" t="s">
        <v>42</v>
      </c>
      <c r="C85" s="1">
        <v>41.65</v>
      </c>
      <c r="D85" s="1"/>
      <c r="E85" s="1">
        <v>16.195</v>
      </c>
      <c r="F85" s="1">
        <v>25.454999999999998</v>
      </c>
      <c r="G85" s="7">
        <v>1</v>
      </c>
      <c r="H85" s="1">
        <v>55</v>
      </c>
      <c r="I85" s="1" t="s">
        <v>176</v>
      </c>
      <c r="J85" s="1"/>
      <c r="K85" s="1">
        <v>16.571000000000002</v>
      </c>
      <c r="L85" s="1">
        <f t="shared" si="8"/>
        <v>-0.37600000000000122</v>
      </c>
      <c r="M85" s="1">
        <f t="shared" si="9"/>
        <v>16.195</v>
      </c>
      <c r="N85" s="1"/>
      <c r="O85" s="1"/>
      <c r="P85" s="1">
        <v>0</v>
      </c>
      <c r="Q85" s="1"/>
      <c r="R85" s="1"/>
      <c r="S85" s="10"/>
      <c r="T85" s="1"/>
      <c r="U85" s="1"/>
      <c r="V85" s="1"/>
      <c r="W85" s="1"/>
      <c r="X85" s="1">
        <v>0</v>
      </c>
      <c r="Y85" s="1"/>
      <c r="Z85" s="1"/>
      <c r="AA85" s="1">
        <f t="shared" si="10"/>
        <v>3.2389999999999999</v>
      </c>
      <c r="AB85" s="5">
        <f t="shared" ref="AB85:AB98" si="12">11*AA85-Z85-Y85-X85-W85-V85-U85-T85-R85-Q85-P85-O85-F85</f>
        <v>10.173999999999999</v>
      </c>
      <c r="AC85" s="5"/>
      <c r="AD85" s="1">
        <f>(F85+O85+P85+Q85+R85+T85+U85+V85+W85+X85+Y85+Z85+AB85+AC85)/AA85</f>
        <v>11</v>
      </c>
      <c r="AE85" s="1">
        <f>(F85+O85+P85+Q85+R85+T85+U85+V85+W85+X85+Y85+Z85)/AA85</f>
        <v>7.858907070083359</v>
      </c>
      <c r="AF85" s="1">
        <v>3.242</v>
      </c>
      <c r="AG85" s="1">
        <v>2.7948</v>
      </c>
      <c r="AH85" s="1">
        <v>2.4352</v>
      </c>
      <c r="AI85" s="1">
        <v>2.0659999999999998</v>
      </c>
      <c r="AJ85" s="1">
        <v>1.2347999999999999</v>
      </c>
      <c r="AK85" s="1">
        <v>1.871</v>
      </c>
      <c r="AL85" s="1">
        <v>3.4733999999999998</v>
      </c>
      <c r="AM85" s="1">
        <v>3.5244</v>
      </c>
      <c r="AN85" s="1">
        <v>3.4784000000000002</v>
      </c>
      <c r="AO85" s="1"/>
      <c r="AP85" s="1">
        <f>G85*AB85</f>
        <v>10.173999999999999</v>
      </c>
      <c r="AQ85" s="1">
        <f>-1*AC85*G85</f>
        <v>0</v>
      </c>
      <c r="AR85" s="1">
        <f>(AN85+AM85+AL85+AK85+AJ85+AI85+AH85+AG85+AF85+AA85)*G85</f>
        <v>27.358999999999998</v>
      </c>
      <c r="AS85" s="1"/>
      <c r="AT85" s="1"/>
      <c r="AU85" s="1"/>
      <c r="AV85" s="1"/>
      <c r="AW85" s="1"/>
      <c r="AX85" s="1"/>
    </row>
    <row r="86" spans="1:50" x14ac:dyDescent="0.25">
      <c r="A86" s="1" t="s">
        <v>131</v>
      </c>
      <c r="B86" s="1" t="s">
        <v>46</v>
      </c>
      <c r="C86" s="1"/>
      <c r="D86" s="1"/>
      <c r="E86" s="1">
        <v>4</v>
      </c>
      <c r="F86" s="1">
        <v>-4</v>
      </c>
      <c r="G86" s="7">
        <v>0.11</v>
      </c>
      <c r="H86" s="1">
        <v>30</v>
      </c>
      <c r="I86" s="1" t="s">
        <v>176</v>
      </c>
      <c r="J86" s="1"/>
      <c r="K86" s="1">
        <v>200</v>
      </c>
      <c r="L86" s="1">
        <f t="shared" si="8"/>
        <v>-196</v>
      </c>
      <c r="M86" s="1">
        <f t="shared" si="9"/>
        <v>4</v>
      </c>
      <c r="N86" s="1"/>
      <c r="O86" s="1"/>
      <c r="P86" s="1">
        <v>0</v>
      </c>
      <c r="Q86" s="1"/>
      <c r="R86" s="1"/>
      <c r="S86" s="10"/>
      <c r="T86" s="1"/>
      <c r="U86" s="1"/>
      <c r="V86" s="1"/>
      <c r="W86" s="1"/>
      <c r="X86" s="1">
        <v>0</v>
      </c>
      <c r="Y86" s="1"/>
      <c r="Z86" s="1"/>
      <c r="AA86" s="1">
        <f t="shared" si="10"/>
        <v>0.8</v>
      </c>
      <c r="AB86" s="5">
        <v>20</v>
      </c>
      <c r="AC86" s="5"/>
      <c r="AD86" s="1">
        <f>(F86+O86+P86+Q86+R86+T86+U86+V86+W86+X86+Y86+Z86+AB86+AC86)/AA86</f>
        <v>20</v>
      </c>
      <c r="AE86" s="1">
        <f>(F86+O86+P86+Q86+R86+T86+U86+V86+W86+X86+Y86+Z86)/AA86</f>
        <v>-5</v>
      </c>
      <c r="AF86" s="1">
        <v>0.4</v>
      </c>
      <c r="AG86" s="1">
        <v>0.4</v>
      </c>
      <c r="AH86" s="1">
        <v>0.6</v>
      </c>
      <c r="AI86" s="1">
        <v>9.1999999999999993</v>
      </c>
      <c r="AJ86" s="1">
        <v>8.1999999999999993</v>
      </c>
      <c r="AK86" s="1">
        <v>4.2</v>
      </c>
      <c r="AL86" s="1">
        <v>6.2</v>
      </c>
      <c r="AM86" s="1">
        <v>2</v>
      </c>
      <c r="AN86" s="1">
        <v>0</v>
      </c>
      <c r="AO86" s="1"/>
      <c r="AP86" s="1">
        <f>G86*AB86</f>
        <v>2.2000000000000002</v>
      </c>
      <c r="AQ86" s="1">
        <f>-1*AC86*G86</f>
        <v>0</v>
      </c>
      <c r="AR86" s="1">
        <f>(AN86+AM86+AL86+AK86+AJ86+AI86+AH86+AG86+AF86+AA86)*G86</f>
        <v>3.5199999999999996</v>
      </c>
      <c r="AS86" s="1"/>
      <c r="AT86" s="1"/>
      <c r="AU86" s="1"/>
      <c r="AV86" s="1"/>
      <c r="AW86" s="1"/>
      <c r="AX86" s="1"/>
    </row>
    <row r="87" spans="1:50" x14ac:dyDescent="0.25">
      <c r="A87" s="1" t="s">
        <v>132</v>
      </c>
      <c r="B87" s="1" t="s">
        <v>46</v>
      </c>
      <c r="C87" s="1">
        <v>209</v>
      </c>
      <c r="D87" s="1">
        <v>322</v>
      </c>
      <c r="E87" s="1">
        <v>202</v>
      </c>
      <c r="F87" s="1">
        <v>248</v>
      </c>
      <c r="G87" s="7">
        <v>0.08</v>
      </c>
      <c r="H87" s="1">
        <v>45</v>
      </c>
      <c r="I87" s="1" t="s">
        <v>176</v>
      </c>
      <c r="J87" s="1"/>
      <c r="K87" s="1">
        <v>359</v>
      </c>
      <c r="L87" s="1">
        <f t="shared" si="8"/>
        <v>-157</v>
      </c>
      <c r="M87" s="1">
        <f t="shared" si="9"/>
        <v>202</v>
      </c>
      <c r="N87" s="1"/>
      <c r="O87" s="1"/>
      <c r="P87" s="1">
        <v>57.199999999999818</v>
      </c>
      <c r="Q87" s="1"/>
      <c r="R87" s="1"/>
      <c r="S87" s="10"/>
      <c r="T87" s="1"/>
      <c r="U87" s="1"/>
      <c r="V87" s="1"/>
      <c r="W87" s="1"/>
      <c r="X87" s="1">
        <v>256.10000000000002</v>
      </c>
      <c r="Y87" s="1"/>
      <c r="Z87" s="1"/>
      <c r="AA87" s="1">
        <f t="shared" si="10"/>
        <v>40.4</v>
      </c>
      <c r="AB87" s="5"/>
      <c r="AC87" s="5"/>
      <c r="AD87" s="1">
        <f>(F87+O87+P87+Q87+R87+T87+U87+V87+W87+X87+Y87+Z87+AB87+AC87)/AA87</f>
        <v>13.89356435643564</v>
      </c>
      <c r="AE87" s="1">
        <f>(F87+O87+P87+Q87+R87+T87+U87+V87+W87+X87+Y87+Z87)/AA87</f>
        <v>13.89356435643564</v>
      </c>
      <c r="AF87" s="1">
        <v>39</v>
      </c>
      <c r="AG87" s="1">
        <v>49</v>
      </c>
      <c r="AH87" s="1">
        <v>45.4</v>
      </c>
      <c r="AI87" s="1">
        <v>45.2</v>
      </c>
      <c r="AJ87" s="1">
        <v>38.799999999999997</v>
      </c>
      <c r="AK87" s="1">
        <v>35.200000000000003</v>
      </c>
      <c r="AL87" s="1">
        <v>31.2</v>
      </c>
      <c r="AM87" s="1">
        <v>23.2</v>
      </c>
      <c r="AN87" s="1">
        <v>25.6</v>
      </c>
      <c r="AO87" s="1"/>
      <c r="AP87" s="1">
        <f>G87*AB87</f>
        <v>0</v>
      </c>
      <c r="AQ87" s="1">
        <f>-1*AC87*G87</f>
        <v>0</v>
      </c>
      <c r="AR87" s="1">
        <f>(AN87+AM87+AL87+AK87+AJ87+AI87+AH87+AG87+AF87+AA87)*G87</f>
        <v>29.84</v>
      </c>
      <c r="AS87" s="1"/>
      <c r="AT87" s="1"/>
      <c r="AU87" s="1"/>
      <c r="AV87" s="1"/>
      <c r="AW87" s="1"/>
      <c r="AX87" s="1"/>
    </row>
    <row r="88" spans="1:50" x14ac:dyDescent="0.25">
      <c r="A88" s="1" t="s">
        <v>133</v>
      </c>
      <c r="B88" s="1" t="s">
        <v>46</v>
      </c>
      <c r="C88" s="1">
        <v>204</v>
      </c>
      <c r="D88" s="1">
        <v>57</v>
      </c>
      <c r="E88" s="1">
        <v>160</v>
      </c>
      <c r="F88" s="1">
        <v>39</v>
      </c>
      <c r="G88" s="7">
        <v>0.08</v>
      </c>
      <c r="H88" s="1">
        <v>45</v>
      </c>
      <c r="I88" s="1" t="s">
        <v>176</v>
      </c>
      <c r="J88" s="1"/>
      <c r="K88" s="1">
        <v>334</v>
      </c>
      <c r="L88" s="1">
        <f t="shared" si="8"/>
        <v>-174</v>
      </c>
      <c r="M88" s="1">
        <f t="shared" si="9"/>
        <v>160</v>
      </c>
      <c r="N88" s="1"/>
      <c r="O88" s="1"/>
      <c r="P88" s="1">
        <v>0</v>
      </c>
      <c r="Q88" s="1"/>
      <c r="R88" s="1"/>
      <c r="S88" s="10"/>
      <c r="T88" s="1"/>
      <c r="U88" s="1"/>
      <c r="V88" s="1"/>
      <c r="W88" s="1"/>
      <c r="X88" s="1">
        <v>253.3000000000001</v>
      </c>
      <c r="Y88" s="1"/>
      <c r="Z88" s="1"/>
      <c r="AA88" s="1">
        <f t="shared" si="10"/>
        <v>32</v>
      </c>
      <c r="AB88" s="5">
        <f t="shared" si="12"/>
        <v>59.699999999999903</v>
      </c>
      <c r="AC88" s="5"/>
      <c r="AD88" s="1">
        <f>(F88+O88+P88+Q88+R88+T88+U88+V88+W88+X88+Y88+Z88+AB88+AC88)/AA88</f>
        <v>11</v>
      </c>
      <c r="AE88" s="1">
        <f>(F88+O88+P88+Q88+R88+T88+U88+V88+W88+X88+Y88+Z88)/AA88</f>
        <v>9.1343750000000021</v>
      </c>
      <c r="AF88" s="1">
        <v>30.4</v>
      </c>
      <c r="AG88" s="1">
        <v>36.200000000000003</v>
      </c>
      <c r="AH88" s="1">
        <v>26.6</v>
      </c>
      <c r="AI88" s="1">
        <v>26.8</v>
      </c>
      <c r="AJ88" s="1">
        <v>29</v>
      </c>
      <c r="AK88" s="1">
        <v>16.8</v>
      </c>
      <c r="AL88" s="1">
        <v>6.8</v>
      </c>
      <c r="AM88" s="1">
        <v>16.2</v>
      </c>
      <c r="AN88" s="1">
        <v>28.6</v>
      </c>
      <c r="AO88" s="1"/>
      <c r="AP88" s="1">
        <f>G88*AB88</f>
        <v>4.7759999999999927</v>
      </c>
      <c r="AQ88" s="1">
        <f>-1*AC88*G88</f>
        <v>0</v>
      </c>
      <c r="AR88" s="1">
        <f>(AN88+AM88+AL88+AK88+AJ88+AI88+AH88+AG88+AF88+AA88)*G88</f>
        <v>19.952000000000002</v>
      </c>
      <c r="AS88" s="1"/>
      <c r="AT88" s="1"/>
      <c r="AU88" s="1"/>
      <c r="AV88" s="1"/>
      <c r="AW88" s="1"/>
      <c r="AX88" s="1"/>
    </row>
    <row r="89" spans="1:50" x14ac:dyDescent="0.25">
      <c r="A89" s="1" t="s">
        <v>134</v>
      </c>
      <c r="B89" s="1" t="s">
        <v>46</v>
      </c>
      <c r="C89" s="1">
        <v>21</v>
      </c>
      <c r="D89" s="1">
        <v>8</v>
      </c>
      <c r="E89" s="1">
        <v>16</v>
      </c>
      <c r="F89" s="1">
        <v>-1</v>
      </c>
      <c r="G89" s="7">
        <v>0.17</v>
      </c>
      <c r="H89" s="1">
        <v>30</v>
      </c>
      <c r="I89" s="1" t="s">
        <v>176</v>
      </c>
      <c r="J89" s="1"/>
      <c r="K89" s="1">
        <v>146</v>
      </c>
      <c r="L89" s="1">
        <f t="shared" si="8"/>
        <v>-130</v>
      </c>
      <c r="M89" s="1">
        <f t="shared" si="9"/>
        <v>16</v>
      </c>
      <c r="N89" s="1"/>
      <c r="O89" s="1"/>
      <c r="P89" s="1">
        <v>49.2</v>
      </c>
      <c r="Q89" s="1"/>
      <c r="R89" s="1"/>
      <c r="S89" s="10"/>
      <c r="T89" s="1"/>
      <c r="U89" s="1"/>
      <c r="V89" s="1"/>
      <c r="W89" s="1"/>
      <c r="X89" s="1">
        <v>66.799999999999983</v>
      </c>
      <c r="Y89" s="1"/>
      <c r="Z89" s="1"/>
      <c r="AA89" s="1">
        <f t="shared" si="10"/>
        <v>3.2</v>
      </c>
      <c r="AB89" s="5"/>
      <c r="AC89" s="5"/>
      <c r="AD89" s="1">
        <f>(F89+O89+P89+Q89+R89+T89+U89+V89+W89+X89+Y89+Z89+AB89+AC89)/AA89</f>
        <v>35.937499999999993</v>
      </c>
      <c r="AE89" s="1">
        <f>(F89+O89+P89+Q89+R89+T89+U89+V89+W89+X89+Y89+Z89)/AA89</f>
        <v>35.937499999999993</v>
      </c>
      <c r="AF89" s="1">
        <v>8</v>
      </c>
      <c r="AG89" s="1">
        <v>9.1999999999999993</v>
      </c>
      <c r="AH89" s="1">
        <v>7.8</v>
      </c>
      <c r="AI89" s="1">
        <v>2.6</v>
      </c>
      <c r="AJ89" s="1">
        <v>1.4</v>
      </c>
      <c r="AK89" s="1">
        <v>5</v>
      </c>
      <c r="AL89" s="1">
        <v>3.2</v>
      </c>
      <c r="AM89" s="1">
        <v>-0.8</v>
      </c>
      <c r="AN89" s="1">
        <v>1.2</v>
      </c>
      <c r="AO89" s="1"/>
      <c r="AP89" s="1">
        <f>G89*AB89</f>
        <v>0</v>
      </c>
      <c r="AQ89" s="1">
        <f>-1*AC89*G89</f>
        <v>0</v>
      </c>
      <c r="AR89" s="1">
        <f>(AN89+AM89+AL89+AK89+AJ89+AI89+AH89+AG89+AF89+AA89)*G89</f>
        <v>6.9359999999999999</v>
      </c>
      <c r="AS89" s="1"/>
      <c r="AT89" s="1"/>
      <c r="AU89" s="1"/>
      <c r="AV89" s="1"/>
      <c r="AW89" s="1"/>
      <c r="AX89" s="1"/>
    </row>
    <row r="90" spans="1:50" x14ac:dyDescent="0.25">
      <c r="A90" s="1" t="s">
        <v>135</v>
      </c>
      <c r="B90" s="1" t="s">
        <v>42</v>
      </c>
      <c r="C90" s="1">
        <v>292.358</v>
      </c>
      <c r="D90" s="1">
        <v>136.91</v>
      </c>
      <c r="E90" s="1">
        <v>207.99199999999999</v>
      </c>
      <c r="F90" s="1">
        <v>198.68899999999999</v>
      </c>
      <c r="G90" s="7">
        <v>1</v>
      </c>
      <c r="H90" s="1">
        <v>40</v>
      </c>
      <c r="I90" s="1" t="s">
        <v>176</v>
      </c>
      <c r="J90" s="1"/>
      <c r="K90" s="1">
        <v>343.91300000000001</v>
      </c>
      <c r="L90" s="1">
        <f t="shared" si="8"/>
        <v>-135.92100000000002</v>
      </c>
      <c r="M90" s="1">
        <f t="shared" si="9"/>
        <v>207.99199999999999</v>
      </c>
      <c r="N90" s="1"/>
      <c r="O90" s="1"/>
      <c r="P90" s="1">
        <v>176.36960000000019</v>
      </c>
      <c r="Q90" s="1"/>
      <c r="R90" s="1"/>
      <c r="S90" s="10"/>
      <c r="T90" s="1"/>
      <c r="U90" s="1"/>
      <c r="V90" s="1"/>
      <c r="W90" s="1"/>
      <c r="X90" s="1">
        <v>168.57199999999989</v>
      </c>
      <c r="Y90" s="1"/>
      <c r="Z90" s="1"/>
      <c r="AA90" s="1">
        <f t="shared" si="10"/>
        <v>41.598399999999998</v>
      </c>
      <c r="AB90" s="5"/>
      <c r="AC90" s="5"/>
      <c r="AD90" s="1">
        <f>(F90+O90+P90+Q90+R90+T90+U90+V90+W90+X90+Y90+Z90+AB90+AC90)/AA90</f>
        <v>13.068545905611757</v>
      </c>
      <c r="AE90" s="1">
        <f>(F90+O90+P90+Q90+R90+T90+U90+V90+W90+X90+Y90+Z90)/AA90</f>
        <v>13.068545905611757</v>
      </c>
      <c r="AF90" s="1">
        <v>45.939</v>
      </c>
      <c r="AG90" s="1">
        <v>53.251199999999997</v>
      </c>
      <c r="AH90" s="1">
        <v>53.023000000000003</v>
      </c>
      <c r="AI90" s="1">
        <v>48.691000000000003</v>
      </c>
      <c r="AJ90" s="1">
        <v>50.067399999999999</v>
      </c>
      <c r="AK90" s="1">
        <v>53.2864</v>
      </c>
      <c r="AL90" s="1">
        <v>50.620199999999997</v>
      </c>
      <c r="AM90" s="1">
        <v>59.324399999999997</v>
      </c>
      <c r="AN90" s="1">
        <v>63.511800000000008</v>
      </c>
      <c r="AO90" s="1"/>
      <c r="AP90" s="1">
        <f>G90*AB90</f>
        <v>0</v>
      </c>
      <c r="AQ90" s="1">
        <f>-1*AC90*G90</f>
        <v>0</v>
      </c>
      <c r="AR90" s="1">
        <f>(AN90+AM90+AL90+AK90+AJ90+AI90+AH90+AG90+AF90+AA90)*G90</f>
        <v>519.31280000000004</v>
      </c>
      <c r="AS90" s="1"/>
      <c r="AT90" s="1"/>
      <c r="AU90" s="1"/>
      <c r="AV90" s="1"/>
      <c r="AW90" s="1"/>
      <c r="AX90" s="1"/>
    </row>
    <row r="91" spans="1:50" x14ac:dyDescent="0.25">
      <c r="A91" s="1" t="s">
        <v>136</v>
      </c>
      <c r="B91" s="1" t="s">
        <v>42</v>
      </c>
      <c r="C91" s="1">
        <v>64.274000000000001</v>
      </c>
      <c r="D91" s="1">
        <v>114.304</v>
      </c>
      <c r="E91" s="1">
        <v>30.864000000000001</v>
      </c>
      <c r="F91" s="1">
        <v>144.83000000000001</v>
      </c>
      <c r="G91" s="7">
        <v>1</v>
      </c>
      <c r="H91" s="1">
        <v>40</v>
      </c>
      <c r="I91" s="1" t="s">
        <v>176</v>
      </c>
      <c r="J91" s="1"/>
      <c r="K91" s="1">
        <v>62.4</v>
      </c>
      <c r="L91" s="1">
        <f t="shared" si="8"/>
        <v>-31.535999999999998</v>
      </c>
      <c r="M91" s="1">
        <f t="shared" si="9"/>
        <v>30.864000000000001</v>
      </c>
      <c r="N91" s="1"/>
      <c r="O91" s="1"/>
      <c r="P91" s="1">
        <v>40.127200000000023</v>
      </c>
      <c r="Q91" s="1"/>
      <c r="R91" s="1"/>
      <c r="S91" s="10"/>
      <c r="T91" s="1"/>
      <c r="U91" s="1"/>
      <c r="V91" s="1"/>
      <c r="W91" s="1"/>
      <c r="X91" s="1">
        <v>0</v>
      </c>
      <c r="Y91" s="1"/>
      <c r="Z91" s="1"/>
      <c r="AA91" s="1">
        <f t="shared" si="10"/>
        <v>6.1728000000000005</v>
      </c>
      <c r="AB91" s="5"/>
      <c r="AC91" s="5">
        <f>(AE91-$AB$1)*AA91*(-1)</f>
        <v>-113.97000000000001</v>
      </c>
      <c r="AD91" s="1">
        <f>(F91+O91+P91+Q91+R91+T91+U91+V91+W91+X91+Y91+Z91+AB91+AC91)/AA91</f>
        <v>11.500000000000002</v>
      </c>
      <c r="AE91" s="1">
        <f>(F91+O91+P91+Q91+R91+T91+U91+V91+W91+X91+Y91+Z91)/AA91</f>
        <v>29.963258164852256</v>
      </c>
      <c r="AF91" s="1">
        <v>6.9261999999999997</v>
      </c>
      <c r="AG91" s="1">
        <v>11.025399999999999</v>
      </c>
      <c r="AH91" s="1">
        <v>19.4436</v>
      </c>
      <c r="AI91" s="1">
        <v>17.420200000000001</v>
      </c>
      <c r="AJ91" s="1">
        <v>11.458399999999999</v>
      </c>
      <c r="AK91" s="1">
        <v>14.843</v>
      </c>
      <c r="AL91" s="1">
        <v>14.2028</v>
      </c>
      <c r="AM91" s="1">
        <v>11.4068</v>
      </c>
      <c r="AN91" s="1">
        <v>14.0228</v>
      </c>
      <c r="AO91" s="15" t="s">
        <v>94</v>
      </c>
      <c r="AP91" s="1">
        <f>G91*AB91</f>
        <v>0</v>
      </c>
      <c r="AQ91" s="1">
        <f>-1*AC91*G91</f>
        <v>113.97000000000001</v>
      </c>
      <c r="AR91" s="1">
        <f>(AN91+AM91+AL91+AK91+AJ91+AI91+AH91+AG91+AF91+AA91)*G91</f>
        <v>126.92200000000001</v>
      </c>
      <c r="AS91" s="1"/>
      <c r="AT91" s="1"/>
      <c r="AU91" s="1"/>
      <c r="AV91" s="1"/>
      <c r="AW91" s="1"/>
      <c r="AX91" s="1"/>
    </row>
    <row r="92" spans="1:50" x14ac:dyDescent="0.25">
      <c r="A92" s="1" t="s">
        <v>137</v>
      </c>
      <c r="B92" s="1" t="s">
        <v>42</v>
      </c>
      <c r="C92" s="1">
        <v>266.03300000000002</v>
      </c>
      <c r="D92" s="1">
        <v>166.10599999999999</v>
      </c>
      <c r="E92" s="1">
        <v>138.94399999999999</v>
      </c>
      <c r="F92" s="1">
        <v>281.971</v>
      </c>
      <c r="G92" s="7">
        <v>1</v>
      </c>
      <c r="H92" s="1">
        <v>40</v>
      </c>
      <c r="I92" s="1" t="s">
        <v>176</v>
      </c>
      <c r="J92" s="1"/>
      <c r="K92" s="1">
        <v>237.6</v>
      </c>
      <c r="L92" s="1">
        <f t="shared" si="8"/>
        <v>-98.656000000000006</v>
      </c>
      <c r="M92" s="1">
        <f t="shared" si="9"/>
        <v>138.94399999999999</v>
      </c>
      <c r="N92" s="1"/>
      <c r="O92" s="1"/>
      <c r="P92" s="1">
        <v>32.331799999999703</v>
      </c>
      <c r="Q92" s="1"/>
      <c r="R92" s="1"/>
      <c r="S92" s="10"/>
      <c r="T92" s="1"/>
      <c r="U92" s="1"/>
      <c r="V92" s="1"/>
      <c r="W92" s="1"/>
      <c r="X92" s="1">
        <v>68.684200000000061</v>
      </c>
      <c r="Y92" s="1"/>
      <c r="Z92" s="1"/>
      <c r="AA92" s="1">
        <f t="shared" si="10"/>
        <v>27.788799999999998</v>
      </c>
      <c r="AB92" s="5"/>
      <c r="AC92" s="5"/>
      <c r="AD92" s="1">
        <f>(F92+O92+P92+Q92+R92+T92+U92+V92+W92+X92+Y92+Z92+AB92+AC92)/AA92</f>
        <v>13.782063277291563</v>
      </c>
      <c r="AE92" s="1">
        <f>(F92+O92+P92+Q92+R92+T92+U92+V92+W92+X92+Y92+Z92)/AA92</f>
        <v>13.782063277291563</v>
      </c>
      <c r="AF92" s="1">
        <v>32.3598</v>
      </c>
      <c r="AG92" s="1">
        <v>36.879600000000003</v>
      </c>
      <c r="AH92" s="1">
        <v>41.132800000000003</v>
      </c>
      <c r="AI92" s="1">
        <v>45.424199999999999</v>
      </c>
      <c r="AJ92" s="1">
        <v>42.593600000000002</v>
      </c>
      <c r="AK92" s="1">
        <v>39.310600000000001</v>
      </c>
      <c r="AL92" s="1">
        <v>37.340800000000002</v>
      </c>
      <c r="AM92" s="1">
        <v>46.566600000000001</v>
      </c>
      <c r="AN92" s="1">
        <v>47.993400000000001</v>
      </c>
      <c r="AO92" s="1"/>
      <c r="AP92" s="1">
        <f>G92*AB92</f>
        <v>0</v>
      </c>
      <c r="AQ92" s="1">
        <f>-1*AC92*G92</f>
        <v>0</v>
      </c>
      <c r="AR92" s="1">
        <f>(AN92+AM92+AL92+AK92+AJ92+AI92+AH92+AG92+AF92+AA92)*G92</f>
        <v>397.39019999999994</v>
      </c>
      <c r="AS92" s="1"/>
      <c r="AT92" s="1"/>
      <c r="AU92" s="1"/>
      <c r="AV92" s="1"/>
      <c r="AW92" s="1"/>
      <c r="AX92" s="1"/>
    </row>
    <row r="93" spans="1:50" x14ac:dyDescent="0.25">
      <c r="A93" s="1" t="s">
        <v>138</v>
      </c>
      <c r="B93" s="1" t="s">
        <v>46</v>
      </c>
      <c r="C93" s="1">
        <v>1</v>
      </c>
      <c r="D93" s="1">
        <v>116</v>
      </c>
      <c r="E93" s="1">
        <v>3</v>
      </c>
      <c r="F93" s="1">
        <v>114</v>
      </c>
      <c r="G93" s="7">
        <v>0.3</v>
      </c>
      <c r="H93" s="1">
        <v>45</v>
      </c>
      <c r="I93" s="1" t="s">
        <v>176</v>
      </c>
      <c r="J93" s="1"/>
      <c r="K93" s="1">
        <v>62</v>
      </c>
      <c r="L93" s="1">
        <f t="shared" si="8"/>
        <v>-59</v>
      </c>
      <c r="M93" s="1">
        <f t="shared" si="9"/>
        <v>3</v>
      </c>
      <c r="N93" s="1"/>
      <c r="O93" s="1"/>
      <c r="P93" s="1">
        <v>23</v>
      </c>
      <c r="Q93" s="1"/>
      <c r="R93" s="1"/>
      <c r="S93" s="10"/>
      <c r="T93" s="1"/>
      <c r="U93" s="1"/>
      <c r="V93" s="1"/>
      <c r="W93" s="1"/>
      <c r="X93" s="1">
        <v>0</v>
      </c>
      <c r="Y93" s="1"/>
      <c r="Z93" s="1"/>
      <c r="AA93" s="1">
        <f t="shared" si="10"/>
        <v>0.6</v>
      </c>
      <c r="AB93" s="5"/>
      <c r="AC93" s="5">
        <v>-70</v>
      </c>
      <c r="AD93" s="1">
        <f>(F93+O93+P93+Q93+R93+T93+U93+V93+W93+X93+Y93+Z93+AB93+AC93)/AA93</f>
        <v>111.66666666666667</v>
      </c>
      <c r="AE93" s="1">
        <f>(F93+O93+P93+Q93+R93+T93+U93+V93+W93+X93+Y93+Z93)/AA93</f>
        <v>228.33333333333334</v>
      </c>
      <c r="AF93" s="1">
        <v>0.6</v>
      </c>
      <c r="AG93" s="1">
        <v>3.8</v>
      </c>
      <c r="AH93" s="1">
        <v>12.4</v>
      </c>
      <c r="AI93" s="1">
        <v>11.2</v>
      </c>
      <c r="AJ93" s="1">
        <v>2.8</v>
      </c>
      <c r="AK93" s="1">
        <v>2.6</v>
      </c>
      <c r="AL93" s="1">
        <v>6.4</v>
      </c>
      <c r="AM93" s="1">
        <v>8</v>
      </c>
      <c r="AN93" s="1">
        <v>8.8000000000000007</v>
      </c>
      <c r="AO93" s="1"/>
      <c r="AP93" s="1">
        <f>G93*AB93</f>
        <v>0</v>
      </c>
      <c r="AQ93" s="1">
        <f>-1*AC93*G93</f>
        <v>21</v>
      </c>
      <c r="AR93" s="1">
        <f>(AN93+AM93+AL93+AK93+AJ93+AI93+AH93+AG93+AF93+AA93)*G93</f>
        <v>17.16</v>
      </c>
      <c r="AS93" s="1"/>
      <c r="AT93" s="1"/>
      <c r="AU93" s="1"/>
      <c r="AV93" s="1"/>
      <c r="AW93" s="1"/>
      <c r="AX93" s="1"/>
    </row>
    <row r="94" spans="1:50" x14ac:dyDescent="0.25">
      <c r="A94" s="1" t="s">
        <v>139</v>
      </c>
      <c r="B94" s="1" t="s">
        <v>42</v>
      </c>
      <c r="C94" s="1">
        <v>2.7320000000000002</v>
      </c>
      <c r="D94" s="1"/>
      <c r="E94" s="1">
        <v>2.0249999999999999</v>
      </c>
      <c r="F94" s="1">
        <v>-8.0000000000000002E-3</v>
      </c>
      <c r="G94" s="7">
        <v>1</v>
      </c>
      <c r="H94" s="1">
        <v>55</v>
      </c>
      <c r="I94" s="1" t="s">
        <v>176</v>
      </c>
      <c r="J94" s="1"/>
      <c r="K94" s="1">
        <v>3.8</v>
      </c>
      <c r="L94" s="1">
        <f t="shared" si="8"/>
        <v>-1.7749999999999999</v>
      </c>
      <c r="M94" s="1">
        <f t="shared" si="9"/>
        <v>2.0249999999999999</v>
      </c>
      <c r="N94" s="1"/>
      <c r="O94" s="1"/>
      <c r="P94" s="1">
        <v>4</v>
      </c>
      <c r="Q94" s="1"/>
      <c r="R94" s="1"/>
      <c r="S94" s="10"/>
      <c r="T94" s="1"/>
      <c r="U94" s="1"/>
      <c r="V94" s="1"/>
      <c r="W94" s="1"/>
      <c r="X94" s="1">
        <v>8</v>
      </c>
      <c r="Y94" s="1"/>
      <c r="Z94" s="1"/>
      <c r="AA94" s="1">
        <f t="shared" si="10"/>
        <v>0.40499999999999997</v>
      </c>
      <c r="AB94" s="5"/>
      <c r="AC94" s="5"/>
      <c r="AD94" s="1">
        <f>(F94+O94+P94+Q94+R94+T94+U94+V94+W94+X94+Y94+Z94+AB94+AC94)/AA94</f>
        <v>29.609876543209882</v>
      </c>
      <c r="AE94" s="1">
        <f>(F94+O94+P94+Q94+R94+T94+U94+V94+W94+X94+Y94+Z94)/AA94</f>
        <v>29.609876543209882</v>
      </c>
      <c r="AF94" s="1">
        <v>0.40500000000000003</v>
      </c>
      <c r="AG94" s="1">
        <v>1.224</v>
      </c>
      <c r="AH94" s="1">
        <v>0.5544</v>
      </c>
      <c r="AI94" s="1">
        <v>-0.2646</v>
      </c>
      <c r="AJ94" s="1">
        <v>0</v>
      </c>
      <c r="AK94" s="1">
        <v>0</v>
      </c>
      <c r="AL94" s="1">
        <v>0</v>
      </c>
      <c r="AM94" s="1">
        <v>-0.27200000000000002</v>
      </c>
      <c r="AN94" s="1">
        <v>0</v>
      </c>
      <c r="AO94" s="1"/>
      <c r="AP94" s="1">
        <f>G94*AB94</f>
        <v>0</v>
      </c>
      <c r="AQ94" s="1">
        <f>-1*AC94*G94</f>
        <v>0</v>
      </c>
      <c r="AR94" s="1">
        <f>(AN94+AM94+AL94+AK94+AJ94+AI94+AH94+AG94+AF94+AA94)*G94</f>
        <v>2.0518000000000001</v>
      </c>
      <c r="AS94" s="1"/>
      <c r="AT94" s="1"/>
      <c r="AU94" s="1"/>
      <c r="AV94" s="1"/>
      <c r="AW94" s="1"/>
      <c r="AX94" s="1"/>
    </row>
    <row r="95" spans="1:50" x14ac:dyDescent="0.25">
      <c r="A95" s="1" t="s">
        <v>140</v>
      </c>
      <c r="B95" s="1" t="s">
        <v>46</v>
      </c>
      <c r="C95" s="1">
        <v>465</v>
      </c>
      <c r="D95" s="1">
        <v>418</v>
      </c>
      <c r="E95" s="1">
        <v>259</v>
      </c>
      <c r="F95" s="1">
        <v>531</v>
      </c>
      <c r="G95" s="7">
        <v>0.28000000000000003</v>
      </c>
      <c r="H95" s="1">
        <v>40</v>
      </c>
      <c r="I95" s="1" t="s">
        <v>176</v>
      </c>
      <c r="J95" s="1"/>
      <c r="K95" s="1">
        <v>463</v>
      </c>
      <c r="L95" s="1">
        <f t="shared" si="8"/>
        <v>-204</v>
      </c>
      <c r="M95" s="1">
        <f t="shared" si="9"/>
        <v>259</v>
      </c>
      <c r="N95" s="1"/>
      <c r="O95" s="1"/>
      <c r="P95" s="1">
        <v>70.12468599999977</v>
      </c>
      <c r="Q95" s="1"/>
      <c r="R95" s="1"/>
      <c r="S95" s="10"/>
      <c r="T95" s="1"/>
      <c r="U95" s="1"/>
      <c r="V95" s="1"/>
      <c r="W95" s="1"/>
      <c r="X95" s="1">
        <v>170.2</v>
      </c>
      <c r="Y95" s="1"/>
      <c r="Z95" s="1"/>
      <c r="AA95" s="1">
        <f t="shared" si="10"/>
        <v>51.8</v>
      </c>
      <c r="AB95" s="5"/>
      <c r="AC95" s="5">
        <f>(AE95-$AB$1)*AA95*(-1)</f>
        <v>-175.62468599999971</v>
      </c>
      <c r="AD95" s="1">
        <f>(F95+O95+P95+Q95+R95+T95+U95+V95+W95+X95+Y95+Z95+AB95+AC95)/AA95</f>
        <v>11.500000000000002</v>
      </c>
      <c r="AE95" s="1">
        <f>(F95+O95+P95+Q95+R95+T95+U95+V95+W95+X95+Y95+Z95)/AA95</f>
        <v>14.890437953667949</v>
      </c>
      <c r="AF95" s="1">
        <v>57</v>
      </c>
      <c r="AG95" s="1">
        <v>70</v>
      </c>
      <c r="AH95" s="1">
        <v>76.8</v>
      </c>
      <c r="AI95" s="1">
        <v>82.8</v>
      </c>
      <c r="AJ95" s="1">
        <v>77.599999999999994</v>
      </c>
      <c r="AK95" s="1">
        <v>66.8</v>
      </c>
      <c r="AL95" s="1">
        <v>79.2</v>
      </c>
      <c r="AM95" s="1">
        <v>89.4</v>
      </c>
      <c r="AN95" s="1">
        <v>80.2</v>
      </c>
      <c r="AO95" s="1"/>
      <c r="AP95" s="1">
        <f>G95*AB95</f>
        <v>0</v>
      </c>
      <c r="AQ95" s="1">
        <f>-1*AC95*G95</f>
        <v>49.174912079999928</v>
      </c>
      <c r="AR95" s="1">
        <f>(AN95+AM95+AL95+AK95+AJ95+AI95+AH95+AG95+AF95+AA95)*G95</f>
        <v>204.84800000000001</v>
      </c>
      <c r="AS95" s="1"/>
      <c r="AT95" s="1"/>
      <c r="AU95" s="1"/>
      <c r="AV95" s="1"/>
      <c r="AW95" s="1"/>
      <c r="AX95" s="1"/>
    </row>
    <row r="96" spans="1:50" x14ac:dyDescent="0.25">
      <c r="A96" s="1" t="s">
        <v>141</v>
      </c>
      <c r="B96" s="1" t="s">
        <v>46</v>
      </c>
      <c r="C96" s="1">
        <v>24</v>
      </c>
      <c r="D96" s="1">
        <v>325</v>
      </c>
      <c r="E96" s="1">
        <v>124.274</v>
      </c>
      <c r="F96" s="1">
        <v>187.726</v>
      </c>
      <c r="G96" s="7">
        <v>0.28000000000000003</v>
      </c>
      <c r="H96" s="1">
        <v>40</v>
      </c>
      <c r="I96" s="1" t="s">
        <v>176</v>
      </c>
      <c r="J96" s="1"/>
      <c r="K96" s="1">
        <v>346</v>
      </c>
      <c r="L96" s="1">
        <f t="shared" si="8"/>
        <v>-221.726</v>
      </c>
      <c r="M96" s="1">
        <f t="shared" si="9"/>
        <v>124.274</v>
      </c>
      <c r="N96" s="1"/>
      <c r="O96" s="1"/>
      <c r="P96" s="1">
        <v>275.27999999999997</v>
      </c>
      <c r="Q96" s="1"/>
      <c r="R96" s="1">
        <v>279.72000000000003</v>
      </c>
      <c r="S96" s="1">
        <f>VLOOKUP(A96,[1]TDSheet!$A:$B,2,0)</f>
        <v>282</v>
      </c>
      <c r="T96" s="1"/>
      <c r="U96" s="1"/>
      <c r="V96" s="1"/>
      <c r="W96" s="1"/>
      <c r="X96" s="1">
        <v>0</v>
      </c>
      <c r="Y96" s="1"/>
      <c r="Z96" s="1"/>
      <c r="AA96" s="1">
        <f t="shared" si="10"/>
        <v>24.854800000000001</v>
      </c>
      <c r="AB96" s="5"/>
      <c r="AC96" s="5">
        <v>-150</v>
      </c>
      <c r="AD96" s="1">
        <f>(F96+O96+P96+Q96+R96+T96+U96+V96+W96+X96+Y96+Z96+AB96+AC96)/AA96</f>
        <v>23.847546550364516</v>
      </c>
      <c r="AE96" s="1">
        <f>(F96+O96+P96+Q96+R96+T96+U96+V96+W96+X96+Y96+Z96)/AA96</f>
        <v>29.882598129938682</v>
      </c>
      <c r="AF96" s="1">
        <v>32.654800000000002</v>
      </c>
      <c r="AG96" s="1">
        <v>50.4</v>
      </c>
      <c r="AH96" s="1">
        <v>91.8</v>
      </c>
      <c r="AI96" s="1">
        <v>43.6</v>
      </c>
      <c r="AJ96" s="1">
        <v>2</v>
      </c>
      <c r="AK96" s="1">
        <v>40.4</v>
      </c>
      <c r="AL96" s="1">
        <v>50.8</v>
      </c>
      <c r="AM96" s="1">
        <v>10.4</v>
      </c>
      <c r="AN96" s="1">
        <v>0</v>
      </c>
      <c r="AO96" s="1"/>
      <c r="AP96" s="1">
        <f>G96*AB96</f>
        <v>0</v>
      </c>
      <c r="AQ96" s="1">
        <f>-1*AC96*G96</f>
        <v>42.000000000000007</v>
      </c>
      <c r="AR96" s="1">
        <f>(AN96+AM96+AL96+AK96+AJ96+AI96+AH96+AG96+AF96+AA96)*G96</f>
        <v>97.134688000000011</v>
      </c>
      <c r="AS96" s="1"/>
      <c r="AT96" s="1"/>
      <c r="AU96" s="1"/>
      <c r="AV96" s="1"/>
      <c r="AW96" s="1"/>
      <c r="AX96" s="1"/>
    </row>
    <row r="97" spans="1:50" x14ac:dyDescent="0.25">
      <c r="A97" s="1" t="s">
        <v>142</v>
      </c>
      <c r="B97" s="1" t="s">
        <v>46</v>
      </c>
      <c r="C97" s="1">
        <v>344</v>
      </c>
      <c r="D97" s="1">
        <v>716</v>
      </c>
      <c r="E97" s="1">
        <v>393.5</v>
      </c>
      <c r="F97" s="1">
        <v>552.5</v>
      </c>
      <c r="G97" s="7">
        <v>0.28000000000000003</v>
      </c>
      <c r="H97" s="1">
        <v>40</v>
      </c>
      <c r="I97" s="1" t="s">
        <v>176</v>
      </c>
      <c r="J97" s="1"/>
      <c r="K97" s="1">
        <v>717</v>
      </c>
      <c r="L97" s="1">
        <f t="shared" si="8"/>
        <v>-323.5</v>
      </c>
      <c r="M97" s="1">
        <f t="shared" si="9"/>
        <v>393.5</v>
      </c>
      <c r="N97" s="1"/>
      <c r="O97" s="1"/>
      <c r="P97" s="1">
        <v>175.5732580000001</v>
      </c>
      <c r="Q97" s="1"/>
      <c r="R97" s="1"/>
      <c r="S97" s="10"/>
      <c r="T97" s="1"/>
      <c r="U97" s="1"/>
      <c r="V97" s="1"/>
      <c r="W97" s="1"/>
      <c r="X97" s="1">
        <v>380.12000000000012</v>
      </c>
      <c r="Y97" s="1"/>
      <c r="Z97" s="1"/>
      <c r="AA97" s="1">
        <f t="shared" si="10"/>
        <v>78.7</v>
      </c>
      <c r="AB97" s="5"/>
      <c r="AC97" s="5">
        <f>(AE97-$AB$1)*AA97*(-1)</f>
        <v>-203.14325800000017</v>
      </c>
      <c r="AD97" s="1">
        <f>(F97+O97+P97+Q97+R97+T97+U97+V97+W97+X97+Y97+Z97+AB97+AC97)/AA97</f>
        <v>11.5</v>
      </c>
      <c r="AE97" s="1">
        <f>(F97+O97+P97+Q97+R97+T97+U97+V97+W97+X97+Y97+Z97)/AA97</f>
        <v>14.081235806861502</v>
      </c>
      <c r="AF97" s="1">
        <v>78.5</v>
      </c>
      <c r="AG97" s="1">
        <v>103.2</v>
      </c>
      <c r="AH97" s="1">
        <v>101.8</v>
      </c>
      <c r="AI97" s="1">
        <v>99</v>
      </c>
      <c r="AJ97" s="1">
        <v>77.8</v>
      </c>
      <c r="AK97" s="1">
        <v>86.6</v>
      </c>
      <c r="AL97" s="1">
        <v>107</v>
      </c>
      <c r="AM97" s="1">
        <v>107.8</v>
      </c>
      <c r="AN97" s="1">
        <v>88.6</v>
      </c>
      <c r="AO97" s="1"/>
      <c r="AP97" s="1">
        <f>G97*AB97</f>
        <v>0</v>
      </c>
      <c r="AQ97" s="1">
        <f>-1*AC97*G97</f>
        <v>56.880112240000052</v>
      </c>
      <c r="AR97" s="1">
        <f>(AN97+AM97+AL97+AK97+AJ97+AI97+AH97+AG97+AF97+AA97)*G97</f>
        <v>260.12</v>
      </c>
      <c r="AS97" s="1"/>
      <c r="AT97" s="1"/>
      <c r="AU97" s="1"/>
      <c r="AV97" s="1"/>
      <c r="AW97" s="1"/>
      <c r="AX97" s="1"/>
    </row>
    <row r="98" spans="1:50" x14ac:dyDescent="0.25">
      <c r="A98" s="1" t="s">
        <v>143</v>
      </c>
      <c r="B98" s="1" t="s">
        <v>46</v>
      </c>
      <c r="C98" s="1">
        <v>50</v>
      </c>
      <c r="D98" s="1">
        <v>21</v>
      </c>
      <c r="E98" s="1">
        <v>49</v>
      </c>
      <c r="F98" s="1">
        <v>6</v>
      </c>
      <c r="G98" s="7">
        <v>0.09</v>
      </c>
      <c r="H98" s="1">
        <v>45</v>
      </c>
      <c r="I98" s="1" t="s">
        <v>176</v>
      </c>
      <c r="J98" s="1"/>
      <c r="K98" s="1">
        <v>146</v>
      </c>
      <c r="L98" s="1">
        <f t="shared" si="8"/>
        <v>-97</v>
      </c>
      <c r="M98" s="1">
        <f t="shared" si="9"/>
        <v>49</v>
      </c>
      <c r="N98" s="1"/>
      <c r="O98" s="1"/>
      <c r="P98" s="1">
        <v>0</v>
      </c>
      <c r="Q98" s="1"/>
      <c r="R98" s="1"/>
      <c r="S98" s="10"/>
      <c r="T98" s="1"/>
      <c r="U98" s="1"/>
      <c r="V98" s="1"/>
      <c r="W98" s="1"/>
      <c r="X98" s="1">
        <v>66.400000000000006</v>
      </c>
      <c r="Y98" s="1"/>
      <c r="Z98" s="1"/>
      <c r="AA98" s="1">
        <f t="shared" si="10"/>
        <v>9.8000000000000007</v>
      </c>
      <c r="AB98" s="5">
        <f t="shared" si="12"/>
        <v>35.400000000000006</v>
      </c>
      <c r="AC98" s="5"/>
      <c r="AD98" s="1">
        <f>(F98+O98+P98+Q98+R98+T98+U98+V98+W98+X98+Y98+Z98+AB98+AC98)/AA98</f>
        <v>11</v>
      </c>
      <c r="AE98" s="1">
        <f>(F98+O98+P98+Q98+R98+T98+U98+V98+W98+X98+Y98+Z98)/AA98</f>
        <v>7.3877551020408161</v>
      </c>
      <c r="AF98" s="1">
        <v>6.6</v>
      </c>
      <c r="AG98" s="1">
        <v>10</v>
      </c>
      <c r="AH98" s="1">
        <v>8.1999999999999993</v>
      </c>
      <c r="AI98" s="1">
        <v>7.6</v>
      </c>
      <c r="AJ98" s="1">
        <v>7.2</v>
      </c>
      <c r="AK98" s="1">
        <v>5.2</v>
      </c>
      <c r="AL98" s="1">
        <v>4</v>
      </c>
      <c r="AM98" s="1">
        <v>2</v>
      </c>
      <c r="AN98" s="1">
        <v>0</v>
      </c>
      <c r="AO98" s="1"/>
      <c r="AP98" s="1">
        <f>G98*AB98</f>
        <v>3.1860000000000004</v>
      </c>
      <c r="AQ98" s="1">
        <f>-1*AC98*G98</f>
        <v>0</v>
      </c>
      <c r="AR98" s="1">
        <f>(AN98+AM98+AL98+AK98+AJ98+AI98+AH98+AG98+AF98+AA98)*G98</f>
        <v>5.4540000000000006</v>
      </c>
      <c r="AS98" s="1"/>
      <c r="AT98" s="1"/>
      <c r="AU98" s="1"/>
      <c r="AV98" s="1"/>
      <c r="AW98" s="1"/>
      <c r="AX98" s="1"/>
    </row>
    <row r="99" spans="1:50" x14ac:dyDescent="0.25">
      <c r="A99" s="10" t="s">
        <v>144</v>
      </c>
      <c r="B99" s="10" t="s">
        <v>42</v>
      </c>
      <c r="C99" s="10">
        <v>78.311000000000007</v>
      </c>
      <c r="D99" s="10">
        <v>2.7349999999999999</v>
      </c>
      <c r="E99" s="10">
        <v>9.4969999999999999</v>
      </c>
      <c r="F99" s="10">
        <v>68.813999999999993</v>
      </c>
      <c r="G99" s="11">
        <v>0</v>
      </c>
      <c r="H99" s="10">
        <v>55</v>
      </c>
      <c r="I99" s="10" t="s">
        <v>122</v>
      </c>
      <c r="J99" s="10"/>
      <c r="K99" s="10">
        <v>11.9</v>
      </c>
      <c r="L99" s="10">
        <f t="shared" si="8"/>
        <v>-2.4030000000000005</v>
      </c>
      <c r="M99" s="10">
        <f t="shared" si="9"/>
        <v>9.4969999999999999</v>
      </c>
      <c r="N99" s="10"/>
      <c r="O99" s="10"/>
      <c r="P99" s="10">
        <v>0</v>
      </c>
      <c r="Q99" s="10"/>
      <c r="R99" s="10"/>
      <c r="S99" s="10"/>
      <c r="T99" s="10"/>
      <c r="U99" s="10"/>
      <c r="V99" s="10"/>
      <c r="W99" s="10"/>
      <c r="X99" s="10">
        <v>0</v>
      </c>
      <c r="Y99" s="10"/>
      <c r="Z99" s="10"/>
      <c r="AA99" s="10">
        <f t="shared" si="10"/>
        <v>1.8994</v>
      </c>
      <c r="AB99" s="12"/>
      <c r="AC99" s="12">
        <v>-69</v>
      </c>
      <c r="AD99" s="1">
        <f>(F99+O99+P99+Q99+R99+T99+U99+V99+W99+X99+Y99+Z99+AB99+AC99)/AA99</f>
        <v>-9.792566073497265E-2</v>
      </c>
      <c r="AE99" s="10">
        <f>(F99+O99+P99+Q99+R99+T99+U99+V99+W99+X99+Y99+Z99)/AA99</f>
        <v>36.229335579656727</v>
      </c>
      <c r="AF99" s="10">
        <v>2.1669999999999998</v>
      </c>
      <c r="AG99" s="10">
        <v>2.1669999999999998</v>
      </c>
      <c r="AH99" s="10">
        <v>0.80959999999999999</v>
      </c>
      <c r="AI99" s="10">
        <v>0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5" t="s">
        <v>94</v>
      </c>
      <c r="AP99" s="10"/>
      <c r="AQ99" s="1">
        <f>-1*AC99</f>
        <v>69</v>
      </c>
      <c r="AR99" s="1">
        <f>(AN99+AM99+AL99+AK99+AJ99+AI99+AH99+AG99+AF99+AA99)*G99</f>
        <v>0</v>
      </c>
      <c r="AS99" s="1"/>
      <c r="AT99" s="1"/>
      <c r="AU99" s="1"/>
      <c r="AV99" s="1"/>
      <c r="AW99" s="1"/>
      <c r="AX99" s="1"/>
    </row>
    <row r="100" spans="1:50" x14ac:dyDescent="0.25">
      <c r="A100" s="1" t="s">
        <v>145</v>
      </c>
      <c r="B100" s="1" t="s">
        <v>42</v>
      </c>
      <c r="C100" s="1">
        <v>114.937</v>
      </c>
      <c r="D100" s="1"/>
      <c r="E100" s="1">
        <v>32.725000000000001</v>
      </c>
      <c r="F100" s="1">
        <v>79.138999999999996</v>
      </c>
      <c r="G100" s="7">
        <v>1</v>
      </c>
      <c r="H100" s="1">
        <v>60</v>
      </c>
      <c r="I100" s="1" t="s">
        <v>176</v>
      </c>
      <c r="J100" s="1"/>
      <c r="K100" s="1">
        <v>55</v>
      </c>
      <c r="L100" s="1">
        <f t="shared" ref="L100:L112" si="13">E100-K100</f>
        <v>-22.274999999999999</v>
      </c>
      <c r="M100" s="1">
        <f t="shared" si="9"/>
        <v>32.725000000000001</v>
      </c>
      <c r="N100" s="1"/>
      <c r="O100" s="1"/>
      <c r="P100" s="1">
        <v>0</v>
      </c>
      <c r="Q100" s="1"/>
      <c r="R100" s="1"/>
      <c r="S100" s="10"/>
      <c r="T100" s="1"/>
      <c r="U100" s="1"/>
      <c r="V100" s="1"/>
      <c r="W100" s="1"/>
      <c r="X100" s="1">
        <v>50.29349999999998</v>
      </c>
      <c r="Y100" s="1"/>
      <c r="Z100" s="1"/>
      <c r="AA100" s="1">
        <f t="shared" si="10"/>
        <v>6.5449999999999999</v>
      </c>
      <c r="AB100" s="5"/>
      <c r="AC100" s="5">
        <f>(AE100-$AB$1)*AA100*(-1)</f>
        <v>-54.164999999999964</v>
      </c>
      <c r="AD100" s="1">
        <f>(F100+O100+P100+Q100+R100+T100+U100+V100+W100+X100+Y100+Z100+AB100+AC100)/AA100</f>
        <v>11.500000000000002</v>
      </c>
      <c r="AE100" s="1">
        <f>(F100+O100+P100+Q100+R100+T100+U100+V100+W100+X100+Y100+Z100)/AA100</f>
        <v>19.775783040488918</v>
      </c>
      <c r="AF100" s="1">
        <v>9.0909999999999993</v>
      </c>
      <c r="AG100" s="1">
        <v>11.584199999999999</v>
      </c>
      <c r="AH100" s="1">
        <v>9.4443999999999999</v>
      </c>
      <c r="AI100" s="1">
        <v>10.747999999999999</v>
      </c>
      <c r="AJ100" s="1">
        <v>14.030799999999999</v>
      </c>
      <c r="AK100" s="1">
        <v>8.6370000000000005</v>
      </c>
      <c r="AL100" s="1">
        <v>10.106199999999999</v>
      </c>
      <c r="AM100" s="1">
        <v>14.573</v>
      </c>
      <c r="AN100" s="1">
        <v>12.059799999999999</v>
      </c>
      <c r="AO100" s="15" t="s">
        <v>94</v>
      </c>
      <c r="AP100" s="1">
        <f>G100*AB100</f>
        <v>0</v>
      </c>
      <c r="AQ100" s="1">
        <f>-1*AC100*G100</f>
        <v>54.164999999999964</v>
      </c>
      <c r="AR100" s="1">
        <f>(AN100+AM100+AL100+AK100+AJ100+AI100+AH100+AG100+AF100+AA100)*G100</f>
        <v>106.81939999999999</v>
      </c>
      <c r="AS100" s="1"/>
      <c r="AT100" s="1"/>
      <c r="AU100" s="1"/>
      <c r="AV100" s="1"/>
      <c r="AW100" s="1"/>
      <c r="AX100" s="1"/>
    </row>
    <row r="101" spans="1:50" x14ac:dyDescent="0.25">
      <c r="A101" s="1" t="s">
        <v>146</v>
      </c>
      <c r="B101" s="1" t="s">
        <v>42</v>
      </c>
      <c r="C101" s="1">
        <v>184.91800000000001</v>
      </c>
      <c r="D101" s="1"/>
      <c r="E101" s="1">
        <v>15.388999999999999</v>
      </c>
      <c r="F101" s="1">
        <v>167.38900000000001</v>
      </c>
      <c r="G101" s="7">
        <v>1</v>
      </c>
      <c r="H101" s="1">
        <v>50</v>
      </c>
      <c r="I101" s="1" t="s">
        <v>176</v>
      </c>
      <c r="J101" s="1"/>
      <c r="K101" s="1">
        <v>27.5</v>
      </c>
      <c r="L101" s="1">
        <f t="shared" si="13"/>
        <v>-12.111000000000001</v>
      </c>
      <c r="M101" s="1">
        <f t="shared" si="9"/>
        <v>15.388999999999999</v>
      </c>
      <c r="N101" s="1"/>
      <c r="O101" s="1"/>
      <c r="P101" s="1">
        <v>0</v>
      </c>
      <c r="Q101" s="1"/>
      <c r="R101" s="1"/>
      <c r="S101" s="10"/>
      <c r="T101" s="1"/>
      <c r="U101" s="1"/>
      <c r="V101" s="1"/>
      <c r="W101" s="1"/>
      <c r="X101" s="1">
        <v>0</v>
      </c>
      <c r="Y101" s="1"/>
      <c r="Z101" s="1"/>
      <c r="AA101" s="1">
        <f t="shared" si="10"/>
        <v>3.0777999999999999</v>
      </c>
      <c r="AB101" s="5"/>
      <c r="AC101" s="5">
        <f>(AE101-$AB$1)*AA101*(-1)</f>
        <v>-131.99430000000001</v>
      </c>
      <c r="AD101" s="1">
        <f>(F101+O101+P101+Q101+R101+T101+U101+V101+W101+X101+Y101+Z101+AB101+AC101)/AA101</f>
        <v>11.5</v>
      </c>
      <c r="AE101" s="1">
        <f>(F101+O101+P101+Q101+R101+T101+U101+V101+W101+X101+Y101+Z101)/AA101</f>
        <v>54.385925011371768</v>
      </c>
      <c r="AF101" s="1">
        <v>4.9722</v>
      </c>
      <c r="AG101" s="1">
        <v>7.1712000000000007</v>
      </c>
      <c r="AH101" s="1">
        <v>8.8970000000000002</v>
      </c>
      <c r="AI101" s="1">
        <v>7.3335999999999997</v>
      </c>
      <c r="AJ101" s="1">
        <v>4.6264000000000003</v>
      </c>
      <c r="AK101" s="1">
        <v>9.5132000000000012</v>
      </c>
      <c r="AL101" s="1">
        <v>20.629000000000001</v>
      </c>
      <c r="AM101" s="1">
        <v>24.804400000000001</v>
      </c>
      <c r="AN101" s="1">
        <v>17.557400000000001</v>
      </c>
      <c r="AO101" s="15" t="s">
        <v>94</v>
      </c>
      <c r="AP101" s="1">
        <f>G101*AB101</f>
        <v>0</v>
      </c>
      <c r="AQ101" s="1">
        <f>-1*AC101*G101</f>
        <v>131.99430000000001</v>
      </c>
      <c r="AR101" s="1">
        <f>(AN101+AM101+AL101+AK101+AJ101+AI101+AH101+AG101+AF101+AA101)*G101</f>
        <v>108.58220000000001</v>
      </c>
      <c r="AS101" s="1"/>
      <c r="AT101" s="1"/>
      <c r="AU101" s="1"/>
      <c r="AV101" s="1"/>
      <c r="AW101" s="1"/>
      <c r="AX101" s="1"/>
    </row>
    <row r="102" spans="1:50" x14ac:dyDescent="0.25">
      <c r="A102" s="1" t="s">
        <v>147</v>
      </c>
      <c r="B102" s="1" t="s">
        <v>46</v>
      </c>
      <c r="C102" s="1">
        <v>26</v>
      </c>
      <c r="D102" s="1">
        <v>101</v>
      </c>
      <c r="E102" s="1">
        <v>32</v>
      </c>
      <c r="F102" s="1">
        <v>76</v>
      </c>
      <c r="G102" s="7">
        <v>0.09</v>
      </c>
      <c r="H102" s="1">
        <v>45</v>
      </c>
      <c r="I102" s="1" t="s">
        <v>176</v>
      </c>
      <c r="J102" s="1"/>
      <c r="K102" s="1">
        <v>156</v>
      </c>
      <c r="L102" s="1">
        <f t="shared" si="13"/>
        <v>-124</v>
      </c>
      <c r="M102" s="1">
        <f t="shared" si="9"/>
        <v>32</v>
      </c>
      <c r="N102" s="1"/>
      <c r="O102" s="1"/>
      <c r="P102" s="1">
        <v>0</v>
      </c>
      <c r="Q102" s="1"/>
      <c r="R102" s="1"/>
      <c r="S102" s="10"/>
      <c r="T102" s="1"/>
      <c r="U102" s="1"/>
      <c r="V102" s="1"/>
      <c r="W102" s="1"/>
      <c r="X102" s="1">
        <v>0</v>
      </c>
      <c r="Y102" s="1"/>
      <c r="Z102" s="1"/>
      <c r="AA102" s="1">
        <f t="shared" si="10"/>
        <v>6.4</v>
      </c>
      <c r="AB102" s="5"/>
      <c r="AC102" s="5"/>
      <c r="AD102" s="1">
        <f>(F102+O102+P102+Q102+R102+T102+U102+V102+W102+X102+Y102+Z102+AB102+AC102)/AA102</f>
        <v>11.875</v>
      </c>
      <c r="AE102" s="1">
        <f>(F102+O102+P102+Q102+R102+T102+U102+V102+W102+X102+Y102+Z102)/AA102</f>
        <v>11.875</v>
      </c>
      <c r="AF102" s="1">
        <v>4.8</v>
      </c>
      <c r="AG102" s="1">
        <v>6.4</v>
      </c>
      <c r="AH102" s="1">
        <v>8.1999999999999993</v>
      </c>
      <c r="AI102" s="1">
        <v>9</v>
      </c>
      <c r="AJ102" s="1">
        <v>5.6</v>
      </c>
      <c r="AK102" s="1">
        <v>3</v>
      </c>
      <c r="AL102" s="1">
        <v>3</v>
      </c>
      <c r="AM102" s="1">
        <v>2</v>
      </c>
      <c r="AN102" s="1">
        <v>0</v>
      </c>
      <c r="AO102" s="1"/>
      <c r="AP102" s="1">
        <f>G102*AB102</f>
        <v>0</v>
      </c>
      <c r="AQ102" s="1">
        <f>-1*AC102*G102</f>
        <v>0</v>
      </c>
      <c r="AR102" s="1">
        <f>(AN102+AM102+AL102+AK102+AJ102+AI102+AH102+AG102+AF102+AA102)*G102</f>
        <v>4.3559999999999999</v>
      </c>
      <c r="AS102" s="1"/>
      <c r="AT102" s="1"/>
      <c r="AU102" s="1"/>
      <c r="AV102" s="1"/>
      <c r="AW102" s="1"/>
      <c r="AX102" s="1"/>
    </row>
    <row r="103" spans="1:50" x14ac:dyDescent="0.25">
      <c r="A103" s="1" t="s">
        <v>148</v>
      </c>
      <c r="B103" s="1" t="s">
        <v>46</v>
      </c>
      <c r="C103" s="1">
        <v>1</v>
      </c>
      <c r="D103" s="1">
        <v>85</v>
      </c>
      <c r="E103" s="1">
        <v>9</v>
      </c>
      <c r="F103" s="1">
        <v>72</v>
      </c>
      <c r="G103" s="7">
        <v>0.09</v>
      </c>
      <c r="H103" s="1">
        <v>45</v>
      </c>
      <c r="I103" s="1" t="s">
        <v>176</v>
      </c>
      <c r="J103" s="1"/>
      <c r="K103" s="1">
        <v>71</v>
      </c>
      <c r="L103" s="1">
        <f t="shared" si="13"/>
        <v>-62</v>
      </c>
      <c r="M103" s="1">
        <f t="shared" si="9"/>
        <v>9</v>
      </c>
      <c r="N103" s="1"/>
      <c r="O103" s="1"/>
      <c r="P103" s="1">
        <v>30</v>
      </c>
      <c r="Q103" s="1"/>
      <c r="R103" s="1"/>
      <c r="S103" s="10"/>
      <c r="T103" s="1"/>
      <c r="U103" s="1"/>
      <c r="V103" s="1"/>
      <c r="W103" s="1"/>
      <c r="X103" s="1">
        <v>0</v>
      </c>
      <c r="Y103" s="1"/>
      <c r="Z103" s="1"/>
      <c r="AA103" s="1">
        <f t="shared" si="10"/>
        <v>1.8</v>
      </c>
      <c r="AB103" s="5"/>
      <c r="AC103" s="5"/>
      <c r="AD103" s="1">
        <f>(F103+O103+P103+Q103+R103+T103+U103+V103+W103+X103+Y103+Z103+AB103+AC103)/AA103</f>
        <v>56.666666666666664</v>
      </c>
      <c r="AE103" s="1">
        <f>(F103+O103+P103+Q103+R103+T103+U103+V103+W103+X103+Y103+Z103)/AA103</f>
        <v>56.666666666666664</v>
      </c>
      <c r="AF103" s="1">
        <v>1.4</v>
      </c>
      <c r="AG103" s="1">
        <v>0.2</v>
      </c>
      <c r="AH103" s="1">
        <v>6</v>
      </c>
      <c r="AI103" s="1">
        <v>8</v>
      </c>
      <c r="AJ103" s="1">
        <v>5.4</v>
      </c>
      <c r="AK103" s="1">
        <v>3.2</v>
      </c>
      <c r="AL103" s="1">
        <v>2</v>
      </c>
      <c r="AM103" s="1">
        <v>2</v>
      </c>
      <c r="AN103" s="1">
        <v>0</v>
      </c>
      <c r="AO103" s="1" t="s">
        <v>149</v>
      </c>
      <c r="AP103" s="1">
        <f>G103*AB103</f>
        <v>0</v>
      </c>
      <c r="AQ103" s="1">
        <f>-1*AC103*G103</f>
        <v>0</v>
      </c>
      <c r="AR103" s="1">
        <f>(AN103+AM103+AL103+AK103+AJ103+AI103+AH103+AG103+AF103+AA103)*G103</f>
        <v>2.6999999999999997</v>
      </c>
      <c r="AS103" s="1"/>
      <c r="AT103" s="1"/>
      <c r="AU103" s="1"/>
      <c r="AV103" s="1"/>
      <c r="AW103" s="1"/>
      <c r="AX103" s="1"/>
    </row>
    <row r="104" spans="1:50" x14ac:dyDescent="0.25">
      <c r="A104" s="1" t="s">
        <v>150</v>
      </c>
      <c r="B104" s="1" t="s">
        <v>42</v>
      </c>
      <c r="C104" s="1">
        <v>551.68100000000004</v>
      </c>
      <c r="D104" s="1">
        <v>1.377</v>
      </c>
      <c r="E104" s="1">
        <v>41.066000000000003</v>
      </c>
      <c r="F104" s="1">
        <v>509.24599999999998</v>
      </c>
      <c r="G104" s="7">
        <v>1</v>
      </c>
      <c r="H104" s="1">
        <v>60</v>
      </c>
      <c r="I104" s="1" t="s">
        <v>176</v>
      </c>
      <c r="J104" s="1"/>
      <c r="K104" s="1">
        <v>60</v>
      </c>
      <c r="L104" s="1">
        <f t="shared" si="13"/>
        <v>-18.933999999999997</v>
      </c>
      <c r="M104" s="1">
        <f t="shared" si="9"/>
        <v>41.066000000000003</v>
      </c>
      <c r="N104" s="1"/>
      <c r="O104" s="1"/>
      <c r="P104" s="1">
        <v>0</v>
      </c>
      <c r="Q104" s="1"/>
      <c r="R104" s="1"/>
      <c r="S104" s="10"/>
      <c r="T104" s="1"/>
      <c r="U104" s="1"/>
      <c r="V104" s="1"/>
      <c r="W104" s="1"/>
      <c r="X104" s="1">
        <v>0</v>
      </c>
      <c r="Y104" s="1"/>
      <c r="Z104" s="1"/>
      <c r="AA104" s="1">
        <f t="shared" si="10"/>
        <v>8.2132000000000005</v>
      </c>
      <c r="AB104" s="5"/>
      <c r="AC104" s="5">
        <f>(AE104-$AB$1)*AA104*(-1)</f>
        <v>-414.79419999999999</v>
      </c>
      <c r="AD104" s="1">
        <f>(F104+O104+P104+Q104+R104+T104+U104+V104+W104+X104+Y104+Z104+AB104+AC104)/AA104</f>
        <v>11.499999999999998</v>
      </c>
      <c r="AE104" s="1">
        <f>(F104+O104+P104+Q104+R104+T104+U104+V104+W104+X104+Y104+Z104)/AA104</f>
        <v>62.00336044416305</v>
      </c>
      <c r="AF104" s="1">
        <v>7.9378000000000002</v>
      </c>
      <c r="AG104" s="1">
        <v>9.9105999999999987</v>
      </c>
      <c r="AH104" s="1">
        <v>11.642799999999999</v>
      </c>
      <c r="AI104" s="1">
        <v>11.3886</v>
      </c>
      <c r="AJ104" s="1">
        <v>6.3688000000000002</v>
      </c>
      <c r="AK104" s="1">
        <v>0</v>
      </c>
      <c r="AL104" s="1">
        <v>0.2742</v>
      </c>
      <c r="AM104" s="1">
        <v>0.2742</v>
      </c>
      <c r="AN104" s="1">
        <v>0</v>
      </c>
      <c r="AO104" s="22" t="s">
        <v>184</v>
      </c>
      <c r="AP104" s="1">
        <f>G104*AB104</f>
        <v>0</v>
      </c>
      <c r="AQ104" s="1">
        <f>-1*AC104*G104</f>
        <v>414.79419999999999</v>
      </c>
      <c r="AR104" s="1">
        <f>(AN104+AM104+AL104+AK104+AJ104+AI104+AH104+AG104+AF104+AA104)*G104</f>
        <v>56.010200000000005</v>
      </c>
      <c r="AS104" s="1"/>
      <c r="AT104" s="1"/>
      <c r="AU104" s="1"/>
      <c r="AV104" s="1"/>
      <c r="AW104" s="1"/>
      <c r="AX104" s="1"/>
    </row>
    <row r="105" spans="1:50" x14ac:dyDescent="0.25">
      <c r="A105" s="1" t="s">
        <v>151</v>
      </c>
      <c r="B105" s="1" t="s">
        <v>42</v>
      </c>
      <c r="C105" s="1">
        <v>623.16700000000003</v>
      </c>
      <c r="D105" s="1">
        <v>386.66199999999998</v>
      </c>
      <c r="E105" s="1">
        <v>408.62700000000001</v>
      </c>
      <c r="F105" s="1">
        <v>558.59100000000001</v>
      </c>
      <c r="G105" s="7">
        <v>1</v>
      </c>
      <c r="H105" s="1">
        <v>60</v>
      </c>
      <c r="I105" s="1" t="s">
        <v>176</v>
      </c>
      <c r="J105" s="1"/>
      <c r="K105" s="1">
        <v>598.45699999999999</v>
      </c>
      <c r="L105" s="1">
        <f t="shared" si="13"/>
        <v>-189.82999999999998</v>
      </c>
      <c r="M105" s="1">
        <f t="shared" si="9"/>
        <v>408.62700000000001</v>
      </c>
      <c r="N105" s="1"/>
      <c r="O105" s="1"/>
      <c r="P105" s="1">
        <v>276.86043700000022</v>
      </c>
      <c r="Q105" s="1"/>
      <c r="R105" s="1"/>
      <c r="S105" s="10"/>
      <c r="T105" s="1"/>
      <c r="U105" s="1"/>
      <c r="V105" s="1"/>
      <c r="W105" s="1"/>
      <c r="X105" s="1">
        <v>286.21679000000012</v>
      </c>
      <c r="Y105" s="1"/>
      <c r="Z105" s="1"/>
      <c r="AA105" s="1">
        <f t="shared" si="10"/>
        <v>81.725400000000008</v>
      </c>
      <c r="AB105" s="5"/>
      <c r="AC105" s="5">
        <v>-160</v>
      </c>
      <c r="AD105" s="1">
        <f>(F105+O105+P105+Q105+R105+T105+U105+V105+W105+X105+Y105+Z105+AB105+AC105)/AA105</f>
        <v>11.767066628000601</v>
      </c>
      <c r="AE105" s="1">
        <f>(F105+O105+P105+Q105+R105+T105+U105+V105+W105+X105+Y105+Z105)/AA105</f>
        <v>13.724842301169529</v>
      </c>
      <c r="AF105" s="1">
        <v>95.796599999999998</v>
      </c>
      <c r="AG105" s="1">
        <v>110.8334</v>
      </c>
      <c r="AH105" s="1">
        <v>111.65</v>
      </c>
      <c r="AI105" s="1">
        <v>111.2154</v>
      </c>
      <c r="AJ105" s="1">
        <v>108.0656</v>
      </c>
      <c r="AK105" s="1">
        <v>110.3446</v>
      </c>
      <c r="AL105" s="1">
        <v>88.266400000000004</v>
      </c>
      <c r="AM105" s="1">
        <v>50.457000000000001</v>
      </c>
      <c r="AN105" s="1">
        <v>79.408600000000007</v>
      </c>
      <c r="AO105" s="1"/>
      <c r="AP105" s="1">
        <f>G105*AB105</f>
        <v>0</v>
      </c>
      <c r="AQ105" s="1">
        <f>-1*AC105*G105</f>
        <v>160</v>
      </c>
      <c r="AR105" s="1">
        <f>(AN105+AM105+AL105+AK105+AJ105+AI105+AH105+AG105+AF105+AA105)*G105</f>
        <v>947.76300000000003</v>
      </c>
      <c r="AS105" s="1"/>
      <c r="AT105" s="1"/>
      <c r="AU105" s="1"/>
      <c r="AV105" s="1"/>
      <c r="AW105" s="1"/>
      <c r="AX105" s="1"/>
    </row>
    <row r="106" spans="1:50" x14ac:dyDescent="0.25">
      <c r="A106" s="1" t="s">
        <v>152</v>
      </c>
      <c r="B106" s="1" t="s">
        <v>42</v>
      </c>
      <c r="C106" s="1">
        <v>460.87599999999998</v>
      </c>
      <c r="D106" s="1">
        <v>8.234</v>
      </c>
      <c r="E106" s="1">
        <v>49.579000000000001</v>
      </c>
      <c r="F106" s="1">
        <v>411.29700000000003</v>
      </c>
      <c r="G106" s="7">
        <v>1</v>
      </c>
      <c r="H106" s="1">
        <v>60</v>
      </c>
      <c r="I106" s="1" t="s">
        <v>176</v>
      </c>
      <c r="J106" s="1"/>
      <c r="K106" s="1">
        <v>69.975999999999999</v>
      </c>
      <c r="L106" s="1">
        <f t="shared" si="13"/>
        <v>-20.396999999999998</v>
      </c>
      <c r="M106" s="1">
        <f t="shared" si="9"/>
        <v>49.579000000000001</v>
      </c>
      <c r="N106" s="1"/>
      <c r="O106" s="1"/>
      <c r="P106" s="1">
        <v>0</v>
      </c>
      <c r="Q106" s="1"/>
      <c r="R106" s="1"/>
      <c r="S106" s="10"/>
      <c r="T106" s="1"/>
      <c r="U106" s="1"/>
      <c r="V106" s="1"/>
      <c r="W106" s="1"/>
      <c r="X106" s="1">
        <v>0</v>
      </c>
      <c r="Y106" s="1"/>
      <c r="Z106" s="1"/>
      <c r="AA106" s="1">
        <f t="shared" si="10"/>
        <v>9.9158000000000008</v>
      </c>
      <c r="AB106" s="5"/>
      <c r="AC106" s="5">
        <v>-320</v>
      </c>
      <c r="AD106" s="1">
        <f>(F106+O106+P106+Q106+R106+T106+U106+V106+W106+X106+Y106+Z106+AB106+AC106)/AA106</f>
        <v>9.2072248330946582</v>
      </c>
      <c r="AE106" s="1">
        <f>(F106+O106+P106+Q106+R106+T106+U106+V106+W106+X106+Y106+Z106)/AA106</f>
        <v>41.478952782428046</v>
      </c>
      <c r="AF106" s="1">
        <v>6.5962000000000014</v>
      </c>
      <c r="AG106" s="1">
        <v>6.8528000000000002</v>
      </c>
      <c r="AH106" s="1">
        <v>7.9191999999999991</v>
      </c>
      <c r="AI106" s="1">
        <v>6.2633999999999999</v>
      </c>
      <c r="AJ106" s="1">
        <v>4.6247999999999996</v>
      </c>
      <c r="AK106" s="1">
        <v>1.9012</v>
      </c>
      <c r="AL106" s="1">
        <v>0.27400000000000002</v>
      </c>
      <c r="AM106" s="1">
        <v>0</v>
      </c>
      <c r="AN106" s="1">
        <v>0.54699999999999993</v>
      </c>
      <c r="AO106" s="22" t="s">
        <v>185</v>
      </c>
      <c r="AP106" s="1">
        <f>G106*AB106</f>
        <v>0</v>
      </c>
      <c r="AQ106" s="1">
        <f>-1*AC106*G106</f>
        <v>320</v>
      </c>
      <c r="AR106" s="1">
        <f>(AN106+AM106+AL106+AK106+AJ106+AI106+AH106+AG106+AF106+AA106)*G106</f>
        <v>44.894400000000005</v>
      </c>
      <c r="AS106" s="1"/>
      <c r="AT106" s="1"/>
      <c r="AU106" s="1"/>
      <c r="AV106" s="1"/>
      <c r="AW106" s="1"/>
      <c r="AX106" s="1"/>
    </row>
    <row r="107" spans="1:50" x14ac:dyDescent="0.25">
      <c r="A107" s="1" t="s">
        <v>153</v>
      </c>
      <c r="B107" s="1" t="s">
        <v>42</v>
      </c>
      <c r="C107" s="1">
        <v>1139.403</v>
      </c>
      <c r="D107" s="1">
        <v>118.685</v>
      </c>
      <c r="E107" s="1">
        <v>728.93700000000001</v>
      </c>
      <c r="F107" s="1">
        <v>412.53100000000001</v>
      </c>
      <c r="G107" s="7">
        <v>1</v>
      </c>
      <c r="H107" s="1">
        <v>60</v>
      </c>
      <c r="I107" s="1" t="s">
        <v>189</v>
      </c>
      <c r="J107" s="1"/>
      <c r="K107" s="1">
        <v>1185.229</v>
      </c>
      <c r="L107" s="1">
        <f t="shared" si="13"/>
        <v>-456.29200000000003</v>
      </c>
      <c r="M107" s="1">
        <f t="shared" si="9"/>
        <v>728.93700000000001</v>
      </c>
      <c r="N107" s="1"/>
      <c r="O107" s="1"/>
      <c r="P107" s="1">
        <v>266.92666560000009</v>
      </c>
      <c r="Q107" s="1">
        <v>400</v>
      </c>
      <c r="R107" s="1">
        <v>271.23193440000011</v>
      </c>
      <c r="S107" s="1">
        <f>VLOOKUP(A107,[1]TDSheet!$A:$B,2,0)</f>
        <v>281.54399999999998</v>
      </c>
      <c r="T107" s="1"/>
      <c r="U107" s="14">
        <v>900</v>
      </c>
      <c r="V107" s="1"/>
      <c r="W107" s="1"/>
      <c r="X107" s="1">
        <v>1023.9594</v>
      </c>
      <c r="Y107" s="1"/>
      <c r="Z107" s="1">
        <v>500</v>
      </c>
      <c r="AA107" s="1">
        <f t="shared" si="10"/>
        <v>145.78739999999999</v>
      </c>
      <c r="AB107" s="5"/>
      <c r="AC107" s="5">
        <v>-500</v>
      </c>
      <c r="AD107" s="1">
        <f>(F107+O107+P107+Q107+R107+T107+U107+V107+W107+X107+Y107+Z107+AB107+AC107)/AA107</f>
        <v>22.461810828645003</v>
      </c>
      <c r="AE107" s="1">
        <f>(F107+O107+P107+Q107+R107+T107+U107+V107+W107+X107+Y107+Z107)/AA107</f>
        <v>25.891462499502705</v>
      </c>
      <c r="AF107" s="1">
        <v>165.05019999999999</v>
      </c>
      <c r="AG107" s="1">
        <v>223.18119999999999</v>
      </c>
      <c r="AH107" s="1">
        <v>152.50559999999999</v>
      </c>
      <c r="AI107" s="1">
        <v>24.672599999999999</v>
      </c>
      <c r="AJ107" s="1">
        <v>20.073399999999999</v>
      </c>
      <c r="AK107" s="1">
        <v>94.601399999999998</v>
      </c>
      <c r="AL107" s="1">
        <v>159.07579999999999</v>
      </c>
      <c r="AM107" s="1">
        <v>185.3526</v>
      </c>
      <c r="AN107" s="1">
        <v>199.28919999999999</v>
      </c>
      <c r="AO107" s="22" t="s">
        <v>186</v>
      </c>
      <c r="AP107" s="1">
        <f>G107*AB107</f>
        <v>0</v>
      </c>
      <c r="AQ107" s="1">
        <f>-1*AC107*G107</f>
        <v>500</v>
      </c>
      <c r="AR107" s="1">
        <f>(AN107+AM107+AL107+AK107+AJ107+AI107+AH107+AG107+AF107+AA107)*G107</f>
        <v>1369.5893999999998</v>
      </c>
      <c r="AS107" s="1">
        <f>(F107+S107+U107+O107)/AA107</f>
        <v>10.93424397444498</v>
      </c>
      <c r="AT107" s="1"/>
      <c r="AU107" s="1"/>
      <c r="AV107" s="1"/>
      <c r="AW107" s="1"/>
      <c r="AX107" s="1"/>
    </row>
    <row r="108" spans="1:50" x14ac:dyDescent="0.25">
      <c r="A108" s="1" t="s">
        <v>154</v>
      </c>
      <c r="B108" s="1" t="s">
        <v>46</v>
      </c>
      <c r="C108" s="1">
        <v>258</v>
      </c>
      <c r="D108" s="1">
        <v>61</v>
      </c>
      <c r="E108" s="1">
        <v>122</v>
      </c>
      <c r="F108" s="1">
        <v>160</v>
      </c>
      <c r="G108" s="7">
        <v>0.3</v>
      </c>
      <c r="H108" s="1">
        <v>40</v>
      </c>
      <c r="I108" s="1" t="s">
        <v>176</v>
      </c>
      <c r="J108" s="1"/>
      <c r="K108" s="1">
        <v>243</v>
      </c>
      <c r="L108" s="1">
        <f t="shared" si="13"/>
        <v>-121</v>
      </c>
      <c r="M108" s="1">
        <f t="shared" si="9"/>
        <v>122</v>
      </c>
      <c r="N108" s="1"/>
      <c r="O108" s="1"/>
      <c r="P108" s="1">
        <v>81.799999999999898</v>
      </c>
      <c r="Q108" s="1"/>
      <c r="R108" s="1"/>
      <c r="S108" s="10"/>
      <c r="T108" s="1"/>
      <c r="U108" s="1"/>
      <c r="V108" s="1"/>
      <c r="W108" s="1"/>
      <c r="X108" s="1">
        <v>80.700000000000045</v>
      </c>
      <c r="Y108" s="1"/>
      <c r="Z108" s="1"/>
      <c r="AA108" s="1">
        <f t="shared" si="10"/>
        <v>24.4</v>
      </c>
      <c r="AB108" s="5"/>
      <c r="AC108" s="5"/>
      <c r="AD108" s="1">
        <f>(F108+O108+P108+Q108+R108+T108+U108+V108+W108+X108+Y108+Z108+AB108+AC108)/AA108</f>
        <v>13.217213114754097</v>
      </c>
      <c r="AE108" s="1">
        <f>(F108+O108+P108+Q108+R108+T108+U108+V108+W108+X108+Y108+Z108)/AA108</f>
        <v>13.217213114754097</v>
      </c>
      <c r="AF108" s="1">
        <v>27</v>
      </c>
      <c r="AG108" s="1">
        <v>31.4</v>
      </c>
      <c r="AH108" s="1">
        <v>32.799999999999997</v>
      </c>
      <c r="AI108" s="1">
        <v>29.8</v>
      </c>
      <c r="AJ108" s="1">
        <v>35.799999999999997</v>
      </c>
      <c r="AK108" s="1">
        <v>35.6</v>
      </c>
      <c r="AL108" s="1">
        <v>31</v>
      </c>
      <c r="AM108" s="1">
        <v>35.799999999999997</v>
      </c>
      <c r="AN108" s="1">
        <v>40</v>
      </c>
      <c r="AO108" s="1"/>
      <c r="AP108" s="1">
        <f>G108*AB108</f>
        <v>0</v>
      </c>
      <c r="AQ108" s="1">
        <f>-1*AC108*G108</f>
        <v>0</v>
      </c>
      <c r="AR108" s="1">
        <f>(AN108+AM108+AL108+AK108+AJ108+AI108+AH108+AG108+AF108+AA108)*G108</f>
        <v>97.079999999999984</v>
      </c>
      <c r="AS108" s="1"/>
      <c r="AT108" s="1"/>
      <c r="AU108" s="1"/>
      <c r="AV108" s="1"/>
      <c r="AW108" s="1"/>
      <c r="AX108" s="1"/>
    </row>
    <row r="109" spans="1:50" x14ac:dyDescent="0.25">
      <c r="A109" s="1" t="s">
        <v>155</v>
      </c>
      <c r="B109" s="1" t="s">
        <v>46</v>
      </c>
      <c r="C109" s="1">
        <v>140</v>
      </c>
      <c r="D109" s="1">
        <v>46</v>
      </c>
      <c r="E109" s="1">
        <v>115</v>
      </c>
      <c r="F109" s="1">
        <v>48</v>
      </c>
      <c r="G109" s="7">
        <v>0.3</v>
      </c>
      <c r="H109" s="1">
        <v>40</v>
      </c>
      <c r="I109" s="1" t="s">
        <v>176</v>
      </c>
      <c r="J109" s="1"/>
      <c r="K109" s="1">
        <v>196</v>
      </c>
      <c r="L109" s="1">
        <f t="shared" si="13"/>
        <v>-81</v>
      </c>
      <c r="M109" s="1">
        <f t="shared" si="9"/>
        <v>115</v>
      </c>
      <c r="N109" s="1"/>
      <c r="O109" s="1"/>
      <c r="P109" s="1">
        <v>91.999999999999972</v>
      </c>
      <c r="Q109" s="1"/>
      <c r="R109" s="1"/>
      <c r="S109" s="10"/>
      <c r="T109" s="1"/>
      <c r="U109" s="1"/>
      <c r="V109" s="1"/>
      <c r="W109" s="1"/>
      <c r="X109" s="1">
        <v>118.3</v>
      </c>
      <c r="Y109" s="1"/>
      <c r="Z109" s="1"/>
      <c r="AA109" s="1">
        <f t="shared" si="10"/>
        <v>23</v>
      </c>
      <c r="AB109" s="5"/>
      <c r="AC109" s="5"/>
      <c r="AD109" s="1">
        <f>(F109+O109+P109+Q109+R109+T109+U109+V109+W109+X109+Y109+Z109+AB109+AC109)/AA109</f>
        <v>11.230434782608693</v>
      </c>
      <c r="AE109" s="1">
        <f>(F109+O109+P109+Q109+R109+T109+U109+V109+W109+X109+Y109+Z109)/AA109</f>
        <v>11.230434782608693</v>
      </c>
      <c r="AF109" s="1">
        <v>22</v>
      </c>
      <c r="AG109" s="1">
        <v>25.8</v>
      </c>
      <c r="AH109" s="1">
        <v>23.2</v>
      </c>
      <c r="AI109" s="1">
        <v>20.6</v>
      </c>
      <c r="AJ109" s="1">
        <v>23.8</v>
      </c>
      <c r="AK109" s="1">
        <v>26.2</v>
      </c>
      <c r="AL109" s="1">
        <v>17.8</v>
      </c>
      <c r="AM109" s="1">
        <v>7.4</v>
      </c>
      <c r="AN109" s="1">
        <v>16</v>
      </c>
      <c r="AO109" s="1"/>
      <c r="AP109" s="1">
        <f>G109*AB109</f>
        <v>0</v>
      </c>
      <c r="AQ109" s="1">
        <f>-1*AC109*G109</f>
        <v>0</v>
      </c>
      <c r="AR109" s="1">
        <f>(AN109+AM109+AL109+AK109+AJ109+AI109+AH109+AG109+AF109+AA109)*G109</f>
        <v>61.74</v>
      </c>
      <c r="AS109" s="1"/>
      <c r="AT109" s="1"/>
      <c r="AU109" s="1"/>
      <c r="AV109" s="1"/>
      <c r="AW109" s="1"/>
      <c r="AX109" s="1"/>
    </row>
    <row r="110" spans="1:50" x14ac:dyDescent="0.25">
      <c r="A110" s="1" t="s">
        <v>156</v>
      </c>
      <c r="B110" s="1" t="s">
        <v>42</v>
      </c>
      <c r="C110" s="1">
        <v>157.917</v>
      </c>
      <c r="D110" s="1">
        <v>1.31</v>
      </c>
      <c r="E110" s="1">
        <v>44.786000000000001</v>
      </c>
      <c r="F110" s="1">
        <v>113.131</v>
      </c>
      <c r="G110" s="7">
        <v>1</v>
      </c>
      <c r="H110" s="1">
        <v>50</v>
      </c>
      <c r="I110" s="1" t="s">
        <v>176</v>
      </c>
      <c r="J110" s="1"/>
      <c r="K110" s="1">
        <v>83</v>
      </c>
      <c r="L110" s="1">
        <f t="shared" si="13"/>
        <v>-38.213999999999999</v>
      </c>
      <c r="M110" s="1">
        <f t="shared" si="9"/>
        <v>44.786000000000001</v>
      </c>
      <c r="N110" s="1"/>
      <c r="O110" s="1"/>
      <c r="P110" s="1">
        <v>0</v>
      </c>
      <c r="Q110" s="1"/>
      <c r="R110" s="1"/>
      <c r="S110" s="10"/>
      <c r="T110" s="1"/>
      <c r="U110" s="1"/>
      <c r="V110" s="1"/>
      <c r="W110" s="1"/>
      <c r="X110" s="1">
        <v>17.07599999999999</v>
      </c>
      <c r="Y110" s="1"/>
      <c r="Z110" s="1"/>
      <c r="AA110" s="1">
        <f t="shared" si="10"/>
        <v>8.9572000000000003</v>
      </c>
      <c r="AB110" s="5"/>
      <c r="AC110" s="5">
        <f>(AE110-$AB$1)*AA110*(-1)</f>
        <v>-27.199199999999998</v>
      </c>
      <c r="AD110" s="1">
        <f>(F110+O110+P110+Q110+R110+T110+U110+V110+W110+X110+Y110+Z110+AB110+AC110)/AA110</f>
        <v>11.5</v>
      </c>
      <c r="AE110" s="1">
        <f>(F110+O110+P110+Q110+R110+T110+U110+V110+W110+X110+Y110+Z110)/AA110</f>
        <v>14.536573929352922</v>
      </c>
      <c r="AF110" s="1">
        <v>9.7802000000000007</v>
      </c>
      <c r="AG110" s="1">
        <v>11.72</v>
      </c>
      <c r="AH110" s="1">
        <v>12.3124</v>
      </c>
      <c r="AI110" s="1">
        <v>10.629799999999999</v>
      </c>
      <c r="AJ110" s="1">
        <v>12.518000000000001</v>
      </c>
      <c r="AK110" s="1">
        <v>18.366</v>
      </c>
      <c r="AL110" s="1">
        <v>10.7338</v>
      </c>
      <c r="AM110" s="1">
        <v>3.254</v>
      </c>
      <c r="AN110" s="1">
        <v>12.4718</v>
      </c>
      <c r="AO110" s="1"/>
      <c r="AP110" s="1">
        <f>G110*AB110</f>
        <v>0</v>
      </c>
      <c r="AQ110" s="1">
        <f>-1*AC110*G110</f>
        <v>27.199199999999998</v>
      </c>
      <c r="AR110" s="1">
        <f>(AN110+AM110+AL110+AK110+AJ110+AI110+AH110+AG110+AF110+AA110)*G110</f>
        <v>110.7432</v>
      </c>
      <c r="AS110" s="1"/>
      <c r="AT110" s="1"/>
      <c r="AU110" s="1"/>
      <c r="AV110" s="1"/>
      <c r="AW110" s="1"/>
      <c r="AX110" s="1"/>
    </row>
    <row r="111" spans="1:50" x14ac:dyDescent="0.25">
      <c r="A111" s="1" t="s">
        <v>157</v>
      </c>
      <c r="B111" s="1" t="s">
        <v>46</v>
      </c>
      <c r="C111" s="1">
        <v>98</v>
      </c>
      <c r="D111" s="1">
        <v>19</v>
      </c>
      <c r="E111" s="1">
        <v>37</v>
      </c>
      <c r="F111" s="1">
        <v>65</v>
      </c>
      <c r="G111" s="7">
        <v>0.3</v>
      </c>
      <c r="H111" s="1">
        <v>40</v>
      </c>
      <c r="I111" s="1" t="s">
        <v>176</v>
      </c>
      <c r="J111" s="1"/>
      <c r="K111" s="1">
        <v>71</v>
      </c>
      <c r="L111" s="1">
        <f t="shared" si="13"/>
        <v>-34</v>
      </c>
      <c r="M111" s="1">
        <f t="shared" si="9"/>
        <v>37</v>
      </c>
      <c r="N111" s="1"/>
      <c r="O111" s="1"/>
      <c r="P111" s="1">
        <v>0</v>
      </c>
      <c r="Q111" s="1"/>
      <c r="R111" s="1"/>
      <c r="S111" s="10"/>
      <c r="T111" s="1"/>
      <c r="U111" s="1"/>
      <c r="V111" s="1"/>
      <c r="W111" s="1"/>
      <c r="X111" s="1">
        <v>53.600000000000009</v>
      </c>
      <c r="Y111" s="1"/>
      <c r="Z111" s="1"/>
      <c r="AA111" s="1">
        <f t="shared" si="10"/>
        <v>7.4</v>
      </c>
      <c r="AB111" s="5"/>
      <c r="AC111" s="5"/>
      <c r="AD111" s="1">
        <f>(F111+O111+P111+Q111+R111+T111+U111+V111+W111+X111+Y111+Z111+AB111+AC111)/AA111</f>
        <v>16.027027027027028</v>
      </c>
      <c r="AE111" s="1">
        <f>(F111+O111+P111+Q111+R111+T111+U111+V111+W111+X111+Y111+Z111)/AA111</f>
        <v>16.027027027027028</v>
      </c>
      <c r="AF111" s="1">
        <v>8.1999999999999993</v>
      </c>
      <c r="AG111" s="1">
        <v>10.4</v>
      </c>
      <c r="AH111" s="1">
        <v>9</v>
      </c>
      <c r="AI111" s="1">
        <v>10.199999999999999</v>
      </c>
      <c r="AJ111" s="1">
        <v>9.8000000000000007</v>
      </c>
      <c r="AK111" s="1">
        <v>6.4</v>
      </c>
      <c r="AL111" s="1">
        <v>5.6</v>
      </c>
      <c r="AM111" s="1">
        <v>9.4</v>
      </c>
      <c r="AN111" s="1">
        <v>13.4</v>
      </c>
      <c r="AO111" s="1"/>
      <c r="AP111" s="1">
        <f>G111*AB111</f>
        <v>0</v>
      </c>
      <c r="AQ111" s="1">
        <f>-1*AC111*G111</f>
        <v>0</v>
      </c>
      <c r="AR111" s="1">
        <f>(AN111+AM111+AL111+AK111+AJ111+AI111+AH111+AG111+AF111+AA111)*G111</f>
        <v>26.94</v>
      </c>
      <c r="AS111" s="1"/>
      <c r="AT111" s="1"/>
      <c r="AU111" s="1"/>
      <c r="AV111" s="1"/>
      <c r="AW111" s="1"/>
      <c r="AX111" s="1"/>
    </row>
    <row r="112" spans="1:50" x14ac:dyDescent="0.25">
      <c r="A112" s="1" t="s">
        <v>158</v>
      </c>
      <c r="B112" s="1" t="s">
        <v>46</v>
      </c>
      <c r="C112" s="1">
        <v>14</v>
      </c>
      <c r="D112" s="1">
        <v>85</v>
      </c>
      <c r="E112" s="1">
        <v>11</v>
      </c>
      <c r="F112" s="1">
        <v>77</v>
      </c>
      <c r="G112" s="7">
        <v>0.12</v>
      </c>
      <c r="H112" s="1">
        <v>45</v>
      </c>
      <c r="I112" s="1" t="s">
        <v>176</v>
      </c>
      <c r="J112" s="1"/>
      <c r="K112" s="1">
        <v>46</v>
      </c>
      <c r="L112" s="1">
        <f t="shared" si="13"/>
        <v>-35</v>
      </c>
      <c r="M112" s="1">
        <f t="shared" si="9"/>
        <v>11</v>
      </c>
      <c r="N112" s="1"/>
      <c r="O112" s="1"/>
      <c r="P112" s="1">
        <v>45.800000000000011</v>
      </c>
      <c r="Q112" s="1"/>
      <c r="R112" s="1"/>
      <c r="S112" s="10"/>
      <c r="T112" s="1"/>
      <c r="U112" s="1"/>
      <c r="V112" s="1"/>
      <c r="W112" s="1"/>
      <c r="X112" s="1">
        <v>0</v>
      </c>
      <c r="Y112" s="1"/>
      <c r="Z112" s="1"/>
      <c r="AA112" s="1">
        <f t="shared" si="10"/>
        <v>2.2000000000000002</v>
      </c>
      <c r="AB112" s="5"/>
      <c r="AC112" s="5">
        <v>-50</v>
      </c>
      <c r="AD112" s="1">
        <f>(F112+O112+P112+Q112+R112+T112+U112+V112+W112+X112+Y112+Z112+AB112+AC112)/AA112</f>
        <v>33.090909090909093</v>
      </c>
      <c r="AE112" s="1">
        <f>(F112+O112+P112+Q112+R112+T112+U112+V112+W112+X112+Y112+Z112)/AA112</f>
        <v>55.81818181818182</v>
      </c>
      <c r="AF112" s="1">
        <v>3.6</v>
      </c>
      <c r="AG112" s="1">
        <v>6.6</v>
      </c>
      <c r="AH112" s="1">
        <v>11.8</v>
      </c>
      <c r="AI112" s="1">
        <v>7</v>
      </c>
      <c r="AJ112" s="1">
        <v>-0.4</v>
      </c>
      <c r="AK112" s="1">
        <v>4.2</v>
      </c>
      <c r="AL112" s="1">
        <v>4.8</v>
      </c>
      <c r="AM112" s="1">
        <v>0.6</v>
      </c>
      <c r="AN112" s="1">
        <v>3.8</v>
      </c>
      <c r="AO112" s="22" t="s">
        <v>74</v>
      </c>
      <c r="AP112" s="1">
        <f>G112*AB112</f>
        <v>0</v>
      </c>
      <c r="AQ112" s="1">
        <f>-1*AC112*G112</f>
        <v>6</v>
      </c>
      <c r="AR112" s="1">
        <f>(AN112+AM112+AL112+AK112+AJ112+AI112+AH112+AG112+AF112+AA112)*G112</f>
        <v>5.3040000000000003</v>
      </c>
      <c r="AS112" s="1"/>
      <c r="AT112" s="1"/>
      <c r="AU112" s="1"/>
      <c r="AV112" s="1"/>
      <c r="AW112" s="1"/>
      <c r="AX112" s="1"/>
    </row>
    <row r="113" spans="1:50" x14ac:dyDescent="0.25">
      <c r="A113" s="10" t="s">
        <v>159</v>
      </c>
      <c r="B113" s="13" t="s">
        <v>42</v>
      </c>
      <c r="C113" s="10"/>
      <c r="D113" s="10"/>
      <c r="E113" s="10"/>
      <c r="F113" s="10"/>
      <c r="G113" s="11">
        <v>0</v>
      </c>
      <c r="H113" s="10"/>
      <c r="I113" s="10" t="s">
        <v>176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>
        <f t="shared" ref="AA113" si="14">M113/5</f>
        <v>0</v>
      </c>
      <c r="AB113" s="12"/>
      <c r="AC113" s="12"/>
      <c r="AD113" s="1" t="e">
        <f>(F113+O113+P113+Q113+R113+T113+U113+V113+W113+X113+Y113+Z113+AB113+AC113)/AA113</f>
        <v>#DIV/0!</v>
      </c>
      <c r="AE113" s="10" t="e">
        <f>(F113+O113+P113+Q113+R113+T113+U113+V113+W113+X113+Y113+Z113)/AA113</f>
        <v>#DIV/0!</v>
      </c>
      <c r="AF113" s="10">
        <v>0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3" t="s">
        <v>160</v>
      </c>
      <c r="AP113" s="10"/>
      <c r="AQ113" s="1">
        <f>-1*AC113*G113</f>
        <v>0</v>
      </c>
      <c r="AR113" s="1">
        <f>(AN113+AM113+AL113+AK113+AJ113+AI113+AH113+AG113+AF113+AA113)*G113</f>
        <v>0</v>
      </c>
      <c r="AS113" s="1"/>
      <c r="AT113" s="1"/>
      <c r="AU113" s="1"/>
      <c r="AV113" s="1"/>
      <c r="AW113" s="1"/>
      <c r="AX113" s="1"/>
    </row>
    <row r="114" spans="1:50" x14ac:dyDescent="0.25">
      <c r="A114" s="10" t="s">
        <v>161</v>
      </c>
      <c r="B114" s="13" t="s">
        <v>42</v>
      </c>
      <c r="C114" s="10"/>
      <c r="D114" s="10"/>
      <c r="E114" s="10"/>
      <c r="F114" s="10"/>
      <c r="G114" s="11">
        <v>0</v>
      </c>
      <c r="H114" s="10"/>
      <c r="I114" s="10" t="s">
        <v>176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>
        <f t="shared" ref="AA114" si="15">M114/5</f>
        <v>0</v>
      </c>
      <c r="AB114" s="12"/>
      <c r="AC114" s="12"/>
      <c r="AD114" s="1" t="e">
        <f>(F114+O114+P114+Q114+R114+T114+U114+V114+W114+X114+Y114+Z114+AB114+AC114)/AA114</f>
        <v>#DIV/0!</v>
      </c>
      <c r="AE114" s="10" t="e">
        <f>(F114+O114+P114+Q114+R114+T114+U114+V114+W114+X114+Y114+Z114)/AA114</f>
        <v>#DIV/0!</v>
      </c>
      <c r="AF114" s="10">
        <v>0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3" t="s">
        <v>160</v>
      </c>
      <c r="AP114" s="10"/>
      <c r="AQ114" s="1">
        <f>-1*AC114*G114</f>
        <v>0</v>
      </c>
      <c r="AR114" s="1">
        <f>(AN114+AM114+AL114+AK114+AJ114+AI114+AH114+AG114+AF114+AA114)*G114</f>
        <v>0</v>
      </c>
      <c r="AS114" s="1"/>
      <c r="AT114" s="1"/>
      <c r="AU114" s="1"/>
      <c r="AV114" s="1"/>
      <c r="AW114" s="1"/>
      <c r="AX114" s="1"/>
    </row>
    <row r="115" spans="1:50" x14ac:dyDescent="0.25">
      <c r="A115" s="10" t="s">
        <v>162</v>
      </c>
      <c r="B115" s="13" t="s">
        <v>42</v>
      </c>
      <c r="C115" s="10"/>
      <c r="D115" s="10"/>
      <c r="E115" s="10"/>
      <c r="F115" s="10"/>
      <c r="G115" s="11">
        <v>0</v>
      </c>
      <c r="H115" s="10"/>
      <c r="I115" s="10" t="s">
        <v>176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>
        <f t="shared" ref="AA115" si="16">M115/5</f>
        <v>0</v>
      </c>
      <c r="AB115" s="12"/>
      <c r="AC115" s="12"/>
      <c r="AD115" s="1" t="e">
        <f>(F115+O115+P115+Q115+R115+T115+U115+V115+W115+X115+Y115+Z115+AB115+AC115)/AA115</f>
        <v>#DIV/0!</v>
      </c>
      <c r="AE115" s="10" t="e">
        <f>(F115+O115+P115+Q115+R115+T115+U115+V115+W115+X115+Y115+Z115)/AA115</f>
        <v>#DIV/0!</v>
      </c>
      <c r="AF115" s="10">
        <v>0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3" t="s">
        <v>160</v>
      </c>
      <c r="AP115" s="10"/>
      <c r="AQ115" s="1">
        <f>-1*AC115*G115</f>
        <v>0</v>
      </c>
      <c r="AR115" s="1">
        <f>(AN115+AM115+AL115+AK115+AJ115+AI115+AH115+AG115+AF115+AA115)*G115</f>
        <v>0</v>
      </c>
      <c r="AS115" s="1"/>
      <c r="AT115" s="1"/>
      <c r="AU115" s="1"/>
      <c r="AV115" s="1"/>
      <c r="AW115" s="1"/>
      <c r="AX115" s="1"/>
    </row>
    <row r="116" spans="1:50" x14ac:dyDescent="0.25">
      <c r="A116" s="10" t="s">
        <v>163</v>
      </c>
      <c r="B116" s="13" t="s">
        <v>42</v>
      </c>
      <c r="C116" s="10"/>
      <c r="D116" s="10"/>
      <c r="E116" s="10"/>
      <c r="F116" s="10"/>
      <c r="G116" s="11">
        <v>0</v>
      </c>
      <c r="H116" s="10"/>
      <c r="I116" s="10" t="s">
        <v>176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>
        <f t="shared" ref="AA116" si="17">M116/5</f>
        <v>0</v>
      </c>
      <c r="AB116" s="12"/>
      <c r="AC116" s="12"/>
      <c r="AD116" s="1" t="e">
        <f>(F116+O116+P116+Q116+R116+T116+U116+V116+W116+X116+Y116+Z116+AB116+AC116)/AA116</f>
        <v>#DIV/0!</v>
      </c>
      <c r="AE116" s="10" t="e">
        <f>(F116+O116+P116+Q116+R116+T116+U116+V116+W116+X116+Y116+Z116)/AA116</f>
        <v>#DIV/0!</v>
      </c>
      <c r="AF116" s="10">
        <v>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3" t="s">
        <v>160</v>
      </c>
      <c r="AP116" s="10"/>
      <c r="AQ116" s="1">
        <f>-1*AC116*G116</f>
        <v>0</v>
      </c>
      <c r="AR116" s="1">
        <f>(AN116+AM116+AL116+AK116+AJ116+AI116+AH116+AG116+AF116+AA116)*G116</f>
        <v>0</v>
      </c>
      <c r="AS116" s="1"/>
      <c r="AT116" s="1"/>
      <c r="AU116" s="1"/>
      <c r="AV116" s="1"/>
      <c r="AW116" s="1"/>
      <c r="AX116" s="1"/>
    </row>
    <row r="117" spans="1:50" x14ac:dyDescent="0.25">
      <c r="A117" s="10" t="s">
        <v>164</v>
      </c>
      <c r="B117" s="13" t="s">
        <v>42</v>
      </c>
      <c r="C117" s="10"/>
      <c r="D117" s="10"/>
      <c r="E117" s="10"/>
      <c r="F117" s="10"/>
      <c r="G117" s="11">
        <v>0</v>
      </c>
      <c r="H117" s="10"/>
      <c r="I117" s="10" t="s">
        <v>176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>
        <f t="shared" ref="AA117" si="18">M117/5</f>
        <v>0</v>
      </c>
      <c r="AB117" s="12"/>
      <c r="AC117" s="12"/>
      <c r="AD117" s="1" t="e">
        <f>(F117+O117+P117+Q117+R117+T117+U117+V117+W117+X117+Y117+Z117+AB117+AC117)/AA117</f>
        <v>#DIV/0!</v>
      </c>
      <c r="AE117" s="10" t="e">
        <f>(F117+O117+P117+Q117+R117+T117+U117+V117+W117+X117+Y117+Z117)/AA117</f>
        <v>#DIV/0!</v>
      </c>
      <c r="AF117" s="10">
        <v>0</v>
      </c>
      <c r="AG117" s="10">
        <v>0</v>
      </c>
      <c r="AH117" s="10">
        <v>0</v>
      </c>
      <c r="AI117" s="10">
        <v>0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3" t="s">
        <v>160</v>
      </c>
      <c r="AP117" s="10"/>
      <c r="AQ117" s="1">
        <f>-1*AC117*G117</f>
        <v>0</v>
      </c>
      <c r="AR117" s="1">
        <f>(AN117+AM117+AL117+AK117+AJ117+AI117+AH117+AG117+AF117+AA117)*G117</f>
        <v>0</v>
      </c>
      <c r="AS117" s="1"/>
      <c r="AT117" s="1"/>
      <c r="AU117" s="1"/>
      <c r="AV117" s="1"/>
      <c r="AW117" s="1"/>
      <c r="AX117" s="1"/>
    </row>
    <row r="118" spans="1:50" x14ac:dyDescent="0.25">
      <c r="A118" s="10" t="s">
        <v>165</v>
      </c>
      <c r="B118" s="13" t="s">
        <v>46</v>
      </c>
      <c r="C118" s="10"/>
      <c r="D118" s="10"/>
      <c r="E118" s="10"/>
      <c r="F118" s="10"/>
      <c r="G118" s="11">
        <v>0</v>
      </c>
      <c r="H118" s="10"/>
      <c r="I118" s="10" t="s">
        <v>176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>
        <f t="shared" ref="AA118" si="19">M118/5</f>
        <v>0</v>
      </c>
      <c r="AB118" s="12"/>
      <c r="AC118" s="12"/>
      <c r="AD118" s="1" t="e">
        <f>(F118+O118+P118+Q118+R118+T118+U118+V118+W118+X118+Y118+Z118+AB118+AC118)/AA118</f>
        <v>#DIV/0!</v>
      </c>
      <c r="AE118" s="10" t="e">
        <f>(F118+O118+P118+Q118+R118+T118+U118+V118+W118+X118+Y118+Z118)/AA118</f>
        <v>#DIV/0!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3" t="s">
        <v>160</v>
      </c>
      <c r="AP118" s="10"/>
      <c r="AQ118" s="1">
        <f>-1*AC118*G118</f>
        <v>0</v>
      </c>
      <c r="AR118" s="1">
        <f>(AN118+AM118+AL118+AK118+AJ118+AI118+AH118+AG118+AF118+AA118)*G118</f>
        <v>0</v>
      </c>
      <c r="AS118" s="1"/>
      <c r="AT118" s="1"/>
      <c r="AU118" s="1"/>
      <c r="AV118" s="1"/>
      <c r="AW118" s="1"/>
      <c r="AX118" s="1"/>
    </row>
    <row r="119" spans="1:50" x14ac:dyDescent="0.25">
      <c r="A119" s="10" t="s">
        <v>166</v>
      </c>
      <c r="B119" s="13" t="s">
        <v>42</v>
      </c>
      <c r="C119" s="10"/>
      <c r="D119" s="10"/>
      <c r="E119" s="10"/>
      <c r="F119" s="10"/>
      <c r="G119" s="11">
        <v>0</v>
      </c>
      <c r="H119" s="10"/>
      <c r="I119" s="10" t="s">
        <v>176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>
        <f t="shared" ref="AA119" si="20">M119/5</f>
        <v>0</v>
      </c>
      <c r="AB119" s="12"/>
      <c r="AC119" s="12"/>
      <c r="AD119" s="1" t="e">
        <f>(F119+O119+P119+Q119+R119+T119+U119+V119+W119+X119+Y119+Z119+AB119+AC119)/AA119</f>
        <v>#DIV/0!</v>
      </c>
      <c r="AE119" s="10" t="e">
        <f>(F119+O119+P119+Q119+R119+T119+U119+V119+W119+X119+Y119+Z119)/AA119</f>
        <v>#DIV/0!</v>
      </c>
      <c r="AF119" s="10">
        <v>0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3" t="s">
        <v>160</v>
      </c>
      <c r="AP119" s="10"/>
      <c r="AQ119" s="1">
        <f>-1*AC119*G119</f>
        <v>0</v>
      </c>
      <c r="AR119" s="1">
        <f>(AN119+AM119+AL119+AK119+AJ119+AI119+AH119+AG119+AF119+AA119)*G119</f>
        <v>0</v>
      </c>
      <c r="AS119" s="1"/>
      <c r="AT119" s="1"/>
      <c r="AU119" s="1"/>
      <c r="AV119" s="1"/>
      <c r="AW119" s="1"/>
      <c r="AX119" s="1"/>
    </row>
    <row r="120" spans="1:50" x14ac:dyDescent="0.25">
      <c r="A120" s="10" t="s">
        <v>167</v>
      </c>
      <c r="B120" s="13" t="s">
        <v>42</v>
      </c>
      <c r="C120" s="10"/>
      <c r="D120" s="10"/>
      <c r="E120" s="10"/>
      <c r="F120" s="10"/>
      <c r="G120" s="11">
        <v>0</v>
      </c>
      <c r="H120" s="10"/>
      <c r="I120" s="10" t="s">
        <v>176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>
        <f t="shared" ref="AA120" si="21">M120/5</f>
        <v>0</v>
      </c>
      <c r="AB120" s="12"/>
      <c r="AC120" s="12"/>
      <c r="AD120" s="1" t="e">
        <f>(F120+O120+P120+Q120+R120+T120+U120+V120+W120+X120+Y120+Z120+AB120+AC120)/AA120</f>
        <v>#DIV/0!</v>
      </c>
      <c r="AE120" s="10" t="e">
        <f>(F120+O120+P120+Q120+R120+T120+U120+V120+W120+X120+Y120+Z120)/AA120</f>
        <v>#DIV/0!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3" t="s">
        <v>160</v>
      </c>
      <c r="AP120" s="10"/>
      <c r="AQ120" s="1">
        <f>-1*AC120*G120</f>
        <v>0</v>
      </c>
      <c r="AR120" s="1">
        <f>(AN120+AM120+AL120+AK120+AJ120+AI120+AH120+AG120+AF120+AA120)*G120</f>
        <v>0</v>
      </c>
      <c r="AS120" s="1"/>
      <c r="AT120" s="1"/>
      <c r="AU120" s="1"/>
      <c r="AV120" s="1"/>
      <c r="AW120" s="1"/>
      <c r="AX120" s="1"/>
    </row>
    <row r="121" spans="1:50" x14ac:dyDescent="0.25">
      <c r="A121" s="10" t="s">
        <v>168</v>
      </c>
      <c r="B121" s="13" t="s">
        <v>46</v>
      </c>
      <c r="C121" s="10"/>
      <c r="D121" s="10"/>
      <c r="E121" s="10"/>
      <c r="F121" s="10"/>
      <c r="G121" s="11">
        <v>0</v>
      </c>
      <c r="H121" s="10"/>
      <c r="I121" s="10" t="s">
        <v>176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 t="shared" ref="AA121" si="22">M121/5</f>
        <v>0</v>
      </c>
      <c r="AB121" s="12"/>
      <c r="AC121" s="12"/>
      <c r="AD121" s="1" t="e">
        <f>(F121+O121+P121+Q121+R121+T121+U121+V121+W121+X121+Y121+Z121+AB121+AC121)/AA121</f>
        <v>#DIV/0!</v>
      </c>
      <c r="AE121" s="10" t="e">
        <f>(F121+O121+P121+Q121+R121+T121+U121+V121+W121+X121+Y121+Z121)/AA121</f>
        <v>#DIV/0!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3" t="s">
        <v>160</v>
      </c>
      <c r="AP121" s="10"/>
      <c r="AQ121" s="1">
        <f>-1*AC121*G121</f>
        <v>0</v>
      </c>
      <c r="AR121" s="1">
        <f>(AN121+AM121+AL121+AK121+AJ121+AI121+AH121+AG121+AF121+AA121)*G121</f>
        <v>0</v>
      </c>
      <c r="AS121" s="1"/>
      <c r="AT121" s="1"/>
      <c r="AU121" s="1"/>
      <c r="AV121" s="1"/>
      <c r="AW121" s="1"/>
      <c r="AX121" s="1"/>
    </row>
    <row r="122" spans="1:50" x14ac:dyDescent="0.25">
      <c r="A122" s="10" t="s">
        <v>169</v>
      </c>
      <c r="B122" s="13" t="s">
        <v>46</v>
      </c>
      <c r="C122" s="10"/>
      <c r="D122" s="10"/>
      <c r="E122" s="10"/>
      <c r="F122" s="10"/>
      <c r="G122" s="11">
        <v>0</v>
      </c>
      <c r="H122" s="10"/>
      <c r="I122" s="10" t="s">
        <v>176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>
        <f t="shared" ref="AA122" si="23">M122/5</f>
        <v>0</v>
      </c>
      <c r="AB122" s="12"/>
      <c r="AC122" s="12"/>
      <c r="AD122" s="1" t="e">
        <f>(F122+O122+P122+Q122+R122+T122+U122+V122+W122+X122+Y122+Z122+AB122+AC122)/AA122</f>
        <v>#DIV/0!</v>
      </c>
      <c r="AE122" s="10" t="e">
        <f>(F122+O122+P122+Q122+R122+T122+U122+V122+W122+X122+Y122+Z122)/AA122</f>
        <v>#DIV/0!</v>
      </c>
      <c r="AF122" s="10">
        <v>0</v>
      </c>
      <c r="AG122" s="10">
        <v>0</v>
      </c>
      <c r="AH122" s="10">
        <v>0</v>
      </c>
      <c r="AI122" s="10">
        <v>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3" t="s">
        <v>160</v>
      </c>
      <c r="AP122" s="10"/>
      <c r="AQ122" s="1">
        <f>-1*AC122*G122</f>
        <v>0</v>
      </c>
      <c r="AR122" s="1">
        <f>(AN122+AM122+AL122+AK122+AJ122+AI122+AH122+AG122+AF122+AA122)*G122</f>
        <v>0</v>
      </c>
      <c r="AS122" s="1"/>
      <c r="AT122" s="1"/>
      <c r="AU122" s="1"/>
      <c r="AV122" s="1"/>
      <c r="AW122" s="1"/>
      <c r="AX122" s="1"/>
    </row>
    <row r="123" spans="1:50" x14ac:dyDescent="0.25">
      <c r="A123" s="10" t="s">
        <v>170</v>
      </c>
      <c r="B123" s="13" t="s">
        <v>42</v>
      </c>
      <c r="C123" s="10"/>
      <c r="D123" s="10"/>
      <c r="E123" s="10"/>
      <c r="F123" s="10"/>
      <c r="G123" s="11">
        <v>0</v>
      </c>
      <c r="H123" s="10"/>
      <c r="I123" s="10" t="s">
        <v>176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>
        <f t="shared" ref="AA123" si="24">M123/5</f>
        <v>0</v>
      </c>
      <c r="AB123" s="12"/>
      <c r="AC123" s="12"/>
      <c r="AD123" s="1" t="e">
        <f>(F123+O123+P123+Q123+R123+T123+U123+V123+W123+X123+Y123+Z123+AB123+AC123)/AA123</f>
        <v>#DIV/0!</v>
      </c>
      <c r="AE123" s="10" t="e">
        <f>(F123+O123+P123+Q123+R123+T123+U123+V123+W123+X123+Y123+Z123)/AA123</f>
        <v>#DIV/0!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3" t="s">
        <v>160</v>
      </c>
      <c r="AP123" s="10"/>
      <c r="AQ123" s="1">
        <f>-1*AC123*G123</f>
        <v>0</v>
      </c>
      <c r="AR123" s="1">
        <f>(AN123+AM123+AL123+AK123+AJ123+AI123+AH123+AG123+AF123+AA123)*G123</f>
        <v>0</v>
      </c>
      <c r="AS123" s="1"/>
      <c r="AT123" s="1"/>
      <c r="AU123" s="1"/>
      <c r="AV123" s="1"/>
      <c r="AW123" s="1"/>
      <c r="AX123" s="1"/>
    </row>
    <row r="124" spans="1:50" x14ac:dyDescent="0.25">
      <c r="A124" s="10" t="s">
        <v>171</v>
      </c>
      <c r="B124" s="13" t="s">
        <v>42</v>
      </c>
      <c r="C124" s="10"/>
      <c r="D124" s="10"/>
      <c r="E124" s="10"/>
      <c r="F124" s="10"/>
      <c r="G124" s="11">
        <v>0</v>
      </c>
      <c r="H124" s="10"/>
      <c r="I124" s="10" t="s">
        <v>176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>
        <f t="shared" ref="AA124" si="25">M124/5</f>
        <v>0</v>
      </c>
      <c r="AB124" s="12"/>
      <c r="AC124" s="12"/>
      <c r="AD124" s="1" t="e">
        <f>(F124+O124+P124+Q124+R124+T124+U124+V124+W124+X124+Y124+Z124+AB124+AC124)/AA124</f>
        <v>#DIV/0!</v>
      </c>
      <c r="AE124" s="10" t="e">
        <f>(F124+O124+P124+Q124+R124+T124+U124+V124+W124+X124+Y124+Z124)/AA124</f>
        <v>#DIV/0!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3" t="s">
        <v>160</v>
      </c>
      <c r="AP124" s="10"/>
      <c r="AQ124" s="1">
        <f>-1*AC124*G124</f>
        <v>0</v>
      </c>
      <c r="AR124" s="1">
        <f>(AN124+AM124+AL124+AK124+AJ124+AI124+AH124+AG124+AF124+AA124)*G124</f>
        <v>0</v>
      </c>
      <c r="AS124" s="1"/>
      <c r="AT124" s="1"/>
      <c r="AU124" s="1"/>
      <c r="AV124" s="1"/>
      <c r="AW124" s="1"/>
      <c r="AX124" s="1"/>
    </row>
    <row r="125" spans="1:50" x14ac:dyDescent="0.25">
      <c r="A125" s="10" t="s">
        <v>172</v>
      </c>
      <c r="B125" s="13" t="s">
        <v>42</v>
      </c>
      <c r="C125" s="10"/>
      <c r="D125" s="10"/>
      <c r="E125" s="10"/>
      <c r="F125" s="10"/>
      <c r="G125" s="11">
        <v>0</v>
      </c>
      <c r="H125" s="10"/>
      <c r="I125" s="10" t="s">
        <v>176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>
        <f t="shared" ref="AA125" si="26">M125/5</f>
        <v>0</v>
      </c>
      <c r="AB125" s="12"/>
      <c r="AC125" s="12"/>
      <c r="AD125" s="1" t="e">
        <f>(F125+O125+P125+Q125+R125+T125+U125+V125+W125+X125+Y125+Z125+AB125+AC125)/AA125</f>
        <v>#DIV/0!</v>
      </c>
      <c r="AE125" s="10" t="e">
        <f>(F125+O125+P125+Q125+R125+T125+U125+V125+W125+X125+Y125+Z125)/AA125</f>
        <v>#DIV/0!</v>
      </c>
      <c r="AF125" s="10">
        <v>0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3" t="s">
        <v>160</v>
      </c>
      <c r="AP125" s="10"/>
      <c r="AQ125" s="1">
        <f>-1*AC125*G125</f>
        <v>0</v>
      </c>
      <c r="AR125" s="1">
        <f>(AN125+AM125+AL125+AK125+AJ125+AI125+AH125+AG125+AF125+AA125)*G125</f>
        <v>0</v>
      </c>
      <c r="AS125" s="1"/>
      <c r="AT125" s="1"/>
      <c r="AU125" s="1"/>
      <c r="AV125" s="1"/>
      <c r="AW125" s="1"/>
      <c r="AX125" s="1"/>
    </row>
    <row r="126" spans="1:50" x14ac:dyDescent="0.25">
      <c r="A126" s="10" t="s">
        <v>173</v>
      </c>
      <c r="B126" s="13" t="s">
        <v>42</v>
      </c>
      <c r="C126" s="10"/>
      <c r="D126" s="10"/>
      <c r="E126" s="10"/>
      <c r="F126" s="10"/>
      <c r="G126" s="11">
        <v>0</v>
      </c>
      <c r="H126" s="10"/>
      <c r="I126" s="10" t="s">
        <v>176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>
        <f t="shared" ref="AA126" si="27">M126/5</f>
        <v>0</v>
      </c>
      <c r="AB126" s="12"/>
      <c r="AC126" s="12"/>
      <c r="AD126" s="1" t="e">
        <f>(F126+O126+P126+Q126+R126+T126+U126+V126+W126+X126+Y126+Z126+AB126+AC126)/AA126</f>
        <v>#DIV/0!</v>
      </c>
      <c r="AE126" s="10" t="e">
        <f>(F126+O126+P126+Q126+R126+T126+U126+V126+W126+X126+Y126+Z126)/AA126</f>
        <v>#DIV/0!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3" t="s">
        <v>160</v>
      </c>
      <c r="AP126" s="10"/>
      <c r="AQ126" s="1">
        <f>-1*AC126*G126</f>
        <v>0</v>
      </c>
      <c r="AR126" s="1">
        <f>(AN126+AM126+AL126+AK126+AJ126+AI126+AH126+AG126+AF126+AA126)*G126</f>
        <v>0</v>
      </c>
      <c r="AS126" s="1"/>
      <c r="AT126" s="1"/>
      <c r="AU126" s="1"/>
      <c r="AV126" s="1"/>
      <c r="AW126" s="1"/>
      <c r="AX126" s="1"/>
    </row>
    <row r="127" spans="1:50" x14ac:dyDescent="0.25">
      <c r="A127" s="10" t="s">
        <v>174</v>
      </c>
      <c r="B127" s="13" t="s">
        <v>46</v>
      </c>
      <c r="C127" s="10"/>
      <c r="D127" s="10"/>
      <c r="E127" s="10"/>
      <c r="F127" s="10"/>
      <c r="G127" s="11">
        <v>0</v>
      </c>
      <c r="H127" s="10"/>
      <c r="I127" s="10" t="s">
        <v>176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>
        <f t="shared" ref="AA127" si="28">M127/5</f>
        <v>0</v>
      </c>
      <c r="AB127" s="12"/>
      <c r="AC127" s="12"/>
      <c r="AD127" s="1" t="e">
        <f>(F127+O127+P127+Q127+R127+T127+U127+V127+W127+X127+Y127+Z127+AB127+AC127)/AA127</f>
        <v>#DIV/0!</v>
      </c>
      <c r="AE127" s="10" t="e">
        <f>(F127+O127+P127+Q127+R127+T127+U127+V127+W127+X127+Y127+Z127)/AA127</f>
        <v>#DIV/0!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3" t="s">
        <v>160</v>
      </c>
      <c r="AP127" s="10"/>
      <c r="AQ127" s="1">
        <f>-1*AC127*G127</f>
        <v>0</v>
      </c>
      <c r="AR127" s="1">
        <f>(AN127+AM127+AL127+AK127+AJ127+AI127+AH127+AG127+AF127+AA127)*G127</f>
        <v>0</v>
      </c>
      <c r="AS127" s="1"/>
      <c r="AT127" s="1"/>
      <c r="AU127" s="1"/>
      <c r="AV127" s="1"/>
      <c r="AW127" s="1"/>
      <c r="AX127" s="1"/>
    </row>
    <row r="128" spans="1:50" x14ac:dyDescent="0.25">
      <c r="A128" s="10" t="s">
        <v>175</v>
      </c>
      <c r="B128" s="13" t="s">
        <v>46</v>
      </c>
      <c r="C128" s="10"/>
      <c r="D128" s="10"/>
      <c r="E128" s="10"/>
      <c r="F128" s="10"/>
      <c r="G128" s="11">
        <v>0</v>
      </c>
      <c r="H128" s="10"/>
      <c r="I128" s="10" t="s">
        <v>176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>
        <f t="shared" ref="AA128" si="29">M128/5</f>
        <v>0</v>
      </c>
      <c r="AB128" s="12"/>
      <c r="AC128" s="12"/>
      <c r="AD128" s="1" t="e">
        <f>(F128+O128+P128+Q128+R128+T128+U128+V128+W128+X128+Y128+Z128+AB128+AC128)/AA128</f>
        <v>#DIV/0!</v>
      </c>
      <c r="AE128" s="10" t="e">
        <f>(F128+O128+P128+Q128+R128+T128+U128+V128+W128+X128+Y128+Z128)/AA128</f>
        <v>#DIV/0!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3" t="s">
        <v>160</v>
      </c>
      <c r="AP128" s="10"/>
      <c r="AQ128" s="1">
        <f>-1*AC128*G128</f>
        <v>0</v>
      </c>
      <c r="AR128" s="1">
        <f>(AN128+AM128+AL128+AK128+AJ128+AI128+AH128+AG128+AF128+AA128)*G128</f>
        <v>0</v>
      </c>
      <c r="AS128" s="1"/>
      <c r="AT128" s="1"/>
      <c r="AU128" s="1"/>
      <c r="AV128" s="1"/>
      <c r="AW128" s="1"/>
      <c r="AX128" s="1"/>
    </row>
    <row r="129" spans="1:50" x14ac:dyDescent="0.25">
      <c r="A129" s="17" t="s">
        <v>177</v>
      </c>
      <c r="B129" s="17" t="s">
        <v>46</v>
      </c>
      <c r="C129" s="18"/>
      <c r="D129" s="18"/>
      <c r="E129" s="18"/>
      <c r="F129" s="18"/>
      <c r="G129" s="19">
        <v>0.32500000000000001</v>
      </c>
      <c r="H129" s="18"/>
      <c r="I129" s="17" t="s">
        <v>176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0"/>
      <c r="T129" s="18"/>
      <c r="U129" s="18"/>
      <c r="V129" s="18"/>
      <c r="W129" s="18"/>
      <c r="X129" s="18"/>
      <c r="Y129" s="18"/>
      <c r="Z129" s="18"/>
      <c r="AA129" s="18">
        <f t="shared" ref="AA129" si="30">M129/5</f>
        <v>0</v>
      </c>
      <c r="AB129" s="20">
        <v>200</v>
      </c>
      <c r="AC129" s="20"/>
      <c r="AD129" s="1" t="e">
        <f>(F129+O129+P129+Q129+R129+T129+U129+V129+W129+X129+Y129+Z129+AB129+AC129)/AA129</f>
        <v>#DIV/0!</v>
      </c>
      <c r="AE129" s="18" t="e">
        <f t="shared" ref="AE129" si="31">(F129+O129+P129+Q129+R129+T129+U129+V129+W129+X129+Y129+Z129)/AA129</f>
        <v>#DIV/0!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7" t="s">
        <v>178</v>
      </c>
      <c r="AP129" s="18">
        <f>AB129*G129</f>
        <v>65</v>
      </c>
      <c r="AQ129" s="1">
        <f>-1*AC129*G129</f>
        <v>0</v>
      </c>
      <c r="AR129" s="1">
        <f>(AN129+AM129+AL129+AK129+AJ129+AI129+AH129+AG129+AF129+AA129)*G129</f>
        <v>0</v>
      </c>
      <c r="AS129" s="1"/>
      <c r="AT129" s="1"/>
      <c r="AU129" s="1"/>
      <c r="AV129" s="1"/>
      <c r="AW129" s="1"/>
      <c r="AX129" s="1"/>
    </row>
    <row r="130" spans="1:50" x14ac:dyDescent="0.25">
      <c r="A130" s="17" t="s">
        <v>179</v>
      </c>
      <c r="B130" s="17" t="s">
        <v>46</v>
      </c>
      <c r="C130" s="18"/>
      <c r="D130" s="18"/>
      <c r="E130" s="18"/>
      <c r="F130" s="18"/>
      <c r="G130" s="19">
        <v>0.25</v>
      </c>
      <c r="H130" s="18"/>
      <c r="I130" s="17" t="s">
        <v>176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0"/>
      <c r="T130" s="18"/>
      <c r="U130" s="18"/>
      <c r="V130" s="18"/>
      <c r="W130" s="18"/>
      <c r="X130" s="18"/>
      <c r="Y130" s="18"/>
      <c r="Z130" s="18"/>
      <c r="AA130" s="18">
        <f t="shared" ref="AA130" si="32">M130/5</f>
        <v>0</v>
      </c>
      <c r="AB130" s="20">
        <v>200</v>
      </c>
      <c r="AC130" s="20"/>
      <c r="AD130" s="1" t="e">
        <f>(F130+O130+P130+Q130+R130+T130+U130+V130+W130+X130+Y130+Z130+AB130+AC130)/AA130</f>
        <v>#DIV/0!</v>
      </c>
      <c r="AE130" s="18" t="e">
        <f t="shared" ref="AE130" si="33">(F130+O130+P130+Q130+R130+T130+U130+V130+W130+X130+Y130+Z130)/AA130</f>
        <v>#DIV/0!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7" t="s">
        <v>178</v>
      </c>
      <c r="AP130" s="18">
        <f>AB130*G130</f>
        <v>50</v>
      </c>
      <c r="AQ130" s="1">
        <f>-1*AC130*G130</f>
        <v>0</v>
      </c>
      <c r="AR130" s="1">
        <f>(AN130+AM130+AL130+AK130+AJ130+AI130+AH130+AG130+AF130+AA130)*G130</f>
        <v>0</v>
      </c>
      <c r="AS130" s="1"/>
      <c r="AT130" s="1"/>
      <c r="AU130" s="1"/>
      <c r="AV130" s="1"/>
      <c r="AW130" s="1"/>
      <c r="AX130" s="1"/>
    </row>
    <row r="131" spans="1:50" x14ac:dyDescent="0.25">
      <c r="A131" s="17" t="s">
        <v>180</v>
      </c>
      <c r="B131" s="17" t="s">
        <v>46</v>
      </c>
      <c r="C131" s="18"/>
      <c r="D131" s="18"/>
      <c r="E131" s="18"/>
      <c r="F131" s="18"/>
      <c r="G131" s="19">
        <v>0.25</v>
      </c>
      <c r="H131" s="18"/>
      <c r="I131" s="17" t="s">
        <v>176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0"/>
      <c r="T131" s="18"/>
      <c r="U131" s="18"/>
      <c r="V131" s="18"/>
      <c r="W131" s="18"/>
      <c r="X131" s="18"/>
      <c r="Y131" s="18"/>
      <c r="Z131" s="18"/>
      <c r="AA131" s="18">
        <f t="shared" ref="AA131" si="34">M131/5</f>
        <v>0</v>
      </c>
      <c r="AB131" s="20">
        <v>200</v>
      </c>
      <c r="AC131" s="20"/>
      <c r="AD131" s="1" t="e">
        <f>(F131+O131+P131+Q131+R131+T131+U131+V131+W131+X131+Y131+Z131+AB131+AC131)/AA131</f>
        <v>#DIV/0!</v>
      </c>
      <c r="AE131" s="18" t="e">
        <f t="shared" ref="AE131" si="35">(F131+O131+P131+Q131+R131+T131+U131+V131+W131+X131+Y131+Z131)/AA131</f>
        <v>#DIV/0!</v>
      </c>
      <c r="AF131" s="18">
        <v>0</v>
      </c>
      <c r="AG131" s="18">
        <v>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7" t="s">
        <v>178</v>
      </c>
      <c r="AP131" s="18">
        <f>AB131*G131</f>
        <v>50</v>
      </c>
      <c r="AQ131" s="1">
        <f>-1*AC131*G131</f>
        <v>0</v>
      </c>
      <c r="AR131" s="1">
        <f>(AN131+AM131+AL131+AK131+AJ131+AI131+AH131+AG131+AF131+AA131)*G131</f>
        <v>0</v>
      </c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0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0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0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0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0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0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0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0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0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0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0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0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0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0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0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0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0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0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0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0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0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0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0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0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0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0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0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0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0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0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0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0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0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0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0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0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0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0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0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0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0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0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0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0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0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0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0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0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0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0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0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0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0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0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0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0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0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0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0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0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0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0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0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0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0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0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0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0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0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0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0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0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0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0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0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0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0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0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0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0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0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0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0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0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0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0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0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0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0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0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0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0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0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0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0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0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0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0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0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0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0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0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0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0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0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0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0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0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0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0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0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0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0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0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0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0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0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0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0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0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0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0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0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0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0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0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0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0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0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0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0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0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0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0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0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0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0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0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0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0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0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0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0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0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0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0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0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0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0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0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0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0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0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0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0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0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0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0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0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0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0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0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0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0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0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0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0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0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0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0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0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0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0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0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0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0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0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0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0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0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0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0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0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0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0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0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0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0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0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0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0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0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0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0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0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0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0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0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0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0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0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0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0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0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0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0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0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0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0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0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0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0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0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0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0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0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0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0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0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0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0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0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0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0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0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0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0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0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0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0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0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0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0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0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0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0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0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0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0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0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0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0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0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0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0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0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0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0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0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0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0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0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0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0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0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0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0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0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0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0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0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0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0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0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0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0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0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0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0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0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0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0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0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0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0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0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0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0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0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0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0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0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0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0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0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0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0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0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0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0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0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0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0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0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0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0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0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0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0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0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0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0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0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0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0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0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0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0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0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0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0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0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0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0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0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0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0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0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0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0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0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0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0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0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0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0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0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0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0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0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0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0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0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0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0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0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0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0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0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0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0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0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0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0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0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0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0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0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0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0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0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0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0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0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0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0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0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0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0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0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0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0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0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0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0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0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R131" xr:uid="{18811085-CE07-4FF9-87B7-64329BF7CD3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2026-07-21T08:45:43Z</dcterms:created>
  <dcterms:modified xsi:type="dcterms:W3CDTF">2026-07-21T15:34:37Z</dcterms:modified>
</cp:coreProperties>
</file>