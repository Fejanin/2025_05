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4169C341-A4A1-4347-BFA6-FB093143BB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Sheet!$A$3:$AI$138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94" i="1" l="1"/>
  <c r="W93" i="1"/>
  <c r="W92" i="1"/>
  <c r="W17" i="1"/>
  <c r="AI118" i="1" l="1"/>
  <c r="AI105" i="1"/>
  <c r="M138" i="1"/>
  <c r="V138" i="1" s="1"/>
  <c r="Y138" i="1" s="1"/>
  <c r="L138" i="1"/>
  <c r="M137" i="1"/>
  <c r="V137" i="1" s="1"/>
  <c r="L137" i="1"/>
  <c r="M136" i="1"/>
  <c r="V136" i="1" s="1"/>
  <c r="AI136" i="1" s="1"/>
  <c r="L136" i="1"/>
  <c r="AI135" i="1"/>
  <c r="M135" i="1"/>
  <c r="V135" i="1" s="1"/>
  <c r="L135" i="1"/>
  <c r="M134" i="1"/>
  <c r="V134" i="1" s="1"/>
  <c r="L134" i="1"/>
  <c r="M133" i="1"/>
  <c r="V133" i="1" s="1"/>
  <c r="AI133" i="1" s="1"/>
  <c r="L133" i="1"/>
  <c r="AI132" i="1"/>
  <c r="M132" i="1"/>
  <c r="V132" i="1" s="1"/>
  <c r="L132" i="1"/>
  <c r="M131" i="1"/>
  <c r="V131" i="1" s="1"/>
  <c r="AI131" i="1" s="1"/>
  <c r="L131" i="1"/>
  <c r="M130" i="1"/>
  <c r="V130" i="1" s="1"/>
  <c r="L130" i="1"/>
  <c r="F130" i="1"/>
  <c r="M129" i="1"/>
  <c r="V129" i="1" s="1"/>
  <c r="Y129" i="1" s="1"/>
  <c r="L129" i="1"/>
  <c r="F128" i="1"/>
  <c r="E128" i="1"/>
  <c r="L128" i="1" s="1"/>
  <c r="M127" i="1"/>
  <c r="V127" i="1" s="1"/>
  <c r="W127" i="1" s="1"/>
  <c r="AI127" i="1" s="1"/>
  <c r="L127" i="1"/>
  <c r="M126" i="1"/>
  <c r="V126" i="1" s="1"/>
  <c r="W126" i="1" s="1"/>
  <c r="AI126" i="1" s="1"/>
  <c r="L126" i="1"/>
  <c r="M125" i="1"/>
  <c r="V125" i="1" s="1"/>
  <c r="AI125" i="1" s="1"/>
  <c r="L125" i="1"/>
  <c r="M124" i="1"/>
  <c r="V124" i="1" s="1"/>
  <c r="AI124" i="1" s="1"/>
  <c r="L124" i="1"/>
  <c r="M123" i="1"/>
  <c r="V123" i="1" s="1"/>
  <c r="AI123" i="1" s="1"/>
  <c r="L123" i="1"/>
  <c r="M122" i="1"/>
  <c r="V122" i="1" s="1"/>
  <c r="W122" i="1" s="1"/>
  <c r="L122" i="1"/>
  <c r="M121" i="1"/>
  <c r="V121" i="1" s="1"/>
  <c r="W121" i="1" s="1"/>
  <c r="AI121" i="1" s="1"/>
  <c r="L121" i="1"/>
  <c r="M120" i="1"/>
  <c r="V120" i="1" s="1"/>
  <c r="X120" i="1" s="1"/>
  <c r="L120" i="1"/>
  <c r="M119" i="1"/>
  <c r="V119" i="1" s="1"/>
  <c r="AI119" i="1" s="1"/>
  <c r="L119" i="1"/>
  <c r="M118" i="1"/>
  <c r="V118" i="1" s="1"/>
  <c r="L118" i="1"/>
  <c r="M117" i="1"/>
  <c r="V117" i="1" s="1"/>
  <c r="AI117" i="1" s="1"/>
  <c r="L117" i="1"/>
  <c r="M116" i="1"/>
  <c r="V116" i="1" s="1"/>
  <c r="AI116" i="1" s="1"/>
  <c r="L116" i="1"/>
  <c r="M115" i="1"/>
  <c r="V115" i="1" s="1"/>
  <c r="AI115" i="1" s="1"/>
  <c r="L115" i="1"/>
  <c r="M114" i="1"/>
  <c r="V114" i="1" s="1"/>
  <c r="AI114" i="1" s="1"/>
  <c r="L114" i="1"/>
  <c r="AI113" i="1"/>
  <c r="M113" i="1"/>
  <c r="V113" i="1" s="1"/>
  <c r="L113" i="1"/>
  <c r="M112" i="1"/>
  <c r="V112" i="1" s="1"/>
  <c r="AI112" i="1" s="1"/>
  <c r="L112" i="1"/>
  <c r="M111" i="1"/>
  <c r="V111" i="1" s="1"/>
  <c r="W111" i="1" s="1"/>
  <c r="AI111" i="1" s="1"/>
  <c r="L111" i="1"/>
  <c r="M110" i="1"/>
  <c r="V110" i="1" s="1"/>
  <c r="AI110" i="1" s="1"/>
  <c r="L110" i="1"/>
  <c r="M109" i="1"/>
  <c r="V109" i="1" s="1"/>
  <c r="AI109" i="1" s="1"/>
  <c r="L109" i="1"/>
  <c r="M108" i="1"/>
  <c r="V108" i="1" s="1"/>
  <c r="AI108" i="1" s="1"/>
  <c r="L108" i="1"/>
  <c r="M107" i="1"/>
  <c r="V107" i="1" s="1"/>
  <c r="Y107" i="1" s="1"/>
  <c r="L107" i="1"/>
  <c r="M106" i="1"/>
  <c r="V106" i="1" s="1"/>
  <c r="L106" i="1"/>
  <c r="M105" i="1"/>
  <c r="V105" i="1" s="1"/>
  <c r="Y105" i="1" s="1"/>
  <c r="L105" i="1"/>
  <c r="M104" i="1"/>
  <c r="V104" i="1" s="1"/>
  <c r="Y104" i="1" s="1"/>
  <c r="L104" i="1"/>
  <c r="M103" i="1"/>
  <c r="V103" i="1" s="1"/>
  <c r="L103" i="1"/>
  <c r="AI102" i="1"/>
  <c r="M102" i="1"/>
  <c r="V102" i="1" s="1"/>
  <c r="L102" i="1"/>
  <c r="M101" i="1"/>
  <c r="V101" i="1" s="1"/>
  <c r="W101" i="1" s="1"/>
  <c r="AI101" i="1" s="1"/>
  <c r="L101" i="1"/>
  <c r="M100" i="1"/>
  <c r="V100" i="1" s="1"/>
  <c r="AI100" i="1" s="1"/>
  <c r="L100" i="1"/>
  <c r="M99" i="1"/>
  <c r="V99" i="1" s="1"/>
  <c r="AI99" i="1" s="1"/>
  <c r="L99" i="1"/>
  <c r="AI98" i="1"/>
  <c r="M98" i="1"/>
  <c r="V98" i="1" s="1"/>
  <c r="L98" i="1"/>
  <c r="M97" i="1"/>
  <c r="V97" i="1" s="1"/>
  <c r="L97" i="1"/>
  <c r="M96" i="1"/>
  <c r="V96" i="1" s="1"/>
  <c r="L96" i="1"/>
  <c r="M95" i="1"/>
  <c r="V95" i="1" s="1"/>
  <c r="L95" i="1"/>
  <c r="M94" i="1"/>
  <c r="V94" i="1" s="1"/>
  <c r="L94" i="1"/>
  <c r="F94" i="1"/>
  <c r="M93" i="1"/>
  <c r="V93" i="1" s="1"/>
  <c r="AI93" i="1" s="1"/>
  <c r="L93" i="1"/>
  <c r="M92" i="1"/>
  <c r="V92" i="1" s="1"/>
  <c r="AI92" i="1" s="1"/>
  <c r="L92" i="1"/>
  <c r="M91" i="1"/>
  <c r="V91" i="1" s="1"/>
  <c r="AI91" i="1" s="1"/>
  <c r="L91" i="1"/>
  <c r="M90" i="1"/>
  <c r="V90" i="1" s="1"/>
  <c r="W90" i="1" s="1"/>
  <c r="AI90" i="1" s="1"/>
  <c r="L90" i="1"/>
  <c r="M89" i="1"/>
  <c r="V89" i="1" s="1"/>
  <c r="L89" i="1"/>
  <c r="M88" i="1"/>
  <c r="V88" i="1" s="1"/>
  <c r="AI88" i="1" s="1"/>
  <c r="L88" i="1"/>
  <c r="M87" i="1"/>
  <c r="V87" i="1" s="1"/>
  <c r="W87" i="1" s="1"/>
  <c r="L87" i="1"/>
  <c r="M86" i="1"/>
  <c r="V86" i="1" s="1"/>
  <c r="AI86" i="1" s="1"/>
  <c r="L86" i="1"/>
  <c r="AI85" i="1"/>
  <c r="M85" i="1"/>
  <c r="V85" i="1" s="1"/>
  <c r="L85" i="1"/>
  <c r="M84" i="1"/>
  <c r="V84" i="1" s="1"/>
  <c r="AI84" i="1" s="1"/>
  <c r="L84" i="1"/>
  <c r="M83" i="1"/>
  <c r="V83" i="1" s="1"/>
  <c r="W83" i="1" s="1"/>
  <c r="AI83" i="1" s="1"/>
  <c r="L83" i="1"/>
  <c r="M82" i="1"/>
  <c r="V82" i="1" s="1"/>
  <c r="AI82" i="1" s="1"/>
  <c r="L82" i="1"/>
  <c r="M81" i="1"/>
  <c r="V81" i="1" s="1"/>
  <c r="AI81" i="1" s="1"/>
  <c r="L81" i="1"/>
  <c r="M80" i="1"/>
  <c r="V80" i="1" s="1"/>
  <c r="AI80" i="1" s="1"/>
  <c r="L80" i="1"/>
  <c r="M79" i="1"/>
  <c r="V79" i="1" s="1"/>
  <c r="L79" i="1"/>
  <c r="AI78" i="1"/>
  <c r="M78" i="1"/>
  <c r="V78" i="1" s="1"/>
  <c r="L78" i="1"/>
  <c r="M77" i="1"/>
  <c r="V77" i="1" s="1"/>
  <c r="AI77" i="1" s="1"/>
  <c r="L77" i="1"/>
  <c r="M76" i="1"/>
  <c r="V76" i="1" s="1"/>
  <c r="Y76" i="1" s="1"/>
  <c r="L76" i="1"/>
  <c r="M75" i="1"/>
  <c r="V75" i="1" s="1"/>
  <c r="X75" i="1" s="1"/>
  <c r="L75" i="1"/>
  <c r="M74" i="1"/>
  <c r="V74" i="1" s="1"/>
  <c r="W74" i="1" s="1"/>
  <c r="AI74" i="1" s="1"/>
  <c r="L74" i="1"/>
  <c r="M73" i="1"/>
  <c r="V73" i="1" s="1"/>
  <c r="L73" i="1"/>
  <c r="M72" i="1"/>
  <c r="V72" i="1" s="1"/>
  <c r="Y72" i="1" s="1"/>
  <c r="L72" i="1"/>
  <c r="M71" i="1"/>
  <c r="V71" i="1" s="1"/>
  <c r="L71" i="1"/>
  <c r="M70" i="1"/>
  <c r="V70" i="1" s="1"/>
  <c r="Y70" i="1" s="1"/>
  <c r="L70" i="1"/>
  <c r="M69" i="1"/>
  <c r="V69" i="1" s="1"/>
  <c r="L69" i="1"/>
  <c r="M68" i="1"/>
  <c r="V68" i="1" s="1"/>
  <c r="Y68" i="1" s="1"/>
  <c r="L68" i="1"/>
  <c r="M67" i="1"/>
  <c r="V67" i="1" s="1"/>
  <c r="L67" i="1"/>
  <c r="M66" i="1"/>
  <c r="V66" i="1" s="1"/>
  <c r="Y66" i="1" s="1"/>
  <c r="L66" i="1"/>
  <c r="M65" i="1"/>
  <c r="V65" i="1" s="1"/>
  <c r="L65" i="1"/>
  <c r="M64" i="1"/>
  <c r="V64" i="1" s="1"/>
  <c r="Y64" i="1" s="1"/>
  <c r="L64" i="1"/>
  <c r="M63" i="1"/>
  <c r="V63" i="1" s="1"/>
  <c r="L63" i="1"/>
  <c r="M62" i="1"/>
  <c r="V62" i="1" s="1"/>
  <c r="Y62" i="1" s="1"/>
  <c r="L62" i="1"/>
  <c r="M61" i="1"/>
  <c r="V61" i="1" s="1"/>
  <c r="L61" i="1"/>
  <c r="F60" i="1"/>
  <c r="E60" i="1"/>
  <c r="L60" i="1" s="1"/>
  <c r="M59" i="1"/>
  <c r="V59" i="1" s="1"/>
  <c r="L59" i="1"/>
  <c r="AI58" i="1"/>
  <c r="M58" i="1"/>
  <c r="V58" i="1" s="1"/>
  <c r="Y58" i="1" s="1"/>
  <c r="L58" i="1"/>
  <c r="M57" i="1"/>
  <c r="V57" i="1" s="1"/>
  <c r="X57" i="1" s="1"/>
  <c r="L57" i="1"/>
  <c r="M56" i="1"/>
  <c r="V56" i="1" s="1"/>
  <c r="L56" i="1"/>
  <c r="M55" i="1"/>
  <c r="V55" i="1" s="1"/>
  <c r="AI55" i="1" s="1"/>
  <c r="L55" i="1"/>
  <c r="M54" i="1"/>
  <c r="V54" i="1" s="1"/>
  <c r="L54" i="1"/>
  <c r="M53" i="1"/>
  <c r="V53" i="1" s="1"/>
  <c r="L53" i="1"/>
  <c r="M52" i="1"/>
  <c r="V52" i="1" s="1"/>
  <c r="Y52" i="1" s="1"/>
  <c r="L52" i="1"/>
  <c r="M51" i="1"/>
  <c r="V51" i="1" s="1"/>
  <c r="L51" i="1"/>
  <c r="M50" i="1"/>
  <c r="V50" i="1" s="1"/>
  <c r="L50" i="1"/>
  <c r="M49" i="1"/>
  <c r="V49" i="1" s="1"/>
  <c r="L49" i="1"/>
  <c r="M48" i="1"/>
  <c r="V48" i="1" s="1"/>
  <c r="AI48" i="1" s="1"/>
  <c r="L48" i="1"/>
  <c r="M47" i="1"/>
  <c r="V47" i="1" s="1"/>
  <c r="L47" i="1"/>
  <c r="M46" i="1"/>
  <c r="V46" i="1" s="1"/>
  <c r="W46" i="1" s="1"/>
  <c r="AI46" i="1" s="1"/>
  <c r="L46" i="1"/>
  <c r="M45" i="1"/>
  <c r="V45" i="1" s="1"/>
  <c r="L45" i="1"/>
  <c r="M44" i="1"/>
  <c r="V44" i="1" s="1"/>
  <c r="AI44" i="1" s="1"/>
  <c r="L44" i="1"/>
  <c r="M43" i="1"/>
  <c r="V43" i="1" s="1"/>
  <c r="L43" i="1"/>
  <c r="AI42" i="1"/>
  <c r="M42" i="1"/>
  <c r="V42" i="1" s="1"/>
  <c r="L42" i="1"/>
  <c r="M41" i="1"/>
  <c r="V41" i="1" s="1"/>
  <c r="L41" i="1"/>
  <c r="M40" i="1"/>
  <c r="V40" i="1" s="1"/>
  <c r="AI40" i="1" s="1"/>
  <c r="L40" i="1"/>
  <c r="M39" i="1"/>
  <c r="V39" i="1" s="1"/>
  <c r="L39" i="1"/>
  <c r="M38" i="1"/>
  <c r="V38" i="1" s="1"/>
  <c r="L38" i="1"/>
  <c r="M37" i="1"/>
  <c r="V37" i="1" s="1"/>
  <c r="X37" i="1" s="1"/>
  <c r="L37" i="1"/>
  <c r="M36" i="1"/>
  <c r="V36" i="1" s="1"/>
  <c r="L36" i="1"/>
  <c r="M35" i="1"/>
  <c r="V35" i="1" s="1"/>
  <c r="X35" i="1" s="1"/>
  <c r="L35" i="1"/>
  <c r="M34" i="1"/>
  <c r="V34" i="1" s="1"/>
  <c r="L34" i="1"/>
  <c r="M33" i="1"/>
  <c r="V33" i="1" s="1"/>
  <c r="L33" i="1"/>
  <c r="M32" i="1"/>
  <c r="V32" i="1" s="1"/>
  <c r="W32" i="1" s="1"/>
  <c r="AI32" i="1" s="1"/>
  <c r="L32" i="1"/>
  <c r="M31" i="1"/>
  <c r="V31" i="1" s="1"/>
  <c r="X31" i="1" s="1"/>
  <c r="L31" i="1"/>
  <c r="M30" i="1"/>
  <c r="V30" i="1" s="1"/>
  <c r="L30" i="1"/>
  <c r="M29" i="1"/>
  <c r="V29" i="1" s="1"/>
  <c r="X29" i="1" s="1"/>
  <c r="L29" i="1"/>
  <c r="M28" i="1"/>
  <c r="V28" i="1" s="1"/>
  <c r="L28" i="1"/>
  <c r="M27" i="1"/>
  <c r="V27" i="1" s="1"/>
  <c r="L27" i="1"/>
  <c r="M26" i="1"/>
  <c r="V26" i="1" s="1"/>
  <c r="L26" i="1"/>
  <c r="M25" i="1"/>
  <c r="V25" i="1" s="1"/>
  <c r="W25" i="1" s="1"/>
  <c r="AI25" i="1" s="1"/>
  <c r="L25" i="1"/>
  <c r="M24" i="1"/>
  <c r="V24" i="1" s="1"/>
  <c r="AI24" i="1" s="1"/>
  <c r="L24" i="1"/>
  <c r="M23" i="1"/>
  <c r="V23" i="1" s="1"/>
  <c r="X23" i="1" s="1"/>
  <c r="L23" i="1"/>
  <c r="M22" i="1"/>
  <c r="V22" i="1" s="1"/>
  <c r="W22" i="1" s="1"/>
  <c r="AI22" i="1" s="1"/>
  <c r="L22" i="1"/>
  <c r="M21" i="1"/>
  <c r="V21" i="1" s="1"/>
  <c r="L21" i="1"/>
  <c r="M20" i="1"/>
  <c r="V20" i="1" s="1"/>
  <c r="L20" i="1"/>
  <c r="M19" i="1"/>
  <c r="V19" i="1" s="1"/>
  <c r="X19" i="1" s="1"/>
  <c r="L19" i="1"/>
  <c r="M18" i="1"/>
  <c r="V18" i="1" s="1"/>
  <c r="AI18" i="1" s="1"/>
  <c r="L18" i="1"/>
  <c r="M17" i="1"/>
  <c r="V17" i="1" s="1"/>
  <c r="L17" i="1"/>
  <c r="M16" i="1"/>
  <c r="V16" i="1" s="1"/>
  <c r="W16" i="1" s="1"/>
  <c r="AI16" i="1" s="1"/>
  <c r="L16" i="1"/>
  <c r="M15" i="1"/>
  <c r="V15" i="1" s="1"/>
  <c r="L15" i="1"/>
  <c r="M14" i="1"/>
  <c r="V14" i="1" s="1"/>
  <c r="W14" i="1" s="1"/>
  <c r="AI14" i="1" s="1"/>
  <c r="L14" i="1"/>
  <c r="M13" i="1"/>
  <c r="V13" i="1" s="1"/>
  <c r="W13" i="1" s="1"/>
  <c r="AI13" i="1" s="1"/>
  <c r="L13" i="1"/>
  <c r="M12" i="1"/>
  <c r="V12" i="1" s="1"/>
  <c r="AI12" i="1" s="1"/>
  <c r="L12" i="1"/>
  <c r="M11" i="1"/>
  <c r="V11" i="1" s="1"/>
  <c r="W11" i="1" s="1"/>
  <c r="AI11" i="1" s="1"/>
  <c r="L11" i="1"/>
  <c r="M10" i="1"/>
  <c r="V10" i="1" s="1"/>
  <c r="W10" i="1" s="1"/>
  <c r="AI10" i="1" s="1"/>
  <c r="L10" i="1"/>
  <c r="M9" i="1"/>
  <c r="V9" i="1" s="1"/>
  <c r="AI9" i="1" s="1"/>
  <c r="L9" i="1"/>
  <c r="M8" i="1"/>
  <c r="V8" i="1" s="1"/>
  <c r="W8" i="1" s="1"/>
  <c r="AI8" i="1" s="1"/>
  <c r="L8" i="1"/>
  <c r="M7" i="1"/>
  <c r="V7" i="1" s="1"/>
  <c r="W7" i="1" s="1"/>
  <c r="AI7" i="1" s="1"/>
  <c r="L7" i="1"/>
  <c r="M6" i="1"/>
  <c r="V6" i="1" s="1"/>
  <c r="W6" i="1" s="1"/>
  <c r="AI6" i="1" s="1"/>
  <c r="L6" i="1"/>
  <c r="AG5" i="1"/>
  <c r="AF5" i="1"/>
  <c r="AE5" i="1"/>
  <c r="AD5" i="1"/>
  <c r="AC5" i="1"/>
  <c r="AB5" i="1"/>
  <c r="AA5" i="1"/>
  <c r="Z5" i="1"/>
  <c r="U5" i="1"/>
  <c r="T5" i="1"/>
  <c r="S5" i="1"/>
  <c r="R5" i="1"/>
  <c r="Q5" i="1"/>
  <c r="P5" i="1"/>
  <c r="O5" i="1"/>
  <c r="N5" i="1"/>
  <c r="K5" i="1"/>
  <c r="AI87" i="1" l="1"/>
  <c r="AI122" i="1"/>
  <c r="W52" i="1"/>
  <c r="W62" i="1"/>
  <c r="AI62" i="1" s="1"/>
  <c r="X52" i="1"/>
  <c r="AI76" i="1"/>
  <c r="W39" i="1"/>
  <c r="AI39" i="1" s="1"/>
  <c r="W41" i="1"/>
  <c r="AI41" i="1" s="1"/>
  <c r="X43" i="1"/>
  <c r="AI43" i="1"/>
  <c r="X45" i="1"/>
  <c r="AI45" i="1"/>
  <c r="W47" i="1"/>
  <c r="AI47" i="1" s="1"/>
  <c r="W49" i="1"/>
  <c r="AI49" i="1" s="1"/>
  <c r="Y54" i="1"/>
  <c r="X54" i="1"/>
  <c r="Y61" i="1"/>
  <c r="W61" i="1"/>
  <c r="Y69" i="1"/>
  <c r="Y94" i="1"/>
  <c r="AI28" i="1"/>
  <c r="X70" i="1"/>
  <c r="AI70" i="1"/>
  <c r="AI94" i="1"/>
  <c r="E5" i="1"/>
  <c r="L5" i="1"/>
  <c r="AI21" i="1"/>
  <c r="AI34" i="1"/>
  <c r="Y50" i="1"/>
  <c r="Y53" i="1"/>
  <c r="AI56" i="1"/>
  <c r="Y59" i="1"/>
  <c r="W59" i="1"/>
  <c r="AI59" i="1" s="1"/>
  <c r="Y65" i="1"/>
  <c r="Y73" i="1"/>
  <c r="X73" i="1"/>
  <c r="Y97" i="1"/>
  <c r="X97" i="1"/>
  <c r="AI130" i="1"/>
  <c r="AI17" i="1"/>
  <c r="W27" i="1"/>
  <c r="AI27" i="1" s="1"/>
  <c r="Y51" i="1"/>
  <c r="Y63" i="1"/>
  <c r="Y67" i="1"/>
  <c r="Y71" i="1"/>
  <c r="W95" i="1"/>
  <c r="AI95" i="1" s="1"/>
  <c r="Y106" i="1"/>
  <c r="AI106" i="1"/>
  <c r="W134" i="1"/>
  <c r="AI134" i="1" s="1"/>
  <c r="AI129" i="1"/>
  <c r="AI104" i="1"/>
  <c r="X16" i="1"/>
  <c r="X18" i="1"/>
  <c r="X22" i="1"/>
  <c r="X40" i="1"/>
  <c r="X42" i="1"/>
  <c r="X44" i="1"/>
  <c r="X46" i="1"/>
  <c r="X48" i="1"/>
  <c r="X83" i="1"/>
  <c r="X87" i="1"/>
  <c r="X100" i="1"/>
  <c r="X108" i="1"/>
  <c r="X112" i="1"/>
  <c r="X116" i="1"/>
  <c r="X132" i="1"/>
  <c r="Y132" i="1"/>
  <c r="X136" i="1"/>
  <c r="Y136" i="1"/>
  <c r="X55" i="1"/>
  <c r="Y55" i="1"/>
  <c r="X74" i="1"/>
  <c r="Y74" i="1"/>
  <c r="X81" i="1"/>
  <c r="Y81" i="1"/>
  <c r="X85" i="1"/>
  <c r="Y85" i="1"/>
  <c r="X89" i="1"/>
  <c r="Y89" i="1"/>
  <c r="X98" i="1"/>
  <c r="Y98" i="1"/>
  <c r="X102" i="1"/>
  <c r="Y102" i="1"/>
  <c r="X110" i="1"/>
  <c r="Y110" i="1"/>
  <c r="X114" i="1"/>
  <c r="Y114" i="1"/>
  <c r="X118" i="1"/>
  <c r="Y118" i="1"/>
  <c r="M60" i="1"/>
  <c r="V60" i="1" s="1"/>
  <c r="AI60" i="1" s="1"/>
  <c r="F5" i="1"/>
  <c r="Y57" i="1"/>
  <c r="Y83" i="1"/>
  <c r="Y87" i="1"/>
  <c r="Y95" i="1"/>
  <c r="Y100" i="1"/>
  <c r="X105" i="1"/>
  <c r="X107" i="1"/>
  <c r="Y108" i="1"/>
  <c r="Y112" i="1"/>
  <c r="Y116" i="1"/>
  <c r="Y120" i="1"/>
  <c r="M128" i="1"/>
  <c r="V128" i="1" s="1"/>
  <c r="W128" i="1" s="1"/>
  <c r="AI128" i="1" s="1"/>
  <c r="X129" i="1"/>
  <c r="Y130" i="1"/>
  <c r="Y134" i="1"/>
  <c r="X138" i="1"/>
  <c r="Y6" i="1"/>
  <c r="X6" i="1"/>
  <c r="Y8" i="1"/>
  <c r="X8" i="1"/>
  <c r="Y10" i="1"/>
  <c r="X10" i="1"/>
  <c r="Y12" i="1"/>
  <c r="X12" i="1"/>
  <c r="Y14" i="1"/>
  <c r="X14" i="1"/>
  <c r="Y20" i="1"/>
  <c r="X20" i="1"/>
  <c r="Y25" i="1"/>
  <c r="X25" i="1"/>
  <c r="Y30" i="1"/>
  <c r="X30" i="1"/>
  <c r="Y33" i="1"/>
  <c r="X33" i="1"/>
  <c r="Y38" i="1"/>
  <c r="X38" i="1"/>
  <c r="Y7" i="1"/>
  <c r="X7" i="1"/>
  <c r="Y9" i="1"/>
  <c r="X9" i="1"/>
  <c r="Y11" i="1"/>
  <c r="X11" i="1"/>
  <c r="Y13" i="1"/>
  <c r="X13" i="1"/>
  <c r="Y15" i="1"/>
  <c r="X15" i="1"/>
  <c r="Y24" i="1"/>
  <c r="X24" i="1"/>
  <c r="Y26" i="1"/>
  <c r="X26" i="1"/>
  <c r="Y32" i="1"/>
  <c r="X32" i="1"/>
  <c r="Y36" i="1"/>
  <c r="X36" i="1"/>
  <c r="Y16" i="1"/>
  <c r="Y17" i="1"/>
  <c r="Y18" i="1"/>
  <c r="Y19" i="1"/>
  <c r="Y21" i="1"/>
  <c r="Y22" i="1"/>
  <c r="Y23" i="1"/>
  <c r="Y27" i="1"/>
  <c r="Y28" i="1"/>
  <c r="Y29" i="1"/>
  <c r="Y31" i="1"/>
  <c r="Y34" i="1"/>
  <c r="Y35" i="1"/>
  <c r="Y37" i="1"/>
  <c r="Y39" i="1"/>
  <c r="Y40" i="1"/>
  <c r="Y41" i="1"/>
  <c r="Y42" i="1"/>
  <c r="Y43" i="1"/>
  <c r="Y44" i="1"/>
  <c r="Y45" i="1"/>
  <c r="Y46" i="1"/>
  <c r="Y47" i="1"/>
  <c r="Y48" i="1"/>
  <c r="Y49" i="1"/>
  <c r="Y78" i="1"/>
  <c r="X78" i="1"/>
  <c r="X80" i="1"/>
  <c r="Y80" i="1"/>
  <c r="X84" i="1"/>
  <c r="Y84" i="1"/>
  <c r="X88" i="1"/>
  <c r="Y88" i="1"/>
  <c r="Y91" i="1"/>
  <c r="X91" i="1"/>
  <c r="Y93" i="1"/>
  <c r="X93" i="1"/>
  <c r="X96" i="1"/>
  <c r="Y96" i="1"/>
  <c r="X101" i="1"/>
  <c r="Y101" i="1"/>
  <c r="X109" i="1"/>
  <c r="Y109" i="1"/>
  <c r="X113" i="1"/>
  <c r="Y113" i="1"/>
  <c r="X117" i="1"/>
  <c r="Y117" i="1"/>
  <c r="Y121" i="1"/>
  <c r="X121" i="1"/>
  <c r="Y123" i="1"/>
  <c r="X123" i="1"/>
  <c r="Y125" i="1"/>
  <c r="X125" i="1"/>
  <c r="Y127" i="1"/>
  <c r="X127" i="1"/>
  <c r="X133" i="1"/>
  <c r="Y133" i="1"/>
  <c r="X137" i="1"/>
  <c r="Y137" i="1"/>
  <c r="Y56" i="1"/>
  <c r="X58" i="1"/>
  <c r="Y75" i="1"/>
  <c r="Y77" i="1"/>
  <c r="X77" i="1"/>
  <c r="Y79" i="1"/>
  <c r="X79" i="1"/>
  <c r="X82" i="1"/>
  <c r="Y82" i="1"/>
  <c r="X86" i="1"/>
  <c r="Y86" i="1"/>
  <c r="Y90" i="1"/>
  <c r="X90" i="1"/>
  <c r="Y92" i="1"/>
  <c r="X92" i="1"/>
  <c r="X99" i="1"/>
  <c r="Y99" i="1"/>
  <c r="X103" i="1"/>
  <c r="Y103" i="1"/>
  <c r="X111" i="1"/>
  <c r="Y111" i="1"/>
  <c r="X115" i="1"/>
  <c r="Y115" i="1"/>
  <c r="X119" i="1"/>
  <c r="Y119" i="1"/>
  <c r="Y122" i="1"/>
  <c r="X122" i="1"/>
  <c r="Y124" i="1"/>
  <c r="X124" i="1"/>
  <c r="Y126" i="1"/>
  <c r="X126" i="1"/>
  <c r="X131" i="1"/>
  <c r="Y131" i="1"/>
  <c r="X135" i="1"/>
  <c r="Y135" i="1"/>
  <c r="X62" i="1" l="1"/>
  <c r="X128" i="1"/>
  <c r="X60" i="1"/>
  <c r="V5" i="1"/>
  <c r="Y60" i="1"/>
  <c r="X59" i="1"/>
  <c r="AI52" i="1"/>
  <c r="W5" i="1"/>
  <c r="X94" i="1"/>
  <c r="M5" i="1"/>
  <c r="X106" i="1"/>
  <c r="X76" i="1"/>
  <c r="Y128" i="1"/>
  <c r="X134" i="1"/>
  <c r="X95" i="1"/>
  <c r="X27" i="1"/>
  <c r="X17" i="1"/>
  <c r="X56" i="1"/>
  <c r="X49" i="1"/>
  <c r="X47" i="1"/>
  <c r="X41" i="1"/>
  <c r="X39" i="1"/>
  <c r="X72" i="1"/>
  <c r="AI72" i="1"/>
  <c r="X64" i="1"/>
  <c r="AI64" i="1"/>
  <c r="X50" i="1"/>
  <c r="AI50" i="1"/>
  <c r="X130" i="1"/>
  <c r="X104" i="1"/>
  <c r="X68" i="1"/>
  <c r="AI68" i="1"/>
  <c r="AI71" i="1"/>
  <c r="X71" i="1"/>
  <c r="AI67" i="1"/>
  <c r="X67" i="1"/>
  <c r="AI63" i="1"/>
  <c r="X63" i="1"/>
  <c r="AI51" i="1"/>
  <c r="X51" i="1"/>
  <c r="X66" i="1"/>
  <c r="AI66" i="1"/>
  <c r="X65" i="1"/>
  <c r="AI65" i="1"/>
  <c r="X53" i="1"/>
  <c r="AI53" i="1"/>
  <c r="X34" i="1"/>
  <c r="X21" i="1"/>
  <c r="X69" i="1"/>
  <c r="AI69" i="1"/>
  <c r="X61" i="1"/>
  <c r="AI61" i="1"/>
  <c r="X28" i="1"/>
  <c r="AI5" i="1" l="1"/>
</calcChain>
</file>

<file path=xl/sharedStrings.xml><?xml version="1.0" encoding="utf-8"?>
<sst xmlns="http://schemas.openxmlformats.org/spreadsheetml/2006/main" count="514" uniqueCount="199">
  <si>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</si>
  <si>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</si>
  <si>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</si>
  <si>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</si>
  <si>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</si>
  <si>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</si>
  <si>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</si>
  <si>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</si>
  <si>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</si>
  <si>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</si>
  <si>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</si>
  <si>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</si>
  <si>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</si>
  <si>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</si>
  <si>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</si>
  <si>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</si>
  <si>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</si>
  <si>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</si>
  <si>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</si>
  <si>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</si>
  <si>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</si>
  <si>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</si>
  <si>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13,09,</t>
  </si>
  <si>
    <t>13,09,недогр</t>
  </si>
  <si>
    <t>13,09,доз</t>
  </si>
  <si>
    <t>13,09,доз2</t>
  </si>
  <si>
    <t>14,09,</t>
  </si>
  <si>
    <t>14,09,недогр</t>
  </si>
  <si>
    <t>14,09,доз</t>
  </si>
  <si>
    <t>15,09,</t>
  </si>
  <si>
    <t>10,09,</t>
  </si>
  <si>
    <t>08,09,</t>
  </si>
  <si>
    <t>03,09,</t>
  </si>
  <si>
    <t>01,09,</t>
  </si>
  <si>
    <t>27,08,</t>
  </si>
  <si>
    <t>25,08,</t>
  </si>
  <si>
    <t>20,08,</t>
  </si>
  <si>
    <t>18,08,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</si>
  <si>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</si>
  <si>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</si>
  <si>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</si>
  <si>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</si>
  <si>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ПРОМО сентябрь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</si>
  <si>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</si>
  <si>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</si>
  <si>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</si>
  <si>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</si>
  <si>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</si>
  <si>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</si>
  <si>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</si>
  <si>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</si>
  <si>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</si>
  <si>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</si>
  <si>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</si>
  <si>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</si>
  <si>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</si>
  <si>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</si>
  <si>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</si>
  <si>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</si>
  <si>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</si>
  <si>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дубль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</si>
  <si>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</si>
  <si>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</si>
  <si>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</si>
  <si>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</si>
  <si>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</si>
  <si>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</si>
  <si>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</si>
  <si>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</si>
  <si>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</si>
  <si>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</si>
  <si>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</si>
  <si>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</si>
  <si>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</si>
  <si>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</si>
  <si>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</si>
  <si>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</si>
  <si>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</si>
  <si>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</si>
  <si>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</si>
  <si>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</si>
  <si>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</si>
  <si>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</si>
  <si>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</si>
  <si>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ПРОМО сентябрь / 2600шт отгрузили на ЮгТехЛогистика (28,08,26)</t>
  </si>
  <si>
    <t xml:space="preserve"> 276  Колбаса Сливушка ТМ Вязанка в оболочке полиамид 0,45 кг  ПОКОМ</t>
  </si>
  <si>
    <t>ВНИМАНИЕ / матрица</t>
  </si>
  <si>
    <t>500шт под ЮТЛ (Хмель 21,08,26)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</si>
  <si>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</si>
  <si>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</si>
  <si>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</si>
  <si>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31,07,26 начали заказывать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</si>
  <si>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</si>
  <si>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</si>
  <si>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</si>
  <si>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</si>
  <si>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</si>
  <si>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</si>
  <si>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</si>
  <si>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1000шт под сети (Хмель 01,09,26)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</si>
  <si>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</si>
  <si>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</si>
  <si>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</si>
  <si>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</si>
  <si>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</si>
  <si>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</si>
  <si>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</si>
  <si>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</si>
  <si>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</si>
  <si>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</si>
  <si>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</si>
  <si>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</si>
  <si>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нужно увеличить продажи!!!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</si>
  <si>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</si>
  <si>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</si>
  <si>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</si>
  <si>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</si>
  <si>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</si>
  <si>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</si>
  <si>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</si>
  <si>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</si>
  <si>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</si>
  <si>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</si>
  <si>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</si>
  <si>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</si>
  <si>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>нужно увеличить продажи!!! / вышли из ПРОМО (в сентябре)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</si>
  <si>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</si>
  <si>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</si>
  <si>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</si>
  <si>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</si>
  <si>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>с 14,08,26 начинаем заказывать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</si>
  <si>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</si>
  <si>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</si>
  <si>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</si>
  <si>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</si>
  <si>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</si>
  <si>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</si>
  <si>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</si>
  <si>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</si>
  <si>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</si>
  <si>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>нужно увеличить продажи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</si>
  <si>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</si>
  <si>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</si>
  <si>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</si>
  <si>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</si>
  <si>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</si>
  <si>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</si>
  <si>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</si>
  <si>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</si>
  <si>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</si>
  <si>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</si>
  <si>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</si>
  <si>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</si>
  <si>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плюсом 400шт сеть Молоко (21,08,26) / плюсом 300шт сеть Молоко (05,08,26)</t>
  </si>
  <si>
    <t xml:space="preserve"> 524  Колбаса Сервелат Ореховый нарезка 0,07кг ТМ Стародворье  ПОКОМ</t>
  </si>
  <si>
    <t>плюсом 500шт сеть Молоко (21,08,26) / плюсом 300шт сеть Молоко (05,08,26)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</si>
  <si>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</si>
  <si>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</si>
  <si>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</si>
  <si>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</si>
  <si>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</si>
  <si>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</si>
  <si>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</si>
  <si>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>плюсом 300шт сеть Молоко (21,08,26) / плюсом 300шт сеть Молоко (05,08,26)</t>
  </si>
  <si>
    <t xml:space="preserve"> 554  Колбаса Сервелат Мясорубский ТМ Стародворье в упаковке скин 0,08 кг нарезка  ПОКОМ</t>
  </si>
  <si>
    <t>плюсом 600шт сеть Молоко (21,08,26) / плюсом 300шт сеть Молоко (05,08,26)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</si>
  <si>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</si>
  <si>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</si>
  <si>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</si>
  <si>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</si>
  <si>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</si>
  <si>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</si>
  <si>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</si>
  <si>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</si>
  <si>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</si>
  <si>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</si>
  <si>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плюсом 700шт сеть Молоко (21,08,26)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</si>
  <si>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</si>
  <si>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</si>
  <si>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</si>
  <si>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</si>
  <si>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</si>
  <si>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</si>
  <si>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</si>
  <si>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</si>
  <si>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</si>
  <si>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</si>
  <si>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</si>
  <si>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</si>
  <si>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</si>
  <si>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</si>
  <si>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</si>
  <si>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</si>
  <si>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</si>
  <si>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</si>
  <si>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</si>
  <si>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19 шт списано (12,07,26)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</si>
  <si>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плюсом 500шт сеть Молоко (21,08,26) / плюсом 300шт сеть Молоко (05,08,26)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</si>
  <si>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плюсом 500шт сеть Молоко (21,08,26) / плюсом 300шт сеть Молоко (05,08,26)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</si>
</sst>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164" fontId="5" fillId="8" borderId="1" xfId="1" applyNumberFormat="1" applyFont="1" applyFill="1"/>
    <xf numFmtId="164" fontId="6" fillId="8" borderId="1" xfId="1" applyNumberFormat="1" applyFont="1" applyFill="1"/>
    <xf numFmtId="164" fontId="7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O6" sqref="AO6"/>
    </sheetView>
  </sheetViews>
  <sheetFormatPr defaultRowHeight="15" x14ac:dyDescent="0.25"/>
  <cols>
    <col min="1" max="1" width="50.1406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3" width="7" customWidth="1"/>
    <col min="14" max="14" width="5.7109375" customWidth="1"/>
    <col min="15" max="15" width="7" customWidth="1"/>
    <col min="16" max="16" width="6.140625" customWidth="1"/>
    <col min="17" max="17" width="5.140625" customWidth="1"/>
    <col min="18" max="18" width="6" customWidth="1"/>
    <col min="19" max="20" width="7" customWidth="1"/>
    <col min="21" max="21" width="5" customWidth="1"/>
    <col min="22" max="23" width="7" customWidth="1"/>
    <col min="24" max="25" width="5" customWidth="1"/>
    <col min="26" max="28" width="7" customWidth="1"/>
    <col min="29" max="29" width="6" customWidth="1"/>
    <col min="30" max="33" width="6.7109375" customWidth="1"/>
    <col min="34" max="34" width="39.28515625" customWidth="1"/>
    <col min="35" max="35" width="7" customWidth="1"/>
    <col min="36" max="43" width="3" customWidth="1"/>
  </cols>
  <sheetData>
    <row r="1" spans="1:4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14</v>
      </c>
      <c r="V3" s="2" t="s">
        <v>15</v>
      </c>
      <c r="W3" s="3" t="s">
        <v>16</v>
      </c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</row>
    <row r="4" spans="1:4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28</v>
      </c>
      <c r="V4" s="1" t="s">
        <v>29</v>
      </c>
      <c r="W4" s="1"/>
      <c r="X4" s="1"/>
      <c r="Y4" s="1"/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 t="s">
        <v>37</v>
      </c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x14ac:dyDescent="0.25">
      <c r="A5" s="1"/>
      <c r="B5" s="1"/>
      <c r="C5" s="1"/>
      <c r="D5" s="1"/>
      <c r="E5" s="4">
        <f>SUM(E6:E500)</f>
        <v>69204.436000000002</v>
      </c>
      <c r="F5" s="4">
        <f>SUM(F6:F500)</f>
        <v>71286.961999999985</v>
      </c>
      <c r="G5" s="7"/>
      <c r="H5" s="1"/>
      <c r="I5" s="1"/>
      <c r="J5" s="1"/>
      <c r="K5" s="4">
        <f t="shared" ref="K5:W5" si="0">SUM(K6:K500)</f>
        <v>81321.798000000039</v>
      </c>
      <c r="L5" s="4">
        <f t="shared" si="0"/>
        <v>-12117.362000000003</v>
      </c>
      <c r="M5" s="4">
        <f t="shared" si="0"/>
        <v>63172.864000000001</v>
      </c>
      <c r="N5" s="4">
        <f t="shared" si="0"/>
        <v>6031.572000000001</v>
      </c>
      <c r="O5" s="4">
        <f t="shared" si="0"/>
        <v>21865.361596540002</v>
      </c>
      <c r="P5" s="4">
        <f t="shared" si="0"/>
        <v>-462.59999999999997</v>
      </c>
      <c r="Q5" s="4">
        <f t="shared" si="0"/>
        <v>600</v>
      </c>
      <c r="R5" s="4">
        <f t="shared" si="0"/>
        <v>1200</v>
      </c>
      <c r="S5" s="4">
        <f t="shared" si="0"/>
        <v>24261.31734709334</v>
      </c>
      <c r="T5" s="4">
        <f t="shared" si="0"/>
        <v>-1360.4</v>
      </c>
      <c r="U5" s="4">
        <f t="shared" si="0"/>
        <v>600</v>
      </c>
      <c r="V5" s="4">
        <f t="shared" si="0"/>
        <v>12634.5728</v>
      </c>
      <c r="W5" s="4">
        <f t="shared" si="0"/>
        <v>34085.772922400007</v>
      </c>
      <c r="X5" s="1"/>
      <c r="Y5" s="1"/>
      <c r="Z5" s="4">
        <f t="shared" ref="Z5:AG5" si="1">SUM(Z6:Z500)</f>
        <v>13008.235999999999</v>
      </c>
      <c r="AA5" s="4">
        <f t="shared" si="1"/>
        <v>13739.648800000001</v>
      </c>
      <c r="AB5" s="4">
        <f t="shared" si="1"/>
        <v>10910.368200000003</v>
      </c>
      <c r="AC5" s="4">
        <f t="shared" si="1"/>
        <v>9135.7952000000078</v>
      </c>
      <c r="AD5" s="4">
        <f t="shared" si="1"/>
        <v>10198.597200000002</v>
      </c>
      <c r="AE5" s="4">
        <f t="shared" si="1"/>
        <v>11150.824600000005</v>
      </c>
      <c r="AF5" s="4">
        <f t="shared" si="1"/>
        <v>11727.188200000004</v>
      </c>
      <c r="AG5" s="4">
        <f t="shared" si="1"/>
        <v>13329.141600000003</v>
      </c>
      <c r="AH5" s="1"/>
      <c r="AI5" s="4">
        <f>SUM(AI6:AI500)</f>
        <v>29030.116892399998</v>
      </c>
      <c r="AJ5" s="1"/>
      <c r="AK5" s="1"/>
      <c r="AL5" s="1"/>
      <c r="AM5" s="1"/>
      <c r="AN5" s="1"/>
      <c r="AO5" s="1"/>
      <c r="AP5" s="1"/>
      <c r="AQ5" s="1"/>
    </row>
    <row r="6" spans="1:43" x14ac:dyDescent="0.25">
      <c r="A6" s="1" t="s">
        <v>38</v>
      </c>
      <c r="B6" s="1" t="s">
        <v>39</v>
      </c>
      <c r="C6" s="1">
        <v>2251.3029999999999</v>
      </c>
      <c r="D6" s="1">
        <v>2188.5700000000002</v>
      </c>
      <c r="E6" s="1">
        <v>2480.73</v>
      </c>
      <c r="F6" s="1">
        <v>1031.904</v>
      </c>
      <c r="G6" s="7">
        <v>1</v>
      </c>
      <c r="H6" s="1">
        <v>50</v>
      </c>
      <c r="I6" s="1" t="s">
        <v>40</v>
      </c>
      <c r="J6" s="1"/>
      <c r="K6" s="1">
        <v>2472.9029999999998</v>
      </c>
      <c r="L6" s="1">
        <f t="shared" ref="L6:L37" si="2">E6-K6</f>
        <v>7.8270000000002256</v>
      </c>
      <c r="M6" s="1">
        <f t="shared" ref="M6:M37" si="3">E6-N6</f>
        <v>1651.877</v>
      </c>
      <c r="N6" s="1">
        <v>828.85299999999995</v>
      </c>
      <c r="O6" s="1">
        <v>328</v>
      </c>
      <c r="P6" s="1"/>
      <c r="Q6" s="1"/>
      <c r="R6" s="1"/>
      <c r="S6" s="1">
        <v>700</v>
      </c>
      <c r="T6" s="1"/>
      <c r="U6" s="1"/>
      <c r="V6" s="1">
        <f t="shared" ref="V6:V37" si="4">M6/5</f>
        <v>330.37540000000001</v>
      </c>
      <c r="W6" s="5">
        <f>11*V6-U6-T6-S6-R6-Q6-P6-O6-F6</f>
        <v>1574.2254000000003</v>
      </c>
      <c r="X6" s="1">
        <f t="shared" ref="X6:X37" si="5">(F6+O6+P6+Q6+R6+S6+T6+U6+W6)/V6</f>
        <v>11</v>
      </c>
      <c r="Y6" s="1">
        <f t="shared" ref="Y6:Y37" si="6">(F6+O6+P6+Q6+R6+S6+T6+U6)/V6</f>
        <v>6.2350405024102882</v>
      </c>
      <c r="Z6" s="1">
        <v>323.59899999999999</v>
      </c>
      <c r="AA6" s="1">
        <v>328.35</v>
      </c>
      <c r="AB6" s="1">
        <v>238.09880000000001</v>
      </c>
      <c r="AC6" s="1">
        <v>226.9384</v>
      </c>
      <c r="AD6" s="1">
        <v>306.53539999999998</v>
      </c>
      <c r="AE6" s="1">
        <v>373.97739999999999</v>
      </c>
      <c r="AF6" s="1">
        <v>325.6216</v>
      </c>
      <c r="AG6" s="1">
        <v>402.60879999999997</v>
      </c>
      <c r="AH6" s="1"/>
      <c r="AI6" s="1">
        <f t="shared" ref="AI6:AI14" si="7">G6*W6</f>
        <v>1574.2254000000003</v>
      </c>
      <c r="AJ6" s="1"/>
      <c r="AK6" s="1"/>
      <c r="AL6" s="1"/>
      <c r="AM6" s="1"/>
      <c r="AN6" s="1"/>
      <c r="AO6" s="1"/>
      <c r="AP6" s="1"/>
      <c r="AQ6" s="1"/>
    </row>
    <row r="7" spans="1:43" x14ac:dyDescent="0.25">
      <c r="A7" s="1" t="s">
        <v>41</v>
      </c>
      <c r="B7" s="1" t="s">
        <v>39</v>
      </c>
      <c r="C7" s="1">
        <v>1201.789</v>
      </c>
      <c r="D7" s="1">
        <v>2744.0039999999999</v>
      </c>
      <c r="E7" s="1">
        <v>1838.75</v>
      </c>
      <c r="F7" s="1">
        <v>1455.9</v>
      </c>
      <c r="G7" s="7">
        <v>1</v>
      </c>
      <c r="H7" s="1">
        <v>45</v>
      </c>
      <c r="I7" s="1" t="s">
        <v>40</v>
      </c>
      <c r="J7" s="1"/>
      <c r="K7" s="1">
        <v>1796.788</v>
      </c>
      <c r="L7" s="1">
        <f t="shared" si="2"/>
        <v>41.961999999999989</v>
      </c>
      <c r="M7" s="1">
        <f t="shared" si="3"/>
        <v>1838.75</v>
      </c>
      <c r="N7" s="1"/>
      <c r="O7" s="1">
        <v>647</v>
      </c>
      <c r="P7" s="1"/>
      <c r="Q7" s="1"/>
      <c r="R7" s="1"/>
      <c r="S7" s="1">
        <v>0</v>
      </c>
      <c r="T7" s="1"/>
      <c r="U7" s="1"/>
      <c r="V7" s="1">
        <f t="shared" si="4"/>
        <v>367.75</v>
      </c>
      <c r="W7" s="5">
        <f t="shared" ref="W7:W14" si="8">11*V7-U7-T7-S7-R7-Q7-P7-O7-F7</f>
        <v>1942.35</v>
      </c>
      <c r="X7" s="1">
        <f t="shared" si="5"/>
        <v>11</v>
      </c>
      <c r="Y7" s="1">
        <f t="shared" si="6"/>
        <v>5.7182868796736912</v>
      </c>
      <c r="Z7" s="1">
        <v>250.43219999999999</v>
      </c>
      <c r="AA7" s="1">
        <v>253.25299999999999</v>
      </c>
      <c r="AB7" s="1">
        <v>222.0264</v>
      </c>
      <c r="AC7" s="1">
        <v>176.40700000000001</v>
      </c>
      <c r="AD7" s="1">
        <v>267.92</v>
      </c>
      <c r="AE7" s="1">
        <v>195.1114</v>
      </c>
      <c r="AF7" s="1">
        <v>216.3058</v>
      </c>
      <c r="AG7" s="1">
        <v>223.072</v>
      </c>
      <c r="AH7" s="1" t="s">
        <v>42</v>
      </c>
      <c r="AI7" s="1">
        <f t="shared" si="7"/>
        <v>1942.35</v>
      </c>
      <c r="AJ7" s="1"/>
      <c r="AK7" s="1"/>
      <c r="AL7" s="1"/>
      <c r="AM7" s="1"/>
      <c r="AN7" s="1"/>
      <c r="AO7" s="1"/>
      <c r="AP7" s="1"/>
      <c r="AQ7" s="1"/>
    </row>
    <row r="8" spans="1:43" x14ac:dyDescent="0.25">
      <c r="A8" s="1" t="s">
        <v>43</v>
      </c>
      <c r="B8" s="1" t="s">
        <v>39</v>
      </c>
      <c r="C8" s="1">
        <v>1189.6610000000001</v>
      </c>
      <c r="D8" s="1">
        <v>8147.9679999999998</v>
      </c>
      <c r="E8" s="1">
        <v>4165.0770000000002</v>
      </c>
      <c r="F8" s="1">
        <v>3967.7249999999999</v>
      </c>
      <c r="G8" s="7">
        <v>1</v>
      </c>
      <c r="H8" s="1">
        <v>45</v>
      </c>
      <c r="I8" s="1" t="s">
        <v>40</v>
      </c>
      <c r="J8" s="1"/>
      <c r="K8" s="1">
        <v>4160.1260000000002</v>
      </c>
      <c r="L8" s="1">
        <f t="shared" si="2"/>
        <v>4.9510000000000218</v>
      </c>
      <c r="M8" s="1">
        <f t="shared" si="3"/>
        <v>4165.0770000000002</v>
      </c>
      <c r="N8" s="1"/>
      <c r="O8" s="1">
        <v>2070.4</v>
      </c>
      <c r="P8" s="1"/>
      <c r="Q8" s="1"/>
      <c r="R8" s="1"/>
      <c r="S8" s="1">
        <v>0</v>
      </c>
      <c r="T8" s="1"/>
      <c r="U8" s="1"/>
      <c r="V8" s="1">
        <f t="shared" si="4"/>
        <v>833.0154</v>
      </c>
      <c r="W8" s="5">
        <f t="shared" si="8"/>
        <v>3125.0444000000011</v>
      </c>
      <c r="X8" s="1">
        <f t="shared" si="5"/>
        <v>11</v>
      </c>
      <c r="Y8" s="1">
        <f t="shared" si="6"/>
        <v>7.2485154536158634</v>
      </c>
      <c r="Z8" s="1">
        <v>751.53280000000007</v>
      </c>
      <c r="AA8" s="1">
        <v>847.03899999999999</v>
      </c>
      <c r="AB8" s="1">
        <v>565.60299999999995</v>
      </c>
      <c r="AC8" s="1">
        <v>418.56079999999997</v>
      </c>
      <c r="AD8" s="1">
        <v>617.84820000000002</v>
      </c>
      <c r="AE8" s="1">
        <v>615.27340000000004</v>
      </c>
      <c r="AF8" s="1">
        <v>546.42439999999988</v>
      </c>
      <c r="AG8" s="1">
        <v>608.08999999999992</v>
      </c>
      <c r="AH8" s="1" t="s">
        <v>42</v>
      </c>
      <c r="AI8" s="1">
        <f t="shared" si="7"/>
        <v>3125.0444000000011</v>
      </c>
      <c r="AJ8" s="1"/>
      <c r="AK8" s="1"/>
      <c r="AL8" s="1"/>
      <c r="AM8" s="1"/>
      <c r="AN8" s="1"/>
      <c r="AO8" s="1"/>
      <c r="AP8" s="1"/>
      <c r="AQ8" s="1"/>
    </row>
    <row r="9" spans="1:43" x14ac:dyDescent="0.25">
      <c r="A9" s="1" t="s">
        <v>44</v>
      </c>
      <c r="B9" s="1" t="s">
        <v>45</v>
      </c>
      <c r="C9" s="1">
        <v>21</v>
      </c>
      <c r="D9" s="1"/>
      <c r="E9" s="1">
        <v>1</v>
      </c>
      <c r="F9" s="1">
        <v>20</v>
      </c>
      <c r="G9" s="7">
        <v>0.4</v>
      </c>
      <c r="H9" s="1">
        <v>50</v>
      </c>
      <c r="I9" s="1" t="s">
        <v>40</v>
      </c>
      <c r="J9" s="1"/>
      <c r="K9" s="1">
        <v>11</v>
      </c>
      <c r="L9" s="1">
        <f t="shared" si="2"/>
        <v>-10</v>
      </c>
      <c r="M9" s="1">
        <f t="shared" si="3"/>
        <v>1</v>
      </c>
      <c r="N9" s="1"/>
      <c r="O9" s="1"/>
      <c r="P9" s="1"/>
      <c r="Q9" s="1"/>
      <c r="R9" s="1"/>
      <c r="S9" s="1">
        <v>7.5999999999999979</v>
      </c>
      <c r="T9" s="1"/>
      <c r="U9" s="1"/>
      <c r="V9" s="1">
        <f t="shared" si="4"/>
        <v>0.2</v>
      </c>
      <c r="W9" s="5"/>
      <c r="X9" s="1">
        <f t="shared" si="5"/>
        <v>137.99999999999997</v>
      </c>
      <c r="Y9" s="1">
        <f t="shared" si="6"/>
        <v>137.99999999999997</v>
      </c>
      <c r="Z9" s="1">
        <v>2.4</v>
      </c>
      <c r="AA9" s="1">
        <v>1.8</v>
      </c>
      <c r="AB9" s="1">
        <v>-0.2</v>
      </c>
      <c r="AC9" s="1">
        <v>0.2</v>
      </c>
      <c r="AD9" s="1">
        <v>1.2</v>
      </c>
      <c r="AE9" s="1">
        <v>2.8</v>
      </c>
      <c r="AF9" s="1">
        <v>1.4</v>
      </c>
      <c r="AG9" s="1">
        <v>1.4</v>
      </c>
      <c r="AH9" s="17" t="s">
        <v>196</v>
      </c>
      <c r="AI9" s="1">
        <f t="shared" si="7"/>
        <v>0</v>
      </c>
      <c r="AJ9" s="1"/>
      <c r="AK9" s="1"/>
      <c r="AL9" s="1"/>
      <c r="AM9" s="1"/>
      <c r="AN9" s="1"/>
      <c r="AO9" s="1"/>
      <c r="AP9" s="1"/>
      <c r="AQ9" s="1"/>
    </row>
    <row r="10" spans="1:43" x14ac:dyDescent="0.25">
      <c r="A10" s="1" t="s">
        <v>46</v>
      </c>
      <c r="B10" s="1" t="s">
        <v>45</v>
      </c>
      <c r="C10" s="1">
        <v>2395.0459999999998</v>
      </c>
      <c r="D10" s="1">
        <v>2107.33</v>
      </c>
      <c r="E10" s="1">
        <v>2714.3359999999998</v>
      </c>
      <c r="F10" s="1">
        <v>1609.04</v>
      </c>
      <c r="G10" s="7">
        <v>0.45</v>
      </c>
      <c r="H10" s="1">
        <v>45</v>
      </c>
      <c r="I10" s="1" t="s">
        <v>40</v>
      </c>
      <c r="J10" s="1"/>
      <c r="K10" s="1">
        <v>3697</v>
      </c>
      <c r="L10" s="1">
        <f t="shared" si="2"/>
        <v>-982.66400000000021</v>
      </c>
      <c r="M10" s="1">
        <f t="shared" si="3"/>
        <v>2654.3359999999998</v>
      </c>
      <c r="N10" s="1">
        <v>60</v>
      </c>
      <c r="O10" s="1"/>
      <c r="P10" s="1"/>
      <c r="Q10" s="1"/>
      <c r="R10" s="1"/>
      <c r="S10" s="1">
        <v>3525.3327999999992</v>
      </c>
      <c r="T10" s="1"/>
      <c r="U10" s="1"/>
      <c r="V10" s="1">
        <f t="shared" si="4"/>
        <v>530.86719999999991</v>
      </c>
      <c r="W10" s="5">
        <f t="shared" si="8"/>
        <v>705.16640000000007</v>
      </c>
      <c r="X10" s="1">
        <f t="shared" si="5"/>
        <v>11</v>
      </c>
      <c r="Y10" s="1">
        <f t="shared" si="6"/>
        <v>9.6716708058060465</v>
      </c>
      <c r="Z10" s="1">
        <v>514.46719999999993</v>
      </c>
      <c r="AA10" s="1">
        <v>409.86599999999999</v>
      </c>
      <c r="AB10" s="1">
        <v>437.2</v>
      </c>
      <c r="AC10" s="1">
        <v>412</v>
      </c>
      <c r="AD10" s="1">
        <v>405</v>
      </c>
      <c r="AE10" s="1">
        <v>449</v>
      </c>
      <c r="AF10" s="1">
        <v>492.83479999999997</v>
      </c>
      <c r="AG10" s="1">
        <v>540.4348</v>
      </c>
      <c r="AH10" s="1"/>
      <c r="AI10" s="1">
        <f t="shared" si="7"/>
        <v>317.32488000000006</v>
      </c>
      <c r="AJ10" s="1"/>
      <c r="AK10" s="1"/>
      <c r="AL10" s="1"/>
      <c r="AM10" s="1"/>
      <c r="AN10" s="1"/>
      <c r="AO10" s="1"/>
      <c r="AP10" s="1"/>
      <c r="AQ10" s="1"/>
    </row>
    <row r="11" spans="1:43" x14ac:dyDescent="0.25">
      <c r="A11" s="1" t="s">
        <v>47</v>
      </c>
      <c r="B11" s="1" t="s">
        <v>45</v>
      </c>
      <c r="C11" s="1">
        <v>3606.54</v>
      </c>
      <c r="D11" s="1">
        <v>3891.1149999999998</v>
      </c>
      <c r="E11" s="1">
        <v>2923.3809999999999</v>
      </c>
      <c r="F11" s="1">
        <v>4405.2740000000003</v>
      </c>
      <c r="G11" s="7">
        <v>0.45</v>
      </c>
      <c r="H11" s="1">
        <v>45</v>
      </c>
      <c r="I11" s="1" t="s">
        <v>40</v>
      </c>
      <c r="J11" s="1"/>
      <c r="K11" s="1">
        <v>3002</v>
      </c>
      <c r="L11" s="1">
        <f t="shared" si="2"/>
        <v>-78.619000000000142</v>
      </c>
      <c r="M11" s="1">
        <f t="shared" si="3"/>
        <v>2863.3809999999999</v>
      </c>
      <c r="N11" s="1">
        <v>60</v>
      </c>
      <c r="O11" s="1">
        <v>1294</v>
      </c>
      <c r="P11" s="1"/>
      <c r="Q11" s="1"/>
      <c r="R11" s="1"/>
      <c r="S11" s="1">
        <v>0</v>
      </c>
      <c r="T11" s="1"/>
      <c r="U11" s="1"/>
      <c r="V11" s="1">
        <f t="shared" si="4"/>
        <v>572.67619999999999</v>
      </c>
      <c r="W11" s="5">
        <f t="shared" si="8"/>
        <v>600.16419999999925</v>
      </c>
      <c r="X11" s="1">
        <f t="shared" si="5"/>
        <v>11</v>
      </c>
      <c r="Y11" s="1">
        <f t="shared" si="6"/>
        <v>9.9520007990553836</v>
      </c>
      <c r="Z11" s="1">
        <v>553.87619999999993</v>
      </c>
      <c r="AA11" s="1">
        <v>632.423</v>
      </c>
      <c r="AB11" s="1">
        <v>674.2</v>
      </c>
      <c r="AC11" s="1">
        <v>625.20000000000005</v>
      </c>
      <c r="AD11" s="1">
        <v>641.4</v>
      </c>
      <c r="AE11" s="1">
        <v>650</v>
      </c>
      <c r="AF11" s="1">
        <v>684.8732</v>
      </c>
      <c r="AG11" s="1">
        <v>689.67319999999995</v>
      </c>
      <c r="AH11" s="1" t="s">
        <v>48</v>
      </c>
      <c r="AI11" s="1">
        <f t="shared" si="7"/>
        <v>270.07388999999966</v>
      </c>
      <c r="AJ11" s="1"/>
      <c r="AK11" s="1"/>
      <c r="AL11" s="1"/>
      <c r="AM11" s="1"/>
      <c r="AN11" s="1"/>
      <c r="AO11" s="1"/>
      <c r="AP11" s="1"/>
      <c r="AQ11" s="1"/>
    </row>
    <row r="12" spans="1:43" x14ac:dyDescent="0.25">
      <c r="A12" s="1" t="s">
        <v>49</v>
      </c>
      <c r="B12" s="1" t="s">
        <v>45</v>
      </c>
      <c r="C12" s="1">
        <v>73</v>
      </c>
      <c r="D12" s="1">
        <v>180</v>
      </c>
      <c r="E12" s="1">
        <v>77</v>
      </c>
      <c r="F12" s="1">
        <v>145</v>
      </c>
      <c r="G12" s="7">
        <v>0.17</v>
      </c>
      <c r="H12" s="1">
        <v>180</v>
      </c>
      <c r="I12" s="1" t="s">
        <v>40</v>
      </c>
      <c r="J12" s="1"/>
      <c r="K12" s="1">
        <v>87</v>
      </c>
      <c r="L12" s="1">
        <f t="shared" si="2"/>
        <v>-10</v>
      </c>
      <c r="M12" s="1">
        <f t="shared" si="3"/>
        <v>47</v>
      </c>
      <c r="N12" s="1">
        <v>30</v>
      </c>
      <c r="O12" s="1">
        <v>50</v>
      </c>
      <c r="P12" s="1"/>
      <c r="Q12" s="1"/>
      <c r="R12" s="1"/>
      <c r="S12" s="1">
        <v>0</v>
      </c>
      <c r="T12" s="1"/>
      <c r="U12" s="1"/>
      <c r="V12" s="1">
        <f t="shared" si="4"/>
        <v>9.4</v>
      </c>
      <c r="W12" s="5"/>
      <c r="X12" s="1">
        <f t="shared" si="5"/>
        <v>20.74468085106383</v>
      </c>
      <c r="Y12" s="1">
        <f t="shared" si="6"/>
        <v>20.74468085106383</v>
      </c>
      <c r="Z12" s="1">
        <v>17.2</v>
      </c>
      <c r="AA12" s="1">
        <v>19.600000000000001</v>
      </c>
      <c r="AB12" s="1">
        <v>12.4</v>
      </c>
      <c r="AC12" s="1">
        <v>8.6</v>
      </c>
      <c r="AD12" s="1">
        <v>13.8</v>
      </c>
      <c r="AE12" s="1">
        <v>19</v>
      </c>
      <c r="AF12" s="1">
        <v>17.8</v>
      </c>
      <c r="AG12" s="1">
        <v>17.8</v>
      </c>
      <c r="AH12" s="1"/>
      <c r="AI12" s="1">
        <f t="shared" si="7"/>
        <v>0</v>
      </c>
      <c r="AJ12" s="1"/>
      <c r="AK12" s="1"/>
      <c r="AL12" s="1"/>
      <c r="AM12" s="1"/>
      <c r="AN12" s="1"/>
      <c r="AO12" s="1"/>
      <c r="AP12" s="1"/>
      <c r="AQ12" s="1"/>
    </row>
    <row r="13" spans="1:43" x14ac:dyDescent="0.25">
      <c r="A13" s="1" t="s">
        <v>50</v>
      </c>
      <c r="B13" s="1" t="s">
        <v>45</v>
      </c>
      <c r="C13" s="1">
        <v>76</v>
      </c>
      <c r="D13" s="1">
        <v>30</v>
      </c>
      <c r="E13" s="1">
        <v>46</v>
      </c>
      <c r="F13" s="1">
        <v>60</v>
      </c>
      <c r="G13" s="7">
        <v>0.3</v>
      </c>
      <c r="H13" s="1">
        <v>40</v>
      </c>
      <c r="I13" s="10" t="s">
        <v>51</v>
      </c>
      <c r="J13" s="1"/>
      <c r="K13" s="1">
        <v>46</v>
      </c>
      <c r="L13" s="1">
        <f t="shared" si="2"/>
        <v>0</v>
      </c>
      <c r="M13" s="1">
        <f t="shared" si="3"/>
        <v>46</v>
      </c>
      <c r="N13" s="1"/>
      <c r="O13" s="1">
        <v>0</v>
      </c>
      <c r="P13" s="1"/>
      <c r="Q13" s="1"/>
      <c r="R13" s="1"/>
      <c r="S13" s="1">
        <v>22.899999999999991</v>
      </c>
      <c r="T13" s="1"/>
      <c r="U13" s="1"/>
      <c r="V13" s="1">
        <f t="shared" si="4"/>
        <v>9.1999999999999993</v>
      </c>
      <c r="W13" s="5">
        <f t="shared" si="8"/>
        <v>18.299999999999997</v>
      </c>
      <c r="X13" s="1">
        <f t="shared" si="5"/>
        <v>11</v>
      </c>
      <c r="Y13" s="1">
        <f t="shared" si="6"/>
        <v>9.0108695652173907</v>
      </c>
      <c r="Z13" s="1">
        <v>8.6</v>
      </c>
      <c r="AA13" s="1">
        <v>7</v>
      </c>
      <c r="AB13" s="1">
        <v>4</v>
      </c>
      <c r="AC13" s="1">
        <v>3</v>
      </c>
      <c r="AD13" s="1">
        <v>6.2</v>
      </c>
      <c r="AE13" s="1">
        <v>11.6</v>
      </c>
      <c r="AF13" s="1">
        <v>12</v>
      </c>
      <c r="AG13" s="1">
        <v>12.6</v>
      </c>
      <c r="AH13" s="1"/>
      <c r="AI13" s="1">
        <f t="shared" si="7"/>
        <v>5.4899999999999993</v>
      </c>
      <c r="AJ13" s="1"/>
      <c r="AK13" s="1"/>
      <c r="AL13" s="1"/>
      <c r="AM13" s="1"/>
      <c r="AN13" s="1"/>
      <c r="AO13" s="1"/>
      <c r="AP13" s="1"/>
      <c r="AQ13" s="1"/>
    </row>
    <row r="14" spans="1:43" x14ac:dyDescent="0.25">
      <c r="A14" s="1" t="s">
        <v>52</v>
      </c>
      <c r="B14" s="1" t="s">
        <v>45</v>
      </c>
      <c r="C14" s="1">
        <v>44</v>
      </c>
      <c r="D14" s="1">
        <v>317</v>
      </c>
      <c r="E14" s="1">
        <v>164</v>
      </c>
      <c r="F14" s="1">
        <v>197</v>
      </c>
      <c r="G14" s="7">
        <v>0.17</v>
      </c>
      <c r="H14" s="1">
        <v>180</v>
      </c>
      <c r="I14" s="1" t="s">
        <v>40</v>
      </c>
      <c r="J14" s="1"/>
      <c r="K14" s="1">
        <v>177</v>
      </c>
      <c r="L14" s="1">
        <f t="shared" si="2"/>
        <v>-13</v>
      </c>
      <c r="M14" s="1">
        <f t="shared" si="3"/>
        <v>164</v>
      </c>
      <c r="N14" s="1"/>
      <c r="O14" s="1"/>
      <c r="P14" s="1"/>
      <c r="Q14" s="1"/>
      <c r="R14" s="1"/>
      <c r="S14" s="1">
        <v>104.7600000000002</v>
      </c>
      <c r="T14" s="1"/>
      <c r="U14" s="1"/>
      <c r="V14" s="1">
        <f t="shared" si="4"/>
        <v>32.799999999999997</v>
      </c>
      <c r="W14" s="5">
        <f t="shared" si="8"/>
        <v>59.039999999999736</v>
      </c>
      <c r="X14" s="1">
        <f t="shared" si="5"/>
        <v>11</v>
      </c>
      <c r="Y14" s="1">
        <f t="shared" si="6"/>
        <v>9.2000000000000082</v>
      </c>
      <c r="Z14" s="1">
        <v>33.200000000000003</v>
      </c>
      <c r="AA14" s="1">
        <v>32.799999999999997</v>
      </c>
      <c r="AB14" s="1">
        <v>30.2</v>
      </c>
      <c r="AC14" s="1">
        <v>29.8</v>
      </c>
      <c r="AD14" s="1">
        <v>18.600000000000001</v>
      </c>
      <c r="AE14" s="1">
        <v>19.600000000000001</v>
      </c>
      <c r="AF14" s="1">
        <v>17.399999999999999</v>
      </c>
      <c r="AG14" s="1">
        <v>35.4</v>
      </c>
      <c r="AH14" s="1"/>
      <c r="AI14" s="1">
        <f t="shared" si="7"/>
        <v>10.036799999999955</v>
      </c>
      <c r="AJ14" s="1"/>
      <c r="AK14" s="1"/>
      <c r="AL14" s="1"/>
      <c r="AM14" s="1"/>
      <c r="AN14" s="1"/>
      <c r="AO14" s="1"/>
      <c r="AP14" s="1"/>
      <c r="AQ14" s="1"/>
    </row>
    <row r="15" spans="1:43" x14ac:dyDescent="0.25">
      <c r="A15" s="11" t="s">
        <v>53</v>
      </c>
      <c r="B15" s="11" t="s">
        <v>45</v>
      </c>
      <c r="C15" s="11">
        <v>239</v>
      </c>
      <c r="D15" s="11"/>
      <c r="E15" s="11"/>
      <c r="F15" s="11">
        <v>-7</v>
      </c>
      <c r="G15" s="12">
        <v>0</v>
      </c>
      <c r="H15" s="11"/>
      <c r="I15" s="11" t="s">
        <v>54</v>
      </c>
      <c r="J15" s="11"/>
      <c r="K15" s="11">
        <v>26</v>
      </c>
      <c r="L15" s="11">
        <f t="shared" si="2"/>
        <v>-26</v>
      </c>
      <c r="M15" s="11">
        <f t="shared" si="3"/>
        <v>0</v>
      </c>
      <c r="N15" s="11"/>
      <c r="O15" s="11"/>
      <c r="P15" s="11"/>
      <c r="Q15" s="11"/>
      <c r="R15" s="11"/>
      <c r="S15" s="11">
        <v>0</v>
      </c>
      <c r="T15" s="11"/>
      <c r="U15" s="11"/>
      <c r="V15" s="11">
        <f t="shared" si="4"/>
        <v>0</v>
      </c>
      <c r="W15" s="13"/>
      <c r="X15" s="11" t="e">
        <f t="shared" si="5"/>
        <v>#DIV/0!</v>
      </c>
      <c r="Y15" s="11" t="e">
        <f t="shared" si="6"/>
        <v>#DIV/0!</v>
      </c>
      <c r="Z15" s="11">
        <v>0.4</v>
      </c>
      <c r="AA15" s="11">
        <v>0</v>
      </c>
      <c r="AB15" s="11">
        <v>0.4</v>
      </c>
      <c r="AC15" s="11">
        <v>1.8</v>
      </c>
      <c r="AD15" s="11">
        <v>7.8</v>
      </c>
      <c r="AE15" s="11">
        <v>16</v>
      </c>
      <c r="AF15" s="11">
        <v>1</v>
      </c>
      <c r="AG15" s="11">
        <v>1</v>
      </c>
      <c r="AH15" s="11" t="s">
        <v>55</v>
      </c>
      <c r="AI15" s="11"/>
      <c r="AJ15" s="1"/>
      <c r="AK15" s="1"/>
      <c r="AL15" s="1"/>
      <c r="AM15" s="1"/>
      <c r="AN15" s="1"/>
      <c r="AO15" s="1"/>
      <c r="AP15" s="1"/>
      <c r="AQ15" s="1"/>
    </row>
    <row r="16" spans="1:43" x14ac:dyDescent="0.25">
      <c r="A16" s="1" t="s">
        <v>56</v>
      </c>
      <c r="B16" s="1" t="s">
        <v>39</v>
      </c>
      <c r="C16" s="1">
        <v>3730.2190000000001</v>
      </c>
      <c r="D16" s="1">
        <v>7790.442</v>
      </c>
      <c r="E16" s="1">
        <v>4674.665</v>
      </c>
      <c r="F16" s="1">
        <v>5215.2550000000001</v>
      </c>
      <c r="G16" s="7">
        <v>1</v>
      </c>
      <c r="H16" s="1">
        <v>70</v>
      </c>
      <c r="I16" s="10" t="s">
        <v>51</v>
      </c>
      <c r="J16" s="1"/>
      <c r="K16" s="1">
        <v>4575.8320000000003</v>
      </c>
      <c r="L16" s="1">
        <f t="shared" si="2"/>
        <v>98.832999999999629</v>
      </c>
      <c r="M16" s="1">
        <f t="shared" si="3"/>
        <v>4674.665</v>
      </c>
      <c r="N16" s="1"/>
      <c r="O16" s="1">
        <v>800</v>
      </c>
      <c r="P16" s="1"/>
      <c r="Q16" s="1"/>
      <c r="R16" s="1"/>
      <c r="S16" s="1">
        <v>650</v>
      </c>
      <c r="T16" s="1"/>
      <c r="U16" s="1"/>
      <c r="V16" s="1">
        <f t="shared" si="4"/>
        <v>934.93299999999999</v>
      </c>
      <c r="W16" s="5">
        <f t="shared" ref="W16:W17" si="9">11*V16-U16-T16-S16-R16-Q16-P16-O16-F16</f>
        <v>3619.0079999999989</v>
      </c>
      <c r="X16" s="1">
        <f t="shared" si="5"/>
        <v>10.999999999999998</v>
      </c>
      <c r="Y16" s="1">
        <f t="shared" si="6"/>
        <v>7.1291258304070988</v>
      </c>
      <c r="Z16" s="1">
        <v>830.74639999999999</v>
      </c>
      <c r="AA16" s="1">
        <v>811.17699999999991</v>
      </c>
      <c r="AB16" s="1">
        <v>526.53639999999996</v>
      </c>
      <c r="AC16" s="1">
        <v>424.87459999999999</v>
      </c>
      <c r="AD16" s="1">
        <v>573.029</v>
      </c>
      <c r="AE16" s="1">
        <v>558.35879999999997</v>
      </c>
      <c r="AF16" s="1">
        <v>576.6604000000001</v>
      </c>
      <c r="AG16" s="1">
        <v>628.17099999999994</v>
      </c>
      <c r="AH16" s="1" t="s">
        <v>42</v>
      </c>
      <c r="AI16" s="1">
        <f>G16*W16</f>
        <v>3619.0079999999989</v>
      </c>
      <c r="AJ16" s="1"/>
      <c r="AK16" s="1"/>
      <c r="AL16" s="1"/>
      <c r="AM16" s="1"/>
      <c r="AN16" s="1"/>
      <c r="AO16" s="1"/>
      <c r="AP16" s="1"/>
      <c r="AQ16" s="1"/>
    </row>
    <row r="17" spans="1:43" x14ac:dyDescent="0.25">
      <c r="A17" s="1" t="s">
        <v>57</v>
      </c>
      <c r="B17" s="1" t="s">
        <v>39</v>
      </c>
      <c r="C17" s="1">
        <v>4012.5059999999999</v>
      </c>
      <c r="D17" s="1">
        <v>4037.4859999999999</v>
      </c>
      <c r="E17" s="1">
        <v>3890.68</v>
      </c>
      <c r="F17" s="1">
        <v>2852.212</v>
      </c>
      <c r="G17" s="7">
        <v>1</v>
      </c>
      <c r="H17" s="1">
        <v>50</v>
      </c>
      <c r="I17" s="1" t="s">
        <v>40</v>
      </c>
      <c r="J17" s="1"/>
      <c r="K17" s="1">
        <v>3963.9949999999999</v>
      </c>
      <c r="L17" s="1">
        <f t="shared" si="2"/>
        <v>-73.315000000000055</v>
      </c>
      <c r="M17" s="1">
        <f t="shared" si="3"/>
        <v>3890.68</v>
      </c>
      <c r="N17" s="1"/>
      <c r="O17" s="1">
        <v>320</v>
      </c>
      <c r="P17" s="1"/>
      <c r="Q17" s="1"/>
      <c r="R17" s="1">
        <v>1200</v>
      </c>
      <c r="S17" s="1">
        <v>2560.9690999999998</v>
      </c>
      <c r="T17" s="1"/>
      <c r="U17" s="1"/>
      <c r="V17" s="1">
        <f t="shared" si="4"/>
        <v>778.13599999999997</v>
      </c>
      <c r="W17" s="5">
        <f>10*V17-U17-T17-S17-R17-Q17-P17-O17-F17</f>
        <v>848.17890000000034</v>
      </c>
      <c r="X17" s="1">
        <f t="shared" si="5"/>
        <v>10.000000000000002</v>
      </c>
      <c r="Y17" s="1">
        <f t="shared" si="6"/>
        <v>8.9099863005952695</v>
      </c>
      <c r="Z17" s="1">
        <v>651.7174</v>
      </c>
      <c r="AA17" s="1">
        <v>634.69460000000004</v>
      </c>
      <c r="AB17" s="1">
        <v>404.84399999999988</v>
      </c>
      <c r="AC17" s="1">
        <v>323.94799999999998</v>
      </c>
      <c r="AD17" s="1">
        <v>431.13780000000008</v>
      </c>
      <c r="AE17" s="1">
        <v>436.02780000000001</v>
      </c>
      <c r="AF17" s="1">
        <v>283.60739999999998</v>
      </c>
      <c r="AG17" s="1">
        <v>445.85719999999998</v>
      </c>
      <c r="AH17" s="1" t="s">
        <v>42</v>
      </c>
      <c r="AI17" s="1">
        <f>G17*W17</f>
        <v>848.17890000000034</v>
      </c>
      <c r="AJ17" s="1"/>
      <c r="AK17" s="1"/>
      <c r="AL17" s="1"/>
      <c r="AM17" s="1"/>
      <c r="AN17" s="1"/>
      <c r="AO17" s="1"/>
      <c r="AP17" s="1"/>
      <c r="AQ17" s="1"/>
    </row>
    <row r="18" spans="1:43" x14ac:dyDescent="0.25">
      <c r="A18" s="1" t="s">
        <v>58</v>
      </c>
      <c r="B18" s="1" t="s">
        <v>39</v>
      </c>
      <c r="C18" s="1">
        <v>-9.1560000000000006</v>
      </c>
      <c r="D18" s="1">
        <v>807.91600000000005</v>
      </c>
      <c r="E18" s="1">
        <v>128.37200000000001</v>
      </c>
      <c r="F18" s="1">
        <v>664.20899999999995</v>
      </c>
      <c r="G18" s="7">
        <v>1</v>
      </c>
      <c r="H18" s="1">
        <v>60</v>
      </c>
      <c r="I18" s="1" t="s">
        <v>40</v>
      </c>
      <c r="J18" s="1"/>
      <c r="K18" s="1">
        <v>151.15</v>
      </c>
      <c r="L18" s="1">
        <f t="shared" si="2"/>
        <v>-22.777999999999992</v>
      </c>
      <c r="M18" s="1">
        <f t="shared" si="3"/>
        <v>128.37200000000001</v>
      </c>
      <c r="N18" s="1"/>
      <c r="O18" s="1"/>
      <c r="P18" s="1"/>
      <c r="Q18" s="1"/>
      <c r="R18" s="1"/>
      <c r="S18" s="1">
        <v>0</v>
      </c>
      <c r="T18" s="1"/>
      <c r="U18" s="1"/>
      <c r="V18" s="1">
        <f t="shared" si="4"/>
        <v>25.674400000000002</v>
      </c>
      <c r="W18" s="5"/>
      <c r="X18" s="1">
        <f t="shared" si="5"/>
        <v>25.870477985853608</v>
      </c>
      <c r="Y18" s="1">
        <f t="shared" si="6"/>
        <v>25.870477985853608</v>
      </c>
      <c r="Z18" s="1">
        <v>21.1402</v>
      </c>
      <c r="AA18" s="1">
        <v>46.889800000000001</v>
      </c>
      <c r="AB18" s="1">
        <v>48.151600000000002</v>
      </c>
      <c r="AC18" s="1">
        <v>42.8626</v>
      </c>
      <c r="AD18" s="1">
        <v>21.7056</v>
      </c>
      <c r="AE18" s="1">
        <v>0.70620000000000005</v>
      </c>
      <c r="AF18" s="1">
        <v>29.232199999999992</v>
      </c>
      <c r="AG18" s="1">
        <v>29.232199999999992</v>
      </c>
      <c r="AH18" s="1"/>
      <c r="AI18" s="1">
        <f>G18*W18</f>
        <v>0</v>
      </c>
      <c r="AJ18" s="1"/>
      <c r="AK18" s="1"/>
      <c r="AL18" s="1"/>
      <c r="AM18" s="1"/>
      <c r="AN18" s="1"/>
      <c r="AO18" s="1"/>
      <c r="AP18" s="1"/>
      <c r="AQ18" s="1"/>
    </row>
    <row r="19" spans="1:43" x14ac:dyDescent="0.25">
      <c r="A19" s="11" t="s">
        <v>59</v>
      </c>
      <c r="B19" s="11" t="s">
        <v>39</v>
      </c>
      <c r="C19" s="11"/>
      <c r="D19" s="11"/>
      <c r="E19" s="14">
        <v>2.125</v>
      </c>
      <c r="F19" s="14">
        <v>-2.4849999999999999</v>
      </c>
      <c r="G19" s="12">
        <v>0</v>
      </c>
      <c r="H19" s="11"/>
      <c r="I19" s="11" t="s">
        <v>60</v>
      </c>
      <c r="J19" s="11" t="s">
        <v>61</v>
      </c>
      <c r="K19" s="11"/>
      <c r="L19" s="11">
        <f t="shared" si="2"/>
        <v>2.125</v>
      </c>
      <c r="M19" s="11">
        <f t="shared" si="3"/>
        <v>2.125</v>
      </c>
      <c r="N19" s="11"/>
      <c r="O19" s="11"/>
      <c r="P19" s="11"/>
      <c r="Q19" s="11"/>
      <c r="R19" s="11"/>
      <c r="S19" s="11"/>
      <c r="T19" s="11"/>
      <c r="U19" s="11"/>
      <c r="V19" s="11">
        <f t="shared" si="4"/>
        <v>0.42499999999999999</v>
      </c>
      <c r="W19" s="13"/>
      <c r="X19" s="11">
        <f t="shared" si="5"/>
        <v>-5.8470588235294114</v>
      </c>
      <c r="Y19" s="11">
        <f t="shared" si="6"/>
        <v>-5.8470588235294114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/>
      <c r="AI19" s="11"/>
      <c r="AJ19" s="1"/>
      <c r="AK19" s="1"/>
      <c r="AL19" s="1"/>
      <c r="AM19" s="1"/>
      <c r="AN19" s="1"/>
      <c r="AO19" s="1"/>
      <c r="AP19" s="1"/>
      <c r="AQ19" s="1"/>
    </row>
    <row r="20" spans="1:43" x14ac:dyDescent="0.25">
      <c r="A20" s="11" t="s">
        <v>62</v>
      </c>
      <c r="B20" s="11" t="s">
        <v>39</v>
      </c>
      <c r="C20" s="11"/>
      <c r="D20" s="11"/>
      <c r="E20" s="11"/>
      <c r="F20" s="11"/>
      <c r="G20" s="12">
        <v>0</v>
      </c>
      <c r="H20" s="11"/>
      <c r="I20" s="11" t="s">
        <v>40</v>
      </c>
      <c r="J20" s="11"/>
      <c r="K20" s="11"/>
      <c r="L20" s="11">
        <f t="shared" si="2"/>
        <v>0</v>
      </c>
      <c r="M20" s="11">
        <f t="shared" si="3"/>
        <v>0</v>
      </c>
      <c r="N20" s="11"/>
      <c r="O20" s="11"/>
      <c r="P20" s="11"/>
      <c r="Q20" s="11"/>
      <c r="R20" s="11"/>
      <c r="S20" s="11">
        <v>0</v>
      </c>
      <c r="T20" s="11"/>
      <c r="U20" s="11"/>
      <c r="V20" s="11">
        <f t="shared" si="4"/>
        <v>0</v>
      </c>
      <c r="W20" s="13"/>
      <c r="X20" s="11" t="e">
        <f t="shared" si="5"/>
        <v>#DIV/0!</v>
      </c>
      <c r="Y20" s="11" t="e">
        <f t="shared" si="6"/>
        <v>#DIV/0!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 t="s">
        <v>63</v>
      </c>
      <c r="AI20" s="11"/>
      <c r="AJ20" s="1"/>
      <c r="AK20" s="1"/>
      <c r="AL20" s="1"/>
      <c r="AM20" s="1"/>
      <c r="AN20" s="1"/>
      <c r="AO20" s="1"/>
      <c r="AP20" s="1"/>
      <c r="AQ20" s="1"/>
    </row>
    <row r="21" spans="1:43" x14ac:dyDescent="0.25">
      <c r="A21" s="1" t="s">
        <v>64</v>
      </c>
      <c r="B21" s="1" t="s">
        <v>39</v>
      </c>
      <c r="C21" s="1">
        <v>11.16</v>
      </c>
      <c r="D21" s="1"/>
      <c r="E21" s="1">
        <v>4.6109999999999998</v>
      </c>
      <c r="F21" s="1">
        <v>6.5490000000000004</v>
      </c>
      <c r="G21" s="7">
        <v>1</v>
      </c>
      <c r="H21" s="1">
        <v>180</v>
      </c>
      <c r="I21" s="1" t="s">
        <v>40</v>
      </c>
      <c r="J21" s="1"/>
      <c r="K21" s="1">
        <v>5.2679999999999998</v>
      </c>
      <c r="L21" s="1">
        <f t="shared" si="2"/>
        <v>-0.65700000000000003</v>
      </c>
      <c r="M21" s="1">
        <f t="shared" si="3"/>
        <v>4.6109999999999998</v>
      </c>
      <c r="N21" s="1"/>
      <c r="O21" s="1">
        <v>4</v>
      </c>
      <c r="P21" s="1"/>
      <c r="Q21" s="1"/>
      <c r="R21" s="1"/>
      <c r="S21" s="1">
        <v>5.2369999999999992</v>
      </c>
      <c r="T21" s="1"/>
      <c r="U21" s="1"/>
      <c r="V21" s="1">
        <f t="shared" si="4"/>
        <v>0.92219999999999991</v>
      </c>
      <c r="W21" s="5"/>
      <c r="X21" s="1">
        <f t="shared" si="5"/>
        <v>17.11776187378009</v>
      </c>
      <c r="Y21" s="1">
        <f t="shared" si="6"/>
        <v>17.11776187378009</v>
      </c>
      <c r="Z21" s="1">
        <v>1.4359999999999999</v>
      </c>
      <c r="AA21" s="1">
        <v>1.0902000000000001</v>
      </c>
      <c r="AB21" s="1">
        <v>0.64900000000000002</v>
      </c>
      <c r="AC21" s="1">
        <v>0.70140000000000002</v>
      </c>
      <c r="AD21" s="1">
        <v>0.75480000000000003</v>
      </c>
      <c r="AE21" s="1">
        <v>0.4748</v>
      </c>
      <c r="AF21" s="1">
        <v>0.88339999999999996</v>
      </c>
      <c r="AG21" s="1">
        <v>0.88339999999999996</v>
      </c>
      <c r="AH21" s="1"/>
      <c r="AI21" s="1">
        <f>G21*W21</f>
        <v>0</v>
      </c>
      <c r="AJ21" s="1"/>
      <c r="AK21" s="1"/>
      <c r="AL21" s="1"/>
      <c r="AM21" s="1"/>
      <c r="AN21" s="1"/>
      <c r="AO21" s="1"/>
      <c r="AP21" s="1"/>
      <c r="AQ21" s="1"/>
    </row>
    <row r="22" spans="1:43" x14ac:dyDescent="0.25">
      <c r="A22" s="1" t="s">
        <v>65</v>
      </c>
      <c r="B22" s="1" t="s">
        <v>39</v>
      </c>
      <c r="C22" s="1">
        <v>4659.7749999999996</v>
      </c>
      <c r="D22" s="1">
        <v>4402.2420000000002</v>
      </c>
      <c r="E22" s="1">
        <v>4493.1880000000001</v>
      </c>
      <c r="F22" s="1">
        <v>3862.8139999999999</v>
      </c>
      <c r="G22" s="7">
        <v>1</v>
      </c>
      <c r="H22" s="1">
        <v>60</v>
      </c>
      <c r="I22" s="1" t="s">
        <v>40</v>
      </c>
      <c r="J22" s="1"/>
      <c r="K22" s="1">
        <v>4397.0460000000003</v>
      </c>
      <c r="L22" s="1">
        <f t="shared" si="2"/>
        <v>96.141999999999825</v>
      </c>
      <c r="M22" s="1">
        <f t="shared" si="3"/>
        <v>4022.1620000000003</v>
      </c>
      <c r="N22" s="1">
        <v>471.02600000000001</v>
      </c>
      <c r="O22" s="1">
        <v>1773.07083304</v>
      </c>
      <c r="P22" s="1"/>
      <c r="Q22" s="1"/>
      <c r="R22" s="1"/>
      <c r="S22" s="1">
        <v>1585.210966959999</v>
      </c>
      <c r="T22" s="1"/>
      <c r="U22" s="1"/>
      <c r="V22" s="1">
        <f t="shared" si="4"/>
        <v>804.43240000000003</v>
      </c>
      <c r="W22" s="5">
        <f t="shared" ref="W22" si="10">11*V22-U22-T22-S22-R22-Q22-P22-O22-F22</f>
        <v>1627.6606000000006</v>
      </c>
      <c r="X22" s="1">
        <f t="shared" si="5"/>
        <v>11</v>
      </c>
      <c r="Y22" s="1">
        <f t="shared" si="6"/>
        <v>8.9766347054146483</v>
      </c>
      <c r="Z22" s="1">
        <v>875.02719999999988</v>
      </c>
      <c r="AA22" s="1">
        <v>948.69040000000007</v>
      </c>
      <c r="AB22" s="1">
        <v>609.16740000000004</v>
      </c>
      <c r="AC22" s="1">
        <v>570.25739999999996</v>
      </c>
      <c r="AD22" s="1">
        <v>752.91139999999996</v>
      </c>
      <c r="AE22" s="1">
        <v>757.01940000000002</v>
      </c>
      <c r="AF22" s="1">
        <v>1194.5776000000001</v>
      </c>
      <c r="AG22" s="1">
        <v>1235.5082</v>
      </c>
      <c r="AH22" s="1"/>
      <c r="AI22" s="1">
        <f>G22*W22</f>
        <v>1627.6606000000006</v>
      </c>
      <c r="AJ22" s="1"/>
      <c r="AK22" s="1"/>
      <c r="AL22" s="1"/>
      <c r="AM22" s="1"/>
      <c r="AN22" s="1"/>
      <c r="AO22" s="1"/>
      <c r="AP22" s="1"/>
      <c r="AQ22" s="1"/>
    </row>
    <row r="23" spans="1:43" x14ac:dyDescent="0.25">
      <c r="A23" s="11" t="s">
        <v>66</v>
      </c>
      <c r="B23" s="11" t="s">
        <v>39</v>
      </c>
      <c r="C23" s="11">
        <v>-14.984</v>
      </c>
      <c r="D23" s="11"/>
      <c r="E23" s="11"/>
      <c r="F23" s="14">
        <v>-14.984</v>
      </c>
      <c r="G23" s="12">
        <v>0</v>
      </c>
      <c r="H23" s="11"/>
      <c r="I23" s="11" t="s">
        <v>54</v>
      </c>
      <c r="J23" s="11" t="s">
        <v>67</v>
      </c>
      <c r="K23" s="11"/>
      <c r="L23" s="11">
        <f t="shared" si="2"/>
        <v>0</v>
      </c>
      <c r="M23" s="11">
        <f t="shared" si="3"/>
        <v>0</v>
      </c>
      <c r="N23" s="11"/>
      <c r="O23" s="11"/>
      <c r="P23" s="11"/>
      <c r="Q23" s="11"/>
      <c r="R23" s="11"/>
      <c r="S23" s="11">
        <v>0</v>
      </c>
      <c r="T23" s="11"/>
      <c r="U23" s="11"/>
      <c r="V23" s="11">
        <f t="shared" si="4"/>
        <v>0</v>
      </c>
      <c r="W23" s="13"/>
      <c r="X23" s="11" t="e">
        <f t="shared" si="5"/>
        <v>#DIV/0!</v>
      </c>
      <c r="Y23" s="11" t="e">
        <f t="shared" si="6"/>
        <v>#DIV/0!</v>
      </c>
      <c r="Z23" s="11">
        <v>0.50419999999999998</v>
      </c>
      <c r="AA23" s="11">
        <v>0.50419999999999998</v>
      </c>
      <c r="AB23" s="11">
        <v>0</v>
      </c>
      <c r="AC23" s="11">
        <v>0</v>
      </c>
      <c r="AD23" s="11">
        <v>0</v>
      </c>
      <c r="AE23" s="11">
        <v>0</v>
      </c>
      <c r="AF23" s="11">
        <v>0.99399999999999999</v>
      </c>
      <c r="AG23" s="11">
        <v>0.99399999999999999</v>
      </c>
      <c r="AH23" s="11"/>
      <c r="AI23" s="11"/>
      <c r="AJ23" s="1"/>
      <c r="AK23" s="1"/>
      <c r="AL23" s="1"/>
      <c r="AM23" s="1"/>
      <c r="AN23" s="1"/>
      <c r="AO23" s="1"/>
      <c r="AP23" s="1"/>
      <c r="AQ23" s="1"/>
    </row>
    <row r="24" spans="1:43" x14ac:dyDescent="0.25">
      <c r="A24" s="1" t="s">
        <v>68</v>
      </c>
      <c r="B24" s="1" t="s">
        <v>39</v>
      </c>
      <c r="C24" s="1">
        <v>718.72799999999995</v>
      </c>
      <c r="D24" s="1">
        <v>259.04300000000001</v>
      </c>
      <c r="E24" s="1">
        <v>395.23899999999998</v>
      </c>
      <c r="F24" s="1">
        <v>429.19</v>
      </c>
      <c r="G24" s="7">
        <v>1</v>
      </c>
      <c r="H24" s="1">
        <v>70</v>
      </c>
      <c r="I24" s="1" t="s">
        <v>40</v>
      </c>
      <c r="J24" s="1"/>
      <c r="K24" s="1">
        <v>514.48</v>
      </c>
      <c r="L24" s="1">
        <f t="shared" si="2"/>
        <v>-119.24100000000004</v>
      </c>
      <c r="M24" s="1">
        <f t="shared" si="3"/>
        <v>258.05899999999997</v>
      </c>
      <c r="N24" s="1">
        <v>137.18</v>
      </c>
      <c r="O24" s="1">
        <v>181.75530470000001</v>
      </c>
      <c r="P24" s="1"/>
      <c r="Q24" s="1"/>
      <c r="R24" s="1"/>
      <c r="S24" s="1">
        <v>450</v>
      </c>
      <c r="T24" s="1"/>
      <c r="U24" s="1"/>
      <c r="V24" s="1">
        <f t="shared" si="4"/>
        <v>51.611799999999995</v>
      </c>
      <c r="W24" s="5"/>
      <c r="X24" s="1">
        <f t="shared" si="5"/>
        <v>20.556254668506039</v>
      </c>
      <c r="Y24" s="1">
        <f t="shared" si="6"/>
        <v>20.556254668506039</v>
      </c>
      <c r="Z24" s="1">
        <v>86.94680000000001</v>
      </c>
      <c r="AA24" s="1">
        <v>92.600200000000001</v>
      </c>
      <c r="AB24" s="1">
        <v>51.805600000000013</v>
      </c>
      <c r="AC24" s="1">
        <v>47.665999999999997</v>
      </c>
      <c r="AD24" s="1">
        <v>84.481799999999993</v>
      </c>
      <c r="AE24" s="1">
        <v>134.7364</v>
      </c>
      <c r="AF24" s="1">
        <v>21.680199999999999</v>
      </c>
      <c r="AG24" s="1">
        <v>72.813199999999995</v>
      </c>
      <c r="AH24" s="15" t="s">
        <v>140</v>
      </c>
      <c r="AI24" s="1">
        <f>G24*W24</f>
        <v>0</v>
      </c>
      <c r="AJ24" s="1"/>
      <c r="AK24" s="1"/>
      <c r="AL24" s="1"/>
      <c r="AM24" s="1"/>
      <c r="AN24" s="1"/>
      <c r="AO24" s="1"/>
      <c r="AP24" s="1"/>
      <c r="AQ24" s="1"/>
    </row>
    <row r="25" spans="1:43" x14ac:dyDescent="0.25">
      <c r="A25" s="1" t="s">
        <v>69</v>
      </c>
      <c r="B25" s="1" t="s">
        <v>39</v>
      </c>
      <c r="C25" s="1">
        <v>901.62599999999998</v>
      </c>
      <c r="D25" s="1">
        <v>2460.7849999999999</v>
      </c>
      <c r="E25" s="1">
        <v>1429.5509999999999</v>
      </c>
      <c r="F25" s="1">
        <v>1613.91</v>
      </c>
      <c r="G25" s="7">
        <v>1</v>
      </c>
      <c r="H25" s="1">
        <v>70</v>
      </c>
      <c r="I25" s="10" t="s">
        <v>51</v>
      </c>
      <c r="J25" s="1"/>
      <c r="K25" s="1">
        <v>1410.809</v>
      </c>
      <c r="L25" s="1">
        <f t="shared" si="2"/>
        <v>18.741999999999962</v>
      </c>
      <c r="M25" s="1">
        <f t="shared" si="3"/>
        <v>1429.5509999999999</v>
      </c>
      <c r="N25" s="1"/>
      <c r="O25" s="1">
        <v>330.61149999999998</v>
      </c>
      <c r="P25" s="1"/>
      <c r="Q25" s="1"/>
      <c r="R25" s="1"/>
      <c r="S25" s="1">
        <v>251.24089999999981</v>
      </c>
      <c r="T25" s="1"/>
      <c r="U25" s="1"/>
      <c r="V25" s="1">
        <f t="shared" si="4"/>
        <v>285.91019999999997</v>
      </c>
      <c r="W25" s="5">
        <f t="shared" ref="W25" si="11">11*V25-U25-T25-S25-R25-Q25-P25-O25-F25</f>
        <v>949.24979999999982</v>
      </c>
      <c r="X25" s="1">
        <f t="shared" si="5"/>
        <v>11.000000000000002</v>
      </c>
      <c r="Y25" s="1">
        <f t="shared" si="6"/>
        <v>7.6799022909990633</v>
      </c>
      <c r="Z25" s="1">
        <v>266.63159999999999</v>
      </c>
      <c r="AA25" s="1">
        <v>281.76</v>
      </c>
      <c r="AB25" s="1">
        <v>176.75880000000001</v>
      </c>
      <c r="AC25" s="1">
        <v>148.90860000000001</v>
      </c>
      <c r="AD25" s="1">
        <v>205.9836</v>
      </c>
      <c r="AE25" s="1">
        <v>205.86320000000001</v>
      </c>
      <c r="AF25" s="1">
        <v>212.68279999999999</v>
      </c>
      <c r="AG25" s="1">
        <v>230.36799999999999</v>
      </c>
      <c r="AH25" s="1" t="s">
        <v>42</v>
      </c>
      <c r="AI25" s="1">
        <f>G25*W25</f>
        <v>949.24979999999982</v>
      </c>
      <c r="AJ25" s="1"/>
      <c r="AK25" s="1"/>
      <c r="AL25" s="1"/>
      <c r="AM25" s="1"/>
      <c r="AN25" s="1"/>
      <c r="AO25" s="1"/>
      <c r="AP25" s="1"/>
      <c r="AQ25" s="1"/>
    </row>
    <row r="26" spans="1:43" x14ac:dyDescent="0.25">
      <c r="A26" s="11" t="s">
        <v>70</v>
      </c>
      <c r="B26" s="11" t="s">
        <v>39</v>
      </c>
      <c r="C26" s="11"/>
      <c r="D26" s="11"/>
      <c r="E26" s="11"/>
      <c r="F26" s="11"/>
      <c r="G26" s="12">
        <v>0</v>
      </c>
      <c r="H26" s="11"/>
      <c r="I26" s="11" t="s">
        <v>40</v>
      </c>
      <c r="J26" s="11"/>
      <c r="K26" s="11">
        <v>1</v>
      </c>
      <c r="L26" s="11">
        <f t="shared" si="2"/>
        <v>-1</v>
      </c>
      <c r="M26" s="11">
        <f t="shared" si="3"/>
        <v>0</v>
      </c>
      <c r="N26" s="11"/>
      <c r="O26" s="11"/>
      <c r="P26" s="11"/>
      <c r="Q26" s="11"/>
      <c r="R26" s="11"/>
      <c r="S26" s="11">
        <v>0</v>
      </c>
      <c r="T26" s="11"/>
      <c r="U26" s="11"/>
      <c r="V26" s="11">
        <f t="shared" si="4"/>
        <v>0</v>
      </c>
      <c r="W26" s="13"/>
      <c r="X26" s="11" t="e">
        <f t="shared" si="5"/>
        <v>#DIV/0!</v>
      </c>
      <c r="Y26" s="11" t="e">
        <f t="shared" si="6"/>
        <v>#DIV/0!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 t="s">
        <v>63</v>
      </c>
      <c r="AI26" s="11"/>
      <c r="AJ26" s="1"/>
      <c r="AK26" s="1"/>
      <c r="AL26" s="1"/>
      <c r="AM26" s="1"/>
      <c r="AN26" s="1"/>
      <c r="AO26" s="1"/>
      <c r="AP26" s="1"/>
      <c r="AQ26" s="1"/>
    </row>
    <row r="27" spans="1:43" x14ac:dyDescent="0.25">
      <c r="A27" s="1" t="s">
        <v>71</v>
      </c>
      <c r="B27" s="1" t="s">
        <v>39</v>
      </c>
      <c r="C27" s="1">
        <v>2101.8240000000001</v>
      </c>
      <c r="D27" s="1">
        <v>3831.625</v>
      </c>
      <c r="E27" s="1">
        <v>2685.797</v>
      </c>
      <c r="F27" s="1">
        <v>2476.3200000000002</v>
      </c>
      <c r="G27" s="7">
        <v>1</v>
      </c>
      <c r="H27" s="1">
        <v>70</v>
      </c>
      <c r="I27" s="10" t="s">
        <v>51</v>
      </c>
      <c r="J27" s="1"/>
      <c r="K27" s="1">
        <v>2604.6959999999999</v>
      </c>
      <c r="L27" s="1">
        <f t="shared" si="2"/>
        <v>81.101000000000113</v>
      </c>
      <c r="M27" s="1">
        <f t="shared" si="3"/>
        <v>2685.797</v>
      </c>
      <c r="N27" s="1"/>
      <c r="O27" s="1">
        <v>500</v>
      </c>
      <c r="P27" s="1"/>
      <c r="Q27" s="1"/>
      <c r="R27" s="1"/>
      <c r="S27" s="1">
        <v>643.23040000000037</v>
      </c>
      <c r="T27" s="1"/>
      <c r="U27" s="1"/>
      <c r="V27" s="1">
        <f t="shared" si="4"/>
        <v>537.15940000000001</v>
      </c>
      <c r="W27" s="5">
        <f t="shared" ref="W27" si="12">11*V27-U27-T27-S27-R27-Q27-P27-O27-F27</f>
        <v>2289.2029999999991</v>
      </c>
      <c r="X27" s="1">
        <f t="shared" si="5"/>
        <v>11</v>
      </c>
      <c r="Y27" s="1">
        <f t="shared" si="6"/>
        <v>6.7383171550195353</v>
      </c>
      <c r="Z27" s="1">
        <v>473.22160000000002</v>
      </c>
      <c r="AA27" s="1">
        <v>516.05320000000006</v>
      </c>
      <c r="AB27" s="1">
        <v>310.26479999999998</v>
      </c>
      <c r="AC27" s="1">
        <v>281.95979999999997</v>
      </c>
      <c r="AD27" s="1">
        <v>381.11340000000001</v>
      </c>
      <c r="AE27" s="1">
        <v>357.56240000000003</v>
      </c>
      <c r="AF27" s="1">
        <v>356.4468</v>
      </c>
      <c r="AG27" s="1">
        <v>377.3442</v>
      </c>
      <c r="AH27" s="1" t="s">
        <v>42</v>
      </c>
      <c r="AI27" s="1">
        <f>G27*W27</f>
        <v>2289.2029999999991</v>
      </c>
      <c r="AJ27" s="1"/>
      <c r="AK27" s="1"/>
      <c r="AL27" s="1"/>
      <c r="AM27" s="1"/>
      <c r="AN27" s="1"/>
      <c r="AO27" s="1"/>
      <c r="AP27" s="1"/>
      <c r="AQ27" s="1"/>
    </row>
    <row r="28" spans="1:43" x14ac:dyDescent="0.25">
      <c r="A28" s="1" t="s">
        <v>72</v>
      </c>
      <c r="B28" s="1" t="s">
        <v>39</v>
      </c>
      <c r="C28" s="1">
        <v>42.935000000000002</v>
      </c>
      <c r="D28" s="1">
        <v>0.73099999999999998</v>
      </c>
      <c r="E28" s="1">
        <v>8.0050000000000008</v>
      </c>
      <c r="F28" s="1">
        <v>32.738999999999997</v>
      </c>
      <c r="G28" s="7">
        <v>1</v>
      </c>
      <c r="H28" s="1">
        <v>40</v>
      </c>
      <c r="I28" s="10" t="s">
        <v>51</v>
      </c>
      <c r="J28" s="1"/>
      <c r="K28" s="1">
        <v>25.6</v>
      </c>
      <c r="L28" s="1">
        <f t="shared" si="2"/>
        <v>-17.594999999999999</v>
      </c>
      <c r="M28" s="1">
        <f t="shared" si="3"/>
        <v>8.0050000000000008</v>
      </c>
      <c r="N28" s="1"/>
      <c r="O28" s="1">
        <v>0</v>
      </c>
      <c r="P28" s="1"/>
      <c r="Q28" s="1"/>
      <c r="R28" s="1"/>
      <c r="S28" s="1">
        <v>16.709499999999998</v>
      </c>
      <c r="T28" s="1"/>
      <c r="U28" s="1"/>
      <c r="V28" s="1">
        <f t="shared" si="4"/>
        <v>1.6010000000000002</v>
      </c>
      <c r="W28" s="5"/>
      <c r="X28" s="1">
        <f t="shared" si="5"/>
        <v>30.88600874453466</v>
      </c>
      <c r="Y28" s="1">
        <f t="shared" si="6"/>
        <v>30.88600874453466</v>
      </c>
      <c r="Z28" s="1">
        <v>4.3630000000000004</v>
      </c>
      <c r="AA28" s="1">
        <v>3.4885999999999999</v>
      </c>
      <c r="AB28" s="1">
        <v>2.0396000000000001</v>
      </c>
      <c r="AC28" s="1">
        <v>1.6052</v>
      </c>
      <c r="AD28" s="1">
        <v>2.1873999999999998</v>
      </c>
      <c r="AE28" s="1">
        <v>2.1844000000000001</v>
      </c>
      <c r="AF28" s="1">
        <v>1.3022</v>
      </c>
      <c r="AG28" s="1">
        <v>1.3022</v>
      </c>
      <c r="AH28" s="15" t="s">
        <v>140</v>
      </c>
      <c r="AI28" s="1">
        <f>G28*W28</f>
        <v>0</v>
      </c>
      <c r="AJ28" s="1"/>
      <c r="AK28" s="1"/>
      <c r="AL28" s="1"/>
      <c r="AM28" s="1"/>
      <c r="AN28" s="1"/>
      <c r="AO28" s="1"/>
      <c r="AP28" s="1"/>
      <c r="AQ28" s="1"/>
    </row>
    <row r="29" spans="1:43" x14ac:dyDescent="0.25">
      <c r="A29" s="11" t="s">
        <v>73</v>
      </c>
      <c r="B29" s="11" t="s">
        <v>39</v>
      </c>
      <c r="C29" s="11">
        <v>-1.6950000000000001</v>
      </c>
      <c r="D29" s="11"/>
      <c r="E29" s="11"/>
      <c r="F29" s="11">
        <v>-1.6950000000000001</v>
      </c>
      <c r="G29" s="12">
        <v>0</v>
      </c>
      <c r="H29" s="11"/>
      <c r="I29" s="11" t="s">
        <v>54</v>
      </c>
      <c r="J29" s="11"/>
      <c r="K29" s="11"/>
      <c r="L29" s="11">
        <f t="shared" si="2"/>
        <v>0</v>
      </c>
      <c r="M29" s="11">
        <f t="shared" si="3"/>
        <v>0</v>
      </c>
      <c r="N29" s="11"/>
      <c r="O29" s="11"/>
      <c r="P29" s="11"/>
      <c r="Q29" s="11"/>
      <c r="R29" s="11"/>
      <c r="S29" s="11">
        <v>0</v>
      </c>
      <c r="T29" s="11"/>
      <c r="U29" s="11"/>
      <c r="V29" s="11">
        <f t="shared" si="4"/>
        <v>0</v>
      </c>
      <c r="W29" s="13"/>
      <c r="X29" s="11" t="e">
        <f t="shared" si="5"/>
        <v>#DIV/0!</v>
      </c>
      <c r="Y29" s="11" t="e">
        <f t="shared" si="6"/>
        <v>#DIV/0!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0.33900000000000002</v>
      </c>
      <c r="AF29" s="11">
        <v>0</v>
      </c>
      <c r="AG29" s="11">
        <v>0</v>
      </c>
      <c r="AH29" s="11"/>
      <c r="AI29" s="11"/>
      <c r="AJ29" s="1"/>
      <c r="AK29" s="1"/>
      <c r="AL29" s="1"/>
      <c r="AM29" s="1"/>
      <c r="AN29" s="1"/>
      <c r="AO29" s="1"/>
      <c r="AP29" s="1"/>
      <c r="AQ29" s="1"/>
    </row>
    <row r="30" spans="1:43" x14ac:dyDescent="0.25">
      <c r="A30" s="11" t="s">
        <v>74</v>
      </c>
      <c r="B30" s="11" t="s">
        <v>39</v>
      </c>
      <c r="C30" s="11"/>
      <c r="D30" s="11"/>
      <c r="E30" s="11"/>
      <c r="F30" s="11"/>
      <c r="G30" s="12">
        <v>0</v>
      </c>
      <c r="H30" s="11"/>
      <c r="I30" s="11" t="s">
        <v>40</v>
      </c>
      <c r="J30" s="11"/>
      <c r="K30" s="11"/>
      <c r="L30" s="11">
        <f t="shared" si="2"/>
        <v>0</v>
      </c>
      <c r="M30" s="11">
        <f t="shared" si="3"/>
        <v>0</v>
      </c>
      <c r="N30" s="11"/>
      <c r="O30" s="11"/>
      <c r="P30" s="11"/>
      <c r="Q30" s="11"/>
      <c r="R30" s="11"/>
      <c r="S30" s="11">
        <v>0</v>
      </c>
      <c r="T30" s="11"/>
      <c r="U30" s="11"/>
      <c r="V30" s="11">
        <f t="shared" si="4"/>
        <v>0</v>
      </c>
      <c r="W30" s="13"/>
      <c r="X30" s="11" t="e">
        <f t="shared" si="5"/>
        <v>#DIV/0!</v>
      </c>
      <c r="Y30" s="11" t="e">
        <f t="shared" si="6"/>
        <v>#DIV/0!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 t="s">
        <v>63</v>
      </c>
      <c r="AI30" s="11"/>
      <c r="AJ30" s="1"/>
      <c r="AK30" s="1"/>
      <c r="AL30" s="1"/>
      <c r="AM30" s="1"/>
      <c r="AN30" s="1"/>
      <c r="AO30" s="1"/>
      <c r="AP30" s="1"/>
      <c r="AQ30" s="1"/>
    </row>
    <row r="31" spans="1:43" x14ac:dyDescent="0.25">
      <c r="A31" s="11" t="s">
        <v>75</v>
      </c>
      <c r="B31" s="11" t="s">
        <v>39</v>
      </c>
      <c r="C31" s="11"/>
      <c r="D31" s="11"/>
      <c r="E31" s="11"/>
      <c r="F31" s="11"/>
      <c r="G31" s="12">
        <v>0</v>
      </c>
      <c r="H31" s="11"/>
      <c r="I31" s="11" t="s">
        <v>40</v>
      </c>
      <c r="J31" s="11"/>
      <c r="K31" s="11"/>
      <c r="L31" s="11">
        <f t="shared" si="2"/>
        <v>0</v>
      </c>
      <c r="M31" s="11">
        <f t="shared" si="3"/>
        <v>0</v>
      </c>
      <c r="N31" s="11"/>
      <c r="O31" s="11"/>
      <c r="P31" s="11"/>
      <c r="Q31" s="11"/>
      <c r="R31" s="11"/>
      <c r="S31" s="11">
        <v>0</v>
      </c>
      <c r="T31" s="11"/>
      <c r="U31" s="11"/>
      <c r="V31" s="11">
        <f t="shared" si="4"/>
        <v>0</v>
      </c>
      <c r="W31" s="13"/>
      <c r="X31" s="11" t="e">
        <f t="shared" si="5"/>
        <v>#DIV/0!</v>
      </c>
      <c r="Y31" s="11" t="e">
        <f t="shared" si="6"/>
        <v>#DIV/0!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 t="s">
        <v>63</v>
      </c>
      <c r="AI31" s="11"/>
      <c r="AJ31" s="1"/>
      <c r="AK31" s="1"/>
      <c r="AL31" s="1"/>
      <c r="AM31" s="1"/>
      <c r="AN31" s="1"/>
      <c r="AO31" s="1"/>
      <c r="AP31" s="1"/>
      <c r="AQ31" s="1"/>
    </row>
    <row r="32" spans="1:43" x14ac:dyDescent="0.25">
      <c r="A32" s="1" t="s">
        <v>76</v>
      </c>
      <c r="B32" s="1" t="s">
        <v>39</v>
      </c>
      <c r="C32" s="1">
        <v>1499.249</v>
      </c>
      <c r="D32" s="1">
        <v>1448.682</v>
      </c>
      <c r="E32" s="1">
        <v>1485.627</v>
      </c>
      <c r="F32" s="1">
        <v>1041.643</v>
      </c>
      <c r="G32" s="7">
        <v>1</v>
      </c>
      <c r="H32" s="1">
        <v>30</v>
      </c>
      <c r="I32" s="10" t="s">
        <v>51</v>
      </c>
      <c r="J32" s="1"/>
      <c r="K32" s="1">
        <v>1537.981</v>
      </c>
      <c r="L32" s="1">
        <f t="shared" si="2"/>
        <v>-52.354000000000042</v>
      </c>
      <c r="M32" s="1">
        <f t="shared" si="3"/>
        <v>1158.2929999999999</v>
      </c>
      <c r="N32" s="1">
        <v>327.334</v>
      </c>
      <c r="O32" s="1">
        <v>500</v>
      </c>
      <c r="P32" s="1"/>
      <c r="Q32" s="1"/>
      <c r="R32" s="1"/>
      <c r="S32" s="1">
        <v>0</v>
      </c>
      <c r="T32" s="1"/>
      <c r="U32" s="1"/>
      <c r="V32" s="1">
        <f t="shared" si="4"/>
        <v>231.65859999999998</v>
      </c>
      <c r="W32" s="5">
        <f>11*V32-U32-T32-S32-R32-Q32-P32-O32-F32</f>
        <v>1006.6016</v>
      </c>
      <c r="X32" s="1">
        <f t="shared" si="5"/>
        <v>11.000000000000002</v>
      </c>
      <c r="Y32" s="1">
        <f t="shared" si="6"/>
        <v>6.6548058220156738</v>
      </c>
      <c r="Z32" s="1">
        <v>235.7996</v>
      </c>
      <c r="AA32" s="1">
        <v>278.0154</v>
      </c>
      <c r="AB32" s="1">
        <v>227.65520000000001</v>
      </c>
      <c r="AC32" s="1">
        <v>207.39060000000001</v>
      </c>
      <c r="AD32" s="1">
        <v>290.8818</v>
      </c>
      <c r="AE32" s="1">
        <v>248.68559999999999</v>
      </c>
      <c r="AF32" s="1">
        <v>440.64760000000001</v>
      </c>
      <c r="AG32" s="1">
        <v>365.18979999999999</v>
      </c>
      <c r="AH32" s="1" t="s">
        <v>48</v>
      </c>
      <c r="AI32" s="1">
        <f>G32*W32</f>
        <v>1006.6016</v>
      </c>
      <c r="AJ32" s="1"/>
      <c r="AK32" s="1"/>
      <c r="AL32" s="1"/>
      <c r="AM32" s="1"/>
      <c r="AN32" s="1"/>
      <c r="AO32" s="1"/>
      <c r="AP32" s="1"/>
      <c r="AQ32" s="1"/>
    </row>
    <row r="33" spans="1:43" x14ac:dyDescent="0.25">
      <c r="A33" s="11" t="s">
        <v>77</v>
      </c>
      <c r="B33" s="11" t="s">
        <v>39</v>
      </c>
      <c r="C33" s="11">
        <v>-0.23</v>
      </c>
      <c r="D33" s="11"/>
      <c r="E33" s="11"/>
      <c r="F33" s="11">
        <v>-0.23</v>
      </c>
      <c r="G33" s="12">
        <v>0</v>
      </c>
      <c r="H33" s="11">
        <v>40</v>
      </c>
      <c r="I33" s="11" t="s">
        <v>54</v>
      </c>
      <c r="J33" s="11"/>
      <c r="K33" s="11">
        <v>25</v>
      </c>
      <c r="L33" s="11">
        <f t="shared" si="2"/>
        <v>-25</v>
      </c>
      <c r="M33" s="11">
        <f t="shared" si="3"/>
        <v>0</v>
      </c>
      <c r="N33" s="11"/>
      <c r="O33" s="11"/>
      <c r="P33" s="11"/>
      <c r="Q33" s="11"/>
      <c r="R33" s="11"/>
      <c r="S33" s="11">
        <v>0</v>
      </c>
      <c r="T33" s="11"/>
      <c r="U33" s="11"/>
      <c r="V33" s="11">
        <f t="shared" si="4"/>
        <v>0</v>
      </c>
      <c r="W33" s="13"/>
      <c r="X33" s="11" t="e">
        <f t="shared" si="5"/>
        <v>#DIV/0!</v>
      </c>
      <c r="Y33" s="11" t="e">
        <f t="shared" si="6"/>
        <v>#DIV/0!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/>
      <c r="AI33" s="11"/>
      <c r="AJ33" s="1"/>
      <c r="AK33" s="1"/>
      <c r="AL33" s="1"/>
      <c r="AM33" s="1"/>
      <c r="AN33" s="1"/>
      <c r="AO33" s="1"/>
      <c r="AP33" s="1"/>
      <c r="AQ33" s="1"/>
    </row>
    <row r="34" spans="1:43" x14ac:dyDescent="0.25">
      <c r="A34" s="1" t="s">
        <v>78</v>
      </c>
      <c r="B34" s="1" t="s">
        <v>39</v>
      </c>
      <c r="C34" s="1">
        <v>223.49299999999999</v>
      </c>
      <c r="D34" s="1">
        <v>3158.0450000000001</v>
      </c>
      <c r="E34" s="1">
        <v>1378.278</v>
      </c>
      <c r="F34" s="1">
        <v>1567.354</v>
      </c>
      <c r="G34" s="7">
        <v>1</v>
      </c>
      <c r="H34" s="1">
        <v>40</v>
      </c>
      <c r="I34" s="10" t="s">
        <v>51</v>
      </c>
      <c r="J34" s="1"/>
      <c r="K34" s="1">
        <v>3203.7649999999999</v>
      </c>
      <c r="L34" s="1">
        <f t="shared" si="2"/>
        <v>-1825.4869999999999</v>
      </c>
      <c r="M34" s="1">
        <f t="shared" si="3"/>
        <v>961.41700000000003</v>
      </c>
      <c r="N34" s="1">
        <v>416.86099999999999</v>
      </c>
      <c r="O34" s="1">
        <v>1500</v>
      </c>
      <c r="P34" s="1"/>
      <c r="Q34" s="1"/>
      <c r="R34" s="1"/>
      <c r="S34" s="1">
        <v>1000</v>
      </c>
      <c r="T34" s="1"/>
      <c r="U34" s="1"/>
      <c r="V34" s="1">
        <f t="shared" si="4"/>
        <v>192.2834</v>
      </c>
      <c r="W34" s="5">
        <v>2300</v>
      </c>
      <c r="X34" s="1">
        <f t="shared" si="5"/>
        <v>33.114423814016185</v>
      </c>
      <c r="Y34" s="1">
        <f t="shared" si="6"/>
        <v>21.15291283594944</v>
      </c>
      <c r="Z34" s="1">
        <v>374.25259999999997</v>
      </c>
      <c r="AA34" s="1">
        <v>576.91759999999999</v>
      </c>
      <c r="AB34" s="1">
        <v>427.83499999999998</v>
      </c>
      <c r="AC34" s="1">
        <v>330.09280000000001</v>
      </c>
      <c r="AD34" s="1">
        <v>221.54920000000001</v>
      </c>
      <c r="AE34" s="1">
        <v>91.550399999999996</v>
      </c>
      <c r="AF34" s="1">
        <v>656.28039999999999</v>
      </c>
      <c r="AG34" s="1">
        <v>656.84399999999994</v>
      </c>
      <c r="AH34" s="1" t="s">
        <v>48</v>
      </c>
      <c r="AI34" s="1">
        <f>G34*W34</f>
        <v>2300</v>
      </c>
      <c r="AJ34" s="1"/>
      <c r="AK34" s="1"/>
      <c r="AL34" s="1"/>
      <c r="AM34" s="1"/>
      <c r="AN34" s="1"/>
      <c r="AO34" s="1"/>
      <c r="AP34" s="1"/>
      <c r="AQ34" s="1"/>
    </row>
    <row r="35" spans="1:43" x14ac:dyDescent="0.25">
      <c r="A35" s="11" t="s">
        <v>79</v>
      </c>
      <c r="B35" s="11" t="s">
        <v>39</v>
      </c>
      <c r="C35" s="11"/>
      <c r="D35" s="11"/>
      <c r="E35" s="11"/>
      <c r="F35" s="11"/>
      <c r="G35" s="12">
        <v>0</v>
      </c>
      <c r="H35" s="11"/>
      <c r="I35" s="11" t="s">
        <v>40</v>
      </c>
      <c r="J35" s="11"/>
      <c r="K35" s="11"/>
      <c r="L35" s="11">
        <f t="shared" si="2"/>
        <v>0</v>
      </c>
      <c r="M35" s="11">
        <f t="shared" si="3"/>
        <v>0</v>
      </c>
      <c r="N35" s="11"/>
      <c r="O35" s="11"/>
      <c r="P35" s="11"/>
      <c r="Q35" s="11"/>
      <c r="R35" s="11"/>
      <c r="S35" s="11">
        <v>0</v>
      </c>
      <c r="T35" s="11"/>
      <c r="U35" s="11"/>
      <c r="V35" s="11">
        <f t="shared" si="4"/>
        <v>0</v>
      </c>
      <c r="W35" s="13"/>
      <c r="X35" s="11" t="e">
        <f t="shared" si="5"/>
        <v>#DIV/0!</v>
      </c>
      <c r="Y35" s="11" t="e">
        <f t="shared" si="6"/>
        <v>#DIV/0!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 t="s">
        <v>63</v>
      </c>
      <c r="AI35" s="11"/>
      <c r="AJ35" s="1"/>
      <c r="AK35" s="1"/>
      <c r="AL35" s="1"/>
      <c r="AM35" s="1"/>
      <c r="AN35" s="1"/>
      <c r="AO35" s="1"/>
      <c r="AP35" s="1"/>
      <c r="AQ35" s="1"/>
    </row>
    <row r="36" spans="1:43" x14ac:dyDescent="0.25">
      <c r="A36" s="11" t="s">
        <v>80</v>
      </c>
      <c r="B36" s="11" t="s">
        <v>39</v>
      </c>
      <c r="C36" s="11"/>
      <c r="D36" s="11"/>
      <c r="E36" s="11"/>
      <c r="F36" s="11"/>
      <c r="G36" s="12">
        <v>0</v>
      </c>
      <c r="H36" s="11"/>
      <c r="I36" s="11" t="s">
        <v>40</v>
      </c>
      <c r="J36" s="11"/>
      <c r="K36" s="11"/>
      <c r="L36" s="11">
        <f t="shared" si="2"/>
        <v>0</v>
      </c>
      <c r="M36" s="11">
        <f t="shared" si="3"/>
        <v>0</v>
      </c>
      <c r="N36" s="11"/>
      <c r="O36" s="11"/>
      <c r="P36" s="11"/>
      <c r="Q36" s="11"/>
      <c r="R36" s="11"/>
      <c r="S36" s="11">
        <v>0</v>
      </c>
      <c r="T36" s="11"/>
      <c r="U36" s="11"/>
      <c r="V36" s="11">
        <f t="shared" si="4"/>
        <v>0</v>
      </c>
      <c r="W36" s="13"/>
      <c r="X36" s="11" t="e">
        <f t="shared" si="5"/>
        <v>#DIV/0!</v>
      </c>
      <c r="Y36" s="11" t="e">
        <f t="shared" si="6"/>
        <v>#DIV/0!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 t="s">
        <v>63</v>
      </c>
      <c r="AI36" s="11"/>
      <c r="AJ36" s="1"/>
      <c r="AK36" s="1"/>
      <c r="AL36" s="1"/>
      <c r="AM36" s="1"/>
      <c r="AN36" s="1"/>
      <c r="AO36" s="1"/>
      <c r="AP36" s="1"/>
      <c r="AQ36" s="1"/>
    </row>
    <row r="37" spans="1:43" x14ac:dyDescent="0.25">
      <c r="A37" s="11" t="s">
        <v>81</v>
      </c>
      <c r="B37" s="11" t="s">
        <v>39</v>
      </c>
      <c r="C37" s="11"/>
      <c r="D37" s="11"/>
      <c r="E37" s="11"/>
      <c r="F37" s="11"/>
      <c r="G37" s="12">
        <v>0</v>
      </c>
      <c r="H37" s="11"/>
      <c r="I37" s="11" t="s">
        <v>40</v>
      </c>
      <c r="J37" s="11"/>
      <c r="K37" s="11"/>
      <c r="L37" s="11">
        <f t="shared" si="2"/>
        <v>0</v>
      </c>
      <c r="M37" s="11">
        <f t="shared" si="3"/>
        <v>0</v>
      </c>
      <c r="N37" s="11"/>
      <c r="O37" s="11"/>
      <c r="P37" s="11"/>
      <c r="Q37" s="11"/>
      <c r="R37" s="11"/>
      <c r="S37" s="11">
        <v>0</v>
      </c>
      <c r="T37" s="11"/>
      <c r="U37" s="11"/>
      <c r="V37" s="11">
        <f t="shared" si="4"/>
        <v>0</v>
      </c>
      <c r="W37" s="13"/>
      <c r="X37" s="11" t="e">
        <f t="shared" si="5"/>
        <v>#DIV/0!</v>
      </c>
      <c r="Y37" s="11" t="e">
        <f t="shared" si="6"/>
        <v>#DIV/0!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 t="s">
        <v>63</v>
      </c>
      <c r="AI37" s="11"/>
      <c r="AJ37" s="1"/>
      <c r="AK37" s="1"/>
      <c r="AL37" s="1"/>
      <c r="AM37" s="1"/>
      <c r="AN37" s="1"/>
      <c r="AO37" s="1"/>
      <c r="AP37" s="1"/>
      <c r="AQ37" s="1"/>
    </row>
    <row r="38" spans="1:43" x14ac:dyDescent="0.25">
      <c r="A38" s="11" t="s">
        <v>82</v>
      </c>
      <c r="B38" s="11" t="s">
        <v>39</v>
      </c>
      <c r="C38" s="11"/>
      <c r="D38" s="11"/>
      <c r="E38" s="11"/>
      <c r="F38" s="11"/>
      <c r="G38" s="12">
        <v>0</v>
      </c>
      <c r="H38" s="11"/>
      <c r="I38" s="11" t="s">
        <v>40</v>
      </c>
      <c r="J38" s="11"/>
      <c r="K38" s="11"/>
      <c r="L38" s="11">
        <f t="shared" ref="L38:L69" si="13">E38-K38</f>
        <v>0</v>
      </c>
      <c r="M38" s="11">
        <f t="shared" ref="M38:M69" si="14">E38-N38</f>
        <v>0</v>
      </c>
      <c r="N38" s="11"/>
      <c r="O38" s="11"/>
      <c r="P38" s="11"/>
      <c r="Q38" s="11"/>
      <c r="R38" s="11"/>
      <c r="S38" s="11">
        <v>0</v>
      </c>
      <c r="T38" s="11"/>
      <c r="U38" s="11"/>
      <c r="V38" s="11">
        <f t="shared" ref="V38:V69" si="15">M38/5</f>
        <v>0</v>
      </c>
      <c r="W38" s="13"/>
      <c r="X38" s="11" t="e">
        <f t="shared" ref="X38:X69" si="16">(F38+O38+P38+Q38+R38+S38+T38+U38+W38)/V38</f>
        <v>#DIV/0!</v>
      </c>
      <c r="Y38" s="11" t="e">
        <f t="shared" ref="Y38:Y69" si="17">(F38+O38+P38+Q38+R38+S38+T38+U38)/V38</f>
        <v>#DIV/0!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 t="s">
        <v>63</v>
      </c>
      <c r="AI38" s="11"/>
      <c r="AJ38" s="1"/>
      <c r="AK38" s="1"/>
      <c r="AL38" s="1"/>
      <c r="AM38" s="1"/>
      <c r="AN38" s="1"/>
      <c r="AO38" s="1"/>
      <c r="AP38" s="1"/>
      <c r="AQ38" s="1"/>
    </row>
    <row r="39" spans="1:43" x14ac:dyDescent="0.25">
      <c r="A39" s="1" t="s">
        <v>83</v>
      </c>
      <c r="B39" s="1" t="s">
        <v>45</v>
      </c>
      <c r="C39" s="1">
        <v>490</v>
      </c>
      <c r="D39" s="1">
        <v>7628</v>
      </c>
      <c r="E39" s="1">
        <v>4425</v>
      </c>
      <c r="F39" s="1">
        <v>3451</v>
      </c>
      <c r="G39" s="7">
        <v>0.4</v>
      </c>
      <c r="H39" s="1">
        <v>45</v>
      </c>
      <c r="I39" s="10" t="s">
        <v>51</v>
      </c>
      <c r="J39" s="1"/>
      <c r="K39" s="1">
        <v>5213</v>
      </c>
      <c r="L39" s="1">
        <f t="shared" si="13"/>
        <v>-788</v>
      </c>
      <c r="M39" s="1">
        <f t="shared" si="14"/>
        <v>4347</v>
      </c>
      <c r="N39" s="1">
        <v>78</v>
      </c>
      <c r="O39" s="1">
        <v>600</v>
      </c>
      <c r="P39" s="1"/>
      <c r="Q39" s="1"/>
      <c r="R39" s="1"/>
      <c r="S39" s="1">
        <v>2000</v>
      </c>
      <c r="T39" s="1"/>
      <c r="U39" s="1"/>
      <c r="V39" s="1">
        <f t="shared" si="15"/>
        <v>869.4</v>
      </c>
      <c r="W39" s="5">
        <f t="shared" ref="W39:W49" si="18">11*V39-U39-T39-S39-R39-Q39-P39-O39-F39</f>
        <v>3512.3999999999996</v>
      </c>
      <c r="X39" s="1">
        <f t="shared" si="16"/>
        <v>11</v>
      </c>
      <c r="Y39" s="1">
        <f t="shared" si="17"/>
        <v>6.9599723947550034</v>
      </c>
      <c r="Z39" s="1">
        <v>631</v>
      </c>
      <c r="AA39" s="1">
        <v>648.4</v>
      </c>
      <c r="AB39" s="1">
        <v>1337.6</v>
      </c>
      <c r="AC39" s="1">
        <v>1183.5999999999999</v>
      </c>
      <c r="AD39" s="1">
        <v>579.79999999999995</v>
      </c>
      <c r="AE39" s="1">
        <v>402.6</v>
      </c>
      <c r="AF39" s="1">
        <v>815</v>
      </c>
      <c r="AG39" s="1">
        <v>779</v>
      </c>
      <c r="AH39" s="1" t="s">
        <v>84</v>
      </c>
      <c r="AI39" s="1">
        <f t="shared" ref="AI39:AI53" si="19">G39*W39</f>
        <v>1404.96</v>
      </c>
      <c r="AJ39" s="1"/>
      <c r="AK39" s="1"/>
      <c r="AL39" s="1"/>
      <c r="AM39" s="1"/>
      <c r="AN39" s="1"/>
      <c r="AO39" s="1"/>
      <c r="AP39" s="1"/>
      <c r="AQ39" s="1"/>
    </row>
    <row r="40" spans="1:43" x14ac:dyDescent="0.25">
      <c r="A40" s="1" t="s">
        <v>85</v>
      </c>
      <c r="B40" s="1" t="s">
        <v>45</v>
      </c>
      <c r="C40" s="1">
        <v>12.11</v>
      </c>
      <c r="D40" s="1">
        <v>1052.6400000000001</v>
      </c>
      <c r="E40" s="1">
        <v>420</v>
      </c>
      <c r="F40" s="1">
        <v>626.75</v>
      </c>
      <c r="G40" s="7">
        <v>0.45</v>
      </c>
      <c r="H40" s="1">
        <v>50</v>
      </c>
      <c r="I40" s="9" t="s">
        <v>86</v>
      </c>
      <c r="J40" s="1"/>
      <c r="K40" s="1">
        <v>1720</v>
      </c>
      <c r="L40" s="1">
        <f t="shared" si="13"/>
        <v>-1300</v>
      </c>
      <c r="M40" s="1">
        <f t="shared" si="14"/>
        <v>420</v>
      </c>
      <c r="N40" s="1"/>
      <c r="O40" s="1">
        <v>424.11755799999997</v>
      </c>
      <c r="P40" s="1"/>
      <c r="Q40" s="1"/>
      <c r="R40" s="1"/>
      <c r="S40" s="1">
        <v>0</v>
      </c>
      <c r="T40" s="1"/>
      <c r="U40" s="1"/>
      <c r="V40" s="1">
        <f t="shared" si="15"/>
        <v>84</v>
      </c>
      <c r="W40" s="5"/>
      <c r="X40" s="1">
        <f t="shared" si="16"/>
        <v>12.510328071428571</v>
      </c>
      <c r="Y40" s="1">
        <f t="shared" si="17"/>
        <v>12.510328071428571</v>
      </c>
      <c r="Z40" s="1">
        <v>83.2</v>
      </c>
      <c r="AA40" s="1">
        <v>183.328</v>
      </c>
      <c r="AB40" s="1">
        <v>310.8</v>
      </c>
      <c r="AC40" s="1">
        <v>224.2</v>
      </c>
      <c r="AD40" s="1">
        <v>94</v>
      </c>
      <c r="AE40" s="1">
        <v>102.6</v>
      </c>
      <c r="AF40" s="1">
        <v>147</v>
      </c>
      <c r="AG40" s="1">
        <v>147.6</v>
      </c>
      <c r="AH40" s="1" t="s">
        <v>87</v>
      </c>
      <c r="AI40" s="1">
        <f t="shared" si="19"/>
        <v>0</v>
      </c>
      <c r="AJ40" s="1"/>
      <c r="AK40" s="1"/>
      <c r="AL40" s="1"/>
      <c r="AM40" s="1"/>
      <c r="AN40" s="1"/>
      <c r="AO40" s="1"/>
      <c r="AP40" s="1"/>
      <c r="AQ40" s="1"/>
    </row>
    <row r="41" spans="1:43" x14ac:dyDescent="0.25">
      <c r="A41" s="1" t="s">
        <v>88</v>
      </c>
      <c r="B41" s="1" t="s">
        <v>45</v>
      </c>
      <c r="C41" s="1">
        <v>14</v>
      </c>
      <c r="D41" s="1">
        <v>1387</v>
      </c>
      <c r="E41" s="1">
        <v>762</v>
      </c>
      <c r="F41" s="1">
        <v>629</v>
      </c>
      <c r="G41" s="7">
        <v>0.4</v>
      </c>
      <c r="H41" s="1">
        <v>45</v>
      </c>
      <c r="I41" s="10" t="s">
        <v>51</v>
      </c>
      <c r="J41" s="1"/>
      <c r="K41" s="1">
        <v>1427</v>
      </c>
      <c r="L41" s="1">
        <f t="shared" si="13"/>
        <v>-665</v>
      </c>
      <c r="M41" s="1">
        <f t="shared" si="14"/>
        <v>762</v>
      </c>
      <c r="N41" s="1"/>
      <c r="O41" s="1">
        <v>300</v>
      </c>
      <c r="P41" s="1"/>
      <c r="Q41" s="1"/>
      <c r="R41" s="1"/>
      <c r="S41" s="1">
        <v>491.39999999999992</v>
      </c>
      <c r="T41" s="1"/>
      <c r="U41" s="1"/>
      <c r="V41" s="1">
        <f t="shared" si="15"/>
        <v>152.4</v>
      </c>
      <c r="W41" s="5">
        <f t="shared" si="18"/>
        <v>256.00000000000023</v>
      </c>
      <c r="X41" s="1">
        <f t="shared" si="16"/>
        <v>11</v>
      </c>
      <c r="Y41" s="1">
        <f t="shared" si="17"/>
        <v>9.3202099737532791</v>
      </c>
      <c r="Z41" s="1">
        <v>151.6</v>
      </c>
      <c r="AA41" s="1">
        <v>137</v>
      </c>
      <c r="AB41" s="1">
        <v>55.2</v>
      </c>
      <c r="AC41" s="1">
        <v>16.600000000000001</v>
      </c>
      <c r="AD41" s="1">
        <v>46.2</v>
      </c>
      <c r="AE41" s="1">
        <v>45.4</v>
      </c>
      <c r="AF41" s="1">
        <v>148.4</v>
      </c>
      <c r="AG41" s="1">
        <v>148.4</v>
      </c>
      <c r="AH41" s="1"/>
      <c r="AI41" s="1">
        <f t="shared" si="19"/>
        <v>102.40000000000009</v>
      </c>
      <c r="AJ41" s="1"/>
      <c r="AK41" s="1"/>
      <c r="AL41" s="1"/>
      <c r="AM41" s="1"/>
      <c r="AN41" s="1"/>
      <c r="AO41" s="1"/>
      <c r="AP41" s="1"/>
      <c r="AQ41" s="1"/>
    </row>
    <row r="42" spans="1:43" x14ac:dyDescent="0.25">
      <c r="A42" s="1" t="s">
        <v>89</v>
      </c>
      <c r="B42" s="1" t="s">
        <v>45</v>
      </c>
      <c r="C42" s="1">
        <v>52</v>
      </c>
      <c r="D42" s="1">
        <v>2</v>
      </c>
      <c r="E42" s="1">
        <v>68</v>
      </c>
      <c r="F42" s="1">
        <v>-16</v>
      </c>
      <c r="G42" s="7">
        <v>0.4</v>
      </c>
      <c r="H42" s="1">
        <v>40</v>
      </c>
      <c r="I42" s="10" t="s">
        <v>51</v>
      </c>
      <c r="J42" s="1"/>
      <c r="K42" s="1">
        <v>843</v>
      </c>
      <c r="L42" s="1">
        <f t="shared" si="13"/>
        <v>-775</v>
      </c>
      <c r="M42" s="1">
        <f t="shared" si="14"/>
        <v>68</v>
      </c>
      <c r="N42" s="1"/>
      <c r="O42" s="1">
        <v>100</v>
      </c>
      <c r="P42" s="1">
        <v>-102</v>
      </c>
      <c r="Q42" s="1"/>
      <c r="R42" s="1"/>
      <c r="S42" s="1">
        <v>200</v>
      </c>
      <c r="T42" s="1">
        <v>-204</v>
      </c>
      <c r="U42" s="1"/>
      <c r="V42" s="1">
        <f t="shared" si="15"/>
        <v>13.6</v>
      </c>
      <c r="W42" s="5">
        <v>100</v>
      </c>
      <c r="X42" s="1">
        <f t="shared" si="16"/>
        <v>5.7352941176470589</v>
      </c>
      <c r="Y42" s="1">
        <f t="shared" si="17"/>
        <v>-1.6176470588235294</v>
      </c>
      <c r="Z42" s="1">
        <v>18.8</v>
      </c>
      <c r="AA42" s="1">
        <v>7.4</v>
      </c>
      <c r="AB42" s="1">
        <v>-0.2</v>
      </c>
      <c r="AC42" s="1">
        <v>-0.2</v>
      </c>
      <c r="AD42" s="1">
        <v>0</v>
      </c>
      <c r="AE42" s="1">
        <v>-0.4</v>
      </c>
      <c r="AF42" s="1">
        <v>2.6</v>
      </c>
      <c r="AG42" s="1">
        <v>2.6</v>
      </c>
      <c r="AH42" s="1"/>
      <c r="AI42" s="1">
        <f t="shared" si="19"/>
        <v>40</v>
      </c>
      <c r="AJ42" s="1"/>
      <c r="AK42" s="1"/>
      <c r="AL42" s="1"/>
      <c r="AM42" s="1"/>
      <c r="AN42" s="1"/>
      <c r="AO42" s="1"/>
      <c r="AP42" s="1"/>
      <c r="AQ42" s="1"/>
    </row>
    <row r="43" spans="1:43" x14ac:dyDescent="0.25">
      <c r="A43" s="1" t="s">
        <v>90</v>
      </c>
      <c r="B43" s="1" t="s">
        <v>39</v>
      </c>
      <c r="C43" s="1">
        <v>139.322</v>
      </c>
      <c r="D43" s="1">
        <v>173.99</v>
      </c>
      <c r="E43" s="1">
        <v>31.611000000000001</v>
      </c>
      <c r="F43" s="1">
        <v>143.012</v>
      </c>
      <c r="G43" s="7">
        <v>1</v>
      </c>
      <c r="H43" s="1"/>
      <c r="I43" s="10" t="s">
        <v>51</v>
      </c>
      <c r="J43" s="1"/>
      <c r="K43" s="1">
        <v>34.5</v>
      </c>
      <c r="L43" s="1">
        <f t="shared" si="13"/>
        <v>-2.8889999999999993</v>
      </c>
      <c r="M43" s="1">
        <f t="shared" si="14"/>
        <v>31.611000000000001</v>
      </c>
      <c r="N43" s="1"/>
      <c r="O43" s="1">
        <v>31.276</v>
      </c>
      <c r="P43" s="1"/>
      <c r="Q43" s="1"/>
      <c r="R43" s="1"/>
      <c r="S43" s="1">
        <v>30</v>
      </c>
      <c r="T43" s="1"/>
      <c r="U43" s="1"/>
      <c r="V43" s="1">
        <f t="shared" si="15"/>
        <v>6.3222000000000005</v>
      </c>
      <c r="W43" s="5"/>
      <c r="X43" s="1">
        <f t="shared" si="16"/>
        <v>32.312802505456958</v>
      </c>
      <c r="Y43" s="1">
        <f t="shared" si="17"/>
        <v>32.312802505456958</v>
      </c>
      <c r="Z43" s="1">
        <v>11.244199999999999</v>
      </c>
      <c r="AA43" s="1">
        <v>18.956</v>
      </c>
      <c r="AB43" s="1">
        <v>4.8393999999999986</v>
      </c>
      <c r="AC43" s="1">
        <v>5.6033999999999997</v>
      </c>
      <c r="AD43" s="1">
        <v>14.360799999999999</v>
      </c>
      <c r="AE43" s="1">
        <v>9.3544</v>
      </c>
      <c r="AF43" s="1">
        <v>0</v>
      </c>
      <c r="AG43" s="1">
        <v>0</v>
      </c>
      <c r="AH43" s="1" t="s">
        <v>91</v>
      </c>
      <c r="AI43" s="1">
        <f t="shared" si="19"/>
        <v>0</v>
      </c>
      <c r="AJ43" s="1"/>
      <c r="AK43" s="1"/>
      <c r="AL43" s="1"/>
      <c r="AM43" s="1"/>
      <c r="AN43" s="1"/>
      <c r="AO43" s="1"/>
      <c r="AP43" s="1"/>
      <c r="AQ43" s="1"/>
    </row>
    <row r="44" spans="1:43" x14ac:dyDescent="0.25">
      <c r="A44" s="1" t="s">
        <v>92</v>
      </c>
      <c r="B44" s="1" t="s">
        <v>45</v>
      </c>
      <c r="C44" s="1">
        <v>131</v>
      </c>
      <c r="D44" s="1">
        <v>611</v>
      </c>
      <c r="E44" s="1">
        <v>280</v>
      </c>
      <c r="F44" s="1">
        <v>449</v>
      </c>
      <c r="G44" s="7">
        <v>0.1</v>
      </c>
      <c r="H44" s="1">
        <v>731</v>
      </c>
      <c r="I44" s="1" t="s">
        <v>40</v>
      </c>
      <c r="J44" s="1"/>
      <c r="K44" s="1">
        <v>361</v>
      </c>
      <c r="L44" s="1">
        <f t="shared" si="13"/>
        <v>-81</v>
      </c>
      <c r="M44" s="1">
        <f t="shared" si="14"/>
        <v>280</v>
      </c>
      <c r="N44" s="1"/>
      <c r="O44" s="1">
        <v>388.2</v>
      </c>
      <c r="P44" s="1"/>
      <c r="Q44" s="1"/>
      <c r="R44" s="1"/>
      <c r="S44" s="1">
        <v>0</v>
      </c>
      <c r="T44" s="1"/>
      <c r="U44" s="1"/>
      <c r="V44" s="1">
        <f t="shared" si="15"/>
        <v>56</v>
      </c>
      <c r="W44" s="5"/>
      <c r="X44" s="1">
        <f t="shared" si="16"/>
        <v>14.950000000000001</v>
      </c>
      <c r="Y44" s="1">
        <f t="shared" si="17"/>
        <v>14.950000000000001</v>
      </c>
      <c r="Z44" s="1">
        <v>60</v>
      </c>
      <c r="AA44" s="1">
        <v>69.400000000000006</v>
      </c>
      <c r="AB44" s="1">
        <v>43</v>
      </c>
      <c r="AC44" s="1">
        <v>24</v>
      </c>
      <c r="AD44" s="1">
        <v>35.6</v>
      </c>
      <c r="AE44" s="1">
        <v>42.4</v>
      </c>
      <c r="AF44" s="1">
        <v>42.4</v>
      </c>
      <c r="AG44" s="1">
        <v>42.4</v>
      </c>
      <c r="AH44" s="1"/>
      <c r="AI44" s="1">
        <f t="shared" si="19"/>
        <v>0</v>
      </c>
      <c r="AJ44" s="1"/>
      <c r="AK44" s="1"/>
      <c r="AL44" s="1"/>
      <c r="AM44" s="1"/>
      <c r="AN44" s="1"/>
      <c r="AO44" s="1"/>
      <c r="AP44" s="1"/>
      <c r="AQ44" s="1"/>
    </row>
    <row r="45" spans="1:43" x14ac:dyDescent="0.25">
      <c r="A45" s="1" t="s">
        <v>93</v>
      </c>
      <c r="B45" s="1" t="s">
        <v>45</v>
      </c>
      <c r="C45" s="1">
        <v>-8</v>
      </c>
      <c r="D45" s="1">
        <v>102</v>
      </c>
      <c r="E45" s="1">
        <v>91</v>
      </c>
      <c r="F45" s="1">
        <v>-3</v>
      </c>
      <c r="G45" s="7">
        <v>0.35</v>
      </c>
      <c r="H45" s="1">
        <v>40</v>
      </c>
      <c r="I45" s="10" t="s">
        <v>51</v>
      </c>
      <c r="J45" s="1"/>
      <c r="K45" s="1">
        <v>106</v>
      </c>
      <c r="L45" s="1">
        <f t="shared" si="13"/>
        <v>-15</v>
      </c>
      <c r="M45" s="1">
        <f t="shared" si="14"/>
        <v>91</v>
      </c>
      <c r="N45" s="1"/>
      <c r="O45" s="1">
        <v>0</v>
      </c>
      <c r="P45" s="1"/>
      <c r="Q45" s="1"/>
      <c r="R45" s="1"/>
      <c r="S45" s="1">
        <v>0</v>
      </c>
      <c r="T45" s="1"/>
      <c r="U45" s="1"/>
      <c r="V45" s="1">
        <f t="shared" si="15"/>
        <v>18.2</v>
      </c>
      <c r="W45" s="5">
        <v>120</v>
      </c>
      <c r="X45" s="1">
        <f t="shared" si="16"/>
        <v>6.4285714285714288</v>
      </c>
      <c r="Y45" s="1">
        <f t="shared" si="17"/>
        <v>-0.16483516483516483</v>
      </c>
      <c r="Z45" s="1">
        <v>0.4</v>
      </c>
      <c r="AA45" s="1">
        <v>0.6</v>
      </c>
      <c r="AB45" s="1">
        <v>-0.8</v>
      </c>
      <c r="AC45" s="1">
        <v>-1.8</v>
      </c>
      <c r="AD45" s="1">
        <v>-2.4</v>
      </c>
      <c r="AE45" s="1">
        <v>-1.2</v>
      </c>
      <c r="AF45" s="1">
        <v>4.2</v>
      </c>
      <c r="AG45" s="1">
        <v>4.2</v>
      </c>
      <c r="AH45" s="1"/>
      <c r="AI45" s="1">
        <f t="shared" si="19"/>
        <v>42</v>
      </c>
      <c r="AJ45" s="1"/>
      <c r="AK45" s="1"/>
      <c r="AL45" s="1"/>
      <c r="AM45" s="1"/>
      <c r="AN45" s="1"/>
      <c r="AO45" s="1"/>
      <c r="AP45" s="1"/>
      <c r="AQ45" s="1"/>
    </row>
    <row r="46" spans="1:43" x14ac:dyDescent="0.25">
      <c r="A46" s="1" t="s">
        <v>94</v>
      </c>
      <c r="B46" s="1" t="s">
        <v>39</v>
      </c>
      <c r="C46" s="1">
        <v>14.63</v>
      </c>
      <c r="D46" s="1">
        <v>22.559000000000001</v>
      </c>
      <c r="E46" s="1">
        <v>19.141999999999999</v>
      </c>
      <c r="F46" s="1">
        <v>15.868</v>
      </c>
      <c r="G46" s="7">
        <v>1</v>
      </c>
      <c r="H46" s="1">
        <v>40</v>
      </c>
      <c r="I46" s="10" t="s">
        <v>51</v>
      </c>
      <c r="J46" s="1"/>
      <c r="K46" s="1">
        <v>29.3</v>
      </c>
      <c r="L46" s="1">
        <f t="shared" si="13"/>
        <v>-10.158000000000001</v>
      </c>
      <c r="M46" s="1">
        <f t="shared" si="14"/>
        <v>19.141999999999999</v>
      </c>
      <c r="N46" s="1"/>
      <c r="O46" s="1">
        <v>0</v>
      </c>
      <c r="P46" s="1"/>
      <c r="Q46" s="1"/>
      <c r="R46" s="1"/>
      <c r="S46" s="1">
        <v>0</v>
      </c>
      <c r="T46" s="1"/>
      <c r="U46" s="1"/>
      <c r="V46" s="1">
        <f t="shared" si="15"/>
        <v>3.8283999999999998</v>
      </c>
      <c r="W46" s="5">
        <f t="shared" si="18"/>
        <v>26.244399999999999</v>
      </c>
      <c r="X46" s="1">
        <f t="shared" si="16"/>
        <v>11</v>
      </c>
      <c r="Y46" s="1">
        <f t="shared" si="17"/>
        <v>4.1448124542889984</v>
      </c>
      <c r="Z46" s="1">
        <v>1.671</v>
      </c>
      <c r="AA46" s="1">
        <v>2.0398000000000001</v>
      </c>
      <c r="AB46" s="1">
        <v>3.0230000000000001</v>
      </c>
      <c r="AC46" s="1">
        <v>3.0924</v>
      </c>
      <c r="AD46" s="1">
        <v>2.1831999999999998</v>
      </c>
      <c r="AE46" s="1">
        <v>2.4698000000000002</v>
      </c>
      <c r="AF46" s="1">
        <v>2.9312</v>
      </c>
      <c r="AG46" s="1">
        <v>3.1116000000000001</v>
      </c>
      <c r="AH46" s="1"/>
      <c r="AI46" s="1">
        <f t="shared" si="19"/>
        <v>26.244399999999999</v>
      </c>
      <c r="AJ46" s="1"/>
      <c r="AK46" s="1"/>
      <c r="AL46" s="1"/>
      <c r="AM46" s="1"/>
      <c r="AN46" s="1"/>
      <c r="AO46" s="1"/>
      <c r="AP46" s="1"/>
      <c r="AQ46" s="1"/>
    </row>
    <row r="47" spans="1:43" x14ac:dyDescent="0.25">
      <c r="A47" s="1" t="s">
        <v>95</v>
      </c>
      <c r="B47" s="1" t="s">
        <v>45</v>
      </c>
      <c r="C47" s="1">
        <v>15</v>
      </c>
      <c r="D47" s="1">
        <v>361</v>
      </c>
      <c r="E47" s="1">
        <v>256</v>
      </c>
      <c r="F47" s="1">
        <v>119</v>
      </c>
      <c r="G47" s="7">
        <v>0.4</v>
      </c>
      <c r="H47" s="1">
        <v>40</v>
      </c>
      <c r="I47" s="10" t="s">
        <v>51</v>
      </c>
      <c r="J47" s="1"/>
      <c r="K47" s="1">
        <v>466</v>
      </c>
      <c r="L47" s="1">
        <f t="shared" si="13"/>
        <v>-210</v>
      </c>
      <c r="M47" s="1">
        <f t="shared" si="14"/>
        <v>256</v>
      </c>
      <c r="N47" s="1"/>
      <c r="O47" s="1">
        <v>75</v>
      </c>
      <c r="P47" s="1"/>
      <c r="Q47" s="1"/>
      <c r="R47" s="1"/>
      <c r="S47" s="1">
        <v>144.6</v>
      </c>
      <c r="T47" s="1"/>
      <c r="U47" s="1"/>
      <c r="V47" s="1">
        <f t="shared" si="15"/>
        <v>51.2</v>
      </c>
      <c r="W47" s="5">
        <f t="shared" si="18"/>
        <v>224.60000000000002</v>
      </c>
      <c r="X47" s="1">
        <f t="shared" si="16"/>
        <v>11</v>
      </c>
      <c r="Y47" s="1">
        <f t="shared" si="17"/>
        <v>6.61328125</v>
      </c>
      <c r="Z47" s="1">
        <v>38.4</v>
      </c>
      <c r="AA47" s="1">
        <v>34.6</v>
      </c>
      <c r="AB47" s="1">
        <v>39.4</v>
      </c>
      <c r="AC47" s="1">
        <v>36.6</v>
      </c>
      <c r="AD47" s="1">
        <v>26.8</v>
      </c>
      <c r="AE47" s="1">
        <v>24.8</v>
      </c>
      <c r="AF47" s="1">
        <v>30.8</v>
      </c>
      <c r="AG47" s="1">
        <v>31.8</v>
      </c>
      <c r="AH47" s="1"/>
      <c r="AI47" s="1">
        <f t="shared" si="19"/>
        <v>89.840000000000018</v>
      </c>
      <c r="AJ47" s="1"/>
      <c r="AK47" s="1"/>
      <c r="AL47" s="1"/>
      <c r="AM47" s="1"/>
      <c r="AN47" s="1"/>
      <c r="AO47" s="1"/>
      <c r="AP47" s="1"/>
      <c r="AQ47" s="1"/>
    </row>
    <row r="48" spans="1:43" x14ac:dyDescent="0.25">
      <c r="A48" s="1" t="s">
        <v>96</v>
      </c>
      <c r="B48" s="1" t="s">
        <v>45</v>
      </c>
      <c r="C48" s="1">
        <v>187</v>
      </c>
      <c r="D48" s="1">
        <v>450</v>
      </c>
      <c r="E48" s="1">
        <v>304</v>
      </c>
      <c r="F48" s="1">
        <v>332</v>
      </c>
      <c r="G48" s="7">
        <v>0.4</v>
      </c>
      <c r="H48" s="1">
        <v>45</v>
      </c>
      <c r="I48" s="10" t="s">
        <v>51</v>
      </c>
      <c r="J48" s="1"/>
      <c r="K48" s="1">
        <v>736</v>
      </c>
      <c r="L48" s="1">
        <f t="shared" si="13"/>
        <v>-432</v>
      </c>
      <c r="M48" s="1">
        <f t="shared" si="14"/>
        <v>304</v>
      </c>
      <c r="N48" s="1"/>
      <c r="O48" s="1">
        <v>148.5</v>
      </c>
      <c r="P48" s="1">
        <v>-150</v>
      </c>
      <c r="Q48" s="1"/>
      <c r="R48" s="1"/>
      <c r="S48" s="1">
        <v>300</v>
      </c>
      <c r="T48" s="1"/>
      <c r="U48" s="1"/>
      <c r="V48" s="1">
        <f t="shared" si="15"/>
        <v>60.8</v>
      </c>
      <c r="W48" s="5">
        <v>300</v>
      </c>
      <c r="X48" s="1">
        <f t="shared" si="16"/>
        <v>15.304276315789474</v>
      </c>
      <c r="Y48" s="1">
        <f t="shared" si="17"/>
        <v>10.370065789473685</v>
      </c>
      <c r="Z48" s="1">
        <v>91.6</v>
      </c>
      <c r="AA48" s="1">
        <v>61.8</v>
      </c>
      <c r="AB48" s="1">
        <v>53.8</v>
      </c>
      <c r="AC48" s="1">
        <v>28.6</v>
      </c>
      <c r="AD48" s="1">
        <v>35.200000000000003</v>
      </c>
      <c r="AE48" s="1">
        <v>45.6</v>
      </c>
      <c r="AF48" s="1">
        <v>29.2</v>
      </c>
      <c r="AG48" s="1">
        <v>29.2</v>
      </c>
      <c r="AH48" s="1"/>
      <c r="AI48" s="1">
        <f t="shared" si="19"/>
        <v>120</v>
      </c>
      <c r="AJ48" s="1"/>
      <c r="AK48" s="1"/>
      <c r="AL48" s="1"/>
      <c r="AM48" s="1"/>
      <c r="AN48" s="1"/>
      <c r="AO48" s="1"/>
      <c r="AP48" s="1"/>
      <c r="AQ48" s="1"/>
    </row>
    <row r="49" spans="1:43" x14ac:dyDescent="0.25">
      <c r="A49" s="1" t="s">
        <v>97</v>
      </c>
      <c r="B49" s="1" t="s">
        <v>39</v>
      </c>
      <c r="C49" s="1">
        <v>14.01</v>
      </c>
      <c r="D49" s="1">
        <v>147.77600000000001</v>
      </c>
      <c r="E49" s="1">
        <v>64.305999999999997</v>
      </c>
      <c r="F49" s="1">
        <v>96.031999999999996</v>
      </c>
      <c r="G49" s="7">
        <v>1</v>
      </c>
      <c r="H49" s="1">
        <v>40</v>
      </c>
      <c r="I49" s="10" t="s">
        <v>51</v>
      </c>
      <c r="J49" s="1"/>
      <c r="K49" s="1">
        <v>171.4</v>
      </c>
      <c r="L49" s="1">
        <f t="shared" si="13"/>
        <v>-107.09400000000001</v>
      </c>
      <c r="M49" s="1">
        <f t="shared" si="14"/>
        <v>64.305999999999997</v>
      </c>
      <c r="N49" s="1"/>
      <c r="O49" s="1"/>
      <c r="P49" s="1"/>
      <c r="Q49" s="1"/>
      <c r="R49" s="1"/>
      <c r="S49" s="1">
        <v>5</v>
      </c>
      <c r="T49" s="1"/>
      <c r="U49" s="1"/>
      <c r="V49" s="1">
        <f t="shared" si="15"/>
        <v>12.8612</v>
      </c>
      <c r="W49" s="5">
        <f t="shared" si="18"/>
        <v>40.441199999999995</v>
      </c>
      <c r="X49" s="1">
        <f t="shared" si="16"/>
        <v>11</v>
      </c>
      <c r="Y49" s="1">
        <f t="shared" si="17"/>
        <v>7.8555655770845636</v>
      </c>
      <c r="Z49" s="1">
        <v>9.6170000000000009</v>
      </c>
      <c r="AA49" s="1">
        <v>3.972</v>
      </c>
      <c r="AB49" s="1">
        <v>4.1012000000000004</v>
      </c>
      <c r="AC49" s="1">
        <v>4.9813999999999998</v>
      </c>
      <c r="AD49" s="1">
        <v>0.87859999999999994</v>
      </c>
      <c r="AE49" s="1">
        <v>0</v>
      </c>
      <c r="AF49" s="1">
        <v>5.8158000000000003</v>
      </c>
      <c r="AG49" s="1">
        <v>5.8158000000000003</v>
      </c>
      <c r="AH49" s="1" t="s">
        <v>42</v>
      </c>
      <c r="AI49" s="1">
        <f t="shared" si="19"/>
        <v>40.441199999999995</v>
      </c>
      <c r="AJ49" s="1"/>
      <c r="AK49" s="1"/>
      <c r="AL49" s="1"/>
      <c r="AM49" s="1"/>
      <c r="AN49" s="1"/>
      <c r="AO49" s="1"/>
      <c r="AP49" s="1"/>
      <c r="AQ49" s="1"/>
    </row>
    <row r="50" spans="1:43" x14ac:dyDescent="0.25">
      <c r="A50" s="1" t="s">
        <v>98</v>
      </c>
      <c r="B50" s="1" t="s">
        <v>45</v>
      </c>
      <c r="C50" s="1">
        <v>118</v>
      </c>
      <c r="D50" s="1">
        <v>1669</v>
      </c>
      <c r="E50" s="1">
        <v>1487</v>
      </c>
      <c r="F50" s="1">
        <v>285.85000000000002</v>
      </c>
      <c r="G50" s="7">
        <v>0.35</v>
      </c>
      <c r="H50" s="1">
        <v>40</v>
      </c>
      <c r="I50" s="10" t="s">
        <v>51</v>
      </c>
      <c r="J50" s="1"/>
      <c r="K50" s="1">
        <v>1545</v>
      </c>
      <c r="L50" s="1">
        <f t="shared" si="13"/>
        <v>-58</v>
      </c>
      <c r="M50" s="1">
        <f t="shared" si="14"/>
        <v>1487</v>
      </c>
      <c r="N50" s="1"/>
      <c r="O50" s="1">
        <v>150</v>
      </c>
      <c r="P50" s="1"/>
      <c r="Q50" s="1"/>
      <c r="R50" s="1"/>
      <c r="S50" s="1">
        <v>350</v>
      </c>
      <c r="T50" s="1">
        <v>-354.00000000000011</v>
      </c>
      <c r="U50" s="1"/>
      <c r="V50" s="1">
        <f t="shared" si="15"/>
        <v>297.39999999999998</v>
      </c>
      <c r="W50" s="5">
        <v>600</v>
      </c>
      <c r="X50" s="1">
        <f t="shared" si="16"/>
        <v>3.4695696032279759</v>
      </c>
      <c r="Y50" s="1">
        <f t="shared" si="17"/>
        <v>1.452084734364492</v>
      </c>
      <c r="Z50" s="1">
        <v>286.60000000000002</v>
      </c>
      <c r="AA50" s="1">
        <v>77.599999999999994</v>
      </c>
      <c r="AB50" s="1">
        <v>42.2</v>
      </c>
      <c r="AC50" s="1">
        <v>3.4</v>
      </c>
      <c r="AD50" s="1">
        <v>3.8</v>
      </c>
      <c r="AE50" s="1">
        <v>49.6</v>
      </c>
      <c r="AF50" s="1">
        <v>98.8</v>
      </c>
      <c r="AG50" s="1">
        <v>122.8</v>
      </c>
      <c r="AH50" s="1" t="s">
        <v>99</v>
      </c>
      <c r="AI50" s="1">
        <f t="shared" si="19"/>
        <v>210</v>
      </c>
      <c r="AJ50" s="1"/>
      <c r="AK50" s="1"/>
      <c r="AL50" s="1"/>
      <c r="AM50" s="1"/>
      <c r="AN50" s="1"/>
      <c r="AO50" s="1"/>
      <c r="AP50" s="1"/>
      <c r="AQ50" s="1"/>
    </row>
    <row r="51" spans="1:43" x14ac:dyDescent="0.25">
      <c r="A51" s="1" t="s">
        <v>100</v>
      </c>
      <c r="B51" s="1" t="s">
        <v>45</v>
      </c>
      <c r="C51" s="1">
        <v>237</v>
      </c>
      <c r="D51" s="1">
        <v>783</v>
      </c>
      <c r="E51" s="1">
        <v>460</v>
      </c>
      <c r="F51" s="1">
        <v>549</v>
      </c>
      <c r="G51" s="7">
        <v>0.4</v>
      </c>
      <c r="H51" s="1">
        <v>40</v>
      </c>
      <c r="I51" s="10" t="s">
        <v>51</v>
      </c>
      <c r="J51" s="1"/>
      <c r="K51" s="1">
        <v>509</v>
      </c>
      <c r="L51" s="1">
        <f t="shared" si="13"/>
        <v>-49</v>
      </c>
      <c r="M51" s="1">
        <f t="shared" si="14"/>
        <v>460</v>
      </c>
      <c r="N51" s="1"/>
      <c r="O51" s="1">
        <v>400</v>
      </c>
      <c r="P51" s="1"/>
      <c r="Q51" s="1"/>
      <c r="R51" s="1"/>
      <c r="S51" s="1">
        <v>73.5</v>
      </c>
      <c r="T51" s="1"/>
      <c r="U51" s="1"/>
      <c r="V51" s="1">
        <f t="shared" si="15"/>
        <v>92</v>
      </c>
      <c r="W51" s="5">
        <v>50</v>
      </c>
      <c r="X51" s="1">
        <f t="shared" si="16"/>
        <v>11.657608695652174</v>
      </c>
      <c r="Y51" s="1">
        <f t="shared" si="17"/>
        <v>11.114130434782609</v>
      </c>
      <c r="Z51" s="1">
        <v>107</v>
      </c>
      <c r="AA51" s="1">
        <v>103</v>
      </c>
      <c r="AB51" s="1">
        <v>65.599999999999994</v>
      </c>
      <c r="AC51" s="1">
        <v>59</v>
      </c>
      <c r="AD51" s="1">
        <v>80.2</v>
      </c>
      <c r="AE51" s="1">
        <v>84.2</v>
      </c>
      <c r="AF51" s="1">
        <v>30.8</v>
      </c>
      <c r="AG51" s="1">
        <v>31.2</v>
      </c>
      <c r="AH51" s="1"/>
      <c r="AI51" s="1">
        <f t="shared" si="19"/>
        <v>20</v>
      </c>
      <c r="AJ51" s="1"/>
      <c r="AK51" s="1"/>
      <c r="AL51" s="1"/>
      <c r="AM51" s="1"/>
      <c r="AN51" s="1"/>
      <c r="AO51" s="1"/>
      <c r="AP51" s="1"/>
      <c r="AQ51" s="1"/>
    </row>
    <row r="52" spans="1:43" x14ac:dyDescent="0.25">
      <c r="A52" s="1" t="s">
        <v>101</v>
      </c>
      <c r="B52" s="1" t="s">
        <v>39</v>
      </c>
      <c r="C52" s="1">
        <v>151.97999999999999</v>
      </c>
      <c r="D52" s="1">
        <v>110.405</v>
      </c>
      <c r="E52" s="1">
        <v>148.387</v>
      </c>
      <c r="F52" s="1">
        <v>49.293999999999997</v>
      </c>
      <c r="G52" s="7">
        <v>1</v>
      </c>
      <c r="H52" s="1">
        <v>50</v>
      </c>
      <c r="I52" s="1" t="s">
        <v>40</v>
      </c>
      <c r="J52" s="1"/>
      <c r="K52" s="1">
        <v>154.22399999999999</v>
      </c>
      <c r="L52" s="1">
        <f t="shared" si="13"/>
        <v>-5.8369999999999891</v>
      </c>
      <c r="M52" s="1">
        <f t="shared" si="14"/>
        <v>148.387</v>
      </c>
      <c r="N52" s="1"/>
      <c r="O52" s="1"/>
      <c r="P52" s="1"/>
      <c r="Q52" s="1"/>
      <c r="R52" s="1"/>
      <c r="S52" s="1">
        <v>72.381500000000017</v>
      </c>
      <c r="T52" s="1"/>
      <c r="U52" s="1"/>
      <c r="V52" s="1">
        <f t="shared" si="15"/>
        <v>29.677399999999999</v>
      </c>
      <c r="W52" s="5">
        <f>10*V52-U52-T52-S52-R52-Q52-P52-O52-F52</f>
        <v>175.0985</v>
      </c>
      <c r="X52" s="1">
        <f t="shared" si="16"/>
        <v>10</v>
      </c>
      <c r="Y52" s="1">
        <f t="shared" si="17"/>
        <v>4.0999379999595655</v>
      </c>
      <c r="Z52" s="1">
        <v>19.035</v>
      </c>
      <c r="AA52" s="1">
        <v>16.658200000000001</v>
      </c>
      <c r="AB52" s="1">
        <v>12.968</v>
      </c>
      <c r="AC52" s="1">
        <v>15.1008</v>
      </c>
      <c r="AD52" s="1">
        <v>23.822600000000001</v>
      </c>
      <c r="AE52" s="1">
        <v>13.5672</v>
      </c>
      <c r="AF52" s="1">
        <v>-10.742599999999999</v>
      </c>
      <c r="AG52" s="1">
        <v>17.911200000000001</v>
      </c>
      <c r="AH52" s="1"/>
      <c r="AI52" s="1">
        <f t="shared" si="19"/>
        <v>175.0985</v>
      </c>
      <c r="AJ52" s="1"/>
      <c r="AK52" s="1"/>
      <c r="AL52" s="1"/>
      <c r="AM52" s="1"/>
      <c r="AN52" s="1"/>
      <c r="AO52" s="1"/>
      <c r="AP52" s="1"/>
      <c r="AQ52" s="1"/>
    </row>
    <row r="53" spans="1:43" x14ac:dyDescent="0.25">
      <c r="A53" s="1" t="s">
        <v>102</v>
      </c>
      <c r="B53" s="1" t="s">
        <v>39</v>
      </c>
      <c r="C53" s="1">
        <v>450.10500000000002</v>
      </c>
      <c r="D53" s="1">
        <v>802.97400000000005</v>
      </c>
      <c r="E53" s="1">
        <v>714.09400000000005</v>
      </c>
      <c r="F53" s="1">
        <v>215.89599999999999</v>
      </c>
      <c r="G53" s="7">
        <v>1</v>
      </c>
      <c r="H53" s="1">
        <v>50</v>
      </c>
      <c r="I53" s="1" t="s">
        <v>40</v>
      </c>
      <c r="J53" s="1"/>
      <c r="K53" s="1">
        <v>821.298</v>
      </c>
      <c r="L53" s="1">
        <f t="shared" si="13"/>
        <v>-107.20399999999995</v>
      </c>
      <c r="M53" s="1">
        <f t="shared" si="14"/>
        <v>474.82100000000003</v>
      </c>
      <c r="N53" s="1">
        <v>239.273</v>
      </c>
      <c r="O53" s="1">
        <v>647</v>
      </c>
      <c r="P53" s="1"/>
      <c r="Q53" s="1"/>
      <c r="R53" s="1"/>
      <c r="S53" s="1">
        <v>487.19480000000021</v>
      </c>
      <c r="T53" s="1"/>
      <c r="U53" s="1"/>
      <c r="V53" s="1">
        <f t="shared" si="15"/>
        <v>94.964200000000005</v>
      </c>
      <c r="W53" s="5">
        <v>100</v>
      </c>
      <c r="X53" s="1">
        <f t="shared" si="16"/>
        <v>15.269868013419796</v>
      </c>
      <c r="Y53" s="1">
        <f t="shared" si="17"/>
        <v>14.216839609031615</v>
      </c>
      <c r="Z53" s="1">
        <v>153.36920000000001</v>
      </c>
      <c r="AA53" s="1">
        <v>161.00640000000001</v>
      </c>
      <c r="AB53" s="1">
        <v>71.831199999999995</v>
      </c>
      <c r="AC53" s="1">
        <v>69.209599999999995</v>
      </c>
      <c r="AD53" s="1">
        <v>101.32680000000001</v>
      </c>
      <c r="AE53" s="1">
        <v>163.22460000000001</v>
      </c>
      <c r="AF53" s="1">
        <v>103.4038</v>
      </c>
      <c r="AG53" s="1">
        <v>157.8124</v>
      </c>
      <c r="AH53" s="1" t="s">
        <v>42</v>
      </c>
      <c r="AI53" s="1">
        <f t="shared" si="19"/>
        <v>100</v>
      </c>
      <c r="AJ53" s="1"/>
      <c r="AK53" s="1"/>
      <c r="AL53" s="1"/>
      <c r="AM53" s="1"/>
      <c r="AN53" s="1"/>
      <c r="AO53" s="1"/>
      <c r="AP53" s="1"/>
      <c r="AQ53" s="1"/>
    </row>
    <row r="54" spans="1:43" x14ac:dyDescent="0.25">
      <c r="A54" s="11" t="s">
        <v>103</v>
      </c>
      <c r="B54" s="11" t="s">
        <v>39</v>
      </c>
      <c r="C54" s="11"/>
      <c r="D54" s="11"/>
      <c r="E54" s="11"/>
      <c r="F54" s="11"/>
      <c r="G54" s="12">
        <v>0</v>
      </c>
      <c r="H54" s="11"/>
      <c r="I54" s="11" t="s">
        <v>40</v>
      </c>
      <c r="J54" s="11"/>
      <c r="K54" s="11"/>
      <c r="L54" s="11">
        <f t="shared" si="13"/>
        <v>0</v>
      </c>
      <c r="M54" s="11">
        <f t="shared" si="14"/>
        <v>0</v>
      </c>
      <c r="N54" s="11"/>
      <c r="O54" s="11"/>
      <c r="P54" s="11"/>
      <c r="Q54" s="11"/>
      <c r="R54" s="11"/>
      <c r="S54" s="11">
        <v>0</v>
      </c>
      <c r="T54" s="11"/>
      <c r="U54" s="11"/>
      <c r="V54" s="11">
        <f t="shared" si="15"/>
        <v>0</v>
      </c>
      <c r="W54" s="13"/>
      <c r="X54" s="11" t="e">
        <f t="shared" si="16"/>
        <v>#DIV/0!</v>
      </c>
      <c r="Y54" s="11" t="e">
        <f t="shared" si="17"/>
        <v>#DIV/0!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 t="s">
        <v>63</v>
      </c>
      <c r="AI54" s="11"/>
      <c r="AJ54" s="1"/>
      <c r="AK54" s="1"/>
      <c r="AL54" s="1"/>
      <c r="AM54" s="1"/>
      <c r="AN54" s="1"/>
      <c r="AO54" s="1"/>
      <c r="AP54" s="1"/>
      <c r="AQ54" s="1"/>
    </row>
    <row r="55" spans="1:43" x14ac:dyDescent="0.25">
      <c r="A55" s="1" t="s">
        <v>104</v>
      </c>
      <c r="B55" s="1" t="s">
        <v>45</v>
      </c>
      <c r="C55" s="1">
        <v>789</v>
      </c>
      <c r="D55" s="1">
        <v>332</v>
      </c>
      <c r="E55" s="1">
        <v>340</v>
      </c>
      <c r="F55" s="1">
        <v>779</v>
      </c>
      <c r="G55" s="7">
        <v>0.45</v>
      </c>
      <c r="H55" s="1">
        <v>50</v>
      </c>
      <c r="I55" s="1" t="s">
        <v>40</v>
      </c>
      <c r="J55" s="1"/>
      <c r="K55" s="1">
        <v>347</v>
      </c>
      <c r="L55" s="1">
        <f t="shared" si="13"/>
        <v>-7</v>
      </c>
      <c r="M55" s="1">
        <f t="shared" si="14"/>
        <v>340</v>
      </c>
      <c r="N55" s="1"/>
      <c r="O55" s="1"/>
      <c r="P55" s="1"/>
      <c r="Q55" s="1"/>
      <c r="R55" s="1"/>
      <c r="S55" s="1">
        <v>0</v>
      </c>
      <c r="T55" s="1"/>
      <c r="U55" s="1"/>
      <c r="V55" s="1">
        <f t="shared" si="15"/>
        <v>68</v>
      </c>
      <c r="W55" s="5"/>
      <c r="X55" s="1">
        <f t="shared" si="16"/>
        <v>11.455882352941176</v>
      </c>
      <c r="Y55" s="1">
        <f t="shared" si="17"/>
        <v>11.455882352941176</v>
      </c>
      <c r="Z55" s="1">
        <v>63</v>
      </c>
      <c r="AA55" s="1">
        <v>61</v>
      </c>
      <c r="AB55" s="1">
        <v>62.8</v>
      </c>
      <c r="AC55" s="1">
        <v>62.4</v>
      </c>
      <c r="AD55" s="1">
        <v>49.2</v>
      </c>
      <c r="AE55" s="1">
        <v>43.6</v>
      </c>
      <c r="AF55" s="1">
        <v>69.2</v>
      </c>
      <c r="AG55" s="1">
        <v>93.6</v>
      </c>
      <c r="AH55" s="1"/>
      <c r="AI55" s="1">
        <f>G55*W55</f>
        <v>0</v>
      </c>
      <c r="AJ55" s="1"/>
      <c r="AK55" s="1"/>
      <c r="AL55" s="1"/>
      <c r="AM55" s="1"/>
      <c r="AN55" s="1"/>
      <c r="AO55" s="1"/>
      <c r="AP55" s="1"/>
      <c r="AQ55" s="1"/>
    </row>
    <row r="56" spans="1:43" x14ac:dyDescent="0.25">
      <c r="A56" s="1" t="s">
        <v>105</v>
      </c>
      <c r="B56" s="1" t="s">
        <v>45</v>
      </c>
      <c r="C56" s="1">
        <v>540</v>
      </c>
      <c r="D56" s="1">
        <v>563</v>
      </c>
      <c r="E56" s="1">
        <v>427</v>
      </c>
      <c r="F56" s="1">
        <v>665</v>
      </c>
      <c r="G56" s="7">
        <v>0.45</v>
      </c>
      <c r="H56" s="1">
        <v>50</v>
      </c>
      <c r="I56" s="1" t="s">
        <v>40</v>
      </c>
      <c r="J56" s="1"/>
      <c r="K56" s="1">
        <v>436</v>
      </c>
      <c r="L56" s="1">
        <f t="shared" si="13"/>
        <v>-9</v>
      </c>
      <c r="M56" s="1">
        <f t="shared" si="14"/>
        <v>427</v>
      </c>
      <c r="N56" s="1"/>
      <c r="O56" s="1">
        <v>194.39761999999999</v>
      </c>
      <c r="P56" s="1"/>
      <c r="Q56" s="1"/>
      <c r="R56" s="1"/>
      <c r="S56" s="1">
        <v>239.4399999999998</v>
      </c>
      <c r="T56" s="1"/>
      <c r="U56" s="1"/>
      <c r="V56" s="1">
        <f t="shared" si="15"/>
        <v>85.4</v>
      </c>
      <c r="W56" s="5"/>
      <c r="X56" s="1">
        <f t="shared" si="16"/>
        <v>12.866951053864165</v>
      </c>
      <c r="Y56" s="1">
        <f t="shared" si="17"/>
        <v>12.866951053864165</v>
      </c>
      <c r="Z56" s="1">
        <v>118.6</v>
      </c>
      <c r="AA56" s="1">
        <v>121</v>
      </c>
      <c r="AB56" s="1">
        <v>89.2</v>
      </c>
      <c r="AC56" s="1">
        <v>85.2</v>
      </c>
      <c r="AD56" s="1">
        <v>83.8</v>
      </c>
      <c r="AE56" s="1">
        <v>97.4</v>
      </c>
      <c r="AF56" s="1">
        <v>138.80000000000001</v>
      </c>
      <c r="AG56" s="1">
        <v>140.19999999999999</v>
      </c>
      <c r="AH56" s="1"/>
      <c r="AI56" s="1">
        <f>G56*W56</f>
        <v>0</v>
      </c>
      <c r="AJ56" s="1"/>
      <c r="AK56" s="1"/>
      <c r="AL56" s="1"/>
      <c r="AM56" s="1"/>
      <c r="AN56" s="1"/>
      <c r="AO56" s="1"/>
      <c r="AP56" s="1"/>
      <c r="AQ56" s="1"/>
    </row>
    <row r="57" spans="1:43" x14ac:dyDescent="0.25">
      <c r="A57" s="11" t="s">
        <v>106</v>
      </c>
      <c r="B57" s="11" t="s">
        <v>45</v>
      </c>
      <c r="C57" s="11"/>
      <c r="D57" s="11"/>
      <c r="E57" s="11"/>
      <c r="F57" s="11"/>
      <c r="G57" s="12">
        <v>0</v>
      </c>
      <c r="H57" s="11"/>
      <c r="I57" s="11" t="s">
        <v>40</v>
      </c>
      <c r="J57" s="11"/>
      <c r="K57" s="11"/>
      <c r="L57" s="11">
        <f t="shared" si="13"/>
        <v>0</v>
      </c>
      <c r="M57" s="11">
        <f t="shared" si="14"/>
        <v>0</v>
      </c>
      <c r="N57" s="11"/>
      <c r="O57" s="11"/>
      <c r="P57" s="11"/>
      <c r="Q57" s="11"/>
      <c r="R57" s="11"/>
      <c r="S57" s="11">
        <v>0</v>
      </c>
      <c r="T57" s="11"/>
      <c r="U57" s="11"/>
      <c r="V57" s="11">
        <f t="shared" si="15"/>
        <v>0</v>
      </c>
      <c r="W57" s="13"/>
      <c r="X57" s="11" t="e">
        <f t="shared" si="16"/>
        <v>#DIV/0!</v>
      </c>
      <c r="Y57" s="11" t="e">
        <f t="shared" si="17"/>
        <v>#DIV/0!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 t="s">
        <v>63</v>
      </c>
      <c r="AI57" s="11"/>
      <c r="AJ57" s="1"/>
      <c r="AK57" s="1"/>
      <c r="AL57" s="1"/>
      <c r="AM57" s="1"/>
      <c r="AN57" s="1"/>
      <c r="AO57" s="1"/>
      <c r="AP57" s="1"/>
      <c r="AQ57" s="1"/>
    </row>
    <row r="58" spans="1:43" x14ac:dyDescent="0.25">
      <c r="A58" s="1" t="s">
        <v>107</v>
      </c>
      <c r="B58" s="1" t="s">
        <v>45</v>
      </c>
      <c r="C58" s="1">
        <v>135</v>
      </c>
      <c r="D58" s="1">
        <v>7</v>
      </c>
      <c r="E58" s="1">
        <v>30</v>
      </c>
      <c r="F58" s="1">
        <v>106</v>
      </c>
      <c r="G58" s="7">
        <v>0.4</v>
      </c>
      <c r="H58" s="1">
        <v>40</v>
      </c>
      <c r="I58" s="10" t="s">
        <v>51</v>
      </c>
      <c r="J58" s="1"/>
      <c r="K58" s="1">
        <v>52</v>
      </c>
      <c r="L58" s="1">
        <f t="shared" si="13"/>
        <v>-22</v>
      </c>
      <c r="M58" s="1">
        <f t="shared" si="14"/>
        <v>30</v>
      </c>
      <c r="N58" s="1"/>
      <c r="O58" s="1">
        <v>0</v>
      </c>
      <c r="P58" s="1"/>
      <c r="Q58" s="1"/>
      <c r="R58" s="1"/>
      <c r="S58" s="1">
        <v>0</v>
      </c>
      <c r="T58" s="1"/>
      <c r="U58" s="1"/>
      <c r="V58" s="1">
        <f t="shared" si="15"/>
        <v>6</v>
      </c>
      <c r="W58" s="5"/>
      <c r="X58" s="1">
        <f t="shared" si="16"/>
        <v>17.666666666666668</v>
      </c>
      <c r="Y58" s="1">
        <f t="shared" si="17"/>
        <v>17.666666666666668</v>
      </c>
      <c r="Z58" s="1">
        <v>5.2</v>
      </c>
      <c r="AA58" s="1">
        <v>6.6</v>
      </c>
      <c r="AB58" s="1">
        <v>2.6</v>
      </c>
      <c r="AC58" s="1">
        <v>2.8</v>
      </c>
      <c r="AD58" s="1">
        <v>8.1999999999999993</v>
      </c>
      <c r="AE58" s="1">
        <v>6.6</v>
      </c>
      <c r="AF58" s="1">
        <v>2.4</v>
      </c>
      <c r="AG58" s="1">
        <v>2.4</v>
      </c>
      <c r="AH58" s="15" t="s">
        <v>140</v>
      </c>
      <c r="AI58" s="1">
        <f t="shared" ref="AI58:AI72" si="20">G58*W58</f>
        <v>0</v>
      </c>
      <c r="AJ58" s="1"/>
      <c r="AK58" s="1"/>
      <c r="AL58" s="1"/>
      <c r="AM58" s="1"/>
      <c r="AN58" s="1"/>
      <c r="AO58" s="1"/>
      <c r="AP58" s="1"/>
      <c r="AQ58" s="1"/>
    </row>
    <row r="59" spans="1:43" x14ac:dyDescent="0.25">
      <c r="A59" s="1" t="s">
        <v>108</v>
      </c>
      <c r="B59" s="1" t="s">
        <v>39</v>
      </c>
      <c r="C59" s="1">
        <v>65.747</v>
      </c>
      <c r="D59" s="1">
        <v>846.45799999999997</v>
      </c>
      <c r="E59" s="1">
        <v>681.81600000000003</v>
      </c>
      <c r="F59" s="1">
        <v>81.992999999999995</v>
      </c>
      <c r="G59" s="7">
        <v>1</v>
      </c>
      <c r="H59" s="1">
        <v>50</v>
      </c>
      <c r="I59" s="1" t="s">
        <v>40</v>
      </c>
      <c r="J59" s="1"/>
      <c r="K59" s="1">
        <v>664.57399999999996</v>
      </c>
      <c r="L59" s="1">
        <f t="shared" si="13"/>
        <v>17.242000000000075</v>
      </c>
      <c r="M59" s="1">
        <f t="shared" si="14"/>
        <v>681.81600000000003</v>
      </c>
      <c r="N59" s="1"/>
      <c r="O59" s="1">
        <v>518.29927759999987</v>
      </c>
      <c r="P59" s="1"/>
      <c r="Q59" s="1"/>
      <c r="R59" s="1"/>
      <c r="S59" s="1">
        <v>568.9226000000001</v>
      </c>
      <c r="T59" s="1"/>
      <c r="U59" s="1"/>
      <c r="V59" s="1">
        <f t="shared" si="15"/>
        <v>136.36320000000001</v>
      </c>
      <c r="W59" s="5">
        <f t="shared" ref="W59:W61" si="21">11*V59-U59-T59-S59-R59-Q59-P59-O59-F59</f>
        <v>330.7803224000001</v>
      </c>
      <c r="X59" s="1">
        <f t="shared" si="16"/>
        <v>11</v>
      </c>
      <c r="Y59" s="1">
        <f t="shared" si="17"/>
        <v>8.5742698733969274</v>
      </c>
      <c r="Z59" s="1">
        <v>140.7388</v>
      </c>
      <c r="AA59" s="1">
        <v>154.60720000000001</v>
      </c>
      <c r="AB59" s="1">
        <v>64.628200000000007</v>
      </c>
      <c r="AC59" s="1">
        <v>46.284599999999998</v>
      </c>
      <c r="AD59" s="1">
        <v>73.507800000000003</v>
      </c>
      <c r="AE59" s="1">
        <v>80.846599999999995</v>
      </c>
      <c r="AF59" s="1">
        <v>58.027799999999999</v>
      </c>
      <c r="AG59" s="1">
        <v>74.771800000000013</v>
      </c>
      <c r="AH59" s="1"/>
      <c r="AI59" s="1">
        <f t="shared" si="20"/>
        <v>330.7803224000001</v>
      </c>
      <c r="AJ59" s="1"/>
      <c r="AK59" s="1"/>
      <c r="AL59" s="1"/>
      <c r="AM59" s="1"/>
      <c r="AN59" s="1"/>
      <c r="AO59" s="1"/>
      <c r="AP59" s="1"/>
      <c r="AQ59" s="1"/>
    </row>
    <row r="60" spans="1:43" x14ac:dyDescent="0.25">
      <c r="A60" s="1" t="s">
        <v>109</v>
      </c>
      <c r="B60" s="1" t="s">
        <v>45</v>
      </c>
      <c r="C60" s="1">
        <v>-8</v>
      </c>
      <c r="D60" s="1">
        <v>688</v>
      </c>
      <c r="E60" s="14">
        <f>115+E137</f>
        <v>167</v>
      </c>
      <c r="F60" s="14">
        <f>460+F137</f>
        <v>528</v>
      </c>
      <c r="G60" s="7">
        <v>0.1</v>
      </c>
      <c r="H60" s="1">
        <v>731</v>
      </c>
      <c r="I60" s="1" t="s">
        <v>40</v>
      </c>
      <c r="J60" s="1"/>
      <c r="K60" s="1">
        <v>127</v>
      </c>
      <c r="L60" s="1">
        <f t="shared" si="13"/>
        <v>40</v>
      </c>
      <c r="M60" s="1">
        <f t="shared" si="14"/>
        <v>167</v>
      </c>
      <c r="N60" s="1"/>
      <c r="O60" s="1">
        <v>647</v>
      </c>
      <c r="P60" s="1"/>
      <c r="Q60" s="1"/>
      <c r="R60" s="1"/>
      <c r="S60" s="1">
        <v>0</v>
      </c>
      <c r="T60" s="1"/>
      <c r="U60" s="1"/>
      <c r="V60" s="1">
        <f t="shared" si="15"/>
        <v>33.4</v>
      </c>
      <c r="W60" s="5"/>
      <c r="X60" s="1">
        <f t="shared" si="16"/>
        <v>35.179640718562872</v>
      </c>
      <c r="Y60" s="1">
        <f t="shared" si="17"/>
        <v>35.179640718562872</v>
      </c>
      <c r="Z60" s="1">
        <v>37</v>
      </c>
      <c r="AA60" s="1">
        <v>62.6</v>
      </c>
      <c r="AB60" s="1">
        <v>35.200000000000003</v>
      </c>
      <c r="AC60" s="1">
        <v>18.2</v>
      </c>
      <c r="AD60" s="1">
        <v>21.2</v>
      </c>
      <c r="AE60" s="1">
        <v>26.6</v>
      </c>
      <c r="AF60" s="1">
        <v>27.2</v>
      </c>
      <c r="AG60" s="1">
        <v>27.2</v>
      </c>
      <c r="AH60" s="1"/>
      <c r="AI60" s="1">
        <f t="shared" si="20"/>
        <v>0</v>
      </c>
      <c r="AJ60" s="1"/>
      <c r="AK60" s="1"/>
      <c r="AL60" s="1"/>
      <c r="AM60" s="1"/>
      <c r="AN60" s="1"/>
      <c r="AO60" s="1"/>
      <c r="AP60" s="1"/>
      <c r="AQ60" s="1"/>
    </row>
    <row r="61" spans="1:43" x14ac:dyDescent="0.25">
      <c r="A61" s="1" t="s">
        <v>110</v>
      </c>
      <c r="B61" s="1" t="s">
        <v>39</v>
      </c>
      <c r="C61" s="1">
        <v>1013.657</v>
      </c>
      <c r="D61" s="1">
        <v>403.267</v>
      </c>
      <c r="E61" s="1">
        <v>694.65499999999997</v>
      </c>
      <c r="F61" s="1">
        <v>388.11200000000002</v>
      </c>
      <c r="G61" s="7">
        <v>1</v>
      </c>
      <c r="H61" s="1">
        <v>50</v>
      </c>
      <c r="I61" s="1" t="s">
        <v>40</v>
      </c>
      <c r="J61" s="1"/>
      <c r="K61" s="1">
        <v>699.33199999999999</v>
      </c>
      <c r="L61" s="1">
        <f t="shared" si="13"/>
        <v>-4.6770000000000209</v>
      </c>
      <c r="M61" s="1">
        <f t="shared" si="14"/>
        <v>490.12299999999993</v>
      </c>
      <c r="N61" s="1">
        <v>204.53200000000001</v>
      </c>
      <c r="O61" s="1"/>
      <c r="P61" s="1"/>
      <c r="Q61" s="1"/>
      <c r="R61" s="1"/>
      <c r="S61" s="1">
        <v>331.31229999999982</v>
      </c>
      <c r="T61" s="1"/>
      <c r="U61" s="1"/>
      <c r="V61" s="1">
        <f t="shared" si="15"/>
        <v>98.024599999999992</v>
      </c>
      <c r="W61" s="5">
        <f t="shared" si="21"/>
        <v>358.84629999999999</v>
      </c>
      <c r="X61" s="1">
        <f t="shared" si="16"/>
        <v>11</v>
      </c>
      <c r="Y61" s="1">
        <f t="shared" si="17"/>
        <v>7.3392219912144494</v>
      </c>
      <c r="Z61" s="1">
        <v>102.12820000000001</v>
      </c>
      <c r="AA61" s="1">
        <v>92.134600000000006</v>
      </c>
      <c r="AB61" s="1">
        <v>28.6614</v>
      </c>
      <c r="AC61" s="1">
        <v>42.103200000000001</v>
      </c>
      <c r="AD61" s="1">
        <v>122.72580000000001</v>
      </c>
      <c r="AE61" s="1">
        <v>148.85560000000001</v>
      </c>
      <c r="AF61" s="1">
        <v>72.963200000000001</v>
      </c>
      <c r="AG61" s="1">
        <v>88.772199999999998</v>
      </c>
      <c r="AH61" s="1"/>
      <c r="AI61" s="1">
        <f t="shared" si="20"/>
        <v>358.84629999999999</v>
      </c>
      <c r="AJ61" s="1"/>
      <c r="AK61" s="1"/>
      <c r="AL61" s="1"/>
      <c r="AM61" s="1"/>
      <c r="AN61" s="1"/>
      <c r="AO61" s="1"/>
      <c r="AP61" s="1"/>
      <c r="AQ61" s="1"/>
    </row>
    <row r="62" spans="1:43" x14ac:dyDescent="0.25">
      <c r="A62" s="1" t="s">
        <v>111</v>
      </c>
      <c r="B62" s="1" t="s">
        <v>39</v>
      </c>
      <c r="C62" s="1">
        <v>12.31</v>
      </c>
      <c r="D62" s="1">
        <v>169.18299999999999</v>
      </c>
      <c r="E62" s="1">
        <v>88.742000000000004</v>
      </c>
      <c r="F62" s="1">
        <v>32.741</v>
      </c>
      <c r="G62" s="7">
        <v>1</v>
      </c>
      <c r="H62" s="1">
        <v>55</v>
      </c>
      <c r="I62" s="1" t="s">
        <v>40</v>
      </c>
      <c r="J62" s="1"/>
      <c r="K62" s="1">
        <v>94.11</v>
      </c>
      <c r="L62" s="1">
        <f t="shared" si="13"/>
        <v>-5.367999999999995</v>
      </c>
      <c r="M62" s="1">
        <f t="shared" si="14"/>
        <v>88.742000000000004</v>
      </c>
      <c r="N62" s="1"/>
      <c r="O62" s="1"/>
      <c r="P62" s="1"/>
      <c r="Q62" s="1"/>
      <c r="R62" s="1"/>
      <c r="S62" s="1">
        <v>0</v>
      </c>
      <c r="T62" s="1"/>
      <c r="U62" s="1"/>
      <c r="V62" s="1">
        <f t="shared" si="15"/>
        <v>17.7484</v>
      </c>
      <c r="W62" s="5">
        <f>8*V62-U62-T62-S62-R62-Q62-P62-O62-F62</f>
        <v>109.2462</v>
      </c>
      <c r="X62" s="1">
        <f t="shared" si="16"/>
        <v>8</v>
      </c>
      <c r="Y62" s="1">
        <f t="shared" si="17"/>
        <v>1.8447296657726893</v>
      </c>
      <c r="Z62" s="1">
        <v>2.9815999999999998</v>
      </c>
      <c r="AA62" s="1">
        <v>5.4039999999999999</v>
      </c>
      <c r="AB62" s="1">
        <v>9.4480000000000004</v>
      </c>
      <c r="AC62" s="1">
        <v>7.5763999999999996</v>
      </c>
      <c r="AD62" s="1">
        <v>5.4626000000000001</v>
      </c>
      <c r="AE62" s="1">
        <v>6.831999999999999</v>
      </c>
      <c r="AF62" s="1">
        <v>4.8714000000000004</v>
      </c>
      <c r="AG62" s="1">
        <v>4.8714000000000004</v>
      </c>
      <c r="AH62" s="1"/>
      <c r="AI62" s="1">
        <f t="shared" si="20"/>
        <v>109.2462</v>
      </c>
      <c r="AJ62" s="1"/>
      <c r="AK62" s="1"/>
      <c r="AL62" s="1"/>
      <c r="AM62" s="1"/>
      <c r="AN62" s="1"/>
      <c r="AO62" s="1"/>
      <c r="AP62" s="1"/>
      <c r="AQ62" s="1"/>
    </row>
    <row r="63" spans="1:43" x14ac:dyDescent="0.25">
      <c r="A63" s="1" t="s">
        <v>113</v>
      </c>
      <c r="B63" s="1" t="s">
        <v>45</v>
      </c>
      <c r="C63" s="1">
        <v>18</v>
      </c>
      <c r="D63" s="1">
        <v>522</v>
      </c>
      <c r="E63" s="1">
        <v>129</v>
      </c>
      <c r="F63" s="1">
        <v>408</v>
      </c>
      <c r="G63" s="7">
        <v>0.1</v>
      </c>
      <c r="H63" s="1">
        <v>731</v>
      </c>
      <c r="I63" s="1" t="s">
        <v>40</v>
      </c>
      <c r="J63" s="1"/>
      <c r="K63" s="1">
        <v>146</v>
      </c>
      <c r="L63" s="1">
        <f t="shared" si="13"/>
        <v>-17</v>
      </c>
      <c r="M63" s="1">
        <f t="shared" si="14"/>
        <v>129</v>
      </c>
      <c r="N63" s="1"/>
      <c r="O63" s="1">
        <v>388.2</v>
      </c>
      <c r="P63" s="1"/>
      <c r="Q63" s="1"/>
      <c r="R63" s="1"/>
      <c r="S63" s="1">
        <v>0</v>
      </c>
      <c r="T63" s="1"/>
      <c r="U63" s="1"/>
      <c r="V63" s="1">
        <f t="shared" si="15"/>
        <v>25.8</v>
      </c>
      <c r="W63" s="5"/>
      <c r="X63" s="1">
        <f t="shared" si="16"/>
        <v>30.86046511627907</v>
      </c>
      <c r="Y63" s="1">
        <f t="shared" si="17"/>
        <v>30.86046511627907</v>
      </c>
      <c r="Z63" s="1">
        <v>29</v>
      </c>
      <c r="AA63" s="1">
        <v>47</v>
      </c>
      <c r="AB63" s="1">
        <v>28.2</v>
      </c>
      <c r="AC63" s="1">
        <v>12</v>
      </c>
      <c r="AD63" s="1">
        <v>17.2</v>
      </c>
      <c r="AE63" s="1">
        <v>18.600000000000001</v>
      </c>
      <c r="AF63" s="1">
        <v>23.6</v>
      </c>
      <c r="AG63" s="1">
        <v>23.6</v>
      </c>
      <c r="AH63" s="1"/>
      <c r="AI63" s="1">
        <f t="shared" si="20"/>
        <v>0</v>
      </c>
      <c r="AJ63" s="1"/>
      <c r="AK63" s="1"/>
      <c r="AL63" s="1"/>
      <c r="AM63" s="1"/>
      <c r="AN63" s="1"/>
      <c r="AO63" s="1"/>
      <c r="AP63" s="1"/>
      <c r="AQ63" s="1"/>
    </row>
    <row r="64" spans="1:43" x14ac:dyDescent="0.25">
      <c r="A64" s="1" t="s">
        <v>114</v>
      </c>
      <c r="B64" s="1" t="s">
        <v>45</v>
      </c>
      <c r="C64" s="1">
        <v>25</v>
      </c>
      <c r="D64" s="1"/>
      <c r="E64" s="1">
        <v>3</v>
      </c>
      <c r="F64" s="1">
        <v>22</v>
      </c>
      <c r="G64" s="7">
        <v>0.4</v>
      </c>
      <c r="H64" s="1">
        <v>50</v>
      </c>
      <c r="I64" s="1" t="s">
        <v>40</v>
      </c>
      <c r="J64" s="1"/>
      <c r="K64" s="1">
        <v>17</v>
      </c>
      <c r="L64" s="1">
        <f t="shared" si="13"/>
        <v>-14</v>
      </c>
      <c r="M64" s="1">
        <f t="shared" si="14"/>
        <v>3</v>
      </c>
      <c r="N64" s="1"/>
      <c r="O64" s="1"/>
      <c r="P64" s="1"/>
      <c r="Q64" s="1"/>
      <c r="R64" s="1"/>
      <c r="S64" s="1">
        <v>0</v>
      </c>
      <c r="T64" s="1"/>
      <c r="U64" s="1"/>
      <c r="V64" s="1">
        <f t="shared" si="15"/>
        <v>0.6</v>
      </c>
      <c r="W64" s="5"/>
      <c r="X64" s="1">
        <f t="shared" si="16"/>
        <v>36.666666666666671</v>
      </c>
      <c r="Y64" s="1">
        <f t="shared" si="17"/>
        <v>36.666666666666671</v>
      </c>
      <c r="Z64" s="1">
        <v>0.2</v>
      </c>
      <c r="AA64" s="1">
        <v>0.2</v>
      </c>
      <c r="AB64" s="1">
        <v>0.2</v>
      </c>
      <c r="AC64" s="1">
        <v>0.2</v>
      </c>
      <c r="AD64" s="1">
        <v>0.2</v>
      </c>
      <c r="AE64" s="1">
        <v>0</v>
      </c>
      <c r="AF64" s="1">
        <v>0.2</v>
      </c>
      <c r="AG64" s="1">
        <v>0.2</v>
      </c>
      <c r="AH64" s="18" t="s">
        <v>112</v>
      </c>
      <c r="AI64" s="1">
        <f t="shared" si="20"/>
        <v>0</v>
      </c>
      <c r="AJ64" s="1"/>
      <c r="AK64" s="1"/>
      <c r="AL64" s="1"/>
      <c r="AM64" s="1"/>
      <c r="AN64" s="1"/>
      <c r="AO64" s="1"/>
      <c r="AP64" s="1"/>
      <c r="AQ64" s="1"/>
    </row>
    <row r="65" spans="1:43" x14ac:dyDescent="0.25">
      <c r="A65" s="1" t="s">
        <v>115</v>
      </c>
      <c r="B65" s="1" t="s">
        <v>39</v>
      </c>
      <c r="C65" s="1">
        <v>65.893000000000001</v>
      </c>
      <c r="D65" s="1">
        <v>579.01700000000005</v>
      </c>
      <c r="E65" s="1">
        <v>246.648</v>
      </c>
      <c r="F65" s="1">
        <v>266.86099999999999</v>
      </c>
      <c r="G65" s="7">
        <v>1</v>
      </c>
      <c r="H65" s="1">
        <v>40</v>
      </c>
      <c r="I65" s="10" t="s">
        <v>51</v>
      </c>
      <c r="J65" s="1"/>
      <c r="K65" s="1">
        <v>354.93</v>
      </c>
      <c r="L65" s="1">
        <f t="shared" si="13"/>
        <v>-108.28200000000001</v>
      </c>
      <c r="M65" s="1">
        <f t="shared" si="14"/>
        <v>119.018</v>
      </c>
      <c r="N65" s="1">
        <v>127.63</v>
      </c>
      <c r="O65" s="1">
        <v>100</v>
      </c>
      <c r="P65" s="1"/>
      <c r="Q65" s="1"/>
      <c r="R65" s="1"/>
      <c r="S65" s="1">
        <v>372.98419999999999</v>
      </c>
      <c r="T65" s="1"/>
      <c r="U65" s="1"/>
      <c r="V65" s="1">
        <f t="shared" si="15"/>
        <v>23.803599999999999</v>
      </c>
      <c r="W65" s="5"/>
      <c r="X65" s="1">
        <f t="shared" si="16"/>
        <v>31.081231410374901</v>
      </c>
      <c r="Y65" s="1">
        <f t="shared" si="17"/>
        <v>31.081231410374901</v>
      </c>
      <c r="Z65" s="1">
        <v>71.302800000000005</v>
      </c>
      <c r="AA65" s="1">
        <v>74.102599999999995</v>
      </c>
      <c r="AB65" s="1">
        <v>40.983999999999988</v>
      </c>
      <c r="AC65" s="1">
        <v>8.3099999999999987</v>
      </c>
      <c r="AD65" s="1">
        <v>26.265000000000001</v>
      </c>
      <c r="AE65" s="1">
        <v>55.605400000000003</v>
      </c>
      <c r="AF65" s="1">
        <v>1.9778</v>
      </c>
      <c r="AG65" s="1">
        <v>1.9778</v>
      </c>
      <c r="AH65" s="1" t="s">
        <v>42</v>
      </c>
      <c r="AI65" s="1">
        <f t="shared" si="20"/>
        <v>0</v>
      </c>
      <c r="AJ65" s="1"/>
      <c r="AK65" s="1"/>
      <c r="AL65" s="1"/>
      <c r="AM65" s="1"/>
      <c r="AN65" s="1"/>
      <c r="AO65" s="1"/>
      <c r="AP65" s="1"/>
      <c r="AQ65" s="1"/>
    </row>
    <row r="66" spans="1:43" x14ac:dyDescent="0.25">
      <c r="A66" s="1" t="s">
        <v>116</v>
      </c>
      <c r="B66" s="1" t="s">
        <v>39</v>
      </c>
      <c r="C66" s="1">
        <v>10.625999999999999</v>
      </c>
      <c r="D66" s="1">
        <v>306.20999999999998</v>
      </c>
      <c r="E66" s="1">
        <v>95.563999999999993</v>
      </c>
      <c r="F66" s="1">
        <v>211.874</v>
      </c>
      <c r="G66" s="7">
        <v>1</v>
      </c>
      <c r="H66" s="1">
        <v>40</v>
      </c>
      <c r="I66" s="10" t="s">
        <v>51</v>
      </c>
      <c r="J66" s="1"/>
      <c r="K66" s="1">
        <v>230.2</v>
      </c>
      <c r="L66" s="1">
        <f t="shared" si="13"/>
        <v>-134.636</v>
      </c>
      <c r="M66" s="1">
        <f t="shared" si="14"/>
        <v>95.563999999999993</v>
      </c>
      <c r="N66" s="1"/>
      <c r="O66" s="1">
        <v>50</v>
      </c>
      <c r="P66" s="1"/>
      <c r="Q66" s="1"/>
      <c r="R66" s="1"/>
      <c r="S66" s="1">
        <v>64.651200000000003</v>
      </c>
      <c r="T66" s="1">
        <v>-41.9</v>
      </c>
      <c r="U66" s="1"/>
      <c r="V66" s="1">
        <f t="shared" si="15"/>
        <v>19.1128</v>
      </c>
      <c r="W66" s="5">
        <v>100</v>
      </c>
      <c r="X66" s="1">
        <f t="shared" si="16"/>
        <v>20.123958812942114</v>
      </c>
      <c r="Y66" s="1">
        <f t="shared" si="17"/>
        <v>14.891863044661173</v>
      </c>
      <c r="Z66" s="1">
        <v>32.8048</v>
      </c>
      <c r="AA66" s="1">
        <v>35.227999999999987</v>
      </c>
      <c r="AB66" s="1">
        <v>10.414</v>
      </c>
      <c r="AC66" s="1">
        <v>0.26600000000000001</v>
      </c>
      <c r="AD66" s="1">
        <v>12.8588</v>
      </c>
      <c r="AE66" s="1">
        <v>32.803199999999997</v>
      </c>
      <c r="AF66" s="1">
        <v>19.798400000000001</v>
      </c>
      <c r="AG66" s="1">
        <v>10.039999999999999</v>
      </c>
      <c r="AH66" s="1" t="s">
        <v>42</v>
      </c>
      <c r="AI66" s="1">
        <f t="shared" si="20"/>
        <v>100</v>
      </c>
      <c r="AJ66" s="1"/>
      <c r="AK66" s="1"/>
      <c r="AL66" s="1"/>
      <c r="AM66" s="1"/>
      <c r="AN66" s="1"/>
      <c r="AO66" s="1"/>
      <c r="AP66" s="1"/>
      <c r="AQ66" s="1"/>
    </row>
    <row r="67" spans="1:43" x14ac:dyDescent="0.25">
      <c r="A67" s="1" t="s">
        <v>117</v>
      </c>
      <c r="B67" s="1" t="s">
        <v>45</v>
      </c>
      <c r="C67" s="1">
        <v>-23</v>
      </c>
      <c r="D67" s="1">
        <v>1524</v>
      </c>
      <c r="E67" s="1">
        <v>474</v>
      </c>
      <c r="F67" s="1">
        <v>997</v>
      </c>
      <c r="G67" s="7">
        <v>0.4</v>
      </c>
      <c r="H67" s="1">
        <v>40</v>
      </c>
      <c r="I67" s="10" t="s">
        <v>51</v>
      </c>
      <c r="J67" s="1"/>
      <c r="K67" s="1">
        <v>547</v>
      </c>
      <c r="L67" s="1">
        <f t="shared" si="13"/>
        <v>-73</v>
      </c>
      <c r="M67" s="1">
        <f t="shared" si="14"/>
        <v>474</v>
      </c>
      <c r="N67" s="1"/>
      <c r="O67" s="1">
        <v>1000</v>
      </c>
      <c r="P67" s="1"/>
      <c r="Q67" s="1"/>
      <c r="R67" s="1"/>
      <c r="S67" s="1">
        <v>150</v>
      </c>
      <c r="T67" s="1"/>
      <c r="U67" s="1"/>
      <c r="V67" s="1">
        <f t="shared" si="15"/>
        <v>94.8</v>
      </c>
      <c r="W67" s="5">
        <v>150</v>
      </c>
      <c r="X67" s="1">
        <f t="shared" si="16"/>
        <v>24.229957805907173</v>
      </c>
      <c r="Y67" s="1">
        <f t="shared" si="17"/>
        <v>22.647679324894515</v>
      </c>
      <c r="Z67" s="1">
        <v>209</v>
      </c>
      <c r="AA67" s="1">
        <v>283.39999999999998</v>
      </c>
      <c r="AB67" s="1">
        <v>167</v>
      </c>
      <c r="AC67" s="1">
        <v>155.6</v>
      </c>
      <c r="AD67" s="1">
        <v>157.4</v>
      </c>
      <c r="AE67" s="1">
        <v>200.4</v>
      </c>
      <c r="AF67" s="1">
        <v>164</v>
      </c>
      <c r="AG67" s="1">
        <v>188.8</v>
      </c>
      <c r="AH67" s="1"/>
      <c r="AI67" s="1">
        <f t="shared" si="20"/>
        <v>60</v>
      </c>
      <c r="AJ67" s="1"/>
      <c r="AK67" s="1"/>
      <c r="AL67" s="1"/>
      <c r="AM67" s="1"/>
      <c r="AN67" s="1"/>
      <c r="AO67" s="1"/>
      <c r="AP67" s="1"/>
      <c r="AQ67" s="1"/>
    </row>
    <row r="68" spans="1:43" x14ac:dyDescent="0.25">
      <c r="A68" s="1" t="s">
        <v>118</v>
      </c>
      <c r="B68" s="1" t="s">
        <v>45</v>
      </c>
      <c r="C68" s="1">
        <v>19</v>
      </c>
      <c r="D68" s="1">
        <v>584</v>
      </c>
      <c r="E68" s="1">
        <v>132</v>
      </c>
      <c r="F68" s="1">
        <v>455</v>
      </c>
      <c r="G68" s="7">
        <v>0.4</v>
      </c>
      <c r="H68" s="1">
        <v>40</v>
      </c>
      <c r="I68" s="10" t="s">
        <v>51</v>
      </c>
      <c r="J68" s="1"/>
      <c r="K68" s="1">
        <v>499</v>
      </c>
      <c r="L68" s="1">
        <f t="shared" si="13"/>
        <v>-367</v>
      </c>
      <c r="M68" s="1">
        <f t="shared" si="14"/>
        <v>132</v>
      </c>
      <c r="N68" s="1"/>
      <c r="O68" s="1">
        <v>219</v>
      </c>
      <c r="P68" s="1"/>
      <c r="Q68" s="1"/>
      <c r="R68" s="1"/>
      <c r="S68" s="1">
        <v>0</v>
      </c>
      <c r="T68" s="1"/>
      <c r="U68" s="1"/>
      <c r="V68" s="1">
        <f t="shared" si="15"/>
        <v>26.4</v>
      </c>
      <c r="W68" s="5">
        <v>250</v>
      </c>
      <c r="X68" s="1">
        <f t="shared" si="16"/>
        <v>35</v>
      </c>
      <c r="Y68" s="1">
        <f t="shared" si="17"/>
        <v>25.530303030303031</v>
      </c>
      <c r="Z68" s="1">
        <v>52.6</v>
      </c>
      <c r="AA68" s="1">
        <v>97</v>
      </c>
      <c r="AB68" s="1">
        <v>65.8</v>
      </c>
      <c r="AC68" s="1">
        <v>20</v>
      </c>
      <c r="AD68" s="1">
        <v>15.6</v>
      </c>
      <c r="AE68" s="1">
        <v>37.799999999999997</v>
      </c>
      <c r="AF68" s="1">
        <v>26.6</v>
      </c>
      <c r="AG68" s="1">
        <v>38.4</v>
      </c>
      <c r="AH68" s="1"/>
      <c r="AI68" s="1">
        <f t="shared" si="20"/>
        <v>100</v>
      </c>
      <c r="AJ68" s="1"/>
      <c r="AK68" s="1"/>
      <c r="AL68" s="1"/>
      <c r="AM68" s="1"/>
      <c r="AN68" s="1"/>
      <c r="AO68" s="1"/>
      <c r="AP68" s="1"/>
      <c r="AQ68" s="1"/>
    </row>
    <row r="69" spans="1:43" x14ac:dyDescent="0.25">
      <c r="A69" s="1" t="s">
        <v>119</v>
      </c>
      <c r="B69" s="1" t="s">
        <v>39</v>
      </c>
      <c r="C69" s="1">
        <v>-3.3740000000000001</v>
      </c>
      <c r="D69" s="1">
        <v>120.126</v>
      </c>
      <c r="E69" s="1">
        <v>65.468999999999994</v>
      </c>
      <c r="F69" s="1">
        <v>38.472999999999999</v>
      </c>
      <c r="G69" s="7">
        <v>1</v>
      </c>
      <c r="H69" s="1">
        <v>40</v>
      </c>
      <c r="I69" s="10" t="s">
        <v>51</v>
      </c>
      <c r="J69" s="1"/>
      <c r="K69" s="1">
        <v>81.099999999999994</v>
      </c>
      <c r="L69" s="1">
        <f t="shared" si="13"/>
        <v>-15.631</v>
      </c>
      <c r="M69" s="1">
        <f t="shared" si="14"/>
        <v>65.468999999999994</v>
      </c>
      <c r="N69" s="1"/>
      <c r="O69" s="1">
        <v>0</v>
      </c>
      <c r="P69" s="1"/>
      <c r="Q69" s="1"/>
      <c r="R69" s="1"/>
      <c r="S69" s="1">
        <v>0</v>
      </c>
      <c r="T69" s="1"/>
      <c r="U69" s="1"/>
      <c r="V69" s="1">
        <f t="shared" si="15"/>
        <v>13.093799999999998</v>
      </c>
      <c r="W69" s="5">
        <v>80</v>
      </c>
      <c r="X69" s="1">
        <f t="shared" si="16"/>
        <v>9.0480227283141659</v>
      </c>
      <c r="Y69" s="1">
        <f t="shared" si="17"/>
        <v>2.9382608562831267</v>
      </c>
      <c r="Z69" s="1">
        <v>1.0998000000000001</v>
      </c>
      <c r="AA69" s="1">
        <v>6.0128000000000004</v>
      </c>
      <c r="AB69" s="1">
        <v>19.421600000000002</v>
      </c>
      <c r="AC69" s="1">
        <v>9.282</v>
      </c>
      <c r="AD69" s="1">
        <v>10.1296</v>
      </c>
      <c r="AE69" s="1">
        <v>11.0182</v>
      </c>
      <c r="AF69" s="1">
        <v>11.1456</v>
      </c>
      <c r="AG69" s="1">
        <v>9.0595999999999979</v>
      </c>
      <c r="AH69" s="1"/>
      <c r="AI69" s="1">
        <f t="shared" si="20"/>
        <v>80</v>
      </c>
      <c r="AJ69" s="1"/>
      <c r="AK69" s="1"/>
      <c r="AL69" s="1"/>
      <c r="AM69" s="1"/>
      <c r="AN69" s="1"/>
      <c r="AO69" s="1"/>
      <c r="AP69" s="1"/>
      <c r="AQ69" s="1"/>
    </row>
    <row r="70" spans="1:43" x14ac:dyDescent="0.25">
      <c r="A70" s="1" t="s">
        <v>120</v>
      </c>
      <c r="B70" s="1" t="s">
        <v>39</v>
      </c>
      <c r="C70" s="1">
        <v>92.706000000000003</v>
      </c>
      <c r="D70" s="1">
        <v>164.78200000000001</v>
      </c>
      <c r="E70" s="1">
        <v>53.366</v>
      </c>
      <c r="F70" s="1">
        <v>109.94799999999999</v>
      </c>
      <c r="G70" s="7">
        <v>1</v>
      </c>
      <c r="H70" s="1">
        <v>40</v>
      </c>
      <c r="I70" s="10" t="s">
        <v>51</v>
      </c>
      <c r="J70" s="1"/>
      <c r="K70" s="1">
        <v>74.400000000000006</v>
      </c>
      <c r="L70" s="1">
        <f t="shared" ref="L70:L101" si="22">E70-K70</f>
        <v>-21.034000000000006</v>
      </c>
      <c r="M70" s="1">
        <f t="shared" ref="M70:M101" si="23">E70-N70</f>
        <v>53.366</v>
      </c>
      <c r="N70" s="1"/>
      <c r="O70" s="1">
        <v>54.805649999999993</v>
      </c>
      <c r="P70" s="1">
        <v>-59.4</v>
      </c>
      <c r="Q70" s="1"/>
      <c r="R70" s="1"/>
      <c r="S70" s="1">
        <v>150</v>
      </c>
      <c r="T70" s="1">
        <v>-151.19999999999999</v>
      </c>
      <c r="U70" s="1"/>
      <c r="V70" s="1">
        <f t="shared" ref="V70:V101" si="24">M70/5</f>
        <v>10.6732</v>
      </c>
      <c r="W70" s="5">
        <v>100</v>
      </c>
      <c r="X70" s="1">
        <f t="shared" ref="X70:X101" si="25">(F70+O70+P70+Q70+R70+S70+T70+U70+W70)/V70</f>
        <v>19.127688978000975</v>
      </c>
      <c r="Y70" s="1">
        <f t="shared" ref="Y70:Y101" si="26">(F70+O70+P70+Q70+R70+S70+T70+U70)/V70</f>
        <v>9.7584276505640304</v>
      </c>
      <c r="Z70" s="1">
        <v>19.827200000000001</v>
      </c>
      <c r="AA70" s="1">
        <v>18.578600000000002</v>
      </c>
      <c r="AB70" s="1">
        <v>13.1068</v>
      </c>
      <c r="AC70" s="1">
        <v>10.066800000000001</v>
      </c>
      <c r="AD70" s="1">
        <v>14.335800000000001</v>
      </c>
      <c r="AE70" s="1">
        <v>32.4208</v>
      </c>
      <c r="AF70" s="1">
        <v>3.311199999999999</v>
      </c>
      <c r="AG70" s="1">
        <v>20.581600000000002</v>
      </c>
      <c r="AH70" s="1"/>
      <c r="AI70" s="1">
        <f t="shared" si="20"/>
        <v>100</v>
      </c>
      <c r="AJ70" s="1"/>
      <c r="AK70" s="1"/>
      <c r="AL70" s="1"/>
      <c r="AM70" s="1"/>
      <c r="AN70" s="1"/>
      <c r="AO70" s="1"/>
      <c r="AP70" s="1"/>
      <c r="AQ70" s="1"/>
    </row>
    <row r="71" spans="1:43" x14ac:dyDescent="0.25">
      <c r="A71" s="1" t="s">
        <v>121</v>
      </c>
      <c r="B71" s="1" t="s">
        <v>39</v>
      </c>
      <c r="C71" s="1">
        <v>-6.6260000000000003</v>
      </c>
      <c r="D71" s="1">
        <v>921.96900000000005</v>
      </c>
      <c r="E71" s="1">
        <v>54.13</v>
      </c>
      <c r="F71" s="1">
        <v>667.06600000000003</v>
      </c>
      <c r="G71" s="7">
        <v>1</v>
      </c>
      <c r="H71" s="1">
        <v>40</v>
      </c>
      <c r="I71" s="10" t="s">
        <v>51</v>
      </c>
      <c r="J71" s="1"/>
      <c r="K71" s="1">
        <v>500.61</v>
      </c>
      <c r="L71" s="1">
        <f t="shared" si="22"/>
        <v>-446.48</v>
      </c>
      <c r="M71" s="1">
        <f t="shared" si="23"/>
        <v>54.13</v>
      </c>
      <c r="N71" s="1"/>
      <c r="O71" s="1">
        <v>150</v>
      </c>
      <c r="P71" s="1">
        <v>-151.19999999999999</v>
      </c>
      <c r="Q71" s="1"/>
      <c r="R71" s="1"/>
      <c r="S71" s="1">
        <v>250</v>
      </c>
      <c r="T71" s="1"/>
      <c r="U71" s="1"/>
      <c r="V71" s="1">
        <f t="shared" si="24"/>
        <v>10.826000000000001</v>
      </c>
      <c r="W71" s="5">
        <v>250</v>
      </c>
      <c r="X71" s="1">
        <f t="shared" si="25"/>
        <v>107.69129872529096</v>
      </c>
      <c r="Y71" s="1">
        <f t="shared" si="26"/>
        <v>84.598743765010155</v>
      </c>
      <c r="Z71" s="1">
        <v>108.81619999999999</v>
      </c>
      <c r="AA71" s="1">
        <v>142.37799999999999</v>
      </c>
      <c r="AB71" s="1">
        <v>60.96</v>
      </c>
      <c r="AC71" s="1">
        <v>40.290599999999998</v>
      </c>
      <c r="AD71" s="1">
        <v>85.263000000000005</v>
      </c>
      <c r="AE71" s="1">
        <v>100.748</v>
      </c>
      <c r="AF71" s="1">
        <v>83.455400000000012</v>
      </c>
      <c r="AG71" s="1">
        <v>94.111999999999995</v>
      </c>
      <c r="AH71" s="1" t="s">
        <v>42</v>
      </c>
      <c r="AI71" s="1">
        <f t="shared" si="20"/>
        <v>250</v>
      </c>
      <c r="AJ71" s="1"/>
      <c r="AK71" s="1"/>
      <c r="AL71" s="1"/>
      <c r="AM71" s="1"/>
      <c r="AN71" s="1"/>
      <c r="AO71" s="1"/>
      <c r="AP71" s="1"/>
      <c r="AQ71" s="1"/>
    </row>
    <row r="72" spans="1:43" x14ac:dyDescent="0.25">
      <c r="A72" s="1" t="s">
        <v>122</v>
      </c>
      <c r="B72" s="1" t="s">
        <v>39</v>
      </c>
      <c r="C72" s="1">
        <v>40.673000000000002</v>
      </c>
      <c r="D72" s="1">
        <v>53.463000000000001</v>
      </c>
      <c r="E72" s="1">
        <v>21.873999999999999</v>
      </c>
      <c r="F72" s="1">
        <v>-21.93</v>
      </c>
      <c r="G72" s="7">
        <v>1</v>
      </c>
      <c r="H72" s="1">
        <v>40</v>
      </c>
      <c r="I72" s="10" t="s">
        <v>51</v>
      </c>
      <c r="J72" s="1"/>
      <c r="K72" s="1">
        <v>22.503</v>
      </c>
      <c r="L72" s="1">
        <f t="shared" si="22"/>
        <v>-0.62900000000000134</v>
      </c>
      <c r="M72" s="1">
        <f t="shared" si="23"/>
        <v>21.873999999999999</v>
      </c>
      <c r="N72" s="1"/>
      <c r="O72" s="1">
        <v>20</v>
      </c>
      <c r="P72" s="1"/>
      <c r="Q72" s="1"/>
      <c r="R72" s="1"/>
      <c r="S72" s="1">
        <v>60</v>
      </c>
      <c r="T72" s="1">
        <v>-64.8</v>
      </c>
      <c r="U72" s="1"/>
      <c r="V72" s="1">
        <f t="shared" si="24"/>
        <v>4.3747999999999996</v>
      </c>
      <c r="W72" s="5">
        <v>50</v>
      </c>
      <c r="X72" s="1">
        <f t="shared" si="25"/>
        <v>9.890737862302279</v>
      </c>
      <c r="Y72" s="1">
        <f t="shared" si="26"/>
        <v>-1.5383560391332169</v>
      </c>
      <c r="Z72" s="1">
        <v>13.090400000000001</v>
      </c>
      <c r="AA72" s="1">
        <v>12.855399999999999</v>
      </c>
      <c r="AB72" s="1">
        <v>3.5981999999999998</v>
      </c>
      <c r="AC72" s="1">
        <v>1.6362000000000001</v>
      </c>
      <c r="AD72" s="1">
        <v>3.9883999999999999</v>
      </c>
      <c r="AE72" s="1">
        <v>20.392199999999999</v>
      </c>
      <c r="AF72" s="1">
        <v>17.112400000000001</v>
      </c>
      <c r="AG72" s="1">
        <v>30.803799999999999</v>
      </c>
      <c r="AH72" s="1"/>
      <c r="AI72" s="1">
        <f t="shared" si="20"/>
        <v>50</v>
      </c>
      <c r="AJ72" s="1"/>
      <c r="AK72" s="1"/>
      <c r="AL72" s="1"/>
      <c r="AM72" s="1"/>
      <c r="AN72" s="1"/>
      <c r="AO72" s="1"/>
      <c r="AP72" s="1"/>
      <c r="AQ72" s="1"/>
    </row>
    <row r="73" spans="1:43" x14ac:dyDescent="0.25">
      <c r="A73" s="11" t="s">
        <v>123</v>
      </c>
      <c r="B73" s="11" t="s">
        <v>45</v>
      </c>
      <c r="C73" s="11"/>
      <c r="D73" s="11"/>
      <c r="E73" s="11"/>
      <c r="F73" s="11"/>
      <c r="G73" s="12">
        <v>0</v>
      </c>
      <c r="H73" s="11"/>
      <c r="I73" s="11" t="s">
        <v>40</v>
      </c>
      <c r="J73" s="11"/>
      <c r="K73" s="11"/>
      <c r="L73" s="11">
        <f t="shared" si="22"/>
        <v>0</v>
      </c>
      <c r="M73" s="11">
        <f t="shared" si="23"/>
        <v>0</v>
      </c>
      <c r="N73" s="11"/>
      <c r="O73" s="11"/>
      <c r="P73" s="11"/>
      <c r="Q73" s="11"/>
      <c r="R73" s="11"/>
      <c r="S73" s="11">
        <v>0</v>
      </c>
      <c r="T73" s="11"/>
      <c r="U73" s="11"/>
      <c r="V73" s="11">
        <f t="shared" si="24"/>
        <v>0</v>
      </c>
      <c r="W73" s="13"/>
      <c r="X73" s="11" t="e">
        <f t="shared" si="25"/>
        <v>#DIV/0!</v>
      </c>
      <c r="Y73" s="11" t="e">
        <f t="shared" si="26"/>
        <v>#DIV/0!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 t="s">
        <v>63</v>
      </c>
      <c r="AI73" s="11"/>
      <c r="AJ73" s="1"/>
      <c r="AK73" s="1"/>
      <c r="AL73" s="1"/>
      <c r="AM73" s="1"/>
      <c r="AN73" s="1"/>
      <c r="AO73" s="1"/>
      <c r="AP73" s="1"/>
      <c r="AQ73" s="1"/>
    </row>
    <row r="74" spans="1:43" x14ac:dyDescent="0.25">
      <c r="A74" s="1" t="s">
        <v>124</v>
      </c>
      <c r="B74" s="1" t="s">
        <v>39</v>
      </c>
      <c r="C74" s="1">
        <v>585.30399999999997</v>
      </c>
      <c r="D74" s="1">
        <v>2.492</v>
      </c>
      <c r="E74" s="1">
        <v>184.28399999999999</v>
      </c>
      <c r="F74" s="1">
        <v>347.93700000000001</v>
      </c>
      <c r="G74" s="7">
        <v>1</v>
      </c>
      <c r="H74" s="1">
        <v>30</v>
      </c>
      <c r="I74" s="10" t="s">
        <v>51</v>
      </c>
      <c r="J74" s="1"/>
      <c r="K74" s="1">
        <v>214.5</v>
      </c>
      <c r="L74" s="1">
        <f t="shared" si="22"/>
        <v>-30.216000000000008</v>
      </c>
      <c r="M74" s="1">
        <f t="shared" si="23"/>
        <v>184.28399999999999</v>
      </c>
      <c r="N74" s="1"/>
      <c r="O74" s="1">
        <v>0</v>
      </c>
      <c r="P74" s="1"/>
      <c r="Q74" s="1"/>
      <c r="R74" s="1"/>
      <c r="S74" s="1">
        <v>0</v>
      </c>
      <c r="T74" s="1"/>
      <c r="U74" s="1"/>
      <c r="V74" s="1">
        <f t="shared" si="24"/>
        <v>36.8568</v>
      </c>
      <c r="W74" s="5">
        <f>11*V74-U74-T74-S74-R74-Q74-P74-O74-F74</f>
        <v>57.487799999999993</v>
      </c>
      <c r="X74" s="1">
        <f t="shared" si="25"/>
        <v>11</v>
      </c>
      <c r="Y74" s="1">
        <f t="shared" si="26"/>
        <v>9.4402389789672458</v>
      </c>
      <c r="Z74" s="1">
        <v>31.719799999999999</v>
      </c>
      <c r="AA74" s="1">
        <v>39.7896</v>
      </c>
      <c r="AB74" s="1">
        <v>33.502800000000001</v>
      </c>
      <c r="AC74" s="1">
        <v>31.885400000000001</v>
      </c>
      <c r="AD74" s="1">
        <v>80.1066</v>
      </c>
      <c r="AE74" s="1">
        <v>96.989400000000003</v>
      </c>
      <c r="AF74" s="1">
        <v>46.159199999999998</v>
      </c>
      <c r="AG74" s="1">
        <v>46.7592</v>
      </c>
      <c r="AH74" s="1" t="s">
        <v>125</v>
      </c>
      <c r="AI74" s="1">
        <f>G74*W74</f>
        <v>57.487799999999993</v>
      </c>
      <c r="AJ74" s="1"/>
      <c r="AK74" s="1"/>
      <c r="AL74" s="1"/>
      <c r="AM74" s="1"/>
      <c r="AN74" s="1"/>
      <c r="AO74" s="1"/>
      <c r="AP74" s="1"/>
      <c r="AQ74" s="1"/>
    </row>
    <row r="75" spans="1:43" x14ac:dyDescent="0.25">
      <c r="A75" s="11" t="s">
        <v>126</v>
      </c>
      <c r="B75" s="11" t="s">
        <v>45</v>
      </c>
      <c r="C75" s="11">
        <v>-1</v>
      </c>
      <c r="D75" s="11"/>
      <c r="E75" s="11"/>
      <c r="F75" s="11">
        <v>-1</v>
      </c>
      <c r="G75" s="12">
        <v>0</v>
      </c>
      <c r="H75" s="11"/>
      <c r="I75" s="11" t="s">
        <v>54</v>
      </c>
      <c r="J75" s="11"/>
      <c r="K75" s="11"/>
      <c r="L75" s="11">
        <f t="shared" si="22"/>
        <v>0</v>
      </c>
      <c r="M75" s="11">
        <f t="shared" si="23"/>
        <v>0</v>
      </c>
      <c r="N75" s="11"/>
      <c r="O75" s="11"/>
      <c r="P75" s="11"/>
      <c r="Q75" s="11"/>
      <c r="R75" s="11"/>
      <c r="S75" s="11">
        <v>0</v>
      </c>
      <c r="T75" s="11"/>
      <c r="U75" s="11"/>
      <c r="V75" s="11">
        <f t="shared" si="24"/>
        <v>0</v>
      </c>
      <c r="W75" s="13"/>
      <c r="X75" s="11" t="e">
        <f t="shared" si="25"/>
        <v>#DIV/0!</v>
      </c>
      <c r="Y75" s="11" t="e">
        <f t="shared" si="26"/>
        <v>#DIV/0!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0.2</v>
      </c>
      <c r="AG75" s="11">
        <v>0.2</v>
      </c>
      <c r="AH75" s="11"/>
      <c r="AI75" s="11"/>
      <c r="AJ75" s="1"/>
      <c r="AK75" s="1"/>
      <c r="AL75" s="1"/>
      <c r="AM75" s="1"/>
      <c r="AN75" s="1"/>
      <c r="AO75" s="1"/>
      <c r="AP75" s="1"/>
      <c r="AQ75" s="1"/>
    </row>
    <row r="76" spans="1:43" x14ac:dyDescent="0.25">
      <c r="A76" s="1" t="s">
        <v>127</v>
      </c>
      <c r="B76" s="1" t="s">
        <v>45</v>
      </c>
      <c r="C76" s="1">
        <v>499</v>
      </c>
      <c r="D76" s="1">
        <v>2452</v>
      </c>
      <c r="E76" s="1">
        <v>1313</v>
      </c>
      <c r="F76" s="1">
        <v>1600</v>
      </c>
      <c r="G76" s="7">
        <v>0.6</v>
      </c>
      <c r="H76" s="1">
        <v>60</v>
      </c>
      <c r="I76" s="1" t="s">
        <v>40</v>
      </c>
      <c r="J76" s="1"/>
      <c r="K76" s="1">
        <v>1557</v>
      </c>
      <c r="L76" s="1">
        <f t="shared" si="22"/>
        <v>-244</v>
      </c>
      <c r="M76" s="1">
        <f t="shared" si="23"/>
        <v>1313</v>
      </c>
      <c r="N76" s="1"/>
      <c r="O76" s="1"/>
      <c r="P76" s="1"/>
      <c r="Q76" s="1"/>
      <c r="R76" s="1"/>
      <c r="S76" s="1">
        <v>1709.4</v>
      </c>
      <c r="T76" s="1"/>
      <c r="U76" s="1"/>
      <c r="V76" s="1">
        <f t="shared" si="24"/>
        <v>262.60000000000002</v>
      </c>
      <c r="W76" s="5"/>
      <c r="X76" s="1">
        <f t="shared" si="25"/>
        <v>12.602437166793601</v>
      </c>
      <c r="Y76" s="1">
        <f t="shared" si="26"/>
        <v>12.602437166793601</v>
      </c>
      <c r="Z76" s="1">
        <v>297.60000000000002</v>
      </c>
      <c r="AA76" s="1">
        <v>160.4</v>
      </c>
      <c r="AB76" s="1">
        <v>152</v>
      </c>
      <c r="AC76" s="1">
        <v>139</v>
      </c>
      <c r="AD76" s="1">
        <v>114.6</v>
      </c>
      <c r="AE76" s="1">
        <v>82</v>
      </c>
      <c r="AF76" s="1">
        <v>127.8</v>
      </c>
      <c r="AG76" s="1">
        <v>127.8</v>
      </c>
      <c r="AH76" s="1"/>
      <c r="AI76" s="1">
        <f>G76*W76</f>
        <v>0</v>
      </c>
      <c r="AJ76" s="1"/>
      <c r="AK76" s="1"/>
      <c r="AL76" s="1"/>
      <c r="AM76" s="1"/>
      <c r="AN76" s="1"/>
      <c r="AO76" s="1"/>
      <c r="AP76" s="1"/>
      <c r="AQ76" s="1"/>
    </row>
    <row r="77" spans="1:43" x14ac:dyDescent="0.25">
      <c r="A77" s="1" t="s">
        <v>128</v>
      </c>
      <c r="B77" s="1" t="s">
        <v>45</v>
      </c>
      <c r="C77" s="1">
        <v>382</v>
      </c>
      <c r="D77" s="1">
        <v>1774</v>
      </c>
      <c r="E77" s="1">
        <v>584</v>
      </c>
      <c r="F77" s="1">
        <v>1554</v>
      </c>
      <c r="G77" s="7">
        <v>0.6</v>
      </c>
      <c r="H77" s="1">
        <v>60</v>
      </c>
      <c r="I77" s="1" t="s">
        <v>40</v>
      </c>
      <c r="J77" s="1"/>
      <c r="K77" s="1">
        <v>596</v>
      </c>
      <c r="L77" s="1">
        <f t="shared" si="22"/>
        <v>-12</v>
      </c>
      <c r="M77" s="1">
        <f t="shared" si="23"/>
        <v>584</v>
      </c>
      <c r="N77" s="1"/>
      <c r="O77" s="1"/>
      <c r="P77" s="1"/>
      <c r="Q77" s="1"/>
      <c r="R77" s="1"/>
      <c r="S77" s="1">
        <v>105.8933333333335</v>
      </c>
      <c r="T77" s="1"/>
      <c r="U77" s="1"/>
      <c r="V77" s="1">
        <f t="shared" si="24"/>
        <v>116.8</v>
      </c>
      <c r="W77" s="5"/>
      <c r="X77" s="1">
        <f t="shared" si="25"/>
        <v>14.211415525114157</v>
      </c>
      <c r="Y77" s="1">
        <f t="shared" si="26"/>
        <v>14.211415525114157</v>
      </c>
      <c r="Z77" s="1">
        <v>156.80000000000001</v>
      </c>
      <c r="AA77" s="1">
        <v>202.8</v>
      </c>
      <c r="AB77" s="1">
        <v>171.6</v>
      </c>
      <c r="AC77" s="1">
        <v>133.80000000000001</v>
      </c>
      <c r="AD77" s="1">
        <v>123.8</v>
      </c>
      <c r="AE77" s="1">
        <v>92.2</v>
      </c>
      <c r="AF77" s="1">
        <v>129.19999999999999</v>
      </c>
      <c r="AG77" s="1">
        <v>129.19999999999999</v>
      </c>
      <c r="AH77" s="1"/>
      <c r="AI77" s="1">
        <f>G77*W77</f>
        <v>0</v>
      </c>
      <c r="AJ77" s="1"/>
      <c r="AK77" s="1"/>
      <c r="AL77" s="1"/>
      <c r="AM77" s="1"/>
      <c r="AN77" s="1"/>
      <c r="AO77" s="1"/>
      <c r="AP77" s="1"/>
      <c r="AQ77" s="1"/>
    </row>
    <row r="78" spans="1:43" x14ac:dyDescent="0.25">
      <c r="A78" s="1" t="s">
        <v>129</v>
      </c>
      <c r="B78" s="1" t="s">
        <v>45</v>
      </c>
      <c r="C78" s="1">
        <v>10</v>
      </c>
      <c r="D78" s="1">
        <v>80</v>
      </c>
      <c r="E78" s="1">
        <v>25</v>
      </c>
      <c r="F78" s="1">
        <v>65</v>
      </c>
      <c r="G78" s="7">
        <v>0.4</v>
      </c>
      <c r="H78" s="1"/>
      <c r="I78" s="1" t="s">
        <v>40</v>
      </c>
      <c r="J78" s="1"/>
      <c r="K78" s="1">
        <v>31</v>
      </c>
      <c r="L78" s="1">
        <f t="shared" si="22"/>
        <v>-6</v>
      </c>
      <c r="M78" s="1">
        <f t="shared" si="23"/>
        <v>25</v>
      </c>
      <c r="N78" s="1"/>
      <c r="O78" s="1"/>
      <c r="P78" s="1"/>
      <c r="Q78" s="1"/>
      <c r="R78" s="1"/>
      <c r="S78" s="1">
        <v>0</v>
      </c>
      <c r="T78" s="1"/>
      <c r="U78" s="1"/>
      <c r="V78" s="1">
        <f t="shared" si="24"/>
        <v>5</v>
      </c>
      <c r="W78" s="5"/>
      <c r="X78" s="1">
        <f t="shared" si="25"/>
        <v>13</v>
      </c>
      <c r="Y78" s="1">
        <f t="shared" si="26"/>
        <v>13</v>
      </c>
      <c r="Z78" s="1">
        <v>4</v>
      </c>
      <c r="AA78" s="1">
        <v>7.6</v>
      </c>
      <c r="AB78" s="1">
        <v>6.6</v>
      </c>
      <c r="AC78" s="1">
        <v>3.8</v>
      </c>
      <c r="AD78" s="1">
        <v>4</v>
      </c>
      <c r="AE78" s="1">
        <v>1</v>
      </c>
      <c r="AF78" s="1">
        <v>0</v>
      </c>
      <c r="AG78" s="1">
        <v>0</v>
      </c>
      <c r="AH78" s="1" t="s">
        <v>130</v>
      </c>
      <c r="AI78" s="1">
        <f>G78*W78</f>
        <v>0</v>
      </c>
      <c r="AJ78" s="1"/>
      <c r="AK78" s="1"/>
      <c r="AL78" s="1"/>
      <c r="AM78" s="1"/>
      <c r="AN78" s="1"/>
      <c r="AO78" s="1"/>
      <c r="AP78" s="1"/>
      <c r="AQ78" s="1"/>
    </row>
    <row r="79" spans="1:43" x14ac:dyDescent="0.25">
      <c r="A79" s="11" t="s">
        <v>131</v>
      </c>
      <c r="B79" s="11" t="s">
        <v>45</v>
      </c>
      <c r="C79" s="11">
        <v>1</v>
      </c>
      <c r="D79" s="11"/>
      <c r="E79" s="11"/>
      <c r="F79" s="11">
        <v>1</v>
      </c>
      <c r="G79" s="12">
        <v>0</v>
      </c>
      <c r="H79" s="11"/>
      <c r="I79" s="11" t="s">
        <v>40</v>
      </c>
      <c r="J79" s="11"/>
      <c r="K79" s="11">
        <v>2</v>
      </c>
      <c r="L79" s="11">
        <f t="shared" si="22"/>
        <v>-2</v>
      </c>
      <c r="M79" s="11">
        <f t="shared" si="23"/>
        <v>0</v>
      </c>
      <c r="N79" s="11"/>
      <c r="O79" s="11"/>
      <c r="P79" s="11"/>
      <c r="Q79" s="11"/>
      <c r="R79" s="11"/>
      <c r="S79" s="11">
        <v>0</v>
      </c>
      <c r="T79" s="11"/>
      <c r="U79" s="11"/>
      <c r="V79" s="11">
        <f t="shared" si="24"/>
        <v>0</v>
      </c>
      <c r="W79" s="13"/>
      <c r="X79" s="11" t="e">
        <f t="shared" si="25"/>
        <v>#DIV/0!</v>
      </c>
      <c r="Y79" s="11" t="e">
        <f t="shared" si="26"/>
        <v>#DIV/0!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 t="s">
        <v>63</v>
      </c>
      <c r="AI79" s="11"/>
      <c r="AJ79" s="1"/>
      <c r="AK79" s="1"/>
      <c r="AL79" s="1"/>
      <c r="AM79" s="1"/>
      <c r="AN79" s="1"/>
      <c r="AO79" s="1"/>
      <c r="AP79" s="1"/>
      <c r="AQ79" s="1"/>
    </row>
    <row r="80" spans="1:43" x14ac:dyDescent="0.25">
      <c r="A80" s="1" t="s">
        <v>132</v>
      </c>
      <c r="B80" s="1" t="s">
        <v>45</v>
      </c>
      <c r="C80" s="1">
        <v>63</v>
      </c>
      <c r="D80" s="1"/>
      <c r="E80" s="1">
        <v>43</v>
      </c>
      <c r="F80" s="1">
        <v>19</v>
      </c>
      <c r="G80" s="7">
        <v>0.35</v>
      </c>
      <c r="H80" s="1">
        <v>90</v>
      </c>
      <c r="I80" s="10" t="s">
        <v>51</v>
      </c>
      <c r="J80" s="1"/>
      <c r="K80" s="1">
        <v>55</v>
      </c>
      <c r="L80" s="1">
        <f t="shared" si="22"/>
        <v>-12</v>
      </c>
      <c r="M80" s="1">
        <f t="shared" si="23"/>
        <v>43</v>
      </c>
      <c r="N80" s="1"/>
      <c r="O80" s="1"/>
      <c r="P80" s="1"/>
      <c r="Q80" s="1"/>
      <c r="R80" s="1"/>
      <c r="S80" s="1">
        <v>41.600000000000009</v>
      </c>
      <c r="T80" s="1">
        <v>-48.000000000000007</v>
      </c>
      <c r="U80" s="1"/>
      <c r="V80" s="1">
        <f t="shared" si="24"/>
        <v>8.6</v>
      </c>
      <c r="W80" s="5">
        <v>40</v>
      </c>
      <c r="X80" s="1">
        <f t="shared" si="25"/>
        <v>6.1162790697674421</v>
      </c>
      <c r="Y80" s="1">
        <f t="shared" si="26"/>
        <v>1.4651162790697676</v>
      </c>
      <c r="Z80" s="1">
        <v>6.4</v>
      </c>
      <c r="AA80" s="1">
        <v>3.4</v>
      </c>
      <c r="AB80" s="1">
        <v>2</v>
      </c>
      <c r="AC80" s="1">
        <v>5.6</v>
      </c>
      <c r="AD80" s="1">
        <v>7.2</v>
      </c>
      <c r="AE80" s="1">
        <v>5.2</v>
      </c>
      <c r="AF80" s="1">
        <v>4</v>
      </c>
      <c r="AG80" s="1">
        <v>4</v>
      </c>
      <c r="AH80" s="1"/>
      <c r="AI80" s="1">
        <f t="shared" ref="AI80:AI88" si="27">G80*W80</f>
        <v>14</v>
      </c>
      <c r="AJ80" s="1"/>
      <c r="AK80" s="1"/>
      <c r="AL80" s="1"/>
      <c r="AM80" s="1"/>
      <c r="AN80" s="1"/>
      <c r="AO80" s="1"/>
      <c r="AP80" s="1"/>
      <c r="AQ80" s="1"/>
    </row>
    <row r="81" spans="1:43" x14ac:dyDescent="0.25">
      <c r="A81" s="1" t="s">
        <v>133</v>
      </c>
      <c r="B81" s="1" t="s">
        <v>45</v>
      </c>
      <c r="C81" s="1">
        <v>42</v>
      </c>
      <c r="D81" s="1">
        <v>402</v>
      </c>
      <c r="E81" s="1">
        <v>119</v>
      </c>
      <c r="F81" s="1">
        <v>324</v>
      </c>
      <c r="G81" s="7">
        <v>0.37</v>
      </c>
      <c r="H81" s="1">
        <v>50</v>
      </c>
      <c r="I81" s="1" t="s">
        <v>40</v>
      </c>
      <c r="J81" s="1"/>
      <c r="K81" s="1">
        <v>123</v>
      </c>
      <c r="L81" s="1">
        <f t="shared" si="22"/>
        <v>-4</v>
      </c>
      <c r="M81" s="1">
        <f t="shared" si="23"/>
        <v>119</v>
      </c>
      <c r="N81" s="1"/>
      <c r="O81" s="1"/>
      <c r="P81" s="1"/>
      <c r="Q81" s="1"/>
      <c r="R81" s="1"/>
      <c r="S81" s="1">
        <v>0</v>
      </c>
      <c r="T81" s="1"/>
      <c r="U81" s="1"/>
      <c r="V81" s="1">
        <f t="shared" si="24"/>
        <v>23.8</v>
      </c>
      <c r="W81" s="5"/>
      <c r="X81" s="1">
        <f t="shared" si="25"/>
        <v>13.61344537815126</v>
      </c>
      <c r="Y81" s="1">
        <f t="shared" si="26"/>
        <v>13.61344537815126</v>
      </c>
      <c r="Z81" s="1">
        <v>28.6</v>
      </c>
      <c r="AA81" s="1">
        <v>31.4</v>
      </c>
      <c r="AB81" s="1">
        <v>34.200000000000003</v>
      </c>
      <c r="AC81" s="1">
        <v>25.6</v>
      </c>
      <c r="AD81" s="1">
        <v>18.2</v>
      </c>
      <c r="AE81" s="1">
        <v>21.2</v>
      </c>
      <c r="AF81" s="1">
        <v>30.6</v>
      </c>
      <c r="AG81" s="1">
        <v>30.6</v>
      </c>
      <c r="AH81" s="1"/>
      <c r="AI81" s="1">
        <f t="shared" si="27"/>
        <v>0</v>
      </c>
      <c r="AJ81" s="1"/>
      <c r="AK81" s="1"/>
      <c r="AL81" s="1"/>
      <c r="AM81" s="1"/>
      <c r="AN81" s="1"/>
      <c r="AO81" s="1"/>
      <c r="AP81" s="1"/>
      <c r="AQ81" s="1"/>
    </row>
    <row r="82" spans="1:43" x14ac:dyDescent="0.25">
      <c r="A82" s="1" t="s">
        <v>134</v>
      </c>
      <c r="B82" s="1" t="s">
        <v>45</v>
      </c>
      <c r="C82" s="1">
        <v>102</v>
      </c>
      <c r="D82" s="1">
        <v>617</v>
      </c>
      <c r="E82" s="1">
        <v>226</v>
      </c>
      <c r="F82" s="1">
        <v>492</v>
      </c>
      <c r="G82" s="7">
        <v>0.6</v>
      </c>
      <c r="H82" s="1">
        <v>70</v>
      </c>
      <c r="I82" s="1" t="s">
        <v>40</v>
      </c>
      <c r="J82" s="1"/>
      <c r="K82" s="1">
        <v>227</v>
      </c>
      <c r="L82" s="1">
        <f t="shared" si="22"/>
        <v>-1</v>
      </c>
      <c r="M82" s="1">
        <f t="shared" si="23"/>
        <v>226</v>
      </c>
      <c r="N82" s="1"/>
      <c r="O82" s="1"/>
      <c r="P82" s="1"/>
      <c r="Q82" s="1"/>
      <c r="R82" s="1"/>
      <c r="S82" s="1">
        <v>5.82000000000005</v>
      </c>
      <c r="T82" s="1"/>
      <c r="U82" s="1"/>
      <c r="V82" s="1">
        <f t="shared" si="24"/>
        <v>45.2</v>
      </c>
      <c r="W82" s="5"/>
      <c r="X82" s="1">
        <f t="shared" si="25"/>
        <v>11.013716814159292</v>
      </c>
      <c r="Y82" s="1">
        <f t="shared" si="26"/>
        <v>11.013716814159292</v>
      </c>
      <c r="Z82" s="1">
        <v>52</v>
      </c>
      <c r="AA82" s="1">
        <v>67.8</v>
      </c>
      <c r="AB82" s="1">
        <v>63.6</v>
      </c>
      <c r="AC82" s="1">
        <v>44.6</v>
      </c>
      <c r="AD82" s="1">
        <v>41.8</v>
      </c>
      <c r="AE82" s="1">
        <v>40.799999999999997</v>
      </c>
      <c r="AF82" s="1">
        <v>61.8</v>
      </c>
      <c r="AG82" s="1">
        <v>61.8</v>
      </c>
      <c r="AH82" s="1"/>
      <c r="AI82" s="1">
        <f t="shared" si="27"/>
        <v>0</v>
      </c>
      <c r="AJ82" s="1"/>
      <c r="AK82" s="1"/>
      <c r="AL82" s="1"/>
      <c r="AM82" s="1"/>
      <c r="AN82" s="1"/>
      <c r="AO82" s="1"/>
      <c r="AP82" s="1"/>
      <c r="AQ82" s="1"/>
    </row>
    <row r="83" spans="1:43" x14ac:dyDescent="0.25">
      <c r="A83" s="1" t="s">
        <v>135</v>
      </c>
      <c r="B83" s="1" t="s">
        <v>45</v>
      </c>
      <c r="C83" s="1">
        <v>456</v>
      </c>
      <c r="D83" s="1">
        <v>564</v>
      </c>
      <c r="E83" s="1">
        <v>393</v>
      </c>
      <c r="F83" s="1">
        <v>611</v>
      </c>
      <c r="G83" s="7">
        <v>0.33</v>
      </c>
      <c r="H83" s="1">
        <v>40</v>
      </c>
      <c r="I83" s="1" t="s">
        <v>40</v>
      </c>
      <c r="J83" s="1"/>
      <c r="K83" s="1">
        <v>416</v>
      </c>
      <c r="L83" s="1">
        <f t="shared" si="22"/>
        <v>-23</v>
      </c>
      <c r="M83" s="1">
        <f t="shared" si="23"/>
        <v>393</v>
      </c>
      <c r="N83" s="1"/>
      <c r="O83" s="1"/>
      <c r="P83" s="1"/>
      <c r="Q83" s="1"/>
      <c r="R83" s="1"/>
      <c r="S83" s="1">
        <v>0</v>
      </c>
      <c r="T83" s="1"/>
      <c r="U83" s="1"/>
      <c r="V83" s="1">
        <f t="shared" si="24"/>
        <v>78.599999999999994</v>
      </c>
      <c r="W83" s="5">
        <f t="shared" ref="W83" si="28">11*V83-U83-T83-S83-R83-Q83-P83-O83-F83</f>
        <v>253.59999999999991</v>
      </c>
      <c r="X83" s="1">
        <f t="shared" si="25"/>
        <v>11</v>
      </c>
      <c r="Y83" s="1">
        <f t="shared" si="26"/>
        <v>7.773536895674301</v>
      </c>
      <c r="Z83" s="1">
        <v>60.2</v>
      </c>
      <c r="AA83" s="1">
        <v>23.2</v>
      </c>
      <c r="AB83" s="1">
        <v>35.4</v>
      </c>
      <c r="AC83" s="1">
        <v>69.599999999999994</v>
      </c>
      <c r="AD83" s="1">
        <v>62</v>
      </c>
      <c r="AE83" s="1">
        <v>50.8</v>
      </c>
      <c r="AF83" s="1">
        <v>41.2</v>
      </c>
      <c r="AG83" s="1">
        <v>49.6</v>
      </c>
      <c r="AH83" s="1"/>
      <c r="AI83" s="1">
        <f t="shared" si="27"/>
        <v>83.687999999999974</v>
      </c>
      <c r="AJ83" s="1"/>
      <c r="AK83" s="1"/>
      <c r="AL83" s="1"/>
      <c r="AM83" s="1"/>
      <c r="AN83" s="1"/>
      <c r="AO83" s="1"/>
      <c r="AP83" s="1"/>
      <c r="AQ83" s="1"/>
    </row>
    <row r="84" spans="1:43" x14ac:dyDescent="0.25">
      <c r="A84" s="1" t="s">
        <v>136</v>
      </c>
      <c r="B84" s="1" t="s">
        <v>45</v>
      </c>
      <c r="C84" s="1">
        <v>65</v>
      </c>
      <c r="D84" s="1">
        <v>80</v>
      </c>
      <c r="E84" s="1">
        <v>38</v>
      </c>
      <c r="F84" s="1">
        <v>102</v>
      </c>
      <c r="G84" s="7">
        <v>0.4</v>
      </c>
      <c r="H84" s="1">
        <v>55</v>
      </c>
      <c r="I84" s="1" t="s">
        <v>40</v>
      </c>
      <c r="J84" s="1"/>
      <c r="K84" s="1">
        <v>47</v>
      </c>
      <c r="L84" s="1">
        <f t="shared" si="22"/>
        <v>-9</v>
      </c>
      <c r="M84" s="1">
        <f t="shared" si="23"/>
        <v>38</v>
      </c>
      <c r="N84" s="1"/>
      <c r="O84" s="1"/>
      <c r="P84" s="1"/>
      <c r="Q84" s="1"/>
      <c r="R84" s="1"/>
      <c r="S84" s="1">
        <v>6.0000000000000142</v>
      </c>
      <c r="T84" s="1"/>
      <c r="U84" s="1"/>
      <c r="V84" s="1">
        <f t="shared" si="24"/>
        <v>7.6</v>
      </c>
      <c r="W84" s="5"/>
      <c r="X84" s="1">
        <f t="shared" si="25"/>
        <v>14.210526315789476</v>
      </c>
      <c r="Y84" s="1">
        <f t="shared" si="26"/>
        <v>14.210526315789476</v>
      </c>
      <c r="Z84" s="1">
        <v>10.199999999999999</v>
      </c>
      <c r="AA84" s="1">
        <v>12.6</v>
      </c>
      <c r="AB84" s="1">
        <v>9.4</v>
      </c>
      <c r="AC84" s="1">
        <v>11</v>
      </c>
      <c r="AD84" s="1">
        <v>11.2</v>
      </c>
      <c r="AE84" s="1">
        <v>5.8</v>
      </c>
      <c r="AF84" s="1">
        <v>13.2</v>
      </c>
      <c r="AG84" s="1">
        <v>13.2</v>
      </c>
      <c r="AH84" s="1"/>
      <c r="AI84" s="1">
        <f t="shared" si="27"/>
        <v>0</v>
      </c>
      <c r="AJ84" s="1"/>
      <c r="AK84" s="1"/>
      <c r="AL84" s="1"/>
      <c r="AM84" s="1"/>
      <c r="AN84" s="1"/>
      <c r="AO84" s="1"/>
      <c r="AP84" s="1"/>
      <c r="AQ84" s="1"/>
    </row>
    <row r="85" spans="1:43" x14ac:dyDescent="0.25">
      <c r="A85" s="1" t="s">
        <v>137</v>
      </c>
      <c r="B85" s="1" t="s">
        <v>45</v>
      </c>
      <c r="C85" s="1">
        <v>-6</v>
      </c>
      <c r="D85" s="1">
        <v>84</v>
      </c>
      <c r="E85" s="1">
        <v>-3</v>
      </c>
      <c r="F85" s="1">
        <v>75</v>
      </c>
      <c r="G85" s="7">
        <v>0.35</v>
      </c>
      <c r="H85" s="1">
        <v>40</v>
      </c>
      <c r="I85" s="10" t="s">
        <v>51</v>
      </c>
      <c r="J85" s="1"/>
      <c r="K85" s="1">
        <v>22</v>
      </c>
      <c r="L85" s="1">
        <f t="shared" si="22"/>
        <v>-25</v>
      </c>
      <c r="M85" s="1">
        <f t="shared" si="23"/>
        <v>-3</v>
      </c>
      <c r="N85" s="1"/>
      <c r="O85" s="1">
        <v>40</v>
      </c>
      <c r="P85" s="1"/>
      <c r="Q85" s="1"/>
      <c r="R85" s="1"/>
      <c r="S85" s="1">
        <v>80</v>
      </c>
      <c r="T85" s="1">
        <v>-84</v>
      </c>
      <c r="U85" s="1"/>
      <c r="V85" s="1">
        <f t="shared" si="24"/>
        <v>-0.6</v>
      </c>
      <c r="W85" s="5">
        <v>100</v>
      </c>
      <c r="X85" s="1">
        <f t="shared" si="25"/>
        <v>-351.66666666666669</v>
      </c>
      <c r="Y85" s="1">
        <f t="shared" si="26"/>
        <v>-185</v>
      </c>
      <c r="Z85" s="1">
        <v>-1.2</v>
      </c>
      <c r="AA85" s="1">
        <v>-0.4</v>
      </c>
      <c r="AB85" s="1">
        <v>14</v>
      </c>
      <c r="AC85" s="1">
        <v>31.6</v>
      </c>
      <c r="AD85" s="1">
        <v>57.2</v>
      </c>
      <c r="AE85" s="1">
        <v>52.2</v>
      </c>
      <c r="AF85" s="1">
        <v>19.600000000000001</v>
      </c>
      <c r="AG85" s="1">
        <v>19.600000000000001</v>
      </c>
      <c r="AH85" s="1"/>
      <c r="AI85" s="1">
        <f t="shared" si="27"/>
        <v>35</v>
      </c>
      <c r="AJ85" s="1"/>
      <c r="AK85" s="1"/>
      <c r="AL85" s="1"/>
      <c r="AM85" s="1"/>
      <c r="AN85" s="1"/>
      <c r="AO85" s="1"/>
      <c r="AP85" s="1"/>
      <c r="AQ85" s="1"/>
    </row>
    <row r="86" spans="1:43" x14ac:dyDescent="0.25">
      <c r="A86" s="1" t="s">
        <v>138</v>
      </c>
      <c r="B86" s="1" t="s">
        <v>45</v>
      </c>
      <c r="C86" s="1">
        <v>-3</v>
      </c>
      <c r="D86" s="1">
        <v>204</v>
      </c>
      <c r="E86" s="1">
        <v>6</v>
      </c>
      <c r="F86" s="1">
        <v>193</v>
      </c>
      <c r="G86" s="7">
        <v>0.35</v>
      </c>
      <c r="H86" s="1">
        <v>45</v>
      </c>
      <c r="I86" s="10" t="s">
        <v>51</v>
      </c>
      <c r="J86" s="1"/>
      <c r="K86" s="1">
        <v>68</v>
      </c>
      <c r="L86" s="1">
        <f t="shared" si="22"/>
        <v>-62</v>
      </c>
      <c r="M86" s="1">
        <f t="shared" si="23"/>
        <v>6</v>
      </c>
      <c r="N86" s="1"/>
      <c r="O86" s="1">
        <v>100</v>
      </c>
      <c r="P86" s="1"/>
      <c r="Q86" s="1"/>
      <c r="R86" s="1"/>
      <c r="S86" s="1">
        <v>150</v>
      </c>
      <c r="T86" s="1"/>
      <c r="U86" s="1"/>
      <c r="V86" s="1">
        <f t="shared" si="24"/>
        <v>1.2</v>
      </c>
      <c r="W86" s="5"/>
      <c r="X86" s="1">
        <f t="shared" si="25"/>
        <v>369.16666666666669</v>
      </c>
      <c r="Y86" s="1">
        <f t="shared" si="26"/>
        <v>369.16666666666669</v>
      </c>
      <c r="Z86" s="1">
        <v>24.8</v>
      </c>
      <c r="AA86" s="1">
        <v>57.2</v>
      </c>
      <c r="AB86" s="1">
        <v>41.6</v>
      </c>
      <c r="AC86" s="1">
        <v>37.4</v>
      </c>
      <c r="AD86" s="1">
        <v>49.2</v>
      </c>
      <c r="AE86" s="1">
        <v>41</v>
      </c>
      <c r="AF86" s="1">
        <v>-30.6</v>
      </c>
      <c r="AG86" s="1">
        <v>-0.6</v>
      </c>
      <c r="AH86" s="1"/>
      <c r="AI86" s="1">
        <f t="shared" si="27"/>
        <v>0</v>
      </c>
      <c r="AJ86" s="1"/>
      <c r="AK86" s="1"/>
      <c r="AL86" s="1"/>
      <c r="AM86" s="1"/>
      <c r="AN86" s="1"/>
      <c r="AO86" s="1"/>
      <c r="AP86" s="1"/>
      <c r="AQ86" s="1"/>
    </row>
    <row r="87" spans="1:43" x14ac:dyDescent="0.25">
      <c r="A87" s="1" t="s">
        <v>139</v>
      </c>
      <c r="B87" s="1" t="s">
        <v>45</v>
      </c>
      <c r="C87" s="1">
        <v>81</v>
      </c>
      <c r="D87" s="1"/>
      <c r="E87" s="1">
        <v>31</v>
      </c>
      <c r="F87" s="1">
        <v>50</v>
      </c>
      <c r="G87" s="7">
        <v>0.4</v>
      </c>
      <c r="H87" s="1">
        <v>55</v>
      </c>
      <c r="I87" s="1" t="s">
        <v>40</v>
      </c>
      <c r="J87" s="1"/>
      <c r="K87" s="1">
        <v>31</v>
      </c>
      <c r="L87" s="1">
        <f t="shared" si="22"/>
        <v>0</v>
      </c>
      <c r="M87" s="1">
        <f t="shared" si="23"/>
        <v>31</v>
      </c>
      <c r="N87" s="1"/>
      <c r="O87" s="1"/>
      <c r="P87" s="1"/>
      <c r="Q87" s="1"/>
      <c r="R87" s="1"/>
      <c r="S87" s="1">
        <v>0</v>
      </c>
      <c r="T87" s="1"/>
      <c r="U87" s="1"/>
      <c r="V87" s="1">
        <f t="shared" si="24"/>
        <v>6.2</v>
      </c>
      <c r="W87" s="5">
        <f>10*V87-U87-T87-S87-R87-Q87-P87-O87-F87</f>
        <v>12</v>
      </c>
      <c r="X87" s="1">
        <f t="shared" si="25"/>
        <v>10</v>
      </c>
      <c r="Y87" s="1">
        <f t="shared" si="26"/>
        <v>8.064516129032258</v>
      </c>
      <c r="Z87" s="1">
        <v>4.4000000000000004</v>
      </c>
      <c r="AA87" s="1">
        <v>0.2</v>
      </c>
      <c r="AB87" s="1">
        <v>4.2</v>
      </c>
      <c r="AC87" s="1">
        <v>4.2</v>
      </c>
      <c r="AD87" s="1">
        <v>0</v>
      </c>
      <c r="AE87" s="1">
        <v>0</v>
      </c>
      <c r="AF87" s="1">
        <v>0.4</v>
      </c>
      <c r="AG87" s="1">
        <v>0.4</v>
      </c>
      <c r="AH87" s="1"/>
      <c r="AI87" s="1">
        <f t="shared" si="27"/>
        <v>4.8000000000000007</v>
      </c>
      <c r="AJ87" s="1"/>
      <c r="AK87" s="1"/>
      <c r="AL87" s="1"/>
      <c r="AM87" s="1"/>
      <c r="AN87" s="1"/>
      <c r="AO87" s="1"/>
      <c r="AP87" s="1"/>
      <c r="AQ87" s="1"/>
    </row>
    <row r="88" spans="1:43" x14ac:dyDescent="0.25">
      <c r="A88" s="1" t="s">
        <v>141</v>
      </c>
      <c r="B88" s="1" t="s">
        <v>39</v>
      </c>
      <c r="C88" s="1">
        <v>22.306000000000001</v>
      </c>
      <c r="D88" s="1"/>
      <c r="E88" s="1">
        <v>1.335</v>
      </c>
      <c r="F88" s="1">
        <v>20.971</v>
      </c>
      <c r="G88" s="7">
        <v>1</v>
      </c>
      <c r="H88" s="1">
        <v>55</v>
      </c>
      <c r="I88" s="1" t="s">
        <v>40</v>
      </c>
      <c r="J88" s="1"/>
      <c r="K88" s="1">
        <v>1.3</v>
      </c>
      <c r="L88" s="1">
        <f t="shared" si="22"/>
        <v>3.499999999999992E-2</v>
      </c>
      <c r="M88" s="1">
        <f t="shared" si="23"/>
        <v>1.335</v>
      </c>
      <c r="N88" s="1"/>
      <c r="O88" s="1"/>
      <c r="P88" s="1"/>
      <c r="Q88" s="1"/>
      <c r="R88" s="1"/>
      <c r="S88" s="1">
        <v>0</v>
      </c>
      <c r="T88" s="1"/>
      <c r="U88" s="1"/>
      <c r="V88" s="1">
        <f t="shared" si="24"/>
        <v>0.26700000000000002</v>
      </c>
      <c r="W88" s="5"/>
      <c r="X88" s="1">
        <f t="shared" si="25"/>
        <v>78.543071161048687</v>
      </c>
      <c r="Y88" s="1">
        <f t="shared" si="26"/>
        <v>78.543071161048687</v>
      </c>
      <c r="Z88" s="1">
        <v>0.29099999999999998</v>
      </c>
      <c r="AA88" s="1">
        <v>0.59099999999999997</v>
      </c>
      <c r="AB88" s="1">
        <v>0.3</v>
      </c>
      <c r="AC88" s="1">
        <v>0.56580000000000008</v>
      </c>
      <c r="AD88" s="1">
        <v>0.85500000000000009</v>
      </c>
      <c r="AE88" s="1">
        <v>0.5796</v>
      </c>
      <c r="AF88" s="1">
        <v>0.81820000000000004</v>
      </c>
      <c r="AG88" s="1">
        <v>0.81820000000000004</v>
      </c>
      <c r="AH88" s="18" t="s">
        <v>112</v>
      </c>
      <c r="AI88" s="1">
        <f t="shared" si="27"/>
        <v>0</v>
      </c>
      <c r="AJ88" s="1"/>
      <c r="AK88" s="1"/>
      <c r="AL88" s="1"/>
      <c r="AM88" s="1"/>
      <c r="AN88" s="1"/>
      <c r="AO88" s="1"/>
      <c r="AP88" s="1"/>
      <c r="AQ88" s="1"/>
    </row>
    <row r="89" spans="1:43" x14ac:dyDescent="0.25">
      <c r="A89" s="11" t="s">
        <v>142</v>
      </c>
      <c r="B89" s="11" t="s">
        <v>39</v>
      </c>
      <c r="C89" s="11"/>
      <c r="D89" s="11"/>
      <c r="E89" s="11"/>
      <c r="F89" s="11"/>
      <c r="G89" s="12">
        <v>0</v>
      </c>
      <c r="H89" s="11"/>
      <c r="I89" s="11" t="s">
        <v>40</v>
      </c>
      <c r="J89" s="11"/>
      <c r="K89" s="11"/>
      <c r="L89" s="11">
        <f t="shared" si="22"/>
        <v>0</v>
      </c>
      <c r="M89" s="11">
        <f t="shared" si="23"/>
        <v>0</v>
      </c>
      <c r="N89" s="11"/>
      <c r="O89" s="11"/>
      <c r="P89" s="11"/>
      <c r="Q89" s="11"/>
      <c r="R89" s="11"/>
      <c r="S89" s="11">
        <v>0</v>
      </c>
      <c r="T89" s="11"/>
      <c r="U89" s="11"/>
      <c r="V89" s="11">
        <f t="shared" si="24"/>
        <v>0</v>
      </c>
      <c r="W89" s="13"/>
      <c r="X89" s="11" t="e">
        <f t="shared" si="25"/>
        <v>#DIV/0!</v>
      </c>
      <c r="Y89" s="11" t="e">
        <f t="shared" si="26"/>
        <v>#DIV/0!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 t="s">
        <v>63</v>
      </c>
      <c r="AI89" s="11"/>
      <c r="AJ89" s="1"/>
      <c r="AK89" s="1"/>
      <c r="AL89" s="1"/>
      <c r="AM89" s="1"/>
      <c r="AN89" s="1"/>
      <c r="AO89" s="1"/>
      <c r="AP89" s="1"/>
      <c r="AQ89" s="1"/>
    </row>
    <row r="90" spans="1:43" x14ac:dyDescent="0.25">
      <c r="A90" s="1" t="s">
        <v>143</v>
      </c>
      <c r="B90" s="1" t="s">
        <v>39</v>
      </c>
      <c r="C90" s="1">
        <v>3136.7240000000002</v>
      </c>
      <c r="D90" s="1">
        <v>3612.9780000000001</v>
      </c>
      <c r="E90" s="1">
        <v>2989.5070000000001</v>
      </c>
      <c r="F90" s="1">
        <v>3370.7739999999999</v>
      </c>
      <c r="G90" s="7">
        <v>1</v>
      </c>
      <c r="H90" s="1">
        <v>60</v>
      </c>
      <c r="I90" s="1" t="s">
        <v>40</v>
      </c>
      <c r="J90" s="1"/>
      <c r="K90" s="1">
        <v>2994.2069999999999</v>
      </c>
      <c r="L90" s="1">
        <f t="shared" si="22"/>
        <v>-4.6999999999998181</v>
      </c>
      <c r="M90" s="1">
        <f t="shared" si="23"/>
        <v>2693.6750000000002</v>
      </c>
      <c r="N90" s="1">
        <v>295.83199999999999</v>
      </c>
      <c r="O90" s="1">
        <v>1617.5</v>
      </c>
      <c r="P90" s="1"/>
      <c r="Q90" s="1"/>
      <c r="R90" s="1"/>
      <c r="S90" s="1">
        <v>117.26010000000041</v>
      </c>
      <c r="T90" s="1"/>
      <c r="U90" s="1"/>
      <c r="V90" s="1">
        <f t="shared" si="24"/>
        <v>538.73500000000001</v>
      </c>
      <c r="W90" s="5">
        <f t="shared" ref="W90:W95" si="29">11*V90-U90-T90-S90-R90-Q90-P90-O90-F90</f>
        <v>820.55089999999973</v>
      </c>
      <c r="X90" s="1">
        <f t="shared" si="25"/>
        <v>10.999999999999998</v>
      </c>
      <c r="Y90" s="1">
        <f t="shared" si="26"/>
        <v>9.4768932777710742</v>
      </c>
      <c r="Z90" s="1">
        <v>591.0634</v>
      </c>
      <c r="AA90" s="1">
        <v>673.63120000000004</v>
      </c>
      <c r="AB90" s="1">
        <v>428.86399999999998</v>
      </c>
      <c r="AC90" s="1">
        <v>368.13479999999998</v>
      </c>
      <c r="AD90" s="1">
        <v>482.79840000000002</v>
      </c>
      <c r="AE90" s="1">
        <v>547.7278</v>
      </c>
      <c r="AF90" s="1">
        <v>842.63180000000011</v>
      </c>
      <c r="AG90" s="1">
        <v>930.80480000000011</v>
      </c>
      <c r="AH90" s="1" t="s">
        <v>42</v>
      </c>
      <c r="AI90" s="1">
        <f t="shared" ref="AI90:AI95" si="30">G90*W90</f>
        <v>820.55089999999973</v>
      </c>
      <c r="AJ90" s="1"/>
      <c r="AK90" s="1"/>
      <c r="AL90" s="1"/>
      <c r="AM90" s="1"/>
      <c r="AN90" s="1"/>
      <c r="AO90" s="1"/>
      <c r="AP90" s="1"/>
      <c r="AQ90" s="1"/>
    </row>
    <row r="91" spans="1:43" x14ac:dyDescent="0.25">
      <c r="A91" s="1" t="s">
        <v>144</v>
      </c>
      <c r="B91" s="1" t="s">
        <v>45</v>
      </c>
      <c r="C91" s="1">
        <v>204</v>
      </c>
      <c r="D91" s="1">
        <v>906</v>
      </c>
      <c r="E91" s="1">
        <v>324</v>
      </c>
      <c r="F91" s="1">
        <v>782</v>
      </c>
      <c r="G91" s="7">
        <v>0.3</v>
      </c>
      <c r="H91" s="1">
        <v>40</v>
      </c>
      <c r="I91" s="1" t="s">
        <v>40</v>
      </c>
      <c r="J91" s="1"/>
      <c r="K91" s="1">
        <v>370</v>
      </c>
      <c r="L91" s="1">
        <f t="shared" si="22"/>
        <v>-46</v>
      </c>
      <c r="M91" s="1">
        <f t="shared" si="23"/>
        <v>324</v>
      </c>
      <c r="N91" s="1"/>
      <c r="O91" s="1"/>
      <c r="P91" s="1"/>
      <c r="Q91" s="1"/>
      <c r="R91" s="1"/>
      <c r="S91" s="1">
        <v>0</v>
      </c>
      <c r="T91" s="1"/>
      <c r="U91" s="1"/>
      <c r="V91" s="1">
        <f t="shared" si="24"/>
        <v>64.8</v>
      </c>
      <c r="W91" s="5"/>
      <c r="X91" s="1">
        <f t="shared" si="25"/>
        <v>12.067901234567902</v>
      </c>
      <c r="Y91" s="1">
        <f t="shared" si="26"/>
        <v>12.067901234567902</v>
      </c>
      <c r="Z91" s="1">
        <v>54.6</v>
      </c>
      <c r="AA91" s="1">
        <v>43.4</v>
      </c>
      <c r="AB91" s="1">
        <v>52.8</v>
      </c>
      <c r="AC91" s="1">
        <v>49.8</v>
      </c>
      <c r="AD91" s="1">
        <v>36.200000000000003</v>
      </c>
      <c r="AE91" s="1">
        <v>35.799999999999997</v>
      </c>
      <c r="AF91" s="1">
        <v>49</v>
      </c>
      <c r="AG91" s="1">
        <v>49</v>
      </c>
      <c r="AH91" s="1"/>
      <c r="AI91" s="1">
        <f t="shared" si="30"/>
        <v>0</v>
      </c>
      <c r="AJ91" s="1"/>
      <c r="AK91" s="1"/>
      <c r="AL91" s="1"/>
      <c r="AM91" s="1"/>
      <c r="AN91" s="1"/>
      <c r="AO91" s="1"/>
      <c r="AP91" s="1"/>
      <c r="AQ91" s="1"/>
    </row>
    <row r="92" spans="1:43" x14ac:dyDescent="0.25">
      <c r="A92" s="1" t="s">
        <v>145</v>
      </c>
      <c r="B92" s="1" t="s">
        <v>39</v>
      </c>
      <c r="C92" s="1">
        <v>2752.998</v>
      </c>
      <c r="D92" s="1">
        <v>484.59500000000003</v>
      </c>
      <c r="E92" s="1">
        <v>1537.8030000000001</v>
      </c>
      <c r="F92" s="1">
        <v>1432.991</v>
      </c>
      <c r="G92" s="7">
        <v>1</v>
      </c>
      <c r="H92" s="1">
        <v>60</v>
      </c>
      <c r="I92" s="1" t="s">
        <v>40</v>
      </c>
      <c r="J92" s="1"/>
      <c r="K92" s="1">
        <v>1594.9169999999999</v>
      </c>
      <c r="L92" s="1">
        <f t="shared" si="22"/>
        <v>-57.113999999999805</v>
      </c>
      <c r="M92" s="1">
        <f t="shared" si="23"/>
        <v>1387.3760000000002</v>
      </c>
      <c r="N92" s="1">
        <v>150.42699999999999</v>
      </c>
      <c r="O92" s="1"/>
      <c r="P92" s="1"/>
      <c r="Q92" s="1">
        <v>300</v>
      </c>
      <c r="R92" s="1"/>
      <c r="S92" s="1">
        <v>566.55580000000054</v>
      </c>
      <c r="T92" s="1"/>
      <c r="U92" s="1"/>
      <c r="V92" s="1">
        <f t="shared" si="24"/>
        <v>277.47520000000003</v>
      </c>
      <c r="W92" s="5">
        <f t="shared" ref="W92:W94" si="31">10*V92-U92-T92-S92-R92-Q92-P92-O92-F92</f>
        <v>475.20519999999988</v>
      </c>
      <c r="X92" s="1">
        <f t="shared" si="25"/>
        <v>10</v>
      </c>
      <c r="Y92" s="1">
        <f t="shared" si="26"/>
        <v>8.2873957744692142</v>
      </c>
      <c r="Z92" s="1">
        <v>257.95119999999997</v>
      </c>
      <c r="AA92" s="1">
        <v>283.8922</v>
      </c>
      <c r="AB92" s="1">
        <v>197.21299999999999</v>
      </c>
      <c r="AC92" s="1">
        <v>160.90700000000001</v>
      </c>
      <c r="AD92" s="1">
        <v>215.4</v>
      </c>
      <c r="AE92" s="1">
        <v>379.45499999999998</v>
      </c>
      <c r="AF92" s="1">
        <v>357.23480000000001</v>
      </c>
      <c r="AG92" s="1">
        <v>505.72719999999998</v>
      </c>
      <c r="AH92" s="1"/>
      <c r="AI92" s="1">
        <f t="shared" si="30"/>
        <v>475.20519999999988</v>
      </c>
      <c r="AJ92" s="1"/>
      <c r="AK92" s="1"/>
      <c r="AL92" s="1"/>
      <c r="AM92" s="1"/>
      <c r="AN92" s="1"/>
      <c r="AO92" s="1"/>
      <c r="AP92" s="1"/>
      <c r="AQ92" s="1"/>
    </row>
    <row r="93" spans="1:43" x14ac:dyDescent="0.25">
      <c r="A93" s="1" t="s">
        <v>146</v>
      </c>
      <c r="B93" s="1" t="s">
        <v>39</v>
      </c>
      <c r="C93" s="1">
        <v>4497.5889999999999</v>
      </c>
      <c r="D93" s="1">
        <v>3731.8310000000001</v>
      </c>
      <c r="E93" s="1">
        <v>3856.0169999999998</v>
      </c>
      <c r="F93" s="1">
        <v>2854.2689999999998</v>
      </c>
      <c r="G93" s="7">
        <v>1</v>
      </c>
      <c r="H93" s="1">
        <v>60</v>
      </c>
      <c r="I93" s="1" t="s">
        <v>40</v>
      </c>
      <c r="J93" s="1"/>
      <c r="K93" s="1">
        <v>3941.2539999999999</v>
      </c>
      <c r="L93" s="1">
        <f t="shared" si="22"/>
        <v>-85.23700000000008</v>
      </c>
      <c r="M93" s="1">
        <f t="shared" si="23"/>
        <v>2478.4609999999998</v>
      </c>
      <c r="N93" s="1">
        <v>1377.556</v>
      </c>
      <c r="O93" s="1"/>
      <c r="P93" s="1"/>
      <c r="Q93" s="1">
        <v>300</v>
      </c>
      <c r="R93" s="1"/>
      <c r="S93" s="1">
        <v>457.97599999999971</v>
      </c>
      <c r="T93" s="1"/>
      <c r="U93" s="1"/>
      <c r="V93" s="1">
        <f t="shared" si="24"/>
        <v>495.69219999999996</v>
      </c>
      <c r="W93" s="5">
        <f t="shared" si="31"/>
        <v>1344.6770000000001</v>
      </c>
      <c r="X93" s="1">
        <f t="shared" si="25"/>
        <v>10</v>
      </c>
      <c r="Y93" s="1">
        <f t="shared" si="26"/>
        <v>7.2872742399416408</v>
      </c>
      <c r="Z93" s="1">
        <v>523.89400000000001</v>
      </c>
      <c r="AA93" s="1">
        <v>507.10120000000012</v>
      </c>
      <c r="AB93" s="1">
        <v>403.74220000000003</v>
      </c>
      <c r="AC93" s="1">
        <v>422.80460000000011</v>
      </c>
      <c r="AD93" s="1">
        <v>423.51899999999989</v>
      </c>
      <c r="AE93" s="1">
        <v>694.55039999999997</v>
      </c>
      <c r="AF93" s="1">
        <v>304.53539999999998</v>
      </c>
      <c r="AG93" s="1">
        <v>631.58000000000004</v>
      </c>
      <c r="AH93" s="1"/>
      <c r="AI93" s="1">
        <f t="shared" si="30"/>
        <v>1344.6770000000001</v>
      </c>
      <c r="AJ93" s="1"/>
      <c r="AK93" s="1"/>
      <c r="AL93" s="1"/>
      <c r="AM93" s="1"/>
      <c r="AN93" s="1"/>
      <c r="AO93" s="1"/>
      <c r="AP93" s="1"/>
      <c r="AQ93" s="1"/>
    </row>
    <row r="94" spans="1:43" x14ac:dyDescent="0.25">
      <c r="A94" s="1" t="s">
        <v>67</v>
      </c>
      <c r="B94" s="1" t="s">
        <v>39</v>
      </c>
      <c r="C94" s="1">
        <v>3793.1149999999998</v>
      </c>
      <c r="D94" s="1">
        <v>5764.6149999999998</v>
      </c>
      <c r="E94" s="1">
        <v>4173.6499999999996</v>
      </c>
      <c r="F94" s="14">
        <f>3988.459+F23</f>
        <v>3973.4749999999999</v>
      </c>
      <c r="G94" s="7">
        <v>1</v>
      </c>
      <c r="H94" s="1">
        <v>60</v>
      </c>
      <c r="I94" s="1" t="s">
        <v>40</v>
      </c>
      <c r="J94" s="1"/>
      <c r="K94" s="1">
        <v>4288.8029999999999</v>
      </c>
      <c r="L94" s="1">
        <f t="shared" si="22"/>
        <v>-115.15300000000025</v>
      </c>
      <c r="M94" s="1">
        <f t="shared" si="23"/>
        <v>2946.5819999999994</v>
      </c>
      <c r="N94" s="1">
        <v>1227.068</v>
      </c>
      <c r="O94" s="1"/>
      <c r="P94" s="1"/>
      <c r="Q94" s="1"/>
      <c r="R94" s="1"/>
      <c r="S94" s="1">
        <v>0</v>
      </c>
      <c r="T94" s="1"/>
      <c r="U94" s="1">
        <v>600</v>
      </c>
      <c r="V94" s="1">
        <f t="shared" si="24"/>
        <v>589.31639999999993</v>
      </c>
      <c r="W94" s="5">
        <f t="shared" si="31"/>
        <v>1319.6889999999989</v>
      </c>
      <c r="X94" s="1">
        <f t="shared" si="25"/>
        <v>10</v>
      </c>
      <c r="Y94" s="1">
        <f t="shared" si="26"/>
        <v>7.7606443669309062</v>
      </c>
      <c r="Z94" s="1">
        <v>576.82039999999995</v>
      </c>
      <c r="AA94" s="1">
        <v>637.09520000000009</v>
      </c>
      <c r="AB94" s="1">
        <v>500.93239999999997</v>
      </c>
      <c r="AC94" s="1">
        <v>455.24059999999997</v>
      </c>
      <c r="AD94" s="1">
        <v>581.56139999999994</v>
      </c>
      <c r="AE94" s="1">
        <v>903.69920000000002</v>
      </c>
      <c r="AF94" s="1">
        <v>397.85039999999998</v>
      </c>
      <c r="AG94" s="1">
        <v>698.25620000000004</v>
      </c>
      <c r="AH94" s="1"/>
      <c r="AI94" s="1">
        <f t="shared" si="30"/>
        <v>1319.6889999999989</v>
      </c>
      <c r="AJ94" s="1"/>
      <c r="AK94" s="1"/>
      <c r="AL94" s="1"/>
      <c r="AM94" s="1"/>
      <c r="AN94" s="1"/>
      <c r="AO94" s="1"/>
      <c r="AP94" s="1"/>
      <c r="AQ94" s="1"/>
    </row>
    <row r="95" spans="1:43" x14ac:dyDescent="0.25">
      <c r="A95" s="1" t="s">
        <v>147</v>
      </c>
      <c r="B95" s="1" t="s">
        <v>39</v>
      </c>
      <c r="C95" s="1">
        <v>41.795000000000002</v>
      </c>
      <c r="D95" s="1"/>
      <c r="E95" s="1">
        <v>20.242999999999999</v>
      </c>
      <c r="F95" s="1">
        <v>17.547999999999998</v>
      </c>
      <c r="G95" s="7">
        <v>1</v>
      </c>
      <c r="H95" s="1">
        <v>55</v>
      </c>
      <c r="I95" s="1" t="s">
        <v>40</v>
      </c>
      <c r="J95" s="1"/>
      <c r="K95" s="1">
        <v>20.55</v>
      </c>
      <c r="L95" s="1">
        <f t="shared" si="22"/>
        <v>-0.30700000000000216</v>
      </c>
      <c r="M95" s="1">
        <f t="shared" si="23"/>
        <v>20.242999999999999</v>
      </c>
      <c r="N95" s="1"/>
      <c r="O95" s="1"/>
      <c r="P95" s="1"/>
      <c r="Q95" s="1"/>
      <c r="R95" s="1"/>
      <c r="S95" s="1">
        <v>13.910299999999999</v>
      </c>
      <c r="T95" s="1"/>
      <c r="U95" s="1"/>
      <c r="V95" s="1">
        <f t="shared" si="24"/>
        <v>4.0485999999999995</v>
      </c>
      <c r="W95" s="5">
        <f t="shared" si="29"/>
        <v>13.0763</v>
      </c>
      <c r="X95" s="1">
        <f t="shared" si="25"/>
        <v>11</v>
      </c>
      <c r="Y95" s="1">
        <f t="shared" si="26"/>
        <v>7.7701674652966464</v>
      </c>
      <c r="Z95" s="1">
        <v>4.0282</v>
      </c>
      <c r="AA95" s="1">
        <v>3.492</v>
      </c>
      <c r="AB95" s="1">
        <v>1.6095999999999999</v>
      </c>
      <c r="AC95" s="1">
        <v>2.2846000000000002</v>
      </c>
      <c r="AD95" s="1">
        <v>4.4762000000000004</v>
      </c>
      <c r="AE95" s="1">
        <v>4.0706000000000007</v>
      </c>
      <c r="AF95" s="1">
        <v>5.3708</v>
      </c>
      <c r="AG95" s="1">
        <v>5.3708</v>
      </c>
      <c r="AH95" s="1"/>
      <c r="AI95" s="1">
        <f t="shared" si="30"/>
        <v>13.0763</v>
      </c>
      <c r="AJ95" s="1"/>
      <c r="AK95" s="1"/>
      <c r="AL95" s="1"/>
      <c r="AM95" s="1"/>
      <c r="AN95" s="1"/>
      <c r="AO95" s="1"/>
      <c r="AP95" s="1"/>
      <c r="AQ95" s="1"/>
    </row>
    <row r="96" spans="1:43" x14ac:dyDescent="0.25">
      <c r="A96" s="11" t="s">
        <v>148</v>
      </c>
      <c r="B96" s="11" t="s">
        <v>39</v>
      </c>
      <c r="C96" s="11">
        <v>-1.36</v>
      </c>
      <c r="D96" s="11"/>
      <c r="E96" s="11"/>
      <c r="F96" s="11">
        <v>-1.36</v>
      </c>
      <c r="G96" s="12">
        <v>0</v>
      </c>
      <c r="H96" s="11"/>
      <c r="I96" s="11" t="s">
        <v>54</v>
      </c>
      <c r="J96" s="11"/>
      <c r="K96" s="11"/>
      <c r="L96" s="11">
        <f t="shared" si="22"/>
        <v>0</v>
      </c>
      <c r="M96" s="11">
        <f t="shared" si="23"/>
        <v>0</v>
      </c>
      <c r="N96" s="11"/>
      <c r="O96" s="11"/>
      <c r="P96" s="11"/>
      <c r="Q96" s="11"/>
      <c r="R96" s="11"/>
      <c r="S96" s="11">
        <v>0</v>
      </c>
      <c r="T96" s="11"/>
      <c r="U96" s="11"/>
      <c r="V96" s="11">
        <f t="shared" si="24"/>
        <v>0</v>
      </c>
      <c r="W96" s="13"/>
      <c r="X96" s="11" t="e">
        <f t="shared" si="25"/>
        <v>#DIV/0!</v>
      </c>
      <c r="Y96" s="11" t="e">
        <f t="shared" si="26"/>
        <v>#DIV/0!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/>
      <c r="AI96" s="11"/>
      <c r="AJ96" s="1"/>
      <c r="AK96" s="1"/>
      <c r="AL96" s="1"/>
      <c r="AM96" s="1"/>
      <c r="AN96" s="1"/>
      <c r="AO96" s="1"/>
      <c r="AP96" s="1"/>
      <c r="AQ96" s="1"/>
    </row>
    <row r="97" spans="1:43" x14ac:dyDescent="0.25">
      <c r="A97" s="11" t="s">
        <v>149</v>
      </c>
      <c r="B97" s="11" t="s">
        <v>39</v>
      </c>
      <c r="C97" s="11">
        <v>-2.5960000000000001</v>
      </c>
      <c r="D97" s="11"/>
      <c r="E97" s="11"/>
      <c r="F97" s="11">
        <v>-3.9460000000000002</v>
      </c>
      <c r="G97" s="12">
        <v>0</v>
      </c>
      <c r="H97" s="11"/>
      <c r="I97" s="11" t="s">
        <v>54</v>
      </c>
      <c r="J97" s="11"/>
      <c r="K97" s="11">
        <v>5</v>
      </c>
      <c r="L97" s="11">
        <f t="shared" si="22"/>
        <v>-5</v>
      </c>
      <c r="M97" s="11">
        <f t="shared" si="23"/>
        <v>0</v>
      </c>
      <c r="N97" s="11"/>
      <c r="O97" s="11"/>
      <c r="P97" s="11"/>
      <c r="Q97" s="11"/>
      <c r="R97" s="11"/>
      <c r="S97" s="11">
        <v>0</v>
      </c>
      <c r="T97" s="11"/>
      <c r="U97" s="11"/>
      <c r="V97" s="11">
        <f t="shared" si="24"/>
        <v>0</v>
      </c>
      <c r="W97" s="13"/>
      <c r="X97" s="11" t="e">
        <f t="shared" si="25"/>
        <v>#DIV/0!</v>
      </c>
      <c r="Y97" s="11" t="e">
        <f t="shared" si="26"/>
        <v>#DIV/0!</v>
      </c>
      <c r="Z97" s="11">
        <v>-8.5999999999999993E-2</v>
      </c>
      <c r="AA97" s="11">
        <v>-8.5999999999999993E-2</v>
      </c>
      <c r="AB97" s="11">
        <v>0</v>
      </c>
      <c r="AC97" s="11">
        <v>-0.26900000000000002</v>
      </c>
      <c r="AD97" s="11">
        <v>-0.47220000000000012</v>
      </c>
      <c r="AE97" s="11">
        <v>-0.20319999999999999</v>
      </c>
      <c r="AF97" s="11">
        <v>0</v>
      </c>
      <c r="AG97" s="11">
        <v>0</v>
      </c>
      <c r="AH97" s="11"/>
      <c r="AI97" s="11"/>
      <c r="AJ97" s="1"/>
      <c r="AK97" s="1"/>
      <c r="AL97" s="1"/>
      <c r="AM97" s="1"/>
      <c r="AN97" s="1"/>
      <c r="AO97" s="1"/>
      <c r="AP97" s="1"/>
      <c r="AQ97" s="1"/>
    </row>
    <row r="98" spans="1:43" x14ac:dyDescent="0.25">
      <c r="A98" s="1" t="s">
        <v>150</v>
      </c>
      <c r="B98" s="1" t="s">
        <v>45</v>
      </c>
      <c r="C98" s="1">
        <v>-3</v>
      </c>
      <c r="D98" s="1"/>
      <c r="E98" s="1">
        <v>-2</v>
      </c>
      <c r="F98" s="1">
        <v>-5</v>
      </c>
      <c r="G98" s="7">
        <v>0.3</v>
      </c>
      <c r="H98" s="1">
        <v>40</v>
      </c>
      <c r="I98" s="10" t="s">
        <v>51</v>
      </c>
      <c r="J98" s="1"/>
      <c r="K98" s="1">
        <v>87</v>
      </c>
      <c r="L98" s="1">
        <f t="shared" si="22"/>
        <v>-89</v>
      </c>
      <c r="M98" s="1">
        <f t="shared" si="23"/>
        <v>-2</v>
      </c>
      <c r="N98" s="1"/>
      <c r="O98" s="1">
        <v>20</v>
      </c>
      <c r="P98" s="1"/>
      <c r="Q98" s="1"/>
      <c r="R98" s="1"/>
      <c r="S98" s="1">
        <v>50</v>
      </c>
      <c r="T98" s="1"/>
      <c r="U98" s="1"/>
      <c r="V98" s="1">
        <f t="shared" si="24"/>
        <v>-0.4</v>
      </c>
      <c r="W98" s="5">
        <v>20</v>
      </c>
      <c r="X98" s="1">
        <f t="shared" si="25"/>
        <v>-212.5</v>
      </c>
      <c r="Y98" s="1">
        <f t="shared" si="26"/>
        <v>-162.5</v>
      </c>
      <c r="Z98" s="1">
        <v>-0.4</v>
      </c>
      <c r="AA98" s="1">
        <v>0</v>
      </c>
      <c r="AB98" s="1">
        <v>-0.2</v>
      </c>
      <c r="AC98" s="1">
        <v>-0.6</v>
      </c>
      <c r="AD98" s="1">
        <v>-0.4</v>
      </c>
      <c r="AE98" s="1">
        <v>-0.8</v>
      </c>
      <c r="AF98" s="1">
        <v>0</v>
      </c>
      <c r="AG98" s="1">
        <v>0</v>
      </c>
      <c r="AH98" s="1"/>
      <c r="AI98" s="1">
        <f>G98*W98</f>
        <v>6</v>
      </c>
      <c r="AJ98" s="1"/>
      <c r="AK98" s="1"/>
      <c r="AL98" s="1"/>
      <c r="AM98" s="1"/>
      <c r="AN98" s="1"/>
      <c r="AO98" s="1"/>
      <c r="AP98" s="1"/>
      <c r="AQ98" s="1"/>
    </row>
    <row r="99" spans="1:43" x14ac:dyDescent="0.25">
      <c r="A99" s="1" t="s">
        <v>151</v>
      </c>
      <c r="B99" s="1" t="s">
        <v>45</v>
      </c>
      <c r="C99" s="1">
        <v>101</v>
      </c>
      <c r="D99" s="1">
        <v>1</v>
      </c>
      <c r="E99" s="1">
        <v>32</v>
      </c>
      <c r="F99" s="1">
        <v>61</v>
      </c>
      <c r="G99" s="7">
        <v>0.3</v>
      </c>
      <c r="H99" s="1">
        <v>40</v>
      </c>
      <c r="I99" s="1" t="s">
        <v>40</v>
      </c>
      <c r="J99" s="1"/>
      <c r="K99" s="1">
        <v>41</v>
      </c>
      <c r="L99" s="1">
        <f t="shared" si="22"/>
        <v>-9</v>
      </c>
      <c r="M99" s="1">
        <f t="shared" si="23"/>
        <v>32</v>
      </c>
      <c r="N99" s="1"/>
      <c r="O99" s="1"/>
      <c r="P99" s="1"/>
      <c r="Q99" s="1"/>
      <c r="R99" s="1"/>
      <c r="S99" s="1">
        <v>15.400000000000009</v>
      </c>
      <c r="T99" s="1"/>
      <c r="U99" s="1"/>
      <c r="V99" s="1">
        <f t="shared" si="24"/>
        <v>6.4</v>
      </c>
      <c r="W99" s="5"/>
      <c r="X99" s="1">
        <f t="shared" si="25"/>
        <v>11.9375</v>
      </c>
      <c r="Y99" s="1">
        <f t="shared" si="26"/>
        <v>11.9375</v>
      </c>
      <c r="Z99" s="1">
        <v>8.8000000000000007</v>
      </c>
      <c r="AA99" s="1">
        <v>6</v>
      </c>
      <c r="AB99" s="1">
        <v>1.6</v>
      </c>
      <c r="AC99" s="1">
        <v>2.2000000000000002</v>
      </c>
      <c r="AD99" s="1">
        <v>6.8</v>
      </c>
      <c r="AE99" s="1">
        <v>8.1999999999999993</v>
      </c>
      <c r="AF99" s="1">
        <v>7.8</v>
      </c>
      <c r="AG99" s="1">
        <v>7.8</v>
      </c>
      <c r="AH99" s="1"/>
      <c r="AI99" s="1">
        <f>G99*W99</f>
        <v>0</v>
      </c>
      <c r="AJ99" s="1"/>
      <c r="AK99" s="1"/>
      <c r="AL99" s="1"/>
      <c r="AM99" s="1"/>
      <c r="AN99" s="1"/>
      <c r="AO99" s="1"/>
      <c r="AP99" s="1"/>
      <c r="AQ99" s="1"/>
    </row>
    <row r="100" spans="1:43" x14ac:dyDescent="0.25">
      <c r="A100" s="1" t="s">
        <v>152</v>
      </c>
      <c r="B100" s="1" t="s">
        <v>45</v>
      </c>
      <c r="C100" s="1">
        <v>17</v>
      </c>
      <c r="D100" s="1">
        <v>72</v>
      </c>
      <c r="E100" s="1">
        <v>2</v>
      </c>
      <c r="F100" s="1">
        <v>87</v>
      </c>
      <c r="G100" s="7">
        <v>7.0000000000000007E-2</v>
      </c>
      <c r="H100" s="1">
        <v>90</v>
      </c>
      <c r="I100" s="10" t="s">
        <v>51</v>
      </c>
      <c r="J100" s="1"/>
      <c r="K100" s="1">
        <v>285</v>
      </c>
      <c r="L100" s="1">
        <f t="shared" si="22"/>
        <v>-283</v>
      </c>
      <c r="M100" s="1">
        <f t="shared" si="23"/>
        <v>2</v>
      </c>
      <c r="N100" s="1"/>
      <c r="O100" s="1">
        <v>25</v>
      </c>
      <c r="P100" s="1"/>
      <c r="Q100" s="1"/>
      <c r="R100" s="1"/>
      <c r="S100" s="1">
        <v>0</v>
      </c>
      <c r="T100" s="1"/>
      <c r="U100" s="1"/>
      <c r="V100" s="1">
        <f t="shared" si="24"/>
        <v>0.4</v>
      </c>
      <c r="W100" s="5"/>
      <c r="X100" s="1">
        <f t="shared" si="25"/>
        <v>280</v>
      </c>
      <c r="Y100" s="1">
        <f t="shared" si="26"/>
        <v>280</v>
      </c>
      <c r="Z100" s="1">
        <v>3</v>
      </c>
      <c r="AA100" s="1">
        <v>4.8</v>
      </c>
      <c r="AB100" s="1">
        <v>17.399999999999999</v>
      </c>
      <c r="AC100" s="1">
        <v>32</v>
      </c>
      <c r="AD100" s="1">
        <v>45.8</v>
      </c>
      <c r="AE100" s="1">
        <v>47.2</v>
      </c>
      <c r="AF100" s="1">
        <v>25.4</v>
      </c>
      <c r="AG100" s="1">
        <v>25.4</v>
      </c>
      <c r="AH100" s="16" t="s">
        <v>112</v>
      </c>
      <c r="AI100" s="1">
        <f>G100*W100</f>
        <v>0</v>
      </c>
      <c r="AJ100" s="1"/>
      <c r="AK100" s="1"/>
      <c r="AL100" s="1"/>
      <c r="AM100" s="1"/>
      <c r="AN100" s="1"/>
      <c r="AO100" s="1"/>
      <c r="AP100" s="1"/>
      <c r="AQ100" s="1"/>
    </row>
    <row r="101" spans="1:43" x14ac:dyDescent="0.25">
      <c r="A101" s="1" t="s">
        <v>154</v>
      </c>
      <c r="B101" s="1" t="s">
        <v>45</v>
      </c>
      <c r="C101" s="1">
        <v>50</v>
      </c>
      <c r="D101" s="1">
        <v>303</v>
      </c>
      <c r="E101" s="1">
        <v>171</v>
      </c>
      <c r="F101" s="1">
        <v>150</v>
      </c>
      <c r="G101" s="7">
        <v>7.0000000000000007E-2</v>
      </c>
      <c r="H101" s="1">
        <v>90</v>
      </c>
      <c r="I101" s="10" t="s">
        <v>51</v>
      </c>
      <c r="J101" s="1"/>
      <c r="K101" s="1">
        <v>243</v>
      </c>
      <c r="L101" s="1">
        <f t="shared" si="22"/>
        <v>-72</v>
      </c>
      <c r="M101" s="1">
        <f t="shared" si="23"/>
        <v>171</v>
      </c>
      <c r="N101" s="1"/>
      <c r="O101" s="1">
        <v>75</v>
      </c>
      <c r="P101" s="1"/>
      <c r="Q101" s="1"/>
      <c r="R101" s="1"/>
      <c r="S101" s="1">
        <v>230.9</v>
      </c>
      <c r="T101" s="1">
        <v>-234</v>
      </c>
      <c r="U101" s="1"/>
      <c r="V101" s="1">
        <f t="shared" si="24"/>
        <v>34.200000000000003</v>
      </c>
      <c r="W101" s="5">
        <f t="shared" ref="W101" si="32">11*V101-U101-T101-S101-R101-Q101-P101-O101-F101</f>
        <v>154.30000000000007</v>
      </c>
      <c r="X101" s="1">
        <f t="shared" si="25"/>
        <v>11</v>
      </c>
      <c r="Y101" s="1">
        <f t="shared" si="26"/>
        <v>6.4883040935672502</v>
      </c>
      <c r="Z101" s="1">
        <v>44.6</v>
      </c>
      <c r="AA101" s="1">
        <v>28.2</v>
      </c>
      <c r="AB101" s="1">
        <v>6.6</v>
      </c>
      <c r="AC101" s="1">
        <v>30</v>
      </c>
      <c r="AD101" s="1">
        <v>51.8</v>
      </c>
      <c r="AE101" s="1">
        <v>48</v>
      </c>
      <c r="AF101" s="1">
        <v>27.6</v>
      </c>
      <c r="AG101" s="1">
        <v>27.6</v>
      </c>
      <c r="AH101" s="1" t="s">
        <v>155</v>
      </c>
      <c r="AI101" s="1">
        <f>G101*W101</f>
        <v>10.801000000000005</v>
      </c>
      <c r="AJ101" s="1"/>
      <c r="AK101" s="1"/>
      <c r="AL101" s="1"/>
      <c r="AM101" s="1"/>
      <c r="AN101" s="1"/>
      <c r="AO101" s="1"/>
      <c r="AP101" s="1"/>
      <c r="AQ101" s="1"/>
    </row>
    <row r="102" spans="1:43" x14ac:dyDescent="0.25">
      <c r="A102" s="1" t="s">
        <v>156</v>
      </c>
      <c r="B102" s="1" t="s">
        <v>45</v>
      </c>
      <c r="C102" s="1">
        <v>-25</v>
      </c>
      <c r="D102" s="1">
        <v>294</v>
      </c>
      <c r="E102" s="1">
        <v>57</v>
      </c>
      <c r="F102" s="1">
        <v>205</v>
      </c>
      <c r="G102" s="7">
        <v>7.0000000000000007E-2</v>
      </c>
      <c r="H102" s="1">
        <v>90</v>
      </c>
      <c r="I102" s="10" t="s">
        <v>51</v>
      </c>
      <c r="J102" s="1"/>
      <c r="K102" s="1">
        <v>120</v>
      </c>
      <c r="L102" s="1">
        <f t="shared" ref="L102:L133" si="33">E102-K102</f>
        <v>-63</v>
      </c>
      <c r="M102" s="1">
        <f t="shared" ref="M102:M133" si="34">E102-N102</f>
        <v>57</v>
      </c>
      <c r="N102" s="1"/>
      <c r="O102" s="1">
        <v>25</v>
      </c>
      <c r="P102" s="1"/>
      <c r="Q102" s="1"/>
      <c r="R102" s="1"/>
      <c r="S102" s="1">
        <v>50</v>
      </c>
      <c r="T102" s="1">
        <v>-72</v>
      </c>
      <c r="U102" s="1"/>
      <c r="V102" s="1">
        <f t="shared" ref="V102:V138" si="35">M102/5</f>
        <v>11.4</v>
      </c>
      <c r="W102" s="5">
        <v>50</v>
      </c>
      <c r="X102" s="1">
        <f t="shared" ref="X102:X133" si="36">(F102+O102+P102+Q102+R102+S102+T102+U102+W102)/V102</f>
        <v>22.631578947368421</v>
      </c>
      <c r="Y102" s="1">
        <f t="shared" ref="Y102:Y138" si="37">(F102+O102+P102+Q102+R102+S102+T102+U102)/V102</f>
        <v>18.245614035087719</v>
      </c>
      <c r="Z102" s="1">
        <v>17.8</v>
      </c>
      <c r="AA102" s="1">
        <v>18.2</v>
      </c>
      <c r="AB102" s="1">
        <v>23</v>
      </c>
      <c r="AC102" s="1">
        <v>39.200000000000003</v>
      </c>
      <c r="AD102" s="1">
        <v>42</v>
      </c>
      <c r="AE102" s="1">
        <v>40.799999999999997</v>
      </c>
      <c r="AF102" s="1">
        <v>18.600000000000001</v>
      </c>
      <c r="AG102" s="1">
        <v>18.600000000000001</v>
      </c>
      <c r="AH102" s="1" t="s">
        <v>153</v>
      </c>
      <c r="AI102" s="1">
        <f>G102*W102</f>
        <v>3.5000000000000004</v>
      </c>
      <c r="AJ102" s="1"/>
      <c r="AK102" s="1"/>
      <c r="AL102" s="1"/>
      <c r="AM102" s="1"/>
      <c r="AN102" s="1"/>
      <c r="AO102" s="1"/>
      <c r="AP102" s="1"/>
      <c r="AQ102" s="1"/>
    </row>
    <row r="103" spans="1:43" x14ac:dyDescent="0.25">
      <c r="A103" s="11" t="s">
        <v>157</v>
      </c>
      <c r="B103" s="11" t="s">
        <v>45</v>
      </c>
      <c r="C103" s="11">
        <v>4</v>
      </c>
      <c r="D103" s="11"/>
      <c r="E103" s="11">
        <v>-2</v>
      </c>
      <c r="F103" s="11">
        <v>4</v>
      </c>
      <c r="G103" s="12">
        <v>0</v>
      </c>
      <c r="H103" s="11">
        <v>90</v>
      </c>
      <c r="I103" s="11" t="s">
        <v>54</v>
      </c>
      <c r="J103" s="11"/>
      <c r="K103" s="11">
        <v>95</v>
      </c>
      <c r="L103" s="11">
        <f t="shared" si="33"/>
        <v>-97</v>
      </c>
      <c r="M103" s="11">
        <f t="shared" si="34"/>
        <v>-2</v>
      </c>
      <c r="N103" s="11"/>
      <c r="O103" s="11"/>
      <c r="P103" s="11"/>
      <c r="Q103" s="11"/>
      <c r="R103" s="11"/>
      <c r="S103" s="11">
        <v>0</v>
      </c>
      <c r="T103" s="11"/>
      <c r="U103" s="11"/>
      <c r="V103" s="11">
        <f t="shared" si="35"/>
        <v>-0.4</v>
      </c>
      <c r="W103" s="13"/>
      <c r="X103" s="11">
        <f t="shared" si="36"/>
        <v>-10</v>
      </c>
      <c r="Y103" s="11">
        <f t="shared" si="37"/>
        <v>-10</v>
      </c>
      <c r="Z103" s="11">
        <v>-0.6</v>
      </c>
      <c r="AA103" s="11">
        <v>-0.2</v>
      </c>
      <c r="AB103" s="11">
        <v>0</v>
      </c>
      <c r="AC103" s="11">
        <v>-0.2</v>
      </c>
      <c r="AD103" s="11">
        <v>-0.2</v>
      </c>
      <c r="AE103" s="11">
        <v>0</v>
      </c>
      <c r="AF103" s="11">
        <v>-0.6</v>
      </c>
      <c r="AG103" s="11">
        <v>-0.6</v>
      </c>
      <c r="AH103" s="11"/>
      <c r="AI103" s="11"/>
      <c r="AJ103" s="1"/>
      <c r="AK103" s="1"/>
      <c r="AL103" s="1"/>
      <c r="AM103" s="1"/>
      <c r="AN103" s="1"/>
      <c r="AO103" s="1"/>
      <c r="AP103" s="1"/>
      <c r="AQ103" s="1"/>
    </row>
    <row r="104" spans="1:43" x14ac:dyDescent="0.25">
      <c r="A104" s="1" t="s">
        <v>158</v>
      </c>
      <c r="B104" s="1" t="s">
        <v>45</v>
      </c>
      <c r="C104" s="1">
        <v>2</v>
      </c>
      <c r="D104" s="1">
        <v>72</v>
      </c>
      <c r="E104" s="1">
        <v>20</v>
      </c>
      <c r="F104" s="1">
        <v>52</v>
      </c>
      <c r="G104" s="7">
        <v>0.3</v>
      </c>
      <c r="H104" s="1">
        <v>40</v>
      </c>
      <c r="I104" s="1" t="s">
        <v>40</v>
      </c>
      <c r="J104" s="1"/>
      <c r="K104" s="1">
        <v>46</v>
      </c>
      <c r="L104" s="1">
        <f t="shared" si="33"/>
        <v>-26</v>
      </c>
      <c r="M104" s="1">
        <f t="shared" si="34"/>
        <v>20</v>
      </c>
      <c r="N104" s="1"/>
      <c r="O104" s="1"/>
      <c r="P104" s="1"/>
      <c r="Q104" s="1"/>
      <c r="R104" s="1"/>
      <c r="S104" s="1">
        <v>0</v>
      </c>
      <c r="T104" s="1"/>
      <c r="U104" s="1"/>
      <c r="V104" s="1">
        <f t="shared" si="35"/>
        <v>4</v>
      </c>
      <c r="W104" s="5"/>
      <c r="X104" s="1">
        <f t="shared" si="36"/>
        <v>13</v>
      </c>
      <c r="Y104" s="1">
        <f t="shared" si="37"/>
        <v>13</v>
      </c>
      <c r="Z104" s="1">
        <v>2.4</v>
      </c>
      <c r="AA104" s="1">
        <v>2.4</v>
      </c>
      <c r="AB104" s="1">
        <v>6.8</v>
      </c>
      <c r="AC104" s="1">
        <v>4.2</v>
      </c>
      <c r="AD104" s="1">
        <v>1.2</v>
      </c>
      <c r="AE104" s="1">
        <v>3.4</v>
      </c>
      <c r="AF104" s="1">
        <v>3.8</v>
      </c>
      <c r="AG104" s="1">
        <v>3.8</v>
      </c>
      <c r="AH104" s="1"/>
      <c r="AI104" s="1">
        <f>G104*W104</f>
        <v>0</v>
      </c>
      <c r="AJ104" s="1"/>
      <c r="AK104" s="1"/>
      <c r="AL104" s="1"/>
      <c r="AM104" s="1"/>
      <c r="AN104" s="1"/>
      <c r="AO104" s="1"/>
      <c r="AP104" s="1"/>
      <c r="AQ104" s="1"/>
    </row>
    <row r="105" spans="1:43" x14ac:dyDescent="0.25">
      <c r="A105" s="1" t="s">
        <v>159</v>
      </c>
      <c r="B105" s="1" t="s">
        <v>39</v>
      </c>
      <c r="C105" s="1">
        <v>14.081</v>
      </c>
      <c r="D105" s="1">
        <v>11.944000000000001</v>
      </c>
      <c r="E105" s="1">
        <v>16.201000000000001</v>
      </c>
      <c r="F105" s="1">
        <v>9.4440000000000008</v>
      </c>
      <c r="G105" s="7">
        <v>1</v>
      </c>
      <c r="H105" s="1">
        <v>55</v>
      </c>
      <c r="I105" s="10" t="s">
        <v>51</v>
      </c>
      <c r="J105" s="1"/>
      <c r="K105" s="1">
        <v>16.8</v>
      </c>
      <c r="L105" s="1">
        <f t="shared" si="33"/>
        <v>-0.5990000000000002</v>
      </c>
      <c r="M105" s="1">
        <f t="shared" si="34"/>
        <v>16.201000000000001</v>
      </c>
      <c r="N105" s="1"/>
      <c r="O105" s="1">
        <v>10</v>
      </c>
      <c r="P105" s="1"/>
      <c r="Q105" s="1"/>
      <c r="R105" s="1"/>
      <c r="S105" s="1">
        <v>12.8066</v>
      </c>
      <c r="T105" s="1"/>
      <c r="U105" s="1"/>
      <c r="V105" s="1">
        <f t="shared" si="35"/>
        <v>3.2402000000000002</v>
      </c>
      <c r="W105" s="5">
        <v>5</v>
      </c>
      <c r="X105" s="1">
        <f t="shared" si="36"/>
        <v>11.496389111783225</v>
      </c>
      <c r="Y105" s="1">
        <f t="shared" si="37"/>
        <v>9.9532744892290612</v>
      </c>
      <c r="Z105" s="1">
        <v>3.1644000000000001</v>
      </c>
      <c r="AA105" s="1">
        <v>1.3438000000000001</v>
      </c>
      <c r="AB105" s="1">
        <v>1.5089999999999999</v>
      </c>
      <c r="AC105" s="1">
        <v>4.0606</v>
      </c>
      <c r="AD105" s="1">
        <v>3.5045999999999999</v>
      </c>
      <c r="AE105" s="1">
        <v>1.7738</v>
      </c>
      <c r="AF105" s="1">
        <v>2.5558000000000001</v>
      </c>
      <c r="AG105" s="1">
        <v>2.5558000000000001</v>
      </c>
      <c r="AH105" s="1"/>
      <c r="AI105" s="1">
        <f>G105*W105</f>
        <v>5</v>
      </c>
      <c r="AJ105" s="1"/>
      <c r="AK105" s="1"/>
      <c r="AL105" s="1"/>
      <c r="AM105" s="1"/>
      <c r="AN105" s="1"/>
      <c r="AO105" s="1"/>
      <c r="AP105" s="1"/>
      <c r="AQ105" s="1"/>
    </row>
    <row r="106" spans="1:43" x14ac:dyDescent="0.25">
      <c r="A106" s="1" t="s">
        <v>160</v>
      </c>
      <c r="B106" s="1" t="s">
        <v>45</v>
      </c>
      <c r="C106" s="1">
        <v>375</v>
      </c>
      <c r="D106" s="1">
        <v>202</v>
      </c>
      <c r="E106" s="1">
        <v>56</v>
      </c>
      <c r="F106" s="1">
        <v>510</v>
      </c>
      <c r="G106" s="7">
        <v>0.11</v>
      </c>
      <c r="H106" s="1">
        <v>30</v>
      </c>
      <c r="I106" s="9" t="s">
        <v>86</v>
      </c>
      <c r="J106" s="1"/>
      <c r="K106" s="1">
        <v>299</v>
      </c>
      <c r="L106" s="1">
        <f t="shared" si="33"/>
        <v>-243</v>
      </c>
      <c r="M106" s="1">
        <f t="shared" si="34"/>
        <v>56</v>
      </c>
      <c r="N106" s="1"/>
      <c r="O106" s="1"/>
      <c r="P106" s="1"/>
      <c r="Q106" s="1"/>
      <c r="R106" s="1"/>
      <c r="S106" s="1">
        <v>0</v>
      </c>
      <c r="T106" s="1"/>
      <c r="U106" s="1"/>
      <c r="V106" s="1">
        <f t="shared" si="35"/>
        <v>11.2</v>
      </c>
      <c r="W106" s="5"/>
      <c r="X106" s="1">
        <f t="shared" si="36"/>
        <v>45.535714285714292</v>
      </c>
      <c r="Y106" s="1">
        <f t="shared" si="37"/>
        <v>45.535714285714292</v>
      </c>
      <c r="Z106" s="1">
        <v>28.2</v>
      </c>
      <c r="AA106" s="1">
        <v>51.2</v>
      </c>
      <c r="AB106" s="1">
        <v>43.4</v>
      </c>
      <c r="AC106" s="1">
        <v>17</v>
      </c>
      <c r="AD106" s="1">
        <v>11.6</v>
      </c>
      <c r="AE106" s="1">
        <v>20.399999999999999</v>
      </c>
      <c r="AF106" s="1">
        <v>18.600000000000001</v>
      </c>
      <c r="AG106" s="1">
        <v>20.6</v>
      </c>
      <c r="AH106" s="17" t="s">
        <v>197</v>
      </c>
      <c r="AI106" s="1">
        <f>G106*W106</f>
        <v>0</v>
      </c>
      <c r="AJ106" s="1"/>
      <c r="AK106" s="1"/>
      <c r="AL106" s="1"/>
      <c r="AM106" s="1"/>
      <c r="AN106" s="1"/>
      <c r="AO106" s="1"/>
      <c r="AP106" s="1"/>
      <c r="AQ106" s="1"/>
    </row>
    <row r="107" spans="1:43" x14ac:dyDescent="0.25">
      <c r="A107" s="11" t="s">
        <v>161</v>
      </c>
      <c r="B107" s="11" t="s">
        <v>45</v>
      </c>
      <c r="C107" s="11"/>
      <c r="D107" s="11"/>
      <c r="E107" s="11"/>
      <c r="F107" s="11"/>
      <c r="G107" s="12">
        <v>0</v>
      </c>
      <c r="H107" s="11"/>
      <c r="I107" s="11" t="s">
        <v>40</v>
      </c>
      <c r="J107" s="11"/>
      <c r="K107" s="11"/>
      <c r="L107" s="11">
        <f t="shared" si="33"/>
        <v>0</v>
      </c>
      <c r="M107" s="11">
        <f t="shared" si="34"/>
        <v>0</v>
      </c>
      <c r="N107" s="11"/>
      <c r="O107" s="11"/>
      <c r="P107" s="11"/>
      <c r="Q107" s="11"/>
      <c r="R107" s="11"/>
      <c r="S107" s="11">
        <v>0</v>
      </c>
      <c r="T107" s="11"/>
      <c r="U107" s="11"/>
      <c r="V107" s="11">
        <f t="shared" si="35"/>
        <v>0</v>
      </c>
      <c r="W107" s="13"/>
      <c r="X107" s="11" t="e">
        <f t="shared" si="36"/>
        <v>#DIV/0!</v>
      </c>
      <c r="Y107" s="11" t="e">
        <f t="shared" si="37"/>
        <v>#DIV/0!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 t="s">
        <v>63</v>
      </c>
      <c r="AI107" s="11"/>
      <c r="AJ107" s="1"/>
      <c r="AK107" s="1"/>
      <c r="AL107" s="1"/>
      <c r="AM107" s="1"/>
      <c r="AN107" s="1"/>
      <c r="AO107" s="1"/>
      <c r="AP107" s="1"/>
      <c r="AQ107" s="1"/>
    </row>
    <row r="108" spans="1:43" x14ac:dyDescent="0.25">
      <c r="A108" s="1" t="s">
        <v>162</v>
      </c>
      <c r="B108" s="1" t="s">
        <v>45</v>
      </c>
      <c r="C108" s="1">
        <v>145</v>
      </c>
      <c r="D108" s="1">
        <v>883</v>
      </c>
      <c r="E108" s="1">
        <v>392</v>
      </c>
      <c r="F108" s="1">
        <v>599</v>
      </c>
      <c r="G108" s="7">
        <v>0.08</v>
      </c>
      <c r="H108" s="1">
        <v>45</v>
      </c>
      <c r="I108" s="9" t="s">
        <v>86</v>
      </c>
      <c r="J108" s="1"/>
      <c r="K108" s="1">
        <v>475</v>
      </c>
      <c r="L108" s="1">
        <f t="shared" si="33"/>
        <v>-83</v>
      </c>
      <c r="M108" s="1">
        <f t="shared" si="34"/>
        <v>392</v>
      </c>
      <c r="N108" s="1"/>
      <c r="O108" s="1"/>
      <c r="P108" s="1"/>
      <c r="Q108" s="1"/>
      <c r="R108" s="1"/>
      <c r="S108" s="1">
        <v>314.89999999999992</v>
      </c>
      <c r="T108" s="1"/>
      <c r="U108" s="1"/>
      <c r="V108" s="1">
        <f t="shared" si="35"/>
        <v>78.400000000000006</v>
      </c>
      <c r="W108" s="5"/>
      <c r="X108" s="1">
        <f t="shared" si="36"/>
        <v>11.656887755102039</v>
      </c>
      <c r="Y108" s="1">
        <f t="shared" si="37"/>
        <v>11.656887755102039</v>
      </c>
      <c r="Z108" s="1">
        <v>93.4</v>
      </c>
      <c r="AA108" s="1">
        <v>89.4</v>
      </c>
      <c r="AB108" s="1">
        <v>91.2</v>
      </c>
      <c r="AC108" s="1">
        <v>65.8</v>
      </c>
      <c r="AD108" s="1">
        <v>55.2</v>
      </c>
      <c r="AE108" s="1">
        <v>52</v>
      </c>
      <c r="AF108" s="1">
        <v>41</v>
      </c>
      <c r="AG108" s="1">
        <v>41</v>
      </c>
      <c r="AH108" s="1" t="s">
        <v>163</v>
      </c>
      <c r="AI108" s="1">
        <f t="shared" ref="AI108:AI119" si="38">G108*W108</f>
        <v>0</v>
      </c>
      <c r="AJ108" s="1"/>
      <c r="AK108" s="1"/>
      <c r="AL108" s="1"/>
      <c r="AM108" s="1"/>
      <c r="AN108" s="1"/>
      <c r="AO108" s="1"/>
      <c r="AP108" s="1"/>
      <c r="AQ108" s="1"/>
    </row>
    <row r="109" spans="1:43" x14ac:dyDescent="0.25">
      <c r="A109" s="1" t="s">
        <v>164</v>
      </c>
      <c r="B109" s="1" t="s">
        <v>45</v>
      </c>
      <c r="C109" s="1">
        <v>382</v>
      </c>
      <c r="D109" s="1">
        <v>463</v>
      </c>
      <c r="E109" s="1">
        <v>302</v>
      </c>
      <c r="F109" s="1">
        <v>510</v>
      </c>
      <c r="G109" s="7">
        <v>0.08</v>
      </c>
      <c r="H109" s="1">
        <v>45</v>
      </c>
      <c r="I109" s="9" t="s">
        <v>86</v>
      </c>
      <c r="J109" s="1"/>
      <c r="K109" s="1">
        <v>373</v>
      </c>
      <c r="L109" s="1">
        <f t="shared" si="33"/>
        <v>-71</v>
      </c>
      <c r="M109" s="1">
        <f t="shared" si="34"/>
        <v>302</v>
      </c>
      <c r="N109" s="1"/>
      <c r="O109" s="1">
        <v>162.00880000000001</v>
      </c>
      <c r="P109" s="1"/>
      <c r="Q109" s="1"/>
      <c r="R109" s="1"/>
      <c r="S109" s="1">
        <v>242.39999999999989</v>
      </c>
      <c r="T109" s="1"/>
      <c r="U109" s="1"/>
      <c r="V109" s="1">
        <f t="shared" si="35"/>
        <v>60.4</v>
      </c>
      <c r="W109" s="5"/>
      <c r="X109" s="1">
        <f t="shared" si="36"/>
        <v>15.139218543046356</v>
      </c>
      <c r="Y109" s="1">
        <f t="shared" si="37"/>
        <v>15.139218543046356</v>
      </c>
      <c r="Z109" s="1">
        <v>86.8</v>
      </c>
      <c r="AA109" s="1">
        <v>88.8</v>
      </c>
      <c r="AB109" s="1">
        <v>80</v>
      </c>
      <c r="AC109" s="1">
        <v>44.6</v>
      </c>
      <c r="AD109" s="1">
        <v>42</v>
      </c>
      <c r="AE109" s="1">
        <v>44.6</v>
      </c>
      <c r="AF109" s="1">
        <v>41.6</v>
      </c>
      <c r="AG109" s="1">
        <v>41.6</v>
      </c>
      <c r="AH109" s="1" t="s">
        <v>165</v>
      </c>
      <c r="AI109" s="1">
        <f t="shared" si="38"/>
        <v>0</v>
      </c>
      <c r="AJ109" s="1"/>
      <c r="AK109" s="1"/>
      <c r="AL109" s="1"/>
      <c r="AM109" s="1"/>
      <c r="AN109" s="1"/>
      <c r="AO109" s="1"/>
      <c r="AP109" s="1"/>
      <c r="AQ109" s="1"/>
    </row>
    <row r="110" spans="1:43" x14ac:dyDescent="0.25">
      <c r="A110" s="1" t="s">
        <v>166</v>
      </c>
      <c r="B110" s="1" t="s">
        <v>45</v>
      </c>
      <c r="C110" s="1">
        <v>265</v>
      </c>
      <c r="D110" s="1">
        <v>284</v>
      </c>
      <c r="E110" s="1">
        <v>57</v>
      </c>
      <c r="F110" s="1">
        <v>460</v>
      </c>
      <c r="G110" s="7">
        <v>0.17</v>
      </c>
      <c r="H110" s="1">
        <v>30</v>
      </c>
      <c r="I110" s="9" t="s">
        <v>86</v>
      </c>
      <c r="J110" s="1"/>
      <c r="K110" s="1">
        <v>261</v>
      </c>
      <c r="L110" s="1">
        <f t="shared" si="33"/>
        <v>-204</v>
      </c>
      <c r="M110" s="1">
        <f t="shared" si="34"/>
        <v>57</v>
      </c>
      <c r="N110" s="1"/>
      <c r="O110" s="1"/>
      <c r="P110" s="1"/>
      <c r="Q110" s="1"/>
      <c r="R110" s="1"/>
      <c r="S110" s="1">
        <v>0</v>
      </c>
      <c r="T110" s="1"/>
      <c r="U110" s="1"/>
      <c r="V110" s="1">
        <f t="shared" si="35"/>
        <v>11.4</v>
      </c>
      <c r="W110" s="5"/>
      <c r="X110" s="1">
        <f t="shared" si="36"/>
        <v>40.350877192982452</v>
      </c>
      <c r="Y110" s="1">
        <f t="shared" si="37"/>
        <v>40.350877192982452</v>
      </c>
      <c r="Z110" s="1">
        <v>28</v>
      </c>
      <c r="AA110" s="1">
        <v>48.4</v>
      </c>
      <c r="AB110" s="1">
        <v>49.4</v>
      </c>
      <c r="AC110" s="1">
        <v>25.6</v>
      </c>
      <c r="AD110" s="1">
        <v>19.2</v>
      </c>
      <c r="AE110" s="1">
        <v>25.8</v>
      </c>
      <c r="AF110" s="1">
        <v>16.2</v>
      </c>
      <c r="AG110" s="1">
        <v>16.2</v>
      </c>
      <c r="AH110" s="17" t="s">
        <v>198</v>
      </c>
      <c r="AI110" s="1">
        <f t="shared" si="38"/>
        <v>0</v>
      </c>
      <c r="AJ110" s="1"/>
      <c r="AK110" s="1"/>
      <c r="AL110" s="1"/>
      <c r="AM110" s="1"/>
      <c r="AN110" s="1"/>
      <c r="AO110" s="1"/>
      <c r="AP110" s="1"/>
      <c r="AQ110" s="1"/>
    </row>
    <row r="111" spans="1:43" x14ac:dyDescent="0.25">
      <c r="A111" s="1" t="s">
        <v>167</v>
      </c>
      <c r="B111" s="1" t="s">
        <v>39</v>
      </c>
      <c r="C111" s="1">
        <v>148.27799999999999</v>
      </c>
      <c r="D111" s="1">
        <v>77.933000000000007</v>
      </c>
      <c r="E111" s="1">
        <v>224.84299999999999</v>
      </c>
      <c r="F111" s="1">
        <v>-15.329000000000001</v>
      </c>
      <c r="G111" s="7">
        <v>1</v>
      </c>
      <c r="H111" s="1">
        <v>40</v>
      </c>
      <c r="I111" s="10" t="s">
        <v>51</v>
      </c>
      <c r="J111" s="1"/>
      <c r="K111" s="1">
        <v>295.74</v>
      </c>
      <c r="L111" s="1">
        <f t="shared" si="33"/>
        <v>-70.89700000000002</v>
      </c>
      <c r="M111" s="1">
        <f t="shared" si="34"/>
        <v>224.84299999999999</v>
      </c>
      <c r="N111" s="1"/>
      <c r="O111" s="1">
        <v>250</v>
      </c>
      <c r="P111" s="1"/>
      <c r="Q111" s="1"/>
      <c r="R111" s="1"/>
      <c r="S111" s="1">
        <v>108.95100000000011</v>
      </c>
      <c r="T111" s="1"/>
      <c r="U111" s="1"/>
      <c r="V111" s="1">
        <f t="shared" si="35"/>
        <v>44.968599999999995</v>
      </c>
      <c r="W111" s="5">
        <f t="shared" ref="W111" si="39">11*V111-U111-T111-S111-R111-Q111-P111-O111-F111</f>
        <v>151.03259999999983</v>
      </c>
      <c r="X111" s="1">
        <f t="shared" si="36"/>
        <v>10.999999999999998</v>
      </c>
      <c r="Y111" s="1">
        <f t="shared" si="37"/>
        <v>7.6413764271069171</v>
      </c>
      <c r="Z111" s="1">
        <v>78.888000000000005</v>
      </c>
      <c r="AA111" s="1">
        <v>74.961399999999998</v>
      </c>
      <c r="AB111" s="1">
        <v>27.752199999999998</v>
      </c>
      <c r="AC111" s="1">
        <v>9.1273999999999997</v>
      </c>
      <c r="AD111" s="1">
        <v>22.7928</v>
      </c>
      <c r="AE111" s="1">
        <v>34.8264</v>
      </c>
      <c r="AF111" s="1">
        <v>42.7742</v>
      </c>
      <c r="AG111" s="1">
        <v>42.7742</v>
      </c>
      <c r="AH111" s="1"/>
      <c r="AI111" s="1">
        <f t="shared" si="38"/>
        <v>151.03259999999983</v>
      </c>
      <c r="AJ111" s="1"/>
      <c r="AK111" s="1"/>
      <c r="AL111" s="1"/>
      <c r="AM111" s="1"/>
      <c r="AN111" s="1"/>
      <c r="AO111" s="1"/>
      <c r="AP111" s="1"/>
      <c r="AQ111" s="1"/>
    </row>
    <row r="112" spans="1:43" x14ac:dyDescent="0.25">
      <c r="A112" s="1" t="s">
        <v>168</v>
      </c>
      <c r="B112" s="1" t="s">
        <v>39</v>
      </c>
      <c r="C112" s="1">
        <v>228.55699999999999</v>
      </c>
      <c r="D112" s="1">
        <v>6.5350000000000001</v>
      </c>
      <c r="E112" s="1">
        <v>227.31399999999999</v>
      </c>
      <c r="F112" s="1">
        <v>-7.5039999999999996</v>
      </c>
      <c r="G112" s="7">
        <v>1</v>
      </c>
      <c r="H112" s="1">
        <v>40</v>
      </c>
      <c r="I112" s="10" t="s">
        <v>51</v>
      </c>
      <c r="J112" s="1"/>
      <c r="K112" s="1">
        <v>294.07</v>
      </c>
      <c r="L112" s="1">
        <f t="shared" si="33"/>
        <v>-66.756</v>
      </c>
      <c r="M112" s="1">
        <f t="shared" si="34"/>
        <v>227.31399999999999</v>
      </c>
      <c r="N112" s="1"/>
      <c r="O112" s="1">
        <v>57.615299999999998</v>
      </c>
      <c r="P112" s="1"/>
      <c r="Q112" s="1"/>
      <c r="R112" s="1"/>
      <c r="S112" s="1">
        <v>128.53469999999999</v>
      </c>
      <c r="T112" s="1"/>
      <c r="U112" s="1"/>
      <c r="V112" s="1">
        <f t="shared" si="35"/>
        <v>45.462800000000001</v>
      </c>
      <c r="W112" s="5">
        <v>300</v>
      </c>
      <c r="X112" s="1">
        <f t="shared" si="36"/>
        <v>10.528300060708974</v>
      </c>
      <c r="Y112" s="1">
        <f t="shared" si="37"/>
        <v>3.9294984030899984</v>
      </c>
      <c r="Z112" s="1">
        <v>36.320399999999999</v>
      </c>
      <c r="AA112" s="1">
        <v>32.119199999999999</v>
      </c>
      <c r="AB112" s="1">
        <v>27.328199999999999</v>
      </c>
      <c r="AC112" s="1">
        <v>22.582599999999999</v>
      </c>
      <c r="AD112" s="1">
        <v>18.3916</v>
      </c>
      <c r="AE112" s="1">
        <v>16.235600000000002</v>
      </c>
      <c r="AF112" s="1">
        <v>17.161000000000001</v>
      </c>
      <c r="AG112" s="1">
        <v>17.161000000000001</v>
      </c>
      <c r="AH112" s="1"/>
      <c r="AI112" s="1">
        <f t="shared" si="38"/>
        <v>300</v>
      </c>
      <c r="AJ112" s="1"/>
      <c r="AK112" s="1"/>
      <c r="AL112" s="1"/>
      <c r="AM112" s="1"/>
      <c r="AN112" s="1"/>
      <c r="AO112" s="1"/>
      <c r="AP112" s="1"/>
      <c r="AQ112" s="1"/>
    </row>
    <row r="113" spans="1:43" x14ac:dyDescent="0.25">
      <c r="A113" s="1" t="s">
        <v>169</v>
      </c>
      <c r="B113" s="1" t="s">
        <v>39</v>
      </c>
      <c r="C113" s="1">
        <v>-8.6039999999999992</v>
      </c>
      <c r="D113" s="1"/>
      <c r="E113" s="1">
        <v>-3.641</v>
      </c>
      <c r="F113" s="1">
        <v>-8.6039999999999992</v>
      </c>
      <c r="G113" s="7">
        <v>1</v>
      </c>
      <c r="H113" s="1">
        <v>40</v>
      </c>
      <c r="I113" s="10" t="s">
        <v>51</v>
      </c>
      <c r="J113" s="1"/>
      <c r="K113" s="1">
        <v>17.3</v>
      </c>
      <c r="L113" s="1">
        <f t="shared" si="33"/>
        <v>-20.941000000000003</v>
      </c>
      <c r="M113" s="1">
        <f t="shared" si="34"/>
        <v>-3.641</v>
      </c>
      <c r="N113" s="1"/>
      <c r="O113" s="1">
        <v>25</v>
      </c>
      <c r="P113" s="1"/>
      <c r="Q113" s="1"/>
      <c r="R113" s="1"/>
      <c r="S113" s="1">
        <v>50</v>
      </c>
      <c r="T113" s="1">
        <v>-52.5</v>
      </c>
      <c r="U113" s="1"/>
      <c r="V113" s="1">
        <f t="shared" si="35"/>
        <v>-0.72819999999999996</v>
      </c>
      <c r="W113" s="5">
        <v>50</v>
      </c>
      <c r="X113" s="1">
        <f t="shared" si="36"/>
        <v>-87.745124965668779</v>
      </c>
      <c r="Y113" s="1">
        <f t="shared" si="37"/>
        <v>-19.082669596264765</v>
      </c>
      <c r="Z113" s="1">
        <v>-0.84860000000000002</v>
      </c>
      <c r="AA113" s="1">
        <v>-0.99199999999999999</v>
      </c>
      <c r="AB113" s="1">
        <v>-0.2918</v>
      </c>
      <c r="AC113" s="1">
        <v>0.2772</v>
      </c>
      <c r="AD113" s="1">
        <v>6.3255999999999997</v>
      </c>
      <c r="AE113" s="1">
        <v>28.129000000000001</v>
      </c>
      <c r="AF113" s="1">
        <v>43.2318</v>
      </c>
      <c r="AG113" s="1">
        <v>47.453200000000002</v>
      </c>
      <c r="AH113" s="1"/>
      <c r="AI113" s="1">
        <f t="shared" si="38"/>
        <v>50</v>
      </c>
      <c r="AJ113" s="1"/>
      <c r="AK113" s="1"/>
      <c r="AL113" s="1"/>
      <c r="AM113" s="1"/>
      <c r="AN113" s="1"/>
      <c r="AO113" s="1"/>
      <c r="AP113" s="1"/>
      <c r="AQ113" s="1"/>
    </row>
    <row r="114" spans="1:43" x14ac:dyDescent="0.25">
      <c r="A114" s="1" t="s">
        <v>170</v>
      </c>
      <c r="B114" s="1" t="s">
        <v>45</v>
      </c>
      <c r="C114" s="1">
        <v>14</v>
      </c>
      <c r="D114" s="1">
        <v>60</v>
      </c>
      <c r="E114" s="1">
        <v>11</v>
      </c>
      <c r="F114" s="1">
        <v>63</v>
      </c>
      <c r="G114" s="7">
        <v>0.3</v>
      </c>
      <c r="H114" s="1">
        <v>45</v>
      </c>
      <c r="I114" s="1" t="s">
        <v>40</v>
      </c>
      <c r="J114" s="1"/>
      <c r="K114" s="1">
        <v>80</v>
      </c>
      <c r="L114" s="1">
        <f t="shared" si="33"/>
        <v>-69</v>
      </c>
      <c r="M114" s="1">
        <f t="shared" si="34"/>
        <v>11</v>
      </c>
      <c r="N114" s="1"/>
      <c r="O114" s="1"/>
      <c r="P114" s="1"/>
      <c r="Q114" s="1"/>
      <c r="R114" s="1"/>
      <c r="S114" s="1">
        <v>0</v>
      </c>
      <c r="T114" s="1"/>
      <c r="U114" s="1"/>
      <c r="V114" s="1">
        <f t="shared" si="35"/>
        <v>2.2000000000000002</v>
      </c>
      <c r="W114" s="5"/>
      <c r="X114" s="1">
        <f t="shared" si="36"/>
        <v>28.636363636363633</v>
      </c>
      <c r="Y114" s="1">
        <f t="shared" si="37"/>
        <v>28.636363636363633</v>
      </c>
      <c r="Z114" s="1">
        <v>5</v>
      </c>
      <c r="AA114" s="1">
        <v>11.4</v>
      </c>
      <c r="AB114" s="1">
        <v>8.1999999999999993</v>
      </c>
      <c r="AC114" s="1">
        <v>0.4</v>
      </c>
      <c r="AD114" s="1">
        <v>1.2</v>
      </c>
      <c r="AE114" s="1">
        <v>8.4</v>
      </c>
      <c r="AF114" s="1">
        <v>2</v>
      </c>
      <c r="AG114" s="1">
        <v>2</v>
      </c>
      <c r="AH114" s="15" t="s">
        <v>140</v>
      </c>
      <c r="AI114" s="1">
        <f t="shared" si="38"/>
        <v>0</v>
      </c>
      <c r="AJ114" s="1"/>
      <c r="AK114" s="1"/>
      <c r="AL114" s="1"/>
      <c r="AM114" s="1"/>
      <c r="AN114" s="1"/>
      <c r="AO114" s="1"/>
      <c r="AP114" s="1"/>
      <c r="AQ114" s="1"/>
    </row>
    <row r="115" spans="1:43" x14ac:dyDescent="0.25">
      <c r="A115" s="1" t="s">
        <v>171</v>
      </c>
      <c r="B115" s="1" t="s">
        <v>39</v>
      </c>
      <c r="C115" s="1">
        <v>9.9079999999999995</v>
      </c>
      <c r="D115" s="1">
        <v>12.225</v>
      </c>
      <c r="E115" s="1">
        <v>2.698</v>
      </c>
      <c r="F115" s="1">
        <v>15.365</v>
      </c>
      <c r="G115" s="7">
        <v>1</v>
      </c>
      <c r="H115" s="1">
        <v>55</v>
      </c>
      <c r="I115" s="1" t="s">
        <v>40</v>
      </c>
      <c r="J115" s="1"/>
      <c r="K115" s="1">
        <v>6.6</v>
      </c>
      <c r="L115" s="1">
        <f t="shared" si="33"/>
        <v>-3.9019999999999997</v>
      </c>
      <c r="M115" s="1">
        <f t="shared" si="34"/>
        <v>2.698</v>
      </c>
      <c r="N115" s="1"/>
      <c r="O115" s="1"/>
      <c r="P115" s="1"/>
      <c r="Q115" s="1"/>
      <c r="R115" s="1"/>
      <c r="S115" s="1">
        <v>0</v>
      </c>
      <c r="T115" s="1"/>
      <c r="U115" s="1"/>
      <c r="V115" s="1">
        <f t="shared" si="35"/>
        <v>0.53959999999999997</v>
      </c>
      <c r="W115" s="5"/>
      <c r="X115" s="1">
        <f t="shared" si="36"/>
        <v>28.47479614529281</v>
      </c>
      <c r="Y115" s="1">
        <f t="shared" si="37"/>
        <v>28.47479614529281</v>
      </c>
      <c r="Z115" s="1">
        <v>0.54379999999999995</v>
      </c>
      <c r="AA115" s="1">
        <v>0.54379999999999995</v>
      </c>
      <c r="AB115" s="1">
        <v>1.0960000000000001</v>
      </c>
      <c r="AC115" s="1">
        <v>1.0960000000000001</v>
      </c>
      <c r="AD115" s="1">
        <v>0.27679999999999999</v>
      </c>
      <c r="AE115" s="1">
        <v>0.27679999999999999</v>
      </c>
      <c r="AF115" s="1">
        <v>0.55199999999999994</v>
      </c>
      <c r="AG115" s="1">
        <v>0.55199999999999994</v>
      </c>
      <c r="AH115" s="18" t="s">
        <v>112</v>
      </c>
      <c r="AI115" s="1">
        <f t="shared" si="38"/>
        <v>0</v>
      </c>
      <c r="AJ115" s="1"/>
      <c r="AK115" s="1"/>
      <c r="AL115" s="1"/>
      <c r="AM115" s="1"/>
      <c r="AN115" s="1"/>
      <c r="AO115" s="1"/>
      <c r="AP115" s="1"/>
      <c r="AQ115" s="1"/>
    </row>
    <row r="116" spans="1:43" x14ac:dyDescent="0.25">
      <c r="A116" s="1" t="s">
        <v>172</v>
      </c>
      <c r="B116" s="1" t="s">
        <v>45</v>
      </c>
      <c r="C116" s="1">
        <v>231</v>
      </c>
      <c r="D116" s="1">
        <v>715</v>
      </c>
      <c r="E116" s="1">
        <v>148</v>
      </c>
      <c r="F116" s="1">
        <v>762</v>
      </c>
      <c r="G116" s="7">
        <v>0.28000000000000003</v>
      </c>
      <c r="H116" s="1">
        <v>40</v>
      </c>
      <c r="I116" s="10" t="s">
        <v>51</v>
      </c>
      <c r="J116" s="1"/>
      <c r="K116" s="1">
        <v>488</v>
      </c>
      <c r="L116" s="1">
        <f t="shared" si="33"/>
        <v>-340</v>
      </c>
      <c r="M116" s="1">
        <f t="shared" si="34"/>
        <v>148</v>
      </c>
      <c r="N116" s="1"/>
      <c r="O116" s="1">
        <v>350</v>
      </c>
      <c r="P116" s="1"/>
      <c r="Q116" s="1"/>
      <c r="R116" s="1"/>
      <c r="S116" s="1">
        <v>100</v>
      </c>
      <c r="T116" s="1"/>
      <c r="U116" s="1"/>
      <c r="V116" s="1">
        <f t="shared" si="35"/>
        <v>29.6</v>
      </c>
      <c r="W116" s="5"/>
      <c r="X116" s="1">
        <f t="shared" si="36"/>
        <v>40.945945945945944</v>
      </c>
      <c r="Y116" s="1">
        <f t="shared" si="37"/>
        <v>40.945945945945944</v>
      </c>
      <c r="Z116" s="1">
        <v>101</v>
      </c>
      <c r="AA116" s="1">
        <v>125.4</v>
      </c>
      <c r="AB116" s="1">
        <v>60.4</v>
      </c>
      <c r="AC116" s="1">
        <v>3.4</v>
      </c>
      <c r="AD116" s="1">
        <v>27.6</v>
      </c>
      <c r="AE116" s="1">
        <v>72.8</v>
      </c>
      <c r="AF116" s="1">
        <v>76.599999999999994</v>
      </c>
      <c r="AG116" s="1">
        <v>78.2</v>
      </c>
      <c r="AH116" s="15" t="s">
        <v>140</v>
      </c>
      <c r="AI116" s="1">
        <f t="shared" si="38"/>
        <v>0</v>
      </c>
      <c r="AJ116" s="1"/>
      <c r="AK116" s="1"/>
      <c r="AL116" s="1"/>
      <c r="AM116" s="1"/>
      <c r="AN116" s="1"/>
      <c r="AO116" s="1"/>
      <c r="AP116" s="1"/>
      <c r="AQ116" s="1"/>
    </row>
    <row r="117" spans="1:43" x14ac:dyDescent="0.25">
      <c r="A117" s="1" t="s">
        <v>173</v>
      </c>
      <c r="B117" s="1" t="s">
        <v>45</v>
      </c>
      <c r="C117" s="1">
        <v>96.725999999999999</v>
      </c>
      <c r="D117" s="1">
        <v>271</v>
      </c>
      <c r="E117" s="1">
        <v>356</v>
      </c>
      <c r="F117" s="1">
        <v>4.726</v>
      </c>
      <c r="G117" s="7">
        <v>0.28000000000000003</v>
      </c>
      <c r="H117" s="1">
        <v>40</v>
      </c>
      <c r="I117" s="10" t="s">
        <v>51</v>
      </c>
      <c r="J117" s="1"/>
      <c r="K117" s="1">
        <v>577</v>
      </c>
      <c r="L117" s="1">
        <f t="shared" si="33"/>
        <v>-221</v>
      </c>
      <c r="M117" s="1">
        <f t="shared" si="34"/>
        <v>356</v>
      </c>
      <c r="N117" s="1"/>
      <c r="O117" s="1">
        <v>50</v>
      </c>
      <c r="P117" s="1"/>
      <c r="Q117" s="1"/>
      <c r="R117" s="1"/>
      <c r="S117" s="1">
        <v>30</v>
      </c>
      <c r="T117" s="1"/>
      <c r="U117" s="1"/>
      <c r="V117" s="1">
        <f t="shared" si="35"/>
        <v>71.2</v>
      </c>
      <c r="W117" s="5">
        <v>500</v>
      </c>
      <c r="X117" s="1">
        <f t="shared" si="36"/>
        <v>8.2124438202247187</v>
      </c>
      <c r="Y117" s="1">
        <f t="shared" si="37"/>
        <v>1.1899719101123596</v>
      </c>
      <c r="Z117" s="1">
        <v>36.799999999999997</v>
      </c>
      <c r="AA117" s="1">
        <v>31.8</v>
      </c>
      <c r="AB117" s="1">
        <v>27.2</v>
      </c>
      <c r="AC117" s="1">
        <v>0.6</v>
      </c>
      <c r="AD117" s="1">
        <v>0</v>
      </c>
      <c r="AE117" s="1">
        <v>-0.8</v>
      </c>
      <c r="AF117" s="1">
        <v>22.8</v>
      </c>
      <c r="AG117" s="1">
        <v>22.8</v>
      </c>
      <c r="AH117" s="1"/>
      <c r="AI117" s="1">
        <f t="shared" si="38"/>
        <v>140</v>
      </c>
      <c r="AJ117" s="1"/>
      <c r="AK117" s="1"/>
      <c r="AL117" s="1"/>
      <c r="AM117" s="1"/>
      <c r="AN117" s="1"/>
      <c r="AO117" s="1"/>
      <c r="AP117" s="1"/>
      <c r="AQ117" s="1"/>
    </row>
    <row r="118" spans="1:43" x14ac:dyDescent="0.25">
      <c r="A118" s="1" t="s">
        <v>174</v>
      </c>
      <c r="B118" s="1" t="s">
        <v>45</v>
      </c>
      <c r="C118" s="1">
        <v>144.5</v>
      </c>
      <c r="D118" s="1">
        <v>913</v>
      </c>
      <c r="E118" s="1">
        <v>327</v>
      </c>
      <c r="F118" s="1">
        <v>698.5</v>
      </c>
      <c r="G118" s="7">
        <v>0.28000000000000003</v>
      </c>
      <c r="H118" s="1">
        <v>40</v>
      </c>
      <c r="I118" s="10" t="s">
        <v>51</v>
      </c>
      <c r="J118" s="1"/>
      <c r="K118" s="1">
        <v>536</v>
      </c>
      <c r="L118" s="1">
        <f t="shared" si="33"/>
        <v>-209</v>
      </c>
      <c r="M118" s="1">
        <f t="shared" si="34"/>
        <v>327</v>
      </c>
      <c r="N118" s="1"/>
      <c r="O118" s="1">
        <v>350</v>
      </c>
      <c r="P118" s="1"/>
      <c r="Q118" s="1"/>
      <c r="R118" s="1"/>
      <c r="S118" s="1">
        <v>300</v>
      </c>
      <c r="T118" s="1"/>
      <c r="U118" s="1"/>
      <c r="V118" s="1">
        <f t="shared" si="35"/>
        <v>65.400000000000006</v>
      </c>
      <c r="W118" s="5"/>
      <c r="X118" s="1">
        <f t="shared" si="36"/>
        <v>20.61926605504587</v>
      </c>
      <c r="Y118" s="1">
        <f t="shared" si="37"/>
        <v>20.61926605504587</v>
      </c>
      <c r="Z118" s="1">
        <v>102</v>
      </c>
      <c r="AA118" s="1">
        <v>112.2</v>
      </c>
      <c r="AB118" s="1">
        <v>55.2</v>
      </c>
      <c r="AC118" s="1">
        <v>0.2</v>
      </c>
      <c r="AD118" s="1">
        <v>26</v>
      </c>
      <c r="AE118" s="1">
        <v>100.4</v>
      </c>
      <c r="AF118" s="1">
        <v>109.2</v>
      </c>
      <c r="AG118" s="1">
        <v>110.4</v>
      </c>
      <c r="AH118" s="1"/>
      <c r="AI118" s="1">
        <f t="shared" si="38"/>
        <v>0</v>
      </c>
      <c r="AJ118" s="1"/>
      <c r="AK118" s="1"/>
      <c r="AL118" s="1"/>
      <c r="AM118" s="1"/>
      <c r="AN118" s="1"/>
      <c r="AO118" s="1"/>
      <c r="AP118" s="1"/>
      <c r="AQ118" s="1"/>
    </row>
    <row r="119" spans="1:43" x14ac:dyDescent="0.25">
      <c r="A119" s="1" t="s">
        <v>175</v>
      </c>
      <c r="B119" s="1" t="s">
        <v>45</v>
      </c>
      <c r="C119" s="1">
        <v>330</v>
      </c>
      <c r="D119" s="1">
        <v>228</v>
      </c>
      <c r="E119" s="1">
        <v>221</v>
      </c>
      <c r="F119" s="1">
        <v>297</v>
      </c>
      <c r="G119" s="7">
        <v>0.09</v>
      </c>
      <c r="H119" s="1">
        <v>45</v>
      </c>
      <c r="I119" s="9" t="s">
        <v>86</v>
      </c>
      <c r="J119" s="1"/>
      <c r="K119" s="1">
        <v>301</v>
      </c>
      <c r="L119" s="1">
        <f t="shared" si="33"/>
        <v>-80</v>
      </c>
      <c r="M119" s="1">
        <f t="shared" si="34"/>
        <v>221</v>
      </c>
      <c r="N119" s="1"/>
      <c r="O119" s="1">
        <v>208.85159999999999</v>
      </c>
      <c r="P119" s="1"/>
      <c r="Q119" s="1"/>
      <c r="R119" s="1"/>
      <c r="S119" s="1">
        <v>250.40000000000009</v>
      </c>
      <c r="T119" s="1"/>
      <c r="U119" s="1"/>
      <c r="V119" s="1">
        <f t="shared" si="35"/>
        <v>44.2</v>
      </c>
      <c r="W119" s="5"/>
      <c r="X119" s="1">
        <f t="shared" si="36"/>
        <v>17.109764705882352</v>
      </c>
      <c r="Y119" s="1">
        <f t="shared" si="37"/>
        <v>17.109764705882352</v>
      </c>
      <c r="Z119" s="1">
        <v>73.2</v>
      </c>
      <c r="AA119" s="1">
        <v>85.6</v>
      </c>
      <c r="AB119" s="1">
        <v>59.6</v>
      </c>
      <c r="AC119" s="1">
        <v>28.2</v>
      </c>
      <c r="AD119" s="1">
        <v>32.6</v>
      </c>
      <c r="AE119" s="1">
        <v>32.799999999999997</v>
      </c>
      <c r="AF119" s="1">
        <v>20.2</v>
      </c>
      <c r="AG119" s="1">
        <v>22.8</v>
      </c>
      <c r="AH119" s="1" t="s">
        <v>176</v>
      </c>
      <c r="AI119" s="1">
        <f t="shared" si="38"/>
        <v>0</v>
      </c>
      <c r="AJ119" s="1"/>
      <c r="AK119" s="1"/>
      <c r="AL119" s="1"/>
      <c r="AM119" s="1"/>
      <c r="AN119" s="1"/>
      <c r="AO119" s="1"/>
      <c r="AP119" s="1"/>
      <c r="AQ119" s="1"/>
    </row>
    <row r="120" spans="1:43" x14ac:dyDescent="0.25">
      <c r="A120" s="11" t="s">
        <v>177</v>
      </c>
      <c r="B120" s="11" t="s">
        <v>39</v>
      </c>
      <c r="C120" s="11">
        <v>-0.09</v>
      </c>
      <c r="D120" s="11"/>
      <c r="E120" s="11"/>
      <c r="F120" s="11">
        <v>-2.8069999999999999</v>
      </c>
      <c r="G120" s="12">
        <v>0</v>
      </c>
      <c r="H120" s="11">
        <v>55</v>
      </c>
      <c r="I120" s="11" t="s">
        <v>54</v>
      </c>
      <c r="J120" s="11"/>
      <c r="K120" s="11"/>
      <c r="L120" s="11">
        <f t="shared" si="33"/>
        <v>0</v>
      </c>
      <c r="M120" s="11">
        <f t="shared" si="34"/>
        <v>0</v>
      </c>
      <c r="N120" s="11"/>
      <c r="O120" s="11"/>
      <c r="P120" s="11"/>
      <c r="Q120" s="11"/>
      <c r="R120" s="11"/>
      <c r="S120" s="11">
        <v>0</v>
      </c>
      <c r="T120" s="11"/>
      <c r="U120" s="11"/>
      <c r="V120" s="11">
        <f t="shared" si="35"/>
        <v>0</v>
      </c>
      <c r="W120" s="13"/>
      <c r="X120" s="11" t="e">
        <f t="shared" si="36"/>
        <v>#DIV/0!</v>
      </c>
      <c r="Y120" s="11" t="e">
        <f t="shared" si="37"/>
        <v>#DIV/0!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/>
      <c r="AI120" s="11"/>
      <c r="AJ120" s="1"/>
      <c r="AK120" s="1"/>
      <c r="AL120" s="1"/>
      <c r="AM120" s="1"/>
      <c r="AN120" s="1"/>
      <c r="AO120" s="1"/>
      <c r="AP120" s="1"/>
      <c r="AQ120" s="1"/>
    </row>
    <row r="121" spans="1:43" x14ac:dyDescent="0.25">
      <c r="A121" s="1" t="s">
        <v>178</v>
      </c>
      <c r="B121" s="1" t="s">
        <v>39</v>
      </c>
      <c r="C121" s="1">
        <v>61.801000000000002</v>
      </c>
      <c r="D121" s="1">
        <v>4.92</v>
      </c>
      <c r="E121" s="1">
        <v>39.268999999999998</v>
      </c>
      <c r="F121" s="1">
        <v>24.992000000000001</v>
      </c>
      <c r="G121" s="7">
        <v>1</v>
      </c>
      <c r="H121" s="1">
        <v>60</v>
      </c>
      <c r="I121" s="1" t="s">
        <v>40</v>
      </c>
      <c r="J121" s="1"/>
      <c r="K121" s="1">
        <v>42.344000000000001</v>
      </c>
      <c r="L121" s="1">
        <f t="shared" si="33"/>
        <v>-3.0750000000000028</v>
      </c>
      <c r="M121" s="1">
        <f t="shared" si="34"/>
        <v>39.268999999999998</v>
      </c>
      <c r="N121" s="1"/>
      <c r="O121" s="1"/>
      <c r="P121" s="1"/>
      <c r="Q121" s="1"/>
      <c r="R121" s="1"/>
      <c r="S121" s="1">
        <v>18.817399999999989</v>
      </c>
      <c r="T121" s="1"/>
      <c r="U121" s="1"/>
      <c r="V121" s="1">
        <f t="shared" si="35"/>
        <v>7.8537999999999997</v>
      </c>
      <c r="W121" s="5">
        <f t="shared" ref="W121:W134" si="40">11*V121-U121-T121-S121-R121-Q121-P121-O121-F121</f>
        <v>42.582399999999993</v>
      </c>
      <c r="X121" s="1">
        <f t="shared" si="36"/>
        <v>10.999999999999998</v>
      </c>
      <c r="Y121" s="1">
        <f t="shared" si="37"/>
        <v>5.5781150525860079</v>
      </c>
      <c r="Z121" s="1">
        <v>6.3715999999999999</v>
      </c>
      <c r="AA121" s="1">
        <v>5.3945999999999996</v>
      </c>
      <c r="AB121" s="1">
        <v>5.0279999999999996</v>
      </c>
      <c r="AC121" s="1">
        <v>5.5289999999999999</v>
      </c>
      <c r="AD121" s="1">
        <v>6.0906000000000002</v>
      </c>
      <c r="AE121" s="1">
        <v>9.970600000000001</v>
      </c>
      <c r="AF121" s="1">
        <v>5.4567999999999994</v>
      </c>
      <c r="AG121" s="1">
        <v>5.4567999999999994</v>
      </c>
      <c r="AH121" s="1"/>
      <c r="AI121" s="1">
        <f t="shared" ref="AI121:AI136" si="41">G121*W121</f>
        <v>42.582399999999993</v>
      </c>
      <c r="AJ121" s="1"/>
      <c r="AK121" s="1"/>
      <c r="AL121" s="1"/>
      <c r="AM121" s="1"/>
      <c r="AN121" s="1"/>
      <c r="AO121" s="1"/>
      <c r="AP121" s="1"/>
      <c r="AQ121" s="1"/>
    </row>
    <row r="122" spans="1:43" x14ac:dyDescent="0.25">
      <c r="A122" s="1" t="s">
        <v>179</v>
      </c>
      <c r="B122" s="1" t="s">
        <v>39</v>
      </c>
      <c r="C122" s="1">
        <v>51.536999999999999</v>
      </c>
      <c r="D122" s="1"/>
      <c r="E122" s="1">
        <v>26.783999999999999</v>
      </c>
      <c r="F122" s="1">
        <v>24.329000000000001</v>
      </c>
      <c r="G122" s="7">
        <v>1</v>
      </c>
      <c r="H122" s="1">
        <v>50</v>
      </c>
      <c r="I122" s="1" t="s">
        <v>40</v>
      </c>
      <c r="J122" s="1"/>
      <c r="K122" s="1">
        <v>27.393999999999998</v>
      </c>
      <c r="L122" s="1">
        <f t="shared" si="33"/>
        <v>-0.60999999999999943</v>
      </c>
      <c r="M122" s="1">
        <f t="shared" si="34"/>
        <v>26.783999999999999</v>
      </c>
      <c r="N122" s="1"/>
      <c r="O122" s="1"/>
      <c r="P122" s="1"/>
      <c r="Q122" s="1"/>
      <c r="R122" s="1"/>
      <c r="S122" s="1">
        <v>0</v>
      </c>
      <c r="T122" s="1"/>
      <c r="U122" s="1"/>
      <c r="V122" s="1">
        <f t="shared" si="35"/>
        <v>5.3567999999999998</v>
      </c>
      <c r="W122" s="5">
        <f>10*V122-U122-T122-S122-R122-Q122-P122-O122-F122</f>
        <v>29.238999999999997</v>
      </c>
      <c r="X122" s="1">
        <f t="shared" si="36"/>
        <v>10</v>
      </c>
      <c r="Y122" s="1">
        <f t="shared" si="37"/>
        <v>4.5417040023894861</v>
      </c>
      <c r="Z122" s="1">
        <v>2.4121999999999999</v>
      </c>
      <c r="AA122" s="1">
        <v>1.9867999999999999</v>
      </c>
      <c r="AB122" s="1">
        <v>1.4796</v>
      </c>
      <c r="AC122" s="1">
        <v>0.99480000000000002</v>
      </c>
      <c r="AD122" s="1">
        <v>3.9885999999999999</v>
      </c>
      <c r="AE122" s="1">
        <v>3.4885999999999999</v>
      </c>
      <c r="AF122" s="1">
        <v>2.4849999999999999</v>
      </c>
      <c r="AG122" s="1">
        <v>2.4849999999999999</v>
      </c>
      <c r="AH122" s="1"/>
      <c r="AI122" s="1">
        <f t="shared" si="41"/>
        <v>29.238999999999997</v>
      </c>
      <c r="AJ122" s="1"/>
      <c r="AK122" s="1"/>
      <c r="AL122" s="1"/>
      <c r="AM122" s="1"/>
      <c r="AN122" s="1"/>
      <c r="AO122" s="1"/>
      <c r="AP122" s="1"/>
      <c r="AQ122" s="1"/>
    </row>
    <row r="123" spans="1:43" x14ac:dyDescent="0.25">
      <c r="A123" s="1" t="s">
        <v>180</v>
      </c>
      <c r="B123" s="1" t="s">
        <v>45</v>
      </c>
      <c r="C123" s="1">
        <v>2</v>
      </c>
      <c r="D123" s="1">
        <v>454</v>
      </c>
      <c r="E123" s="1">
        <v>86</v>
      </c>
      <c r="F123" s="1">
        <v>366</v>
      </c>
      <c r="G123" s="7">
        <v>0.09</v>
      </c>
      <c r="H123" s="1">
        <v>45</v>
      </c>
      <c r="I123" s="9" t="s">
        <v>86</v>
      </c>
      <c r="J123" s="1"/>
      <c r="K123" s="1">
        <v>144</v>
      </c>
      <c r="L123" s="1">
        <f t="shared" si="33"/>
        <v>-58</v>
      </c>
      <c r="M123" s="1">
        <f t="shared" si="34"/>
        <v>86</v>
      </c>
      <c r="N123" s="1"/>
      <c r="O123" s="1">
        <v>261.51740000000001</v>
      </c>
      <c r="P123" s="1"/>
      <c r="Q123" s="1"/>
      <c r="R123" s="1"/>
      <c r="S123" s="1">
        <v>0</v>
      </c>
      <c r="T123" s="1"/>
      <c r="U123" s="1"/>
      <c r="V123" s="1">
        <f t="shared" si="35"/>
        <v>17.2</v>
      </c>
      <c r="W123" s="5"/>
      <c r="X123" s="1">
        <f t="shared" si="36"/>
        <v>36.483569767441857</v>
      </c>
      <c r="Y123" s="1">
        <f t="shared" si="37"/>
        <v>36.483569767441857</v>
      </c>
      <c r="Z123" s="1">
        <v>42.6</v>
      </c>
      <c r="AA123" s="1">
        <v>84.4</v>
      </c>
      <c r="AB123" s="1">
        <v>65.2</v>
      </c>
      <c r="AC123" s="1">
        <v>29</v>
      </c>
      <c r="AD123" s="1">
        <v>42.4</v>
      </c>
      <c r="AE123" s="1">
        <v>38.6</v>
      </c>
      <c r="AF123" s="1">
        <v>11</v>
      </c>
      <c r="AG123" s="1">
        <v>11</v>
      </c>
      <c r="AH123" s="1" t="s">
        <v>153</v>
      </c>
      <c r="AI123" s="1">
        <f t="shared" si="41"/>
        <v>0</v>
      </c>
      <c r="AJ123" s="1"/>
      <c r="AK123" s="1"/>
      <c r="AL123" s="1"/>
      <c r="AM123" s="1"/>
      <c r="AN123" s="1"/>
      <c r="AO123" s="1"/>
      <c r="AP123" s="1"/>
      <c r="AQ123" s="1"/>
    </row>
    <row r="124" spans="1:43" x14ac:dyDescent="0.25">
      <c r="A124" s="1" t="s">
        <v>181</v>
      </c>
      <c r="B124" s="1" t="s">
        <v>45</v>
      </c>
      <c r="C124" s="1">
        <v>76</v>
      </c>
      <c r="D124" s="1">
        <v>415</v>
      </c>
      <c r="E124" s="1">
        <v>139</v>
      </c>
      <c r="F124" s="1">
        <v>338</v>
      </c>
      <c r="G124" s="7">
        <v>0.09</v>
      </c>
      <c r="H124" s="1">
        <v>45</v>
      </c>
      <c r="I124" s="9" t="s">
        <v>86</v>
      </c>
      <c r="J124" s="1"/>
      <c r="K124" s="1">
        <v>178</v>
      </c>
      <c r="L124" s="1">
        <f t="shared" si="33"/>
        <v>-39</v>
      </c>
      <c r="M124" s="1">
        <f t="shared" si="34"/>
        <v>139</v>
      </c>
      <c r="N124" s="1"/>
      <c r="O124" s="1">
        <v>240.03700000000001</v>
      </c>
      <c r="P124" s="1"/>
      <c r="Q124" s="1"/>
      <c r="R124" s="1"/>
      <c r="S124" s="1">
        <v>0</v>
      </c>
      <c r="T124" s="1"/>
      <c r="U124" s="1"/>
      <c r="V124" s="1">
        <f t="shared" si="35"/>
        <v>27.8</v>
      </c>
      <c r="W124" s="5"/>
      <c r="X124" s="1">
        <f t="shared" si="36"/>
        <v>20.792697841726618</v>
      </c>
      <c r="Y124" s="1">
        <f t="shared" si="37"/>
        <v>20.792697841726618</v>
      </c>
      <c r="Z124" s="1">
        <v>52.8</v>
      </c>
      <c r="AA124" s="1">
        <v>83</v>
      </c>
      <c r="AB124" s="1">
        <v>59</v>
      </c>
      <c r="AC124" s="1">
        <v>24</v>
      </c>
      <c r="AD124" s="1">
        <v>39.799999999999997</v>
      </c>
      <c r="AE124" s="1">
        <v>38.200000000000003</v>
      </c>
      <c r="AF124" s="1">
        <v>16.399999999999999</v>
      </c>
      <c r="AG124" s="1">
        <v>16.399999999999999</v>
      </c>
      <c r="AH124" s="1" t="s">
        <v>155</v>
      </c>
      <c r="AI124" s="1">
        <f t="shared" si="41"/>
        <v>0</v>
      </c>
      <c r="AJ124" s="1"/>
      <c r="AK124" s="1"/>
      <c r="AL124" s="1"/>
      <c r="AM124" s="1"/>
      <c r="AN124" s="1"/>
      <c r="AO124" s="1"/>
      <c r="AP124" s="1"/>
      <c r="AQ124" s="1"/>
    </row>
    <row r="125" spans="1:43" x14ac:dyDescent="0.25">
      <c r="A125" s="1" t="s">
        <v>182</v>
      </c>
      <c r="B125" s="1" t="s">
        <v>39</v>
      </c>
      <c r="C125" s="1">
        <v>186.34800000000001</v>
      </c>
      <c r="D125" s="1">
        <v>211.61500000000001</v>
      </c>
      <c r="E125" s="1">
        <v>119.294</v>
      </c>
      <c r="F125" s="1">
        <v>268.64299999999997</v>
      </c>
      <c r="G125" s="7">
        <v>1</v>
      </c>
      <c r="H125" s="1">
        <v>60</v>
      </c>
      <c r="I125" s="1" t="s">
        <v>40</v>
      </c>
      <c r="J125" s="1"/>
      <c r="K125" s="1">
        <v>118.759</v>
      </c>
      <c r="L125" s="1">
        <f t="shared" si="33"/>
        <v>0.53499999999999659</v>
      </c>
      <c r="M125" s="1">
        <f t="shared" si="34"/>
        <v>119.294</v>
      </c>
      <c r="N125" s="1"/>
      <c r="O125" s="1"/>
      <c r="P125" s="1"/>
      <c r="Q125" s="1"/>
      <c r="R125" s="1"/>
      <c r="S125" s="1">
        <v>22.798299999999969</v>
      </c>
      <c r="T125" s="1"/>
      <c r="U125" s="1"/>
      <c r="V125" s="1">
        <f t="shared" si="35"/>
        <v>23.858799999999999</v>
      </c>
      <c r="W125" s="5"/>
      <c r="X125" s="1">
        <f t="shared" si="36"/>
        <v>12.215253910506814</v>
      </c>
      <c r="Y125" s="1">
        <f t="shared" si="37"/>
        <v>12.215253910506814</v>
      </c>
      <c r="Z125" s="1">
        <v>30.072199999999999</v>
      </c>
      <c r="AA125" s="1">
        <v>28.821999999999999</v>
      </c>
      <c r="AB125" s="1">
        <v>19.371600000000001</v>
      </c>
      <c r="AC125" s="1">
        <v>16.9956</v>
      </c>
      <c r="AD125" s="1">
        <v>23.003799999999998</v>
      </c>
      <c r="AE125" s="1">
        <v>24.015000000000001</v>
      </c>
      <c r="AF125" s="1">
        <v>15.4374</v>
      </c>
      <c r="AG125" s="1">
        <v>15.4374</v>
      </c>
      <c r="AH125" s="1" t="s">
        <v>42</v>
      </c>
      <c r="AI125" s="1">
        <f t="shared" si="41"/>
        <v>0</v>
      </c>
      <c r="AJ125" s="1"/>
      <c r="AK125" s="1"/>
      <c r="AL125" s="1"/>
      <c r="AM125" s="1"/>
      <c r="AN125" s="1"/>
      <c r="AO125" s="1"/>
      <c r="AP125" s="1"/>
      <c r="AQ125" s="1"/>
    </row>
    <row r="126" spans="1:43" x14ac:dyDescent="0.25">
      <c r="A126" s="1" t="s">
        <v>183</v>
      </c>
      <c r="B126" s="1" t="s">
        <v>39</v>
      </c>
      <c r="C126" s="1">
        <v>534.40599999999995</v>
      </c>
      <c r="D126" s="1">
        <v>997.85699999999997</v>
      </c>
      <c r="E126" s="1">
        <v>774.947</v>
      </c>
      <c r="F126" s="1">
        <v>725.62300000000005</v>
      </c>
      <c r="G126" s="7">
        <v>1</v>
      </c>
      <c r="H126" s="1">
        <v>60</v>
      </c>
      <c r="I126" s="1" t="s">
        <v>40</v>
      </c>
      <c r="J126" s="1"/>
      <c r="K126" s="1">
        <v>767.62800000000004</v>
      </c>
      <c r="L126" s="1">
        <f t="shared" si="33"/>
        <v>7.31899999999996</v>
      </c>
      <c r="M126" s="1">
        <f t="shared" si="34"/>
        <v>774.947</v>
      </c>
      <c r="N126" s="1"/>
      <c r="O126" s="1">
        <v>582.30000000000007</v>
      </c>
      <c r="P126" s="1"/>
      <c r="Q126" s="1"/>
      <c r="R126" s="1"/>
      <c r="S126" s="1">
        <v>349.66379999999998</v>
      </c>
      <c r="T126" s="1"/>
      <c r="U126" s="1"/>
      <c r="V126" s="1">
        <f t="shared" si="35"/>
        <v>154.98939999999999</v>
      </c>
      <c r="W126" s="5">
        <f t="shared" si="40"/>
        <v>47.296599999999785</v>
      </c>
      <c r="X126" s="1">
        <f t="shared" si="36"/>
        <v>11.000000000000002</v>
      </c>
      <c r="Y126" s="1">
        <f t="shared" si="37"/>
        <v>10.694839776139531</v>
      </c>
      <c r="Z126" s="1">
        <v>181.70920000000001</v>
      </c>
      <c r="AA126" s="1">
        <v>175.9854</v>
      </c>
      <c r="AB126" s="1">
        <v>98.486199999999997</v>
      </c>
      <c r="AC126" s="1">
        <v>89.586800000000011</v>
      </c>
      <c r="AD126" s="1">
        <v>117.7424</v>
      </c>
      <c r="AE126" s="1">
        <v>113.4314</v>
      </c>
      <c r="AF126" s="1">
        <v>129.72380000000001</v>
      </c>
      <c r="AG126" s="1">
        <v>131.09280000000001</v>
      </c>
      <c r="AH126" s="1" t="s">
        <v>42</v>
      </c>
      <c r="AI126" s="1">
        <f t="shared" si="41"/>
        <v>47.296599999999785</v>
      </c>
      <c r="AJ126" s="1"/>
      <c r="AK126" s="1"/>
      <c r="AL126" s="1"/>
      <c r="AM126" s="1"/>
      <c r="AN126" s="1"/>
      <c r="AO126" s="1"/>
      <c r="AP126" s="1"/>
      <c r="AQ126" s="1"/>
    </row>
    <row r="127" spans="1:43" x14ac:dyDescent="0.25">
      <c r="A127" s="1" t="s">
        <v>184</v>
      </c>
      <c r="B127" s="1" t="s">
        <v>39</v>
      </c>
      <c r="C127" s="1">
        <v>124.64100000000001</v>
      </c>
      <c r="D127" s="1">
        <v>16.677</v>
      </c>
      <c r="E127" s="1">
        <v>68.623000000000005</v>
      </c>
      <c r="F127" s="1">
        <v>70.855000000000004</v>
      </c>
      <c r="G127" s="7">
        <v>1</v>
      </c>
      <c r="H127" s="1">
        <v>60</v>
      </c>
      <c r="I127" s="1" t="s">
        <v>40</v>
      </c>
      <c r="J127" s="1"/>
      <c r="K127" s="1">
        <v>69.477000000000004</v>
      </c>
      <c r="L127" s="1">
        <f t="shared" si="33"/>
        <v>-0.8539999999999992</v>
      </c>
      <c r="M127" s="1">
        <f t="shared" si="34"/>
        <v>68.623000000000005</v>
      </c>
      <c r="N127" s="1"/>
      <c r="O127" s="1"/>
      <c r="P127" s="1"/>
      <c r="Q127" s="1"/>
      <c r="R127" s="1"/>
      <c r="S127" s="1">
        <v>69.425200000000004</v>
      </c>
      <c r="T127" s="1"/>
      <c r="U127" s="1"/>
      <c r="V127" s="1">
        <f t="shared" si="35"/>
        <v>13.724600000000001</v>
      </c>
      <c r="W127" s="5">
        <f t="shared" si="40"/>
        <v>10.690400000000011</v>
      </c>
      <c r="X127" s="1">
        <f t="shared" si="36"/>
        <v>11.000000000000002</v>
      </c>
      <c r="Y127" s="1">
        <f t="shared" si="37"/>
        <v>10.221077481310932</v>
      </c>
      <c r="Z127" s="1">
        <v>13.781000000000001</v>
      </c>
      <c r="AA127" s="1">
        <v>13.204599999999999</v>
      </c>
      <c r="AB127" s="1">
        <v>10.835599999999999</v>
      </c>
      <c r="AC127" s="1">
        <v>10.377000000000001</v>
      </c>
      <c r="AD127" s="1">
        <v>15.2936</v>
      </c>
      <c r="AE127" s="1">
        <v>14.958</v>
      </c>
      <c r="AF127" s="1">
        <v>9.2240000000000002</v>
      </c>
      <c r="AG127" s="1">
        <v>9.2240000000000002</v>
      </c>
      <c r="AH127" s="1"/>
      <c r="AI127" s="1">
        <f t="shared" si="41"/>
        <v>10.690400000000011</v>
      </c>
      <c r="AJ127" s="1"/>
      <c r="AK127" s="1"/>
      <c r="AL127" s="1"/>
      <c r="AM127" s="1"/>
      <c r="AN127" s="1"/>
      <c r="AO127" s="1"/>
      <c r="AP127" s="1"/>
      <c r="AQ127" s="1"/>
    </row>
    <row r="128" spans="1:43" x14ac:dyDescent="0.25">
      <c r="A128" s="1" t="s">
        <v>61</v>
      </c>
      <c r="B128" s="1" t="s">
        <v>39</v>
      </c>
      <c r="C128" s="1">
        <v>1697.9760000000001</v>
      </c>
      <c r="D128" s="1">
        <v>288.15699999999998</v>
      </c>
      <c r="E128" s="14">
        <f>968.498+E19</f>
        <v>970.62300000000005</v>
      </c>
      <c r="F128" s="14">
        <f>997.55+F19</f>
        <v>995.06499999999994</v>
      </c>
      <c r="G128" s="7">
        <v>1</v>
      </c>
      <c r="H128" s="1">
        <v>60</v>
      </c>
      <c r="I128" s="1" t="s">
        <v>40</v>
      </c>
      <c r="J128" s="1"/>
      <c r="K128" s="1">
        <v>983.88499999999999</v>
      </c>
      <c r="L128" s="1">
        <f t="shared" si="33"/>
        <v>-13.261999999999944</v>
      </c>
      <c r="M128" s="1">
        <f t="shared" si="34"/>
        <v>970.62300000000005</v>
      </c>
      <c r="N128" s="1"/>
      <c r="O128" s="1">
        <v>400.69775320000002</v>
      </c>
      <c r="P128" s="1"/>
      <c r="Q128" s="1"/>
      <c r="R128" s="1"/>
      <c r="S128" s="1">
        <v>527.08874680000008</v>
      </c>
      <c r="T128" s="1"/>
      <c r="U128" s="1"/>
      <c r="V128" s="1">
        <f t="shared" si="35"/>
        <v>194.12460000000002</v>
      </c>
      <c r="W128" s="5">
        <f t="shared" si="40"/>
        <v>212.51910000000009</v>
      </c>
      <c r="X128" s="1">
        <f t="shared" si="36"/>
        <v>11</v>
      </c>
      <c r="Y128" s="1">
        <f t="shared" si="37"/>
        <v>9.9052438485385146</v>
      </c>
      <c r="Z128" s="1">
        <v>210.81899999999999</v>
      </c>
      <c r="AA128" s="1">
        <v>218.63480000000001</v>
      </c>
      <c r="AB128" s="1">
        <v>145.69720000000001</v>
      </c>
      <c r="AC128" s="1">
        <v>131.56319999999999</v>
      </c>
      <c r="AD128" s="1">
        <v>184.21879999999999</v>
      </c>
      <c r="AE128" s="1">
        <v>182.80520000000001</v>
      </c>
      <c r="AF128" s="1">
        <v>261.65699999999998</v>
      </c>
      <c r="AG128" s="1">
        <v>263.20299999999997</v>
      </c>
      <c r="AH128" s="1"/>
      <c r="AI128" s="1">
        <f t="shared" si="41"/>
        <v>212.51910000000009</v>
      </c>
      <c r="AJ128" s="1"/>
      <c r="AK128" s="1"/>
      <c r="AL128" s="1"/>
      <c r="AM128" s="1"/>
      <c r="AN128" s="1"/>
      <c r="AO128" s="1"/>
      <c r="AP128" s="1"/>
      <c r="AQ128" s="1"/>
    </row>
    <row r="129" spans="1:43" x14ac:dyDescent="0.25">
      <c r="A129" s="1" t="s">
        <v>185</v>
      </c>
      <c r="B129" s="1" t="s">
        <v>45</v>
      </c>
      <c r="C129" s="1">
        <v>43</v>
      </c>
      <c r="D129" s="1">
        <v>156</v>
      </c>
      <c r="E129" s="1">
        <v>5</v>
      </c>
      <c r="F129" s="1">
        <v>194</v>
      </c>
      <c r="G129" s="7">
        <v>0.25</v>
      </c>
      <c r="H129" s="1">
        <v>1096</v>
      </c>
      <c r="I129" s="1" t="s">
        <v>40</v>
      </c>
      <c r="J129" s="1"/>
      <c r="K129" s="1">
        <v>5</v>
      </c>
      <c r="L129" s="1">
        <f t="shared" si="33"/>
        <v>0</v>
      </c>
      <c r="M129" s="1">
        <f t="shared" si="34"/>
        <v>5</v>
      </c>
      <c r="N129" s="1"/>
      <c r="O129" s="1"/>
      <c r="P129" s="1"/>
      <c r="Q129" s="1"/>
      <c r="R129" s="1"/>
      <c r="S129" s="1">
        <v>0</v>
      </c>
      <c r="T129" s="1"/>
      <c r="U129" s="1"/>
      <c r="V129" s="1">
        <f t="shared" si="35"/>
        <v>1</v>
      </c>
      <c r="W129" s="5"/>
      <c r="X129" s="1">
        <f t="shared" si="36"/>
        <v>194</v>
      </c>
      <c r="Y129" s="1">
        <f t="shared" si="37"/>
        <v>194</v>
      </c>
      <c r="Z129" s="1">
        <v>5.6</v>
      </c>
      <c r="AA129" s="1">
        <v>10</v>
      </c>
      <c r="AB129" s="1">
        <v>6</v>
      </c>
      <c r="AC129" s="1">
        <v>1.2</v>
      </c>
      <c r="AD129" s="1">
        <v>3.6</v>
      </c>
      <c r="AE129" s="1">
        <v>4.2</v>
      </c>
      <c r="AF129" s="1">
        <v>6.2</v>
      </c>
      <c r="AG129" s="1">
        <v>6.2</v>
      </c>
      <c r="AH129" s="1" t="s">
        <v>42</v>
      </c>
      <c r="AI129" s="1">
        <f t="shared" si="41"/>
        <v>0</v>
      </c>
      <c r="AJ129" s="1"/>
      <c r="AK129" s="1"/>
      <c r="AL129" s="1"/>
      <c r="AM129" s="1"/>
      <c r="AN129" s="1"/>
      <c r="AO129" s="1"/>
      <c r="AP129" s="1"/>
      <c r="AQ129" s="1"/>
    </row>
    <row r="130" spans="1:43" x14ac:dyDescent="0.25">
      <c r="A130" s="1" t="s">
        <v>186</v>
      </c>
      <c r="B130" s="1" t="s">
        <v>45</v>
      </c>
      <c r="C130" s="1">
        <v>14</v>
      </c>
      <c r="D130" s="1">
        <v>108</v>
      </c>
      <c r="E130" s="1">
        <v>5</v>
      </c>
      <c r="F130" s="14">
        <f>117+F138</f>
        <v>147</v>
      </c>
      <c r="G130" s="7">
        <v>0.32500000000000001</v>
      </c>
      <c r="H130" s="1">
        <v>1096</v>
      </c>
      <c r="I130" s="1" t="s">
        <v>40</v>
      </c>
      <c r="J130" s="1"/>
      <c r="K130" s="1">
        <v>5</v>
      </c>
      <c r="L130" s="1">
        <f t="shared" si="33"/>
        <v>0</v>
      </c>
      <c r="M130" s="1">
        <f t="shared" si="34"/>
        <v>5</v>
      </c>
      <c r="N130" s="1"/>
      <c r="O130" s="1"/>
      <c r="P130" s="1"/>
      <c r="Q130" s="1"/>
      <c r="R130" s="1"/>
      <c r="S130" s="1">
        <v>0</v>
      </c>
      <c r="T130" s="1"/>
      <c r="U130" s="1"/>
      <c r="V130" s="1">
        <f t="shared" si="35"/>
        <v>1</v>
      </c>
      <c r="W130" s="5"/>
      <c r="X130" s="1">
        <f t="shared" si="36"/>
        <v>147</v>
      </c>
      <c r="Y130" s="1">
        <f t="shared" si="37"/>
        <v>147</v>
      </c>
      <c r="Z130" s="1">
        <v>5.2</v>
      </c>
      <c r="AA130" s="1">
        <v>7.2</v>
      </c>
      <c r="AB130" s="1">
        <v>3.8</v>
      </c>
      <c r="AC130" s="1">
        <v>1</v>
      </c>
      <c r="AD130" s="1">
        <v>2.8</v>
      </c>
      <c r="AE130" s="1">
        <v>3.6</v>
      </c>
      <c r="AF130" s="1">
        <v>7.6</v>
      </c>
      <c r="AG130" s="1">
        <v>7.6</v>
      </c>
      <c r="AH130" s="1" t="s">
        <v>42</v>
      </c>
      <c r="AI130" s="1">
        <f t="shared" si="41"/>
        <v>0</v>
      </c>
      <c r="AJ130" s="1"/>
      <c r="AK130" s="1"/>
      <c r="AL130" s="1"/>
      <c r="AM130" s="1"/>
      <c r="AN130" s="1"/>
      <c r="AO130" s="1"/>
      <c r="AP130" s="1"/>
      <c r="AQ130" s="1"/>
    </row>
    <row r="131" spans="1:43" x14ac:dyDescent="0.25">
      <c r="A131" s="1" t="s">
        <v>187</v>
      </c>
      <c r="B131" s="1" t="s">
        <v>45</v>
      </c>
      <c r="C131" s="1">
        <v>37</v>
      </c>
      <c r="D131" s="1">
        <v>192</v>
      </c>
      <c r="E131" s="1">
        <v>10</v>
      </c>
      <c r="F131" s="1">
        <v>219</v>
      </c>
      <c r="G131" s="7">
        <v>0.25</v>
      </c>
      <c r="H131" s="1">
        <v>1096</v>
      </c>
      <c r="I131" s="1" t="s">
        <v>40</v>
      </c>
      <c r="J131" s="1"/>
      <c r="K131" s="1">
        <v>10</v>
      </c>
      <c r="L131" s="1">
        <f t="shared" si="33"/>
        <v>0</v>
      </c>
      <c r="M131" s="1">
        <f t="shared" si="34"/>
        <v>10</v>
      </c>
      <c r="N131" s="1"/>
      <c r="O131" s="1"/>
      <c r="P131" s="1"/>
      <c r="Q131" s="1"/>
      <c r="R131" s="1"/>
      <c r="S131" s="1">
        <v>0</v>
      </c>
      <c r="T131" s="1"/>
      <c r="U131" s="1"/>
      <c r="V131" s="1">
        <f t="shared" si="35"/>
        <v>2</v>
      </c>
      <c r="W131" s="5"/>
      <c r="X131" s="1">
        <f t="shared" si="36"/>
        <v>109.5</v>
      </c>
      <c r="Y131" s="1">
        <f t="shared" si="37"/>
        <v>109.5</v>
      </c>
      <c r="Z131" s="1">
        <v>6.4</v>
      </c>
      <c r="AA131" s="1">
        <v>12.4</v>
      </c>
      <c r="AB131" s="1">
        <v>8.6</v>
      </c>
      <c r="AC131" s="1">
        <v>2</v>
      </c>
      <c r="AD131" s="1">
        <v>8</v>
      </c>
      <c r="AE131" s="1">
        <v>9.8000000000000007</v>
      </c>
      <c r="AF131" s="1">
        <v>6.2</v>
      </c>
      <c r="AG131" s="1">
        <v>6.2</v>
      </c>
      <c r="AH131" s="1" t="s">
        <v>42</v>
      </c>
      <c r="AI131" s="1">
        <f t="shared" si="41"/>
        <v>0</v>
      </c>
      <c r="AJ131" s="1"/>
      <c r="AK131" s="1"/>
      <c r="AL131" s="1"/>
      <c r="AM131" s="1"/>
      <c r="AN131" s="1"/>
      <c r="AO131" s="1"/>
      <c r="AP131" s="1"/>
      <c r="AQ131" s="1"/>
    </row>
    <row r="132" spans="1:43" x14ac:dyDescent="0.25">
      <c r="A132" s="1" t="s">
        <v>188</v>
      </c>
      <c r="B132" s="1" t="s">
        <v>45</v>
      </c>
      <c r="C132" s="1">
        <v>93</v>
      </c>
      <c r="D132" s="1">
        <v>7</v>
      </c>
      <c r="E132" s="1">
        <v>66</v>
      </c>
      <c r="F132" s="1">
        <v>31</v>
      </c>
      <c r="G132" s="7">
        <v>0.3</v>
      </c>
      <c r="H132" s="1">
        <v>40</v>
      </c>
      <c r="I132" s="10" t="s">
        <v>51</v>
      </c>
      <c r="J132" s="1"/>
      <c r="K132" s="1">
        <v>223</v>
      </c>
      <c r="L132" s="1">
        <f t="shared" si="33"/>
        <v>-157</v>
      </c>
      <c r="M132" s="1">
        <f t="shared" si="34"/>
        <v>66</v>
      </c>
      <c r="N132" s="1"/>
      <c r="O132" s="1">
        <v>45.2</v>
      </c>
      <c r="P132" s="1"/>
      <c r="Q132" s="1"/>
      <c r="R132" s="1"/>
      <c r="S132" s="1">
        <v>164.6</v>
      </c>
      <c r="T132" s="1"/>
      <c r="U132" s="1"/>
      <c r="V132" s="1">
        <f t="shared" si="35"/>
        <v>13.2</v>
      </c>
      <c r="W132" s="5">
        <v>30</v>
      </c>
      <c r="X132" s="1">
        <f t="shared" si="36"/>
        <v>20.515151515151516</v>
      </c>
      <c r="Y132" s="1">
        <f t="shared" si="37"/>
        <v>18.242424242424246</v>
      </c>
      <c r="Z132" s="1">
        <v>28.8</v>
      </c>
      <c r="AA132" s="1">
        <v>16.8</v>
      </c>
      <c r="AB132" s="1">
        <v>0</v>
      </c>
      <c r="AC132" s="1">
        <v>-0.4</v>
      </c>
      <c r="AD132" s="1">
        <v>-0.4</v>
      </c>
      <c r="AE132" s="1">
        <v>-0.6</v>
      </c>
      <c r="AF132" s="1">
        <v>13.2</v>
      </c>
      <c r="AG132" s="1">
        <v>13.6</v>
      </c>
      <c r="AH132" s="1"/>
      <c r="AI132" s="1">
        <f t="shared" si="41"/>
        <v>9</v>
      </c>
      <c r="AJ132" s="1"/>
      <c r="AK132" s="1"/>
      <c r="AL132" s="1"/>
      <c r="AM132" s="1"/>
      <c r="AN132" s="1"/>
      <c r="AO132" s="1"/>
      <c r="AP132" s="1"/>
      <c r="AQ132" s="1"/>
    </row>
    <row r="133" spans="1:43" x14ac:dyDescent="0.25">
      <c r="A133" s="1" t="s">
        <v>189</v>
      </c>
      <c r="B133" s="1" t="s">
        <v>45</v>
      </c>
      <c r="C133" s="1">
        <v>36</v>
      </c>
      <c r="D133" s="1">
        <v>2</v>
      </c>
      <c r="E133" s="1">
        <v>46</v>
      </c>
      <c r="F133" s="1">
        <v>-15</v>
      </c>
      <c r="G133" s="7">
        <v>0.3</v>
      </c>
      <c r="H133" s="1">
        <v>40</v>
      </c>
      <c r="I133" s="10" t="s">
        <v>51</v>
      </c>
      <c r="J133" s="1"/>
      <c r="K133" s="1">
        <v>66</v>
      </c>
      <c r="L133" s="1">
        <f t="shared" si="33"/>
        <v>-20</v>
      </c>
      <c r="M133" s="1">
        <f t="shared" si="34"/>
        <v>46</v>
      </c>
      <c r="N133" s="1"/>
      <c r="O133" s="1">
        <v>10</v>
      </c>
      <c r="P133" s="1"/>
      <c r="Q133" s="1"/>
      <c r="R133" s="1"/>
      <c r="S133" s="1">
        <v>30</v>
      </c>
      <c r="T133" s="1">
        <v>-30</v>
      </c>
      <c r="U133" s="1"/>
      <c r="V133" s="1">
        <f t="shared" si="35"/>
        <v>9.1999999999999993</v>
      </c>
      <c r="W133" s="5">
        <v>50</v>
      </c>
      <c r="X133" s="1">
        <f t="shared" si="36"/>
        <v>4.8913043478260869</v>
      </c>
      <c r="Y133" s="1">
        <f t="shared" si="37"/>
        <v>-0.5434782608695653</v>
      </c>
      <c r="Z133" s="1">
        <v>8</v>
      </c>
      <c r="AA133" s="1">
        <v>0</v>
      </c>
      <c r="AB133" s="1">
        <v>-0.2</v>
      </c>
      <c r="AC133" s="1">
        <v>-1.2</v>
      </c>
      <c r="AD133" s="1">
        <v>-0.2</v>
      </c>
      <c r="AE133" s="1">
        <v>0</v>
      </c>
      <c r="AF133" s="1">
        <v>0.4</v>
      </c>
      <c r="AG133" s="1">
        <v>0.4</v>
      </c>
      <c r="AH133" s="1"/>
      <c r="AI133" s="1">
        <f t="shared" si="41"/>
        <v>15</v>
      </c>
      <c r="AJ133" s="1"/>
      <c r="AK133" s="1"/>
      <c r="AL133" s="1"/>
      <c r="AM133" s="1"/>
      <c r="AN133" s="1"/>
      <c r="AO133" s="1"/>
      <c r="AP133" s="1"/>
      <c r="AQ133" s="1"/>
    </row>
    <row r="134" spans="1:43" x14ac:dyDescent="0.25">
      <c r="A134" s="1" t="s">
        <v>190</v>
      </c>
      <c r="B134" s="1" t="s">
        <v>39</v>
      </c>
      <c r="C134" s="1">
        <v>66.932000000000002</v>
      </c>
      <c r="D134" s="1">
        <v>65.62</v>
      </c>
      <c r="E134" s="1">
        <v>56.426000000000002</v>
      </c>
      <c r="F134" s="1">
        <v>69.521000000000001</v>
      </c>
      <c r="G134" s="7">
        <v>1</v>
      </c>
      <c r="H134" s="1">
        <v>50</v>
      </c>
      <c r="I134" s="1" t="s">
        <v>40</v>
      </c>
      <c r="J134" s="1"/>
      <c r="K134" s="1">
        <v>61.35</v>
      </c>
      <c r="L134" s="1">
        <f t="shared" ref="L134:L138" si="42">E134-K134</f>
        <v>-4.9239999999999995</v>
      </c>
      <c r="M134" s="1">
        <f t="shared" ref="M134:M138" si="43">E134-N134</f>
        <v>56.426000000000002</v>
      </c>
      <c r="N134" s="1"/>
      <c r="O134" s="1"/>
      <c r="P134" s="1"/>
      <c r="Q134" s="1"/>
      <c r="R134" s="1"/>
      <c r="S134" s="1">
        <v>25.638800000000021</v>
      </c>
      <c r="T134" s="1"/>
      <c r="U134" s="1"/>
      <c r="V134" s="1">
        <f t="shared" si="35"/>
        <v>11.2852</v>
      </c>
      <c r="W134" s="5">
        <f t="shared" si="40"/>
        <v>28.977399999999975</v>
      </c>
      <c r="X134" s="1">
        <f t="shared" ref="X134:X138" si="44">(F134+O134+P134+Q134+R134+S134+T134+U134+W134)/V134</f>
        <v>11</v>
      </c>
      <c r="Y134" s="1">
        <f t="shared" si="37"/>
        <v>8.4322652677843575</v>
      </c>
      <c r="Z134" s="1">
        <v>10.900600000000001</v>
      </c>
      <c r="AA134" s="1">
        <v>11.664199999999999</v>
      </c>
      <c r="AB134" s="1">
        <v>8.6918000000000006</v>
      </c>
      <c r="AC134" s="1">
        <v>8.6745999999999999</v>
      </c>
      <c r="AD134" s="1">
        <v>10.775399999999999</v>
      </c>
      <c r="AE134" s="1">
        <v>8.8368000000000002</v>
      </c>
      <c r="AF134" s="1">
        <v>11.002599999999999</v>
      </c>
      <c r="AG134" s="1">
        <v>11.002599999999999</v>
      </c>
      <c r="AH134" s="1"/>
      <c r="AI134" s="1">
        <f t="shared" si="41"/>
        <v>28.977399999999975</v>
      </c>
      <c r="AJ134" s="1"/>
      <c r="AK134" s="1"/>
      <c r="AL134" s="1"/>
      <c r="AM134" s="1"/>
      <c r="AN134" s="1"/>
      <c r="AO134" s="1"/>
      <c r="AP134" s="1"/>
      <c r="AQ134" s="1"/>
    </row>
    <row r="135" spans="1:43" x14ac:dyDescent="0.25">
      <c r="A135" s="1" t="s">
        <v>191</v>
      </c>
      <c r="B135" s="1" t="s">
        <v>45</v>
      </c>
      <c r="C135" s="1">
        <v>3</v>
      </c>
      <c r="D135" s="1"/>
      <c r="E135" s="1">
        <v>-1</v>
      </c>
      <c r="F135" s="1">
        <v>2</v>
      </c>
      <c r="G135" s="7">
        <v>0.3</v>
      </c>
      <c r="H135" s="1">
        <v>40</v>
      </c>
      <c r="I135" s="10" t="s">
        <v>51</v>
      </c>
      <c r="J135" s="1"/>
      <c r="K135" s="1">
        <v>32</v>
      </c>
      <c r="L135" s="1">
        <f t="shared" si="42"/>
        <v>-33</v>
      </c>
      <c r="M135" s="1">
        <f t="shared" si="43"/>
        <v>-1</v>
      </c>
      <c r="N135" s="1"/>
      <c r="O135" s="1">
        <v>15</v>
      </c>
      <c r="P135" s="1"/>
      <c r="Q135" s="1"/>
      <c r="R135" s="1"/>
      <c r="S135" s="1">
        <v>20</v>
      </c>
      <c r="T135" s="1">
        <v>-24</v>
      </c>
      <c r="U135" s="1"/>
      <c r="V135" s="1">
        <f t="shared" si="35"/>
        <v>-0.2</v>
      </c>
      <c r="W135" s="5">
        <v>20</v>
      </c>
      <c r="X135" s="1">
        <f t="shared" si="44"/>
        <v>-165</v>
      </c>
      <c r="Y135" s="1">
        <f t="shared" si="37"/>
        <v>-65</v>
      </c>
      <c r="Z135" s="1">
        <v>0.6</v>
      </c>
      <c r="AA135" s="1">
        <v>5.8</v>
      </c>
      <c r="AB135" s="1">
        <v>7.2</v>
      </c>
      <c r="AC135" s="1">
        <v>4.5999999999999996</v>
      </c>
      <c r="AD135" s="1">
        <v>2.6</v>
      </c>
      <c r="AE135" s="1">
        <v>0</v>
      </c>
      <c r="AF135" s="1">
        <v>9.8000000000000007</v>
      </c>
      <c r="AG135" s="1">
        <v>9.8000000000000007</v>
      </c>
      <c r="AH135" s="1"/>
      <c r="AI135" s="1">
        <f t="shared" si="41"/>
        <v>6</v>
      </c>
      <c r="AJ135" s="1"/>
      <c r="AK135" s="1"/>
      <c r="AL135" s="1"/>
      <c r="AM135" s="1"/>
      <c r="AN135" s="1"/>
      <c r="AO135" s="1"/>
      <c r="AP135" s="1"/>
      <c r="AQ135" s="1"/>
    </row>
    <row r="136" spans="1:43" x14ac:dyDescent="0.25">
      <c r="A136" s="1" t="s">
        <v>192</v>
      </c>
      <c r="B136" s="1" t="s">
        <v>45</v>
      </c>
      <c r="C136" s="1">
        <v>53</v>
      </c>
      <c r="D136" s="1">
        <v>95</v>
      </c>
      <c r="E136" s="1">
        <v>42</v>
      </c>
      <c r="F136" s="1">
        <v>94</v>
      </c>
      <c r="G136" s="7">
        <v>0.12</v>
      </c>
      <c r="H136" s="1">
        <v>45</v>
      </c>
      <c r="I136" s="10" t="s">
        <v>51</v>
      </c>
      <c r="J136" s="1"/>
      <c r="K136" s="1">
        <v>55</v>
      </c>
      <c r="L136" s="1">
        <f t="shared" si="42"/>
        <v>-13</v>
      </c>
      <c r="M136" s="1">
        <f t="shared" si="43"/>
        <v>42</v>
      </c>
      <c r="N136" s="1"/>
      <c r="O136" s="1">
        <v>40</v>
      </c>
      <c r="P136" s="1"/>
      <c r="Q136" s="1"/>
      <c r="R136" s="1"/>
      <c r="S136" s="1">
        <v>30</v>
      </c>
      <c r="T136" s="1"/>
      <c r="U136" s="1"/>
      <c r="V136" s="1">
        <f t="shared" si="35"/>
        <v>8.4</v>
      </c>
      <c r="W136" s="5"/>
      <c r="X136" s="1">
        <f t="shared" si="44"/>
        <v>19.523809523809522</v>
      </c>
      <c r="Y136" s="1">
        <f t="shared" si="37"/>
        <v>19.523809523809522</v>
      </c>
      <c r="Z136" s="1">
        <v>10.4</v>
      </c>
      <c r="AA136" s="1">
        <v>13.2</v>
      </c>
      <c r="AB136" s="1">
        <v>9.8000000000000007</v>
      </c>
      <c r="AC136" s="1">
        <v>7.2</v>
      </c>
      <c r="AD136" s="1">
        <v>8</v>
      </c>
      <c r="AE136" s="1">
        <v>7</v>
      </c>
      <c r="AF136" s="1">
        <v>13.8</v>
      </c>
      <c r="AG136" s="1">
        <v>13.8</v>
      </c>
      <c r="AH136" s="1"/>
      <c r="AI136" s="1">
        <f t="shared" si="41"/>
        <v>0</v>
      </c>
      <c r="AJ136" s="1"/>
      <c r="AK136" s="1"/>
      <c r="AL136" s="1"/>
      <c r="AM136" s="1"/>
      <c r="AN136" s="1"/>
      <c r="AO136" s="1"/>
      <c r="AP136" s="1"/>
      <c r="AQ136" s="1"/>
    </row>
    <row r="137" spans="1:43" x14ac:dyDescent="0.25">
      <c r="A137" s="11" t="s">
        <v>193</v>
      </c>
      <c r="B137" s="11" t="s">
        <v>45</v>
      </c>
      <c r="C137" s="11">
        <v>17</v>
      </c>
      <c r="D137" s="11">
        <v>105</v>
      </c>
      <c r="E137" s="14">
        <v>52</v>
      </c>
      <c r="F137" s="14">
        <v>68</v>
      </c>
      <c r="G137" s="12">
        <v>0</v>
      </c>
      <c r="H137" s="11"/>
      <c r="I137" s="11" t="s">
        <v>194</v>
      </c>
      <c r="J137" s="11" t="s">
        <v>109</v>
      </c>
      <c r="K137" s="11">
        <v>67</v>
      </c>
      <c r="L137" s="11">
        <f t="shared" si="42"/>
        <v>-15</v>
      </c>
      <c r="M137" s="11">
        <f t="shared" si="43"/>
        <v>52</v>
      </c>
      <c r="N137" s="11"/>
      <c r="O137" s="11"/>
      <c r="P137" s="11"/>
      <c r="Q137" s="11"/>
      <c r="R137" s="11"/>
      <c r="S137" s="11">
        <v>0</v>
      </c>
      <c r="T137" s="11"/>
      <c r="U137" s="11"/>
      <c r="V137" s="11">
        <f t="shared" si="35"/>
        <v>10.4</v>
      </c>
      <c r="W137" s="13"/>
      <c r="X137" s="11">
        <f t="shared" si="44"/>
        <v>6.5384615384615383</v>
      </c>
      <c r="Y137" s="11">
        <f t="shared" si="37"/>
        <v>6.5384615384615383</v>
      </c>
      <c r="Z137" s="11">
        <v>11.2</v>
      </c>
      <c r="AA137" s="11">
        <v>14.6</v>
      </c>
      <c r="AB137" s="11">
        <v>5.2</v>
      </c>
      <c r="AC137" s="11">
        <v>0</v>
      </c>
      <c r="AD137" s="11">
        <v>0</v>
      </c>
      <c r="AE137" s="11">
        <v>0</v>
      </c>
      <c r="AF137" s="11">
        <v>0</v>
      </c>
      <c r="AG137" s="11">
        <v>0</v>
      </c>
      <c r="AH137" s="11"/>
      <c r="AI137" s="11"/>
      <c r="AJ137" s="1"/>
      <c r="AK137" s="1"/>
      <c r="AL137" s="1"/>
      <c r="AM137" s="1"/>
      <c r="AN137" s="1"/>
      <c r="AO137" s="1"/>
      <c r="AP137" s="1"/>
      <c r="AQ137" s="1"/>
    </row>
    <row r="138" spans="1:43" x14ac:dyDescent="0.25">
      <c r="A138" s="11" t="s">
        <v>195</v>
      </c>
      <c r="B138" s="11" t="s">
        <v>45</v>
      </c>
      <c r="C138" s="11">
        <v>30</v>
      </c>
      <c r="D138" s="11"/>
      <c r="E138" s="11"/>
      <c r="F138" s="14">
        <v>30</v>
      </c>
      <c r="G138" s="12">
        <v>0</v>
      </c>
      <c r="H138" s="11"/>
      <c r="I138" s="11" t="s">
        <v>194</v>
      </c>
      <c r="J138" s="11" t="s">
        <v>186</v>
      </c>
      <c r="K138" s="11">
        <v>1</v>
      </c>
      <c r="L138" s="11">
        <f t="shared" si="42"/>
        <v>-1</v>
      </c>
      <c r="M138" s="11">
        <f t="shared" si="43"/>
        <v>0</v>
      </c>
      <c r="N138" s="11"/>
      <c r="O138" s="11"/>
      <c r="P138" s="11"/>
      <c r="Q138" s="11"/>
      <c r="R138" s="11"/>
      <c r="S138" s="11">
        <v>0</v>
      </c>
      <c r="T138" s="11"/>
      <c r="U138" s="11"/>
      <c r="V138" s="11">
        <f t="shared" si="35"/>
        <v>0</v>
      </c>
      <c r="W138" s="13"/>
      <c r="X138" s="11" t="e">
        <f t="shared" si="44"/>
        <v>#DIV/0!</v>
      </c>
      <c r="Y138" s="11" t="e">
        <f t="shared" si="37"/>
        <v>#DIV/0!</v>
      </c>
      <c r="Z138" s="11">
        <v>0</v>
      </c>
      <c r="AA138" s="11">
        <v>0</v>
      </c>
      <c r="AB138" s="11">
        <v>0.2</v>
      </c>
      <c r="AC138" s="11">
        <v>0.4</v>
      </c>
      <c r="AD138" s="11">
        <v>2.4</v>
      </c>
      <c r="AE138" s="11">
        <v>2.6</v>
      </c>
      <c r="AF138" s="11">
        <v>3.6</v>
      </c>
      <c r="AG138" s="11">
        <v>3.6</v>
      </c>
      <c r="AH138" s="11"/>
      <c r="AI138" s="11"/>
      <c r="AJ138" s="1"/>
      <c r="AK138" s="1"/>
      <c r="AL138" s="1"/>
      <c r="AM138" s="1"/>
      <c r="AN138" s="1"/>
      <c r="AO138" s="1"/>
      <c r="AP138" s="1"/>
      <c r="AQ138" s="1"/>
    </row>
    <row r="139" spans="1:4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spans="1:4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spans="1:4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spans="1:4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spans="1:4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spans="1:4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spans="1:43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spans="1:43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spans="1:43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spans="1:43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spans="1:43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spans="1:43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spans="1:43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1:43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1:43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spans="1:43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spans="1:43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spans="1:43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spans="1:43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spans="1:43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1:43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1:43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spans="1:43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spans="1:43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spans="1:43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spans="1:43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spans="1:43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spans="1:43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spans="1:43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spans="1:43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spans="1:43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spans="1:43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spans="1:43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spans="1:43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spans="1:43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spans="1:43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spans="1:43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spans="1:43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spans="1:43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spans="1:43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spans="1:43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spans="1:43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spans="1:43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spans="1:43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spans="1:43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spans="1:43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spans="1:43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spans="1:43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spans="1:43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spans="1:43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spans="1:43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spans="1:43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1:43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spans="1:43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spans="1:43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spans="1:43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spans="1:43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spans="1:43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1:43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1:43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1:43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spans="1:43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spans="1:43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spans="1:43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1:43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spans="1:43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spans="1:43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1:43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1:43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1:43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1:43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1:43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1:43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1:43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spans="1:43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1:43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1:43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1:43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1:43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1:43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1:43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1:43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1:43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1:43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spans="1:43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1:43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1:43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1:43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1:43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1:43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1:43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1:43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1:43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1:43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1:43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43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1:43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1:43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1:43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1:43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spans="1:43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spans="1:43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1:43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1:43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1:43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1:43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1:43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1:43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1:43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1:43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1:43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1:43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1:43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3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3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1:43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1:43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1:43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1:43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1:43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1:43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1:43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spans="1:43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1:43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1:43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1:43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1:43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1:43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1:43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1:43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1:43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1:43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43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43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1:43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1:43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1:43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1:43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1:43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1:43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1:43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1:43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1:43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1:43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1:43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1:43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1:43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1:43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1:43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1:43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1:43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1:43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1:43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1:43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1:43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spans="1:43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spans="1:43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spans="1:43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spans="1:43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spans="1:43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spans="1:43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spans="1:43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spans="1:43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spans="1:43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spans="1:43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spans="1:43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spans="1:43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spans="1:43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spans="1:43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spans="1:43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spans="1:43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spans="1:43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spans="1:43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spans="1:43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spans="1:43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spans="1:43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spans="1:43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spans="1:43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spans="1:43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spans="1:43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spans="1:43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spans="1:43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spans="1:43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spans="1:43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spans="1:43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spans="1:43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spans="1:43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spans="1:43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spans="1:43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spans="1:43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spans="1:43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spans="1:43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spans="1:43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spans="1:43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spans="1:43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spans="1:43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spans="1:43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spans="1:43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spans="1:43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spans="1:43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spans="1:43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spans="1:43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spans="1:43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spans="1:43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spans="1:43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spans="1:43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spans="1:43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spans="1:43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spans="1:43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spans="1:43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spans="1:43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spans="1:43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1:43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spans="1:43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spans="1:43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spans="1:43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spans="1:43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spans="1:43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spans="1:43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spans="1:43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spans="1:43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spans="1:43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spans="1:43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spans="1:43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spans="1:43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spans="1:43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spans="1:43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spans="1:43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spans="1:43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spans="1:43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spans="1:43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spans="1:43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spans="1:43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spans="1:43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spans="1:43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spans="1:43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spans="1:43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spans="1:43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spans="1:43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spans="1:43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spans="1:43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spans="1:43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spans="1:43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spans="1:43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spans="1:43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spans="1:43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spans="1:43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spans="1:43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spans="1:43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spans="1:43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spans="1:43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spans="1:43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spans="1:43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spans="1:43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spans="1:43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spans="1:43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spans="1:43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spans="1:43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spans="1:43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spans="1:43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spans="1:43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spans="1:43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spans="1:43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spans="1:43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spans="1:43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spans="1:43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spans="1:43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spans="1:43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spans="1:43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spans="1:43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spans="1:43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spans="1:43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spans="1:43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spans="1:43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spans="1:43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spans="1:43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spans="1:43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spans="1:43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spans="1:43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spans="1:43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spans="1:43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spans="1:43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spans="1:43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spans="1:43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spans="1:43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spans="1:43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spans="1:43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spans="1:43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spans="1:43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spans="1:43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spans="1:43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spans="1:43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spans="1:43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spans="1:43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spans="1:43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spans="1:43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spans="1:43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spans="1:43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spans="1:43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spans="1:43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spans="1:43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spans="1:43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spans="1:43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spans="1:43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spans="1:43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spans="1:43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spans="1:43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spans="1:43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spans="1:43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spans="1:43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spans="1:43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spans="1:43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spans="1:43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spans="1:43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spans="1:43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spans="1:43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spans="1:43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spans="1:43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spans="1:43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spans="1:43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spans="1:43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spans="1:43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spans="1:43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spans="1:43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spans="1:43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spans="1:43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spans="1:43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spans="1:43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spans="1:43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spans="1:43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spans="1:43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spans="1:43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spans="1:43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spans="1:43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spans="1:43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spans="1:43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spans="1:43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spans="1:43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spans="1:43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spans="1:43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spans="1:43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spans="1:43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spans="1:43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spans="1:43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spans="1:43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spans="1:43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spans="1:43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spans="1:43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spans="1:43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spans="1:43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spans="1:43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spans="1:43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spans="1:43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spans="1:43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spans="1:43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spans="1:43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spans="1:43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</sheetData>
  <autoFilter ref="A3:AI13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2026-09-15T10:29:49Z</dcterms:created>
  <dcterms:modified xsi:type="dcterms:W3CDTF">2026-09-15T13:35:15Z</dcterms:modified>
</cp:coreProperties>
</file>