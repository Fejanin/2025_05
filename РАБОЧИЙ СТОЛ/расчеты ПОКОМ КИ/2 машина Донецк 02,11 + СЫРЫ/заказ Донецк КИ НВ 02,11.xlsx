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C6BF7A9E-355E-42A3-B673-EB8BE593746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заказа'!$A$18:$AF$567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1" i="1" l="1"/>
  <c r="X560" i="1"/>
  <c r="BO559" i="1"/>
  <c r="BM559" i="1"/>
  <c r="Y559" i="1"/>
  <c r="P559" i="1"/>
  <c r="X556" i="1"/>
  <c r="X555" i="1"/>
  <c r="BO554" i="1"/>
  <c r="BM554" i="1"/>
  <c r="Y554" i="1"/>
  <c r="P554" i="1"/>
  <c r="BP553" i="1"/>
  <c r="BO553" i="1"/>
  <c r="BN553" i="1"/>
  <c r="BM553" i="1"/>
  <c r="Z553" i="1"/>
  <c r="Y553" i="1"/>
  <c r="P553" i="1"/>
  <c r="X551" i="1"/>
  <c r="Y550" i="1"/>
  <c r="X550" i="1"/>
  <c r="BP549" i="1"/>
  <c r="BO549" i="1"/>
  <c r="BN549" i="1"/>
  <c r="BM549" i="1"/>
  <c r="Z549" i="1"/>
  <c r="Z550" i="1" s="1"/>
  <c r="Y549" i="1"/>
  <c r="Y551" i="1" s="1"/>
  <c r="P549" i="1"/>
  <c r="X547" i="1"/>
  <c r="Y546" i="1"/>
  <c r="X546" i="1"/>
  <c r="BP545" i="1"/>
  <c r="BO545" i="1"/>
  <c r="BN545" i="1"/>
  <c r="BM545" i="1"/>
  <c r="Z545" i="1"/>
  <c r="Z546" i="1" s="1"/>
  <c r="Y545" i="1"/>
  <c r="Y547" i="1" s="1"/>
  <c r="P545" i="1"/>
  <c r="X543" i="1"/>
  <c r="Y542" i="1"/>
  <c r="X542" i="1"/>
  <c r="BP541" i="1"/>
  <c r="BO541" i="1"/>
  <c r="BN541" i="1"/>
  <c r="BM541" i="1"/>
  <c r="Z541" i="1"/>
  <c r="Z542" i="1" s="1"/>
  <c r="Y541" i="1"/>
  <c r="Y543" i="1" s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3" i="1"/>
  <c r="X532" i="1"/>
  <c r="BO531" i="1"/>
  <c r="BM531" i="1"/>
  <c r="Y531" i="1"/>
  <c r="P531" i="1"/>
  <c r="BO530" i="1"/>
  <c r="BM530" i="1"/>
  <c r="Y530" i="1"/>
  <c r="P530" i="1"/>
  <c r="BP529" i="1"/>
  <c r="BO529" i="1"/>
  <c r="BN529" i="1"/>
  <c r="BM529" i="1"/>
  <c r="Z529" i="1"/>
  <c r="Y529" i="1"/>
  <c r="P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BP525" i="1"/>
  <c r="BO525" i="1"/>
  <c r="BN525" i="1"/>
  <c r="BM525" i="1"/>
  <c r="Z525" i="1"/>
  <c r="Y525" i="1"/>
  <c r="P525" i="1"/>
  <c r="X523" i="1"/>
  <c r="X522" i="1"/>
  <c r="BP521" i="1"/>
  <c r="BO521" i="1"/>
  <c r="BN521" i="1"/>
  <c r="BM521" i="1"/>
  <c r="Z521" i="1"/>
  <c r="Y521" i="1"/>
  <c r="P521" i="1"/>
  <c r="BO520" i="1"/>
  <c r="BM520" i="1"/>
  <c r="Y520" i="1"/>
  <c r="P520" i="1"/>
  <c r="BO519" i="1"/>
  <c r="BM519" i="1"/>
  <c r="Y519" i="1"/>
  <c r="P519" i="1"/>
  <c r="X517" i="1"/>
  <c r="X516" i="1"/>
  <c r="BP515" i="1"/>
  <c r="BO515" i="1"/>
  <c r="BN515" i="1"/>
  <c r="BM515" i="1"/>
  <c r="Z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X489" i="1"/>
  <c r="X488" i="1"/>
  <c r="BO487" i="1"/>
  <c r="BM487" i="1"/>
  <c r="Y487" i="1"/>
  <c r="P487" i="1"/>
  <c r="BO486" i="1"/>
  <c r="BM486" i="1"/>
  <c r="Y486" i="1"/>
  <c r="P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O482" i="1"/>
  <c r="BM482" i="1"/>
  <c r="Y482" i="1"/>
  <c r="P482" i="1"/>
  <c r="X478" i="1"/>
  <c r="X477" i="1"/>
  <c r="BO476" i="1"/>
  <c r="BM476" i="1"/>
  <c r="Y476" i="1"/>
  <c r="P476" i="1"/>
  <c r="BO475" i="1"/>
  <c r="BM475" i="1"/>
  <c r="Y475" i="1"/>
  <c r="P475" i="1"/>
  <c r="BP474" i="1"/>
  <c r="BO474" i="1"/>
  <c r="BN474" i="1"/>
  <c r="BM474" i="1"/>
  <c r="Z474" i="1"/>
  <c r="Y474" i="1"/>
  <c r="P474" i="1"/>
  <c r="X472" i="1"/>
  <c r="Y471" i="1"/>
  <c r="X471" i="1"/>
  <c r="BP470" i="1"/>
  <c r="BO470" i="1"/>
  <c r="BN470" i="1"/>
  <c r="BM470" i="1"/>
  <c r="Z470" i="1"/>
  <c r="Z471" i="1" s="1"/>
  <c r="Y470" i="1"/>
  <c r="Y472" i="1" s="1"/>
  <c r="P470" i="1"/>
  <c r="X468" i="1"/>
  <c r="X467" i="1"/>
  <c r="BO466" i="1"/>
  <c r="BM466" i="1"/>
  <c r="Y466" i="1"/>
  <c r="P466" i="1"/>
  <c r="BO465" i="1"/>
  <c r="BM465" i="1"/>
  <c r="Y465" i="1"/>
  <c r="P465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O453" i="1"/>
  <c r="BM453" i="1"/>
  <c r="Y453" i="1"/>
  <c r="P453" i="1"/>
  <c r="X451" i="1"/>
  <c r="X450" i="1"/>
  <c r="BP449" i="1"/>
  <c r="BO449" i="1"/>
  <c r="BN449" i="1"/>
  <c r="BM449" i="1"/>
  <c r="Z449" i="1"/>
  <c r="Y449" i="1"/>
  <c r="P449" i="1"/>
  <c r="BO448" i="1"/>
  <c r="BM448" i="1"/>
  <c r="Y448" i="1"/>
  <c r="P448" i="1"/>
  <c r="BO447" i="1"/>
  <c r="BM447" i="1"/>
  <c r="Y447" i="1"/>
  <c r="P447" i="1"/>
  <c r="X445" i="1"/>
  <c r="X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X425" i="1"/>
  <c r="X424" i="1"/>
  <c r="BO423" i="1"/>
  <c r="BM423" i="1"/>
  <c r="Y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7" i="1"/>
  <c r="X416" i="1"/>
  <c r="BP415" i="1"/>
  <c r="BO415" i="1"/>
  <c r="BN415" i="1"/>
  <c r="BM415" i="1"/>
  <c r="Z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P403" i="1"/>
  <c r="BO403" i="1"/>
  <c r="BN403" i="1"/>
  <c r="BM403" i="1"/>
  <c r="Z403" i="1"/>
  <c r="Y403" i="1"/>
  <c r="P403" i="1"/>
  <c r="BO402" i="1"/>
  <c r="BM402" i="1"/>
  <c r="Y402" i="1"/>
  <c r="P402" i="1"/>
  <c r="BO401" i="1"/>
  <c r="BM401" i="1"/>
  <c r="Y401" i="1"/>
  <c r="P401" i="1"/>
  <c r="BO400" i="1"/>
  <c r="BM400" i="1"/>
  <c r="Y400" i="1"/>
  <c r="P400" i="1"/>
  <c r="X398" i="1"/>
  <c r="X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X385" i="1"/>
  <c r="X384" i="1"/>
  <c r="BO383" i="1"/>
  <c r="BM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BO369" i="1"/>
  <c r="BM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BO360" i="1"/>
  <c r="BM360" i="1"/>
  <c r="Y360" i="1"/>
  <c r="P360" i="1"/>
  <c r="X357" i="1"/>
  <c r="X356" i="1"/>
  <c r="BO355" i="1"/>
  <c r="BM355" i="1"/>
  <c r="Y355" i="1"/>
  <c r="P355" i="1"/>
  <c r="X353" i="1"/>
  <c r="X352" i="1"/>
  <c r="BO351" i="1"/>
  <c r="BM351" i="1"/>
  <c r="Y351" i="1"/>
  <c r="P351" i="1"/>
  <c r="X348" i="1"/>
  <c r="X347" i="1"/>
  <c r="BP346" i="1"/>
  <c r="BO346" i="1"/>
  <c r="BN346" i="1"/>
  <c r="BM346" i="1"/>
  <c r="Z346" i="1"/>
  <c r="Y346" i="1"/>
  <c r="P346" i="1"/>
  <c r="BO345" i="1"/>
  <c r="BM345" i="1"/>
  <c r="Y345" i="1"/>
  <c r="P345" i="1"/>
  <c r="BO344" i="1"/>
  <c r="BM344" i="1"/>
  <c r="Y344" i="1"/>
  <c r="P344" i="1"/>
  <c r="X342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O338" i="1"/>
  <c r="BM338" i="1"/>
  <c r="Y338" i="1"/>
  <c r="P338" i="1"/>
  <c r="BO337" i="1"/>
  <c r="BM337" i="1"/>
  <c r="Y337" i="1"/>
  <c r="P337" i="1"/>
  <c r="X334" i="1"/>
  <c r="X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X327" i="1"/>
  <c r="X326" i="1"/>
  <c r="BO325" i="1"/>
  <c r="BM325" i="1"/>
  <c r="Y325" i="1"/>
  <c r="P325" i="1"/>
  <c r="BO324" i="1"/>
  <c r="BM324" i="1"/>
  <c r="Y324" i="1"/>
  <c r="BP324" i="1" s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O320" i="1"/>
  <c r="BM320" i="1"/>
  <c r="Y320" i="1"/>
  <c r="BP320" i="1" s="1"/>
  <c r="P320" i="1"/>
  <c r="BO319" i="1"/>
  <c r="BM319" i="1"/>
  <c r="Y319" i="1"/>
  <c r="P319" i="1"/>
  <c r="BP318" i="1"/>
  <c r="BO318" i="1"/>
  <c r="BN318" i="1"/>
  <c r="BM318" i="1"/>
  <c r="Z318" i="1"/>
  <c r="Y318" i="1"/>
  <c r="P318" i="1"/>
  <c r="X315" i="1"/>
  <c r="X314" i="1"/>
  <c r="BO313" i="1"/>
  <c r="BM313" i="1"/>
  <c r="Y313" i="1"/>
  <c r="BP313" i="1" s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BO310" i="1"/>
  <c r="BM310" i="1"/>
  <c r="Y310" i="1"/>
  <c r="P310" i="1"/>
  <c r="X308" i="1"/>
  <c r="X307" i="1"/>
  <c r="BO306" i="1"/>
  <c r="BM306" i="1"/>
  <c r="Y306" i="1"/>
  <c r="P306" i="1"/>
  <c r="X304" i="1"/>
  <c r="X303" i="1"/>
  <c r="BO302" i="1"/>
  <c r="BM302" i="1"/>
  <c r="Y302" i="1"/>
  <c r="P302" i="1"/>
  <c r="X300" i="1"/>
  <c r="X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X284" i="1"/>
  <c r="X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9" i="1"/>
  <c r="X268" i="1"/>
  <c r="BO267" i="1"/>
  <c r="BN267" i="1"/>
  <c r="BM267" i="1"/>
  <c r="Z267" i="1"/>
  <c r="Y267" i="1"/>
  <c r="BP267" i="1" s="1"/>
  <c r="P267" i="1"/>
  <c r="BO266" i="1"/>
  <c r="BM266" i="1"/>
  <c r="Y266" i="1"/>
  <c r="BP266" i="1" s="1"/>
  <c r="P266" i="1"/>
  <c r="BO265" i="1"/>
  <c r="BM265" i="1"/>
  <c r="Y265" i="1"/>
  <c r="BP265" i="1" s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BO262" i="1"/>
  <c r="BM262" i="1"/>
  <c r="Y262" i="1"/>
  <c r="BP262" i="1" s="1"/>
  <c r="P262" i="1"/>
  <c r="BO261" i="1"/>
  <c r="BM261" i="1"/>
  <c r="Y261" i="1"/>
  <c r="BP261" i="1" s="1"/>
  <c r="P261" i="1"/>
  <c r="BO260" i="1"/>
  <c r="BM260" i="1"/>
  <c r="Y260" i="1"/>
  <c r="Y268" i="1" s="1"/>
  <c r="P260" i="1"/>
  <c r="X258" i="1"/>
  <c r="X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X253" i="1"/>
  <c r="X252" i="1"/>
  <c r="BO251" i="1"/>
  <c r="BM251" i="1"/>
  <c r="Y251" i="1"/>
  <c r="BP251" i="1" s="1"/>
  <c r="BO250" i="1"/>
  <c r="BM250" i="1"/>
  <c r="Y250" i="1"/>
  <c r="BP250" i="1" s="1"/>
  <c r="P250" i="1"/>
  <c r="BO249" i="1"/>
  <c r="BM249" i="1"/>
  <c r="Y249" i="1"/>
  <c r="M572" i="1" s="1"/>
  <c r="P249" i="1"/>
  <c r="X246" i="1"/>
  <c r="X245" i="1"/>
  <c r="BO244" i="1"/>
  <c r="BM244" i="1"/>
  <c r="Y244" i="1"/>
  <c r="Y245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X236" i="1"/>
  <c r="X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O200" i="1"/>
  <c r="BM200" i="1"/>
  <c r="Y200" i="1"/>
  <c r="BP200" i="1" s="1"/>
  <c r="P200" i="1"/>
  <c r="BO199" i="1"/>
  <c r="BM199" i="1"/>
  <c r="Y199" i="1"/>
  <c r="K572" i="1" s="1"/>
  <c r="P199" i="1"/>
  <c r="X195" i="1"/>
  <c r="X194" i="1"/>
  <c r="BO193" i="1"/>
  <c r="BM193" i="1"/>
  <c r="Y193" i="1"/>
  <c r="Y194" i="1" s="1"/>
  <c r="P193" i="1"/>
  <c r="X191" i="1"/>
  <c r="X190" i="1"/>
  <c r="BO189" i="1"/>
  <c r="BM189" i="1"/>
  <c r="Y189" i="1"/>
  <c r="Y190" i="1" s="1"/>
  <c r="P189" i="1"/>
  <c r="X187" i="1"/>
  <c r="X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X182" i="1"/>
  <c r="X181" i="1"/>
  <c r="BO180" i="1"/>
  <c r="BM180" i="1"/>
  <c r="Y180" i="1"/>
  <c r="BP180" i="1" s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X168" i="1"/>
  <c r="X167" i="1"/>
  <c r="BO166" i="1"/>
  <c r="BM166" i="1"/>
  <c r="Y166" i="1"/>
  <c r="BP166" i="1" s="1"/>
  <c r="P166" i="1"/>
  <c r="BO165" i="1"/>
  <c r="BM165" i="1"/>
  <c r="Y165" i="1"/>
  <c r="Y168" i="1" s="1"/>
  <c r="P165" i="1"/>
  <c r="X163" i="1"/>
  <c r="X162" i="1"/>
  <c r="BO161" i="1"/>
  <c r="BM161" i="1"/>
  <c r="Y161" i="1"/>
  <c r="BP161" i="1" s="1"/>
  <c r="P161" i="1"/>
  <c r="BP160" i="1"/>
  <c r="BO160" i="1"/>
  <c r="BN160" i="1"/>
  <c r="BM160" i="1"/>
  <c r="Z160" i="1"/>
  <c r="Y160" i="1"/>
  <c r="P160" i="1"/>
  <c r="BO159" i="1"/>
  <c r="BM159" i="1"/>
  <c r="Y159" i="1"/>
  <c r="BP159" i="1" s="1"/>
  <c r="P159" i="1"/>
  <c r="BO158" i="1"/>
  <c r="BM158" i="1"/>
  <c r="Y158" i="1"/>
  <c r="BP158" i="1" s="1"/>
  <c r="P158" i="1"/>
  <c r="X155" i="1"/>
  <c r="X154" i="1"/>
  <c r="BO153" i="1"/>
  <c r="BM153" i="1"/>
  <c r="Y153" i="1"/>
  <c r="Y155" i="1" s="1"/>
  <c r="P153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BP148" i="1" s="1"/>
  <c r="P148" i="1"/>
  <c r="BO147" i="1"/>
  <c r="BM147" i="1"/>
  <c r="Y147" i="1"/>
  <c r="BP147" i="1" s="1"/>
  <c r="P147" i="1"/>
  <c r="BO146" i="1"/>
  <c r="BM146" i="1"/>
  <c r="Y146" i="1"/>
  <c r="I572" i="1" s="1"/>
  <c r="P146" i="1"/>
  <c r="X143" i="1"/>
  <c r="X142" i="1"/>
  <c r="BO141" i="1"/>
  <c r="BM141" i="1"/>
  <c r="Y141" i="1"/>
  <c r="BP141" i="1" s="1"/>
  <c r="P141" i="1"/>
  <c r="BP140" i="1"/>
  <c r="BO140" i="1"/>
  <c r="BN140" i="1"/>
  <c r="BM140" i="1"/>
  <c r="Z140" i="1"/>
  <c r="Y140" i="1"/>
  <c r="P140" i="1"/>
  <c r="X138" i="1"/>
  <c r="X137" i="1"/>
  <c r="BO136" i="1"/>
  <c r="BM136" i="1"/>
  <c r="Y136" i="1"/>
  <c r="BP136" i="1" s="1"/>
  <c r="P136" i="1"/>
  <c r="BO135" i="1"/>
  <c r="BM135" i="1"/>
  <c r="Y135" i="1"/>
  <c r="Y138" i="1" s="1"/>
  <c r="P135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P130" i="1"/>
  <c r="X127" i="1"/>
  <c r="Y126" i="1"/>
  <c r="X126" i="1"/>
  <c r="BP125" i="1"/>
  <c r="BO125" i="1"/>
  <c r="BN125" i="1"/>
  <c r="BM125" i="1"/>
  <c r="Z125" i="1"/>
  <c r="Z126" i="1" s="1"/>
  <c r="Y125" i="1"/>
  <c r="Y127" i="1" s="1"/>
  <c r="P125" i="1"/>
  <c r="X123" i="1"/>
  <c r="X122" i="1"/>
  <c r="BO121" i="1"/>
  <c r="BM121" i="1"/>
  <c r="Y121" i="1"/>
  <c r="BP121" i="1" s="1"/>
  <c r="P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P118" i="1"/>
  <c r="X116" i="1"/>
  <c r="X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Y115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X99" i="1"/>
  <c r="X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X92" i="1"/>
  <c r="X91" i="1"/>
  <c r="BO90" i="1"/>
  <c r="BM90" i="1"/>
  <c r="Y90" i="1"/>
  <c r="BP90" i="1" s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F572" i="1" s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BP74" i="1" s="1"/>
  <c r="P74" i="1"/>
  <c r="BO73" i="1"/>
  <c r="BM73" i="1"/>
  <c r="Y73" i="1"/>
  <c r="Y75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O55" i="1"/>
  <c r="BM55" i="1"/>
  <c r="Y55" i="1"/>
  <c r="BP55" i="1" s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D572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C572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X28" i="1"/>
  <c r="X27" i="1"/>
  <c r="BO26" i="1"/>
  <c r="BM26" i="1"/>
  <c r="Y26" i="1"/>
  <c r="BP26" i="1" s="1"/>
  <c r="P26" i="1"/>
  <c r="BO25" i="1"/>
  <c r="BM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338" i="1" l="1"/>
  <c r="BN338" i="1"/>
  <c r="Z338" i="1"/>
  <c r="S572" i="1"/>
  <c r="Y352" i="1"/>
  <c r="BP351" i="1"/>
  <c r="BN351" i="1"/>
  <c r="Z351" i="1"/>
  <c r="Z352" i="1" s="1"/>
  <c r="Y357" i="1"/>
  <c r="Y356" i="1"/>
  <c r="BP355" i="1"/>
  <c r="BN355" i="1"/>
  <c r="Z355" i="1"/>
  <c r="Z356" i="1" s="1"/>
  <c r="BP360" i="1"/>
  <c r="BN360" i="1"/>
  <c r="Z360" i="1"/>
  <c r="BP373" i="1"/>
  <c r="BN373" i="1"/>
  <c r="Z373" i="1"/>
  <c r="BP383" i="1"/>
  <c r="BN383" i="1"/>
  <c r="Z383" i="1"/>
  <c r="BP401" i="1"/>
  <c r="BN401" i="1"/>
  <c r="Z401" i="1"/>
  <c r="Y417" i="1"/>
  <c r="BP413" i="1"/>
  <c r="BN413" i="1"/>
  <c r="Z413" i="1"/>
  <c r="BP441" i="1"/>
  <c r="BN441" i="1"/>
  <c r="Z441" i="1"/>
  <c r="Y457" i="1"/>
  <c r="BP453" i="1"/>
  <c r="BN453" i="1"/>
  <c r="Z453" i="1"/>
  <c r="BP476" i="1"/>
  <c r="BN476" i="1"/>
  <c r="Z476" i="1"/>
  <c r="BP482" i="1"/>
  <c r="BN482" i="1"/>
  <c r="Z482" i="1"/>
  <c r="BP509" i="1"/>
  <c r="BN509" i="1"/>
  <c r="Z509" i="1"/>
  <c r="Y523" i="1"/>
  <c r="BP519" i="1"/>
  <c r="BN519" i="1"/>
  <c r="Z519" i="1"/>
  <c r="BP531" i="1"/>
  <c r="BN531" i="1"/>
  <c r="Z531" i="1"/>
  <c r="Z22" i="1"/>
  <c r="BN22" i="1"/>
  <c r="Z26" i="1"/>
  <c r="BN26" i="1"/>
  <c r="X562" i="1"/>
  <c r="Y32" i="1"/>
  <c r="Z38" i="1"/>
  <c r="BN38" i="1"/>
  <c r="Z48" i="1"/>
  <c r="BN48" i="1"/>
  <c r="Z55" i="1"/>
  <c r="BN55" i="1"/>
  <c r="Z59" i="1"/>
  <c r="BN59" i="1"/>
  <c r="Z67" i="1"/>
  <c r="BN67" i="1"/>
  <c r="Z73" i="1"/>
  <c r="BN73" i="1"/>
  <c r="BP73" i="1"/>
  <c r="Y81" i="1"/>
  <c r="Z86" i="1"/>
  <c r="BN86" i="1"/>
  <c r="Z90" i="1"/>
  <c r="BN90" i="1"/>
  <c r="Y98" i="1"/>
  <c r="Z96" i="1"/>
  <c r="BN96" i="1"/>
  <c r="G572" i="1"/>
  <c r="Z105" i="1"/>
  <c r="BN105" i="1"/>
  <c r="Z113" i="1"/>
  <c r="BN113" i="1"/>
  <c r="Y123" i="1"/>
  <c r="Z121" i="1"/>
  <c r="BN121" i="1"/>
  <c r="Y132" i="1"/>
  <c r="Z136" i="1"/>
  <c r="BN136" i="1"/>
  <c r="Y142" i="1"/>
  <c r="Z147" i="1"/>
  <c r="BN147" i="1"/>
  <c r="Z153" i="1"/>
  <c r="Z154" i="1" s="1"/>
  <c r="BN153" i="1"/>
  <c r="BP153" i="1"/>
  <c r="Y154" i="1"/>
  <c r="Z158" i="1"/>
  <c r="BN158" i="1"/>
  <c r="Z166" i="1"/>
  <c r="BN166" i="1"/>
  <c r="Y182" i="1"/>
  <c r="Z172" i="1"/>
  <c r="BN172" i="1"/>
  <c r="Z176" i="1"/>
  <c r="BN176" i="1"/>
  <c r="Z180" i="1"/>
  <c r="BN180" i="1"/>
  <c r="Y186" i="1"/>
  <c r="Z200" i="1"/>
  <c r="BN200" i="1"/>
  <c r="Z204" i="1"/>
  <c r="BN204" i="1"/>
  <c r="L572" i="1"/>
  <c r="Y227" i="1"/>
  <c r="Z217" i="1"/>
  <c r="BN217" i="1"/>
  <c r="Z221" i="1"/>
  <c r="BN221" i="1"/>
  <c r="Z225" i="1"/>
  <c r="BN225" i="1"/>
  <c r="Y235" i="1"/>
  <c r="Z233" i="1"/>
  <c r="BN233" i="1"/>
  <c r="Y241" i="1"/>
  <c r="Z250" i="1"/>
  <c r="BN250" i="1"/>
  <c r="Z251" i="1"/>
  <c r="BN251" i="1"/>
  <c r="Y257" i="1"/>
  <c r="Z261" i="1"/>
  <c r="BN261" i="1"/>
  <c r="Z265" i="1"/>
  <c r="BN265" i="1"/>
  <c r="Z274" i="1"/>
  <c r="BN274" i="1"/>
  <c r="Z278" i="1"/>
  <c r="BN278" i="1"/>
  <c r="Z282" i="1"/>
  <c r="BN282" i="1"/>
  <c r="Y288" i="1"/>
  <c r="Z293" i="1"/>
  <c r="BN293" i="1"/>
  <c r="Z297" i="1"/>
  <c r="BN297" i="1"/>
  <c r="Z313" i="1"/>
  <c r="BN313" i="1"/>
  <c r="Z320" i="1"/>
  <c r="BN320" i="1"/>
  <c r="Z324" i="1"/>
  <c r="BN324" i="1"/>
  <c r="BP344" i="1"/>
  <c r="BN344" i="1"/>
  <c r="Z344" i="1"/>
  <c r="Y363" i="1"/>
  <c r="BP369" i="1"/>
  <c r="BN369" i="1"/>
  <c r="Z369" i="1"/>
  <c r="BP379" i="1"/>
  <c r="BN379" i="1"/>
  <c r="Z379" i="1"/>
  <c r="BP389" i="1"/>
  <c r="BN389" i="1"/>
  <c r="Z389" i="1"/>
  <c r="BP407" i="1"/>
  <c r="BN407" i="1"/>
  <c r="Z407" i="1"/>
  <c r="Y416" i="1"/>
  <c r="BP437" i="1"/>
  <c r="BN437" i="1"/>
  <c r="Z437" i="1"/>
  <c r="BP447" i="1"/>
  <c r="BN447" i="1"/>
  <c r="Z447" i="1"/>
  <c r="Y456" i="1"/>
  <c r="Y572" i="1"/>
  <c r="BP466" i="1"/>
  <c r="BN466" i="1"/>
  <c r="Z466" i="1"/>
  <c r="BP486" i="1"/>
  <c r="BN486" i="1"/>
  <c r="Z486" i="1"/>
  <c r="BP513" i="1"/>
  <c r="BN513" i="1"/>
  <c r="Z513" i="1"/>
  <c r="Y522" i="1"/>
  <c r="BP527" i="1"/>
  <c r="BN527" i="1"/>
  <c r="Z527" i="1"/>
  <c r="Y385" i="1"/>
  <c r="Y478" i="1"/>
  <c r="Y477" i="1"/>
  <c r="Y555" i="1"/>
  <c r="AC572" i="1"/>
  <c r="F9" i="1"/>
  <c r="J9" i="1"/>
  <c r="F10" i="1"/>
  <c r="Y27" i="1"/>
  <c r="Y33" i="1"/>
  <c r="Y43" i="1"/>
  <c r="Y51" i="1"/>
  <c r="Y64" i="1"/>
  <c r="Y70" i="1"/>
  <c r="Y76" i="1"/>
  <c r="Y82" i="1"/>
  <c r="Y91" i="1"/>
  <c r="Y99" i="1"/>
  <c r="Y110" i="1"/>
  <c r="Y116" i="1"/>
  <c r="Y122" i="1"/>
  <c r="Y133" i="1"/>
  <c r="Y137" i="1"/>
  <c r="Y143" i="1"/>
  <c r="Y150" i="1"/>
  <c r="Y163" i="1"/>
  <c r="Y167" i="1"/>
  <c r="Y181" i="1"/>
  <c r="Y187" i="1"/>
  <c r="Y191" i="1"/>
  <c r="Y195" i="1"/>
  <c r="Y207" i="1"/>
  <c r="Y212" i="1"/>
  <c r="Y228" i="1"/>
  <c r="Y236" i="1"/>
  <c r="Y242" i="1"/>
  <c r="Y246" i="1"/>
  <c r="Y252" i="1"/>
  <c r="Y258" i="1"/>
  <c r="BP273" i="1"/>
  <c r="BN273" i="1"/>
  <c r="Z273" i="1"/>
  <c r="BP277" i="1"/>
  <c r="BN277" i="1"/>
  <c r="Z277" i="1"/>
  <c r="BP281" i="1"/>
  <c r="BN281" i="1"/>
  <c r="Z281" i="1"/>
  <c r="BP294" i="1"/>
  <c r="BN294" i="1"/>
  <c r="Z294" i="1"/>
  <c r="BP298" i="1"/>
  <c r="BN298" i="1"/>
  <c r="Z298" i="1"/>
  <c r="Y300" i="1"/>
  <c r="Y303" i="1"/>
  <c r="BP302" i="1"/>
  <c r="BN302" i="1"/>
  <c r="Z302" i="1"/>
  <c r="Z303" i="1" s="1"/>
  <c r="Y304" i="1"/>
  <c r="Y307" i="1"/>
  <c r="BP306" i="1"/>
  <c r="BN306" i="1"/>
  <c r="Z306" i="1"/>
  <c r="Z307" i="1" s="1"/>
  <c r="Y308" i="1"/>
  <c r="Y315" i="1"/>
  <c r="BP310" i="1"/>
  <c r="BN310" i="1"/>
  <c r="Z310" i="1"/>
  <c r="Y314" i="1"/>
  <c r="BP319" i="1"/>
  <c r="BN319" i="1"/>
  <c r="Z319" i="1"/>
  <c r="BP323" i="1"/>
  <c r="BN323" i="1"/>
  <c r="Z323" i="1"/>
  <c r="BP332" i="1"/>
  <c r="BN332" i="1"/>
  <c r="Z332" i="1"/>
  <c r="Y334" i="1"/>
  <c r="R572" i="1"/>
  <c r="Y342" i="1"/>
  <c r="BP337" i="1"/>
  <c r="BN337" i="1"/>
  <c r="Z337" i="1"/>
  <c r="Y341" i="1"/>
  <c r="BP345" i="1"/>
  <c r="BN345" i="1"/>
  <c r="Z345" i="1"/>
  <c r="Z347" i="1" s="1"/>
  <c r="BP368" i="1"/>
  <c r="BN368" i="1"/>
  <c r="Z368" i="1"/>
  <c r="BP372" i="1"/>
  <c r="BN372" i="1"/>
  <c r="Z372" i="1"/>
  <c r="BP380" i="1"/>
  <c r="BN380" i="1"/>
  <c r="Z380" i="1"/>
  <c r="Y384" i="1"/>
  <c r="BP388" i="1"/>
  <c r="BN388" i="1"/>
  <c r="Z388" i="1"/>
  <c r="BP396" i="1"/>
  <c r="BN396" i="1"/>
  <c r="Z396" i="1"/>
  <c r="Y398" i="1"/>
  <c r="Y405" i="1"/>
  <c r="BP400" i="1"/>
  <c r="BN400" i="1"/>
  <c r="Z400" i="1"/>
  <c r="Y404" i="1"/>
  <c r="BP408" i="1"/>
  <c r="BN408" i="1"/>
  <c r="Z408" i="1"/>
  <c r="Z410" i="1" s="1"/>
  <c r="BP422" i="1"/>
  <c r="BN422" i="1"/>
  <c r="Z422" i="1"/>
  <c r="BP430" i="1"/>
  <c r="BN430" i="1"/>
  <c r="Z430" i="1"/>
  <c r="Y432" i="1"/>
  <c r="X572" i="1"/>
  <c r="Y445" i="1"/>
  <c r="BP436" i="1"/>
  <c r="BN436" i="1"/>
  <c r="Z436" i="1"/>
  <c r="BP440" i="1"/>
  <c r="BN440" i="1"/>
  <c r="Z440" i="1"/>
  <c r="Y444" i="1"/>
  <c r="BP448" i="1"/>
  <c r="BN448" i="1"/>
  <c r="Z448" i="1"/>
  <c r="Z450" i="1" s="1"/>
  <c r="Y450" i="1"/>
  <c r="BP483" i="1"/>
  <c r="BN483" i="1"/>
  <c r="Z483" i="1"/>
  <c r="BP487" i="1"/>
  <c r="BN487" i="1"/>
  <c r="Z487" i="1"/>
  <c r="Y489" i="1"/>
  <c r="Y492" i="1"/>
  <c r="BP491" i="1"/>
  <c r="BN491" i="1"/>
  <c r="Z491" i="1"/>
  <c r="Z492" i="1" s="1"/>
  <c r="Y493" i="1"/>
  <c r="Y497" i="1"/>
  <c r="BP496" i="1"/>
  <c r="BN496" i="1"/>
  <c r="Z496" i="1"/>
  <c r="Z497" i="1" s="1"/>
  <c r="AA572" i="1"/>
  <c r="Y498" i="1"/>
  <c r="Y503" i="1"/>
  <c r="BP500" i="1"/>
  <c r="BN500" i="1"/>
  <c r="Z500" i="1"/>
  <c r="Y504" i="1"/>
  <c r="BP510" i="1"/>
  <c r="BN510" i="1"/>
  <c r="Z510" i="1"/>
  <c r="BP514" i="1"/>
  <c r="BN514" i="1"/>
  <c r="Z514" i="1"/>
  <c r="H572" i="1"/>
  <c r="H9" i="1"/>
  <c r="B572" i="1"/>
  <c r="X563" i="1"/>
  <c r="X564" i="1"/>
  <c r="Z23" i="1"/>
  <c r="BN23" i="1"/>
  <c r="Z25" i="1"/>
  <c r="BN25" i="1"/>
  <c r="X566" i="1"/>
  <c r="Y28" i="1"/>
  <c r="Z31" i="1"/>
  <c r="Z32" i="1" s="1"/>
  <c r="BN31" i="1"/>
  <c r="Z37" i="1"/>
  <c r="Z42" i="1" s="1"/>
  <c r="BN37" i="1"/>
  <c r="BP37" i="1"/>
  <c r="Z39" i="1"/>
  <c r="BN39" i="1"/>
  <c r="Z41" i="1"/>
  <c r="BN41" i="1"/>
  <c r="Y42" i="1"/>
  <c r="Z47" i="1"/>
  <c r="Z51" i="1" s="1"/>
  <c r="BN47" i="1"/>
  <c r="BP47" i="1"/>
  <c r="Z49" i="1"/>
  <c r="BN49" i="1"/>
  <c r="Y52" i="1"/>
  <c r="E572" i="1"/>
  <c r="Z56" i="1"/>
  <c r="BN56" i="1"/>
  <c r="Z58" i="1"/>
  <c r="BN58" i="1"/>
  <c r="Z60" i="1"/>
  <c r="BN60" i="1"/>
  <c r="Z62" i="1"/>
  <c r="BN62" i="1"/>
  <c r="Y63" i="1"/>
  <c r="Z66" i="1"/>
  <c r="Z70" i="1" s="1"/>
  <c r="BN66" i="1"/>
  <c r="BP66" i="1"/>
  <c r="Z68" i="1"/>
  <c r="BN68" i="1"/>
  <c r="Z74" i="1"/>
  <c r="Z75" i="1" s="1"/>
  <c r="BN74" i="1"/>
  <c r="Z78" i="1"/>
  <c r="BN78" i="1"/>
  <c r="BP78" i="1"/>
  <c r="Z80" i="1"/>
  <c r="BN80" i="1"/>
  <c r="Z85" i="1"/>
  <c r="Z91" i="1" s="1"/>
  <c r="BN85" i="1"/>
  <c r="BP85" i="1"/>
  <c r="Z87" i="1"/>
  <c r="BN87" i="1"/>
  <c r="Z89" i="1"/>
  <c r="BN89" i="1"/>
  <c r="Y92" i="1"/>
  <c r="Z95" i="1"/>
  <c r="BN95" i="1"/>
  <c r="Z97" i="1"/>
  <c r="BN97" i="1"/>
  <c r="Z102" i="1"/>
  <c r="Z109" i="1" s="1"/>
  <c r="BN102" i="1"/>
  <c r="BP102" i="1"/>
  <c r="Z104" i="1"/>
  <c r="BN104" i="1"/>
  <c r="Z106" i="1"/>
  <c r="BN106" i="1"/>
  <c r="Z108" i="1"/>
  <c r="BN108" i="1"/>
  <c r="Y109" i="1"/>
  <c r="Z112" i="1"/>
  <c r="Z115" i="1" s="1"/>
  <c r="BN112" i="1"/>
  <c r="BP112" i="1"/>
  <c r="Z114" i="1"/>
  <c r="BN114" i="1"/>
  <c r="Z118" i="1"/>
  <c r="BN118" i="1"/>
  <c r="BP118" i="1"/>
  <c r="Z120" i="1"/>
  <c r="BN120" i="1"/>
  <c r="Z131" i="1"/>
  <c r="Z132" i="1" s="1"/>
  <c r="BN131" i="1"/>
  <c r="Z135" i="1"/>
  <c r="Z137" i="1" s="1"/>
  <c r="BN135" i="1"/>
  <c r="BP135" i="1"/>
  <c r="Z141" i="1"/>
  <c r="Z142" i="1" s="1"/>
  <c r="BN141" i="1"/>
  <c r="Z146" i="1"/>
  <c r="BN146" i="1"/>
  <c r="BP146" i="1"/>
  <c r="Z148" i="1"/>
  <c r="BN148" i="1"/>
  <c r="Y151" i="1"/>
  <c r="J572" i="1"/>
  <c r="Z159" i="1"/>
  <c r="BN159" i="1"/>
  <c r="Z161" i="1"/>
  <c r="BN161" i="1"/>
  <c r="Y162" i="1"/>
  <c r="Z165" i="1"/>
  <c r="BN165" i="1"/>
  <c r="BP165" i="1"/>
  <c r="Z171" i="1"/>
  <c r="BN171" i="1"/>
  <c r="Z173" i="1"/>
  <c r="BN173" i="1"/>
  <c r="Z175" i="1"/>
  <c r="BN175" i="1"/>
  <c r="Z177" i="1"/>
  <c r="BN177" i="1"/>
  <c r="Z179" i="1"/>
  <c r="BN179" i="1"/>
  <c r="Z185" i="1"/>
  <c r="Z186" i="1" s="1"/>
  <c r="BN185" i="1"/>
  <c r="Z189" i="1"/>
  <c r="Z190" i="1" s="1"/>
  <c r="BN189" i="1"/>
  <c r="BP189" i="1"/>
  <c r="Z193" i="1"/>
  <c r="Z194" i="1" s="1"/>
  <c r="BN193" i="1"/>
  <c r="BP193" i="1"/>
  <c r="Z199" i="1"/>
  <c r="Z206" i="1" s="1"/>
  <c r="BN199" i="1"/>
  <c r="BP199" i="1"/>
  <c r="Z201" i="1"/>
  <c r="BN201" i="1"/>
  <c r="Z203" i="1"/>
  <c r="BN203" i="1"/>
  <c r="Z205" i="1"/>
  <c r="BN205" i="1"/>
  <c r="Y206" i="1"/>
  <c r="Z210" i="1"/>
  <c r="Z211" i="1" s="1"/>
  <c r="BN210" i="1"/>
  <c r="BP210" i="1"/>
  <c r="Y211" i="1"/>
  <c r="Z214" i="1"/>
  <c r="Z227" i="1" s="1"/>
  <c r="BN214" i="1"/>
  <c r="BP214" i="1"/>
  <c r="Z216" i="1"/>
  <c r="BN216" i="1"/>
  <c r="Z218" i="1"/>
  <c r="BN218" i="1"/>
  <c r="Z220" i="1"/>
  <c r="BN220" i="1"/>
  <c r="Z222" i="1"/>
  <c r="BN222" i="1"/>
  <c r="Z224" i="1"/>
  <c r="BN224" i="1"/>
  <c r="Z226" i="1"/>
  <c r="BN226" i="1"/>
  <c r="Z230" i="1"/>
  <c r="BN230" i="1"/>
  <c r="BP230" i="1"/>
  <c r="Z232" i="1"/>
  <c r="BN232" i="1"/>
  <c r="Z234" i="1"/>
  <c r="BN234" i="1"/>
  <c r="Z238" i="1"/>
  <c r="Z241" i="1" s="1"/>
  <c r="BN238" i="1"/>
  <c r="BP238" i="1"/>
  <c r="Z240" i="1"/>
  <c r="BN240" i="1"/>
  <c r="Z244" i="1"/>
  <c r="Z245" i="1" s="1"/>
  <c r="BN244" i="1"/>
  <c r="BP244" i="1"/>
  <c r="Z249" i="1"/>
  <c r="Z252" i="1" s="1"/>
  <c r="BN249" i="1"/>
  <c r="BP249" i="1"/>
  <c r="Y253" i="1"/>
  <c r="Z256" i="1"/>
  <c r="Z257" i="1" s="1"/>
  <c r="BN256" i="1"/>
  <c r="Z260" i="1"/>
  <c r="Z268" i="1" s="1"/>
  <c r="BN260" i="1"/>
  <c r="BP260" i="1"/>
  <c r="Z262" i="1"/>
  <c r="BN262" i="1"/>
  <c r="Z264" i="1"/>
  <c r="BN264" i="1"/>
  <c r="Z266" i="1"/>
  <c r="BN266" i="1"/>
  <c r="Y269" i="1"/>
  <c r="Y284" i="1"/>
  <c r="BP271" i="1"/>
  <c r="BN271" i="1"/>
  <c r="Z271" i="1"/>
  <c r="BP275" i="1"/>
  <c r="BN275" i="1"/>
  <c r="Z275" i="1"/>
  <c r="BP279" i="1"/>
  <c r="BN279" i="1"/>
  <c r="Z279" i="1"/>
  <c r="Y283" i="1"/>
  <c r="BP287" i="1"/>
  <c r="BN287" i="1"/>
  <c r="Z287" i="1"/>
  <c r="Z288" i="1" s="1"/>
  <c r="Y289" i="1"/>
  <c r="O572" i="1"/>
  <c r="Y299" i="1"/>
  <c r="BP292" i="1"/>
  <c r="BN292" i="1"/>
  <c r="Z292" i="1"/>
  <c r="BP296" i="1"/>
  <c r="BN296" i="1"/>
  <c r="Z296" i="1"/>
  <c r="BP312" i="1"/>
  <c r="BN312" i="1"/>
  <c r="Z312" i="1"/>
  <c r="BP321" i="1"/>
  <c r="BN321" i="1"/>
  <c r="Z321" i="1"/>
  <c r="BP325" i="1"/>
  <c r="BN325" i="1"/>
  <c r="Z325" i="1"/>
  <c r="Y327" i="1"/>
  <c r="Y333" i="1"/>
  <c r="BP330" i="1"/>
  <c r="BN330" i="1"/>
  <c r="Z330" i="1"/>
  <c r="Z333" i="1" s="1"/>
  <c r="BP339" i="1"/>
  <c r="BN339" i="1"/>
  <c r="Z339" i="1"/>
  <c r="Y348" i="1"/>
  <c r="Y347" i="1"/>
  <c r="Z363" i="1"/>
  <c r="BP361" i="1"/>
  <c r="BN361" i="1"/>
  <c r="Z361" i="1"/>
  <c r="U572" i="1"/>
  <c r="BP370" i="1"/>
  <c r="BN370" i="1"/>
  <c r="Z370" i="1"/>
  <c r="Y374" i="1"/>
  <c r="BP378" i="1"/>
  <c r="BN378" i="1"/>
  <c r="Z378" i="1"/>
  <c r="BP382" i="1"/>
  <c r="BN382" i="1"/>
  <c r="Z382" i="1"/>
  <c r="Y391" i="1"/>
  <c r="BP390" i="1"/>
  <c r="BN390" i="1"/>
  <c r="Z390" i="1"/>
  <c r="Y392" i="1"/>
  <c r="Y397" i="1"/>
  <c r="BP394" i="1"/>
  <c r="BN394" i="1"/>
  <c r="Z394" i="1"/>
  <c r="BP402" i="1"/>
  <c r="BN402" i="1"/>
  <c r="Z402" i="1"/>
  <c r="Y411" i="1"/>
  <c r="Y410" i="1"/>
  <c r="BP414" i="1"/>
  <c r="BN414" i="1"/>
  <c r="Z414" i="1"/>
  <c r="Z416" i="1" s="1"/>
  <c r="BP460" i="1"/>
  <c r="BN460" i="1"/>
  <c r="Z460" i="1"/>
  <c r="Z461" i="1" s="1"/>
  <c r="Y462" i="1"/>
  <c r="Y468" i="1"/>
  <c r="BP465" i="1"/>
  <c r="BN465" i="1"/>
  <c r="Z465" i="1"/>
  <c r="Z467" i="1" s="1"/>
  <c r="Y467" i="1"/>
  <c r="Q572" i="1"/>
  <c r="P572" i="1"/>
  <c r="Y326" i="1"/>
  <c r="Y353" i="1"/>
  <c r="T572" i="1"/>
  <c r="Y364" i="1"/>
  <c r="Y375" i="1"/>
  <c r="V572" i="1"/>
  <c r="Y424" i="1"/>
  <c r="BP420" i="1"/>
  <c r="BN420" i="1"/>
  <c r="Z420" i="1"/>
  <c r="BP423" i="1"/>
  <c r="BN423" i="1"/>
  <c r="Z423" i="1"/>
  <c r="Y425" i="1"/>
  <c r="W572" i="1"/>
  <c r="Y431" i="1"/>
  <c r="BP428" i="1"/>
  <c r="BN428" i="1"/>
  <c r="Z428" i="1"/>
  <c r="Z431" i="1" s="1"/>
  <c r="BP438" i="1"/>
  <c r="BN438" i="1"/>
  <c r="Z438" i="1"/>
  <c r="BP442" i="1"/>
  <c r="BN442" i="1"/>
  <c r="Z442" i="1"/>
  <c r="Y451" i="1"/>
  <c r="BP454" i="1"/>
  <c r="BN454" i="1"/>
  <c r="Z454" i="1"/>
  <c r="Z456" i="1" s="1"/>
  <c r="Y461" i="1"/>
  <c r="Z477" i="1"/>
  <c r="BP475" i="1"/>
  <c r="BN475" i="1"/>
  <c r="Z475" i="1"/>
  <c r="BP485" i="1"/>
  <c r="BN485" i="1"/>
  <c r="Z485" i="1"/>
  <c r="BP526" i="1"/>
  <c r="BN526" i="1"/>
  <c r="Z526" i="1"/>
  <c r="Y532" i="1"/>
  <c r="BP530" i="1"/>
  <c r="BN530" i="1"/>
  <c r="Z530" i="1"/>
  <c r="Z572" i="1"/>
  <c r="Y488" i="1"/>
  <c r="BP502" i="1"/>
  <c r="BN502" i="1"/>
  <c r="Z502" i="1"/>
  <c r="AB572" i="1"/>
  <c r="Y517" i="1"/>
  <c r="BP508" i="1"/>
  <c r="BN508" i="1"/>
  <c r="Z508" i="1"/>
  <c r="BP512" i="1"/>
  <c r="BN512" i="1"/>
  <c r="Z512" i="1"/>
  <c r="Y516" i="1"/>
  <c r="Z522" i="1"/>
  <c r="BP520" i="1"/>
  <c r="BN520" i="1"/>
  <c r="Z520" i="1"/>
  <c r="Y533" i="1"/>
  <c r="BP528" i="1"/>
  <c r="BN528" i="1"/>
  <c r="Z528" i="1"/>
  <c r="BP554" i="1"/>
  <c r="BN554" i="1"/>
  <c r="Z554" i="1"/>
  <c r="Z555" i="1" s="1"/>
  <c r="Y556" i="1"/>
  <c r="AD572" i="1"/>
  <c r="Y560" i="1"/>
  <c r="BP559" i="1"/>
  <c r="BN559" i="1"/>
  <c r="Z559" i="1"/>
  <c r="Z560" i="1" s="1"/>
  <c r="Y561" i="1"/>
  <c r="Z181" i="1" l="1"/>
  <c r="Z162" i="1"/>
  <c r="Z98" i="1"/>
  <c r="Y564" i="1"/>
  <c r="Z27" i="1"/>
  <c r="Z488" i="1"/>
  <c r="Z326" i="1"/>
  <c r="Z532" i="1"/>
  <c r="Z424" i="1"/>
  <c r="Z397" i="1"/>
  <c r="Z384" i="1"/>
  <c r="Z167" i="1"/>
  <c r="Z63" i="1"/>
  <c r="Y563" i="1"/>
  <c r="Y565" i="1" s="1"/>
  <c r="Z391" i="1"/>
  <c r="Z374" i="1"/>
  <c r="X565" i="1"/>
  <c r="Z444" i="1"/>
  <c r="Z341" i="1"/>
  <c r="Z314" i="1"/>
  <c r="Y566" i="1"/>
  <c r="Z516" i="1"/>
  <c r="Z299" i="1"/>
  <c r="Z283" i="1"/>
  <c r="Z235" i="1"/>
  <c r="Z150" i="1"/>
  <c r="Z122" i="1"/>
  <c r="Z81" i="1"/>
  <c r="Y562" i="1"/>
  <c r="Z503" i="1"/>
  <c r="Z404" i="1"/>
  <c r="Z567" i="1" l="1"/>
</calcChain>
</file>

<file path=xl/sharedStrings.xml><?xml version="1.0" encoding="utf-8"?>
<sst xmlns="http://schemas.openxmlformats.org/spreadsheetml/2006/main" count="2531" uniqueCount="914">
  <si>
    <t xml:space="preserve">  БЛАНК ЗАКАЗА </t>
  </si>
  <si>
    <t>КИ</t>
  </si>
  <si>
    <t>на отгрузку продукции с ООО Трейд-Сервис с</t>
  </si>
  <si>
    <t>02.11.2026</t>
  </si>
  <si>
    <t>бланк создан</t>
  </si>
  <si>
    <t>28.10.2026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</si>
  <si>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</si>
  <si>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</si>
  <si>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</si>
  <si>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</si>
  <si>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</si>
  <si>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</si>
  <si>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</si>
  <si>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</si>
  <si>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</si>
  <si>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</si>
  <si>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</si>
  <si>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</si>
  <si>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</si>
  <si>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</si>
  <si>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</si>
  <si>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</si>
  <si>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</si>
  <si>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</si>
  <si>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</si>
  <si>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</si>
  <si>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</si>
  <si>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</si>
  <si>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</si>
  <si>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</si>
  <si>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</si>
  <si>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</si>
  <si>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</si>
  <si>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</si>
  <si>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</si>
  <si>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</si>
  <si>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</si>
  <si>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</si>
  <si>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</si>
  <si>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</si>
  <si>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</si>
  <si>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</si>
  <si>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</si>
  <si>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</si>
  <si>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</si>
  <si>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</si>
  <si>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</si>
  <si>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</si>
  <si>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</si>
  <si>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</si>
  <si>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</si>
  <si>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</si>
  <si>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</si>
  <si>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</si>
  <si>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</si>
  <si>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</si>
  <si>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</si>
  <si>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</si>
  <si>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</si>
  <si>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</si>
  <si>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</si>
  <si>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</si>
  <si>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</si>
  <si>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</si>
  <si>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</si>
  <si>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</si>
  <si>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СК3</t>
  </si>
  <si>
    <t>кг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</si>
  <si>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</si>
  <si>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</si>
  <si>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</si>
  <si>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</si>
  <si>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</si>
  <si>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</si>
  <si>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</si>
  <si>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</si>
  <si>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</si>
  <si>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</si>
  <si>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</si>
  <si>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</si>
  <si>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</si>
  <si>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Итого</t>
  </si>
  <si>
    <t>кор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</si>
  <si>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</si>
  <si>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</si>
  <si>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</si>
  <si>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</si>
  <si>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</si>
  <si>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</si>
  <si>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</si>
  <si>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</si>
  <si>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</si>
  <si>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</si>
  <si>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</si>
  <si>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</si>
  <si>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</si>
  <si>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</si>
  <si>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</si>
  <si>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</si>
  <si>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</si>
  <si>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</si>
  <si>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</si>
  <si>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</si>
  <si>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</si>
  <si>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</si>
  <si>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</si>
  <si>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</si>
  <si>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</si>
  <si>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</si>
  <si>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</si>
  <si>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</si>
  <si>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</si>
  <si>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</si>
  <si>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</si>
  <si>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</si>
  <si>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</si>
  <si>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</si>
  <si>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</si>
  <si>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</si>
  <si>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</si>
  <si>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</si>
  <si>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</si>
  <si>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СК2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</si>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</sst>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8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66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6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7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24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9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2"/>
  <sheetViews>
    <sheetView showGridLines="0" tabSelected="1" zoomScaleNormal="100" zoomScaleSheetLayoutView="100" workbookViewId="0">
      <selection activeCell="AA25" sqref="AA25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17" t="s">
        <v>0</v>
      </c>
      <c r="E1" s="672"/>
      <c r="F1" s="672"/>
      <c r="G1" s="12" t="s">
        <v>1</v>
      </c>
      <c r="H1" s="717" t="s">
        <v>2</v>
      </c>
      <c r="I1" s="672"/>
      <c r="J1" s="672"/>
      <c r="K1" s="672"/>
      <c r="L1" s="672"/>
      <c r="M1" s="672"/>
      <c r="N1" s="672"/>
      <c r="O1" s="672"/>
      <c r="P1" s="672"/>
      <c r="Q1" s="672"/>
      <c r="R1" s="671" t="s">
        <v>3</v>
      </c>
      <c r="S1" s="672"/>
      <c r="T1" s="6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8"/>
      <c r="R2" s="648"/>
      <c r="S2" s="648"/>
      <c r="T2" s="648"/>
      <c r="U2" s="648"/>
      <c r="V2" s="648"/>
      <c r="W2" s="648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8"/>
      <c r="Q3" s="648"/>
      <c r="R3" s="648"/>
      <c r="S3" s="648"/>
      <c r="T3" s="648"/>
      <c r="U3" s="648"/>
      <c r="V3" s="648"/>
      <c r="W3" s="648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74" t="s">
        <v>8</v>
      </c>
      <c r="B5" s="689"/>
      <c r="C5" s="690"/>
      <c r="D5" s="724"/>
      <c r="E5" s="725"/>
      <c r="F5" s="958" t="s">
        <v>9</v>
      </c>
      <c r="G5" s="690"/>
      <c r="H5" s="724"/>
      <c r="I5" s="903"/>
      <c r="J5" s="903"/>
      <c r="K5" s="903"/>
      <c r="L5" s="903"/>
      <c r="M5" s="725"/>
      <c r="N5" s="58"/>
      <c r="P5" s="24" t="s">
        <v>10</v>
      </c>
      <c r="Q5" s="975">
        <v>46328</v>
      </c>
      <c r="R5" s="772"/>
      <c r="T5" s="811" t="s">
        <v>11</v>
      </c>
      <c r="U5" s="812"/>
      <c r="V5" s="813" t="s">
        <v>12</v>
      </c>
      <c r="W5" s="772"/>
      <c r="AB5" s="51"/>
      <c r="AC5" s="51"/>
      <c r="AD5" s="51"/>
      <c r="AE5" s="51"/>
    </row>
    <row r="6" spans="1:32" s="629" customFormat="1" ht="24" customHeight="1" x14ac:dyDescent="0.2">
      <c r="A6" s="774" t="s">
        <v>13</v>
      </c>
      <c r="B6" s="689"/>
      <c r="C6" s="690"/>
      <c r="D6" s="907"/>
      <c r="E6" s="908"/>
      <c r="F6" s="908"/>
      <c r="G6" s="908"/>
      <c r="H6" s="908"/>
      <c r="I6" s="908"/>
      <c r="J6" s="908"/>
      <c r="K6" s="908"/>
      <c r="L6" s="908"/>
      <c r="M6" s="772"/>
      <c r="N6" s="59"/>
      <c r="P6" s="24" t="s">
        <v>14</v>
      </c>
      <c r="Q6" s="981" t="str">
        <f>IF(Q5=0," ",CHOOSE(WEEKDAY(Q5,2),"Понедельник","Вторник","Среда","Четверг","Пятница","Суббота","Воскресенье"))</f>
        <v>Понедельник</v>
      </c>
      <c r="R6" s="643"/>
      <c r="T6" s="822" t="s">
        <v>15</v>
      </c>
      <c r="U6" s="812"/>
      <c r="V6" s="885" t="s">
        <v>16</v>
      </c>
      <c r="W6" s="686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696">
        <f>IFERROR(VLOOKUP(DeliveryAddress,Table,3,0),1)</f>
        <v>1</v>
      </c>
      <c r="E7" s="697"/>
      <c r="F7" s="697"/>
      <c r="G7" s="697"/>
      <c r="H7" s="697"/>
      <c r="I7" s="697"/>
      <c r="J7" s="697"/>
      <c r="K7" s="697"/>
      <c r="L7" s="697"/>
      <c r="M7" s="698"/>
      <c r="N7" s="60"/>
      <c r="P7" s="24"/>
      <c r="Q7" s="42"/>
      <c r="R7" s="42"/>
      <c r="T7" s="648"/>
      <c r="U7" s="812"/>
      <c r="V7" s="886"/>
      <c r="W7" s="887"/>
      <c r="AB7" s="51"/>
      <c r="AC7" s="51"/>
      <c r="AD7" s="51"/>
      <c r="AE7" s="51"/>
    </row>
    <row r="8" spans="1:32" s="629" customFormat="1" ht="25.5" customHeight="1" x14ac:dyDescent="0.2">
      <c r="A8" s="1000" t="s">
        <v>17</v>
      </c>
      <c r="B8" s="654"/>
      <c r="C8" s="655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18</v>
      </c>
      <c r="Q8" s="781">
        <v>0.41666666666666669</v>
      </c>
      <c r="R8" s="698"/>
      <c r="T8" s="648"/>
      <c r="U8" s="812"/>
      <c r="V8" s="886"/>
      <c r="W8" s="887"/>
      <c r="AB8" s="51"/>
      <c r="AC8" s="51"/>
      <c r="AD8" s="51"/>
      <c r="AE8" s="51"/>
    </row>
    <row r="9" spans="1:32" s="629" customFormat="1" ht="39.950000000000003" customHeight="1" x14ac:dyDescent="0.2">
      <c r="A9" s="7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8"/>
      <c r="C9" s="648"/>
      <c r="D9" s="789"/>
      <c r="E9" s="660"/>
      <c r="F9" s="7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8"/>
      <c r="H9" s="659" t="str">
        <f>IF(AND($A$9="Тип доверенности/получателя при получении в адресе перегруза:",$D$9="Разовая доверенность"),"Введите ФИО","")</f>
        <v/>
      </c>
      <c r="I9" s="660"/>
      <c r="J9" s="6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0"/>
      <c r="L9" s="660"/>
      <c r="M9" s="660"/>
      <c r="N9" s="627"/>
      <c r="P9" s="26" t="s">
        <v>19</v>
      </c>
      <c r="Q9" s="767"/>
      <c r="R9" s="768"/>
      <c r="T9" s="648"/>
      <c r="U9" s="812"/>
      <c r="V9" s="888"/>
      <c r="W9" s="889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8"/>
      <c r="C10" s="648"/>
      <c r="D10" s="789"/>
      <c r="E10" s="660"/>
      <c r="F10" s="7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8"/>
      <c r="H10" s="873" t="str">
        <f>IFERROR(VLOOKUP($D$10,Proxy,2,FALSE),"")</f>
        <v/>
      </c>
      <c r="I10" s="648"/>
      <c r="J10" s="648"/>
      <c r="K10" s="648"/>
      <c r="L10" s="648"/>
      <c r="M10" s="648"/>
      <c r="N10" s="628"/>
      <c r="P10" s="26" t="s">
        <v>20</v>
      </c>
      <c r="Q10" s="823"/>
      <c r="R10" s="824"/>
      <c r="U10" s="24" t="s">
        <v>21</v>
      </c>
      <c r="V10" s="685" t="s">
        <v>22</v>
      </c>
      <c r="W10" s="686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1"/>
      <c r="R11" s="772"/>
      <c r="U11" s="24" t="s">
        <v>25</v>
      </c>
      <c r="V11" s="927" t="s">
        <v>26</v>
      </c>
      <c r="W11" s="768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07" t="s">
        <v>27</v>
      </c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90"/>
      <c r="N12" s="62"/>
      <c r="P12" s="24" t="s">
        <v>28</v>
      </c>
      <c r="Q12" s="781"/>
      <c r="R12" s="698"/>
      <c r="S12" s="23"/>
      <c r="U12" s="24"/>
      <c r="V12" s="672"/>
      <c r="W12" s="648"/>
      <c r="AB12" s="51"/>
      <c r="AC12" s="51"/>
      <c r="AD12" s="51"/>
      <c r="AE12" s="51"/>
    </row>
    <row r="13" spans="1:32" s="629" customFormat="1" ht="23.25" customHeight="1" x14ac:dyDescent="0.2">
      <c r="A13" s="807" t="s">
        <v>29</v>
      </c>
      <c r="B13" s="689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90"/>
      <c r="N13" s="62"/>
      <c r="O13" s="26"/>
      <c r="P13" s="26" t="s">
        <v>30</v>
      </c>
      <c r="Q13" s="927"/>
      <c r="R13" s="76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07" t="s">
        <v>31</v>
      </c>
      <c r="B14" s="689"/>
      <c r="C14" s="689"/>
      <c r="D14" s="689"/>
      <c r="E14" s="689"/>
      <c r="F14" s="689"/>
      <c r="G14" s="689"/>
      <c r="H14" s="689"/>
      <c r="I14" s="689"/>
      <c r="J14" s="689"/>
      <c r="K14" s="689"/>
      <c r="L14" s="689"/>
      <c r="M14" s="69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3" t="s">
        <v>32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90"/>
      <c r="N15" s="63"/>
      <c r="P15" s="797" t="s">
        <v>33</v>
      </c>
      <c r="Q15" s="672"/>
      <c r="R15" s="672"/>
      <c r="S15" s="672"/>
      <c r="T15" s="6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8"/>
      <c r="Q16" s="798"/>
      <c r="R16" s="798"/>
      <c r="S16" s="798"/>
      <c r="T16" s="79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1" t="s">
        <v>34</v>
      </c>
      <c r="B17" s="681" t="s">
        <v>35</v>
      </c>
      <c r="C17" s="786" t="s">
        <v>36</v>
      </c>
      <c r="D17" s="681" t="s">
        <v>37</v>
      </c>
      <c r="E17" s="751"/>
      <c r="F17" s="681" t="s">
        <v>38</v>
      </c>
      <c r="G17" s="681" t="s">
        <v>39</v>
      </c>
      <c r="H17" s="681" t="s">
        <v>40</v>
      </c>
      <c r="I17" s="681" t="s">
        <v>41</v>
      </c>
      <c r="J17" s="681" t="s">
        <v>42</v>
      </c>
      <c r="K17" s="681" t="s">
        <v>43</v>
      </c>
      <c r="L17" s="681" t="s">
        <v>44</v>
      </c>
      <c r="M17" s="681" t="s">
        <v>45</v>
      </c>
      <c r="N17" s="681" t="s">
        <v>46</v>
      </c>
      <c r="O17" s="681" t="s">
        <v>47</v>
      </c>
      <c r="P17" s="681" t="s">
        <v>48</v>
      </c>
      <c r="Q17" s="750"/>
      <c r="R17" s="750"/>
      <c r="S17" s="750"/>
      <c r="T17" s="751"/>
      <c r="U17" s="999" t="s">
        <v>49</v>
      </c>
      <c r="V17" s="690"/>
      <c r="W17" s="681" t="s">
        <v>50</v>
      </c>
      <c r="X17" s="681" t="s">
        <v>51</v>
      </c>
      <c r="Y17" s="997" t="s">
        <v>52</v>
      </c>
      <c r="Z17" s="901" t="s">
        <v>53</v>
      </c>
      <c r="AA17" s="871" t="s">
        <v>54</v>
      </c>
      <c r="AB17" s="871" t="s">
        <v>55</v>
      </c>
      <c r="AC17" s="871" t="s">
        <v>56</v>
      </c>
      <c r="AD17" s="871" t="s">
        <v>57</v>
      </c>
      <c r="AE17" s="953"/>
      <c r="AF17" s="954"/>
      <c r="AG17" s="66"/>
      <c r="BD17" s="65" t="s">
        <v>58</v>
      </c>
    </row>
    <row r="18" spans="1:68" ht="14.25" customHeight="1" x14ac:dyDescent="0.2">
      <c r="A18" s="682"/>
      <c r="B18" s="682"/>
      <c r="C18" s="682"/>
      <c r="D18" s="752"/>
      <c r="E18" s="754"/>
      <c r="F18" s="682"/>
      <c r="G18" s="682"/>
      <c r="H18" s="682"/>
      <c r="I18" s="682"/>
      <c r="J18" s="682"/>
      <c r="K18" s="682"/>
      <c r="L18" s="682"/>
      <c r="M18" s="682"/>
      <c r="N18" s="682"/>
      <c r="O18" s="682"/>
      <c r="P18" s="752"/>
      <c r="Q18" s="753"/>
      <c r="R18" s="753"/>
      <c r="S18" s="753"/>
      <c r="T18" s="754"/>
      <c r="U18" s="67" t="s">
        <v>59</v>
      </c>
      <c r="V18" s="67" t="s">
        <v>60</v>
      </c>
      <c r="W18" s="682"/>
      <c r="X18" s="682"/>
      <c r="Y18" s="998"/>
      <c r="Z18" s="902"/>
      <c r="AA18" s="872"/>
      <c r="AB18" s="872"/>
      <c r="AC18" s="872"/>
      <c r="AD18" s="955"/>
      <c r="AE18" s="956"/>
      <c r="AF18" s="957"/>
      <c r="AG18" s="66"/>
      <c r="BD18" s="65"/>
    </row>
    <row r="19" spans="1:68" ht="27.75" hidden="1" customHeight="1" x14ac:dyDescent="0.2">
      <c r="A19" s="656" t="s">
        <v>61</v>
      </c>
      <c r="B19" s="657"/>
      <c r="C19" s="657"/>
      <c r="D19" s="657"/>
      <c r="E19" s="657"/>
      <c r="F19" s="657"/>
      <c r="G19" s="657"/>
      <c r="H19" s="657"/>
      <c r="I19" s="657"/>
      <c r="J19" s="657"/>
      <c r="K19" s="657"/>
      <c r="L19" s="657"/>
      <c r="M19" s="657"/>
      <c r="N19" s="657"/>
      <c r="O19" s="657"/>
      <c r="P19" s="657"/>
      <c r="Q19" s="657"/>
      <c r="R19" s="657"/>
      <c r="S19" s="657"/>
      <c r="T19" s="657"/>
      <c r="U19" s="657"/>
      <c r="V19" s="657"/>
      <c r="W19" s="657"/>
      <c r="X19" s="657"/>
      <c r="Y19" s="657"/>
      <c r="Z19" s="657"/>
      <c r="AA19" s="48"/>
      <c r="AB19" s="48"/>
      <c r="AC19" s="48"/>
    </row>
    <row r="20" spans="1:68" ht="16.5" hidden="1" customHeight="1" x14ac:dyDescent="0.25">
      <c r="A20" s="652" t="s">
        <v>61</v>
      </c>
      <c r="B20" s="648"/>
      <c r="C20" s="648"/>
      <c r="D20" s="648"/>
      <c r="E20" s="648"/>
      <c r="F20" s="648"/>
      <c r="G20" s="648"/>
      <c r="H20" s="648"/>
      <c r="I20" s="648"/>
      <c r="J20" s="648"/>
      <c r="K20" s="648"/>
      <c r="L20" s="648"/>
      <c r="M20" s="648"/>
      <c r="N20" s="648"/>
      <c r="O20" s="648"/>
      <c r="P20" s="648"/>
      <c r="Q20" s="648"/>
      <c r="R20" s="648"/>
      <c r="S20" s="648"/>
      <c r="T20" s="648"/>
      <c r="U20" s="648"/>
      <c r="V20" s="648"/>
      <c r="W20" s="648"/>
      <c r="X20" s="648"/>
      <c r="Y20" s="648"/>
      <c r="Z20" s="648"/>
      <c r="AA20" s="630"/>
      <c r="AB20" s="630"/>
      <c r="AC20" s="630"/>
    </row>
    <row r="21" spans="1:68" ht="14.25" hidden="1" customHeight="1" x14ac:dyDescent="0.25">
      <c r="A21" s="658" t="s">
        <v>62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4301051866</v>
      </c>
      <c r="D22" s="642">
        <v>4680115885912</v>
      </c>
      <c r="E22" s="643"/>
      <c r="F22" s="634">
        <v>0.3</v>
      </c>
      <c r="G22" s="32">
        <v>6</v>
      </c>
      <c r="H22" s="634">
        <v>1.8</v>
      </c>
      <c r="I22" s="634">
        <v>3.18</v>
      </c>
      <c r="J22" s="32">
        <v>182</v>
      </c>
      <c r="K22" s="32" t="s">
        <v>65</v>
      </c>
      <c r="L22" s="32"/>
      <c r="M22" s="33" t="s">
        <v>66</v>
      </c>
      <c r="N22" s="33"/>
      <c r="O22" s="32">
        <v>40</v>
      </c>
      <c r="P22" s="8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4301051776</v>
      </c>
      <c r="D23" s="642">
        <v>4607091388237</v>
      </c>
      <c r="E23" s="643"/>
      <c r="F23" s="634">
        <v>0.42</v>
      </c>
      <c r="G23" s="32">
        <v>6</v>
      </c>
      <c r="H23" s="634">
        <v>2.52</v>
      </c>
      <c r="I23" s="634">
        <v>2.766</v>
      </c>
      <c r="J23" s="32">
        <v>182</v>
      </c>
      <c r="K23" s="32" t="s">
        <v>65</v>
      </c>
      <c r="L23" s="32"/>
      <c r="M23" s="33" t="s">
        <v>66</v>
      </c>
      <c r="N23" s="33"/>
      <c r="O23" s="32">
        <v>40</v>
      </c>
      <c r="P23" s="8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40"/>
      <c r="R23" s="640"/>
      <c r="S23" s="640"/>
      <c r="T23" s="641"/>
      <c r="U23" s="34"/>
      <c r="V23" s="34"/>
      <c r="W23" s="35" t="s">
        <v>67</v>
      </c>
      <c r="X23" s="635">
        <v>0</v>
      </c>
      <c r="Y23" s="63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68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hidden="1" customHeight="1" x14ac:dyDescent="0.25">
      <c r="A24" s="54" t="s">
        <v>71</v>
      </c>
      <c r="B24" s="54" t="s">
        <v>72</v>
      </c>
      <c r="C24" s="31">
        <v>4301052063</v>
      </c>
      <c r="D24" s="642">
        <v>4680115887350</v>
      </c>
      <c r="E24" s="643"/>
      <c r="F24" s="634">
        <v>0.3</v>
      </c>
      <c r="G24" s="32">
        <v>6</v>
      </c>
      <c r="H24" s="634">
        <v>1.8</v>
      </c>
      <c r="I24" s="634">
        <v>3.18</v>
      </c>
      <c r="J24" s="32">
        <v>182</v>
      </c>
      <c r="K24" s="32" t="s">
        <v>65</v>
      </c>
      <c r="L24" s="32"/>
      <c r="M24" s="33" t="s">
        <v>73</v>
      </c>
      <c r="N24" s="33"/>
      <c r="O24" s="32">
        <v>40</v>
      </c>
      <c r="P24" s="8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40"/>
      <c r="R24" s="640"/>
      <c r="S24" s="640"/>
      <c r="T24" s="641"/>
      <c r="U24" s="34"/>
      <c r="V24" s="34"/>
      <c r="W24" s="35" t="s">
        <v>67</v>
      </c>
      <c r="X24" s="635">
        <v>0</v>
      </c>
      <c r="Y24" s="63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74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27" customHeight="1" x14ac:dyDescent="0.25">
      <c r="A25" s="54" t="s">
        <v>75</v>
      </c>
      <c r="B25" s="54" t="s">
        <v>76</v>
      </c>
      <c r="C25" s="31">
        <v>4301051863</v>
      </c>
      <c r="D25" s="642">
        <v>4680115885905</v>
      </c>
      <c r="E25" s="643"/>
      <c r="F25" s="634">
        <v>0.3</v>
      </c>
      <c r="G25" s="32">
        <v>6</v>
      </c>
      <c r="H25" s="634">
        <v>1.8</v>
      </c>
      <c r="I25" s="634">
        <v>3.18</v>
      </c>
      <c r="J25" s="32">
        <v>182</v>
      </c>
      <c r="K25" s="32" t="s">
        <v>65</v>
      </c>
      <c r="L25" s="32"/>
      <c r="M25" s="33" t="s">
        <v>73</v>
      </c>
      <c r="N25" s="33"/>
      <c r="O25" s="32">
        <v>40</v>
      </c>
      <c r="P25" s="9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40"/>
      <c r="R25" s="640"/>
      <c r="S25" s="640"/>
      <c r="T25" s="641"/>
      <c r="U25" s="34"/>
      <c r="V25" s="34"/>
      <c r="W25" s="35" t="s">
        <v>67</v>
      </c>
      <c r="X25" s="635">
        <v>3</v>
      </c>
      <c r="Y25" s="636">
        <f>IFERROR(IF(X25="",0,CEILING((X25/$H25),1)*$H25),"")</f>
        <v>3.6</v>
      </c>
      <c r="Z25" s="36">
        <f>IFERROR(IF(Y25=0,"",ROUNDUP(Y25/H25,0)*0.00651),"")</f>
        <v>1.302E-2</v>
      </c>
      <c r="AA25" s="56"/>
      <c r="AB25" s="57"/>
      <c r="AC25" s="75" t="s">
        <v>77</v>
      </c>
      <c r="AG25" s="64"/>
      <c r="AJ25" s="68"/>
      <c r="AK25" s="68">
        <v>0</v>
      </c>
      <c r="BB25" s="76" t="s">
        <v>1</v>
      </c>
      <c r="BM25" s="64">
        <f>IFERROR(X25*I25/H25,"0")</f>
        <v>5.3000000000000007</v>
      </c>
      <c r="BN25" s="64">
        <f>IFERROR(Y25*I25/H25,"0")</f>
        <v>6.36</v>
      </c>
      <c r="BO25" s="64">
        <f>IFERROR(1/J25*(X25/H25),"0")</f>
        <v>9.1575091575091579E-3</v>
      </c>
      <c r="BP25" s="64">
        <f>IFERROR(1/J25*(Y25/H25),"0")</f>
        <v>1.098901098901099E-2</v>
      </c>
    </row>
    <row r="26" spans="1:68" ht="27" hidden="1" customHeight="1" x14ac:dyDescent="0.25">
      <c r="A26" s="54" t="s">
        <v>78</v>
      </c>
      <c r="B26" s="54" t="s">
        <v>79</v>
      </c>
      <c r="C26" s="31">
        <v>4301052071</v>
      </c>
      <c r="D26" s="642">
        <v>4680115887619</v>
      </c>
      <c r="E26" s="643"/>
      <c r="F26" s="634">
        <v>0.33</v>
      </c>
      <c r="G26" s="32">
        <v>6</v>
      </c>
      <c r="H26" s="634">
        <v>1.98</v>
      </c>
      <c r="I26" s="634">
        <v>2.16</v>
      </c>
      <c r="J26" s="32">
        <v>182</v>
      </c>
      <c r="K26" s="32" t="s">
        <v>65</v>
      </c>
      <c r="L26" s="32"/>
      <c r="M26" s="33" t="s">
        <v>66</v>
      </c>
      <c r="N26" s="33"/>
      <c r="O26" s="32">
        <v>40</v>
      </c>
      <c r="P26" s="83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7" t="s">
        <v>80</v>
      </c>
      <c r="AG26" s="64"/>
      <c r="AJ26" s="68"/>
      <c r="AK26" s="68">
        <v>0</v>
      </c>
      <c r="BB26" s="78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x14ac:dyDescent="0.2">
      <c r="A27" s="647"/>
      <c r="B27" s="648"/>
      <c r="C27" s="648"/>
      <c r="D27" s="648"/>
      <c r="E27" s="648"/>
      <c r="F27" s="648"/>
      <c r="G27" s="648"/>
      <c r="H27" s="648"/>
      <c r="I27" s="648"/>
      <c r="J27" s="648"/>
      <c r="K27" s="648"/>
      <c r="L27" s="648"/>
      <c r="M27" s="648"/>
      <c r="N27" s="648"/>
      <c r="O27" s="649"/>
      <c r="P27" s="653" t="s">
        <v>81</v>
      </c>
      <c r="Q27" s="654"/>
      <c r="R27" s="654"/>
      <c r="S27" s="654"/>
      <c r="T27" s="654"/>
      <c r="U27" s="654"/>
      <c r="V27" s="655"/>
      <c r="W27" s="37" t="s">
        <v>82</v>
      </c>
      <c r="X27" s="637">
        <f>IFERROR(X22/H22,"0")+IFERROR(X23/H23,"0")+IFERROR(X24/H24,"0")+IFERROR(X25/H25,"0")+IFERROR(X26/H26,"0")</f>
        <v>1.6666666666666665</v>
      </c>
      <c r="Y27" s="637">
        <f>IFERROR(Y22/H22,"0")+IFERROR(Y23/H23,"0")+IFERROR(Y24/H24,"0")+IFERROR(Y25/H25,"0")+IFERROR(Y26/H26,"0")</f>
        <v>2</v>
      </c>
      <c r="Z27" s="637">
        <f>IFERROR(IF(Z22="",0,Z22),"0")+IFERROR(IF(Z23="",0,Z23),"0")+IFERROR(IF(Z24="",0,Z24),"0")+IFERROR(IF(Z25="",0,Z25),"0")+IFERROR(IF(Z26="",0,Z26),"0")</f>
        <v>1.302E-2</v>
      </c>
      <c r="AA27" s="638"/>
      <c r="AB27" s="638"/>
      <c r="AC27" s="638"/>
    </row>
    <row r="28" spans="1:68" x14ac:dyDescent="0.2">
      <c r="A28" s="648"/>
      <c r="B28" s="648"/>
      <c r="C28" s="648"/>
      <c r="D28" s="648"/>
      <c r="E28" s="648"/>
      <c r="F28" s="648"/>
      <c r="G28" s="648"/>
      <c r="H28" s="648"/>
      <c r="I28" s="648"/>
      <c r="J28" s="648"/>
      <c r="K28" s="648"/>
      <c r="L28" s="648"/>
      <c r="M28" s="648"/>
      <c r="N28" s="648"/>
      <c r="O28" s="649"/>
      <c r="P28" s="653" t="s">
        <v>81</v>
      </c>
      <c r="Q28" s="654"/>
      <c r="R28" s="654"/>
      <c r="S28" s="654"/>
      <c r="T28" s="654"/>
      <c r="U28" s="654"/>
      <c r="V28" s="655"/>
      <c r="W28" s="37" t="s">
        <v>67</v>
      </c>
      <c r="X28" s="637">
        <f>IFERROR(SUM(X22:X26),"0")</f>
        <v>3</v>
      </c>
      <c r="Y28" s="637">
        <f>IFERROR(SUM(Y22:Y26),"0")</f>
        <v>3.6</v>
      </c>
      <c r="Z28" s="37"/>
      <c r="AA28" s="638"/>
      <c r="AB28" s="638"/>
      <c r="AC28" s="638"/>
    </row>
    <row r="29" spans="1:68" ht="14.25" hidden="1" customHeight="1" x14ac:dyDescent="0.25">
      <c r="A29" s="658" t="s">
        <v>83</v>
      </c>
      <c r="B29" s="648"/>
      <c r="C29" s="648"/>
      <c r="D29" s="648"/>
      <c r="E29" s="648"/>
      <c r="F29" s="648"/>
      <c r="G29" s="648"/>
      <c r="H29" s="648"/>
      <c r="I29" s="648"/>
      <c r="J29" s="648"/>
      <c r="K29" s="648"/>
      <c r="L29" s="648"/>
      <c r="M29" s="648"/>
      <c r="N29" s="648"/>
      <c r="O29" s="648"/>
      <c r="P29" s="648"/>
      <c r="Q29" s="648"/>
      <c r="R29" s="648"/>
      <c r="S29" s="648"/>
      <c r="T29" s="648"/>
      <c r="U29" s="648"/>
      <c r="V29" s="648"/>
      <c r="W29" s="648"/>
      <c r="X29" s="648"/>
      <c r="Y29" s="648"/>
      <c r="Z29" s="648"/>
      <c r="AA29" s="631"/>
      <c r="AB29" s="631"/>
      <c r="AC29" s="631"/>
    </row>
    <row r="30" spans="1:68" ht="27" hidden="1" customHeight="1" x14ac:dyDescent="0.25">
      <c r="A30" s="54" t="s">
        <v>84</v>
      </c>
      <c r="B30" s="54" t="s">
        <v>85</v>
      </c>
      <c r="C30" s="31">
        <v>4301032059</v>
      </c>
      <c r="D30" s="642">
        <v>4680115889262</v>
      </c>
      <c r="E30" s="643"/>
      <c r="F30" s="634">
        <v>0.05</v>
      </c>
      <c r="G30" s="32">
        <v>8</v>
      </c>
      <c r="H30" s="634">
        <v>0.4</v>
      </c>
      <c r="I30" s="634">
        <v>0.57999999999999996</v>
      </c>
      <c r="J30" s="32">
        <v>330</v>
      </c>
      <c r="K30" s="32" t="s">
        <v>86</v>
      </c>
      <c r="L30" s="32"/>
      <c r="M30" s="33" t="s">
        <v>87</v>
      </c>
      <c r="N30" s="33"/>
      <c r="O30" s="32">
        <v>180</v>
      </c>
      <c r="P30" s="677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IFERROR(IF(Y30=0,"",ROUNDUP(Y30/H30,0)*0.00337),"")</f>
        <v/>
      </c>
      <c r="AA30" s="56"/>
      <c r="AB30" s="57" t="s">
        <v>88</v>
      </c>
      <c r="AC30" s="79" t="s">
        <v>89</v>
      </c>
      <c r="AG30" s="64"/>
      <c r="AJ30" s="68"/>
      <c r="AK30" s="68">
        <v>0</v>
      </c>
      <c r="BB30" s="80" t="s">
        <v>90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4301032063</v>
      </c>
      <c r="D31" s="642">
        <v>4680115889040</v>
      </c>
      <c r="E31" s="643"/>
      <c r="F31" s="634">
        <v>0.04</v>
      </c>
      <c r="G31" s="32">
        <v>8</v>
      </c>
      <c r="H31" s="634">
        <v>0.32</v>
      </c>
      <c r="I31" s="634">
        <v>0.5</v>
      </c>
      <c r="J31" s="32">
        <v>330</v>
      </c>
      <c r="K31" s="32" t="s">
        <v>86</v>
      </c>
      <c r="L31" s="32"/>
      <c r="M31" s="33" t="s">
        <v>87</v>
      </c>
      <c r="N31" s="33"/>
      <c r="O31" s="32">
        <v>120</v>
      </c>
      <c r="P31" s="71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40"/>
      <c r="R31" s="640"/>
      <c r="S31" s="640"/>
      <c r="T31" s="641"/>
      <c r="U31" s="34"/>
      <c r="V31" s="34"/>
      <c r="W31" s="35" t="s">
        <v>67</v>
      </c>
      <c r="X31" s="635">
        <v>0</v>
      </c>
      <c r="Y31" s="636">
        <f>IFERROR(IF(X31="",0,CEILING((X31/$H31),1)*$H31),"")</f>
        <v>0</v>
      </c>
      <c r="Z31" s="36" t="str">
        <f>IFERROR(IF(Y31=0,"",ROUNDUP(Y31/H31,0)*0.00337),"")</f>
        <v/>
      </c>
      <c r="AA31" s="56"/>
      <c r="AB31" s="57" t="s">
        <v>88</v>
      </c>
      <c r="AC31" s="81" t="s">
        <v>93</v>
      </c>
      <c r="AG31" s="64"/>
      <c r="AJ31" s="68"/>
      <c r="AK31" s="68">
        <v>0</v>
      </c>
      <c r="BB31" s="82" t="s">
        <v>90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47"/>
      <c r="B32" s="648"/>
      <c r="C32" s="648"/>
      <c r="D32" s="648"/>
      <c r="E32" s="648"/>
      <c r="F32" s="648"/>
      <c r="G32" s="648"/>
      <c r="H32" s="648"/>
      <c r="I32" s="648"/>
      <c r="J32" s="648"/>
      <c r="K32" s="648"/>
      <c r="L32" s="648"/>
      <c r="M32" s="648"/>
      <c r="N32" s="648"/>
      <c r="O32" s="649"/>
      <c r="P32" s="653" t="s">
        <v>81</v>
      </c>
      <c r="Q32" s="654"/>
      <c r="R32" s="654"/>
      <c r="S32" s="654"/>
      <c r="T32" s="654"/>
      <c r="U32" s="654"/>
      <c r="V32" s="655"/>
      <c r="W32" s="37" t="s">
        <v>82</v>
      </c>
      <c r="X32" s="637">
        <f>IFERROR(X30/H30,"0")+IFERROR(X31/H31,"0")</f>
        <v>0</v>
      </c>
      <c r="Y32" s="637">
        <f>IFERROR(Y30/H30,"0")+IFERROR(Y31/H31,"0")</f>
        <v>0</v>
      </c>
      <c r="Z32" s="637">
        <f>IFERROR(IF(Z30="",0,Z30),"0")+IFERROR(IF(Z31="",0,Z31),"0")</f>
        <v>0</v>
      </c>
      <c r="AA32" s="638"/>
      <c r="AB32" s="638"/>
      <c r="AC32" s="638"/>
    </row>
    <row r="33" spans="1:68" hidden="1" x14ac:dyDescent="0.2">
      <c r="A33" s="648"/>
      <c r="B33" s="648"/>
      <c r="C33" s="648"/>
      <c r="D33" s="648"/>
      <c r="E33" s="648"/>
      <c r="F33" s="648"/>
      <c r="G33" s="648"/>
      <c r="H33" s="648"/>
      <c r="I33" s="648"/>
      <c r="J33" s="648"/>
      <c r="K33" s="648"/>
      <c r="L33" s="648"/>
      <c r="M33" s="648"/>
      <c r="N33" s="648"/>
      <c r="O33" s="649"/>
      <c r="P33" s="653" t="s">
        <v>81</v>
      </c>
      <c r="Q33" s="654"/>
      <c r="R33" s="654"/>
      <c r="S33" s="654"/>
      <c r="T33" s="654"/>
      <c r="U33" s="654"/>
      <c r="V33" s="655"/>
      <c r="W33" s="37" t="s">
        <v>67</v>
      </c>
      <c r="X33" s="637">
        <f>IFERROR(SUM(X30:X31),"0")</f>
        <v>0</v>
      </c>
      <c r="Y33" s="637">
        <f>IFERROR(SUM(Y30:Y31),"0")</f>
        <v>0</v>
      </c>
      <c r="Z33" s="37"/>
      <c r="AA33" s="638"/>
      <c r="AB33" s="638"/>
      <c r="AC33" s="638"/>
    </row>
    <row r="34" spans="1:68" ht="27.75" hidden="1" customHeight="1" x14ac:dyDescent="0.2">
      <c r="A34" s="656" t="s">
        <v>94</v>
      </c>
      <c r="B34" s="657"/>
      <c r="C34" s="657"/>
      <c r="D34" s="657"/>
      <c r="E34" s="657"/>
      <c r="F34" s="657"/>
      <c r="G34" s="657"/>
      <c r="H34" s="657"/>
      <c r="I34" s="657"/>
      <c r="J34" s="657"/>
      <c r="K34" s="657"/>
      <c r="L34" s="657"/>
      <c r="M34" s="657"/>
      <c r="N34" s="657"/>
      <c r="O34" s="657"/>
      <c r="P34" s="657"/>
      <c r="Q34" s="657"/>
      <c r="R34" s="657"/>
      <c r="S34" s="657"/>
      <c r="T34" s="657"/>
      <c r="U34" s="657"/>
      <c r="V34" s="657"/>
      <c r="W34" s="657"/>
      <c r="X34" s="657"/>
      <c r="Y34" s="657"/>
      <c r="Z34" s="657"/>
      <c r="AA34" s="48"/>
      <c r="AB34" s="48"/>
      <c r="AC34" s="48"/>
    </row>
    <row r="35" spans="1:68" ht="16.5" hidden="1" customHeight="1" x14ac:dyDescent="0.25">
      <c r="A35" s="652" t="s">
        <v>95</v>
      </c>
      <c r="B35" s="648"/>
      <c r="C35" s="648"/>
      <c r="D35" s="648"/>
      <c r="E35" s="648"/>
      <c r="F35" s="648"/>
      <c r="G35" s="648"/>
      <c r="H35" s="648"/>
      <c r="I35" s="648"/>
      <c r="J35" s="648"/>
      <c r="K35" s="648"/>
      <c r="L35" s="648"/>
      <c r="M35" s="648"/>
      <c r="N35" s="648"/>
      <c r="O35" s="648"/>
      <c r="P35" s="648"/>
      <c r="Q35" s="648"/>
      <c r="R35" s="648"/>
      <c r="S35" s="648"/>
      <c r="T35" s="648"/>
      <c r="U35" s="648"/>
      <c r="V35" s="648"/>
      <c r="W35" s="648"/>
      <c r="X35" s="648"/>
      <c r="Y35" s="648"/>
      <c r="Z35" s="648"/>
      <c r="AA35" s="630"/>
      <c r="AB35" s="630"/>
      <c r="AC35" s="630"/>
    </row>
    <row r="36" spans="1:68" ht="14.25" hidden="1" customHeight="1" x14ac:dyDescent="0.25">
      <c r="A36" s="658" t="s">
        <v>62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31"/>
      <c r="AB36" s="631"/>
      <c r="AC36" s="631"/>
    </row>
    <row r="37" spans="1:68" ht="27" hidden="1" customHeight="1" x14ac:dyDescent="0.25">
      <c r="A37" s="54" t="s">
        <v>96</v>
      </c>
      <c r="B37" s="54" t="s">
        <v>97</v>
      </c>
      <c r="C37" s="31">
        <v>4301052187</v>
      </c>
      <c r="D37" s="642">
        <v>4680115889354</v>
      </c>
      <c r="E37" s="643"/>
      <c r="F37" s="634">
        <v>0.32</v>
      </c>
      <c r="G37" s="32">
        <v>6</v>
      </c>
      <c r="H37" s="634">
        <v>1.92</v>
      </c>
      <c r="I37" s="634">
        <v>2.1</v>
      </c>
      <c r="J37" s="32">
        <v>182</v>
      </c>
      <c r="K37" s="32" t="s">
        <v>65</v>
      </c>
      <c r="L37" s="32"/>
      <c r="M37" s="33" t="s">
        <v>73</v>
      </c>
      <c r="N37" s="33"/>
      <c r="O37" s="32">
        <v>40</v>
      </c>
      <c r="P37" s="85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0"/>
      <c r="R37" s="640"/>
      <c r="S37" s="640"/>
      <c r="T37" s="641"/>
      <c r="U37" s="34"/>
      <c r="V37" s="34"/>
      <c r="W37" s="35" t="s">
        <v>67</v>
      </c>
      <c r="X37" s="635">
        <v>0</v>
      </c>
      <c r="Y37" s="636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98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99</v>
      </c>
      <c r="B38" s="54" t="s">
        <v>100</v>
      </c>
      <c r="C38" s="31">
        <v>4301052198</v>
      </c>
      <c r="D38" s="642">
        <v>4680115888463</v>
      </c>
      <c r="E38" s="643"/>
      <c r="F38" s="634">
        <v>0.32</v>
      </c>
      <c r="G38" s="32">
        <v>6</v>
      </c>
      <c r="H38" s="634">
        <v>1.92</v>
      </c>
      <c r="I38" s="634">
        <v>2.1</v>
      </c>
      <c r="J38" s="32">
        <v>182</v>
      </c>
      <c r="K38" s="32" t="s">
        <v>65</v>
      </c>
      <c r="L38" s="32"/>
      <c r="M38" s="33" t="s">
        <v>66</v>
      </c>
      <c r="N38" s="33"/>
      <c r="O38" s="32">
        <v>40</v>
      </c>
      <c r="P38" s="89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0"/>
      <c r="R38" s="640"/>
      <c r="S38" s="640"/>
      <c r="T38" s="641"/>
      <c r="U38" s="34"/>
      <c r="V38" s="34"/>
      <c r="W38" s="35" t="s">
        <v>67</v>
      </c>
      <c r="X38" s="635">
        <v>0</v>
      </c>
      <c r="Y38" s="636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101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102</v>
      </c>
      <c r="B39" s="54" t="s">
        <v>103</v>
      </c>
      <c r="C39" s="31">
        <v>4301052259</v>
      </c>
      <c r="D39" s="642">
        <v>4680115889590</v>
      </c>
      <c r="E39" s="643"/>
      <c r="F39" s="634">
        <v>0.3</v>
      </c>
      <c r="G39" s="32">
        <v>4</v>
      </c>
      <c r="H39" s="634">
        <v>1.2</v>
      </c>
      <c r="I39" s="634">
        <v>6.18</v>
      </c>
      <c r="J39" s="32">
        <v>182</v>
      </c>
      <c r="K39" s="32" t="s">
        <v>65</v>
      </c>
      <c r="L39" s="32"/>
      <c r="M39" s="33" t="s">
        <v>66</v>
      </c>
      <c r="N39" s="33"/>
      <c r="O39" s="32">
        <v>40</v>
      </c>
      <c r="P39" s="73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0"/>
      <c r="R39" s="640"/>
      <c r="S39" s="640"/>
      <c r="T39" s="641"/>
      <c r="U39" s="34"/>
      <c r="V39" s="34"/>
      <c r="W39" s="35" t="s">
        <v>67</v>
      </c>
      <c r="X39" s="635">
        <v>0</v>
      </c>
      <c r="Y39" s="636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104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105</v>
      </c>
      <c r="B40" s="54" t="s">
        <v>106</v>
      </c>
      <c r="C40" s="31">
        <v>4301052184</v>
      </c>
      <c r="D40" s="642">
        <v>4680115888272</v>
      </c>
      <c r="E40" s="643"/>
      <c r="F40" s="634">
        <v>0.32</v>
      </c>
      <c r="G40" s="32">
        <v>6</v>
      </c>
      <c r="H40" s="634">
        <v>1.92</v>
      </c>
      <c r="I40" s="634">
        <v>2.1</v>
      </c>
      <c r="J40" s="32">
        <v>182</v>
      </c>
      <c r="K40" s="32" t="s">
        <v>65</v>
      </c>
      <c r="L40" s="32"/>
      <c r="M40" s="33" t="s">
        <v>66</v>
      </c>
      <c r="N40" s="33"/>
      <c r="O40" s="32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0"/>
      <c r="R40" s="640"/>
      <c r="S40" s="640"/>
      <c r="T40" s="641"/>
      <c r="U40" s="34"/>
      <c r="V40" s="34"/>
      <c r="W40" s="35" t="s">
        <v>67</v>
      </c>
      <c r="X40" s="635">
        <v>0</v>
      </c>
      <c r="Y40" s="636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107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4301052188</v>
      </c>
      <c r="D41" s="642">
        <v>4680115888364</v>
      </c>
      <c r="E41" s="643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65</v>
      </c>
      <c r="L41" s="32"/>
      <c r="M41" s="33" t="s">
        <v>66</v>
      </c>
      <c r="N41" s="33"/>
      <c r="O41" s="32">
        <v>40</v>
      </c>
      <c r="P41" s="9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110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47"/>
      <c r="B42" s="648"/>
      <c r="C42" s="648"/>
      <c r="D42" s="648"/>
      <c r="E42" s="648"/>
      <c r="F42" s="648"/>
      <c r="G42" s="648"/>
      <c r="H42" s="648"/>
      <c r="I42" s="648"/>
      <c r="J42" s="648"/>
      <c r="K42" s="648"/>
      <c r="L42" s="648"/>
      <c r="M42" s="648"/>
      <c r="N42" s="648"/>
      <c r="O42" s="649"/>
      <c r="P42" s="653" t="s">
        <v>81</v>
      </c>
      <c r="Q42" s="654"/>
      <c r="R42" s="654"/>
      <c r="S42" s="654"/>
      <c r="T42" s="654"/>
      <c r="U42" s="654"/>
      <c r="V42" s="655"/>
      <c r="W42" s="37" t="s">
        <v>82</v>
      </c>
      <c r="X42" s="637">
        <f>IFERROR(X37/H37,"0")+IFERROR(X38/H38,"0")+IFERROR(X39/H39,"0")+IFERROR(X40/H40,"0")+IFERROR(X41/H41,"0")</f>
        <v>0</v>
      </c>
      <c r="Y42" s="637">
        <f>IFERROR(Y37/H37,"0")+IFERROR(Y38/H38,"0")+IFERROR(Y39/H39,"0")+IFERROR(Y40/H40,"0")+IFERROR(Y41/H41,"0")</f>
        <v>0</v>
      </c>
      <c r="Z42" s="637">
        <f>IFERROR(IF(Z37="",0,Z37),"0")+IFERROR(IF(Z38="",0,Z38),"0")+IFERROR(IF(Z39="",0,Z39),"0")+IFERROR(IF(Z40="",0,Z40),"0")+IFERROR(IF(Z41="",0,Z41),"0")</f>
        <v>0</v>
      </c>
      <c r="AA42" s="638"/>
      <c r="AB42" s="638"/>
      <c r="AC42" s="638"/>
    </row>
    <row r="43" spans="1:68" hidden="1" x14ac:dyDescent="0.2">
      <c r="A43" s="648"/>
      <c r="B43" s="648"/>
      <c r="C43" s="648"/>
      <c r="D43" s="648"/>
      <c r="E43" s="648"/>
      <c r="F43" s="648"/>
      <c r="G43" s="648"/>
      <c r="H43" s="648"/>
      <c r="I43" s="648"/>
      <c r="J43" s="648"/>
      <c r="K43" s="648"/>
      <c r="L43" s="648"/>
      <c r="M43" s="648"/>
      <c r="N43" s="648"/>
      <c r="O43" s="649"/>
      <c r="P43" s="653" t="s">
        <v>81</v>
      </c>
      <c r="Q43" s="654"/>
      <c r="R43" s="654"/>
      <c r="S43" s="654"/>
      <c r="T43" s="654"/>
      <c r="U43" s="654"/>
      <c r="V43" s="655"/>
      <c r="W43" s="37" t="s">
        <v>67</v>
      </c>
      <c r="X43" s="637">
        <f>IFERROR(SUM(X37:X41),"0")</f>
        <v>0</v>
      </c>
      <c r="Y43" s="637">
        <f>IFERROR(SUM(Y37:Y41),"0")</f>
        <v>0</v>
      </c>
      <c r="Z43" s="37"/>
      <c r="AA43" s="638"/>
      <c r="AB43" s="638"/>
      <c r="AC43" s="638"/>
    </row>
    <row r="44" spans="1:68" ht="27.75" hidden="1" customHeight="1" x14ac:dyDescent="0.2">
      <c r="A44" s="656" t="s">
        <v>111</v>
      </c>
      <c r="B44" s="657"/>
      <c r="C44" s="657"/>
      <c r="D44" s="657"/>
      <c r="E44" s="657"/>
      <c r="F44" s="657"/>
      <c r="G44" s="657"/>
      <c r="H44" s="657"/>
      <c r="I44" s="657"/>
      <c r="J44" s="657"/>
      <c r="K44" s="657"/>
      <c r="L44" s="657"/>
      <c r="M44" s="657"/>
      <c r="N44" s="657"/>
      <c r="O44" s="657"/>
      <c r="P44" s="657"/>
      <c r="Q44" s="657"/>
      <c r="R44" s="657"/>
      <c r="S44" s="657"/>
      <c r="T44" s="657"/>
      <c r="U44" s="657"/>
      <c r="V44" s="657"/>
      <c r="W44" s="657"/>
      <c r="X44" s="657"/>
      <c r="Y44" s="657"/>
      <c r="Z44" s="657"/>
      <c r="AA44" s="48"/>
      <c r="AB44" s="48"/>
      <c r="AC44" s="48"/>
    </row>
    <row r="45" spans="1:68" ht="16.5" hidden="1" customHeight="1" x14ac:dyDescent="0.25">
      <c r="A45" s="652" t="s">
        <v>112</v>
      </c>
      <c r="B45" s="648"/>
      <c r="C45" s="648"/>
      <c r="D45" s="648"/>
      <c r="E45" s="648"/>
      <c r="F45" s="648"/>
      <c r="G45" s="648"/>
      <c r="H45" s="648"/>
      <c r="I45" s="648"/>
      <c r="J45" s="648"/>
      <c r="K45" s="648"/>
      <c r="L45" s="648"/>
      <c r="M45" s="648"/>
      <c r="N45" s="648"/>
      <c r="O45" s="648"/>
      <c r="P45" s="648"/>
      <c r="Q45" s="648"/>
      <c r="R45" s="648"/>
      <c r="S45" s="648"/>
      <c r="T45" s="648"/>
      <c r="U45" s="648"/>
      <c r="V45" s="648"/>
      <c r="W45" s="648"/>
      <c r="X45" s="648"/>
      <c r="Y45" s="648"/>
      <c r="Z45" s="648"/>
      <c r="AA45" s="630"/>
      <c r="AB45" s="630"/>
      <c r="AC45" s="630"/>
    </row>
    <row r="46" spans="1:68" ht="14.25" hidden="1" customHeight="1" x14ac:dyDescent="0.25">
      <c r="A46" s="658" t="s">
        <v>113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31"/>
      <c r="AB46" s="631"/>
      <c r="AC46" s="631"/>
    </row>
    <row r="47" spans="1:68" ht="16.5" customHeight="1" x14ac:dyDescent="0.25">
      <c r="A47" s="54" t="s">
        <v>114</v>
      </c>
      <c r="B47" s="54" t="s">
        <v>115</v>
      </c>
      <c r="C47" s="31">
        <v>4301011380</v>
      </c>
      <c r="D47" s="642">
        <v>4607091385670</v>
      </c>
      <c r="E47" s="643"/>
      <c r="F47" s="634">
        <v>1.35</v>
      </c>
      <c r="G47" s="32">
        <v>8</v>
      </c>
      <c r="H47" s="634">
        <v>10.8</v>
      </c>
      <c r="I47" s="634">
        <v>11.21</v>
      </c>
      <c r="J47" s="32">
        <v>64</v>
      </c>
      <c r="K47" s="32" t="s">
        <v>116</v>
      </c>
      <c r="L47" s="32"/>
      <c r="M47" s="33" t="s">
        <v>117</v>
      </c>
      <c r="N47" s="33"/>
      <c r="O47" s="32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0"/>
      <c r="R47" s="640"/>
      <c r="S47" s="640"/>
      <c r="T47" s="641"/>
      <c r="U47" s="34"/>
      <c r="V47" s="34"/>
      <c r="W47" s="35" t="s">
        <v>67</v>
      </c>
      <c r="X47" s="635">
        <v>640</v>
      </c>
      <c r="Y47" s="636">
        <f>IFERROR(IF(X47="",0,CEILING((X47/$H47),1)*$H47),"")</f>
        <v>648</v>
      </c>
      <c r="Z47" s="36">
        <f>IFERROR(IF(Y47=0,"",ROUNDUP(Y47/H47,0)*0.01898),"")</f>
        <v>1.1388</v>
      </c>
      <c r="AA47" s="56"/>
      <c r="AB47" s="57"/>
      <c r="AC47" s="93" t="s">
        <v>118</v>
      </c>
      <c r="AG47" s="64"/>
      <c r="AJ47" s="68"/>
      <c r="AK47" s="68">
        <v>0</v>
      </c>
      <c r="BB47" s="94" t="s">
        <v>1</v>
      </c>
      <c r="BM47" s="64">
        <f>IFERROR(X47*I47/H47,"0")</f>
        <v>664.2962962962963</v>
      </c>
      <c r="BN47" s="64">
        <f>IFERROR(Y47*I47/H47,"0")</f>
        <v>672.6</v>
      </c>
      <c r="BO47" s="64">
        <f>IFERROR(1/J47*(X47/H47),"0")</f>
        <v>0.92592592592592582</v>
      </c>
      <c r="BP47" s="64">
        <f>IFERROR(1/J47*(Y47/H47),"0")</f>
        <v>0.93749999999999989</v>
      </c>
    </row>
    <row r="48" spans="1:68" ht="27" hidden="1" customHeight="1" x14ac:dyDescent="0.25">
      <c r="A48" s="54" t="s">
        <v>119</v>
      </c>
      <c r="B48" s="54" t="s">
        <v>120</v>
      </c>
      <c r="C48" s="31">
        <v>4301012053</v>
      </c>
      <c r="D48" s="642">
        <v>4680115887725</v>
      </c>
      <c r="E48" s="643"/>
      <c r="F48" s="634">
        <v>0.11</v>
      </c>
      <c r="G48" s="32">
        <v>10</v>
      </c>
      <c r="H48" s="634">
        <v>1.1000000000000001</v>
      </c>
      <c r="I48" s="634">
        <v>1.31</v>
      </c>
      <c r="J48" s="32">
        <v>192</v>
      </c>
      <c r="K48" s="32" t="s">
        <v>121</v>
      </c>
      <c r="L48" s="32"/>
      <c r="M48" s="33" t="s">
        <v>122</v>
      </c>
      <c r="N48" s="33"/>
      <c r="O48" s="32">
        <v>30</v>
      </c>
      <c r="P48" s="9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0"/>
      <c r="R48" s="640"/>
      <c r="S48" s="640"/>
      <c r="T48" s="641"/>
      <c r="U48" s="34"/>
      <c r="V48" s="34"/>
      <c r="W48" s="35" t="s">
        <v>67</v>
      </c>
      <c r="X48" s="635">
        <v>0</v>
      </c>
      <c r="Y48" s="636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124</v>
      </c>
      <c r="B49" s="54" t="s">
        <v>125</v>
      </c>
      <c r="C49" s="31">
        <v>4301011382</v>
      </c>
      <c r="D49" s="642">
        <v>4607091385687</v>
      </c>
      <c r="E49" s="643"/>
      <c r="F49" s="634">
        <v>0.4</v>
      </c>
      <c r="G49" s="32">
        <v>10</v>
      </c>
      <c r="H49" s="634">
        <v>4</v>
      </c>
      <c r="I49" s="634">
        <v>4.1900000000000004</v>
      </c>
      <c r="J49" s="32">
        <v>132</v>
      </c>
      <c r="K49" s="32" t="s">
        <v>126</v>
      </c>
      <c r="L49" s="32"/>
      <c r="M49" s="33" t="s">
        <v>66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0"/>
      <c r="R49" s="640"/>
      <c r="S49" s="640"/>
      <c r="T49" s="641"/>
      <c r="U49" s="34"/>
      <c r="V49" s="34"/>
      <c r="W49" s="35" t="s">
        <v>67</v>
      </c>
      <c r="X49" s="635">
        <v>0</v>
      </c>
      <c r="Y49" s="636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118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127</v>
      </c>
      <c r="B50" s="54" t="s">
        <v>128</v>
      </c>
      <c r="C50" s="31">
        <v>4301011565</v>
      </c>
      <c r="D50" s="642">
        <v>4680115882539</v>
      </c>
      <c r="E50" s="643"/>
      <c r="F50" s="634">
        <v>0.37</v>
      </c>
      <c r="G50" s="32">
        <v>10</v>
      </c>
      <c r="H50" s="634">
        <v>3.7</v>
      </c>
      <c r="I50" s="634">
        <v>3.89</v>
      </c>
      <c r="J50" s="32">
        <v>132</v>
      </c>
      <c r="K50" s="32" t="s">
        <v>126</v>
      </c>
      <c r="L50" s="32"/>
      <c r="M50" s="33" t="s">
        <v>66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0"/>
      <c r="R50" s="640"/>
      <c r="S50" s="640"/>
      <c r="T50" s="641"/>
      <c r="U50" s="34"/>
      <c r="V50" s="34"/>
      <c r="W50" s="35" t="s">
        <v>67</v>
      </c>
      <c r="X50" s="635">
        <v>45</v>
      </c>
      <c r="Y50" s="636">
        <f>IFERROR(IF(X50="",0,CEILING((X50/$H50),1)*$H50),"")</f>
        <v>48.1</v>
      </c>
      <c r="Z50" s="36">
        <f>IFERROR(IF(Y50=0,"",ROUNDUP(Y50/H50,0)*0.00902),"")</f>
        <v>0.11726</v>
      </c>
      <c r="AA50" s="56"/>
      <c r="AB50" s="57"/>
      <c r="AC50" s="99" t="s">
        <v>118</v>
      </c>
      <c r="AG50" s="64"/>
      <c r="AJ50" s="68"/>
      <c r="AK50" s="68">
        <v>0</v>
      </c>
      <c r="BB50" s="100" t="s">
        <v>1</v>
      </c>
      <c r="BM50" s="64">
        <f>IFERROR(X50*I50/H50,"0")</f>
        <v>47.310810810810814</v>
      </c>
      <c r="BN50" s="64">
        <f>IFERROR(Y50*I50/H50,"0")</f>
        <v>50.57</v>
      </c>
      <c r="BO50" s="64">
        <f>IFERROR(1/J50*(X50/H50),"0")</f>
        <v>9.2137592137592136E-2</v>
      </c>
      <c r="BP50" s="64">
        <f>IFERROR(1/J50*(Y50/H50),"0")</f>
        <v>9.8484848484848481E-2</v>
      </c>
    </row>
    <row r="51" spans="1:68" x14ac:dyDescent="0.2">
      <c r="A51" s="647"/>
      <c r="B51" s="648"/>
      <c r="C51" s="648"/>
      <c r="D51" s="648"/>
      <c r="E51" s="648"/>
      <c r="F51" s="648"/>
      <c r="G51" s="648"/>
      <c r="H51" s="648"/>
      <c r="I51" s="648"/>
      <c r="J51" s="648"/>
      <c r="K51" s="648"/>
      <c r="L51" s="648"/>
      <c r="M51" s="648"/>
      <c r="N51" s="648"/>
      <c r="O51" s="649"/>
      <c r="P51" s="653" t="s">
        <v>81</v>
      </c>
      <c r="Q51" s="654"/>
      <c r="R51" s="654"/>
      <c r="S51" s="654"/>
      <c r="T51" s="654"/>
      <c r="U51" s="654"/>
      <c r="V51" s="655"/>
      <c r="W51" s="37" t="s">
        <v>82</v>
      </c>
      <c r="X51" s="637">
        <f>IFERROR(X47/H47,"0")+IFERROR(X48/H48,"0")+IFERROR(X49/H49,"0")+IFERROR(X50/H50,"0")</f>
        <v>71.421421421421414</v>
      </c>
      <c r="Y51" s="637">
        <f>IFERROR(Y47/H47,"0")+IFERROR(Y48/H48,"0")+IFERROR(Y49/H49,"0")+IFERROR(Y50/H50,"0")</f>
        <v>73</v>
      </c>
      <c r="Z51" s="637">
        <f>IFERROR(IF(Z47="",0,Z47),"0")+IFERROR(IF(Z48="",0,Z48),"0")+IFERROR(IF(Z49="",0,Z49),"0")+IFERROR(IF(Z50="",0,Z50),"0")</f>
        <v>1.25606</v>
      </c>
      <c r="AA51" s="638"/>
      <c r="AB51" s="638"/>
      <c r="AC51" s="638"/>
    </row>
    <row r="52" spans="1:68" x14ac:dyDescent="0.2">
      <c r="A52" s="648"/>
      <c r="B52" s="648"/>
      <c r="C52" s="648"/>
      <c r="D52" s="648"/>
      <c r="E52" s="648"/>
      <c r="F52" s="648"/>
      <c r="G52" s="648"/>
      <c r="H52" s="648"/>
      <c r="I52" s="648"/>
      <c r="J52" s="648"/>
      <c r="K52" s="648"/>
      <c r="L52" s="648"/>
      <c r="M52" s="648"/>
      <c r="N52" s="648"/>
      <c r="O52" s="649"/>
      <c r="P52" s="653" t="s">
        <v>81</v>
      </c>
      <c r="Q52" s="654"/>
      <c r="R52" s="654"/>
      <c r="S52" s="654"/>
      <c r="T52" s="654"/>
      <c r="U52" s="654"/>
      <c r="V52" s="655"/>
      <c r="W52" s="37" t="s">
        <v>67</v>
      </c>
      <c r="X52" s="637">
        <f>IFERROR(SUM(X47:X50),"0")</f>
        <v>685</v>
      </c>
      <c r="Y52" s="637">
        <f>IFERROR(SUM(Y47:Y50),"0")</f>
        <v>696.1</v>
      </c>
      <c r="Z52" s="37"/>
      <c r="AA52" s="638"/>
      <c r="AB52" s="638"/>
      <c r="AC52" s="638"/>
    </row>
    <row r="53" spans="1:68" ht="16.5" hidden="1" customHeight="1" x14ac:dyDescent="0.25">
      <c r="A53" s="652" t="s">
        <v>129</v>
      </c>
      <c r="B53" s="648"/>
      <c r="C53" s="648"/>
      <c r="D53" s="648"/>
      <c r="E53" s="648"/>
      <c r="F53" s="648"/>
      <c r="G53" s="648"/>
      <c r="H53" s="648"/>
      <c r="I53" s="648"/>
      <c r="J53" s="648"/>
      <c r="K53" s="648"/>
      <c r="L53" s="648"/>
      <c r="M53" s="648"/>
      <c r="N53" s="648"/>
      <c r="O53" s="648"/>
      <c r="P53" s="648"/>
      <c r="Q53" s="648"/>
      <c r="R53" s="648"/>
      <c r="S53" s="648"/>
      <c r="T53" s="648"/>
      <c r="U53" s="648"/>
      <c r="V53" s="648"/>
      <c r="W53" s="648"/>
      <c r="X53" s="648"/>
      <c r="Y53" s="648"/>
      <c r="Z53" s="648"/>
      <c r="AA53" s="630"/>
      <c r="AB53" s="630"/>
      <c r="AC53" s="630"/>
    </row>
    <row r="54" spans="1:68" ht="14.25" hidden="1" customHeight="1" x14ac:dyDescent="0.25">
      <c r="A54" s="658" t="s">
        <v>113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31"/>
      <c r="AB54" s="631"/>
      <c r="AC54" s="631"/>
    </row>
    <row r="55" spans="1:68" ht="27" hidden="1" customHeight="1" x14ac:dyDescent="0.25">
      <c r="A55" s="54" t="s">
        <v>130</v>
      </c>
      <c r="B55" s="54" t="s">
        <v>131</v>
      </c>
      <c r="C55" s="31">
        <v>4301012161</v>
      </c>
      <c r="D55" s="642">
        <v>4680115885882</v>
      </c>
      <c r="E55" s="643"/>
      <c r="F55" s="634">
        <v>1.4</v>
      </c>
      <c r="G55" s="32">
        <v>8</v>
      </c>
      <c r="H55" s="634">
        <v>11.2</v>
      </c>
      <c r="I55" s="634">
        <v>11.61</v>
      </c>
      <c r="J55" s="32">
        <v>64</v>
      </c>
      <c r="K55" s="32" t="s">
        <v>116</v>
      </c>
      <c r="L55" s="32"/>
      <c r="M55" s="33" t="s">
        <v>117</v>
      </c>
      <c r="N55" s="33"/>
      <c r="O55" s="32">
        <v>50</v>
      </c>
      <c r="P55" s="77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0"/>
      <c r="R55" s="640"/>
      <c r="S55" s="640"/>
      <c r="T55" s="641"/>
      <c r="U55" s="34"/>
      <c r="V55" s="34"/>
      <c r="W55" s="35" t="s">
        <v>67</v>
      </c>
      <c r="X55" s="635">
        <v>0</v>
      </c>
      <c r="Y55" s="636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132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4301011816</v>
      </c>
      <c r="D56" s="642">
        <v>4680115881426</v>
      </c>
      <c r="E56" s="643"/>
      <c r="F56" s="634">
        <v>1.35</v>
      </c>
      <c r="G56" s="32">
        <v>8</v>
      </c>
      <c r="H56" s="634">
        <v>10.8</v>
      </c>
      <c r="I56" s="634">
        <v>11.21</v>
      </c>
      <c r="J56" s="32">
        <v>64</v>
      </c>
      <c r="K56" s="32" t="s">
        <v>116</v>
      </c>
      <c r="L56" s="32"/>
      <c r="M56" s="33" t="s">
        <v>117</v>
      </c>
      <c r="N56" s="33"/>
      <c r="O56" s="32">
        <v>50</v>
      </c>
      <c r="P56" s="68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0"/>
      <c r="R56" s="640"/>
      <c r="S56" s="640"/>
      <c r="T56" s="641"/>
      <c r="U56" s="34"/>
      <c r="V56" s="34"/>
      <c r="W56" s="35" t="s">
        <v>67</v>
      </c>
      <c r="X56" s="635">
        <v>492</v>
      </c>
      <c r="Y56" s="636">
        <f t="shared" si="0"/>
        <v>496.8</v>
      </c>
      <c r="Z56" s="36">
        <f>IFERROR(IF(Y56=0,"",ROUNDUP(Y56/H56,0)*0.01898),"")</f>
        <v>0.87307999999999997</v>
      </c>
      <c r="AA56" s="56"/>
      <c r="AB56" s="57"/>
      <c r="AC56" s="103" t="s">
        <v>135</v>
      </c>
      <c r="AG56" s="64"/>
      <c r="AJ56" s="68"/>
      <c r="AK56" s="68">
        <v>0</v>
      </c>
      <c r="BB56" s="104" t="s">
        <v>1</v>
      </c>
      <c r="BM56" s="64">
        <f t="shared" si="1"/>
        <v>510.67777777777781</v>
      </c>
      <c r="BN56" s="64">
        <f t="shared" si="2"/>
        <v>515.66</v>
      </c>
      <c r="BO56" s="64">
        <f t="shared" si="3"/>
        <v>0.71180555555555547</v>
      </c>
      <c r="BP56" s="64">
        <f t="shared" si="4"/>
        <v>0.71875</v>
      </c>
    </row>
    <row r="57" spans="1:68" ht="37.5" hidden="1" customHeight="1" x14ac:dyDescent="0.25">
      <c r="A57" s="54" t="s">
        <v>133</v>
      </c>
      <c r="B57" s="54" t="s">
        <v>136</v>
      </c>
      <c r="C57" s="31">
        <v>4301012162</v>
      </c>
      <c r="D57" s="642">
        <v>4680115881426</v>
      </c>
      <c r="E57" s="643"/>
      <c r="F57" s="634">
        <v>1.35</v>
      </c>
      <c r="G57" s="32">
        <v>8</v>
      </c>
      <c r="H57" s="634">
        <v>10.8</v>
      </c>
      <c r="I57" s="634">
        <v>11.21</v>
      </c>
      <c r="J57" s="32">
        <v>64</v>
      </c>
      <c r="K57" s="32" t="s">
        <v>116</v>
      </c>
      <c r="L57" s="32"/>
      <c r="M57" s="33" t="s">
        <v>117</v>
      </c>
      <c r="N57" s="33"/>
      <c r="O57" s="32">
        <v>50</v>
      </c>
      <c r="P57" s="96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40"/>
      <c r="R57" s="640"/>
      <c r="S57" s="640"/>
      <c r="T57" s="641"/>
      <c r="U57" s="34"/>
      <c r="V57" s="34"/>
      <c r="W57" s="35" t="s">
        <v>67</v>
      </c>
      <c r="X57" s="635">
        <v>0</v>
      </c>
      <c r="Y57" s="636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137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138</v>
      </c>
      <c r="B58" s="54" t="s">
        <v>139</v>
      </c>
      <c r="C58" s="31">
        <v>4301012259</v>
      </c>
      <c r="D58" s="642">
        <v>4680115880283</v>
      </c>
      <c r="E58" s="643"/>
      <c r="F58" s="634">
        <v>0.6</v>
      </c>
      <c r="G58" s="32">
        <v>8</v>
      </c>
      <c r="H58" s="634">
        <v>4.8</v>
      </c>
      <c r="I58" s="634">
        <v>4.99</v>
      </c>
      <c r="J58" s="32">
        <v>132</v>
      </c>
      <c r="K58" s="32" t="s">
        <v>126</v>
      </c>
      <c r="L58" s="32"/>
      <c r="M58" s="33" t="s">
        <v>117</v>
      </c>
      <c r="N58" s="33"/>
      <c r="O58" s="32">
        <v>45</v>
      </c>
      <c r="P58" s="100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40"/>
      <c r="R58" s="640"/>
      <c r="S58" s="640"/>
      <c r="T58" s="641"/>
      <c r="U58" s="34"/>
      <c r="V58" s="34"/>
      <c r="W58" s="35" t="s">
        <v>67</v>
      </c>
      <c r="X58" s="635">
        <v>0</v>
      </c>
      <c r="Y58" s="636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140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141</v>
      </c>
      <c r="B59" s="54" t="s">
        <v>142</v>
      </c>
      <c r="C59" s="31">
        <v>4301011806</v>
      </c>
      <c r="D59" s="642">
        <v>4680115881525</v>
      </c>
      <c r="E59" s="643"/>
      <c r="F59" s="634">
        <v>0.4</v>
      </c>
      <c r="G59" s="32">
        <v>10</v>
      </c>
      <c r="H59" s="634">
        <v>4</v>
      </c>
      <c r="I59" s="634">
        <v>4.1900000000000004</v>
      </c>
      <c r="J59" s="32">
        <v>132</v>
      </c>
      <c r="K59" s="32" t="s">
        <v>126</v>
      </c>
      <c r="L59" s="32"/>
      <c r="M59" s="33" t="s">
        <v>117</v>
      </c>
      <c r="N59" s="33"/>
      <c r="O59" s="32">
        <v>50</v>
      </c>
      <c r="P59" s="9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40"/>
      <c r="R59" s="640"/>
      <c r="S59" s="640"/>
      <c r="T59" s="641"/>
      <c r="U59" s="34"/>
      <c r="V59" s="34"/>
      <c r="W59" s="35" t="s">
        <v>67</v>
      </c>
      <c r="X59" s="635">
        <v>6</v>
      </c>
      <c r="Y59" s="636">
        <f t="shared" si="0"/>
        <v>8</v>
      </c>
      <c r="Z59" s="36">
        <f>IFERROR(IF(Y59=0,"",ROUNDUP(Y59/H59,0)*0.00902),"")</f>
        <v>1.804E-2</v>
      </c>
      <c r="AA59" s="56"/>
      <c r="AB59" s="57"/>
      <c r="AC59" s="109" t="s">
        <v>143</v>
      </c>
      <c r="AG59" s="64"/>
      <c r="AJ59" s="68"/>
      <c r="AK59" s="68">
        <v>0</v>
      </c>
      <c r="BB59" s="110" t="s">
        <v>1</v>
      </c>
      <c r="BM59" s="64">
        <f t="shared" si="1"/>
        <v>6.2850000000000001</v>
      </c>
      <c r="BN59" s="64">
        <f t="shared" si="2"/>
        <v>8.3800000000000008</v>
      </c>
      <c r="BO59" s="64">
        <f t="shared" si="3"/>
        <v>1.1363636363636364E-2</v>
      </c>
      <c r="BP59" s="64">
        <f t="shared" si="4"/>
        <v>1.5151515151515152E-2</v>
      </c>
    </row>
    <row r="60" spans="1:68" ht="27" hidden="1" customHeight="1" x14ac:dyDescent="0.25">
      <c r="A60" s="54" t="s">
        <v>141</v>
      </c>
      <c r="B60" s="54" t="s">
        <v>144</v>
      </c>
      <c r="C60" s="31">
        <v>4301012159</v>
      </c>
      <c r="D60" s="642">
        <v>4680115881525</v>
      </c>
      <c r="E60" s="643"/>
      <c r="F60" s="634">
        <v>0.4</v>
      </c>
      <c r="G60" s="32">
        <v>10</v>
      </c>
      <c r="H60" s="634">
        <v>4</v>
      </c>
      <c r="I60" s="634">
        <v>4.1900000000000004</v>
      </c>
      <c r="J60" s="32">
        <v>132</v>
      </c>
      <c r="K60" s="32" t="s">
        <v>126</v>
      </c>
      <c r="L60" s="32"/>
      <c r="M60" s="33" t="s">
        <v>117</v>
      </c>
      <c r="N60" s="33"/>
      <c r="O60" s="32">
        <v>50</v>
      </c>
      <c r="P60" s="993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5">
        <v>0</v>
      </c>
      <c r="Y60" s="636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145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146</v>
      </c>
      <c r="B61" s="54" t="s">
        <v>147</v>
      </c>
      <c r="C61" s="31">
        <v>4301012165</v>
      </c>
      <c r="D61" s="642">
        <v>4680115885899</v>
      </c>
      <c r="E61" s="643"/>
      <c r="F61" s="634">
        <v>0.35</v>
      </c>
      <c r="G61" s="32">
        <v>6</v>
      </c>
      <c r="H61" s="634">
        <v>2.1</v>
      </c>
      <c r="I61" s="634">
        <v>2.2799999999999998</v>
      </c>
      <c r="J61" s="32">
        <v>182</v>
      </c>
      <c r="K61" s="32" t="s">
        <v>65</v>
      </c>
      <c r="L61" s="32"/>
      <c r="M61" s="33" t="s">
        <v>117</v>
      </c>
      <c r="N61" s="33"/>
      <c r="O61" s="32">
        <v>50</v>
      </c>
      <c r="P61" s="92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132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148</v>
      </c>
      <c r="B62" s="54" t="s">
        <v>149</v>
      </c>
      <c r="C62" s="31">
        <v>4301012158</v>
      </c>
      <c r="D62" s="642">
        <v>4680115881419</v>
      </c>
      <c r="E62" s="643"/>
      <c r="F62" s="634">
        <v>0.45</v>
      </c>
      <c r="G62" s="32">
        <v>10</v>
      </c>
      <c r="H62" s="634">
        <v>4.5</v>
      </c>
      <c r="I62" s="634">
        <v>4.6900000000000004</v>
      </c>
      <c r="J62" s="32">
        <v>132</v>
      </c>
      <c r="K62" s="32" t="s">
        <v>126</v>
      </c>
      <c r="L62" s="32"/>
      <c r="M62" s="33" t="s">
        <v>117</v>
      </c>
      <c r="N62" s="33"/>
      <c r="O62" s="32">
        <v>50</v>
      </c>
      <c r="P62" s="94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5">
        <v>54</v>
      </c>
      <c r="Y62" s="636">
        <f t="shared" si="0"/>
        <v>54</v>
      </c>
      <c r="Z62" s="36">
        <f>IFERROR(IF(Y62=0,"",ROUNDUP(Y62/H62,0)*0.00902),"")</f>
        <v>0.10824</v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56.28</v>
      </c>
      <c r="BN62" s="64">
        <f t="shared" si="2"/>
        <v>56.28</v>
      </c>
      <c r="BO62" s="64">
        <f t="shared" si="3"/>
        <v>9.0909090909090912E-2</v>
      </c>
      <c r="BP62" s="64">
        <f t="shared" si="4"/>
        <v>9.0909090909090912E-2</v>
      </c>
    </row>
    <row r="63" spans="1:68" x14ac:dyDescent="0.2">
      <c r="A63" s="647"/>
      <c r="B63" s="648"/>
      <c r="C63" s="648"/>
      <c r="D63" s="648"/>
      <c r="E63" s="648"/>
      <c r="F63" s="648"/>
      <c r="G63" s="648"/>
      <c r="H63" s="648"/>
      <c r="I63" s="648"/>
      <c r="J63" s="648"/>
      <c r="K63" s="648"/>
      <c r="L63" s="648"/>
      <c r="M63" s="648"/>
      <c r="N63" s="648"/>
      <c r="O63" s="649"/>
      <c r="P63" s="653" t="s">
        <v>81</v>
      </c>
      <c r="Q63" s="654"/>
      <c r="R63" s="654"/>
      <c r="S63" s="654"/>
      <c r="T63" s="654"/>
      <c r="U63" s="654"/>
      <c r="V63" s="655"/>
      <c r="W63" s="37" t="s">
        <v>82</v>
      </c>
      <c r="X63" s="637">
        <f>IFERROR(X55/H55,"0")+IFERROR(X56/H56,"0")+IFERROR(X57/H57,"0")+IFERROR(X58/H58,"0")+IFERROR(X59/H59,"0")+IFERROR(X60/H60,"0")+IFERROR(X61/H61,"0")+IFERROR(X62/H62,"0")</f>
        <v>59.05555555555555</v>
      </c>
      <c r="Y63" s="637">
        <f>IFERROR(Y55/H55,"0")+IFERROR(Y56/H56,"0")+IFERROR(Y57/H57,"0")+IFERROR(Y58/H58,"0")+IFERROR(Y59/H59,"0")+IFERROR(Y60/H60,"0")+IFERROR(Y61/H61,"0")+IFERROR(Y62/H62,"0")</f>
        <v>60</v>
      </c>
      <c r="Z63" s="637">
        <f>IFERROR(IF(Z55="",0,Z55),"0")+IFERROR(IF(Z56="",0,Z56),"0")+IFERROR(IF(Z57="",0,Z57),"0")+IFERROR(IF(Z58="",0,Z58),"0")+IFERROR(IF(Z59="",0,Z59),"0")+IFERROR(IF(Z60="",0,Z60),"0")+IFERROR(IF(Z61="",0,Z61),"0")+IFERROR(IF(Z62="",0,Z62),"0")</f>
        <v>0.99935999999999992</v>
      </c>
      <c r="AA63" s="638"/>
      <c r="AB63" s="638"/>
      <c r="AC63" s="638"/>
    </row>
    <row r="64" spans="1:68" x14ac:dyDescent="0.2">
      <c r="A64" s="648"/>
      <c r="B64" s="648"/>
      <c r="C64" s="648"/>
      <c r="D64" s="648"/>
      <c r="E64" s="648"/>
      <c r="F64" s="648"/>
      <c r="G64" s="648"/>
      <c r="H64" s="648"/>
      <c r="I64" s="648"/>
      <c r="J64" s="648"/>
      <c r="K64" s="648"/>
      <c r="L64" s="648"/>
      <c r="M64" s="648"/>
      <c r="N64" s="648"/>
      <c r="O64" s="649"/>
      <c r="P64" s="653" t="s">
        <v>81</v>
      </c>
      <c r="Q64" s="654"/>
      <c r="R64" s="654"/>
      <c r="S64" s="654"/>
      <c r="T64" s="654"/>
      <c r="U64" s="654"/>
      <c r="V64" s="655"/>
      <c r="W64" s="37" t="s">
        <v>67</v>
      </c>
      <c r="X64" s="637">
        <f>IFERROR(SUM(X55:X62),"0")</f>
        <v>552</v>
      </c>
      <c r="Y64" s="637">
        <f>IFERROR(SUM(Y55:Y62),"0")</f>
        <v>558.79999999999995</v>
      </c>
      <c r="Z64" s="37"/>
      <c r="AA64" s="638"/>
      <c r="AB64" s="638"/>
      <c r="AC64" s="638"/>
    </row>
    <row r="65" spans="1:68" ht="14.25" hidden="1" customHeight="1" x14ac:dyDescent="0.25">
      <c r="A65" s="658" t="s">
        <v>150</v>
      </c>
      <c r="B65" s="648"/>
      <c r="C65" s="648"/>
      <c r="D65" s="648"/>
      <c r="E65" s="648"/>
      <c r="F65" s="648"/>
      <c r="G65" s="648"/>
      <c r="H65" s="648"/>
      <c r="I65" s="648"/>
      <c r="J65" s="648"/>
      <c r="K65" s="648"/>
      <c r="L65" s="648"/>
      <c r="M65" s="648"/>
      <c r="N65" s="648"/>
      <c r="O65" s="648"/>
      <c r="P65" s="648"/>
      <c r="Q65" s="648"/>
      <c r="R65" s="648"/>
      <c r="S65" s="648"/>
      <c r="T65" s="648"/>
      <c r="U65" s="648"/>
      <c r="V65" s="648"/>
      <c r="W65" s="648"/>
      <c r="X65" s="648"/>
      <c r="Y65" s="648"/>
      <c r="Z65" s="648"/>
      <c r="AA65" s="631"/>
      <c r="AB65" s="631"/>
      <c r="AC65" s="631"/>
    </row>
    <row r="66" spans="1:68" ht="27" hidden="1" customHeight="1" x14ac:dyDescent="0.25">
      <c r="A66" s="54" t="s">
        <v>151</v>
      </c>
      <c r="B66" s="54" t="s">
        <v>152</v>
      </c>
      <c r="C66" s="31">
        <v>4301020390</v>
      </c>
      <c r="D66" s="642">
        <v>4680115881440</v>
      </c>
      <c r="E66" s="643"/>
      <c r="F66" s="634">
        <v>1.35</v>
      </c>
      <c r="G66" s="32">
        <v>8</v>
      </c>
      <c r="H66" s="634">
        <v>10.8</v>
      </c>
      <c r="I66" s="634">
        <v>11.21</v>
      </c>
      <c r="J66" s="32">
        <v>64</v>
      </c>
      <c r="K66" s="32" t="s">
        <v>116</v>
      </c>
      <c r="L66" s="32"/>
      <c r="M66" s="33" t="s">
        <v>117</v>
      </c>
      <c r="N66" s="33"/>
      <c r="O66" s="32">
        <v>50</v>
      </c>
      <c r="P66" s="78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5">
        <v>0</v>
      </c>
      <c r="Y66" s="636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153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154</v>
      </c>
      <c r="B67" s="54" t="s">
        <v>155</v>
      </c>
      <c r="C67" s="31">
        <v>4301020403</v>
      </c>
      <c r="D67" s="642">
        <v>4680115885950</v>
      </c>
      <c r="E67" s="643"/>
      <c r="F67" s="634">
        <v>0.37</v>
      </c>
      <c r="G67" s="32">
        <v>6</v>
      </c>
      <c r="H67" s="634">
        <v>2.2200000000000002</v>
      </c>
      <c r="I67" s="634">
        <v>2.4</v>
      </c>
      <c r="J67" s="32">
        <v>182</v>
      </c>
      <c r="K67" s="32" t="s">
        <v>65</v>
      </c>
      <c r="L67" s="32"/>
      <c r="M67" s="33" t="s">
        <v>117</v>
      </c>
      <c r="N67" s="33"/>
      <c r="O67" s="32">
        <v>50</v>
      </c>
      <c r="P67" s="960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40"/>
      <c r="R67" s="640"/>
      <c r="S67" s="640"/>
      <c r="T67" s="641"/>
      <c r="U67" s="34"/>
      <c r="V67" s="34"/>
      <c r="W67" s="35" t="s">
        <v>67</v>
      </c>
      <c r="X67" s="635">
        <v>0</v>
      </c>
      <c r="Y67" s="636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156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157</v>
      </c>
      <c r="B68" s="54" t="s">
        <v>158</v>
      </c>
      <c r="C68" s="31">
        <v>4301020371</v>
      </c>
      <c r="D68" s="642">
        <v>4680115887688</v>
      </c>
      <c r="E68" s="643"/>
      <c r="F68" s="634">
        <v>0.1</v>
      </c>
      <c r="G68" s="32">
        <v>10</v>
      </c>
      <c r="H68" s="634">
        <v>1</v>
      </c>
      <c r="I68" s="634">
        <v>1.21</v>
      </c>
      <c r="J68" s="32">
        <v>192</v>
      </c>
      <c r="K68" s="32" t="s">
        <v>121</v>
      </c>
      <c r="L68" s="32"/>
      <c r="M68" s="33" t="s">
        <v>122</v>
      </c>
      <c r="N68" s="33"/>
      <c r="O68" s="32">
        <v>30</v>
      </c>
      <c r="P68" s="79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0"/>
      <c r="R68" s="640"/>
      <c r="S68" s="640"/>
      <c r="T68" s="641"/>
      <c r="U68" s="34"/>
      <c r="V68" s="34"/>
      <c r="W68" s="35" t="s">
        <v>67</v>
      </c>
      <c r="X68" s="635">
        <v>0</v>
      </c>
      <c r="Y68" s="636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160</v>
      </c>
      <c r="B69" s="54" t="s">
        <v>161</v>
      </c>
      <c r="C69" s="31">
        <v>4301020389</v>
      </c>
      <c r="D69" s="642">
        <v>4680115881433</v>
      </c>
      <c r="E69" s="643"/>
      <c r="F69" s="634">
        <v>0.45</v>
      </c>
      <c r="G69" s="32">
        <v>6</v>
      </c>
      <c r="H69" s="634">
        <v>2.7</v>
      </c>
      <c r="I69" s="634">
        <v>2.88</v>
      </c>
      <c r="J69" s="32">
        <v>182</v>
      </c>
      <c r="K69" s="32" t="s">
        <v>65</v>
      </c>
      <c r="L69" s="32"/>
      <c r="M69" s="33" t="s">
        <v>117</v>
      </c>
      <c r="N69" s="33"/>
      <c r="O69" s="32">
        <v>50</v>
      </c>
      <c r="P69" s="817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40"/>
      <c r="R69" s="640"/>
      <c r="S69" s="640"/>
      <c r="T69" s="641"/>
      <c r="U69" s="34"/>
      <c r="V69" s="34"/>
      <c r="W69" s="35" t="s">
        <v>67</v>
      </c>
      <c r="X69" s="635">
        <v>0</v>
      </c>
      <c r="Y69" s="636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153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647"/>
      <c r="B70" s="648"/>
      <c r="C70" s="648"/>
      <c r="D70" s="648"/>
      <c r="E70" s="648"/>
      <c r="F70" s="648"/>
      <c r="G70" s="648"/>
      <c r="H70" s="648"/>
      <c r="I70" s="648"/>
      <c r="J70" s="648"/>
      <c r="K70" s="648"/>
      <c r="L70" s="648"/>
      <c r="M70" s="648"/>
      <c r="N70" s="648"/>
      <c r="O70" s="649"/>
      <c r="P70" s="653" t="s">
        <v>81</v>
      </c>
      <c r="Q70" s="654"/>
      <c r="R70" s="654"/>
      <c r="S70" s="654"/>
      <c r="T70" s="654"/>
      <c r="U70" s="654"/>
      <c r="V70" s="655"/>
      <c r="W70" s="37" t="s">
        <v>82</v>
      </c>
      <c r="X70" s="637">
        <f>IFERROR(X66/H66,"0")+IFERROR(X67/H67,"0")+IFERROR(X68/H68,"0")+IFERROR(X69/H69,"0")</f>
        <v>0</v>
      </c>
      <c r="Y70" s="637">
        <f>IFERROR(Y66/H66,"0")+IFERROR(Y67/H67,"0")+IFERROR(Y68/H68,"0")+IFERROR(Y69/H69,"0")</f>
        <v>0</v>
      </c>
      <c r="Z70" s="637">
        <f>IFERROR(IF(Z66="",0,Z66),"0")+IFERROR(IF(Z67="",0,Z67),"0")+IFERROR(IF(Z68="",0,Z68),"0")+IFERROR(IF(Z69="",0,Z69),"0")</f>
        <v>0</v>
      </c>
      <c r="AA70" s="638"/>
      <c r="AB70" s="638"/>
      <c r="AC70" s="638"/>
    </row>
    <row r="71" spans="1:68" hidden="1" x14ac:dyDescent="0.2">
      <c r="A71" s="648"/>
      <c r="B71" s="648"/>
      <c r="C71" s="648"/>
      <c r="D71" s="648"/>
      <c r="E71" s="648"/>
      <c r="F71" s="648"/>
      <c r="G71" s="648"/>
      <c r="H71" s="648"/>
      <c r="I71" s="648"/>
      <c r="J71" s="648"/>
      <c r="K71" s="648"/>
      <c r="L71" s="648"/>
      <c r="M71" s="648"/>
      <c r="N71" s="648"/>
      <c r="O71" s="649"/>
      <c r="P71" s="653" t="s">
        <v>81</v>
      </c>
      <c r="Q71" s="654"/>
      <c r="R71" s="654"/>
      <c r="S71" s="654"/>
      <c r="T71" s="654"/>
      <c r="U71" s="654"/>
      <c r="V71" s="655"/>
      <c r="W71" s="37" t="s">
        <v>67</v>
      </c>
      <c r="X71" s="637">
        <f>IFERROR(SUM(X66:X69),"0")</f>
        <v>0</v>
      </c>
      <c r="Y71" s="637">
        <f>IFERROR(SUM(Y66:Y69),"0")</f>
        <v>0</v>
      </c>
      <c r="Z71" s="37"/>
      <c r="AA71" s="638"/>
      <c r="AB71" s="638"/>
      <c r="AC71" s="638"/>
    </row>
    <row r="72" spans="1:68" ht="14.25" hidden="1" customHeight="1" x14ac:dyDescent="0.25">
      <c r="A72" s="658" t="s">
        <v>62</v>
      </c>
      <c r="B72" s="648"/>
      <c r="C72" s="648"/>
      <c r="D72" s="648"/>
      <c r="E72" s="648"/>
      <c r="F72" s="648"/>
      <c r="G72" s="648"/>
      <c r="H72" s="648"/>
      <c r="I72" s="648"/>
      <c r="J72" s="648"/>
      <c r="K72" s="648"/>
      <c r="L72" s="648"/>
      <c r="M72" s="648"/>
      <c r="N72" s="648"/>
      <c r="O72" s="648"/>
      <c r="P72" s="648"/>
      <c r="Q72" s="648"/>
      <c r="R72" s="648"/>
      <c r="S72" s="648"/>
      <c r="T72" s="648"/>
      <c r="U72" s="648"/>
      <c r="V72" s="648"/>
      <c r="W72" s="648"/>
      <c r="X72" s="648"/>
      <c r="Y72" s="648"/>
      <c r="Z72" s="648"/>
      <c r="AA72" s="631"/>
      <c r="AB72" s="631"/>
      <c r="AC72" s="631"/>
    </row>
    <row r="73" spans="1:68" ht="16.5" customHeight="1" x14ac:dyDescent="0.25">
      <c r="A73" s="54" t="s">
        <v>162</v>
      </c>
      <c r="B73" s="54" t="s">
        <v>163</v>
      </c>
      <c r="C73" s="31">
        <v>4301051837</v>
      </c>
      <c r="D73" s="642">
        <v>4680115884311</v>
      </c>
      <c r="E73" s="643"/>
      <c r="F73" s="634">
        <v>0.3</v>
      </c>
      <c r="G73" s="32">
        <v>6</v>
      </c>
      <c r="H73" s="634">
        <v>1.8</v>
      </c>
      <c r="I73" s="634">
        <v>2.0459999999999998</v>
      </c>
      <c r="J73" s="32">
        <v>182</v>
      </c>
      <c r="K73" s="32" t="s">
        <v>65</v>
      </c>
      <c r="L73" s="32"/>
      <c r="M73" s="33" t="s">
        <v>66</v>
      </c>
      <c r="N73" s="33"/>
      <c r="O73" s="32">
        <v>40</v>
      </c>
      <c r="P73" s="6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5">
        <v>15</v>
      </c>
      <c r="Y73" s="636">
        <f>IFERROR(IF(X73="",0,CEILING((X73/$H73),1)*$H73),"")</f>
        <v>16.2</v>
      </c>
      <c r="Z73" s="36">
        <f>IFERROR(IF(Y73=0,"",ROUNDUP(Y73/H73,0)*0.00651),"")</f>
        <v>5.8590000000000003E-2</v>
      </c>
      <c r="AA73" s="56"/>
      <c r="AB73" s="57"/>
      <c r="AC73" s="125" t="s">
        <v>164</v>
      </c>
      <c r="AG73" s="64"/>
      <c r="AJ73" s="68"/>
      <c r="AK73" s="68">
        <v>0</v>
      </c>
      <c r="BB73" s="126" t="s">
        <v>1</v>
      </c>
      <c r="BM73" s="64">
        <f>IFERROR(X73*I73/H73,"0")</f>
        <v>17.049999999999997</v>
      </c>
      <c r="BN73" s="64">
        <f>IFERROR(Y73*I73/H73,"0")</f>
        <v>18.413999999999998</v>
      </c>
      <c r="BO73" s="64">
        <f>IFERROR(1/J73*(X73/H73),"0")</f>
        <v>4.5787545787545791E-2</v>
      </c>
      <c r="BP73" s="64">
        <f>IFERROR(1/J73*(Y73/H73),"0")</f>
        <v>4.9450549450549455E-2</v>
      </c>
    </row>
    <row r="74" spans="1:68" ht="27" hidden="1" customHeight="1" x14ac:dyDescent="0.25">
      <c r="A74" s="54" t="s">
        <v>165</v>
      </c>
      <c r="B74" s="54" t="s">
        <v>166</v>
      </c>
      <c r="C74" s="31">
        <v>4301052083</v>
      </c>
      <c r="D74" s="642">
        <v>4680115884403</v>
      </c>
      <c r="E74" s="643"/>
      <c r="F74" s="634">
        <v>0.3</v>
      </c>
      <c r="G74" s="32">
        <v>6</v>
      </c>
      <c r="H74" s="634">
        <v>1.8</v>
      </c>
      <c r="I74" s="634">
        <v>1.98</v>
      </c>
      <c r="J74" s="32">
        <v>182</v>
      </c>
      <c r="K74" s="32" t="s">
        <v>65</v>
      </c>
      <c r="L74" s="32"/>
      <c r="M74" s="33" t="s">
        <v>66</v>
      </c>
      <c r="N74" s="33"/>
      <c r="O74" s="32">
        <v>40</v>
      </c>
      <c r="P74" s="80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0"/>
      <c r="R74" s="640"/>
      <c r="S74" s="640"/>
      <c r="T74" s="641"/>
      <c r="U74" s="34"/>
      <c r="V74" s="34"/>
      <c r="W74" s="35" t="s">
        <v>67</v>
      </c>
      <c r="X74" s="635">
        <v>0</v>
      </c>
      <c r="Y74" s="63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167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47"/>
      <c r="B75" s="648"/>
      <c r="C75" s="648"/>
      <c r="D75" s="648"/>
      <c r="E75" s="648"/>
      <c r="F75" s="648"/>
      <c r="G75" s="648"/>
      <c r="H75" s="648"/>
      <c r="I75" s="648"/>
      <c r="J75" s="648"/>
      <c r="K75" s="648"/>
      <c r="L75" s="648"/>
      <c r="M75" s="648"/>
      <c r="N75" s="648"/>
      <c r="O75" s="649"/>
      <c r="P75" s="653" t="s">
        <v>81</v>
      </c>
      <c r="Q75" s="654"/>
      <c r="R75" s="654"/>
      <c r="S75" s="654"/>
      <c r="T75" s="654"/>
      <c r="U75" s="654"/>
      <c r="V75" s="655"/>
      <c r="W75" s="37" t="s">
        <v>82</v>
      </c>
      <c r="X75" s="637">
        <f>IFERROR(X73/H73,"0")+IFERROR(X74/H74,"0")</f>
        <v>8.3333333333333339</v>
      </c>
      <c r="Y75" s="637">
        <f>IFERROR(Y73/H73,"0")+IFERROR(Y74/H74,"0")</f>
        <v>9</v>
      </c>
      <c r="Z75" s="637">
        <f>IFERROR(IF(Z73="",0,Z73),"0")+IFERROR(IF(Z74="",0,Z74),"0")</f>
        <v>5.8590000000000003E-2</v>
      </c>
      <c r="AA75" s="638"/>
      <c r="AB75" s="638"/>
      <c r="AC75" s="638"/>
    </row>
    <row r="76" spans="1:68" x14ac:dyDescent="0.2">
      <c r="A76" s="648"/>
      <c r="B76" s="648"/>
      <c r="C76" s="648"/>
      <c r="D76" s="648"/>
      <c r="E76" s="648"/>
      <c r="F76" s="648"/>
      <c r="G76" s="648"/>
      <c r="H76" s="648"/>
      <c r="I76" s="648"/>
      <c r="J76" s="648"/>
      <c r="K76" s="648"/>
      <c r="L76" s="648"/>
      <c r="M76" s="648"/>
      <c r="N76" s="648"/>
      <c r="O76" s="649"/>
      <c r="P76" s="653" t="s">
        <v>81</v>
      </c>
      <c r="Q76" s="654"/>
      <c r="R76" s="654"/>
      <c r="S76" s="654"/>
      <c r="T76" s="654"/>
      <c r="U76" s="654"/>
      <c r="V76" s="655"/>
      <c r="W76" s="37" t="s">
        <v>67</v>
      </c>
      <c r="X76" s="637">
        <f>IFERROR(SUM(X73:X74),"0")</f>
        <v>15</v>
      </c>
      <c r="Y76" s="637">
        <f>IFERROR(SUM(Y73:Y74),"0")</f>
        <v>16.2</v>
      </c>
      <c r="Z76" s="37"/>
      <c r="AA76" s="638"/>
      <c r="AB76" s="638"/>
      <c r="AC76" s="638"/>
    </row>
    <row r="77" spans="1:68" ht="14.25" hidden="1" customHeight="1" x14ac:dyDescent="0.25">
      <c r="A77" s="658" t="s">
        <v>168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31"/>
      <c r="AB77" s="631"/>
      <c r="AC77" s="631"/>
    </row>
    <row r="78" spans="1:68" ht="27" hidden="1" customHeight="1" x14ac:dyDescent="0.25">
      <c r="A78" s="54" t="s">
        <v>169</v>
      </c>
      <c r="B78" s="54" t="s">
        <v>170</v>
      </c>
      <c r="C78" s="31">
        <v>4301060455</v>
      </c>
      <c r="D78" s="642">
        <v>4680115881532</v>
      </c>
      <c r="E78" s="643"/>
      <c r="F78" s="634">
        <v>1.3</v>
      </c>
      <c r="G78" s="32">
        <v>6</v>
      </c>
      <c r="H78" s="634">
        <v>7.8</v>
      </c>
      <c r="I78" s="634">
        <v>8.2100000000000009</v>
      </c>
      <c r="J78" s="32">
        <v>64</v>
      </c>
      <c r="K78" s="32" t="s">
        <v>116</v>
      </c>
      <c r="L78" s="32"/>
      <c r="M78" s="33" t="s">
        <v>73</v>
      </c>
      <c r="N78" s="33"/>
      <c r="O78" s="32">
        <v>30</v>
      </c>
      <c r="P78" s="7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169</v>
      </c>
      <c r="B79" s="54" t="s">
        <v>172</v>
      </c>
      <c r="C79" s="31">
        <v>4301060526</v>
      </c>
      <c r="D79" s="642">
        <v>4680115881532</v>
      </c>
      <c r="E79" s="643"/>
      <c r="F79" s="634">
        <v>1.3</v>
      </c>
      <c r="G79" s="32">
        <v>6</v>
      </c>
      <c r="H79" s="634">
        <v>7.8</v>
      </c>
      <c r="I79" s="634">
        <v>8.2100000000000009</v>
      </c>
      <c r="J79" s="32">
        <v>64</v>
      </c>
      <c r="K79" s="32" t="s">
        <v>116</v>
      </c>
      <c r="L79" s="32"/>
      <c r="M79" s="33" t="s">
        <v>73</v>
      </c>
      <c r="N79" s="33"/>
      <c r="O79" s="32">
        <v>30</v>
      </c>
      <c r="P79" s="63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0"/>
      <c r="R79" s="640"/>
      <c r="S79" s="640"/>
      <c r="T79" s="641"/>
      <c r="U79" s="34"/>
      <c r="V79" s="34"/>
      <c r="W79" s="35" t="s">
        <v>67</v>
      </c>
      <c r="X79" s="635">
        <v>0</v>
      </c>
      <c r="Y79" s="63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171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173</v>
      </c>
      <c r="B80" s="54" t="s">
        <v>174</v>
      </c>
      <c r="C80" s="31">
        <v>4301060527</v>
      </c>
      <c r="D80" s="642">
        <v>4680115881464</v>
      </c>
      <c r="E80" s="643"/>
      <c r="F80" s="634">
        <v>0.4</v>
      </c>
      <c r="G80" s="32">
        <v>6</v>
      </c>
      <c r="H80" s="634">
        <v>2.4</v>
      </c>
      <c r="I80" s="634">
        <v>2.59</v>
      </c>
      <c r="J80" s="32">
        <v>132</v>
      </c>
      <c r="K80" s="32" t="s">
        <v>126</v>
      </c>
      <c r="L80" s="32"/>
      <c r="M80" s="33" t="s">
        <v>66</v>
      </c>
      <c r="N80" s="33"/>
      <c r="O80" s="32">
        <v>30</v>
      </c>
      <c r="P80" s="90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0"/>
      <c r="R80" s="640"/>
      <c r="S80" s="640"/>
      <c r="T80" s="641"/>
      <c r="U80" s="34"/>
      <c r="V80" s="34"/>
      <c r="W80" s="35" t="s">
        <v>67</v>
      </c>
      <c r="X80" s="635">
        <v>0</v>
      </c>
      <c r="Y80" s="63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175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47"/>
      <c r="B81" s="648"/>
      <c r="C81" s="648"/>
      <c r="D81" s="648"/>
      <c r="E81" s="648"/>
      <c r="F81" s="648"/>
      <c r="G81" s="648"/>
      <c r="H81" s="648"/>
      <c r="I81" s="648"/>
      <c r="J81" s="648"/>
      <c r="K81" s="648"/>
      <c r="L81" s="648"/>
      <c r="M81" s="648"/>
      <c r="N81" s="648"/>
      <c r="O81" s="649"/>
      <c r="P81" s="653" t="s">
        <v>81</v>
      </c>
      <c r="Q81" s="654"/>
      <c r="R81" s="654"/>
      <c r="S81" s="654"/>
      <c r="T81" s="654"/>
      <c r="U81" s="654"/>
      <c r="V81" s="655"/>
      <c r="W81" s="37" t="s">
        <v>82</v>
      </c>
      <c r="X81" s="637">
        <f>IFERROR(X78/H78,"0")+IFERROR(X79/H79,"0")+IFERROR(X80/H80,"0")</f>
        <v>0</v>
      </c>
      <c r="Y81" s="637">
        <f>IFERROR(Y78/H78,"0")+IFERROR(Y79/H79,"0")+IFERROR(Y80/H80,"0")</f>
        <v>0</v>
      </c>
      <c r="Z81" s="637">
        <f>IFERROR(IF(Z78="",0,Z78),"0")+IFERROR(IF(Z79="",0,Z79),"0")+IFERROR(IF(Z80="",0,Z80),"0")</f>
        <v>0</v>
      </c>
      <c r="AA81" s="638"/>
      <c r="AB81" s="638"/>
      <c r="AC81" s="638"/>
    </row>
    <row r="82" spans="1:68" hidden="1" x14ac:dyDescent="0.2">
      <c r="A82" s="648"/>
      <c r="B82" s="648"/>
      <c r="C82" s="648"/>
      <c r="D82" s="648"/>
      <c r="E82" s="648"/>
      <c r="F82" s="648"/>
      <c r="G82" s="648"/>
      <c r="H82" s="648"/>
      <c r="I82" s="648"/>
      <c r="J82" s="648"/>
      <c r="K82" s="648"/>
      <c r="L82" s="648"/>
      <c r="M82" s="648"/>
      <c r="N82" s="648"/>
      <c r="O82" s="649"/>
      <c r="P82" s="653" t="s">
        <v>81</v>
      </c>
      <c r="Q82" s="654"/>
      <c r="R82" s="654"/>
      <c r="S82" s="654"/>
      <c r="T82" s="654"/>
      <c r="U82" s="654"/>
      <c r="V82" s="655"/>
      <c r="W82" s="37" t="s">
        <v>67</v>
      </c>
      <c r="X82" s="637">
        <f>IFERROR(SUM(X78:X80),"0")</f>
        <v>0</v>
      </c>
      <c r="Y82" s="637">
        <f>IFERROR(SUM(Y78:Y80),"0")</f>
        <v>0</v>
      </c>
      <c r="Z82" s="37"/>
      <c r="AA82" s="638"/>
      <c r="AB82" s="638"/>
      <c r="AC82" s="638"/>
    </row>
    <row r="83" spans="1:68" ht="16.5" hidden="1" customHeight="1" x14ac:dyDescent="0.25">
      <c r="A83" s="652" t="s">
        <v>176</v>
      </c>
      <c r="B83" s="648"/>
      <c r="C83" s="648"/>
      <c r="D83" s="648"/>
      <c r="E83" s="648"/>
      <c r="F83" s="648"/>
      <c r="G83" s="648"/>
      <c r="H83" s="648"/>
      <c r="I83" s="648"/>
      <c r="J83" s="648"/>
      <c r="K83" s="648"/>
      <c r="L83" s="648"/>
      <c r="M83" s="648"/>
      <c r="N83" s="648"/>
      <c r="O83" s="648"/>
      <c r="P83" s="648"/>
      <c r="Q83" s="648"/>
      <c r="R83" s="648"/>
      <c r="S83" s="648"/>
      <c r="T83" s="648"/>
      <c r="U83" s="648"/>
      <c r="V83" s="648"/>
      <c r="W83" s="648"/>
      <c r="X83" s="648"/>
      <c r="Y83" s="648"/>
      <c r="Z83" s="648"/>
      <c r="AA83" s="630"/>
      <c r="AB83" s="630"/>
      <c r="AC83" s="630"/>
    </row>
    <row r="84" spans="1:68" ht="14.25" hidden="1" customHeight="1" x14ac:dyDescent="0.25">
      <c r="A84" s="658" t="s">
        <v>113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31"/>
      <c r="AB84" s="631"/>
      <c r="AC84" s="631"/>
    </row>
    <row r="85" spans="1:68" ht="27" customHeight="1" x14ac:dyDescent="0.25">
      <c r="A85" s="54" t="s">
        <v>177</v>
      </c>
      <c r="B85" s="54" t="s">
        <v>178</v>
      </c>
      <c r="C85" s="31">
        <v>4301011468</v>
      </c>
      <c r="D85" s="642">
        <v>4680115881327</v>
      </c>
      <c r="E85" s="643"/>
      <c r="F85" s="634">
        <v>1.35</v>
      </c>
      <c r="G85" s="32">
        <v>8</v>
      </c>
      <c r="H85" s="634">
        <v>10.8</v>
      </c>
      <c r="I85" s="634">
        <v>11.21</v>
      </c>
      <c r="J85" s="32">
        <v>64</v>
      </c>
      <c r="K85" s="32" t="s">
        <v>116</v>
      </c>
      <c r="L85" s="32"/>
      <c r="M85" s="33" t="s">
        <v>73</v>
      </c>
      <c r="N85" s="33"/>
      <c r="O85" s="32">
        <v>50</v>
      </c>
      <c r="P85" s="9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0"/>
      <c r="R85" s="640"/>
      <c r="S85" s="640"/>
      <c r="T85" s="641"/>
      <c r="U85" s="34"/>
      <c r="V85" s="34"/>
      <c r="W85" s="35" t="s">
        <v>67</v>
      </c>
      <c r="X85" s="635">
        <v>129</v>
      </c>
      <c r="Y85" s="636">
        <f t="shared" ref="Y85:Y90" si="5">IFERROR(IF(X85="",0,CEILING((X85/$H85),1)*$H85),"")</f>
        <v>129.60000000000002</v>
      </c>
      <c r="Z85" s="36">
        <f>IFERROR(IF(Y85=0,"",ROUNDUP(Y85/H85,0)*0.01898),"")</f>
        <v>0.22776000000000002</v>
      </c>
      <c r="AA85" s="56"/>
      <c r="AB85" s="57"/>
      <c r="AC85" s="135" t="s">
        <v>179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133.89722222222224</v>
      </c>
      <c r="BN85" s="64">
        <f t="shared" ref="BN85:BN90" si="7">IFERROR(Y85*I85/H85,"0")</f>
        <v>134.52000000000001</v>
      </c>
      <c r="BO85" s="64">
        <f t="shared" ref="BO85:BO90" si="8">IFERROR(1/J85*(X85/H85),"0")</f>
        <v>0.18663194444444442</v>
      </c>
      <c r="BP85" s="64">
        <f t="shared" ref="BP85:BP90" si="9">IFERROR(1/J85*(Y85/H85),"0")</f>
        <v>0.18750000000000003</v>
      </c>
    </row>
    <row r="86" spans="1:68" ht="27" hidden="1" customHeight="1" x14ac:dyDescent="0.25">
      <c r="A86" s="54" t="s">
        <v>177</v>
      </c>
      <c r="B86" s="54" t="s">
        <v>180</v>
      </c>
      <c r="C86" s="31">
        <v>4301012251</v>
      </c>
      <c r="D86" s="642">
        <v>4680115881327</v>
      </c>
      <c r="E86" s="643"/>
      <c r="F86" s="634">
        <v>1.35</v>
      </c>
      <c r="G86" s="32">
        <v>8</v>
      </c>
      <c r="H86" s="634">
        <v>10.8</v>
      </c>
      <c r="I86" s="634">
        <v>11.21</v>
      </c>
      <c r="J86" s="32">
        <v>64</v>
      </c>
      <c r="K86" s="32" t="s">
        <v>116</v>
      </c>
      <c r="L86" s="32"/>
      <c r="M86" s="33" t="s">
        <v>117</v>
      </c>
      <c r="N86" s="33"/>
      <c r="O86" s="32">
        <v>50</v>
      </c>
      <c r="P86" s="664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40"/>
      <c r="R86" s="640"/>
      <c r="S86" s="640"/>
      <c r="T86" s="641"/>
      <c r="U86" s="34"/>
      <c r="V86" s="34"/>
      <c r="W86" s="35" t="s">
        <v>67</v>
      </c>
      <c r="X86" s="635">
        <v>0</v>
      </c>
      <c r="Y86" s="636">
        <f t="shared" si="5"/>
        <v>0</v>
      </c>
      <c r="Z86" s="36" t="str">
        <f>IFERROR(IF(Y86=0,"",ROUNDUP(Y86/H86,0)*0.01898),"")</f>
        <v/>
      </c>
      <c r="AA86" s="56"/>
      <c r="AB86" s="57"/>
      <c r="AC86" s="137" t="s">
        <v>179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customHeight="1" x14ac:dyDescent="0.25">
      <c r="A87" s="54" t="s">
        <v>181</v>
      </c>
      <c r="B87" s="54" t="s">
        <v>182</v>
      </c>
      <c r="C87" s="31">
        <v>4301012392</v>
      </c>
      <c r="D87" s="642">
        <v>4680115887732</v>
      </c>
      <c r="E87" s="643"/>
      <c r="F87" s="634">
        <v>0.17</v>
      </c>
      <c r="G87" s="32">
        <v>8</v>
      </c>
      <c r="H87" s="634">
        <v>1.36</v>
      </c>
      <c r="I87" s="634">
        <v>1.54</v>
      </c>
      <c r="J87" s="32">
        <v>192</v>
      </c>
      <c r="K87" s="32" t="s">
        <v>121</v>
      </c>
      <c r="L87" s="32"/>
      <c r="M87" s="33" t="s">
        <v>122</v>
      </c>
      <c r="N87" s="33"/>
      <c r="O87" s="32">
        <v>30</v>
      </c>
      <c r="P87" s="82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0"/>
      <c r="R87" s="640"/>
      <c r="S87" s="640"/>
      <c r="T87" s="641"/>
      <c r="U87" s="34"/>
      <c r="V87" s="34"/>
      <c r="W87" s="35" t="s">
        <v>67</v>
      </c>
      <c r="X87" s="635">
        <v>26</v>
      </c>
      <c r="Y87" s="636">
        <f t="shared" si="5"/>
        <v>27.200000000000003</v>
      </c>
      <c r="Z87" s="36">
        <f>IFERROR(IF(Y87=0,"",ROUNDUP(Y87/H87,0)*0.00726),"")</f>
        <v>0.1452</v>
      </c>
      <c r="AA87" s="56"/>
      <c r="AB87" s="57"/>
      <c r="AC87" s="139" t="s">
        <v>183</v>
      </c>
      <c r="AG87" s="64"/>
      <c r="AJ87" s="68"/>
      <c r="AK87" s="68">
        <v>0</v>
      </c>
      <c r="BB87" s="140" t="s">
        <v>1</v>
      </c>
      <c r="BM87" s="64">
        <f t="shared" si="6"/>
        <v>29.441176470588232</v>
      </c>
      <c r="BN87" s="64">
        <f t="shared" si="7"/>
        <v>30.8</v>
      </c>
      <c r="BO87" s="64">
        <f t="shared" si="8"/>
        <v>9.9571078431372542E-2</v>
      </c>
      <c r="BP87" s="64">
        <f t="shared" si="9"/>
        <v>0.10416666666666666</v>
      </c>
    </row>
    <row r="88" spans="1:68" ht="27" hidden="1" customHeight="1" x14ac:dyDescent="0.25">
      <c r="A88" s="54" t="s">
        <v>184</v>
      </c>
      <c r="B88" s="54" t="s">
        <v>185</v>
      </c>
      <c r="C88" s="31">
        <v>4301011476</v>
      </c>
      <c r="D88" s="642">
        <v>4680115881518</v>
      </c>
      <c r="E88" s="643"/>
      <c r="F88" s="634">
        <v>0.4</v>
      </c>
      <c r="G88" s="32">
        <v>10</v>
      </c>
      <c r="H88" s="634">
        <v>4</v>
      </c>
      <c r="I88" s="634">
        <v>4.1900000000000004</v>
      </c>
      <c r="J88" s="32">
        <v>132</v>
      </c>
      <c r="K88" s="32" t="s">
        <v>126</v>
      </c>
      <c r="L88" s="32"/>
      <c r="M88" s="33" t="s">
        <v>66</v>
      </c>
      <c r="N88" s="33"/>
      <c r="O88" s="32">
        <v>50</v>
      </c>
      <c r="P88" s="8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0"/>
      <c r="R88" s="640"/>
      <c r="S88" s="640"/>
      <c r="T88" s="641"/>
      <c r="U88" s="34"/>
      <c r="V88" s="34"/>
      <c r="W88" s="35" t="s">
        <v>67</v>
      </c>
      <c r="X88" s="635">
        <v>0</v>
      </c>
      <c r="Y88" s="636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179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184</v>
      </c>
      <c r="B89" s="54" t="s">
        <v>186</v>
      </c>
      <c r="C89" s="31">
        <v>4301012252</v>
      </c>
      <c r="D89" s="642">
        <v>4680115881518</v>
      </c>
      <c r="E89" s="643"/>
      <c r="F89" s="634">
        <v>0.4</v>
      </c>
      <c r="G89" s="32">
        <v>10</v>
      </c>
      <c r="H89" s="634">
        <v>4</v>
      </c>
      <c r="I89" s="634">
        <v>4.1900000000000004</v>
      </c>
      <c r="J89" s="32">
        <v>132</v>
      </c>
      <c r="K89" s="32" t="s">
        <v>126</v>
      </c>
      <c r="L89" s="32"/>
      <c r="M89" s="33" t="s">
        <v>117</v>
      </c>
      <c r="N89" s="33"/>
      <c r="O89" s="32">
        <v>50</v>
      </c>
      <c r="P89" s="83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40"/>
      <c r="R89" s="640"/>
      <c r="S89" s="640"/>
      <c r="T89" s="641"/>
      <c r="U89" s="34"/>
      <c r="V89" s="34"/>
      <c r="W89" s="35" t="s">
        <v>67</v>
      </c>
      <c r="X89" s="635">
        <v>0</v>
      </c>
      <c r="Y89" s="636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179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customHeight="1" x14ac:dyDescent="0.25">
      <c r="A90" s="54" t="s">
        <v>187</v>
      </c>
      <c r="B90" s="54" t="s">
        <v>188</v>
      </c>
      <c r="C90" s="31">
        <v>4301012250</v>
      </c>
      <c r="D90" s="642">
        <v>4680115881303</v>
      </c>
      <c r="E90" s="643"/>
      <c r="F90" s="634">
        <v>0.45</v>
      </c>
      <c r="G90" s="32">
        <v>10</v>
      </c>
      <c r="H90" s="634">
        <v>4.5</v>
      </c>
      <c r="I90" s="634">
        <v>4.6900000000000004</v>
      </c>
      <c r="J90" s="32">
        <v>132</v>
      </c>
      <c r="K90" s="32" t="s">
        <v>126</v>
      </c>
      <c r="L90" s="32"/>
      <c r="M90" s="33" t="s">
        <v>117</v>
      </c>
      <c r="N90" s="33"/>
      <c r="O90" s="32">
        <v>50</v>
      </c>
      <c r="P90" s="8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5">
        <v>31</v>
      </c>
      <c r="Y90" s="636">
        <f t="shared" si="5"/>
        <v>31.5</v>
      </c>
      <c r="Z90" s="36">
        <f>IFERROR(IF(Y90=0,"",ROUNDUP(Y90/H90,0)*0.00902),"")</f>
        <v>6.3140000000000002E-2</v>
      </c>
      <c r="AA90" s="56"/>
      <c r="AB90" s="57"/>
      <c r="AC90" s="145" t="s">
        <v>179</v>
      </c>
      <c r="AG90" s="64"/>
      <c r="AJ90" s="68"/>
      <c r="AK90" s="68">
        <v>0</v>
      </c>
      <c r="BB90" s="146" t="s">
        <v>1</v>
      </c>
      <c r="BM90" s="64">
        <f t="shared" si="6"/>
        <v>32.308888888888895</v>
      </c>
      <c r="BN90" s="64">
        <f t="shared" si="7"/>
        <v>32.830000000000005</v>
      </c>
      <c r="BO90" s="64">
        <f t="shared" si="8"/>
        <v>5.2188552188552194E-2</v>
      </c>
      <c r="BP90" s="64">
        <f t="shared" si="9"/>
        <v>5.3030303030303032E-2</v>
      </c>
    </row>
    <row r="91" spans="1:68" x14ac:dyDescent="0.2">
      <c r="A91" s="647"/>
      <c r="B91" s="648"/>
      <c r="C91" s="648"/>
      <c r="D91" s="648"/>
      <c r="E91" s="648"/>
      <c r="F91" s="648"/>
      <c r="G91" s="648"/>
      <c r="H91" s="648"/>
      <c r="I91" s="648"/>
      <c r="J91" s="648"/>
      <c r="K91" s="648"/>
      <c r="L91" s="648"/>
      <c r="M91" s="648"/>
      <c r="N91" s="648"/>
      <c r="O91" s="649"/>
      <c r="P91" s="653" t="s">
        <v>81</v>
      </c>
      <c r="Q91" s="654"/>
      <c r="R91" s="654"/>
      <c r="S91" s="654"/>
      <c r="T91" s="654"/>
      <c r="U91" s="654"/>
      <c r="V91" s="655"/>
      <c r="W91" s="37" t="s">
        <v>82</v>
      </c>
      <c r="X91" s="637">
        <f>IFERROR(X85/H85,"0")+IFERROR(X86/H86,"0")+IFERROR(X87/H87,"0")+IFERROR(X88/H88,"0")+IFERROR(X89/H89,"0")+IFERROR(X90/H90,"0")</f>
        <v>37.950980392156865</v>
      </c>
      <c r="Y91" s="637">
        <f>IFERROR(Y85/H85,"0")+IFERROR(Y86/H86,"0")+IFERROR(Y87/H87,"0")+IFERROR(Y88/H88,"0")+IFERROR(Y89/H89,"0")+IFERROR(Y90/H90,"0")</f>
        <v>39</v>
      </c>
      <c r="Z91" s="637">
        <f>IFERROR(IF(Z85="",0,Z85),"0")+IFERROR(IF(Z86="",0,Z86),"0")+IFERROR(IF(Z87="",0,Z87),"0")+IFERROR(IF(Z88="",0,Z88),"0")+IFERROR(IF(Z89="",0,Z89),"0")+IFERROR(IF(Z90="",0,Z90),"0")</f>
        <v>0.43610000000000004</v>
      </c>
      <c r="AA91" s="638"/>
      <c r="AB91" s="638"/>
      <c r="AC91" s="638"/>
    </row>
    <row r="92" spans="1:68" x14ac:dyDescent="0.2">
      <c r="A92" s="648"/>
      <c r="B92" s="648"/>
      <c r="C92" s="648"/>
      <c r="D92" s="648"/>
      <c r="E92" s="648"/>
      <c r="F92" s="648"/>
      <c r="G92" s="648"/>
      <c r="H92" s="648"/>
      <c r="I92" s="648"/>
      <c r="J92" s="648"/>
      <c r="K92" s="648"/>
      <c r="L92" s="648"/>
      <c r="M92" s="648"/>
      <c r="N92" s="648"/>
      <c r="O92" s="649"/>
      <c r="P92" s="653" t="s">
        <v>81</v>
      </c>
      <c r="Q92" s="654"/>
      <c r="R92" s="654"/>
      <c r="S92" s="654"/>
      <c r="T92" s="654"/>
      <c r="U92" s="654"/>
      <c r="V92" s="655"/>
      <c r="W92" s="37" t="s">
        <v>67</v>
      </c>
      <c r="X92" s="637">
        <f>IFERROR(SUM(X85:X90),"0")</f>
        <v>186</v>
      </c>
      <c r="Y92" s="637">
        <f>IFERROR(SUM(Y85:Y90),"0")</f>
        <v>188.3</v>
      </c>
      <c r="Z92" s="37"/>
      <c r="AA92" s="638"/>
      <c r="AB92" s="638"/>
      <c r="AC92" s="638"/>
    </row>
    <row r="93" spans="1:68" ht="14.25" hidden="1" customHeight="1" x14ac:dyDescent="0.25">
      <c r="A93" s="658" t="s">
        <v>62</v>
      </c>
      <c r="B93" s="648"/>
      <c r="C93" s="648"/>
      <c r="D93" s="648"/>
      <c r="E93" s="648"/>
      <c r="F93" s="648"/>
      <c r="G93" s="648"/>
      <c r="H93" s="648"/>
      <c r="I93" s="648"/>
      <c r="J93" s="648"/>
      <c r="K93" s="648"/>
      <c r="L93" s="648"/>
      <c r="M93" s="648"/>
      <c r="N93" s="648"/>
      <c r="O93" s="648"/>
      <c r="P93" s="648"/>
      <c r="Q93" s="648"/>
      <c r="R93" s="648"/>
      <c r="S93" s="648"/>
      <c r="T93" s="648"/>
      <c r="U93" s="648"/>
      <c r="V93" s="648"/>
      <c r="W93" s="648"/>
      <c r="X93" s="648"/>
      <c r="Y93" s="648"/>
      <c r="Z93" s="648"/>
      <c r="AA93" s="631"/>
      <c r="AB93" s="631"/>
      <c r="AC93" s="631"/>
    </row>
    <row r="94" spans="1:68" ht="27" customHeight="1" x14ac:dyDescent="0.25">
      <c r="A94" s="54" t="s">
        <v>189</v>
      </c>
      <c r="B94" s="54" t="s">
        <v>190</v>
      </c>
      <c r="C94" s="31">
        <v>4301052101</v>
      </c>
      <c r="D94" s="642">
        <v>4607091386967</v>
      </c>
      <c r="E94" s="643"/>
      <c r="F94" s="634">
        <v>1.35</v>
      </c>
      <c r="G94" s="32">
        <v>6</v>
      </c>
      <c r="H94" s="634">
        <v>8.1</v>
      </c>
      <c r="I94" s="634">
        <v>8.5939999999999994</v>
      </c>
      <c r="J94" s="32">
        <v>64</v>
      </c>
      <c r="K94" s="32" t="s">
        <v>116</v>
      </c>
      <c r="L94" s="32"/>
      <c r="M94" s="33" t="s">
        <v>73</v>
      </c>
      <c r="N94" s="33"/>
      <c r="O94" s="32">
        <v>45</v>
      </c>
      <c r="P94" s="70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5">
        <v>461</v>
      </c>
      <c r="Y94" s="636">
        <f>IFERROR(IF(X94="",0,CEILING((X94/$H94),1)*$H94),"")</f>
        <v>461.7</v>
      </c>
      <c r="Z94" s="36">
        <f>IFERROR(IF(Y94=0,"",ROUNDUP(Y94/H94,0)*0.01898),"")</f>
        <v>1.08186</v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489.11530864197533</v>
      </c>
      <c r="BN94" s="64">
        <f>IFERROR(Y94*I94/H94,"0")</f>
        <v>489.85799999999995</v>
      </c>
      <c r="BO94" s="64">
        <f>IFERROR(1/J94*(X94/H94),"0")</f>
        <v>0.88927469135802473</v>
      </c>
      <c r="BP94" s="64">
        <f>IFERROR(1/J94*(Y94/H94),"0")</f>
        <v>0.890625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4301052090</v>
      </c>
      <c r="D95" s="642">
        <v>4680115884953</v>
      </c>
      <c r="E95" s="643"/>
      <c r="F95" s="634">
        <v>0.37</v>
      </c>
      <c r="G95" s="32">
        <v>6</v>
      </c>
      <c r="H95" s="634">
        <v>2.2200000000000002</v>
      </c>
      <c r="I95" s="634">
        <v>2.472</v>
      </c>
      <c r="J95" s="32">
        <v>182</v>
      </c>
      <c r="K95" s="32" t="s">
        <v>65</v>
      </c>
      <c r="L95" s="32"/>
      <c r="M95" s="33" t="s">
        <v>66</v>
      </c>
      <c r="N95" s="33"/>
      <c r="O95" s="32">
        <v>45</v>
      </c>
      <c r="P95" s="71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0"/>
      <c r="R95" s="640"/>
      <c r="S95" s="640"/>
      <c r="T95" s="641"/>
      <c r="U95" s="34"/>
      <c r="V95" s="34"/>
      <c r="W95" s="35" t="s">
        <v>67</v>
      </c>
      <c r="X95" s="635">
        <v>0</v>
      </c>
      <c r="Y95" s="63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195</v>
      </c>
      <c r="B96" s="54" t="s">
        <v>196</v>
      </c>
      <c r="C96" s="31">
        <v>4301052094</v>
      </c>
      <c r="D96" s="642">
        <v>4607091385731</v>
      </c>
      <c r="E96" s="643"/>
      <c r="F96" s="634">
        <v>0.45</v>
      </c>
      <c r="G96" s="32">
        <v>6</v>
      </c>
      <c r="H96" s="634">
        <v>2.7</v>
      </c>
      <c r="I96" s="634">
        <v>2.952</v>
      </c>
      <c r="J96" s="32">
        <v>182</v>
      </c>
      <c r="K96" s="32" t="s">
        <v>65</v>
      </c>
      <c r="L96" s="32"/>
      <c r="M96" s="33" t="s">
        <v>73</v>
      </c>
      <c r="N96" s="33"/>
      <c r="O96" s="32">
        <v>45</v>
      </c>
      <c r="P96" s="86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0"/>
      <c r="R96" s="640"/>
      <c r="S96" s="640"/>
      <c r="T96" s="641"/>
      <c r="U96" s="34"/>
      <c r="V96" s="34"/>
      <c r="W96" s="35" t="s">
        <v>67</v>
      </c>
      <c r="X96" s="635">
        <v>466</v>
      </c>
      <c r="Y96" s="636">
        <f>IFERROR(IF(X96="",0,CEILING((X96/$H96),1)*$H96),"")</f>
        <v>467.1</v>
      </c>
      <c r="Z96" s="36">
        <f>IFERROR(IF(Y96=0,"",ROUNDUP(Y96/H96,0)*0.00651),"")</f>
        <v>1.1262300000000001</v>
      </c>
      <c r="AA96" s="56"/>
      <c r="AB96" s="57"/>
      <c r="AC96" s="151" t="s">
        <v>191</v>
      </c>
      <c r="AG96" s="64"/>
      <c r="AJ96" s="68"/>
      <c r="AK96" s="68">
        <v>0</v>
      </c>
      <c r="BB96" s="152" t="s">
        <v>1</v>
      </c>
      <c r="BM96" s="64">
        <f>IFERROR(X96*I96/H96,"0")</f>
        <v>509.49333333333334</v>
      </c>
      <c r="BN96" s="64">
        <f>IFERROR(Y96*I96/H96,"0")</f>
        <v>510.69599999999997</v>
      </c>
      <c r="BO96" s="64">
        <f>IFERROR(1/J96*(X96/H96),"0")</f>
        <v>0.94831094831094831</v>
      </c>
      <c r="BP96" s="64">
        <f>IFERROR(1/J96*(Y96/H96),"0")</f>
        <v>0.95054945054945061</v>
      </c>
    </row>
    <row r="97" spans="1:68" ht="16.5" hidden="1" customHeight="1" x14ac:dyDescent="0.25">
      <c r="A97" s="54" t="s">
        <v>197</v>
      </c>
      <c r="B97" s="54" t="s">
        <v>198</v>
      </c>
      <c r="C97" s="31">
        <v>4301052092</v>
      </c>
      <c r="D97" s="642">
        <v>4680115880894</v>
      </c>
      <c r="E97" s="643"/>
      <c r="F97" s="634">
        <v>0.33</v>
      </c>
      <c r="G97" s="32">
        <v>6</v>
      </c>
      <c r="H97" s="634">
        <v>1.98</v>
      </c>
      <c r="I97" s="634">
        <v>2.238</v>
      </c>
      <c r="J97" s="32">
        <v>182</v>
      </c>
      <c r="K97" s="32" t="s">
        <v>65</v>
      </c>
      <c r="L97" s="32"/>
      <c r="M97" s="33" t="s">
        <v>66</v>
      </c>
      <c r="N97" s="33"/>
      <c r="O97" s="32">
        <v>45</v>
      </c>
      <c r="P97" s="7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0"/>
      <c r="R97" s="640"/>
      <c r="S97" s="640"/>
      <c r="T97" s="641"/>
      <c r="U97" s="34"/>
      <c r="V97" s="34"/>
      <c r="W97" s="35" t="s">
        <v>67</v>
      </c>
      <c r="X97" s="635">
        <v>0</v>
      </c>
      <c r="Y97" s="63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199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47"/>
      <c r="B98" s="648"/>
      <c r="C98" s="648"/>
      <c r="D98" s="648"/>
      <c r="E98" s="648"/>
      <c r="F98" s="648"/>
      <c r="G98" s="648"/>
      <c r="H98" s="648"/>
      <c r="I98" s="648"/>
      <c r="J98" s="648"/>
      <c r="K98" s="648"/>
      <c r="L98" s="648"/>
      <c r="M98" s="648"/>
      <c r="N98" s="648"/>
      <c r="O98" s="649"/>
      <c r="P98" s="653" t="s">
        <v>81</v>
      </c>
      <c r="Q98" s="654"/>
      <c r="R98" s="654"/>
      <c r="S98" s="654"/>
      <c r="T98" s="654"/>
      <c r="U98" s="654"/>
      <c r="V98" s="655"/>
      <c r="W98" s="37" t="s">
        <v>82</v>
      </c>
      <c r="X98" s="637">
        <f>IFERROR(X94/H94,"0")+IFERROR(X95/H95,"0")+IFERROR(X96/H96,"0")+IFERROR(X97/H97,"0")</f>
        <v>229.50617283950618</v>
      </c>
      <c r="Y98" s="637">
        <f>IFERROR(Y94/H94,"0")+IFERROR(Y95/H95,"0")+IFERROR(Y96/H96,"0")+IFERROR(Y97/H97,"0")</f>
        <v>230</v>
      </c>
      <c r="Z98" s="637">
        <f>IFERROR(IF(Z94="",0,Z94),"0")+IFERROR(IF(Z95="",0,Z95),"0")+IFERROR(IF(Z96="",0,Z96),"0")+IFERROR(IF(Z97="",0,Z97),"0")</f>
        <v>2.2080900000000003</v>
      </c>
      <c r="AA98" s="638"/>
      <c r="AB98" s="638"/>
      <c r="AC98" s="638"/>
    </row>
    <row r="99" spans="1:68" x14ac:dyDescent="0.2">
      <c r="A99" s="648"/>
      <c r="B99" s="648"/>
      <c r="C99" s="648"/>
      <c r="D99" s="648"/>
      <c r="E99" s="648"/>
      <c r="F99" s="648"/>
      <c r="G99" s="648"/>
      <c r="H99" s="648"/>
      <c r="I99" s="648"/>
      <c r="J99" s="648"/>
      <c r="K99" s="648"/>
      <c r="L99" s="648"/>
      <c r="M99" s="648"/>
      <c r="N99" s="648"/>
      <c r="O99" s="649"/>
      <c r="P99" s="653" t="s">
        <v>81</v>
      </c>
      <c r="Q99" s="654"/>
      <c r="R99" s="654"/>
      <c r="S99" s="654"/>
      <c r="T99" s="654"/>
      <c r="U99" s="654"/>
      <c r="V99" s="655"/>
      <c r="W99" s="37" t="s">
        <v>67</v>
      </c>
      <c r="X99" s="637">
        <f>IFERROR(SUM(X94:X97),"0")</f>
        <v>927</v>
      </c>
      <c r="Y99" s="637">
        <f>IFERROR(SUM(Y94:Y97),"0")</f>
        <v>928.8</v>
      </c>
      <c r="Z99" s="37"/>
      <c r="AA99" s="638"/>
      <c r="AB99" s="638"/>
      <c r="AC99" s="638"/>
    </row>
    <row r="100" spans="1:68" ht="16.5" hidden="1" customHeight="1" x14ac:dyDescent="0.25">
      <c r="A100" s="652" t="s">
        <v>200</v>
      </c>
      <c r="B100" s="648"/>
      <c r="C100" s="648"/>
      <c r="D100" s="648"/>
      <c r="E100" s="648"/>
      <c r="F100" s="648"/>
      <c r="G100" s="648"/>
      <c r="H100" s="648"/>
      <c r="I100" s="648"/>
      <c r="J100" s="648"/>
      <c r="K100" s="648"/>
      <c r="L100" s="648"/>
      <c r="M100" s="648"/>
      <c r="N100" s="648"/>
      <c r="O100" s="648"/>
      <c r="P100" s="648"/>
      <c r="Q100" s="648"/>
      <c r="R100" s="648"/>
      <c r="S100" s="648"/>
      <c r="T100" s="648"/>
      <c r="U100" s="648"/>
      <c r="V100" s="648"/>
      <c r="W100" s="648"/>
      <c r="X100" s="648"/>
      <c r="Y100" s="648"/>
      <c r="Z100" s="648"/>
      <c r="AA100" s="630"/>
      <c r="AB100" s="630"/>
      <c r="AC100" s="630"/>
    </row>
    <row r="101" spans="1:68" ht="14.25" hidden="1" customHeight="1" x14ac:dyDescent="0.25">
      <c r="A101" s="658" t="s">
        <v>113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31"/>
      <c r="AB101" s="631"/>
      <c r="AC101" s="631"/>
    </row>
    <row r="102" spans="1:68" ht="37.5" customHeight="1" x14ac:dyDescent="0.25">
      <c r="A102" s="54" t="s">
        <v>201</v>
      </c>
      <c r="B102" s="54" t="s">
        <v>202</v>
      </c>
      <c r="C102" s="31">
        <v>4301011514</v>
      </c>
      <c r="D102" s="642">
        <v>4680115882133</v>
      </c>
      <c r="E102" s="643"/>
      <c r="F102" s="634">
        <v>1.35</v>
      </c>
      <c r="G102" s="32">
        <v>8</v>
      </c>
      <c r="H102" s="634">
        <v>10.8</v>
      </c>
      <c r="I102" s="634">
        <v>11.21</v>
      </c>
      <c r="J102" s="32">
        <v>64</v>
      </c>
      <c r="K102" s="32" t="s">
        <v>116</v>
      </c>
      <c r="L102" s="32"/>
      <c r="M102" s="33" t="s">
        <v>117</v>
      </c>
      <c r="N102" s="33"/>
      <c r="O102" s="32">
        <v>50</v>
      </c>
      <c r="P102" s="94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0"/>
      <c r="R102" s="640"/>
      <c r="S102" s="640"/>
      <c r="T102" s="641"/>
      <c r="U102" s="34"/>
      <c r="V102" s="34"/>
      <c r="W102" s="35" t="s">
        <v>67</v>
      </c>
      <c r="X102" s="635">
        <v>91</v>
      </c>
      <c r="Y102" s="636">
        <f t="shared" ref="Y102:Y108" si="10">IFERROR(IF(X102="",0,CEILING((X102/$H102),1)*$H102),"")</f>
        <v>97.2</v>
      </c>
      <c r="Z102" s="36">
        <f>IFERROR(IF(Y102=0,"",ROUNDUP(Y102/H102,0)*0.01898),"")</f>
        <v>0.17082</v>
      </c>
      <c r="AA102" s="56"/>
      <c r="AB102" s="57"/>
      <c r="AC102" s="155" t="s">
        <v>203</v>
      </c>
      <c r="AG102" s="64"/>
      <c r="AJ102" s="68"/>
      <c r="AK102" s="68">
        <v>0</v>
      </c>
      <c r="BB102" s="156" t="s">
        <v>1</v>
      </c>
      <c r="BM102" s="64">
        <f t="shared" ref="BM102:BM108" si="11">IFERROR(X102*I102/H102,"0")</f>
        <v>94.454629629629636</v>
      </c>
      <c r="BN102" s="64">
        <f t="shared" ref="BN102:BN108" si="12">IFERROR(Y102*I102/H102,"0")</f>
        <v>100.89</v>
      </c>
      <c r="BO102" s="64">
        <f t="shared" ref="BO102:BO108" si="13">IFERROR(1/J102*(X102/H102),"0")</f>
        <v>0.13165509259259259</v>
      </c>
      <c r="BP102" s="64">
        <f t="shared" ref="BP102:BP108" si="14">IFERROR(1/J102*(Y102/H102),"0")</f>
        <v>0.140625</v>
      </c>
    </row>
    <row r="103" spans="1:68" ht="27" hidden="1" customHeight="1" x14ac:dyDescent="0.25">
      <c r="A103" s="54" t="s">
        <v>201</v>
      </c>
      <c r="B103" s="54" t="s">
        <v>204</v>
      </c>
      <c r="C103" s="31">
        <v>4301012256</v>
      </c>
      <c r="D103" s="642">
        <v>4680115882133</v>
      </c>
      <c r="E103" s="643"/>
      <c r="F103" s="634">
        <v>1.35</v>
      </c>
      <c r="G103" s="32">
        <v>8</v>
      </c>
      <c r="H103" s="634">
        <v>10.8</v>
      </c>
      <c r="I103" s="634">
        <v>11.21</v>
      </c>
      <c r="J103" s="32">
        <v>64</v>
      </c>
      <c r="K103" s="32" t="s">
        <v>116</v>
      </c>
      <c r="L103" s="32"/>
      <c r="M103" s="33" t="s">
        <v>117</v>
      </c>
      <c r="N103" s="33"/>
      <c r="O103" s="32">
        <v>50</v>
      </c>
      <c r="P103" s="74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40"/>
      <c r="R103" s="640"/>
      <c r="S103" s="640"/>
      <c r="T103" s="641"/>
      <c r="U103" s="34"/>
      <c r="V103" s="34"/>
      <c r="W103" s="35" t="s">
        <v>67</v>
      </c>
      <c r="X103" s="635">
        <v>0</v>
      </c>
      <c r="Y103" s="636">
        <f t="shared" si="10"/>
        <v>0</v>
      </c>
      <c r="Z103" s="36" t="str">
        <f>IFERROR(IF(Y103=0,"",ROUNDUP(Y103/H103,0)*0.01898),"")</f>
        <v/>
      </c>
      <c r="AA103" s="56"/>
      <c r="AB103" s="57"/>
      <c r="AC103" s="157" t="s">
        <v>205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customHeight="1" x14ac:dyDescent="0.25">
      <c r="A104" s="54" t="s">
        <v>206</v>
      </c>
      <c r="B104" s="54" t="s">
        <v>207</v>
      </c>
      <c r="C104" s="31">
        <v>4301012379</v>
      </c>
      <c r="D104" s="642">
        <v>4680115887718</v>
      </c>
      <c r="E104" s="643"/>
      <c r="F104" s="634">
        <v>0.11</v>
      </c>
      <c r="G104" s="32">
        <v>6</v>
      </c>
      <c r="H104" s="634">
        <v>0.66</v>
      </c>
      <c r="I104" s="634">
        <v>0.82599999999999996</v>
      </c>
      <c r="J104" s="32">
        <v>192</v>
      </c>
      <c r="K104" s="32" t="s">
        <v>121</v>
      </c>
      <c r="L104" s="32"/>
      <c r="M104" s="33" t="s">
        <v>122</v>
      </c>
      <c r="N104" s="33"/>
      <c r="O104" s="32">
        <v>30</v>
      </c>
      <c r="P104" s="6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0"/>
      <c r="R104" s="640"/>
      <c r="S104" s="640"/>
      <c r="T104" s="641"/>
      <c r="U104" s="34"/>
      <c r="V104" s="34"/>
      <c r="W104" s="35" t="s">
        <v>67</v>
      </c>
      <c r="X104" s="635">
        <v>17</v>
      </c>
      <c r="Y104" s="636">
        <f t="shared" si="10"/>
        <v>17.16</v>
      </c>
      <c r="Z104" s="36">
        <f>IFERROR(IF(Y104=0,"",ROUNDUP(Y104/H104,0)*0.00726),"")</f>
        <v>0.18876000000000001</v>
      </c>
      <c r="AA104" s="56"/>
      <c r="AB104" s="57"/>
      <c r="AC104" s="159" t="s">
        <v>208</v>
      </c>
      <c r="AG104" s="64"/>
      <c r="AJ104" s="68"/>
      <c r="AK104" s="68">
        <v>0</v>
      </c>
      <c r="BB104" s="160" t="s">
        <v>1</v>
      </c>
      <c r="BM104" s="64">
        <f t="shared" si="11"/>
        <v>21.275757575757574</v>
      </c>
      <c r="BN104" s="64">
        <f t="shared" si="12"/>
        <v>21.475999999999996</v>
      </c>
      <c r="BO104" s="64">
        <f t="shared" si="13"/>
        <v>0.13415404040404039</v>
      </c>
      <c r="BP104" s="64">
        <f t="shared" si="14"/>
        <v>0.13541666666666666</v>
      </c>
    </row>
    <row r="105" spans="1:68" ht="27" hidden="1" customHeight="1" x14ac:dyDescent="0.25">
      <c r="A105" s="54" t="s">
        <v>209</v>
      </c>
      <c r="B105" s="54" t="s">
        <v>210</v>
      </c>
      <c r="C105" s="31">
        <v>4301012253</v>
      </c>
      <c r="D105" s="642">
        <v>4680115880269</v>
      </c>
      <c r="E105" s="643"/>
      <c r="F105" s="634">
        <v>0.375</v>
      </c>
      <c r="G105" s="32">
        <v>10</v>
      </c>
      <c r="H105" s="634">
        <v>3.75</v>
      </c>
      <c r="I105" s="634">
        <v>3.94</v>
      </c>
      <c r="J105" s="32">
        <v>132</v>
      </c>
      <c r="K105" s="32" t="s">
        <v>126</v>
      </c>
      <c r="L105" s="32"/>
      <c r="M105" s="33" t="s">
        <v>117</v>
      </c>
      <c r="N105" s="33"/>
      <c r="O105" s="32">
        <v>50</v>
      </c>
      <c r="P105" s="937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40"/>
      <c r="R105" s="640"/>
      <c r="S105" s="640"/>
      <c r="T105" s="641"/>
      <c r="U105" s="34"/>
      <c r="V105" s="34"/>
      <c r="W105" s="35" t="s">
        <v>67</v>
      </c>
      <c r="X105" s="635">
        <v>0</v>
      </c>
      <c r="Y105" s="636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205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customHeight="1" x14ac:dyDescent="0.25">
      <c r="A106" s="54" t="s">
        <v>211</v>
      </c>
      <c r="B106" s="54" t="s">
        <v>212</v>
      </c>
      <c r="C106" s="31">
        <v>4301012254</v>
      </c>
      <c r="D106" s="642">
        <v>4680115880429</v>
      </c>
      <c r="E106" s="643"/>
      <c r="F106" s="634">
        <v>0.45</v>
      </c>
      <c r="G106" s="32">
        <v>10</v>
      </c>
      <c r="H106" s="634">
        <v>4.5</v>
      </c>
      <c r="I106" s="634">
        <v>4.6900000000000004</v>
      </c>
      <c r="J106" s="32">
        <v>132</v>
      </c>
      <c r="K106" s="32" t="s">
        <v>126</v>
      </c>
      <c r="L106" s="32"/>
      <c r="M106" s="33" t="s">
        <v>117</v>
      </c>
      <c r="N106" s="33"/>
      <c r="O106" s="32">
        <v>50</v>
      </c>
      <c r="P106" s="91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5">
        <v>181</v>
      </c>
      <c r="Y106" s="636">
        <f t="shared" si="10"/>
        <v>184.5</v>
      </c>
      <c r="Z106" s="36">
        <f>IFERROR(IF(Y106=0,"",ROUNDUP(Y106/H106,0)*0.00902),"")</f>
        <v>0.36982000000000004</v>
      </c>
      <c r="AA106" s="56"/>
      <c r="AB106" s="57"/>
      <c r="AC106" s="163" t="s">
        <v>205</v>
      </c>
      <c r="AG106" s="64"/>
      <c r="AJ106" s="68"/>
      <c r="AK106" s="68">
        <v>0</v>
      </c>
      <c r="BB106" s="164" t="s">
        <v>1</v>
      </c>
      <c r="BM106" s="64">
        <f t="shared" si="11"/>
        <v>188.64222222222224</v>
      </c>
      <c r="BN106" s="64">
        <f t="shared" si="12"/>
        <v>192.29000000000002</v>
      </c>
      <c r="BO106" s="64">
        <f t="shared" si="13"/>
        <v>0.30471380471380471</v>
      </c>
      <c r="BP106" s="64">
        <f t="shared" si="14"/>
        <v>0.31060606060606061</v>
      </c>
    </row>
    <row r="107" spans="1:68" ht="27" hidden="1" customHeight="1" x14ac:dyDescent="0.25">
      <c r="A107" s="54" t="s">
        <v>213</v>
      </c>
      <c r="B107" s="54" t="s">
        <v>214</v>
      </c>
      <c r="C107" s="31">
        <v>4301012255</v>
      </c>
      <c r="D107" s="642">
        <v>4680115881457</v>
      </c>
      <c r="E107" s="643"/>
      <c r="F107" s="634">
        <v>0.75</v>
      </c>
      <c r="G107" s="32">
        <v>6</v>
      </c>
      <c r="H107" s="634">
        <v>4.5</v>
      </c>
      <c r="I107" s="634">
        <v>4.6900000000000004</v>
      </c>
      <c r="J107" s="32">
        <v>132</v>
      </c>
      <c r="K107" s="32" t="s">
        <v>126</v>
      </c>
      <c r="L107" s="32"/>
      <c r="M107" s="33" t="s">
        <v>117</v>
      </c>
      <c r="N107" s="33"/>
      <c r="O107" s="32">
        <v>50</v>
      </c>
      <c r="P107" s="94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205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215</v>
      </c>
      <c r="B108" s="54" t="s">
        <v>216</v>
      </c>
      <c r="C108" s="31">
        <v>4301012366</v>
      </c>
      <c r="D108" s="642">
        <v>4680115889477</v>
      </c>
      <c r="E108" s="643"/>
      <c r="F108" s="634">
        <v>0.4</v>
      </c>
      <c r="G108" s="32">
        <v>6</v>
      </c>
      <c r="H108" s="634">
        <v>2.4</v>
      </c>
      <c r="I108" s="634">
        <v>2.58</v>
      </c>
      <c r="J108" s="32">
        <v>182</v>
      </c>
      <c r="K108" s="32" t="s">
        <v>65</v>
      </c>
      <c r="L108" s="32"/>
      <c r="M108" s="33" t="s">
        <v>117</v>
      </c>
      <c r="N108" s="33"/>
      <c r="O108" s="32">
        <v>55</v>
      </c>
      <c r="P108" s="87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IFERROR(IF(Y108=0,"",ROUNDUP(Y108/H108,0)*0.00651),"")</f>
        <v/>
      </c>
      <c r="AA108" s="56"/>
      <c r="AB108" s="57"/>
      <c r="AC108" s="167" t="s">
        <v>217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x14ac:dyDescent="0.2">
      <c r="A109" s="647"/>
      <c r="B109" s="648"/>
      <c r="C109" s="648"/>
      <c r="D109" s="648"/>
      <c r="E109" s="648"/>
      <c r="F109" s="648"/>
      <c r="G109" s="648"/>
      <c r="H109" s="648"/>
      <c r="I109" s="648"/>
      <c r="J109" s="648"/>
      <c r="K109" s="648"/>
      <c r="L109" s="648"/>
      <c r="M109" s="648"/>
      <c r="N109" s="648"/>
      <c r="O109" s="649"/>
      <c r="P109" s="653" t="s">
        <v>81</v>
      </c>
      <c r="Q109" s="654"/>
      <c r="R109" s="654"/>
      <c r="S109" s="654"/>
      <c r="T109" s="654"/>
      <c r="U109" s="654"/>
      <c r="V109" s="655"/>
      <c r="W109" s="37" t="s">
        <v>82</v>
      </c>
      <c r="X109" s="637">
        <f>IFERROR(X102/H102,"0")+IFERROR(X103/H103,"0")+IFERROR(X104/H104,"0")+IFERROR(X105/H105,"0")+IFERROR(X106/H106,"0")+IFERROR(X107/H107,"0")+IFERROR(X108/H108,"0")</f>
        <v>74.405723905723903</v>
      </c>
      <c r="Y109" s="637">
        <f>IFERROR(Y102/H102,"0")+IFERROR(Y103/H103,"0")+IFERROR(Y104/H104,"0")+IFERROR(Y105/H105,"0")+IFERROR(Y106/H106,"0")+IFERROR(Y107/H107,"0")+IFERROR(Y108/H108,"0")</f>
        <v>76</v>
      </c>
      <c r="Z109" s="637">
        <f>IFERROR(IF(Z102="",0,Z102),"0")+IFERROR(IF(Z103="",0,Z103),"0")+IFERROR(IF(Z104="",0,Z104),"0")+IFERROR(IF(Z105="",0,Z105),"0")+IFERROR(IF(Z106="",0,Z106),"0")+IFERROR(IF(Z107="",0,Z107),"0")+IFERROR(IF(Z108="",0,Z108),"0")</f>
        <v>0.72940000000000005</v>
      </c>
      <c r="AA109" s="638"/>
      <c r="AB109" s="638"/>
      <c r="AC109" s="638"/>
    </row>
    <row r="110" spans="1:68" x14ac:dyDescent="0.2">
      <c r="A110" s="648"/>
      <c r="B110" s="648"/>
      <c r="C110" s="648"/>
      <c r="D110" s="648"/>
      <c r="E110" s="648"/>
      <c r="F110" s="648"/>
      <c r="G110" s="648"/>
      <c r="H110" s="648"/>
      <c r="I110" s="648"/>
      <c r="J110" s="648"/>
      <c r="K110" s="648"/>
      <c r="L110" s="648"/>
      <c r="M110" s="648"/>
      <c r="N110" s="648"/>
      <c r="O110" s="649"/>
      <c r="P110" s="653" t="s">
        <v>81</v>
      </c>
      <c r="Q110" s="654"/>
      <c r="R110" s="654"/>
      <c r="S110" s="654"/>
      <c r="T110" s="654"/>
      <c r="U110" s="654"/>
      <c r="V110" s="655"/>
      <c r="W110" s="37" t="s">
        <v>67</v>
      </c>
      <c r="X110" s="637">
        <f>IFERROR(SUM(X102:X108),"0")</f>
        <v>289</v>
      </c>
      <c r="Y110" s="637">
        <f>IFERROR(SUM(Y102:Y108),"0")</f>
        <v>298.86</v>
      </c>
      <c r="Z110" s="37"/>
      <c r="AA110" s="638"/>
      <c r="AB110" s="638"/>
      <c r="AC110" s="638"/>
    </row>
    <row r="111" spans="1:68" ht="14.25" hidden="1" customHeight="1" x14ac:dyDescent="0.25">
      <c r="A111" s="658" t="s">
        <v>150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31"/>
      <c r="AB111" s="631"/>
      <c r="AC111" s="631"/>
    </row>
    <row r="112" spans="1:68" ht="27" customHeight="1" x14ac:dyDescent="0.25">
      <c r="A112" s="54" t="s">
        <v>218</v>
      </c>
      <c r="B112" s="54" t="s">
        <v>219</v>
      </c>
      <c r="C112" s="31">
        <v>4301020391</v>
      </c>
      <c r="D112" s="642">
        <v>4680115881488</v>
      </c>
      <c r="E112" s="643"/>
      <c r="F112" s="634">
        <v>1.35</v>
      </c>
      <c r="G112" s="32">
        <v>8</v>
      </c>
      <c r="H112" s="634">
        <v>10.8</v>
      </c>
      <c r="I112" s="634">
        <v>11.21</v>
      </c>
      <c r="J112" s="32">
        <v>64</v>
      </c>
      <c r="K112" s="32" t="s">
        <v>116</v>
      </c>
      <c r="L112" s="32"/>
      <c r="M112" s="33" t="s">
        <v>117</v>
      </c>
      <c r="N112" s="33"/>
      <c r="O112" s="32">
        <v>55</v>
      </c>
      <c r="P112" s="92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5">
        <v>107</v>
      </c>
      <c r="Y112" s="636">
        <f>IFERROR(IF(X112="",0,CEILING((X112/$H112),1)*$H112),"")</f>
        <v>108</v>
      </c>
      <c r="Z112" s="36">
        <f>IFERROR(IF(Y112=0,"",ROUNDUP(Y112/H112,0)*0.01898),"")</f>
        <v>0.1898</v>
      </c>
      <c r="AA112" s="56"/>
      <c r="AB112" s="57"/>
      <c r="AC112" s="169" t="s">
        <v>220</v>
      </c>
      <c r="AG112" s="64"/>
      <c r="AJ112" s="68"/>
      <c r="AK112" s="68">
        <v>0</v>
      </c>
      <c r="BB112" s="170" t="s">
        <v>1</v>
      </c>
      <c r="BM112" s="64">
        <f>IFERROR(X112*I112/H112,"0")</f>
        <v>111.06203703703703</v>
      </c>
      <c r="BN112" s="64">
        <f>IFERROR(Y112*I112/H112,"0")</f>
        <v>112.1</v>
      </c>
      <c r="BO112" s="64">
        <f>IFERROR(1/J112*(X112/H112),"0")</f>
        <v>0.15480324074074073</v>
      </c>
      <c r="BP112" s="64">
        <f>IFERROR(1/J112*(Y112/H112),"0")</f>
        <v>0.15625</v>
      </c>
    </row>
    <row r="113" spans="1:68" ht="27" hidden="1" customHeight="1" x14ac:dyDescent="0.25">
      <c r="A113" s="54" t="s">
        <v>221</v>
      </c>
      <c r="B113" s="54" t="s">
        <v>222</v>
      </c>
      <c r="C113" s="31">
        <v>4301020393</v>
      </c>
      <c r="D113" s="642">
        <v>4680115882775</v>
      </c>
      <c r="E113" s="643"/>
      <c r="F113" s="634">
        <v>0.3</v>
      </c>
      <c r="G113" s="32">
        <v>8</v>
      </c>
      <c r="H113" s="634">
        <v>2.4</v>
      </c>
      <c r="I113" s="634">
        <v>2.5</v>
      </c>
      <c r="J113" s="32">
        <v>234</v>
      </c>
      <c r="K113" s="32" t="s">
        <v>223</v>
      </c>
      <c r="L113" s="32"/>
      <c r="M113" s="33" t="s">
        <v>117</v>
      </c>
      <c r="N113" s="33"/>
      <c r="O113" s="32">
        <v>55</v>
      </c>
      <c r="P113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40"/>
      <c r="R113" s="640"/>
      <c r="S113" s="640"/>
      <c r="T113" s="641"/>
      <c r="U113" s="34"/>
      <c r="V113" s="34"/>
      <c r="W113" s="35" t="s">
        <v>67</v>
      </c>
      <c r="X113" s="635">
        <v>0</v>
      </c>
      <c r="Y113" s="63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71" t="s">
        <v>220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224</v>
      </c>
      <c r="B114" s="54" t="s">
        <v>225</v>
      </c>
      <c r="C114" s="31">
        <v>4301020392</v>
      </c>
      <c r="D114" s="642">
        <v>4680115880658</v>
      </c>
      <c r="E114" s="643"/>
      <c r="F114" s="634">
        <v>0.4</v>
      </c>
      <c r="G114" s="32">
        <v>6</v>
      </c>
      <c r="H114" s="634">
        <v>2.4</v>
      </c>
      <c r="I114" s="634">
        <v>2.58</v>
      </c>
      <c r="J114" s="32">
        <v>182</v>
      </c>
      <c r="K114" s="32" t="s">
        <v>65</v>
      </c>
      <c r="L114" s="32"/>
      <c r="M114" s="33" t="s">
        <v>117</v>
      </c>
      <c r="N114" s="33"/>
      <c r="O114" s="32">
        <v>55</v>
      </c>
      <c r="P114" s="9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40"/>
      <c r="R114" s="640"/>
      <c r="S114" s="640"/>
      <c r="T114" s="641"/>
      <c r="U114" s="34"/>
      <c r="V114" s="34"/>
      <c r="W114" s="35" t="s">
        <v>67</v>
      </c>
      <c r="X114" s="635">
        <v>26</v>
      </c>
      <c r="Y114" s="636">
        <f>IFERROR(IF(X114="",0,CEILING((X114/$H114),1)*$H114),"")</f>
        <v>26.4</v>
      </c>
      <c r="Z114" s="36">
        <f>IFERROR(IF(Y114=0,"",ROUNDUP(Y114/H114,0)*0.00651),"")</f>
        <v>7.1610000000000007E-2</v>
      </c>
      <c r="AA114" s="56"/>
      <c r="AB114" s="57"/>
      <c r="AC114" s="173" t="s">
        <v>220</v>
      </c>
      <c r="AG114" s="64"/>
      <c r="AJ114" s="68"/>
      <c r="AK114" s="68">
        <v>0</v>
      </c>
      <c r="BB114" s="174" t="s">
        <v>1</v>
      </c>
      <c r="BM114" s="64">
        <f>IFERROR(X114*I114/H114,"0")</f>
        <v>27.95</v>
      </c>
      <c r="BN114" s="64">
        <f>IFERROR(Y114*I114/H114,"0")</f>
        <v>28.38</v>
      </c>
      <c r="BO114" s="64">
        <f>IFERROR(1/J114*(X114/H114),"0")</f>
        <v>5.9523809523809534E-2</v>
      </c>
      <c r="BP114" s="64">
        <f>IFERROR(1/J114*(Y114/H114),"0")</f>
        <v>6.0439560439560447E-2</v>
      </c>
    </row>
    <row r="115" spans="1:68" x14ac:dyDescent="0.2">
      <c r="A115" s="647"/>
      <c r="B115" s="648"/>
      <c r="C115" s="648"/>
      <c r="D115" s="648"/>
      <c r="E115" s="648"/>
      <c r="F115" s="648"/>
      <c r="G115" s="648"/>
      <c r="H115" s="648"/>
      <c r="I115" s="648"/>
      <c r="J115" s="648"/>
      <c r="K115" s="648"/>
      <c r="L115" s="648"/>
      <c r="M115" s="648"/>
      <c r="N115" s="648"/>
      <c r="O115" s="649"/>
      <c r="P115" s="653" t="s">
        <v>81</v>
      </c>
      <c r="Q115" s="654"/>
      <c r="R115" s="654"/>
      <c r="S115" s="654"/>
      <c r="T115" s="654"/>
      <c r="U115" s="654"/>
      <c r="V115" s="655"/>
      <c r="W115" s="37" t="s">
        <v>82</v>
      </c>
      <c r="X115" s="637">
        <f>IFERROR(X112/H112,"0")+IFERROR(X113/H113,"0")+IFERROR(X114/H114,"0")</f>
        <v>20.74074074074074</v>
      </c>
      <c r="Y115" s="637">
        <f>IFERROR(Y112/H112,"0")+IFERROR(Y113/H113,"0")+IFERROR(Y114/H114,"0")</f>
        <v>21</v>
      </c>
      <c r="Z115" s="637">
        <f>IFERROR(IF(Z112="",0,Z112),"0")+IFERROR(IF(Z113="",0,Z113),"0")+IFERROR(IF(Z114="",0,Z114),"0")</f>
        <v>0.26141000000000003</v>
      </c>
      <c r="AA115" s="638"/>
      <c r="AB115" s="638"/>
      <c r="AC115" s="638"/>
    </row>
    <row r="116" spans="1:68" x14ac:dyDescent="0.2">
      <c r="A116" s="648"/>
      <c r="B116" s="648"/>
      <c r="C116" s="648"/>
      <c r="D116" s="648"/>
      <c r="E116" s="648"/>
      <c r="F116" s="648"/>
      <c r="G116" s="648"/>
      <c r="H116" s="648"/>
      <c r="I116" s="648"/>
      <c r="J116" s="648"/>
      <c r="K116" s="648"/>
      <c r="L116" s="648"/>
      <c r="M116" s="648"/>
      <c r="N116" s="648"/>
      <c r="O116" s="649"/>
      <c r="P116" s="653" t="s">
        <v>81</v>
      </c>
      <c r="Q116" s="654"/>
      <c r="R116" s="654"/>
      <c r="S116" s="654"/>
      <c r="T116" s="654"/>
      <c r="U116" s="654"/>
      <c r="V116" s="655"/>
      <c r="W116" s="37" t="s">
        <v>67</v>
      </c>
      <c r="X116" s="637">
        <f>IFERROR(SUM(X112:X114),"0")</f>
        <v>133</v>
      </c>
      <c r="Y116" s="637">
        <f>IFERROR(SUM(Y112:Y114),"0")</f>
        <v>134.4</v>
      </c>
      <c r="Z116" s="37"/>
      <c r="AA116" s="638"/>
      <c r="AB116" s="638"/>
      <c r="AC116" s="638"/>
    </row>
    <row r="117" spans="1:68" ht="14.25" hidden="1" customHeight="1" x14ac:dyDescent="0.25">
      <c r="A117" s="658" t="s">
        <v>62</v>
      </c>
      <c r="B117" s="648"/>
      <c r="C117" s="648"/>
      <c r="D117" s="648"/>
      <c r="E117" s="648"/>
      <c r="F117" s="648"/>
      <c r="G117" s="648"/>
      <c r="H117" s="648"/>
      <c r="I117" s="648"/>
      <c r="J117" s="648"/>
      <c r="K117" s="648"/>
      <c r="L117" s="648"/>
      <c r="M117" s="648"/>
      <c r="N117" s="648"/>
      <c r="O117" s="648"/>
      <c r="P117" s="648"/>
      <c r="Q117" s="648"/>
      <c r="R117" s="648"/>
      <c r="S117" s="648"/>
      <c r="T117" s="648"/>
      <c r="U117" s="648"/>
      <c r="V117" s="648"/>
      <c r="W117" s="648"/>
      <c r="X117" s="648"/>
      <c r="Y117" s="648"/>
      <c r="Z117" s="648"/>
      <c r="AA117" s="631"/>
      <c r="AB117" s="631"/>
      <c r="AC117" s="631"/>
    </row>
    <row r="118" spans="1:68" ht="27" customHeight="1" x14ac:dyDescent="0.25">
      <c r="A118" s="54" t="s">
        <v>226</v>
      </c>
      <c r="B118" s="54" t="s">
        <v>227</v>
      </c>
      <c r="C118" s="31">
        <v>4301052088</v>
      </c>
      <c r="D118" s="642">
        <v>4607091385168</v>
      </c>
      <c r="E118" s="643"/>
      <c r="F118" s="634">
        <v>1.35</v>
      </c>
      <c r="G118" s="32">
        <v>6</v>
      </c>
      <c r="H118" s="634">
        <v>8.1</v>
      </c>
      <c r="I118" s="634">
        <v>8.5879999999999992</v>
      </c>
      <c r="J118" s="32">
        <v>64</v>
      </c>
      <c r="K118" s="32" t="s">
        <v>116</v>
      </c>
      <c r="L118" s="32"/>
      <c r="M118" s="33" t="s">
        <v>66</v>
      </c>
      <c r="N118" s="33"/>
      <c r="O118" s="32">
        <v>45</v>
      </c>
      <c r="P118" s="77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5">
        <v>461</v>
      </c>
      <c r="Y118" s="636">
        <f>IFERROR(IF(X118="",0,CEILING((X118/$H118),1)*$H118),"")</f>
        <v>461.7</v>
      </c>
      <c r="Z118" s="36">
        <f>IFERROR(IF(Y118=0,"",ROUNDUP(Y118/H118,0)*0.01898),"")</f>
        <v>1.08186</v>
      </c>
      <c r="AA118" s="56"/>
      <c r="AB118" s="57"/>
      <c r="AC118" s="175" t="s">
        <v>228</v>
      </c>
      <c r="AG118" s="64"/>
      <c r="AJ118" s="68"/>
      <c r="AK118" s="68">
        <v>0</v>
      </c>
      <c r="BB118" s="176" t="s">
        <v>1</v>
      </c>
      <c r="BM118" s="64">
        <f>IFERROR(X118*I118/H118,"0")</f>
        <v>488.77382716049379</v>
      </c>
      <c r="BN118" s="64">
        <f>IFERROR(Y118*I118/H118,"0")</f>
        <v>489.51599999999996</v>
      </c>
      <c r="BO118" s="64">
        <f>IFERROR(1/J118*(X118/H118),"0")</f>
        <v>0.88927469135802473</v>
      </c>
      <c r="BP118" s="64">
        <f>IFERROR(1/J118*(Y118/H118),"0")</f>
        <v>0.890625</v>
      </c>
    </row>
    <row r="119" spans="1:68" ht="27" hidden="1" customHeight="1" x14ac:dyDescent="0.25">
      <c r="A119" s="54" t="s">
        <v>229</v>
      </c>
      <c r="B119" s="54" t="s">
        <v>230</v>
      </c>
      <c r="C119" s="31">
        <v>4301052087</v>
      </c>
      <c r="D119" s="642">
        <v>4607091383256</v>
      </c>
      <c r="E119" s="643"/>
      <c r="F119" s="634">
        <v>0.33</v>
      </c>
      <c r="G119" s="32">
        <v>6</v>
      </c>
      <c r="H119" s="634">
        <v>1.98</v>
      </c>
      <c r="I119" s="634">
        <v>2.226</v>
      </c>
      <c r="J119" s="32">
        <v>182</v>
      </c>
      <c r="K119" s="32" t="s">
        <v>65</v>
      </c>
      <c r="L119" s="32"/>
      <c r="M119" s="33" t="s">
        <v>66</v>
      </c>
      <c r="N119" s="33"/>
      <c r="O119" s="32">
        <v>45</v>
      </c>
      <c r="P119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228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customHeight="1" x14ac:dyDescent="0.25">
      <c r="A120" s="54" t="s">
        <v>231</v>
      </c>
      <c r="B120" s="54" t="s">
        <v>232</v>
      </c>
      <c r="C120" s="31">
        <v>4301052086</v>
      </c>
      <c r="D120" s="642">
        <v>4607091385748</v>
      </c>
      <c r="E120" s="643"/>
      <c r="F120" s="634">
        <v>0.45</v>
      </c>
      <c r="G120" s="32">
        <v>6</v>
      </c>
      <c r="H120" s="634">
        <v>2.7</v>
      </c>
      <c r="I120" s="634">
        <v>2.952</v>
      </c>
      <c r="J120" s="32">
        <v>182</v>
      </c>
      <c r="K120" s="32" t="s">
        <v>65</v>
      </c>
      <c r="L120" s="32"/>
      <c r="M120" s="33" t="s">
        <v>66</v>
      </c>
      <c r="N120" s="33"/>
      <c r="O120" s="32">
        <v>45</v>
      </c>
      <c r="P120" s="71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40"/>
      <c r="R120" s="640"/>
      <c r="S120" s="640"/>
      <c r="T120" s="641"/>
      <c r="U120" s="34"/>
      <c r="V120" s="34"/>
      <c r="W120" s="35" t="s">
        <v>67</v>
      </c>
      <c r="X120" s="635">
        <v>292</v>
      </c>
      <c r="Y120" s="636">
        <f>IFERROR(IF(X120="",0,CEILING((X120/$H120),1)*$H120),"")</f>
        <v>294.3</v>
      </c>
      <c r="Z120" s="36">
        <f>IFERROR(IF(Y120=0,"",ROUNDUP(Y120/H120,0)*0.00651),"")</f>
        <v>0.70959000000000005</v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319.25333333333333</v>
      </c>
      <c r="BN120" s="64">
        <f>IFERROR(Y120*I120/H120,"0")</f>
        <v>321.76799999999997</v>
      </c>
      <c r="BO120" s="64">
        <f>IFERROR(1/J120*(X120/H120),"0")</f>
        <v>0.59422059422059426</v>
      </c>
      <c r="BP120" s="64">
        <f>IFERROR(1/J120*(Y120/H120),"0")</f>
        <v>0.59890109890109899</v>
      </c>
    </row>
    <row r="121" spans="1:68" ht="16.5" hidden="1" customHeight="1" x14ac:dyDescent="0.25">
      <c r="A121" s="54" t="s">
        <v>233</v>
      </c>
      <c r="B121" s="54" t="s">
        <v>234</v>
      </c>
      <c r="C121" s="31">
        <v>4301052085</v>
      </c>
      <c r="D121" s="642">
        <v>4680115884533</v>
      </c>
      <c r="E121" s="643"/>
      <c r="F121" s="634">
        <v>0.3</v>
      </c>
      <c r="G121" s="32">
        <v>6</v>
      </c>
      <c r="H121" s="634">
        <v>1.8</v>
      </c>
      <c r="I121" s="634">
        <v>1.98</v>
      </c>
      <c r="J121" s="32">
        <v>182</v>
      </c>
      <c r="K121" s="32" t="s">
        <v>65</v>
      </c>
      <c r="L121" s="32"/>
      <c r="M121" s="33" t="s">
        <v>66</v>
      </c>
      <c r="N121" s="33"/>
      <c r="O121" s="32">
        <v>45</v>
      </c>
      <c r="P121" s="96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40"/>
      <c r="R121" s="640"/>
      <c r="S121" s="640"/>
      <c r="T121" s="641"/>
      <c r="U121" s="34"/>
      <c r="V121" s="34"/>
      <c r="W121" s="35" t="s">
        <v>67</v>
      </c>
      <c r="X121" s="635">
        <v>0</v>
      </c>
      <c r="Y121" s="63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235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647"/>
      <c r="B122" s="648"/>
      <c r="C122" s="648"/>
      <c r="D122" s="648"/>
      <c r="E122" s="648"/>
      <c r="F122" s="648"/>
      <c r="G122" s="648"/>
      <c r="H122" s="648"/>
      <c r="I122" s="648"/>
      <c r="J122" s="648"/>
      <c r="K122" s="648"/>
      <c r="L122" s="648"/>
      <c r="M122" s="648"/>
      <c r="N122" s="648"/>
      <c r="O122" s="649"/>
      <c r="P122" s="653" t="s">
        <v>81</v>
      </c>
      <c r="Q122" s="654"/>
      <c r="R122" s="654"/>
      <c r="S122" s="654"/>
      <c r="T122" s="654"/>
      <c r="U122" s="654"/>
      <c r="V122" s="655"/>
      <c r="W122" s="37" t="s">
        <v>82</v>
      </c>
      <c r="X122" s="637">
        <f>IFERROR(X118/H118,"0")+IFERROR(X119/H119,"0")+IFERROR(X120/H120,"0")+IFERROR(X121/H121,"0")</f>
        <v>165.06172839506172</v>
      </c>
      <c r="Y122" s="637">
        <f>IFERROR(Y118/H118,"0")+IFERROR(Y119/H119,"0")+IFERROR(Y120/H120,"0")+IFERROR(Y121/H121,"0")</f>
        <v>166</v>
      </c>
      <c r="Z122" s="637">
        <f>IFERROR(IF(Z118="",0,Z118),"0")+IFERROR(IF(Z119="",0,Z119),"0")+IFERROR(IF(Z120="",0,Z120),"0")+IFERROR(IF(Z121="",0,Z121),"0")</f>
        <v>1.7914500000000002</v>
      </c>
      <c r="AA122" s="638"/>
      <c r="AB122" s="638"/>
      <c r="AC122" s="638"/>
    </row>
    <row r="123" spans="1:68" x14ac:dyDescent="0.2">
      <c r="A123" s="648"/>
      <c r="B123" s="648"/>
      <c r="C123" s="648"/>
      <c r="D123" s="648"/>
      <c r="E123" s="648"/>
      <c r="F123" s="648"/>
      <c r="G123" s="648"/>
      <c r="H123" s="648"/>
      <c r="I123" s="648"/>
      <c r="J123" s="648"/>
      <c r="K123" s="648"/>
      <c r="L123" s="648"/>
      <c r="M123" s="648"/>
      <c r="N123" s="648"/>
      <c r="O123" s="649"/>
      <c r="P123" s="653" t="s">
        <v>81</v>
      </c>
      <c r="Q123" s="654"/>
      <c r="R123" s="654"/>
      <c r="S123" s="654"/>
      <c r="T123" s="654"/>
      <c r="U123" s="654"/>
      <c r="V123" s="655"/>
      <c r="W123" s="37" t="s">
        <v>67</v>
      </c>
      <c r="X123" s="637">
        <f>IFERROR(SUM(X118:X121),"0")</f>
        <v>753</v>
      </c>
      <c r="Y123" s="637">
        <f>IFERROR(SUM(Y118:Y121),"0")</f>
        <v>756</v>
      </c>
      <c r="Z123" s="37"/>
      <c r="AA123" s="638"/>
      <c r="AB123" s="638"/>
      <c r="AC123" s="638"/>
    </row>
    <row r="124" spans="1:68" ht="14.25" hidden="1" customHeight="1" x14ac:dyDescent="0.25">
      <c r="A124" s="658" t="s">
        <v>168</v>
      </c>
      <c r="B124" s="648"/>
      <c r="C124" s="648"/>
      <c r="D124" s="648"/>
      <c r="E124" s="648"/>
      <c r="F124" s="648"/>
      <c r="G124" s="648"/>
      <c r="H124" s="648"/>
      <c r="I124" s="648"/>
      <c r="J124" s="648"/>
      <c r="K124" s="648"/>
      <c r="L124" s="648"/>
      <c r="M124" s="648"/>
      <c r="N124" s="648"/>
      <c r="O124" s="648"/>
      <c r="P124" s="648"/>
      <c r="Q124" s="648"/>
      <c r="R124" s="648"/>
      <c r="S124" s="648"/>
      <c r="T124" s="648"/>
      <c r="U124" s="648"/>
      <c r="V124" s="648"/>
      <c r="W124" s="648"/>
      <c r="X124" s="648"/>
      <c r="Y124" s="648"/>
      <c r="Z124" s="648"/>
      <c r="AA124" s="631"/>
      <c r="AB124" s="631"/>
      <c r="AC124" s="631"/>
    </row>
    <row r="125" spans="1:68" ht="16.5" customHeight="1" x14ac:dyDescent="0.25">
      <c r="A125" s="54" t="s">
        <v>236</v>
      </c>
      <c r="B125" s="54" t="s">
        <v>237</v>
      </c>
      <c r="C125" s="31">
        <v>4301060525</v>
      </c>
      <c r="D125" s="642">
        <v>4680115880238</v>
      </c>
      <c r="E125" s="643"/>
      <c r="F125" s="634">
        <v>0.33</v>
      </c>
      <c r="G125" s="32">
        <v>6</v>
      </c>
      <c r="H125" s="634">
        <v>1.98</v>
      </c>
      <c r="I125" s="634">
        <v>2.238</v>
      </c>
      <c r="J125" s="32">
        <v>182</v>
      </c>
      <c r="K125" s="32" t="s">
        <v>65</v>
      </c>
      <c r="L125" s="32"/>
      <c r="M125" s="33" t="s">
        <v>66</v>
      </c>
      <c r="N125" s="33"/>
      <c r="O125" s="32">
        <v>40</v>
      </c>
      <c r="P125" s="924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5">
        <v>120</v>
      </c>
      <c r="Y125" s="636">
        <f>IFERROR(IF(X125="",0,CEILING((X125/$H125),1)*$H125),"")</f>
        <v>120.78</v>
      </c>
      <c r="Z125" s="36">
        <f>IFERROR(IF(Y125=0,"",ROUNDUP(Y125/H125,0)*0.00651),"")</f>
        <v>0.39711000000000002</v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135.63636363636363</v>
      </c>
      <c r="BN125" s="64">
        <f>IFERROR(Y125*I125/H125,"0")</f>
        <v>136.518</v>
      </c>
      <c r="BO125" s="64">
        <f>IFERROR(1/J125*(X125/H125),"0")</f>
        <v>0.33300033300033305</v>
      </c>
      <c r="BP125" s="64">
        <f>IFERROR(1/J125*(Y125/H125),"0")</f>
        <v>0.3351648351648352</v>
      </c>
    </row>
    <row r="126" spans="1:68" x14ac:dyDescent="0.2">
      <c r="A126" s="647"/>
      <c r="B126" s="648"/>
      <c r="C126" s="648"/>
      <c r="D126" s="648"/>
      <c r="E126" s="648"/>
      <c r="F126" s="648"/>
      <c r="G126" s="648"/>
      <c r="H126" s="648"/>
      <c r="I126" s="648"/>
      <c r="J126" s="648"/>
      <c r="K126" s="648"/>
      <c r="L126" s="648"/>
      <c r="M126" s="648"/>
      <c r="N126" s="648"/>
      <c r="O126" s="649"/>
      <c r="P126" s="653" t="s">
        <v>81</v>
      </c>
      <c r="Q126" s="654"/>
      <c r="R126" s="654"/>
      <c r="S126" s="654"/>
      <c r="T126" s="654"/>
      <c r="U126" s="654"/>
      <c r="V126" s="655"/>
      <c r="W126" s="37" t="s">
        <v>82</v>
      </c>
      <c r="X126" s="637">
        <f>IFERROR(X125/H125,"0")</f>
        <v>60.606060606060609</v>
      </c>
      <c r="Y126" s="637">
        <f>IFERROR(Y125/H125,"0")</f>
        <v>61</v>
      </c>
      <c r="Z126" s="637">
        <f>IFERROR(IF(Z125="",0,Z125),"0")</f>
        <v>0.39711000000000002</v>
      </c>
      <c r="AA126" s="638"/>
      <c r="AB126" s="638"/>
      <c r="AC126" s="638"/>
    </row>
    <row r="127" spans="1:68" x14ac:dyDescent="0.2">
      <c r="A127" s="648"/>
      <c r="B127" s="648"/>
      <c r="C127" s="648"/>
      <c r="D127" s="648"/>
      <c r="E127" s="648"/>
      <c r="F127" s="648"/>
      <c r="G127" s="648"/>
      <c r="H127" s="648"/>
      <c r="I127" s="648"/>
      <c r="J127" s="648"/>
      <c r="K127" s="648"/>
      <c r="L127" s="648"/>
      <c r="M127" s="648"/>
      <c r="N127" s="648"/>
      <c r="O127" s="649"/>
      <c r="P127" s="653" t="s">
        <v>81</v>
      </c>
      <c r="Q127" s="654"/>
      <c r="R127" s="654"/>
      <c r="S127" s="654"/>
      <c r="T127" s="654"/>
      <c r="U127" s="654"/>
      <c r="V127" s="655"/>
      <c r="W127" s="37" t="s">
        <v>67</v>
      </c>
      <c r="X127" s="637">
        <f>IFERROR(SUM(X125:X125),"0")</f>
        <v>120</v>
      </c>
      <c r="Y127" s="637">
        <f>IFERROR(SUM(Y125:Y125),"0")</f>
        <v>120.78</v>
      </c>
      <c r="Z127" s="37"/>
      <c r="AA127" s="638"/>
      <c r="AB127" s="638"/>
      <c r="AC127" s="638"/>
    </row>
    <row r="128" spans="1:68" ht="16.5" hidden="1" customHeight="1" x14ac:dyDescent="0.25">
      <c r="A128" s="652" t="s">
        <v>239</v>
      </c>
      <c r="B128" s="648"/>
      <c r="C128" s="648"/>
      <c r="D128" s="648"/>
      <c r="E128" s="648"/>
      <c r="F128" s="648"/>
      <c r="G128" s="648"/>
      <c r="H128" s="648"/>
      <c r="I128" s="648"/>
      <c r="J128" s="648"/>
      <c r="K128" s="648"/>
      <c r="L128" s="648"/>
      <c r="M128" s="648"/>
      <c r="N128" s="648"/>
      <c r="O128" s="648"/>
      <c r="P128" s="648"/>
      <c r="Q128" s="648"/>
      <c r="R128" s="648"/>
      <c r="S128" s="648"/>
      <c r="T128" s="648"/>
      <c r="U128" s="648"/>
      <c r="V128" s="648"/>
      <c r="W128" s="648"/>
      <c r="X128" s="648"/>
      <c r="Y128" s="648"/>
      <c r="Z128" s="648"/>
      <c r="AA128" s="630"/>
      <c r="AB128" s="630"/>
      <c r="AC128" s="630"/>
    </row>
    <row r="129" spans="1:68" ht="14.25" hidden="1" customHeight="1" x14ac:dyDescent="0.25">
      <c r="A129" s="658" t="s">
        <v>113</v>
      </c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8"/>
      <c r="P129" s="648"/>
      <c r="Q129" s="648"/>
      <c r="R129" s="648"/>
      <c r="S129" s="648"/>
      <c r="T129" s="648"/>
      <c r="U129" s="648"/>
      <c r="V129" s="648"/>
      <c r="W129" s="648"/>
      <c r="X129" s="648"/>
      <c r="Y129" s="648"/>
      <c r="Z129" s="648"/>
      <c r="AA129" s="631"/>
      <c r="AB129" s="631"/>
      <c r="AC129" s="631"/>
    </row>
    <row r="130" spans="1:68" ht="27" customHeight="1" x14ac:dyDescent="0.25">
      <c r="A130" s="54" t="s">
        <v>240</v>
      </c>
      <c r="B130" s="54" t="s">
        <v>241</v>
      </c>
      <c r="C130" s="31">
        <v>4301011562</v>
      </c>
      <c r="D130" s="642">
        <v>4680115882577</v>
      </c>
      <c r="E130" s="643"/>
      <c r="F130" s="634">
        <v>0.4</v>
      </c>
      <c r="G130" s="32">
        <v>8</v>
      </c>
      <c r="H130" s="634">
        <v>3.2</v>
      </c>
      <c r="I130" s="634">
        <v>3.38</v>
      </c>
      <c r="J130" s="32">
        <v>182</v>
      </c>
      <c r="K130" s="32" t="s">
        <v>65</v>
      </c>
      <c r="L130" s="32"/>
      <c r="M130" s="33" t="s">
        <v>242</v>
      </c>
      <c r="N130" s="33"/>
      <c r="O130" s="32">
        <v>90</v>
      </c>
      <c r="P130" s="91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0"/>
      <c r="R130" s="640"/>
      <c r="S130" s="640"/>
      <c r="T130" s="641"/>
      <c r="U130" s="34"/>
      <c r="V130" s="34"/>
      <c r="W130" s="35" t="s">
        <v>67</v>
      </c>
      <c r="X130" s="635">
        <v>20</v>
      </c>
      <c r="Y130" s="636">
        <f>IFERROR(IF(X130="",0,CEILING((X130/$H130),1)*$H130),"")</f>
        <v>22.400000000000002</v>
      </c>
      <c r="Z130" s="36">
        <f>IFERROR(IF(Y130=0,"",ROUNDUP(Y130/H130,0)*0.00651),"")</f>
        <v>4.5569999999999999E-2</v>
      </c>
      <c r="AA130" s="56"/>
      <c r="AB130" s="57"/>
      <c r="AC130" s="185" t="s">
        <v>243</v>
      </c>
      <c r="AG130" s="64"/>
      <c r="AJ130" s="68"/>
      <c r="AK130" s="68">
        <v>0</v>
      </c>
      <c r="BB130" s="186" t="s">
        <v>1</v>
      </c>
      <c r="BM130" s="64">
        <f>IFERROR(X130*I130/H130,"0")</f>
        <v>21.124999999999996</v>
      </c>
      <c r="BN130" s="64">
        <f>IFERROR(Y130*I130/H130,"0")</f>
        <v>23.66</v>
      </c>
      <c r="BO130" s="64">
        <f>IFERROR(1/J130*(X130/H130),"0")</f>
        <v>3.4340659340659344E-2</v>
      </c>
      <c r="BP130" s="64">
        <f>IFERROR(1/J130*(Y130/H130),"0")</f>
        <v>3.8461538461538464E-2</v>
      </c>
    </row>
    <row r="131" spans="1:68" ht="27" hidden="1" customHeight="1" x14ac:dyDescent="0.25">
      <c r="A131" s="54" t="s">
        <v>240</v>
      </c>
      <c r="B131" s="54" t="s">
        <v>244</v>
      </c>
      <c r="C131" s="31">
        <v>4301011564</v>
      </c>
      <c r="D131" s="642">
        <v>4680115882577</v>
      </c>
      <c r="E131" s="643"/>
      <c r="F131" s="634">
        <v>0.4</v>
      </c>
      <c r="G131" s="32">
        <v>8</v>
      </c>
      <c r="H131" s="634">
        <v>3.2</v>
      </c>
      <c r="I131" s="634">
        <v>3.38</v>
      </c>
      <c r="J131" s="32">
        <v>182</v>
      </c>
      <c r="K131" s="32" t="s">
        <v>65</v>
      </c>
      <c r="L131" s="32"/>
      <c r="M131" s="33" t="s">
        <v>242</v>
      </c>
      <c r="N131" s="33"/>
      <c r="O131" s="32">
        <v>90</v>
      </c>
      <c r="P131" s="75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0"/>
      <c r="R131" s="640"/>
      <c r="S131" s="640"/>
      <c r="T131" s="641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243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47"/>
      <c r="B132" s="648"/>
      <c r="C132" s="648"/>
      <c r="D132" s="648"/>
      <c r="E132" s="648"/>
      <c r="F132" s="648"/>
      <c r="G132" s="648"/>
      <c r="H132" s="648"/>
      <c r="I132" s="648"/>
      <c r="J132" s="648"/>
      <c r="K132" s="648"/>
      <c r="L132" s="648"/>
      <c r="M132" s="648"/>
      <c r="N132" s="648"/>
      <c r="O132" s="649"/>
      <c r="P132" s="653" t="s">
        <v>81</v>
      </c>
      <c r="Q132" s="654"/>
      <c r="R132" s="654"/>
      <c r="S132" s="654"/>
      <c r="T132" s="654"/>
      <c r="U132" s="654"/>
      <c r="V132" s="655"/>
      <c r="W132" s="37" t="s">
        <v>82</v>
      </c>
      <c r="X132" s="637">
        <f>IFERROR(X130/H130,"0")+IFERROR(X131/H131,"0")</f>
        <v>6.25</v>
      </c>
      <c r="Y132" s="637">
        <f>IFERROR(Y130/H130,"0")+IFERROR(Y131/H131,"0")</f>
        <v>7</v>
      </c>
      <c r="Z132" s="637">
        <f>IFERROR(IF(Z130="",0,Z130),"0")+IFERROR(IF(Z131="",0,Z131),"0")</f>
        <v>4.5569999999999999E-2</v>
      </c>
      <c r="AA132" s="638"/>
      <c r="AB132" s="638"/>
      <c r="AC132" s="638"/>
    </row>
    <row r="133" spans="1:68" x14ac:dyDescent="0.2">
      <c r="A133" s="648"/>
      <c r="B133" s="648"/>
      <c r="C133" s="648"/>
      <c r="D133" s="648"/>
      <c r="E133" s="648"/>
      <c r="F133" s="648"/>
      <c r="G133" s="648"/>
      <c r="H133" s="648"/>
      <c r="I133" s="648"/>
      <c r="J133" s="648"/>
      <c r="K133" s="648"/>
      <c r="L133" s="648"/>
      <c r="M133" s="648"/>
      <c r="N133" s="648"/>
      <c r="O133" s="649"/>
      <c r="P133" s="653" t="s">
        <v>81</v>
      </c>
      <c r="Q133" s="654"/>
      <c r="R133" s="654"/>
      <c r="S133" s="654"/>
      <c r="T133" s="654"/>
      <c r="U133" s="654"/>
      <c r="V133" s="655"/>
      <c r="W133" s="37" t="s">
        <v>67</v>
      </c>
      <c r="X133" s="637">
        <f>IFERROR(SUM(X130:X131),"0")</f>
        <v>20</v>
      </c>
      <c r="Y133" s="637">
        <f>IFERROR(SUM(Y130:Y131),"0")</f>
        <v>22.400000000000002</v>
      </c>
      <c r="Z133" s="37"/>
      <c r="AA133" s="638"/>
      <c r="AB133" s="638"/>
      <c r="AC133" s="638"/>
    </row>
    <row r="134" spans="1:68" ht="14.25" hidden="1" customHeight="1" x14ac:dyDescent="0.25">
      <c r="A134" s="658" t="s">
        <v>245</v>
      </c>
      <c r="B134" s="648"/>
      <c r="C134" s="648"/>
      <c r="D134" s="648"/>
      <c r="E134" s="648"/>
      <c r="F134" s="648"/>
      <c r="G134" s="648"/>
      <c r="H134" s="648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  <c r="T134" s="648"/>
      <c r="U134" s="648"/>
      <c r="V134" s="648"/>
      <c r="W134" s="648"/>
      <c r="X134" s="648"/>
      <c r="Y134" s="648"/>
      <c r="Z134" s="648"/>
      <c r="AA134" s="631"/>
      <c r="AB134" s="631"/>
      <c r="AC134" s="631"/>
    </row>
    <row r="135" spans="1:68" ht="27" customHeight="1" x14ac:dyDescent="0.25">
      <c r="A135" s="54" t="s">
        <v>246</v>
      </c>
      <c r="B135" s="54" t="s">
        <v>247</v>
      </c>
      <c r="C135" s="31">
        <v>4301031234</v>
      </c>
      <c r="D135" s="642">
        <v>4680115883444</v>
      </c>
      <c r="E135" s="643"/>
      <c r="F135" s="634">
        <v>0.35</v>
      </c>
      <c r="G135" s="32">
        <v>8</v>
      </c>
      <c r="H135" s="634">
        <v>2.8</v>
      </c>
      <c r="I135" s="634">
        <v>3.0680000000000001</v>
      </c>
      <c r="J135" s="32">
        <v>182</v>
      </c>
      <c r="K135" s="32" t="s">
        <v>65</v>
      </c>
      <c r="L135" s="32"/>
      <c r="M135" s="33" t="s">
        <v>242</v>
      </c>
      <c r="N135" s="33"/>
      <c r="O135" s="32">
        <v>90</v>
      </c>
      <c r="P135" s="95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40"/>
      <c r="R135" s="640"/>
      <c r="S135" s="640"/>
      <c r="T135" s="641"/>
      <c r="U135" s="34"/>
      <c r="V135" s="34"/>
      <c r="W135" s="35" t="s">
        <v>67</v>
      </c>
      <c r="X135" s="635">
        <v>7</v>
      </c>
      <c r="Y135" s="636">
        <f>IFERROR(IF(X135="",0,CEILING((X135/$H135),1)*$H135),"")</f>
        <v>8.3999999999999986</v>
      </c>
      <c r="Z135" s="36">
        <f>IFERROR(IF(Y135=0,"",ROUNDUP(Y135/H135,0)*0.00651),"")</f>
        <v>1.9529999999999999E-2</v>
      </c>
      <c r="AA135" s="56"/>
      <c r="AB135" s="57"/>
      <c r="AC135" s="189" t="s">
        <v>248</v>
      </c>
      <c r="AG135" s="64"/>
      <c r="AJ135" s="68"/>
      <c r="AK135" s="68">
        <v>0</v>
      </c>
      <c r="BB135" s="190" t="s">
        <v>1</v>
      </c>
      <c r="BM135" s="64">
        <f>IFERROR(X135*I135/H135,"0")</f>
        <v>7.67</v>
      </c>
      <c r="BN135" s="64">
        <f>IFERROR(Y135*I135/H135,"0")</f>
        <v>9.2039999999999988</v>
      </c>
      <c r="BO135" s="64">
        <f>IFERROR(1/J135*(X135/H135),"0")</f>
        <v>1.3736263736263738E-2</v>
      </c>
      <c r="BP135" s="64">
        <f>IFERROR(1/J135*(Y135/H135),"0")</f>
        <v>1.6483516483516484E-2</v>
      </c>
    </row>
    <row r="136" spans="1:68" ht="27" hidden="1" customHeight="1" x14ac:dyDescent="0.25">
      <c r="A136" s="54" t="s">
        <v>246</v>
      </c>
      <c r="B136" s="54" t="s">
        <v>249</v>
      </c>
      <c r="C136" s="31">
        <v>4301031235</v>
      </c>
      <c r="D136" s="642">
        <v>4680115883444</v>
      </c>
      <c r="E136" s="643"/>
      <c r="F136" s="634">
        <v>0.35</v>
      </c>
      <c r="G136" s="32">
        <v>8</v>
      </c>
      <c r="H136" s="634">
        <v>2.8</v>
      </c>
      <c r="I136" s="634">
        <v>3.0680000000000001</v>
      </c>
      <c r="J136" s="32">
        <v>182</v>
      </c>
      <c r="K136" s="32" t="s">
        <v>65</v>
      </c>
      <c r="L136" s="32"/>
      <c r="M136" s="33" t="s">
        <v>242</v>
      </c>
      <c r="N136" s="33"/>
      <c r="O136" s="32">
        <v>90</v>
      </c>
      <c r="P136" s="97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40"/>
      <c r="R136" s="640"/>
      <c r="S136" s="640"/>
      <c r="T136" s="641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248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47"/>
      <c r="B137" s="648"/>
      <c r="C137" s="648"/>
      <c r="D137" s="648"/>
      <c r="E137" s="648"/>
      <c r="F137" s="648"/>
      <c r="G137" s="648"/>
      <c r="H137" s="648"/>
      <c r="I137" s="648"/>
      <c r="J137" s="648"/>
      <c r="K137" s="648"/>
      <c r="L137" s="648"/>
      <c r="M137" s="648"/>
      <c r="N137" s="648"/>
      <c r="O137" s="649"/>
      <c r="P137" s="653" t="s">
        <v>81</v>
      </c>
      <c r="Q137" s="654"/>
      <c r="R137" s="654"/>
      <c r="S137" s="654"/>
      <c r="T137" s="654"/>
      <c r="U137" s="654"/>
      <c r="V137" s="655"/>
      <c r="W137" s="37" t="s">
        <v>82</v>
      </c>
      <c r="X137" s="637">
        <f>IFERROR(X135/H135,"0")+IFERROR(X136/H136,"0")</f>
        <v>2.5</v>
      </c>
      <c r="Y137" s="637">
        <f>IFERROR(Y135/H135,"0")+IFERROR(Y136/H136,"0")</f>
        <v>2.9999999999999996</v>
      </c>
      <c r="Z137" s="637">
        <f>IFERROR(IF(Z135="",0,Z135),"0")+IFERROR(IF(Z136="",0,Z136),"0")</f>
        <v>1.9529999999999999E-2</v>
      </c>
      <c r="AA137" s="638"/>
      <c r="AB137" s="638"/>
      <c r="AC137" s="638"/>
    </row>
    <row r="138" spans="1:68" x14ac:dyDescent="0.2">
      <c r="A138" s="648"/>
      <c r="B138" s="648"/>
      <c r="C138" s="648"/>
      <c r="D138" s="648"/>
      <c r="E138" s="648"/>
      <c r="F138" s="648"/>
      <c r="G138" s="648"/>
      <c r="H138" s="648"/>
      <c r="I138" s="648"/>
      <c r="J138" s="648"/>
      <c r="K138" s="648"/>
      <c r="L138" s="648"/>
      <c r="M138" s="648"/>
      <c r="N138" s="648"/>
      <c r="O138" s="649"/>
      <c r="P138" s="653" t="s">
        <v>81</v>
      </c>
      <c r="Q138" s="654"/>
      <c r="R138" s="654"/>
      <c r="S138" s="654"/>
      <c r="T138" s="654"/>
      <c r="U138" s="654"/>
      <c r="V138" s="655"/>
      <c r="W138" s="37" t="s">
        <v>67</v>
      </c>
      <c r="X138" s="637">
        <f>IFERROR(SUM(X135:X136),"0")</f>
        <v>7</v>
      </c>
      <c r="Y138" s="637">
        <f>IFERROR(SUM(Y135:Y136),"0")</f>
        <v>8.3999999999999986</v>
      </c>
      <c r="Z138" s="37"/>
      <c r="AA138" s="638"/>
      <c r="AB138" s="638"/>
      <c r="AC138" s="638"/>
    </row>
    <row r="139" spans="1:68" ht="14.25" hidden="1" customHeight="1" x14ac:dyDescent="0.25">
      <c r="A139" s="658" t="s">
        <v>62</v>
      </c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8"/>
      <c r="P139" s="648"/>
      <c r="Q139" s="648"/>
      <c r="R139" s="648"/>
      <c r="S139" s="648"/>
      <c r="T139" s="648"/>
      <c r="U139" s="648"/>
      <c r="V139" s="648"/>
      <c r="W139" s="648"/>
      <c r="X139" s="648"/>
      <c r="Y139" s="648"/>
      <c r="Z139" s="648"/>
      <c r="AA139" s="631"/>
      <c r="AB139" s="631"/>
      <c r="AC139" s="631"/>
    </row>
    <row r="140" spans="1:68" ht="16.5" hidden="1" customHeight="1" x14ac:dyDescent="0.25">
      <c r="A140" s="54" t="s">
        <v>250</v>
      </c>
      <c r="B140" s="54" t="s">
        <v>251</v>
      </c>
      <c r="C140" s="31">
        <v>4301051476</v>
      </c>
      <c r="D140" s="642">
        <v>4680115882584</v>
      </c>
      <c r="E140" s="643"/>
      <c r="F140" s="634">
        <v>0.33</v>
      </c>
      <c r="G140" s="32">
        <v>8</v>
      </c>
      <c r="H140" s="634">
        <v>2.64</v>
      </c>
      <c r="I140" s="634">
        <v>2.9079999999999999</v>
      </c>
      <c r="J140" s="32">
        <v>182</v>
      </c>
      <c r="K140" s="32" t="s">
        <v>65</v>
      </c>
      <c r="L140" s="32"/>
      <c r="M140" s="33" t="s">
        <v>242</v>
      </c>
      <c r="N140" s="33"/>
      <c r="O140" s="32">
        <v>60</v>
      </c>
      <c r="P140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40"/>
      <c r="R140" s="640"/>
      <c r="S140" s="640"/>
      <c r="T140" s="641"/>
      <c r="U140" s="34"/>
      <c r="V140" s="34"/>
      <c r="W140" s="35" t="s">
        <v>67</v>
      </c>
      <c r="X140" s="635">
        <v>0</v>
      </c>
      <c r="Y140" s="63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243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16.5" hidden="1" customHeight="1" x14ac:dyDescent="0.25">
      <c r="A141" s="54" t="s">
        <v>250</v>
      </c>
      <c r="B141" s="54" t="s">
        <v>252</v>
      </c>
      <c r="C141" s="31">
        <v>4301051477</v>
      </c>
      <c r="D141" s="642">
        <v>4680115882584</v>
      </c>
      <c r="E141" s="643"/>
      <c r="F141" s="634">
        <v>0.33</v>
      </c>
      <c r="G141" s="32">
        <v>8</v>
      </c>
      <c r="H141" s="634">
        <v>2.64</v>
      </c>
      <c r="I141" s="634">
        <v>2.9079999999999999</v>
      </c>
      <c r="J141" s="32">
        <v>182</v>
      </c>
      <c r="K141" s="32" t="s">
        <v>65</v>
      </c>
      <c r="L141" s="32"/>
      <c r="M141" s="33" t="s">
        <v>242</v>
      </c>
      <c r="N141" s="33"/>
      <c r="O141" s="32">
        <v>60</v>
      </c>
      <c r="P141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40"/>
      <c r="R141" s="640"/>
      <c r="S141" s="640"/>
      <c r="T141" s="641"/>
      <c r="U141" s="34"/>
      <c r="V141" s="34"/>
      <c r="W141" s="35" t="s">
        <v>67</v>
      </c>
      <c r="X141" s="635">
        <v>0</v>
      </c>
      <c r="Y141" s="63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243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47"/>
      <c r="B142" s="648"/>
      <c r="C142" s="648"/>
      <c r="D142" s="648"/>
      <c r="E142" s="648"/>
      <c r="F142" s="648"/>
      <c r="G142" s="648"/>
      <c r="H142" s="648"/>
      <c r="I142" s="648"/>
      <c r="J142" s="648"/>
      <c r="K142" s="648"/>
      <c r="L142" s="648"/>
      <c r="M142" s="648"/>
      <c r="N142" s="648"/>
      <c r="O142" s="649"/>
      <c r="P142" s="653" t="s">
        <v>81</v>
      </c>
      <c r="Q142" s="654"/>
      <c r="R142" s="654"/>
      <c r="S142" s="654"/>
      <c r="T142" s="654"/>
      <c r="U142" s="654"/>
      <c r="V142" s="655"/>
      <c r="W142" s="37" t="s">
        <v>82</v>
      </c>
      <c r="X142" s="637">
        <f>IFERROR(X140/H140,"0")+IFERROR(X141/H141,"0")</f>
        <v>0</v>
      </c>
      <c r="Y142" s="637">
        <f>IFERROR(Y140/H140,"0")+IFERROR(Y141/H141,"0")</f>
        <v>0</v>
      </c>
      <c r="Z142" s="637">
        <f>IFERROR(IF(Z140="",0,Z140),"0")+IFERROR(IF(Z141="",0,Z141),"0")</f>
        <v>0</v>
      </c>
      <c r="AA142" s="638"/>
      <c r="AB142" s="638"/>
      <c r="AC142" s="638"/>
    </row>
    <row r="143" spans="1:68" hidden="1" x14ac:dyDescent="0.2">
      <c r="A143" s="648"/>
      <c r="B143" s="648"/>
      <c r="C143" s="648"/>
      <c r="D143" s="648"/>
      <c r="E143" s="648"/>
      <c r="F143" s="648"/>
      <c r="G143" s="648"/>
      <c r="H143" s="648"/>
      <c r="I143" s="648"/>
      <c r="J143" s="648"/>
      <c r="K143" s="648"/>
      <c r="L143" s="648"/>
      <c r="M143" s="648"/>
      <c r="N143" s="648"/>
      <c r="O143" s="649"/>
      <c r="P143" s="653" t="s">
        <v>81</v>
      </c>
      <c r="Q143" s="654"/>
      <c r="R143" s="654"/>
      <c r="S143" s="654"/>
      <c r="T143" s="654"/>
      <c r="U143" s="654"/>
      <c r="V143" s="655"/>
      <c r="W143" s="37" t="s">
        <v>67</v>
      </c>
      <c r="X143" s="637">
        <f>IFERROR(SUM(X140:X141),"0")</f>
        <v>0</v>
      </c>
      <c r="Y143" s="637">
        <f>IFERROR(SUM(Y140:Y141),"0")</f>
        <v>0</v>
      </c>
      <c r="Z143" s="37"/>
      <c r="AA143" s="638"/>
      <c r="AB143" s="638"/>
      <c r="AC143" s="638"/>
    </row>
    <row r="144" spans="1:68" ht="16.5" hidden="1" customHeight="1" x14ac:dyDescent="0.25">
      <c r="A144" s="652" t="s">
        <v>253</v>
      </c>
      <c r="B144" s="648"/>
      <c r="C144" s="648"/>
      <c r="D144" s="648"/>
      <c r="E144" s="648"/>
      <c r="F144" s="648"/>
      <c r="G144" s="648"/>
      <c r="H144" s="648"/>
      <c r="I144" s="648"/>
      <c r="J144" s="648"/>
      <c r="K144" s="648"/>
      <c r="L144" s="648"/>
      <c r="M144" s="648"/>
      <c r="N144" s="648"/>
      <c r="O144" s="648"/>
      <c r="P144" s="648"/>
      <c r="Q144" s="648"/>
      <c r="R144" s="648"/>
      <c r="S144" s="648"/>
      <c r="T144" s="648"/>
      <c r="U144" s="648"/>
      <c r="V144" s="648"/>
      <c r="W144" s="648"/>
      <c r="X144" s="648"/>
      <c r="Y144" s="648"/>
      <c r="Z144" s="648"/>
      <c r="AA144" s="630"/>
      <c r="AB144" s="630"/>
      <c r="AC144" s="630"/>
    </row>
    <row r="145" spans="1:68" ht="14.25" hidden="1" customHeight="1" x14ac:dyDescent="0.25">
      <c r="A145" s="658" t="s">
        <v>62</v>
      </c>
      <c r="B145" s="648"/>
      <c r="C145" s="648"/>
      <c r="D145" s="648"/>
      <c r="E145" s="648"/>
      <c r="F145" s="648"/>
      <c r="G145" s="648"/>
      <c r="H145" s="648"/>
      <c r="I145" s="648"/>
      <c r="J145" s="648"/>
      <c r="K145" s="648"/>
      <c r="L145" s="648"/>
      <c r="M145" s="648"/>
      <c r="N145" s="648"/>
      <c r="O145" s="648"/>
      <c r="P145" s="648"/>
      <c r="Q145" s="648"/>
      <c r="R145" s="648"/>
      <c r="S145" s="648"/>
      <c r="T145" s="648"/>
      <c r="U145" s="648"/>
      <c r="V145" s="648"/>
      <c r="W145" s="648"/>
      <c r="X145" s="648"/>
      <c r="Y145" s="648"/>
      <c r="Z145" s="648"/>
      <c r="AA145" s="631"/>
      <c r="AB145" s="631"/>
      <c r="AC145" s="631"/>
    </row>
    <row r="146" spans="1:68" ht="27" hidden="1" customHeight="1" x14ac:dyDescent="0.25">
      <c r="A146" s="54" t="s">
        <v>254</v>
      </c>
      <c r="B146" s="54" t="s">
        <v>255</v>
      </c>
      <c r="C146" s="31">
        <v>4301052254</v>
      </c>
      <c r="D146" s="642">
        <v>4680115888203</v>
      </c>
      <c r="E146" s="643"/>
      <c r="F146" s="634">
        <v>0.22</v>
      </c>
      <c r="G146" s="32">
        <v>6</v>
      </c>
      <c r="H146" s="634">
        <v>1.32</v>
      </c>
      <c r="I146" s="634">
        <v>1.5660000000000001</v>
      </c>
      <c r="J146" s="32">
        <v>182</v>
      </c>
      <c r="K146" s="32" t="s">
        <v>65</v>
      </c>
      <c r="L146" s="32"/>
      <c r="M146" s="33" t="s">
        <v>73</v>
      </c>
      <c r="N146" s="33"/>
      <c r="O146" s="32">
        <v>40</v>
      </c>
      <c r="P146" s="96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40"/>
      <c r="R146" s="640"/>
      <c r="S146" s="640"/>
      <c r="T146" s="641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7" t="s">
        <v>256</v>
      </c>
      <c r="AG146" s="64"/>
      <c r="AJ146" s="68"/>
      <c r="AK146" s="68">
        <v>0</v>
      </c>
      <c r="BB146" s="198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257</v>
      </c>
      <c r="B147" s="54" t="s">
        <v>258</v>
      </c>
      <c r="C147" s="31">
        <v>4301052252</v>
      </c>
      <c r="D147" s="642">
        <v>4680115888180</v>
      </c>
      <c r="E147" s="643"/>
      <c r="F147" s="634">
        <v>0.22</v>
      </c>
      <c r="G147" s="32">
        <v>6</v>
      </c>
      <c r="H147" s="634">
        <v>1.32</v>
      </c>
      <c r="I147" s="634">
        <v>1.5660000000000001</v>
      </c>
      <c r="J147" s="32">
        <v>182</v>
      </c>
      <c r="K147" s="32" t="s">
        <v>65</v>
      </c>
      <c r="L147" s="32"/>
      <c r="M147" s="33" t="s">
        <v>73</v>
      </c>
      <c r="N147" s="33"/>
      <c r="O147" s="32">
        <v>40</v>
      </c>
      <c r="P147" s="69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40"/>
      <c r="R147" s="640"/>
      <c r="S147" s="640"/>
      <c r="T147" s="641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259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260</v>
      </c>
      <c r="B148" s="54" t="s">
        <v>261</v>
      </c>
      <c r="C148" s="31">
        <v>4301052253</v>
      </c>
      <c r="D148" s="642">
        <v>4680115888197</v>
      </c>
      <c r="E148" s="643"/>
      <c r="F148" s="634">
        <v>0.22</v>
      </c>
      <c r="G148" s="32">
        <v>6</v>
      </c>
      <c r="H148" s="634">
        <v>1.32</v>
      </c>
      <c r="I148" s="634">
        <v>1.5660000000000001</v>
      </c>
      <c r="J148" s="32">
        <v>182</v>
      </c>
      <c r="K148" s="32" t="s">
        <v>65</v>
      </c>
      <c r="L148" s="32"/>
      <c r="M148" s="33" t="s">
        <v>73</v>
      </c>
      <c r="N148" s="33"/>
      <c r="O148" s="32">
        <v>40</v>
      </c>
      <c r="P148" s="72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40"/>
      <c r="R148" s="640"/>
      <c r="S148" s="640"/>
      <c r="T148" s="641"/>
      <c r="U148" s="34"/>
      <c r="V148" s="34"/>
      <c r="W148" s="35" t="s">
        <v>67</v>
      </c>
      <c r="X148" s="635">
        <v>0</v>
      </c>
      <c r="Y148" s="63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262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263</v>
      </c>
      <c r="B149" s="54" t="s">
        <v>264</v>
      </c>
      <c r="C149" s="31">
        <v>4301052255</v>
      </c>
      <c r="D149" s="642">
        <v>4680115888210</v>
      </c>
      <c r="E149" s="643"/>
      <c r="F149" s="634">
        <v>0.22</v>
      </c>
      <c r="G149" s="32">
        <v>6</v>
      </c>
      <c r="H149" s="634">
        <v>1.32</v>
      </c>
      <c r="I149" s="634">
        <v>1.5660000000000001</v>
      </c>
      <c r="J149" s="32">
        <v>182</v>
      </c>
      <c r="K149" s="32" t="s">
        <v>65</v>
      </c>
      <c r="L149" s="32"/>
      <c r="M149" s="33" t="s">
        <v>73</v>
      </c>
      <c r="N149" s="33"/>
      <c r="O149" s="32">
        <v>40</v>
      </c>
      <c r="P149" s="99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40"/>
      <c r="R149" s="640"/>
      <c r="S149" s="640"/>
      <c r="T149" s="641"/>
      <c r="U149" s="34"/>
      <c r="V149" s="34"/>
      <c r="W149" s="35" t="s">
        <v>67</v>
      </c>
      <c r="X149" s="635">
        <v>0</v>
      </c>
      <c r="Y149" s="63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265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47"/>
      <c r="B150" s="648"/>
      <c r="C150" s="648"/>
      <c r="D150" s="648"/>
      <c r="E150" s="648"/>
      <c r="F150" s="648"/>
      <c r="G150" s="648"/>
      <c r="H150" s="648"/>
      <c r="I150" s="648"/>
      <c r="J150" s="648"/>
      <c r="K150" s="648"/>
      <c r="L150" s="648"/>
      <c r="M150" s="648"/>
      <c r="N150" s="648"/>
      <c r="O150" s="649"/>
      <c r="P150" s="653" t="s">
        <v>81</v>
      </c>
      <c r="Q150" s="654"/>
      <c r="R150" s="654"/>
      <c r="S150" s="654"/>
      <c r="T150" s="654"/>
      <c r="U150" s="654"/>
      <c r="V150" s="655"/>
      <c r="W150" s="37" t="s">
        <v>82</v>
      </c>
      <c r="X150" s="637">
        <f>IFERROR(X146/H146,"0")+IFERROR(X147/H147,"0")+IFERROR(X148/H148,"0")+IFERROR(X149/H149,"0")</f>
        <v>0</v>
      </c>
      <c r="Y150" s="637">
        <f>IFERROR(Y146/H146,"0")+IFERROR(Y147/H147,"0")+IFERROR(Y148/H148,"0")+IFERROR(Y149/H149,"0")</f>
        <v>0</v>
      </c>
      <c r="Z150" s="637">
        <f>IFERROR(IF(Z146="",0,Z146),"0")+IFERROR(IF(Z147="",0,Z147),"0")+IFERROR(IF(Z148="",0,Z148),"0")+IFERROR(IF(Z149="",0,Z149),"0")</f>
        <v>0</v>
      </c>
      <c r="AA150" s="638"/>
      <c r="AB150" s="638"/>
      <c r="AC150" s="638"/>
    </row>
    <row r="151" spans="1:68" hidden="1" x14ac:dyDescent="0.2">
      <c r="A151" s="648"/>
      <c r="B151" s="648"/>
      <c r="C151" s="648"/>
      <c r="D151" s="648"/>
      <c r="E151" s="648"/>
      <c r="F151" s="648"/>
      <c r="G151" s="648"/>
      <c r="H151" s="648"/>
      <c r="I151" s="648"/>
      <c r="J151" s="648"/>
      <c r="K151" s="648"/>
      <c r="L151" s="648"/>
      <c r="M151" s="648"/>
      <c r="N151" s="648"/>
      <c r="O151" s="649"/>
      <c r="P151" s="653" t="s">
        <v>81</v>
      </c>
      <c r="Q151" s="654"/>
      <c r="R151" s="654"/>
      <c r="S151" s="654"/>
      <c r="T151" s="654"/>
      <c r="U151" s="654"/>
      <c r="V151" s="655"/>
      <c r="W151" s="37" t="s">
        <v>67</v>
      </c>
      <c r="X151" s="637">
        <f>IFERROR(SUM(X146:X149),"0")</f>
        <v>0</v>
      </c>
      <c r="Y151" s="637">
        <f>IFERROR(SUM(Y146:Y149),"0")</f>
        <v>0</v>
      </c>
      <c r="Z151" s="37"/>
      <c r="AA151" s="638"/>
      <c r="AB151" s="638"/>
      <c r="AC151" s="638"/>
    </row>
    <row r="152" spans="1:68" ht="14.25" hidden="1" customHeight="1" x14ac:dyDescent="0.25">
      <c r="A152" s="658" t="s">
        <v>83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31"/>
      <c r="AB152" s="631"/>
      <c r="AC152" s="631"/>
    </row>
    <row r="153" spans="1:68" ht="27" hidden="1" customHeight="1" x14ac:dyDescent="0.25">
      <c r="A153" s="54" t="s">
        <v>266</v>
      </c>
      <c r="B153" s="54" t="s">
        <v>267</v>
      </c>
      <c r="C153" s="31">
        <v>4301032067</v>
      </c>
      <c r="D153" s="642">
        <v>4680115889132</v>
      </c>
      <c r="E153" s="643"/>
      <c r="F153" s="634">
        <v>0.04</v>
      </c>
      <c r="G153" s="32">
        <v>8</v>
      </c>
      <c r="H153" s="634">
        <v>0.32</v>
      </c>
      <c r="I153" s="634">
        <v>0.5</v>
      </c>
      <c r="J153" s="32">
        <v>330</v>
      </c>
      <c r="K153" s="32" t="s">
        <v>86</v>
      </c>
      <c r="L153" s="32"/>
      <c r="M153" s="33" t="s">
        <v>87</v>
      </c>
      <c r="N153" s="33"/>
      <c r="O153" s="32">
        <v>120</v>
      </c>
      <c r="P153" s="84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IFERROR(IF(Y153=0,"",ROUNDUP(Y153/H153,0)*0.00337),"")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90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47"/>
      <c r="B154" s="648"/>
      <c r="C154" s="648"/>
      <c r="D154" s="648"/>
      <c r="E154" s="648"/>
      <c r="F154" s="648"/>
      <c r="G154" s="648"/>
      <c r="H154" s="648"/>
      <c r="I154" s="648"/>
      <c r="J154" s="648"/>
      <c r="K154" s="648"/>
      <c r="L154" s="648"/>
      <c r="M154" s="648"/>
      <c r="N154" s="648"/>
      <c r="O154" s="649"/>
      <c r="P154" s="653" t="s">
        <v>81</v>
      </c>
      <c r="Q154" s="654"/>
      <c r="R154" s="654"/>
      <c r="S154" s="654"/>
      <c r="T154" s="654"/>
      <c r="U154" s="654"/>
      <c r="V154" s="655"/>
      <c r="W154" s="37" t="s">
        <v>82</v>
      </c>
      <c r="X154" s="637">
        <f>IFERROR(X153/H153,"0")</f>
        <v>0</v>
      </c>
      <c r="Y154" s="637">
        <f>IFERROR(Y153/H153,"0")</f>
        <v>0</v>
      </c>
      <c r="Z154" s="637">
        <f>IFERROR(IF(Z153="",0,Z153),"0")</f>
        <v>0</v>
      </c>
      <c r="AA154" s="638"/>
      <c r="AB154" s="638"/>
      <c r="AC154" s="638"/>
    </row>
    <row r="155" spans="1:68" hidden="1" x14ac:dyDescent="0.2">
      <c r="A155" s="648"/>
      <c r="B155" s="648"/>
      <c r="C155" s="648"/>
      <c r="D155" s="648"/>
      <c r="E155" s="648"/>
      <c r="F155" s="648"/>
      <c r="G155" s="648"/>
      <c r="H155" s="648"/>
      <c r="I155" s="648"/>
      <c r="J155" s="648"/>
      <c r="K155" s="648"/>
      <c r="L155" s="648"/>
      <c r="M155" s="648"/>
      <c r="N155" s="648"/>
      <c r="O155" s="649"/>
      <c r="P155" s="653" t="s">
        <v>81</v>
      </c>
      <c r="Q155" s="654"/>
      <c r="R155" s="654"/>
      <c r="S155" s="654"/>
      <c r="T155" s="654"/>
      <c r="U155" s="654"/>
      <c r="V155" s="655"/>
      <c r="W155" s="37" t="s">
        <v>67</v>
      </c>
      <c r="X155" s="637">
        <f>IFERROR(SUM(X153:X153),"0")</f>
        <v>0</v>
      </c>
      <c r="Y155" s="637">
        <f>IFERROR(SUM(Y153:Y153),"0")</f>
        <v>0</v>
      </c>
      <c r="Z155" s="37"/>
      <c r="AA155" s="638"/>
      <c r="AB155" s="638"/>
      <c r="AC155" s="638"/>
    </row>
    <row r="156" spans="1:68" ht="16.5" hidden="1" customHeight="1" x14ac:dyDescent="0.25">
      <c r="A156" s="652" t="s">
        <v>111</v>
      </c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8"/>
      <c r="P156" s="648"/>
      <c r="Q156" s="648"/>
      <c r="R156" s="648"/>
      <c r="S156" s="648"/>
      <c r="T156" s="648"/>
      <c r="U156" s="648"/>
      <c r="V156" s="648"/>
      <c r="W156" s="648"/>
      <c r="X156" s="648"/>
      <c r="Y156" s="648"/>
      <c r="Z156" s="648"/>
      <c r="AA156" s="630"/>
      <c r="AB156" s="630"/>
      <c r="AC156" s="630"/>
    </row>
    <row r="157" spans="1:68" ht="14.25" hidden="1" customHeight="1" x14ac:dyDescent="0.25">
      <c r="A157" s="658" t="s">
        <v>113</v>
      </c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8"/>
      <c r="P157" s="648"/>
      <c r="Q157" s="648"/>
      <c r="R157" s="648"/>
      <c r="S157" s="648"/>
      <c r="T157" s="648"/>
      <c r="U157" s="648"/>
      <c r="V157" s="648"/>
      <c r="W157" s="648"/>
      <c r="X157" s="648"/>
      <c r="Y157" s="648"/>
      <c r="Z157" s="648"/>
      <c r="AA157" s="631"/>
      <c r="AB157" s="631"/>
      <c r="AC157" s="631"/>
    </row>
    <row r="158" spans="1:68" ht="27" hidden="1" customHeight="1" x14ac:dyDescent="0.25">
      <c r="A158" s="54" t="s">
        <v>269</v>
      </c>
      <c r="B158" s="54" t="s">
        <v>270</v>
      </c>
      <c r="C158" s="31">
        <v>4301012338</v>
      </c>
      <c r="D158" s="642">
        <v>4680115887374</v>
      </c>
      <c r="E158" s="643"/>
      <c r="F158" s="634">
        <v>1</v>
      </c>
      <c r="G158" s="32">
        <v>6</v>
      </c>
      <c r="H158" s="634">
        <v>6</v>
      </c>
      <c r="I158" s="634">
        <v>6.35</v>
      </c>
      <c r="J158" s="32">
        <v>104</v>
      </c>
      <c r="K158" s="32" t="s">
        <v>116</v>
      </c>
      <c r="L158" s="32"/>
      <c r="M158" s="33" t="s">
        <v>117</v>
      </c>
      <c r="N158" s="33"/>
      <c r="O158" s="32">
        <v>55</v>
      </c>
      <c r="P158" s="7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5">
        <v>0</v>
      </c>
      <c r="Y158" s="636">
        <f>IFERROR(IF(X158="",0,CEILING((X158/$H158),1)*$H158),"")</f>
        <v>0</v>
      </c>
      <c r="Z158" s="36" t="str">
        <f>IFERROR(IF(Y158=0,"",ROUNDUP(Y158/H158,0)*0.01196),"")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272</v>
      </c>
      <c r="B159" s="54" t="s">
        <v>273</v>
      </c>
      <c r="C159" s="31">
        <v>4301011705</v>
      </c>
      <c r="D159" s="642">
        <v>4607091384604</v>
      </c>
      <c r="E159" s="643"/>
      <c r="F159" s="634">
        <v>0.4</v>
      </c>
      <c r="G159" s="32">
        <v>10</v>
      </c>
      <c r="H159" s="634">
        <v>4</v>
      </c>
      <c r="I159" s="634">
        <v>4.1900000000000004</v>
      </c>
      <c r="J159" s="32">
        <v>132</v>
      </c>
      <c r="K159" s="32" t="s">
        <v>126</v>
      </c>
      <c r="L159" s="32"/>
      <c r="M159" s="33" t="s">
        <v>117</v>
      </c>
      <c r="N159" s="33"/>
      <c r="O159" s="32">
        <v>50</v>
      </c>
      <c r="P159" s="8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40"/>
      <c r="R159" s="640"/>
      <c r="S159" s="640"/>
      <c r="T159" s="641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274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272</v>
      </c>
      <c r="B160" s="54" t="s">
        <v>275</v>
      </c>
      <c r="C160" s="31">
        <v>4301012258</v>
      </c>
      <c r="D160" s="642">
        <v>4607091384604</v>
      </c>
      <c r="E160" s="643"/>
      <c r="F160" s="634">
        <v>0.4</v>
      </c>
      <c r="G160" s="32">
        <v>10</v>
      </c>
      <c r="H160" s="634">
        <v>4</v>
      </c>
      <c r="I160" s="634">
        <v>4.1900000000000004</v>
      </c>
      <c r="J160" s="32">
        <v>132</v>
      </c>
      <c r="K160" s="32" t="s">
        <v>126</v>
      </c>
      <c r="L160" s="32"/>
      <c r="M160" s="33" t="s">
        <v>117</v>
      </c>
      <c r="N160" s="33"/>
      <c r="O160" s="32">
        <v>50</v>
      </c>
      <c r="P160" s="69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40"/>
      <c r="R160" s="640"/>
      <c r="S160" s="640"/>
      <c r="T160" s="641"/>
      <c r="U160" s="34"/>
      <c r="V160" s="34"/>
      <c r="W160" s="35" t="s">
        <v>67</v>
      </c>
      <c r="X160" s="635">
        <v>0</v>
      </c>
      <c r="Y160" s="636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274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16.5" hidden="1" customHeight="1" x14ac:dyDescent="0.25">
      <c r="A161" s="54" t="s">
        <v>276</v>
      </c>
      <c r="B161" s="54" t="s">
        <v>277</v>
      </c>
      <c r="C161" s="31">
        <v>4301012344</v>
      </c>
      <c r="D161" s="642">
        <v>4680115888876</v>
      </c>
      <c r="E161" s="643"/>
      <c r="F161" s="634">
        <v>0.43</v>
      </c>
      <c r="G161" s="32">
        <v>6</v>
      </c>
      <c r="H161" s="634">
        <v>2.58</v>
      </c>
      <c r="I161" s="634">
        <v>2.76</v>
      </c>
      <c r="J161" s="32">
        <v>182</v>
      </c>
      <c r="K161" s="32" t="s">
        <v>65</v>
      </c>
      <c r="L161" s="32"/>
      <c r="M161" s="33" t="s">
        <v>66</v>
      </c>
      <c r="N161" s="33"/>
      <c r="O161" s="32">
        <v>55</v>
      </c>
      <c r="P161" s="100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40"/>
      <c r="R161" s="640"/>
      <c r="S161" s="640"/>
      <c r="T161" s="641"/>
      <c r="U161" s="34"/>
      <c r="V161" s="34"/>
      <c r="W161" s="35" t="s">
        <v>67</v>
      </c>
      <c r="X161" s="635">
        <v>0</v>
      </c>
      <c r="Y161" s="636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47"/>
      <c r="B162" s="648"/>
      <c r="C162" s="648"/>
      <c r="D162" s="648"/>
      <c r="E162" s="648"/>
      <c r="F162" s="648"/>
      <c r="G162" s="648"/>
      <c r="H162" s="648"/>
      <c r="I162" s="648"/>
      <c r="J162" s="648"/>
      <c r="K162" s="648"/>
      <c r="L162" s="648"/>
      <c r="M162" s="648"/>
      <c r="N162" s="648"/>
      <c r="O162" s="649"/>
      <c r="P162" s="653" t="s">
        <v>81</v>
      </c>
      <c r="Q162" s="654"/>
      <c r="R162" s="654"/>
      <c r="S162" s="654"/>
      <c r="T162" s="654"/>
      <c r="U162" s="654"/>
      <c r="V162" s="655"/>
      <c r="W162" s="37" t="s">
        <v>82</v>
      </c>
      <c r="X162" s="637">
        <f>IFERROR(X158/H158,"0")+IFERROR(X159/H159,"0")+IFERROR(X160/H160,"0")+IFERROR(X161/H161,"0")</f>
        <v>0</v>
      </c>
      <c r="Y162" s="637">
        <f>IFERROR(Y158/H158,"0")+IFERROR(Y159/H159,"0")+IFERROR(Y160/H160,"0")+IFERROR(Y161/H161,"0")</f>
        <v>0</v>
      </c>
      <c r="Z162" s="637">
        <f>IFERROR(IF(Z158="",0,Z158),"0")+IFERROR(IF(Z159="",0,Z159),"0")+IFERROR(IF(Z160="",0,Z160),"0")+IFERROR(IF(Z161="",0,Z161),"0")</f>
        <v>0</v>
      </c>
      <c r="AA162" s="638"/>
      <c r="AB162" s="638"/>
      <c r="AC162" s="638"/>
    </row>
    <row r="163" spans="1:68" hidden="1" x14ac:dyDescent="0.2">
      <c r="A163" s="648"/>
      <c r="B163" s="648"/>
      <c r="C163" s="648"/>
      <c r="D163" s="648"/>
      <c r="E163" s="648"/>
      <c r="F163" s="648"/>
      <c r="G163" s="648"/>
      <c r="H163" s="648"/>
      <c r="I163" s="648"/>
      <c r="J163" s="648"/>
      <c r="K163" s="648"/>
      <c r="L163" s="648"/>
      <c r="M163" s="648"/>
      <c r="N163" s="648"/>
      <c r="O163" s="649"/>
      <c r="P163" s="653" t="s">
        <v>81</v>
      </c>
      <c r="Q163" s="654"/>
      <c r="R163" s="654"/>
      <c r="S163" s="654"/>
      <c r="T163" s="654"/>
      <c r="U163" s="654"/>
      <c r="V163" s="655"/>
      <c r="W163" s="37" t="s">
        <v>67</v>
      </c>
      <c r="X163" s="637">
        <f>IFERROR(SUM(X158:X161),"0")</f>
        <v>0</v>
      </c>
      <c r="Y163" s="637">
        <f>IFERROR(SUM(Y158:Y161),"0")</f>
        <v>0</v>
      </c>
      <c r="Z163" s="37"/>
      <c r="AA163" s="638"/>
      <c r="AB163" s="638"/>
      <c r="AC163" s="638"/>
    </row>
    <row r="164" spans="1:68" ht="14.25" hidden="1" customHeight="1" x14ac:dyDescent="0.25">
      <c r="A164" s="658" t="s">
        <v>150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31"/>
      <c r="AB164" s="631"/>
      <c r="AC164" s="631"/>
    </row>
    <row r="165" spans="1:68" ht="16.5" hidden="1" customHeight="1" x14ac:dyDescent="0.25">
      <c r="A165" s="54" t="s">
        <v>279</v>
      </c>
      <c r="B165" s="54" t="s">
        <v>280</v>
      </c>
      <c r="C165" s="31">
        <v>4301020410</v>
      </c>
      <c r="D165" s="642">
        <v>4680115887695</v>
      </c>
      <c r="E165" s="643"/>
      <c r="F165" s="634">
        <v>0.12</v>
      </c>
      <c r="G165" s="32">
        <v>6</v>
      </c>
      <c r="H165" s="634">
        <v>0.72</v>
      </c>
      <c r="I165" s="634">
        <v>0.85</v>
      </c>
      <c r="J165" s="32">
        <v>234</v>
      </c>
      <c r="K165" s="32" t="s">
        <v>223</v>
      </c>
      <c r="L165" s="32"/>
      <c r="M165" s="33" t="s">
        <v>122</v>
      </c>
      <c r="N165" s="33"/>
      <c r="O165" s="32">
        <v>30</v>
      </c>
      <c r="P165" s="67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IFERROR(IF(Y165=0,"",ROUNDUP(Y165/H165,0)*0.00556),"")</f>
        <v/>
      </c>
      <c r="AA165" s="56"/>
      <c r="AB165" s="57"/>
      <c r="AC165" s="215" t="s">
        <v>281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4301020439</v>
      </c>
      <c r="D166" s="642">
        <v>4680115889491</v>
      </c>
      <c r="E166" s="643"/>
      <c r="F166" s="634">
        <v>0.3</v>
      </c>
      <c r="G166" s="32">
        <v>8</v>
      </c>
      <c r="H166" s="634">
        <v>2.4</v>
      </c>
      <c r="I166" s="634">
        <v>2.5</v>
      </c>
      <c r="J166" s="32">
        <v>234</v>
      </c>
      <c r="K166" s="32" t="s">
        <v>223</v>
      </c>
      <c r="L166" s="32"/>
      <c r="M166" s="33" t="s">
        <v>117</v>
      </c>
      <c r="N166" s="33"/>
      <c r="O166" s="32">
        <v>55</v>
      </c>
      <c r="P166" s="73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IFERROR(IF(Y166=0,"",ROUNDUP(Y166/H166,0)*0.00502),"")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7"/>
      <c r="B167" s="648"/>
      <c r="C167" s="648"/>
      <c r="D167" s="648"/>
      <c r="E167" s="648"/>
      <c r="F167" s="648"/>
      <c r="G167" s="648"/>
      <c r="H167" s="648"/>
      <c r="I167" s="648"/>
      <c r="J167" s="648"/>
      <c r="K167" s="648"/>
      <c r="L167" s="648"/>
      <c r="M167" s="648"/>
      <c r="N167" s="648"/>
      <c r="O167" s="649"/>
      <c r="P167" s="653" t="s">
        <v>81</v>
      </c>
      <c r="Q167" s="654"/>
      <c r="R167" s="654"/>
      <c r="S167" s="654"/>
      <c r="T167" s="654"/>
      <c r="U167" s="654"/>
      <c r="V167" s="655"/>
      <c r="W167" s="37" t="s">
        <v>82</v>
      </c>
      <c r="X167" s="637">
        <f>IFERROR(X165/H165,"0")+IFERROR(X166/H166,"0")</f>
        <v>0</v>
      </c>
      <c r="Y167" s="637">
        <f>IFERROR(Y165/H165,"0")+IFERROR(Y166/H166,"0")</f>
        <v>0</v>
      </c>
      <c r="Z167" s="637">
        <f>IFERROR(IF(Z165="",0,Z165),"0")+IFERROR(IF(Z166="",0,Z166),"0")</f>
        <v>0</v>
      </c>
      <c r="AA167" s="638"/>
      <c r="AB167" s="638"/>
      <c r="AC167" s="638"/>
    </row>
    <row r="168" spans="1:68" hidden="1" x14ac:dyDescent="0.2">
      <c r="A168" s="648"/>
      <c r="B168" s="648"/>
      <c r="C168" s="648"/>
      <c r="D168" s="648"/>
      <c r="E168" s="648"/>
      <c r="F168" s="648"/>
      <c r="G168" s="648"/>
      <c r="H168" s="648"/>
      <c r="I168" s="648"/>
      <c r="J168" s="648"/>
      <c r="K168" s="648"/>
      <c r="L168" s="648"/>
      <c r="M168" s="648"/>
      <c r="N168" s="648"/>
      <c r="O168" s="649"/>
      <c r="P168" s="653" t="s">
        <v>81</v>
      </c>
      <c r="Q168" s="654"/>
      <c r="R168" s="654"/>
      <c r="S168" s="654"/>
      <c r="T168" s="654"/>
      <c r="U168" s="654"/>
      <c r="V168" s="655"/>
      <c r="W168" s="37" t="s">
        <v>67</v>
      </c>
      <c r="X168" s="637">
        <f>IFERROR(SUM(X165:X166),"0")</f>
        <v>0</v>
      </c>
      <c r="Y168" s="637">
        <f>IFERROR(SUM(Y165:Y166),"0")</f>
        <v>0</v>
      </c>
      <c r="Z168" s="37"/>
      <c r="AA168" s="638"/>
      <c r="AB168" s="638"/>
      <c r="AC168" s="638"/>
    </row>
    <row r="169" spans="1:68" ht="14.25" hidden="1" customHeight="1" x14ac:dyDescent="0.25">
      <c r="A169" s="658" t="s">
        <v>245</v>
      </c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8"/>
      <c r="P169" s="648"/>
      <c r="Q169" s="648"/>
      <c r="R169" s="648"/>
      <c r="S169" s="648"/>
      <c r="T169" s="648"/>
      <c r="U169" s="648"/>
      <c r="V169" s="648"/>
      <c r="W169" s="648"/>
      <c r="X169" s="648"/>
      <c r="Y169" s="648"/>
      <c r="Z169" s="648"/>
      <c r="AA169" s="631"/>
      <c r="AB169" s="631"/>
      <c r="AC169" s="631"/>
    </row>
    <row r="170" spans="1:68" ht="27" hidden="1" customHeight="1" x14ac:dyDescent="0.25">
      <c r="A170" s="54" t="s">
        <v>285</v>
      </c>
      <c r="B170" s="54" t="s">
        <v>286</v>
      </c>
      <c r="C170" s="31">
        <v>4301031527</v>
      </c>
      <c r="D170" s="642">
        <v>4680115889613</v>
      </c>
      <c r="E170" s="643"/>
      <c r="F170" s="634">
        <v>1.1499999999999999</v>
      </c>
      <c r="G170" s="32">
        <v>4</v>
      </c>
      <c r="H170" s="634">
        <v>4.5999999999999996</v>
      </c>
      <c r="I170" s="634">
        <v>4.95</v>
      </c>
      <c r="J170" s="32">
        <v>104</v>
      </c>
      <c r="K170" s="32" t="s">
        <v>116</v>
      </c>
      <c r="L170" s="32"/>
      <c r="M170" s="33" t="s">
        <v>122</v>
      </c>
      <c r="N170" s="33"/>
      <c r="O170" s="32">
        <v>45</v>
      </c>
      <c r="P170" s="687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5">
        <v>0</v>
      </c>
      <c r="Y170" s="636">
        <f t="shared" ref="Y170:Y180" si="15">IFERROR(IF(X170="",0,CEILING((X170/$H170),1)*$H170),"")</f>
        <v>0</v>
      </c>
      <c r="Z170" s="36" t="str">
        <f>IFERROR(IF(Y170=0,"",ROUNDUP(Y170/H170,0)*0.01196),"")</f>
        <v/>
      </c>
      <c r="AA170" s="56"/>
      <c r="AB170" s="57" t="s">
        <v>88</v>
      </c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ref="BM170:BM180" si="16">IFERROR(X170*I170/H170,"0")</f>
        <v>0</v>
      </c>
      <c r="BN170" s="64">
        <f t="shared" ref="BN170:BN180" si="17">IFERROR(Y170*I170/H170,"0")</f>
        <v>0</v>
      </c>
      <c r="BO170" s="64">
        <f t="shared" ref="BO170:BO180" si="18">IFERROR(1/J170*(X170/H170),"0")</f>
        <v>0</v>
      </c>
      <c r="BP170" s="64">
        <f t="shared" ref="BP170:BP180" si="19">IFERROR(1/J170*(Y170/H170),"0")</f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4301031496</v>
      </c>
      <c r="D171" s="642">
        <v>4680115887428</v>
      </c>
      <c r="E171" s="643"/>
      <c r="F171" s="634">
        <v>0.7</v>
      </c>
      <c r="G171" s="32">
        <v>5</v>
      </c>
      <c r="H171" s="634">
        <v>3.5</v>
      </c>
      <c r="I171" s="634">
        <v>3.69</v>
      </c>
      <c r="J171" s="32">
        <v>132</v>
      </c>
      <c r="K171" s="32" t="s">
        <v>126</v>
      </c>
      <c r="L171" s="32"/>
      <c r="M171" s="33" t="s">
        <v>122</v>
      </c>
      <c r="N171" s="33"/>
      <c r="O171" s="32">
        <v>40</v>
      </c>
      <c r="P171" s="72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5">
        <v>15</v>
      </c>
      <c r="Y171" s="636">
        <f t="shared" si="15"/>
        <v>17.5</v>
      </c>
      <c r="Z171" s="36">
        <f>IFERROR(IF(Y171=0,"",ROUNDUP(Y171/H171,0)*0.00902),"")</f>
        <v>4.5100000000000001E-2</v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15.814285714285715</v>
      </c>
      <c r="BN171" s="64">
        <f t="shared" si="17"/>
        <v>18.45</v>
      </c>
      <c r="BO171" s="64">
        <f t="shared" si="18"/>
        <v>3.2467532467532464E-2</v>
      </c>
      <c r="BP171" s="64">
        <f t="shared" si="19"/>
        <v>3.787878787878788E-2</v>
      </c>
    </row>
    <row r="172" spans="1:68" ht="27" hidden="1" customHeight="1" x14ac:dyDescent="0.25">
      <c r="A172" s="54" t="s">
        <v>291</v>
      </c>
      <c r="B172" s="54" t="s">
        <v>292</v>
      </c>
      <c r="C172" s="31">
        <v>4301031509</v>
      </c>
      <c r="D172" s="642">
        <v>4680115889170</v>
      </c>
      <c r="E172" s="643"/>
      <c r="F172" s="634">
        <v>0.7</v>
      </c>
      <c r="G172" s="32">
        <v>5</v>
      </c>
      <c r="H172" s="634">
        <v>3.5</v>
      </c>
      <c r="I172" s="634">
        <v>3.7650000000000001</v>
      </c>
      <c r="J172" s="32">
        <v>132</v>
      </c>
      <c r="K172" s="32" t="s">
        <v>126</v>
      </c>
      <c r="L172" s="32"/>
      <c r="M172" s="33" t="s">
        <v>122</v>
      </c>
      <c r="N172" s="33"/>
      <c r="O172" s="32">
        <v>45</v>
      </c>
      <c r="P172" s="6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40"/>
      <c r="R172" s="640"/>
      <c r="S172" s="640"/>
      <c r="T172" s="641"/>
      <c r="U172" s="34"/>
      <c r="V172" s="34"/>
      <c r="W172" s="35" t="s">
        <v>67</v>
      </c>
      <c r="X172" s="635">
        <v>0</v>
      </c>
      <c r="Y172" s="636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4301031522</v>
      </c>
      <c r="D173" s="642">
        <v>4680115887398</v>
      </c>
      <c r="E173" s="643"/>
      <c r="F173" s="634">
        <v>0.7</v>
      </c>
      <c r="G173" s="32">
        <v>5</v>
      </c>
      <c r="H173" s="634">
        <v>3.5</v>
      </c>
      <c r="I173" s="634">
        <v>3.69</v>
      </c>
      <c r="J173" s="32">
        <v>132</v>
      </c>
      <c r="K173" s="32" t="s">
        <v>126</v>
      </c>
      <c r="L173" s="32"/>
      <c r="M173" s="33" t="s">
        <v>122</v>
      </c>
      <c r="N173" s="33"/>
      <c r="O173" s="32">
        <v>45</v>
      </c>
      <c r="P173" s="70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40"/>
      <c r="R173" s="640"/>
      <c r="S173" s="640"/>
      <c r="T173" s="641"/>
      <c r="U173" s="34"/>
      <c r="V173" s="34"/>
      <c r="W173" s="35" t="s">
        <v>67</v>
      </c>
      <c r="X173" s="635">
        <v>0</v>
      </c>
      <c r="Y173" s="636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296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4301031520</v>
      </c>
      <c r="D174" s="642">
        <v>4680115887336</v>
      </c>
      <c r="E174" s="643"/>
      <c r="F174" s="634">
        <v>0.7</v>
      </c>
      <c r="G174" s="32">
        <v>5</v>
      </c>
      <c r="H174" s="634">
        <v>3.5</v>
      </c>
      <c r="I174" s="634">
        <v>3.69</v>
      </c>
      <c r="J174" s="32">
        <v>132</v>
      </c>
      <c r="K174" s="32" t="s">
        <v>126</v>
      </c>
      <c r="L174" s="32"/>
      <c r="M174" s="33" t="s">
        <v>122</v>
      </c>
      <c r="N174" s="33"/>
      <c r="O174" s="32">
        <v>45</v>
      </c>
      <c r="P174" s="99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40"/>
      <c r="R174" s="640"/>
      <c r="S174" s="640"/>
      <c r="T174" s="641"/>
      <c r="U174" s="34"/>
      <c r="V174" s="34"/>
      <c r="W174" s="35" t="s">
        <v>67</v>
      </c>
      <c r="X174" s="635">
        <v>144</v>
      </c>
      <c r="Y174" s="636">
        <f t="shared" si="15"/>
        <v>147</v>
      </c>
      <c r="Z174" s="36">
        <f>IFERROR(IF(Y174=0,"",ROUNDUP(Y174/H174,0)*0.00902),"")</f>
        <v>0.37884000000000001</v>
      </c>
      <c r="AA174" s="56"/>
      <c r="AB174" s="57"/>
      <c r="AC174" s="227" t="s">
        <v>299</v>
      </c>
      <c r="AG174" s="64"/>
      <c r="AJ174" s="68"/>
      <c r="AK174" s="68">
        <v>0</v>
      </c>
      <c r="BB174" s="228" t="s">
        <v>1</v>
      </c>
      <c r="BM174" s="64">
        <f t="shared" si="16"/>
        <v>151.81714285714287</v>
      </c>
      <c r="BN174" s="64">
        <f t="shared" si="17"/>
        <v>154.97999999999999</v>
      </c>
      <c r="BO174" s="64">
        <f t="shared" si="18"/>
        <v>0.31168831168831174</v>
      </c>
      <c r="BP174" s="64">
        <f t="shared" si="19"/>
        <v>0.31818181818181818</v>
      </c>
    </row>
    <row r="175" spans="1:68" ht="16.5" customHeight="1" x14ac:dyDescent="0.25">
      <c r="A175" s="54" t="s">
        <v>300</v>
      </c>
      <c r="B175" s="54" t="s">
        <v>301</v>
      </c>
      <c r="C175" s="31">
        <v>4301031528</v>
      </c>
      <c r="D175" s="642">
        <v>4680115887787</v>
      </c>
      <c r="E175" s="643"/>
      <c r="F175" s="634">
        <v>0.09</v>
      </c>
      <c r="G175" s="32">
        <v>10</v>
      </c>
      <c r="H175" s="634">
        <v>0.9</v>
      </c>
      <c r="I175" s="634">
        <v>1.1100000000000001</v>
      </c>
      <c r="J175" s="32">
        <v>192</v>
      </c>
      <c r="K175" s="32" t="s">
        <v>121</v>
      </c>
      <c r="L175" s="32"/>
      <c r="M175" s="33" t="s">
        <v>122</v>
      </c>
      <c r="N175" s="33"/>
      <c r="O175" s="32">
        <v>45</v>
      </c>
      <c r="P175" s="9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5">
        <v>18</v>
      </c>
      <c r="Y175" s="636">
        <f t="shared" si="15"/>
        <v>18</v>
      </c>
      <c r="Z175" s="36">
        <f>IFERROR(IF(Y175=0,"",ROUNDUP(Y175/H175,0)*0.00726),"")</f>
        <v>0.1452</v>
      </c>
      <c r="AA175" s="56"/>
      <c r="AB175" s="57"/>
      <c r="AC175" s="229" t="s">
        <v>302</v>
      </c>
      <c r="AG175" s="64"/>
      <c r="AJ175" s="68"/>
      <c r="AK175" s="68">
        <v>0</v>
      </c>
      <c r="BB175" s="230" t="s">
        <v>1</v>
      </c>
      <c r="BM175" s="64">
        <f t="shared" si="16"/>
        <v>22.2</v>
      </c>
      <c r="BN175" s="64">
        <f t="shared" si="17"/>
        <v>22.2</v>
      </c>
      <c r="BO175" s="64">
        <f t="shared" si="18"/>
        <v>0.10416666666666666</v>
      </c>
      <c r="BP175" s="64">
        <f t="shared" si="19"/>
        <v>0.10416666666666666</v>
      </c>
    </row>
    <row r="176" spans="1:68" ht="27" customHeight="1" x14ac:dyDescent="0.25">
      <c r="A176" s="54" t="s">
        <v>303</v>
      </c>
      <c r="B176" s="54" t="s">
        <v>304</v>
      </c>
      <c r="C176" s="31">
        <v>4301031448</v>
      </c>
      <c r="D176" s="642">
        <v>4680115887503</v>
      </c>
      <c r="E176" s="643"/>
      <c r="F176" s="634">
        <v>0.28000000000000003</v>
      </c>
      <c r="G176" s="32">
        <v>6</v>
      </c>
      <c r="H176" s="634">
        <v>1.68</v>
      </c>
      <c r="I176" s="634">
        <v>1.78</v>
      </c>
      <c r="J176" s="32">
        <v>234</v>
      </c>
      <c r="K176" s="32" t="s">
        <v>223</v>
      </c>
      <c r="L176" s="32"/>
      <c r="M176" s="33" t="s">
        <v>122</v>
      </c>
      <c r="N176" s="33"/>
      <c r="O176" s="32">
        <v>40</v>
      </c>
      <c r="P176" s="92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5">
        <v>73</v>
      </c>
      <c r="Y176" s="636">
        <f t="shared" si="15"/>
        <v>73.92</v>
      </c>
      <c r="Z176" s="36">
        <f>IFERROR(IF(Y176=0,"",ROUNDUP(Y176/H176,0)*0.00502),"")</f>
        <v>0.22088000000000002</v>
      </c>
      <c r="AA176" s="56"/>
      <c r="AB176" s="57"/>
      <c r="AC176" s="231" t="s">
        <v>290</v>
      </c>
      <c r="AG176" s="64"/>
      <c r="AJ176" s="68"/>
      <c r="AK176" s="68">
        <v>0</v>
      </c>
      <c r="BB176" s="232" t="s">
        <v>1</v>
      </c>
      <c r="BM176" s="64">
        <f t="shared" si="16"/>
        <v>77.345238095238102</v>
      </c>
      <c r="BN176" s="64">
        <f t="shared" si="17"/>
        <v>78.320000000000007</v>
      </c>
      <c r="BO176" s="64">
        <f t="shared" si="18"/>
        <v>0.18569393569393572</v>
      </c>
      <c r="BP176" s="64">
        <f t="shared" si="19"/>
        <v>0.18803418803418806</v>
      </c>
    </row>
    <row r="177" spans="1:68" ht="27" customHeight="1" x14ac:dyDescent="0.25">
      <c r="A177" s="54" t="s">
        <v>305</v>
      </c>
      <c r="B177" s="54" t="s">
        <v>306</v>
      </c>
      <c r="C177" s="31">
        <v>4301031389</v>
      </c>
      <c r="D177" s="642">
        <v>4680115887763</v>
      </c>
      <c r="E177" s="643"/>
      <c r="F177" s="634">
        <v>0.09</v>
      </c>
      <c r="G177" s="32">
        <v>10</v>
      </c>
      <c r="H177" s="634">
        <v>0.9</v>
      </c>
      <c r="I177" s="634">
        <v>1.1100000000000001</v>
      </c>
      <c r="J177" s="32">
        <v>312</v>
      </c>
      <c r="K177" s="32" t="s">
        <v>121</v>
      </c>
      <c r="L177" s="32"/>
      <c r="M177" s="33" t="s">
        <v>122</v>
      </c>
      <c r="N177" s="33"/>
      <c r="O177" s="32">
        <v>45</v>
      </c>
      <c r="P177" s="91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5">
        <v>9</v>
      </c>
      <c r="Y177" s="636">
        <f t="shared" si="15"/>
        <v>9</v>
      </c>
      <c r="Z177" s="36">
        <f>IFERROR(IF(Y177=0,"",ROUNDUP(Y177/H177,0)*0.00417),"")</f>
        <v>4.1700000000000001E-2</v>
      </c>
      <c r="AA177" s="56"/>
      <c r="AB177" s="57"/>
      <c r="AC177" s="233" t="s">
        <v>307</v>
      </c>
      <c r="AG177" s="64"/>
      <c r="AJ177" s="68"/>
      <c r="AK177" s="68">
        <v>0</v>
      </c>
      <c r="BB177" s="234" t="s">
        <v>1</v>
      </c>
      <c r="BM177" s="64">
        <f t="shared" si="16"/>
        <v>11.1</v>
      </c>
      <c r="BN177" s="64">
        <f t="shared" si="17"/>
        <v>11.1</v>
      </c>
      <c r="BO177" s="64">
        <f t="shared" si="18"/>
        <v>3.2051282051282048E-2</v>
      </c>
      <c r="BP177" s="64">
        <f t="shared" si="19"/>
        <v>3.2051282051282048E-2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4301031521</v>
      </c>
      <c r="D178" s="642">
        <v>4680115887480</v>
      </c>
      <c r="E178" s="643"/>
      <c r="F178" s="634">
        <v>0.28000000000000003</v>
      </c>
      <c r="G178" s="32">
        <v>6</v>
      </c>
      <c r="H178" s="634">
        <v>1.68</v>
      </c>
      <c r="I178" s="634">
        <v>1.78</v>
      </c>
      <c r="J178" s="32">
        <v>234</v>
      </c>
      <c r="K178" s="32" t="s">
        <v>223</v>
      </c>
      <c r="L178" s="32"/>
      <c r="M178" s="33" t="s">
        <v>122</v>
      </c>
      <c r="N178" s="33"/>
      <c r="O178" s="32">
        <v>45</v>
      </c>
      <c r="P178" s="93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296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4301031434</v>
      </c>
      <c r="D179" s="642">
        <v>4680115888067</v>
      </c>
      <c r="E179" s="643"/>
      <c r="F179" s="634">
        <v>0.09</v>
      </c>
      <c r="G179" s="32">
        <v>10</v>
      </c>
      <c r="H179" s="634">
        <v>0.9</v>
      </c>
      <c r="I179" s="634">
        <v>1</v>
      </c>
      <c r="J179" s="32">
        <v>312</v>
      </c>
      <c r="K179" s="32" t="s">
        <v>121</v>
      </c>
      <c r="L179" s="32"/>
      <c r="M179" s="33" t="s">
        <v>122</v>
      </c>
      <c r="N179" s="33"/>
      <c r="O179" s="32">
        <v>45</v>
      </c>
      <c r="P179" s="84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5">
        <v>5</v>
      </c>
      <c r="Y179" s="636">
        <f t="shared" si="15"/>
        <v>5.4</v>
      </c>
      <c r="Z179" s="36">
        <f>IFERROR(IF(Y179=0,"",ROUNDUP(Y179/H179,0)*0.00417),"")</f>
        <v>2.5020000000000001E-2</v>
      </c>
      <c r="AA179" s="56"/>
      <c r="AB179" s="57"/>
      <c r="AC179" s="237" t="s">
        <v>312</v>
      </c>
      <c r="AG179" s="64"/>
      <c r="AJ179" s="68"/>
      <c r="AK179" s="68">
        <v>0</v>
      </c>
      <c r="BB179" s="238" t="s">
        <v>1</v>
      </c>
      <c r="BM179" s="64">
        <f t="shared" si="16"/>
        <v>5.5555555555555554</v>
      </c>
      <c r="BN179" s="64">
        <f t="shared" si="17"/>
        <v>6</v>
      </c>
      <c r="BO179" s="64">
        <f t="shared" si="18"/>
        <v>1.7806267806267807E-2</v>
      </c>
      <c r="BP179" s="64">
        <f t="shared" si="19"/>
        <v>1.9230769230769232E-2</v>
      </c>
    </row>
    <row r="180" spans="1:68" ht="27" customHeight="1" x14ac:dyDescent="0.25">
      <c r="A180" s="54" t="s">
        <v>313</v>
      </c>
      <c r="B180" s="54" t="s">
        <v>314</v>
      </c>
      <c r="C180" s="31">
        <v>4301031519</v>
      </c>
      <c r="D180" s="642">
        <v>4680115887435</v>
      </c>
      <c r="E180" s="643"/>
      <c r="F180" s="634">
        <v>0.28000000000000003</v>
      </c>
      <c r="G180" s="32">
        <v>6</v>
      </c>
      <c r="H180" s="634">
        <v>1.68</v>
      </c>
      <c r="I180" s="634">
        <v>1.78</v>
      </c>
      <c r="J180" s="32">
        <v>234</v>
      </c>
      <c r="K180" s="32" t="s">
        <v>223</v>
      </c>
      <c r="L180" s="32"/>
      <c r="M180" s="33" t="s">
        <v>122</v>
      </c>
      <c r="N180" s="33"/>
      <c r="O180" s="32">
        <v>45</v>
      </c>
      <c r="P180" s="77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5">
        <v>105</v>
      </c>
      <c r="Y180" s="636">
        <f t="shared" si="15"/>
        <v>105.83999999999999</v>
      </c>
      <c r="Z180" s="36">
        <f>IFERROR(IF(Y180=0,"",ROUNDUP(Y180/H180,0)*0.00502),"")</f>
        <v>0.31625999999999999</v>
      </c>
      <c r="AA180" s="56"/>
      <c r="AB180" s="57"/>
      <c r="AC180" s="239" t="s">
        <v>299</v>
      </c>
      <c r="AG180" s="64"/>
      <c r="AJ180" s="68"/>
      <c r="AK180" s="68">
        <v>0</v>
      </c>
      <c r="BB180" s="240" t="s">
        <v>1</v>
      </c>
      <c r="BM180" s="64">
        <f t="shared" si="16"/>
        <v>111.25000000000001</v>
      </c>
      <c r="BN180" s="64">
        <f t="shared" si="17"/>
        <v>112.14</v>
      </c>
      <c r="BO180" s="64">
        <f t="shared" si="18"/>
        <v>0.26709401709401714</v>
      </c>
      <c r="BP180" s="64">
        <f t="shared" si="19"/>
        <v>0.26923076923076922</v>
      </c>
    </row>
    <row r="181" spans="1:68" x14ac:dyDescent="0.2">
      <c r="A181" s="647"/>
      <c r="B181" s="648"/>
      <c r="C181" s="648"/>
      <c r="D181" s="648"/>
      <c r="E181" s="648"/>
      <c r="F181" s="648"/>
      <c r="G181" s="648"/>
      <c r="H181" s="648"/>
      <c r="I181" s="648"/>
      <c r="J181" s="648"/>
      <c r="K181" s="648"/>
      <c r="L181" s="648"/>
      <c r="M181" s="648"/>
      <c r="N181" s="648"/>
      <c r="O181" s="649"/>
      <c r="P181" s="653" t="s">
        <v>81</v>
      </c>
      <c r="Q181" s="654"/>
      <c r="R181" s="654"/>
      <c r="S181" s="654"/>
      <c r="T181" s="654"/>
      <c r="U181" s="654"/>
      <c r="V181" s="655"/>
      <c r="W181" s="37" t="s">
        <v>82</v>
      </c>
      <c r="X181" s="637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186.93650793650795</v>
      </c>
      <c r="Y181" s="637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190</v>
      </c>
      <c r="Z181" s="637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1.173</v>
      </c>
      <c r="AA181" s="638"/>
      <c r="AB181" s="638"/>
      <c r="AC181" s="638"/>
    </row>
    <row r="182" spans="1:68" x14ac:dyDescent="0.2">
      <c r="A182" s="648"/>
      <c r="B182" s="648"/>
      <c r="C182" s="648"/>
      <c r="D182" s="648"/>
      <c r="E182" s="648"/>
      <c r="F182" s="648"/>
      <c r="G182" s="648"/>
      <c r="H182" s="648"/>
      <c r="I182" s="648"/>
      <c r="J182" s="648"/>
      <c r="K182" s="648"/>
      <c r="L182" s="648"/>
      <c r="M182" s="648"/>
      <c r="N182" s="648"/>
      <c r="O182" s="649"/>
      <c r="P182" s="653" t="s">
        <v>81</v>
      </c>
      <c r="Q182" s="654"/>
      <c r="R182" s="654"/>
      <c r="S182" s="654"/>
      <c r="T182" s="654"/>
      <c r="U182" s="654"/>
      <c r="V182" s="655"/>
      <c r="W182" s="37" t="s">
        <v>67</v>
      </c>
      <c r="X182" s="637">
        <f>IFERROR(SUM(X170:X180),"0")</f>
        <v>369</v>
      </c>
      <c r="Y182" s="637">
        <f>IFERROR(SUM(Y170:Y180),"0")</f>
        <v>376.65999999999997</v>
      </c>
      <c r="Z182" s="37"/>
      <c r="AA182" s="638"/>
      <c r="AB182" s="638"/>
      <c r="AC182" s="638"/>
    </row>
    <row r="183" spans="1:68" ht="14.25" hidden="1" customHeight="1" x14ac:dyDescent="0.25">
      <c r="A183" s="658" t="s">
        <v>62</v>
      </c>
      <c r="B183" s="648"/>
      <c r="C183" s="648"/>
      <c r="D183" s="648"/>
      <c r="E183" s="648"/>
      <c r="F183" s="648"/>
      <c r="G183" s="648"/>
      <c r="H183" s="648"/>
      <c r="I183" s="648"/>
      <c r="J183" s="648"/>
      <c r="K183" s="648"/>
      <c r="L183" s="648"/>
      <c r="M183" s="648"/>
      <c r="N183" s="648"/>
      <c r="O183" s="648"/>
      <c r="P183" s="648"/>
      <c r="Q183" s="648"/>
      <c r="R183" s="648"/>
      <c r="S183" s="648"/>
      <c r="T183" s="648"/>
      <c r="U183" s="648"/>
      <c r="V183" s="648"/>
      <c r="W183" s="648"/>
      <c r="X183" s="648"/>
      <c r="Y183" s="648"/>
      <c r="Z183" s="648"/>
      <c r="AA183" s="631"/>
      <c r="AB183" s="631"/>
      <c r="AC183" s="631"/>
    </row>
    <row r="184" spans="1:68" ht="16.5" hidden="1" customHeight="1" x14ac:dyDescent="0.25">
      <c r="A184" s="54" t="s">
        <v>315</v>
      </c>
      <c r="B184" s="54" t="s">
        <v>316</v>
      </c>
      <c r="C184" s="31">
        <v>4301052193</v>
      </c>
      <c r="D184" s="642">
        <v>4680115888395</v>
      </c>
      <c r="E184" s="643"/>
      <c r="F184" s="634">
        <v>0.42</v>
      </c>
      <c r="G184" s="32">
        <v>6</v>
      </c>
      <c r="H184" s="634">
        <v>2.52</v>
      </c>
      <c r="I184" s="634">
        <v>2.766</v>
      </c>
      <c r="J184" s="32">
        <v>182</v>
      </c>
      <c r="K184" s="32" t="s">
        <v>65</v>
      </c>
      <c r="L184" s="32"/>
      <c r="M184" s="33" t="s">
        <v>73</v>
      </c>
      <c r="N184" s="33"/>
      <c r="O184" s="32">
        <v>40</v>
      </c>
      <c r="P184" s="72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5">
        <v>0</v>
      </c>
      <c r="Y184" s="636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317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318</v>
      </c>
      <c r="B185" s="54" t="s">
        <v>319</v>
      </c>
      <c r="C185" s="31">
        <v>4301052191</v>
      </c>
      <c r="D185" s="642">
        <v>4680115888371</v>
      </c>
      <c r="E185" s="643"/>
      <c r="F185" s="634">
        <v>0.42</v>
      </c>
      <c r="G185" s="32">
        <v>6</v>
      </c>
      <c r="H185" s="634">
        <v>2.52</v>
      </c>
      <c r="I185" s="634">
        <v>2.766</v>
      </c>
      <c r="J185" s="32">
        <v>182</v>
      </c>
      <c r="K185" s="32" t="s">
        <v>65</v>
      </c>
      <c r="L185" s="32"/>
      <c r="M185" s="33" t="s">
        <v>73</v>
      </c>
      <c r="N185" s="33"/>
      <c r="O185" s="32">
        <v>40</v>
      </c>
      <c r="P185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40"/>
      <c r="R185" s="640"/>
      <c r="S185" s="640"/>
      <c r="T185" s="641"/>
      <c r="U185" s="34"/>
      <c r="V185" s="34"/>
      <c r="W185" s="35" t="s">
        <v>67</v>
      </c>
      <c r="X185" s="635">
        <v>0</v>
      </c>
      <c r="Y185" s="636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47"/>
      <c r="B186" s="648"/>
      <c r="C186" s="648"/>
      <c r="D186" s="648"/>
      <c r="E186" s="648"/>
      <c r="F186" s="648"/>
      <c r="G186" s="648"/>
      <c r="H186" s="648"/>
      <c r="I186" s="648"/>
      <c r="J186" s="648"/>
      <c r="K186" s="648"/>
      <c r="L186" s="648"/>
      <c r="M186" s="648"/>
      <c r="N186" s="648"/>
      <c r="O186" s="649"/>
      <c r="P186" s="653" t="s">
        <v>81</v>
      </c>
      <c r="Q186" s="654"/>
      <c r="R186" s="654"/>
      <c r="S186" s="654"/>
      <c r="T186" s="654"/>
      <c r="U186" s="654"/>
      <c r="V186" s="655"/>
      <c r="W186" s="37" t="s">
        <v>82</v>
      </c>
      <c r="X186" s="637">
        <f>IFERROR(X184/H184,"0")+IFERROR(X185/H185,"0")</f>
        <v>0</v>
      </c>
      <c r="Y186" s="637">
        <f>IFERROR(Y184/H184,"0")+IFERROR(Y185/H185,"0")</f>
        <v>0</v>
      </c>
      <c r="Z186" s="637">
        <f>IFERROR(IF(Z184="",0,Z184),"0")+IFERROR(IF(Z185="",0,Z185),"0")</f>
        <v>0</v>
      </c>
      <c r="AA186" s="638"/>
      <c r="AB186" s="638"/>
      <c r="AC186" s="638"/>
    </row>
    <row r="187" spans="1:68" hidden="1" x14ac:dyDescent="0.2">
      <c r="A187" s="648"/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9"/>
      <c r="P187" s="653" t="s">
        <v>81</v>
      </c>
      <c r="Q187" s="654"/>
      <c r="R187" s="654"/>
      <c r="S187" s="654"/>
      <c r="T187" s="654"/>
      <c r="U187" s="654"/>
      <c r="V187" s="655"/>
      <c r="W187" s="37" t="s">
        <v>67</v>
      </c>
      <c r="X187" s="637">
        <f>IFERROR(SUM(X184:X185),"0")</f>
        <v>0</v>
      </c>
      <c r="Y187" s="637">
        <f>IFERROR(SUM(Y184:Y185),"0")</f>
        <v>0</v>
      </c>
      <c r="Z187" s="37"/>
      <c r="AA187" s="638"/>
      <c r="AB187" s="638"/>
      <c r="AC187" s="638"/>
    </row>
    <row r="188" spans="1:68" ht="14.25" hidden="1" customHeight="1" x14ac:dyDescent="0.25">
      <c r="A188" s="658" t="s">
        <v>83</v>
      </c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8"/>
      <c r="P188" s="648"/>
      <c r="Q188" s="648"/>
      <c r="R188" s="648"/>
      <c r="S188" s="648"/>
      <c r="T188" s="648"/>
      <c r="U188" s="648"/>
      <c r="V188" s="648"/>
      <c r="W188" s="648"/>
      <c r="X188" s="648"/>
      <c r="Y188" s="648"/>
      <c r="Z188" s="648"/>
      <c r="AA188" s="631"/>
      <c r="AB188" s="631"/>
      <c r="AC188" s="631"/>
    </row>
    <row r="189" spans="1:68" ht="16.5" hidden="1" customHeight="1" x14ac:dyDescent="0.25">
      <c r="A189" s="54" t="s">
        <v>321</v>
      </c>
      <c r="B189" s="54" t="s">
        <v>322</v>
      </c>
      <c r="C189" s="31">
        <v>4301032058</v>
      </c>
      <c r="D189" s="642">
        <v>4680115889026</v>
      </c>
      <c r="E189" s="643"/>
      <c r="F189" s="634">
        <v>0.06</v>
      </c>
      <c r="G189" s="32">
        <v>18</v>
      </c>
      <c r="H189" s="634">
        <v>1.08</v>
      </c>
      <c r="I189" s="634">
        <v>1.36</v>
      </c>
      <c r="J189" s="32">
        <v>216</v>
      </c>
      <c r="K189" s="32" t="s">
        <v>323</v>
      </c>
      <c r="L189" s="32"/>
      <c r="M189" s="33" t="s">
        <v>87</v>
      </c>
      <c r="N189" s="33"/>
      <c r="O189" s="32">
        <v>60</v>
      </c>
      <c r="P189" s="7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5">
        <v>0</v>
      </c>
      <c r="Y189" s="636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324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7"/>
      <c r="B190" s="648"/>
      <c r="C190" s="648"/>
      <c r="D190" s="648"/>
      <c r="E190" s="648"/>
      <c r="F190" s="648"/>
      <c r="G190" s="648"/>
      <c r="H190" s="648"/>
      <c r="I190" s="648"/>
      <c r="J190" s="648"/>
      <c r="K190" s="648"/>
      <c r="L190" s="648"/>
      <c r="M190" s="648"/>
      <c r="N190" s="648"/>
      <c r="O190" s="649"/>
      <c r="P190" s="653" t="s">
        <v>81</v>
      </c>
      <c r="Q190" s="654"/>
      <c r="R190" s="654"/>
      <c r="S190" s="654"/>
      <c r="T190" s="654"/>
      <c r="U190" s="654"/>
      <c r="V190" s="655"/>
      <c r="W190" s="37" t="s">
        <v>82</v>
      </c>
      <c r="X190" s="637">
        <f>IFERROR(X189/H189,"0")</f>
        <v>0</v>
      </c>
      <c r="Y190" s="637">
        <f>IFERROR(Y189/H189,"0")</f>
        <v>0</v>
      </c>
      <c r="Z190" s="637">
        <f>IFERROR(IF(Z189="",0,Z189),"0")</f>
        <v>0</v>
      </c>
      <c r="AA190" s="638"/>
      <c r="AB190" s="638"/>
      <c r="AC190" s="638"/>
    </row>
    <row r="191" spans="1:68" hidden="1" x14ac:dyDescent="0.2">
      <c r="A191" s="648"/>
      <c r="B191" s="648"/>
      <c r="C191" s="648"/>
      <c r="D191" s="648"/>
      <c r="E191" s="648"/>
      <c r="F191" s="648"/>
      <c r="G191" s="648"/>
      <c r="H191" s="648"/>
      <c r="I191" s="648"/>
      <c r="J191" s="648"/>
      <c r="K191" s="648"/>
      <c r="L191" s="648"/>
      <c r="M191" s="648"/>
      <c r="N191" s="648"/>
      <c r="O191" s="649"/>
      <c r="P191" s="653" t="s">
        <v>81</v>
      </c>
      <c r="Q191" s="654"/>
      <c r="R191" s="654"/>
      <c r="S191" s="654"/>
      <c r="T191" s="654"/>
      <c r="U191" s="654"/>
      <c r="V191" s="655"/>
      <c r="W191" s="37" t="s">
        <v>67</v>
      </c>
      <c r="X191" s="637">
        <f>IFERROR(SUM(X189:X189),"0")</f>
        <v>0</v>
      </c>
      <c r="Y191" s="637">
        <f>IFERROR(SUM(Y189:Y189),"0")</f>
        <v>0</v>
      </c>
      <c r="Z191" s="37"/>
      <c r="AA191" s="638"/>
      <c r="AB191" s="638"/>
      <c r="AC191" s="638"/>
    </row>
    <row r="192" spans="1:68" ht="14.25" hidden="1" customHeight="1" x14ac:dyDescent="0.25">
      <c r="A192" s="658" t="s">
        <v>325</v>
      </c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8"/>
      <c r="P192" s="648"/>
      <c r="Q192" s="648"/>
      <c r="R192" s="648"/>
      <c r="S192" s="648"/>
      <c r="T192" s="648"/>
      <c r="U192" s="648"/>
      <c r="V192" s="648"/>
      <c r="W192" s="648"/>
      <c r="X192" s="648"/>
      <c r="Y192" s="648"/>
      <c r="Z192" s="648"/>
      <c r="AA192" s="631"/>
      <c r="AB192" s="631"/>
      <c r="AC192" s="631"/>
    </row>
    <row r="193" spans="1:68" ht="27" hidden="1" customHeight="1" x14ac:dyDescent="0.25">
      <c r="A193" s="54" t="s">
        <v>326</v>
      </c>
      <c r="B193" s="54" t="s">
        <v>327</v>
      </c>
      <c r="C193" s="31">
        <v>4301041009</v>
      </c>
      <c r="D193" s="642">
        <v>4680115889033</v>
      </c>
      <c r="E193" s="643"/>
      <c r="F193" s="634">
        <v>0.11</v>
      </c>
      <c r="G193" s="32">
        <v>15</v>
      </c>
      <c r="H193" s="634">
        <v>1.65</v>
      </c>
      <c r="I193" s="634">
        <v>1.9</v>
      </c>
      <c r="J193" s="32">
        <v>216</v>
      </c>
      <c r="K193" s="32" t="s">
        <v>323</v>
      </c>
      <c r="L193" s="32"/>
      <c r="M193" s="33" t="s">
        <v>87</v>
      </c>
      <c r="N193" s="33"/>
      <c r="O193" s="32">
        <v>60</v>
      </c>
      <c r="P193" s="89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5">
        <v>0</v>
      </c>
      <c r="Y193" s="636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328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7"/>
      <c r="B194" s="648"/>
      <c r="C194" s="648"/>
      <c r="D194" s="648"/>
      <c r="E194" s="648"/>
      <c r="F194" s="648"/>
      <c r="G194" s="648"/>
      <c r="H194" s="648"/>
      <c r="I194" s="648"/>
      <c r="J194" s="648"/>
      <c r="K194" s="648"/>
      <c r="L194" s="648"/>
      <c r="M194" s="648"/>
      <c r="N194" s="648"/>
      <c r="O194" s="649"/>
      <c r="P194" s="653" t="s">
        <v>81</v>
      </c>
      <c r="Q194" s="654"/>
      <c r="R194" s="654"/>
      <c r="S194" s="654"/>
      <c r="T194" s="654"/>
      <c r="U194" s="654"/>
      <c r="V194" s="655"/>
      <c r="W194" s="37" t="s">
        <v>82</v>
      </c>
      <c r="X194" s="637">
        <f>IFERROR(X193/H193,"0")</f>
        <v>0</v>
      </c>
      <c r="Y194" s="637">
        <f>IFERROR(Y193/H193,"0")</f>
        <v>0</v>
      </c>
      <c r="Z194" s="637">
        <f>IFERROR(IF(Z193="",0,Z193),"0")</f>
        <v>0</v>
      </c>
      <c r="AA194" s="638"/>
      <c r="AB194" s="638"/>
      <c r="AC194" s="638"/>
    </row>
    <row r="195" spans="1:68" hidden="1" x14ac:dyDescent="0.2">
      <c r="A195" s="648"/>
      <c r="B195" s="648"/>
      <c r="C195" s="648"/>
      <c r="D195" s="648"/>
      <c r="E195" s="648"/>
      <c r="F195" s="648"/>
      <c r="G195" s="648"/>
      <c r="H195" s="648"/>
      <c r="I195" s="648"/>
      <c r="J195" s="648"/>
      <c r="K195" s="648"/>
      <c r="L195" s="648"/>
      <c r="M195" s="648"/>
      <c r="N195" s="648"/>
      <c r="O195" s="649"/>
      <c r="P195" s="653" t="s">
        <v>81</v>
      </c>
      <c r="Q195" s="654"/>
      <c r="R195" s="654"/>
      <c r="S195" s="654"/>
      <c r="T195" s="654"/>
      <c r="U195" s="654"/>
      <c r="V195" s="655"/>
      <c r="W195" s="37" t="s">
        <v>67</v>
      </c>
      <c r="X195" s="637">
        <f>IFERROR(SUM(X193:X193),"0")</f>
        <v>0</v>
      </c>
      <c r="Y195" s="637">
        <f>IFERROR(SUM(Y193:Y193),"0")</f>
        <v>0</v>
      </c>
      <c r="Z195" s="37"/>
      <c r="AA195" s="638"/>
      <c r="AB195" s="638"/>
      <c r="AC195" s="638"/>
    </row>
    <row r="196" spans="1:68" ht="27.75" hidden="1" customHeight="1" x14ac:dyDescent="0.2">
      <c r="A196" s="656" t="s">
        <v>329</v>
      </c>
      <c r="B196" s="657"/>
      <c r="C196" s="657"/>
      <c r="D196" s="657"/>
      <c r="E196" s="657"/>
      <c r="F196" s="657"/>
      <c r="G196" s="657"/>
      <c r="H196" s="657"/>
      <c r="I196" s="657"/>
      <c r="J196" s="657"/>
      <c r="K196" s="657"/>
      <c r="L196" s="657"/>
      <c r="M196" s="657"/>
      <c r="N196" s="657"/>
      <c r="O196" s="657"/>
      <c r="P196" s="657"/>
      <c r="Q196" s="657"/>
      <c r="R196" s="657"/>
      <c r="S196" s="657"/>
      <c r="T196" s="657"/>
      <c r="U196" s="657"/>
      <c r="V196" s="657"/>
      <c r="W196" s="657"/>
      <c r="X196" s="657"/>
      <c r="Y196" s="657"/>
      <c r="Z196" s="657"/>
      <c r="AA196" s="48"/>
      <c r="AB196" s="48"/>
      <c r="AC196" s="48"/>
    </row>
    <row r="197" spans="1:68" ht="16.5" hidden="1" customHeight="1" x14ac:dyDescent="0.25">
      <c r="A197" s="652" t="s">
        <v>330</v>
      </c>
      <c r="B197" s="648"/>
      <c r="C197" s="648"/>
      <c r="D197" s="648"/>
      <c r="E197" s="648"/>
      <c r="F197" s="648"/>
      <c r="G197" s="648"/>
      <c r="H197" s="648"/>
      <c r="I197" s="648"/>
      <c r="J197" s="648"/>
      <c r="K197" s="648"/>
      <c r="L197" s="648"/>
      <c r="M197" s="648"/>
      <c r="N197" s="648"/>
      <c r="O197" s="648"/>
      <c r="P197" s="648"/>
      <c r="Q197" s="648"/>
      <c r="R197" s="648"/>
      <c r="S197" s="648"/>
      <c r="T197" s="648"/>
      <c r="U197" s="648"/>
      <c r="V197" s="648"/>
      <c r="W197" s="648"/>
      <c r="X197" s="648"/>
      <c r="Y197" s="648"/>
      <c r="Z197" s="648"/>
      <c r="AA197" s="630"/>
      <c r="AB197" s="630"/>
      <c r="AC197" s="630"/>
    </row>
    <row r="198" spans="1:68" ht="14.25" hidden="1" customHeight="1" x14ac:dyDescent="0.25">
      <c r="A198" s="658" t="s">
        <v>113</v>
      </c>
      <c r="B198" s="648"/>
      <c r="C198" s="648"/>
      <c r="D198" s="648"/>
      <c r="E198" s="648"/>
      <c r="F198" s="648"/>
      <c r="G198" s="648"/>
      <c r="H198" s="648"/>
      <c r="I198" s="648"/>
      <c r="J198" s="648"/>
      <c r="K198" s="648"/>
      <c r="L198" s="648"/>
      <c r="M198" s="648"/>
      <c r="N198" s="648"/>
      <c r="O198" s="648"/>
      <c r="P198" s="648"/>
      <c r="Q198" s="648"/>
      <c r="R198" s="648"/>
      <c r="S198" s="648"/>
      <c r="T198" s="648"/>
      <c r="U198" s="648"/>
      <c r="V198" s="648"/>
      <c r="W198" s="648"/>
      <c r="X198" s="648"/>
      <c r="Y198" s="648"/>
      <c r="Z198" s="648"/>
      <c r="AA198" s="631"/>
      <c r="AB198" s="631"/>
      <c r="AC198" s="631"/>
    </row>
    <row r="199" spans="1:68" ht="27" hidden="1" customHeight="1" x14ac:dyDescent="0.25">
      <c r="A199" s="54" t="s">
        <v>331</v>
      </c>
      <c r="B199" s="54" t="s">
        <v>332</v>
      </c>
      <c r="C199" s="31">
        <v>4301011223</v>
      </c>
      <c r="D199" s="642">
        <v>4607091383423</v>
      </c>
      <c r="E199" s="643"/>
      <c r="F199" s="634">
        <v>1.35</v>
      </c>
      <c r="G199" s="32">
        <v>8</v>
      </c>
      <c r="H199" s="634">
        <v>10.8</v>
      </c>
      <c r="I199" s="634">
        <v>11.305999999999999</v>
      </c>
      <c r="J199" s="32">
        <v>64</v>
      </c>
      <c r="K199" s="32" t="s">
        <v>116</v>
      </c>
      <c r="L199" s="32"/>
      <c r="M199" s="33" t="s">
        <v>66</v>
      </c>
      <c r="N199" s="33"/>
      <c r="O199" s="32">
        <v>35</v>
      </c>
      <c r="P199" s="97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40"/>
      <c r="R199" s="640"/>
      <c r="S199" s="640"/>
      <c r="T199" s="641"/>
      <c r="U199" s="34"/>
      <c r="V199" s="34"/>
      <c r="W199" s="35" t="s">
        <v>67</v>
      </c>
      <c r="X199" s="635">
        <v>0</v>
      </c>
      <c r="Y199" s="636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118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4301012340</v>
      </c>
      <c r="D200" s="642">
        <v>4680115888760</v>
      </c>
      <c r="E200" s="643"/>
      <c r="F200" s="634">
        <v>1.4</v>
      </c>
      <c r="G200" s="32">
        <v>6</v>
      </c>
      <c r="H200" s="634">
        <v>8.4</v>
      </c>
      <c r="I200" s="634">
        <v>8.81</v>
      </c>
      <c r="J200" s="32">
        <v>64</v>
      </c>
      <c r="K200" s="32" t="s">
        <v>116</v>
      </c>
      <c r="L200" s="32"/>
      <c r="M200" s="33" t="s">
        <v>66</v>
      </c>
      <c r="N200" s="33"/>
      <c r="O200" s="32">
        <v>35</v>
      </c>
      <c r="P200" s="98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40"/>
      <c r="R200" s="640"/>
      <c r="S200" s="640"/>
      <c r="T200" s="641"/>
      <c r="U200" s="34"/>
      <c r="V200" s="34"/>
      <c r="W200" s="35" t="s">
        <v>67</v>
      </c>
      <c r="X200" s="635">
        <v>0</v>
      </c>
      <c r="Y200" s="636">
        <f t="shared" si="20"/>
        <v>0</v>
      </c>
      <c r="Z200" s="36" t="str">
        <f t="shared" si="21"/>
        <v/>
      </c>
      <c r="AA200" s="56"/>
      <c r="AB200" s="57"/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4301012341</v>
      </c>
      <c r="D201" s="642">
        <v>4680115888807</v>
      </c>
      <c r="E201" s="643"/>
      <c r="F201" s="634">
        <v>1.4</v>
      </c>
      <c r="G201" s="32">
        <v>6</v>
      </c>
      <c r="H201" s="634">
        <v>8.4</v>
      </c>
      <c r="I201" s="634">
        <v>8.81</v>
      </c>
      <c r="J201" s="32">
        <v>64</v>
      </c>
      <c r="K201" s="32" t="s">
        <v>116</v>
      </c>
      <c r="L201" s="32"/>
      <c r="M201" s="33" t="s">
        <v>66</v>
      </c>
      <c r="N201" s="33"/>
      <c r="O201" s="32">
        <v>35</v>
      </c>
      <c r="P201" s="92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40"/>
      <c r="R201" s="640"/>
      <c r="S201" s="640"/>
      <c r="T201" s="641"/>
      <c r="U201" s="34"/>
      <c r="V201" s="34"/>
      <c r="W201" s="35" t="s">
        <v>67</v>
      </c>
      <c r="X201" s="635">
        <v>0</v>
      </c>
      <c r="Y201" s="636">
        <f t="shared" si="20"/>
        <v>0</v>
      </c>
      <c r="Z201" s="36" t="str">
        <f t="shared" si="21"/>
        <v/>
      </c>
      <c r="AA201" s="56"/>
      <c r="AB201" s="57"/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339</v>
      </c>
      <c r="B202" s="54" t="s">
        <v>340</v>
      </c>
      <c r="C202" s="31">
        <v>4301012342</v>
      </c>
      <c r="D202" s="642">
        <v>4680115888852</v>
      </c>
      <c r="E202" s="643"/>
      <c r="F202" s="634">
        <v>0.9</v>
      </c>
      <c r="G202" s="32">
        <v>6</v>
      </c>
      <c r="H202" s="634">
        <v>5.4</v>
      </c>
      <c r="I202" s="634">
        <v>5.81</v>
      </c>
      <c r="J202" s="32">
        <v>64</v>
      </c>
      <c r="K202" s="32" t="s">
        <v>116</v>
      </c>
      <c r="L202" s="32"/>
      <c r="M202" s="33" t="s">
        <v>66</v>
      </c>
      <c r="N202" s="33"/>
      <c r="O202" s="32">
        <v>35</v>
      </c>
      <c r="P202" s="100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40"/>
      <c r="R202" s="640"/>
      <c r="S202" s="640"/>
      <c r="T202" s="641"/>
      <c r="U202" s="34"/>
      <c r="V202" s="34"/>
      <c r="W202" s="35" t="s">
        <v>67</v>
      </c>
      <c r="X202" s="635">
        <v>0</v>
      </c>
      <c r="Y202" s="636">
        <f t="shared" si="20"/>
        <v>0</v>
      </c>
      <c r="Z202" s="36" t="str">
        <f t="shared" si="21"/>
        <v/>
      </c>
      <c r="AA202" s="56"/>
      <c r="AB202" s="57"/>
      <c r="AC202" s="255" t="s">
        <v>341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342</v>
      </c>
      <c r="B203" s="54" t="s">
        <v>343</v>
      </c>
      <c r="C203" s="31">
        <v>4301012370</v>
      </c>
      <c r="D203" s="642">
        <v>4680115886957</v>
      </c>
      <c r="E203" s="643"/>
      <c r="F203" s="634">
        <v>1.35</v>
      </c>
      <c r="G203" s="32">
        <v>8</v>
      </c>
      <c r="H203" s="634">
        <v>10.8</v>
      </c>
      <c r="I203" s="634">
        <v>11.29</v>
      </c>
      <c r="J203" s="32">
        <v>64</v>
      </c>
      <c r="K203" s="32" t="s">
        <v>116</v>
      </c>
      <c r="L203" s="32"/>
      <c r="M203" s="33" t="s">
        <v>66</v>
      </c>
      <c r="N203" s="33"/>
      <c r="O203" s="32">
        <v>35</v>
      </c>
      <c r="P203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40"/>
      <c r="R203" s="640"/>
      <c r="S203" s="640"/>
      <c r="T203" s="641"/>
      <c r="U203" s="34"/>
      <c r="V203" s="34"/>
      <c r="W203" s="35" t="s">
        <v>67</v>
      </c>
      <c r="X203" s="635">
        <v>0</v>
      </c>
      <c r="Y203" s="636">
        <f t="shared" si="20"/>
        <v>0</v>
      </c>
      <c r="Z203" s="36" t="str">
        <f t="shared" si="21"/>
        <v/>
      </c>
      <c r="AA203" s="56"/>
      <c r="AB203" s="57"/>
      <c r="AC203" s="257" t="s">
        <v>344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345</v>
      </c>
      <c r="B204" s="54" t="s">
        <v>346</v>
      </c>
      <c r="C204" s="31">
        <v>4301012098</v>
      </c>
      <c r="D204" s="642">
        <v>4680115885660</v>
      </c>
      <c r="E204" s="643"/>
      <c r="F204" s="634">
        <v>1.35</v>
      </c>
      <c r="G204" s="32">
        <v>8</v>
      </c>
      <c r="H204" s="634">
        <v>10.8</v>
      </c>
      <c r="I204" s="634">
        <v>11.21</v>
      </c>
      <c r="J204" s="32">
        <v>64</v>
      </c>
      <c r="K204" s="32" t="s">
        <v>116</v>
      </c>
      <c r="L204" s="32"/>
      <c r="M204" s="33" t="s">
        <v>66</v>
      </c>
      <c r="N204" s="33"/>
      <c r="O204" s="32">
        <v>35</v>
      </c>
      <c r="P204" s="84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5">
        <v>0</v>
      </c>
      <c r="Y204" s="636">
        <f t="shared" si="20"/>
        <v>0</v>
      </c>
      <c r="Z204" s="36" t="str">
        <f t="shared" si="21"/>
        <v/>
      </c>
      <c r="AA204" s="56"/>
      <c r="AB204" s="57"/>
      <c r="AC204" s="259" t="s">
        <v>347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348</v>
      </c>
      <c r="B205" s="54" t="s">
        <v>349</v>
      </c>
      <c r="C205" s="31">
        <v>4301012369</v>
      </c>
      <c r="D205" s="642">
        <v>4680115886773</v>
      </c>
      <c r="E205" s="643"/>
      <c r="F205" s="634">
        <v>0.9</v>
      </c>
      <c r="G205" s="32">
        <v>10</v>
      </c>
      <c r="H205" s="634">
        <v>9</v>
      </c>
      <c r="I205" s="634">
        <v>9.51</v>
      </c>
      <c r="J205" s="32">
        <v>64</v>
      </c>
      <c r="K205" s="32" t="s">
        <v>116</v>
      </c>
      <c r="L205" s="32"/>
      <c r="M205" s="33" t="s">
        <v>66</v>
      </c>
      <c r="N205" s="33"/>
      <c r="O205" s="32">
        <v>35</v>
      </c>
      <c r="P205" s="7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5">
        <v>0</v>
      </c>
      <c r="Y205" s="636">
        <f t="shared" si="20"/>
        <v>0</v>
      </c>
      <c r="Z205" s="36" t="str">
        <f t="shared" si="21"/>
        <v/>
      </c>
      <c r="AA205" s="56"/>
      <c r="AB205" s="57"/>
      <c r="AC205" s="261" t="s">
        <v>350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47"/>
      <c r="B206" s="648"/>
      <c r="C206" s="648"/>
      <c r="D206" s="648"/>
      <c r="E206" s="648"/>
      <c r="F206" s="648"/>
      <c r="G206" s="648"/>
      <c r="H206" s="648"/>
      <c r="I206" s="648"/>
      <c r="J206" s="648"/>
      <c r="K206" s="648"/>
      <c r="L206" s="648"/>
      <c r="M206" s="648"/>
      <c r="N206" s="648"/>
      <c r="O206" s="649"/>
      <c r="P206" s="653" t="s">
        <v>81</v>
      </c>
      <c r="Q206" s="654"/>
      <c r="R206" s="654"/>
      <c r="S206" s="654"/>
      <c r="T206" s="654"/>
      <c r="U206" s="654"/>
      <c r="V206" s="655"/>
      <c r="W206" s="37" t="s">
        <v>82</v>
      </c>
      <c r="X206" s="637">
        <f>IFERROR(X199/H199,"0")+IFERROR(X200/H200,"0")+IFERROR(X201/H201,"0")+IFERROR(X202/H202,"0")+IFERROR(X203/H203,"0")+IFERROR(X204/H204,"0")+IFERROR(X205/H205,"0")</f>
        <v>0</v>
      </c>
      <c r="Y206" s="637">
        <f>IFERROR(Y199/H199,"0")+IFERROR(Y200/H200,"0")+IFERROR(Y201/H201,"0")+IFERROR(Y202/H202,"0")+IFERROR(Y203/H203,"0")+IFERROR(Y204/H204,"0")+IFERROR(Y205/H205,"0")</f>
        <v>0</v>
      </c>
      <c r="Z206" s="637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38"/>
      <c r="AB206" s="638"/>
      <c r="AC206" s="638"/>
    </row>
    <row r="207" spans="1:68" hidden="1" x14ac:dyDescent="0.2">
      <c r="A207" s="648"/>
      <c r="B207" s="648"/>
      <c r="C207" s="648"/>
      <c r="D207" s="648"/>
      <c r="E207" s="648"/>
      <c r="F207" s="648"/>
      <c r="G207" s="648"/>
      <c r="H207" s="648"/>
      <c r="I207" s="648"/>
      <c r="J207" s="648"/>
      <c r="K207" s="648"/>
      <c r="L207" s="648"/>
      <c r="M207" s="648"/>
      <c r="N207" s="648"/>
      <c r="O207" s="649"/>
      <c r="P207" s="653" t="s">
        <v>81</v>
      </c>
      <c r="Q207" s="654"/>
      <c r="R207" s="654"/>
      <c r="S207" s="654"/>
      <c r="T207" s="654"/>
      <c r="U207" s="654"/>
      <c r="V207" s="655"/>
      <c r="W207" s="37" t="s">
        <v>67</v>
      </c>
      <c r="X207" s="637">
        <f>IFERROR(SUM(X199:X205),"0")</f>
        <v>0</v>
      </c>
      <c r="Y207" s="637">
        <f>IFERROR(SUM(Y199:Y205),"0")</f>
        <v>0</v>
      </c>
      <c r="Z207" s="37"/>
      <c r="AA207" s="638"/>
      <c r="AB207" s="638"/>
      <c r="AC207" s="638"/>
    </row>
    <row r="208" spans="1:68" ht="16.5" hidden="1" customHeight="1" x14ac:dyDescent="0.25">
      <c r="A208" s="652" t="s">
        <v>351</v>
      </c>
      <c r="B208" s="648"/>
      <c r="C208" s="648"/>
      <c r="D208" s="648"/>
      <c r="E208" s="648"/>
      <c r="F208" s="648"/>
      <c r="G208" s="648"/>
      <c r="H208" s="648"/>
      <c r="I208" s="648"/>
      <c r="J208" s="648"/>
      <c r="K208" s="648"/>
      <c r="L208" s="648"/>
      <c r="M208" s="648"/>
      <c r="N208" s="648"/>
      <c r="O208" s="648"/>
      <c r="P208" s="648"/>
      <c r="Q208" s="648"/>
      <c r="R208" s="648"/>
      <c r="S208" s="648"/>
      <c r="T208" s="648"/>
      <c r="U208" s="648"/>
      <c r="V208" s="648"/>
      <c r="W208" s="648"/>
      <c r="X208" s="648"/>
      <c r="Y208" s="648"/>
      <c r="Z208" s="648"/>
      <c r="AA208" s="630"/>
      <c r="AB208" s="630"/>
      <c r="AC208" s="630"/>
    </row>
    <row r="209" spans="1:68" ht="14.25" hidden="1" customHeight="1" x14ac:dyDescent="0.25">
      <c r="A209" s="658" t="s">
        <v>150</v>
      </c>
      <c r="B209" s="648"/>
      <c r="C209" s="648"/>
      <c r="D209" s="648"/>
      <c r="E209" s="648"/>
      <c r="F209" s="648"/>
      <c r="G209" s="648"/>
      <c r="H209" s="648"/>
      <c r="I209" s="648"/>
      <c r="J209" s="648"/>
      <c r="K209" s="648"/>
      <c r="L209" s="648"/>
      <c r="M209" s="648"/>
      <c r="N209" s="648"/>
      <c r="O209" s="648"/>
      <c r="P209" s="648"/>
      <c r="Q209" s="648"/>
      <c r="R209" s="648"/>
      <c r="S209" s="648"/>
      <c r="T209" s="648"/>
      <c r="U209" s="648"/>
      <c r="V209" s="648"/>
      <c r="W209" s="648"/>
      <c r="X209" s="648"/>
      <c r="Y209" s="648"/>
      <c r="Z209" s="648"/>
      <c r="AA209" s="631"/>
      <c r="AB209" s="631"/>
      <c r="AC209" s="631"/>
    </row>
    <row r="210" spans="1:68" ht="27" hidden="1" customHeight="1" x14ac:dyDescent="0.25">
      <c r="A210" s="54" t="s">
        <v>352</v>
      </c>
      <c r="B210" s="54" t="s">
        <v>353</v>
      </c>
      <c r="C210" s="31">
        <v>4301020323</v>
      </c>
      <c r="D210" s="642">
        <v>4680115886223</v>
      </c>
      <c r="E210" s="643"/>
      <c r="F210" s="634">
        <v>0.33</v>
      </c>
      <c r="G210" s="32">
        <v>6</v>
      </c>
      <c r="H210" s="634">
        <v>1.98</v>
      </c>
      <c r="I210" s="634">
        <v>2.08</v>
      </c>
      <c r="J210" s="32">
        <v>234</v>
      </c>
      <c r="K210" s="32" t="s">
        <v>223</v>
      </c>
      <c r="L210" s="32"/>
      <c r="M210" s="33" t="s">
        <v>122</v>
      </c>
      <c r="N210" s="33"/>
      <c r="O210" s="32">
        <v>40</v>
      </c>
      <c r="P210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40"/>
      <c r="R210" s="640"/>
      <c r="S210" s="640"/>
      <c r="T210" s="641"/>
      <c r="U210" s="34"/>
      <c r="V210" s="34"/>
      <c r="W210" s="35" t="s">
        <v>67</v>
      </c>
      <c r="X210" s="635">
        <v>0</v>
      </c>
      <c r="Y210" s="636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354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47"/>
      <c r="B211" s="648"/>
      <c r="C211" s="648"/>
      <c r="D211" s="648"/>
      <c r="E211" s="648"/>
      <c r="F211" s="648"/>
      <c r="G211" s="648"/>
      <c r="H211" s="648"/>
      <c r="I211" s="648"/>
      <c r="J211" s="648"/>
      <c r="K211" s="648"/>
      <c r="L211" s="648"/>
      <c r="M211" s="648"/>
      <c r="N211" s="648"/>
      <c r="O211" s="649"/>
      <c r="P211" s="653" t="s">
        <v>81</v>
      </c>
      <c r="Q211" s="654"/>
      <c r="R211" s="654"/>
      <c r="S211" s="654"/>
      <c r="T211" s="654"/>
      <c r="U211" s="654"/>
      <c r="V211" s="655"/>
      <c r="W211" s="37" t="s">
        <v>82</v>
      </c>
      <c r="X211" s="637">
        <f>IFERROR(X210/H210,"0")</f>
        <v>0</v>
      </c>
      <c r="Y211" s="637">
        <f>IFERROR(Y210/H210,"0")</f>
        <v>0</v>
      </c>
      <c r="Z211" s="637">
        <f>IFERROR(IF(Z210="",0,Z210),"0")</f>
        <v>0</v>
      </c>
      <c r="AA211" s="638"/>
      <c r="AB211" s="638"/>
      <c r="AC211" s="638"/>
    </row>
    <row r="212" spans="1:68" hidden="1" x14ac:dyDescent="0.2">
      <c r="A212" s="648"/>
      <c r="B212" s="648"/>
      <c r="C212" s="648"/>
      <c r="D212" s="648"/>
      <c r="E212" s="648"/>
      <c r="F212" s="648"/>
      <c r="G212" s="648"/>
      <c r="H212" s="648"/>
      <c r="I212" s="648"/>
      <c r="J212" s="648"/>
      <c r="K212" s="648"/>
      <c r="L212" s="648"/>
      <c r="M212" s="648"/>
      <c r="N212" s="648"/>
      <c r="O212" s="649"/>
      <c r="P212" s="653" t="s">
        <v>81</v>
      </c>
      <c r="Q212" s="654"/>
      <c r="R212" s="654"/>
      <c r="S212" s="654"/>
      <c r="T212" s="654"/>
      <c r="U212" s="654"/>
      <c r="V212" s="655"/>
      <c r="W212" s="37" t="s">
        <v>67</v>
      </c>
      <c r="X212" s="637">
        <f>IFERROR(SUM(X210:X210),"0")</f>
        <v>0</v>
      </c>
      <c r="Y212" s="637">
        <f>IFERROR(SUM(Y210:Y210),"0")</f>
        <v>0</v>
      </c>
      <c r="Z212" s="37"/>
      <c r="AA212" s="638"/>
      <c r="AB212" s="638"/>
      <c r="AC212" s="638"/>
    </row>
    <row r="213" spans="1:68" ht="14.25" hidden="1" customHeight="1" x14ac:dyDescent="0.25">
      <c r="A213" s="658" t="s">
        <v>245</v>
      </c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8"/>
      <c r="P213" s="648"/>
      <c r="Q213" s="648"/>
      <c r="R213" s="648"/>
      <c r="S213" s="648"/>
      <c r="T213" s="648"/>
      <c r="U213" s="648"/>
      <c r="V213" s="648"/>
      <c r="W213" s="648"/>
      <c r="X213" s="648"/>
      <c r="Y213" s="648"/>
      <c r="Z213" s="648"/>
      <c r="AA213" s="631"/>
      <c r="AB213" s="631"/>
      <c r="AC213" s="631"/>
    </row>
    <row r="214" spans="1:68" ht="27" hidden="1" customHeight="1" x14ac:dyDescent="0.25">
      <c r="A214" s="54" t="s">
        <v>355</v>
      </c>
      <c r="B214" s="54" t="s">
        <v>356</v>
      </c>
      <c r="C214" s="31">
        <v>4301031191</v>
      </c>
      <c r="D214" s="642">
        <v>4680115880993</v>
      </c>
      <c r="E214" s="643"/>
      <c r="F214" s="634">
        <v>0.7</v>
      </c>
      <c r="G214" s="32">
        <v>6</v>
      </c>
      <c r="H214" s="634">
        <v>4.2</v>
      </c>
      <c r="I214" s="634">
        <v>4.45</v>
      </c>
      <c r="J214" s="32">
        <v>132</v>
      </c>
      <c r="K214" s="32" t="s">
        <v>126</v>
      </c>
      <c r="L214" s="32"/>
      <c r="M214" s="33" t="s">
        <v>122</v>
      </c>
      <c r="N214" s="33"/>
      <c r="O214" s="32">
        <v>40</v>
      </c>
      <c r="P214" s="9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40"/>
      <c r="R214" s="640"/>
      <c r="S214" s="640"/>
      <c r="T214" s="641"/>
      <c r="U214" s="34"/>
      <c r="V214" s="34"/>
      <c r="W214" s="35" t="s">
        <v>67</v>
      </c>
      <c r="X214" s="635">
        <v>0</v>
      </c>
      <c r="Y214" s="636">
        <f t="shared" ref="Y214:Y226" si="26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0</v>
      </c>
      <c r="BN214" s="64">
        <f t="shared" ref="BN214:BN226" si="28">IFERROR(Y214*I214/H214,"0")</f>
        <v>0</v>
      </c>
      <c r="BO214" s="64">
        <f t="shared" ref="BO214:BO226" si="29">IFERROR(1/J214*(X214/H214),"0")</f>
        <v>0</v>
      </c>
      <c r="BP214" s="64">
        <f t="shared" ref="BP214:BP226" si="30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4301031204</v>
      </c>
      <c r="D215" s="642">
        <v>4680115881761</v>
      </c>
      <c r="E215" s="643"/>
      <c r="F215" s="634">
        <v>0.7</v>
      </c>
      <c r="G215" s="32">
        <v>6</v>
      </c>
      <c r="H215" s="634">
        <v>4.2</v>
      </c>
      <c r="I215" s="634">
        <v>4.45</v>
      </c>
      <c r="J215" s="32">
        <v>132</v>
      </c>
      <c r="K215" s="32" t="s">
        <v>126</v>
      </c>
      <c r="L215" s="32"/>
      <c r="M215" s="33" t="s">
        <v>122</v>
      </c>
      <c r="N215" s="33"/>
      <c r="O215" s="32">
        <v>40</v>
      </c>
      <c r="P215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40"/>
      <c r="R215" s="640"/>
      <c r="S215" s="640"/>
      <c r="T215" s="641"/>
      <c r="U215" s="34"/>
      <c r="V215" s="34"/>
      <c r="W215" s="35" t="s">
        <v>67</v>
      </c>
      <c r="X215" s="635">
        <v>0</v>
      </c>
      <c r="Y215" s="63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360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4301031532</v>
      </c>
      <c r="D216" s="642">
        <v>4680115881563</v>
      </c>
      <c r="E216" s="643"/>
      <c r="F216" s="634">
        <v>0.7</v>
      </c>
      <c r="G216" s="32">
        <v>6</v>
      </c>
      <c r="H216" s="634">
        <v>4.2</v>
      </c>
      <c r="I216" s="634">
        <v>4.3899999999999997</v>
      </c>
      <c r="J216" s="32">
        <v>132</v>
      </c>
      <c r="K216" s="32" t="s">
        <v>126</v>
      </c>
      <c r="L216" s="32"/>
      <c r="M216" s="33" t="s">
        <v>122</v>
      </c>
      <c r="N216" s="33"/>
      <c r="O216" s="32">
        <v>45</v>
      </c>
      <c r="P216" s="82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40"/>
      <c r="R216" s="640"/>
      <c r="S216" s="640"/>
      <c r="T216" s="641"/>
      <c r="U216" s="34"/>
      <c r="V216" s="34"/>
      <c r="W216" s="35" t="s">
        <v>67</v>
      </c>
      <c r="X216" s="635">
        <v>14</v>
      </c>
      <c r="Y216" s="636">
        <f t="shared" si="26"/>
        <v>16.8</v>
      </c>
      <c r="Z216" s="36">
        <f>IFERROR(IF(Y216=0,"",ROUNDUP(Y216/H216,0)*0.00902),"")</f>
        <v>3.6080000000000001E-2</v>
      </c>
      <c r="AA216" s="56"/>
      <c r="AB216" s="57"/>
      <c r="AC216" s="269" t="s">
        <v>363</v>
      </c>
      <c r="AG216" s="64"/>
      <c r="AJ216" s="68"/>
      <c r="AK216" s="68">
        <v>0</v>
      </c>
      <c r="BB216" s="270" t="s">
        <v>1</v>
      </c>
      <c r="BM216" s="64">
        <f t="shared" si="27"/>
        <v>14.633333333333331</v>
      </c>
      <c r="BN216" s="64">
        <f t="shared" si="28"/>
        <v>17.559999999999999</v>
      </c>
      <c r="BO216" s="64">
        <f t="shared" si="29"/>
        <v>2.5252525252525252E-2</v>
      </c>
      <c r="BP216" s="64">
        <f t="shared" si="30"/>
        <v>3.0303030303030304E-2</v>
      </c>
    </row>
    <row r="217" spans="1:68" ht="37.5" customHeight="1" x14ac:dyDescent="0.25">
      <c r="A217" s="54" t="s">
        <v>364</v>
      </c>
      <c r="B217" s="54" t="s">
        <v>365</v>
      </c>
      <c r="C217" s="31">
        <v>4301031447</v>
      </c>
      <c r="D217" s="642">
        <v>4680115887565</v>
      </c>
      <c r="E217" s="643"/>
      <c r="F217" s="634">
        <v>0.08</v>
      </c>
      <c r="G217" s="32">
        <v>10</v>
      </c>
      <c r="H217" s="634">
        <v>0.8</v>
      </c>
      <c r="I217" s="634">
        <v>0.93</v>
      </c>
      <c r="J217" s="32">
        <v>234</v>
      </c>
      <c r="K217" s="32" t="s">
        <v>223</v>
      </c>
      <c r="L217" s="32"/>
      <c r="M217" s="33" t="s">
        <v>122</v>
      </c>
      <c r="N217" s="33"/>
      <c r="O217" s="32">
        <v>45</v>
      </c>
      <c r="P217" s="86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40"/>
      <c r="R217" s="640"/>
      <c r="S217" s="640"/>
      <c r="T217" s="641"/>
      <c r="U217" s="34"/>
      <c r="V217" s="34"/>
      <c r="W217" s="35" t="s">
        <v>67</v>
      </c>
      <c r="X217" s="635">
        <v>10</v>
      </c>
      <c r="Y217" s="636">
        <f t="shared" si="26"/>
        <v>10.4</v>
      </c>
      <c r="Z217" s="36">
        <f>IFERROR(IF(Y217=0,"",ROUNDUP(Y217/H217,0)*0.00556),"")</f>
        <v>7.2279999999999997E-2</v>
      </c>
      <c r="AA217" s="56"/>
      <c r="AB217" s="57"/>
      <c r="AC217" s="271" t="s">
        <v>366</v>
      </c>
      <c r="AG217" s="64"/>
      <c r="AJ217" s="68"/>
      <c r="AK217" s="68">
        <v>0</v>
      </c>
      <c r="BB217" s="272" t="s">
        <v>1</v>
      </c>
      <c r="BM217" s="64">
        <f t="shared" si="27"/>
        <v>11.625</v>
      </c>
      <c r="BN217" s="64">
        <f t="shared" si="28"/>
        <v>12.09</v>
      </c>
      <c r="BO217" s="64">
        <f t="shared" si="29"/>
        <v>5.3418803418803423E-2</v>
      </c>
      <c r="BP217" s="64">
        <f t="shared" si="30"/>
        <v>5.5555555555555559E-2</v>
      </c>
    </row>
    <row r="218" spans="1:68" ht="27" customHeight="1" x14ac:dyDescent="0.25">
      <c r="A218" s="54" t="s">
        <v>367</v>
      </c>
      <c r="B218" s="54" t="s">
        <v>368</v>
      </c>
      <c r="C218" s="31">
        <v>4301031199</v>
      </c>
      <c r="D218" s="642">
        <v>4680115880986</v>
      </c>
      <c r="E218" s="643"/>
      <c r="F218" s="634">
        <v>0.35</v>
      </c>
      <c r="G218" s="32">
        <v>6</v>
      </c>
      <c r="H218" s="634">
        <v>2.1</v>
      </c>
      <c r="I218" s="634">
        <v>2.23</v>
      </c>
      <c r="J218" s="32">
        <v>234</v>
      </c>
      <c r="K218" s="32" t="s">
        <v>223</v>
      </c>
      <c r="L218" s="32"/>
      <c r="M218" s="33" t="s">
        <v>122</v>
      </c>
      <c r="N218" s="33"/>
      <c r="O218" s="32">
        <v>40</v>
      </c>
      <c r="P218" s="10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40"/>
      <c r="R218" s="640"/>
      <c r="S218" s="640"/>
      <c r="T218" s="641"/>
      <c r="U218" s="34"/>
      <c r="V218" s="34"/>
      <c r="W218" s="35" t="s">
        <v>67</v>
      </c>
      <c r="X218" s="635">
        <v>14</v>
      </c>
      <c r="Y218" s="636">
        <f t="shared" si="26"/>
        <v>14.700000000000001</v>
      </c>
      <c r="Z218" s="36">
        <f>IFERROR(IF(Y218=0,"",ROUNDUP(Y218/H218,0)*0.00502),"")</f>
        <v>3.5140000000000005E-2</v>
      </c>
      <c r="AA218" s="56"/>
      <c r="AB218" s="57"/>
      <c r="AC218" s="273" t="s">
        <v>357</v>
      </c>
      <c r="AG218" s="64"/>
      <c r="AJ218" s="68"/>
      <c r="AK218" s="68">
        <v>0</v>
      </c>
      <c r="BB218" s="274" t="s">
        <v>1</v>
      </c>
      <c r="BM218" s="64">
        <f t="shared" si="27"/>
        <v>14.866666666666665</v>
      </c>
      <c r="BN218" s="64">
        <f t="shared" si="28"/>
        <v>15.61</v>
      </c>
      <c r="BO218" s="64">
        <f t="shared" si="29"/>
        <v>2.8490028490028491E-2</v>
      </c>
      <c r="BP218" s="64">
        <f t="shared" si="30"/>
        <v>2.9914529914529919E-2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4301031443</v>
      </c>
      <c r="D219" s="642">
        <v>4680115887213</v>
      </c>
      <c r="E219" s="643"/>
      <c r="F219" s="634">
        <v>0.3</v>
      </c>
      <c r="G219" s="32">
        <v>6</v>
      </c>
      <c r="H219" s="634">
        <v>1.8</v>
      </c>
      <c r="I219" s="634">
        <v>1.9</v>
      </c>
      <c r="J219" s="32">
        <v>234</v>
      </c>
      <c r="K219" s="32" t="s">
        <v>223</v>
      </c>
      <c r="L219" s="32"/>
      <c r="M219" s="33" t="s">
        <v>122</v>
      </c>
      <c r="N219" s="33"/>
      <c r="O219" s="32">
        <v>45</v>
      </c>
      <c r="P219" s="7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40"/>
      <c r="R219" s="640"/>
      <c r="S219" s="640"/>
      <c r="T219" s="641"/>
      <c r="U219" s="34"/>
      <c r="V219" s="34"/>
      <c r="W219" s="35" t="s">
        <v>67</v>
      </c>
      <c r="X219" s="635">
        <v>0</v>
      </c>
      <c r="Y219" s="636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371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4301031205</v>
      </c>
      <c r="D220" s="642">
        <v>4680115881785</v>
      </c>
      <c r="E220" s="643"/>
      <c r="F220" s="634">
        <v>0.35</v>
      </c>
      <c r="G220" s="32">
        <v>6</v>
      </c>
      <c r="H220" s="634">
        <v>2.1</v>
      </c>
      <c r="I220" s="634">
        <v>2.23</v>
      </c>
      <c r="J220" s="32">
        <v>234</v>
      </c>
      <c r="K220" s="32" t="s">
        <v>223</v>
      </c>
      <c r="L220" s="32"/>
      <c r="M220" s="33" t="s">
        <v>122</v>
      </c>
      <c r="N220" s="33"/>
      <c r="O220" s="32">
        <v>40</v>
      </c>
      <c r="P220" s="66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5">
        <v>0</v>
      </c>
      <c r="Y220" s="636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360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374</v>
      </c>
      <c r="B221" s="54" t="s">
        <v>375</v>
      </c>
      <c r="C221" s="31">
        <v>4301031499</v>
      </c>
      <c r="D221" s="642">
        <v>4680115888432</v>
      </c>
      <c r="E221" s="643"/>
      <c r="F221" s="634">
        <v>0.3</v>
      </c>
      <c r="G221" s="32">
        <v>6</v>
      </c>
      <c r="H221" s="634">
        <v>1.8</v>
      </c>
      <c r="I221" s="634">
        <v>1.93</v>
      </c>
      <c r="J221" s="32">
        <v>234</v>
      </c>
      <c r="K221" s="32" t="s">
        <v>223</v>
      </c>
      <c r="L221" s="32"/>
      <c r="M221" s="33" t="s">
        <v>122</v>
      </c>
      <c r="N221" s="33"/>
      <c r="O221" s="32">
        <v>45</v>
      </c>
      <c r="P221" s="67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376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377</v>
      </c>
      <c r="B222" s="54" t="s">
        <v>378</v>
      </c>
      <c r="C222" s="31">
        <v>4301031503</v>
      </c>
      <c r="D222" s="642">
        <v>4680115886537</v>
      </c>
      <c r="E222" s="643"/>
      <c r="F222" s="634">
        <v>0.3</v>
      </c>
      <c r="G222" s="32">
        <v>6</v>
      </c>
      <c r="H222" s="634">
        <v>1.8</v>
      </c>
      <c r="I222" s="634">
        <v>1.93</v>
      </c>
      <c r="J222" s="32">
        <v>234</v>
      </c>
      <c r="K222" s="32" t="s">
        <v>223</v>
      </c>
      <c r="L222" s="32"/>
      <c r="M222" s="33" t="s">
        <v>122</v>
      </c>
      <c r="N222" s="33"/>
      <c r="O222" s="32">
        <v>45</v>
      </c>
      <c r="P222" s="89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5">
        <v>5</v>
      </c>
      <c r="Y222" s="636">
        <f t="shared" si="26"/>
        <v>5.4</v>
      </c>
      <c r="Z222" s="36">
        <f>IFERROR(IF(Y222=0,"",ROUNDUP(Y222/H222,0)*0.00502),"")</f>
        <v>1.506E-2</v>
      </c>
      <c r="AA222" s="56"/>
      <c r="AB222" s="57"/>
      <c r="AC222" s="281" t="s">
        <v>379</v>
      </c>
      <c r="AG222" s="64"/>
      <c r="AJ222" s="68"/>
      <c r="AK222" s="68">
        <v>0</v>
      </c>
      <c r="BB222" s="282" t="s">
        <v>1</v>
      </c>
      <c r="BM222" s="64">
        <f t="shared" si="27"/>
        <v>5.3611111111111116</v>
      </c>
      <c r="BN222" s="64">
        <f t="shared" si="28"/>
        <v>5.79</v>
      </c>
      <c r="BO222" s="64">
        <f t="shared" si="29"/>
        <v>1.1870845204178538E-2</v>
      </c>
      <c r="BP222" s="64">
        <f t="shared" si="30"/>
        <v>1.2820512820512822E-2</v>
      </c>
    </row>
    <row r="223" spans="1:68" ht="27" customHeight="1" x14ac:dyDescent="0.25">
      <c r="A223" s="54" t="s">
        <v>380</v>
      </c>
      <c r="B223" s="54" t="s">
        <v>381</v>
      </c>
      <c r="C223" s="31">
        <v>4301031279</v>
      </c>
      <c r="D223" s="642">
        <v>4680115887596</v>
      </c>
      <c r="E223" s="643"/>
      <c r="F223" s="634">
        <v>0.08</v>
      </c>
      <c r="G223" s="32">
        <v>10</v>
      </c>
      <c r="H223" s="634">
        <v>0.8</v>
      </c>
      <c r="I223" s="634">
        <v>1.01</v>
      </c>
      <c r="J223" s="32">
        <v>312</v>
      </c>
      <c r="K223" s="32" t="s">
        <v>121</v>
      </c>
      <c r="L223" s="32"/>
      <c r="M223" s="33" t="s">
        <v>122</v>
      </c>
      <c r="N223" s="33"/>
      <c r="O223" s="32">
        <v>45</v>
      </c>
      <c r="P223" s="76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40"/>
      <c r="R223" s="640"/>
      <c r="S223" s="640"/>
      <c r="T223" s="641"/>
      <c r="U223" s="34"/>
      <c r="V223" s="34"/>
      <c r="W223" s="35" t="s">
        <v>67</v>
      </c>
      <c r="X223" s="635">
        <v>2</v>
      </c>
      <c r="Y223" s="636">
        <f t="shared" si="26"/>
        <v>2.4000000000000004</v>
      </c>
      <c r="Z223" s="36">
        <f>IFERROR(IF(Y223=0,"",ROUNDUP(Y223/H223,0)*0.00417),"")</f>
        <v>1.251E-2</v>
      </c>
      <c r="AA223" s="56"/>
      <c r="AB223" s="57"/>
      <c r="AC223" s="283" t="s">
        <v>382</v>
      </c>
      <c r="AG223" s="64"/>
      <c r="AJ223" s="68"/>
      <c r="AK223" s="68">
        <v>0</v>
      </c>
      <c r="BB223" s="284" t="s">
        <v>1</v>
      </c>
      <c r="BM223" s="64">
        <f t="shared" si="27"/>
        <v>2.5249999999999999</v>
      </c>
      <c r="BN223" s="64">
        <f t="shared" si="28"/>
        <v>3.0300000000000002</v>
      </c>
      <c r="BO223" s="64">
        <f t="shared" si="29"/>
        <v>8.0128205128205121E-3</v>
      </c>
      <c r="BP223" s="64">
        <f t="shared" si="30"/>
        <v>9.6153846153846159E-3</v>
      </c>
    </row>
    <row r="224" spans="1:68" ht="37.5" customHeight="1" x14ac:dyDescent="0.25">
      <c r="A224" s="54" t="s">
        <v>383</v>
      </c>
      <c r="B224" s="54" t="s">
        <v>384</v>
      </c>
      <c r="C224" s="31">
        <v>4301031530</v>
      </c>
      <c r="D224" s="642">
        <v>4680115881679</v>
      </c>
      <c r="E224" s="643"/>
      <c r="F224" s="634">
        <v>0.35</v>
      </c>
      <c r="G224" s="32">
        <v>6</v>
      </c>
      <c r="H224" s="634">
        <v>2.1</v>
      </c>
      <c r="I224" s="634">
        <v>2.2000000000000002</v>
      </c>
      <c r="J224" s="32">
        <v>234</v>
      </c>
      <c r="K224" s="32" t="s">
        <v>223</v>
      </c>
      <c r="L224" s="32"/>
      <c r="M224" s="33" t="s">
        <v>122</v>
      </c>
      <c r="N224" s="33"/>
      <c r="O224" s="32">
        <v>45</v>
      </c>
      <c r="P224" s="83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5">
        <v>131</v>
      </c>
      <c r="Y224" s="636">
        <f t="shared" si="26"/>
        <v>132.30000000000001</v>
      </c>
      <c r="Z224" s="36">
        <f>IFERROR(IF(Y224=0,"",ROUNDUP(Y224/H224,0)*0.00502),"")</f>
        <v>0.31625999999999999</v>
      </c>
      <c r="AA224" s="56"/>
      <c r="AB224" s="57"/>
      <c r="AC224" s="285" t="s">
        <v>363</v>
      </c>
      <c r="AG224" s="64"/>
      <c r="AJ224" s="68"/>
      <c r="AK224" s="68">
        <v>0</v>
      </c>
      <c r="BB224" s="286" t="s">
        <v>1</v>
      </c>
      <c r="BM224" s="64">
        <f t="shared" si="27"/>
        <v>137.23809523809524</v>
      </c>
      <c r="BN224" s="64">
        <f t="shared" si="28"/>
        <v>138.60000000000002</v>
      </c>
      <c r="BO224" s="64">
        <f t="shared" si="29"/>
        <v>0.2665852665852666</v>
      </c>
      <c r="BP224" s="64">
        <f t="shared" si="30"/>
        <v>0.26923076923076927</v>
      </c>
    </row>
    <row r="225" spans="1:68" ht="27" hidden="1" customHeight="1" x14ac:dyDescent="0.25">
      <c r="A225" s="54" t="s">
        <v>385</v>
      </c>
      <c r="B225" s="54" t="s">
        <v>386</v>
      </c>
      <c r="C225" s="31">
        <v>4301031531</v>
      </c>
      <c r="D225" s="642">
        <v>4680115880191</v>
      </c>
      <c r="E225" s="643"/>
      <c r="F225" s="634">
        <v>0.4</v>
      </c>
      <c r="G225" s="32">
        <v>6</v>
      </c>
      <c r="H225" s="634">
        <v>2.4</v>
      </c>
      <c r="I225" s="634">
        <v>2.58</v>
      </c>
      <c r="J225" s="32">
        <v>182</v>
      </c>
      <c r="K225" s="32" t="s">
        <v>65</v>
      </c>
      <c r="L225" s="32"/>
      <c r="M225" s="33" t="s">
        <v>122</v>
      </c>
      <c r="N225" s="33"/>
      <c r="O225" s="32">
        <v>45</v>
      </c>
      <c r="P225" s="90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40"/>
      <c r="R225" s="640"/>
      <c r="S225" s="640"/>
      <c r="T225" s="641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363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387</v>
      </c>
      <c r="B226" s="54" t="s">
        <v>388</v>
      </c>
      <c r="C226" s="31">
        <v>4301031245</v>
      </c>
      <c r="D226" s="642">
        <v>4680115883963</v>
      </c>
      <c r="E226" s="643"/>
      <c r="F226" s="634">
        <v>0.28000000000000003</v>
      </c>
      <c r="G226" s="32">
        <v>6</v>
      </c>
      <c r="H226" s="634">
        <v>1.68</v>
      </c>
      <c r="I226" s="634">
        <v>1.78</v>
      </c>
      <c r="J226" s="32">
        <v>234</v>
      </c>
      <c r="K226" s="32" t="s">
        <v>223</v>
      </c>
      <c r="L226" s="32"/>
      <c r="M226" s="33" t="s">
        <v>122</v>
      </c>
      <c r="N226" s="33"/>
      <c r="O226" s="32">
        <v>40</v>
      </c>
      <c r="P226" s="9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389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47"/>
      <c r="B227" s="648"/>
      <c r="C227" s="648"/>
      <c r="D227" s="648"/>
      <c r="E227" s="648"/>
      <c r="F227" s="648"/>
      <c r="G227" s="648"/>
      <c r="H227" s="648"/>
      <c r="I227" s="648"/>
      <c r="J227" s="648"/>
      <c r="K227" s="648"/>
      <c r="L227" s="648"/>
      <c r="M227" s="648"/>
      <c r="N227" s="648"/>
      <c r="O227" s="649"/>
      <c r="P227" s="653" t="s">
        <v>81</v>
      </c>
      <c r="Q227" s="654"/>
      <c r="R227" s="654"/>
      <c r="S227" s="654"/>
      <c r="T227" s="654"/>
      <c r="U227" s="654"/>
      <c r="V227" s="655"/>
      <c r="W227" s="37" t="s">
        <v>82</v>
      </c>
      <c r="X227" s="637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90.158730158730151</v>
      </c>
      <c r="Y227" s="637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93</v>
      </c>
      <c r="Z227" s="63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0.48732999999999999</v>
      </c>
      <c r="AA227" s="638"/>
      <c r="AB227" s="638"/>
      <c r="AC227" s="638"/>
    </row>
    <row r="228" spans="1:68" x14ac:dyDescent="0.2">
      <c r="A228" s="648"/>
      <c r="B228" s="648"/>
      <c r="C228" s="648"/>
      <c r="D228" s="648"/>
      <c r="E228" s="648"/>
      <c r="F228" s="648"/>
      <c r="G228" s="648"/>
      <c r="H228" s="648"/>
      <c r="I228" s="648"/>
      <c r="J228" s="648"/>
      <c r="K228" s="648"/>
      <c r="L228" s="648"/>
      <c r="M228" s="648"/>
      <c r="N228" s="648"/>
      <c r="O228" s="649"/>
      <c r="P228" s="653" t="s">
        <v>81</v>
      </c>
      <c r="Q228" s="654"/>
      <c r="R228" s="654"/>
      <c r="S228" s="654"/>
      <c r="T228" s="654"/>
      <c r="U228" s="654"/>
      <c r="V228" s="655"/>
      <c r="W228" s="37" t="s">
        <v>67</v>
      </c>
      <c r="X228" s="637">
        <f>IFERROR(SUM(X214:X226),"0")</f>
        <v>176</v>
      </c>
      <c r="Y228" s="637">
        <f>IFERROR(SUM(Y214:Y226),"0")</f>
        <v>182</v>
      </c>
      <c r="Z228" s="37"/>
      <c r="AA228" s="638"/>
      <c r="AB228" s="638"/>
      <c r="AC228" s="638"/>
    </row>
    <row r="229" spans="1:68" ht="14.25" hidden="1" customHeight="1" x14ac:dyDescent="0.25">
      <c r="A229" s="658" t="s">
        <v>62</v>
      </c>
      <c r="B229" s="648"/>
      <c r="C229" s="648"/>
      <c r="D229" s="648"/>
      <c r="E229" s="648"/>
      <c r="F229" s="648"/>
      <c r="G229" s="648"/>
      <c r="H229" s="648"/>
      <c r="I229" s="648"/>
      <c r="J229" s="648"/>
      <c r="K229" s="648"/>
      <c r="L229" s="648"/>
      <c r="M229" s="648"/>
      <c r="N229" s="648"/>
      <c r="O229" s="648"/>
      <c r="P229" s="648"/>
      <c r="Q229" s="648"/>
      <c r="R229" s="648"/>
      <c r="S229" s="648"/>
      <c r="T229" s="648"/>
      <c r="U229" s="648"/>
      <c r="V229" s="648"/>
      <c r="W229" s="648"/>
      <c r="X229" s="648"/>
      <c r="Y229" s="648"/>
      <c r="Z229" s="648"/>
      <c r="AA229" s="631"/>
      <c r="AB229" s="631"/>
      <c r="AC229" s="631"/>
    </row>
    <row r="230" spans="1:68" ht="16.5" hidden="1" customHeight="1" x14ac:dyDescent="0.25">
      <c r="A230" s="54" t="s">
        <v>390</v>
      </c>
      <c r="B230" s="54" t="s">
        <v>391</v>
      </c>
      <c r="C230" s="31">
        <v>4301052279</v>
      </c>
      <c r="D230" s="642">
        <v>4680115888692</v>
      </c>
      <c r="E230" s="643"/>
      <c r="F230" s="634">
        <v>0.8</v>
      </c>
      <c r="G230" s="32">
        <v>6</v>
      </c>
      <c r="H230" s="634">
        <v>4.8</v>
      </c>
      <c r="I230" s="634">
        <v>5.2220000000000004</v>
      </c>
      <c r="J230" s="32">
        <v>104</v>
      </c>
      <c r="K230" s="32" t="s">
        <v>116</v>
      </c>
      <c r="L230" s="32"/>
      <c r="M230" s="33" t="s">
        <v>73</v>
      </c>
      <c r="N230" s="33"/>
      <c r="O230" s="32">
        <v>40</v>
      </c>
      <c r="P230" s="74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5">
        <v>0</v>
      </c>
      <c r="Y230" s="636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392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4301052280</v>
      </c>
      <c r="D231" s="642">
        <v>4680115888722</v>
      </c>
      <c r="E231" s="643"/>
      <c r="F231" s="634">
        <v>0.8</v>
      </c>
      <c r="G231" s="32">
        <v>6</v>
      </c>
      <c r="H231" s="634">
        <v>4.8</v>
      </c>
      <c r="I231" s="634">
        <v>5.2220000000000004</v>
      </c>
      <c r="J231" s="32">
        <v>104</v>
      </c>
      <c r="K231" s="32" t="s">
        <v>116</v>
      </c>
      <c r="L231" s="32"/>
      <c r="M231" s="33" t="s">
        <v>73</v>
      </c>
      <c r="N231" s="33"/>
      <c r="O231" s="32">
        <v>40</v>
      </c>
      <c r="P231" s="65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5">
        <v>0</v>
      </c>
      <c r="Y231" s="63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395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396</v>
      </c>
      <c r="B232" s="54" t="s">
        <v>397</v>
      </c>
      <c r="C232" s="31">
        <v>4301052276</v>
      </c>
      <c r="D232" s="642">
        <v>4680115888951</v>
      </c>
      <c r="E232" s="643"/>
      <c r="F232" s="634">
        <v>0.36</v>
      </c>
      <c r="G232" s="32">
        <v>6</v>
      </c>
      <c r="H232" s="634">
        <v>2.16</v>
      </c>
      <c r="I232" s="634">
        <v>2.4220000000000002</v>
      </c>
      <c r="J232" s="32">
        <v>132</v>
      </c>
      <c r="K232" s="32" t="s">
        <v>126</v>
      </c>
      <c r="L232" s="32"/>
      <c r="M232" s="33" t="s">
        <v>73</v>
      </c>
      <c r="N232" s="33"/>
      <c r="O232" s="32">
        <v>40</v>
      </c>
      <c r="P232" s="85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40"/>
      <c r="R232" s="640"/>
      <c r="S232" s="640"/>
      <c r="T232" s="641"/>
      <c r="U232" s="34"/>
      <c r="V232" s="34"/>
      <c r="W232" s="35" t="s">
        <v>67</v>
      </c>
      <c r="X232" s="635">
        <v>0</v>
      </c>
      <c r="Y232" s="636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392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4301052278</v>
      </c>
      <c r="D233" s="642">
        <v>4680115888975</v>
      </c>
      <c r="E233" s="643"/>
      <c r="F233" s="634">
        <v>0.32</v>
      </c>
      <c r="G233" s="32">
        <v>6</v>
      </c>
      <c r="H233" s="634">
        <v>1.92</v>
      </c>
      <c r="I233" s="634">
        <v>2.1819999999999999</v>
      </c>
      <c r="J233" s="32">
        <v>132</v>
      </c>
      <c r="K233" s="32" t="s">
        <v>126</v>
      </c>
      <c r="L233" s="32"/>
      <c r="M233" s="33" t="s">
        <v>73</v>
      </c>
      <c r="N233" s="33"/>
      <c r="O233" s="32">
        <v>40</v>
      </c>
      <c r="P233" s="851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40"/>
      <c r="R233" s="640"/>
      <c r="S233" s="640"/>
      <c r="T233" s="641"/>
      <c r="U233" s="34"/>
      <c r="V233" s="34"/>
      <c r="W233" s="35" t="s">
        <v>67</v>
      </c>
      <c r="X233" s="635">
        <v>0</v>
      </c>
      <c r="Y233" s="63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4301052277</v>
      </c>
      <c r="D234" s="642">
        <v>4680115888982</v>
      </c>
      <c r="E234" s="643"/>
      <c r="F234" s="634">
        <v>0.36</v>
      </c>
      <c r="G234" s="32">
        <v>6</v>
      </c>
      <c r="H234" s="634">
        <v>2.16</v>
      </c>
      <c r="I234" s="634">
        <v>2.4220000000000002</v>
      </c>
      <c r="J234" s="32">
        <v>132</v>
      </c>
      <c r="K234" s="32" t="s">
        <v>126</v>
      </c>
      <c r="L234" s="32"/>
      <c r="M234" s="33" t="s">
        <v>73</v>
      </c>
      <c r="N234" s="33"/>
      <c r="O234" s="32">
        <v>40</v>
      </c>
      <c r="P234" s="69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40"/>
      <c r="R234" s="640"/>
      <c r="S234" s="640"/>
      <c r="T234" s="641"/>
      <c r="U234" s="34"/>
      <c r="V234" s="34"/>
      <c r="W234" s="35" t="s">
        <v>67</v>
      </c>
      <c r="X234" s="635">
        <v>0</v>
      </c>
      <c r="Y234" s="63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395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47"/>
      <c r="B235" s="648"/>
      <c r="C235" s="648"/>
      <c r="D235" s="648"/>
      <c r="E235" s="648"/>
      <c r="F235" s="648"/>
      <c r="G235" s="648"/>
      <c r="H235" s="648"/>
      <c r="I235" s="648"/>
      <c r="J235" s="648"/>
      <c r="K235" s="648"/>
      <c r="L235" s="648"/>
      <c r="M235" s="648"/>
      <c r="N235" s="648"/>
      <c r="O235" s="649"/>
      <c r="P235" s="653" t="s">
        <v>81</v>
      </c>
      <c r="Q235" s="654"/>
      <c r="R235" s="654"/>
      <c r="S235" s="654"/>
      <c r="T235" s="654"/>
      <c r="U235" s="654"/>
      <c r="V235" s="655"/>
      <c r="W235" s="37" t="s">
        <v>82</v>
      </c>
      <c r="X235" s="637">
        <f>IFERROR(X230/H230,"0")+IFERROR(X231/H231,"0")+IFERROR(X232/H232,"0")+IFERROR(X233/H233,"0")+IFERROR(X234/H234,"0")</f>
        <v>0</v>
      </c>
      <c r="Y235" s="637">
        <f>IFERROR(Y230/H230,"0")+IFERROR(Y231/H231,"0")+IFERROR(Y232/H232,"0")+IFERROR(Y233/H233,"0")+IFERROR(Y234/H234,"0")</f>
        <v>0</v>
      </c>
      <c r="Z235" s="637">
        <f>IFERROR(IF(Z230="",0,Z230),"0")+IFERROR(IF(Z231="",0,Z231),"0")+IFERROR(IF(Z232="",0,Z232),"0")+IFERROR(IF(Z233="",0,Z233),"0")+IFERROR(IF(Z234="",0,Z234),"0")</f>
        <v>0</v>
      </c>
      <c r="AA235" s="638"/>
      <c r="AB235" s="638"/>
      <c r="AC235" s="638"/>
    </row>
    <row r="236" spans="1:68" hidden="1" x14ac:dyDescent="0.2">
      <c r="A236" s="648"/>
      <c r="B236" s="648"/>
      <c r="C236" s="648"/>
      <c r="D236" s="648"/>
      <c r="E236" s="648"/>
      <c r="F236" s="648"/>
      <c r="G236" s="648"/>
      <c r="H236" s="648"/>
      <c r="I236" s="648"/>
      <c r="J236" s="648"/>
      <c r="K236" s="648"/>
      <c r="L236" s="648"/>
      <c r="M236" s="648"/>
      <c r="N236" s="648"/>
      <c r="O236" s="649"/>
      <c r="P236" s="653" t="s">
        <v>81</v>
      </c>
      <c r="Q236" s="654"/>
      <c r="R236" s="654"/>
      <c r="S236" s="654"/>
      <c r="T236" s="654"/>
      <c r="U236" s="654"/>
      <c r="V236" s="655"/>
      <c r="W236" s="37" t="s">
        <v>67</v>
      </c>
      <c r="X236" s="637">
        <f>IFERROR(SUM(X230:X234),"0")</f>
        <v>0</v>
      </c>
      <c r="Y236" s="637">
        <f>IFERROR(SUM(Y230:Y234),"0")</f>
        <v>0</v>
      </c>
      <c r="Z236" s="37"/>
      <c r="AA236" s="638"/>
      <c r="AB236" s="638"/>
      <c r="AC236" s="638"/>
    </row>
    <row r="237" spans="1:68" ht="14.25" hidden="1" customHeight="1" x14ac:dyDescent="0.25">
      <c r="A237" s="658" t="s">
        <v>83</v>
      </c>
      <c r="B237" s="648"/>
      <c r="C237" s="648"/>
      <c r="D237" s="648"/>
      <c r="E237" s="648"/>
      <c r="F237" s="648"/>
      <c r="G237" s="648"/>
      <c r="H237" s="648"/>
      <c r="I237" s="648"/>
      <c r="J237" s="648"/>
      <c r="K237" s="648"/>
      <c r="L237" s="648"/>
      <c r="M237" s="648"/>
      <c r="N237" s="648"/>
      <c r="O237" s="648"/>
      <c r="P237" s="648"/>
      <c r="Q237" s="648"/>
      <c r="R237" s="648"/>
      <c r="S237" s="648"/>
      <c r="T237" s="648"/>
      <c r="U237" s="648"/>
      <c r="V237" s="648"/>
      <c r="W237" s="648"/>
      <c r="X237" s="648"/>
      <c r="Y237" s="648"/>
      <c r="Z237" s="648"/>
      <c r="AA237" s="631"/>
      <c r="AB237" s="631"/>
      <c r="AC237" s="631"/>
    </row>
    <row r="238" spans="1:68" ht="27" hidden="1" customHeight="1" x14ac:dyDescent="0.25">
      <c r="A238" s="54" t="s">
        <v>403</v>
      </c>
      <c r="B238" s="54" t="s">
        <v>404</v>
      </c>
      <c r="C238" s="31">
        <v>4301032053</v>
      </c>
      <c r="D238" s="642">
        <v>4680115886780</v>
      </c>
      <c r="E238" s="643"/>
      <c r="F238" s="634">
        <v>7.0000000000000007E-2</v>
      </c>
      <c r="G238" s="32">
        <v>18</v>
      </c>
      <c r="H238" s="634">
        <v>1.26</v>
      </c>
      <c r="I238" s="634">
        <v>1.45</v>
      </c>
      <c r="J238" s="32">
        <v>216</v>
      </c>
      <c r="K238" s="32" t="s">
        <v>323</v>
      </c>
      <c r="L238" s="32"/>
      <c r="M238" s="33" t="s">
        <v>87</v>
      </c>
      <c r="N238" s="33"/>
      <c r="O238" s="32">
        <v>60</v>
      </c>
      <c r="P238" s="84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406</v>
      </c>
      <c r="B239" s="54" t="s">
        <v>407</v>
      </c>
      <c r="C239" s="31">
        <v>4301032051</v>
      </c>
      <c r="D239" s="642">
        <v>4680115886742</v>
      </c>
      <c r="E239" s="643"/>
      <c r="F239" s="634">
        <v>7.0000000000000007E-2</v>
      </c>
      <c r="G239" s="32">
        <v>18</v>
      </c>
      <c r="H239" s="634">
        <v>1.26</v>
      </c>
      <c r="I239" s="634">
        <v>1.45</v>
      </c>
      <c r="J239" s="32">
        <v>216</v>
      </c>
      <c r="K239" s="32" t="s">
        <v>323</v>
      </c>
      <c r="L239" s="32"/>
      <c r="M239" s="33" t="s">
        <v>87</v>
      </c>
      <c r="N239" s="33"/>
      <c r="O239" s="32">
        <v>90</v>
      </c>
      <c r="P239" s="79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5">
        <v>11</v>
      </c>
      <c r="Y239" s="636">
        <f>IFERROR(IF(X239="",0,CEILING((X239/$H239),1)*$H239),"")</f>
        <v>11.34</v>
      </c>
      <c r="Z239" s="36">
        <f>IFERROR(IF(Y239=0,"",ROUNDUP(Y239/H239,0)*0.0059),"")</f>
        <v>5.3100000000000001E-2</v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12.658730158730158</v>
      </c>
      <c r="BN239" s="64">
        <f>IFERROR(Y239*I239/H239,"0")</f>
        <v>13.049999999999999</v>
      </c>
      <c r="BO239" s="64">
        <f>IFERROR(1/J239*(X239/H239),"0")</f>
        <v>4.0417401528512635E-2</v>
      </c>
      <c r="BP239" s="64">
        <f>IFERROR(1/J239*(Y239/H239),"0")</f>
        <v>4.1666666666666664E-2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42">
        <v>4680115886766</v>
      </c>
      <c r="E240" s="643"/>
      <c r="F240" s="634">
        <v>7.0000000000000007E-2</v>
      </c>
      <c r="G240" s="32">
        <v>18</v>
      </c>
      <c r="H240" s="634">
        <v>1.26</v>
      </c>
      <c r="I240" s="634">
        <v>1.45</v>
      </c>
      <c r="J240" s="32">
        <v>216</v>
      </c>
      <c r="K240" s="32" t="s">
        <v>323</v>
      </c>
      <c r="L240" s="32"/>
      <c r="M240" s="33" t="s">
        <v>87</v>
      </c>
      <c r="N240" s="33"/>
      <c r="O240" s="32">
        <v>90</v>
      </c>
      <c r="P240" s="7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40"/>
      <c r="R240" s="640"/>
      <c r="S240" s="640"/>
      <c r="T240" s="641"/>
      <c r="U240" s="34"/>
      <c r="V240" s="34"/>
      <c r="W240" s="35" t="s">
        <v>67</v>
      </c>
      <c r="X240" s="635">
        <v>11</v>
      </c>
      <c r="Y240" s="636">
        <f>IFERROR(IF(X240="",0,CEILING((X240/$H240),1)*$H240),"")</f>
        <v>11.34</v>
      </c>
      <c r="Z240" s="36">
        <f>IFERROR(IF(Y240=0,"",ROUNDUP(Y240/H240,0)*0.0059),"")</f>
        <v>5.3100000000000001E-2</v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12.658730158730158</v>
      </c>
      <c r="BN240" s="64">
        <f>IFERROR(Y240*I240/H240,"0")</f>
        <v>13.049999999999999</v>
      </c>
      <c r="BO240" s="64">
        <f>IFERROR(1/J240*(X240/H240),"0")</f>
        <v>4.0417401528512635E-2</v>
      </c>
      <c r="BP240" s="64">
        <f>IFERROR(1/J240*(Y240/H240),"0")</f>
        <v>4.1666666666666664E-2</v>
      </c>
    </row>
    <row r="241" spans="1:68" x14ac:dyDescent="0.2">
      <c r="A241" s="647"/>
      <c r="B241" s="648"/>
      <c r="C241" s="648"/>
      <c r="D241" s="648"/>
      <c r="E241" s="648"/>
      <c r="F241" s="648"/>
      <c r="G241" s="648"/>
      <c r="H241" s="648"/>
      <c r="I241" s="648"/>
      <c r="J241" s="648"/>
      <c r="K241" s="648"/>
      <c r="L241" s="648"/>
      <c r="M241" s="648"/>
      <c r="N241" s="648"/>
      <c r="O241" s="649"/>
      <c r="P241" s="653" t="s">
        <v>81</v>
      </c>
      <c r="Q241" s="654"/>
      <c r="R241" s="654"/>
      <c r="S241" s="654"/>
      <c r="T241" s="654"/>
      <c r="U241" s="654"/>
      <c r="V241" s="655"/>
      <c r="W241" s="37" t="s">
        <v>82</v>
      </c>
      <c r="X241" s="637">
        <f>IFERROR(X238/H238,"0")+IFERROR(X239/H239,"0")+IFERROR(X240/H240,"0")</f>
        <v>17.460317460317459</v>
      </c>
      <c r="Y241" s="637">
        <f>IFERROR(Y238/H238,"0")+IFERROR(Y239/H239,"0")+IFERROR(Y240/H240,"0")</f>
        <v>18</v>
      </c>
      <c r="Z241" s="637">
        <f>IFERROR(IF(Z238="",0,Z238),"0")+IFERROR(IF(Z239="",0,Z239),"0")+IFERROR(IF(Z240="",0,Z240),"0")</f>
        <v>0.1062</v>
      </c>
      <c r="AA241" s="638"/>
      <c r="AB241" s="638"/>
      <c r="AC241" s="638"/>
    </row>
    <row r="242" spans="1:68" x14ac:dyDescent="0.2">
      <c r="A242" s="648"/>
      <c r="B242" s="648"/>
      <c r="C242" s="648"/>
      <c r="D242" s="648"/>
      <c r="E242" s="648"/>
      <c r="F242" s="648"/>
      <c r="G242" s="648"/>
      <c r="H242" s="648"/>
      <c r="I242" s="648"/>
      <c r="J242" s="648"/>
      <c r="K242" s="648"/>
      <c r="L242" s="648"/>
      <c r="M242" s="648"/>
      <c r="N242" s="648"/>
      <c r="O242" s="649"/>
      <c r="P242" s="653" t="s">
        <v>81</v>
      </c>
      <c r="Q242" s="654"/>
      <c r="R242" s="654"/>
      <c r="S242" s="654"/>
      <c r="T242" s="654"/>
      <c r="U242" s="654"/>
      <c r="V242" s="655"/>
      <c r="W242" s="37" t="s">
        <v>67</v>
      </c>
      <c r="X242" s="637">
        <f>IFERROR(SUM(X238:X240),"0")</f>
        <v>22</v>
      </c>
      <c r="Y242" s="637">
        <f>IFERROR(SUM(Y238:Y240),"0")</f>
        <v>22.68</v>
      </c>
      <c r="Z242" s="37"/>
      <c r="AA242" s="638"/>
      <c r="AB242" s="638"/>
      <c r="AC242" s="638"/>
    </row>
    <row r="243" spans="1:68" ht="14.25" hidden="1" customHeight="1" x14ac:dyDescent="0.25">
      <c r="A243" s="658" t="s">
        <v>411</v>
      </c>
      <c r="B243" s="648"/>
      <c r="C243" s="648"/>
      <c r="D243" s="648"/>
      <c r="E243" s="648"/>
      <c r="F243" s="648"/>
      <c r="G243" s="648"/>
      <c r="H243" s="648"/>
      <c r="I243" s="648"/>
      <c r="J243" s="648"/>
      <c r="K243" s="648"/>
      <c r="L243" s="648"/>
      <c r="M243" s="648"/>
      <c r="N243" s="648"/>
      <c r="O243" s="648"/>
      <c r="P243" s="648"/>
      <c r="Q243" s="648"/>
      <c r="R243" s="648"/>
      <c r="S243" s="648"/>
      <c r="T243" s="648"/>
      <c r="U243" s="648"/>
      <c r="V243" s="648"/>
      <c r="W243" s="648"/>
      <c r="X243" s="648"/>
      <c r="Y243" s="648"/>
      <c r="Z243" s="648"/>
      <c r="AA243" s="631"/>
      <c r="AB243" s="631"/>
      <c r="AC243" s="631"/>
    </row>
    <row r="244" spans="1:68" ht="27" customHeight="1" x14ac:dyDescent="0.25">
      <c r="A244" s="54" t="s">
        <v>412</v>
      </c>
      <c r="B244" s="54" t="s">
        <v>413</v>
      </c>
      <c r="C244" s="31">
        <v>4301170013</v>
      </c>
      <c r="D244" s="642">
        <v>4680115886797</v>
      </c>
      <c r="E244" s="643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323</v>
      </c>
      <c r="L244" s="32"/>
      <c r="M244" s="33" t="s">
        <v>87</v>
      </c>
      <c r="N244" s="33"/>
      <c r="O244" s="32">
        <v>90</v>
      </c>
      <c r="P244" s="64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5">
        <v>4</v>
      </c>
      <c r="Y244" s="636">
        <f>IFERROR(IF(X244="",0,CEILING((X244/$H244),1)*$H244),"")</f>
        <v>5.04</v>
      </c>
      <c r="Z244" s="36">
        <f>IFERROR(IF(Y244=0,"",ROUNDUP(Y244/H244,0)*0.0059),"")</f>
        <v>2.3599999999999999E-2</v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4.6031746031746028</v>
      </c>
      <c r="BN244" s="64">
        <f>IFERROR(Y244*I244/H244,"0")</f>
        <v>5.8</v>
      </c>
      <c r="BO244" s="64">
        <f>IFERROR(1/J244*(X244/H244),"0")</f>
        <v>1.469723691945914E-2</v>
      </c>
      <c r="BP244" s="64">
        <f>IFERROR(1/J244*(Y244/H244),"0")</f>
        <v>1.8518518518518517E-2</v>
      </c>
    </row>
    <row r="245" spans="1:68" x14ac:dyDescent="0.2">
      <c r="A245" s="647"/>
      <c r="B245" s="648"/>
      <c r="C245" s="648"/>
      <c r="D245" s="648"/>
      <c r="E245" s="648"/>
      <c r="F245" s="648"/>
      <c r="G245" s="648"/>
      <c r="H245" s="648"/>
      <c r="I245" s="648"/>
      <c r="J245" s="648"/>
      <c r="K245" s="648"/>
      <c r="L245" s="648"/>
      <c r="M245" s="648"/>
      <c r="N245" s="648"/>
      <c r="O245" s="649"/>
      <c r="P245" s="653" t="s">
        <v>81</v>
      </c>
      <c r="Q245" s="654"/>
      <c r="R245" s="654"/>
      <c r="S245" s="654"/>
      <c r="T245" s="654"/>
      <c r="U245" s="654"/>
      <c r="V245" s="655"/>
      <c r="W245" s="37" t="s">
        <v>82</v>
      </c>
      <c r="X245" s="637">
        <f>IFERROR(X244/H244,"0")</f>
        <v>3.1746031746031744</v>
      </c>
      <c r="Y245" s="637">
        <f>IFERROR(Y244/H244,"0")</f>
        <v>4</v>
      </c>
      <c r="Z245" s="637">
        <f>IFERROR(IF(Z244="",0,Z244),"0")</f>
        <v>2.3599999999999999E-2</v>
      </c>
      <c r="AA245" s="638"/>
      <c r="AB245" s="638"/>
      <c r="AC245" s="638"/>
    </row>
    <row r="246" spans="1:68" x14ac:dyDescent="0.2">
      <c r="A246" s="648"/>
      <c r="B246" s="648"/>
      <c r="C246" s="648"/>
      <c r="D246" s="648"/>
      <c r="E246" s="648"/>
      <c r="F246" s="648"/>
      <c r="G246" s="648"/>
      <c r="H246" s="648"/>
      <c r="I246" s="648"/>
      <c r="J246" s="648"/>
      <c r="K246" s="648"/>
      <c r="L246" s="648"/>
      <c r="M246" s="648"/>
      <c r="N246" s="648"/>
      <c r="O246" s="649"/>
      <c r="P246" s="653" t="s">
        <v>81</v>
      </c>
      <c r="Q246" s="654"/>
      <c r="R246" s="654"/>
      <c r="S246" s="654"/>
      <c r="T246" s="654"/>
      <c r="U246" s="654"/>
      <c r="V246" s="655"/>
      <c r="W246" s="37" t="s">
        <v>67</v>
      </c>
      <c r="X246" s="637">
        <f>IFERROR(SUM(X244:X244),"0")</f>
        <v>4</v>
      </c>
      <c r="Y246" s="637">
        <f>IFERROR(SUM(Y244:Y244),"0")</f>
        <v>5.04</v>
      </c>
      <c r="Z246" s="37"/>
      <c r="AA246" s="638"/>
      <c r="AB246" s="638"/>
      <c r="AC246" s="638"/>
    </row>
    <row r="247" spans="1:68" ht="16.5" hidden="1" customHeight="1" x14ac:dyDescent="0.25">
      <c r="A247" s="652" t="s">
        <v>414</v>
      </c>
      <c r="B247" s="648"/>
      <c r="C247" s="648"/>
      <c r="D247" s="648"/>
      <c r="E247" s="648"/>
      <c r="F247" s="648"/>
      <c r="G247" s="648"/>
      <c r="H247" s="648"/>
      <c r="I247" s="648"/>
      <c r="J247" s="648"/>
      <c r="K247" s="648"/>
      <c r="L247" s="648"/>
      <c r="M247" s="648"/>
      <c r="N247" s="648"/>
      <c r="O247" s="648"/>
      <c r="P247" s="648"/>
      <c r="Q247" s="648"/>
      <c r="R247" s="648"/>
      <c r="S247" s="648"/>
      <c r="T247" s="648"/>
      <c r="U247" s="648"/>
      <c r="V247" s="648"/>
      <c r="W247" s="648"/>
      <c r="X247" s="648"/>
      <c r="Y247" s="648"/>
      <c r="Z247" s="648"/>
      <c r="AA247" s="630"/>
      <c r="AB247" s="630"/>
      <c r="AC247" s="630"/>
    </row>
    <row r="248" spans="1:68" ht="14.25" hidden="1" customHeight="1" x14ac:dyDescent="0.25">
      <c r="A248" s="658" t="s">
        <v>113</v>
      </c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8"/>
      <c r="P248" s="648"/>
      <c r="Q248" s="648"/>
      <c r="R248" s="648"/>
      <c r="S248" s="648"/>
      <c r="T248" s="648"/>
      <c r="U248" s="648"/>
      <c r="V248" s="648"/>
      <c r="W248" s="648"/>
      <c r="X248" s="648"/>
      <c r="Y248" s="648"/>
      <c r="Z248" s="648"/>
      <c r="AA248" s="631"/>
      <c r="AB248" s="631"/>
      <c r="AC248" s="631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42">
        <v>4680115881402</v>
      </c>
      <c r="E249" s="643"/>
      <c r="F249" s="634">
        <v>1.35</v>
      </c>
      <c r="G249" s="32">
        <v>8</v>
      </c>
      <c r="H249" s="634">
        <v>10.8</v>
      </c>
      <c r="I249" s="634">
        <v>11.21</v>
      </c>
      <c r="J249" s="32">
        <v>64</v>
      </c>
      <c r="K249" s="32" t="s">
        <v>116</v>
      </c>
      <c r="L249" s="32"/>
      <c r="M249" s="33" t="s">
        <v>117</v>
      </c>
      <c r="N249" s="33"/>
      <c r="O249" s="32">
        <v>55</v>
      </c>
      <c r="P249" s="6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5">
        <v>0</v>
      </c>
      <c r="Y249" s="63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42">
        <v>4680115881396</v>
      </c>
      <c r="E250" s="643"/>
      <c r="F250" s="634">
        <v>0.45</v>
      </c>
      <c r="G250" s="32">
        <v>6</v>
      </c>
      <c r="H250" s="634">
        <v>2.7</v>
      </c>
      <c r="I250" s="634">
        <v>2.88</v>
      </c>
      <c r="J250" s="32">
        <v>182</v>
      </c>
      <c r="K250" s="32" t="s">
        <v>65</v>
      </c>
      <c r="L250" s="32"/>
      <c r="M250" s="33" t="s">
        <v>117</v>
      </c>
      <c r="N250" s="33"/>
      <c r="O250" s="32">
        <v>55</v>
      </c>
      <c r="P250" s="7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40"/>
      <c r="R250" s="640"/>
      <c r="S250" s="640"/>
      <c r="T250" s="641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418</v>
      </c>
      <c r="B251" s="54" t="s">
        <v>420</v>
      </c>
      <c r="C251" s="31">
        <v>4301012403</v>
      </c>
      <c r="D251" s="642">
        <v>4680115889903</v>
      </c>
      <c r="E251" s="643"/>
      <c r="F251" s="634">
        <v>0.45</v>
      </c>
      <c r="G251" s="32">
        <v>6</v>
      </c>
      <c r="H251" s="634">
        <v>2.7</v>
      </c>
      <c r="I251" s="634">
        <v>2.88</v>
      </c>
      <c r="J251" s="32">
        <v>182</v>
      </c>
      <c r="K251" s="32" t="s">
        <v>65</v>
      </c>
      <c r="L251" s="32"/>
      <c r="M251" s="33" t="s">
        <v>117</v>
      </c>
      <c r="N251" s="33"/>
      <c r="O251" s="32">
        <v>55</v>
      </c>
      <c r="P251" s="877" t="s">
        <v>421</v>
      </c>
      <c r="Q251" s="640"/>
      <c r="R251" s="640"/>
      <c r="S251" s="640"/>
      <c r="T251" s="641"/>
      <c r="U251" s="34"/>
      <c r="V251" s="34"/>
      <c r="W251" s="35" t="s">
        <v>67</v>
      </c>
      <c r="X251" s="635">
        <v>0</v>
      </c>
      <c r="Y251" s="636">
        <f>IFERROR(IF(X251="",0,CEILING((X251/$H251),1)*$H251),"")</f>
        <v>0</v>
      </c>
      <c r="Z251" s="36" t="str">
        <f>IFERROR(IF(Y251=0,"",ROUNDUP(Y251/H251,0)*0.00651),"")</f>
        <v/>
      </c>
      <c r="AA251" s="56"/>
      <c r="AB251" s="57"/>
      <c r="AC251" s="313" t="s">
        <v>422</v>
      </c>
      <c r="AG251" s="64"/>
      <c r="AJ251" s="68"/>
      <c r="AK251" s="68">
        <v>0</v>
      </c>
      <c r="BB251" s="31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47"/>
      <c r="B252" s="648"/>
      <c r="C252" s="648"/>
      <c r="D252" s="648"/>
      <c r="E252" s="648"/>
      <c r="F252" s="648"/>
      <c r="G252" s="648"/>
      <c r="H252" s="648"/>
      <c r="I252" s="648"/>
      <c r="J252" s="648"/>
      <c r="K252" s="648"/>
      <c r="L252" s="648"/>
      <c r="M252" s="648"/>
      <c r="N252" s="648"/>
      <c r="O252" s="649"/>
      <c r="P252" s="653" t="s">
        <v>81</v>
      </c>
      <c r="Q252" s="654"/>
      <c r="R252" s="654"/>
      <c r="S252" s="654"/>
      <c r="T252" s="654"/>
      <c r="U252" s="654"/>
      <c r="V252" s="655"/>
      <c r="W252" s="37" t="s">
        <v>82</v>
      </c>
      <c r="X252" s="637">
        <f>IFERROR(X249/H249,"0")+IFERROR(X250/H250,"0")+IFERROR(X251/H251,"0")</f>
        <v>0</v>
      </c>
      <c r="Y252" s="637">
        <f>IFERROR(Y249/H249,"0")+IFERROR(Y250/H250,"0")+IFERROR(Y251/H251,"0")</f>
        <v>0</v>
      </c>
      <c r="Z252" s="637">
        <f>IFERROR(IF(Z249="",0,Z249),"0")+IFERROR(IF(Z250="",0,Z250),"0")+IFERROR(IF(Z251="",0,Z251),"0")</f>
        <v>0</v>
      </c>
      <c r="AA252" s="638"/>
      <c r="AB252" s="638"/>
      <c r="AC252" s="638"/>
    </row>
    <row r="253" spans="1:68" hidden="1" x14ac:dyDescent="0.2">
      <c r="A253" s="648"/>
      <c r="B253" s="648"/>
      <c r="C253" s="648"/>
      <c r="D253" s="648"/>
      <c r="E253" s="648"/>
      <c r="F253" s="648"/>
      <c r="G253" s="648"/>
      <c r="H253" s="648"/>
      <c r="I253" s="648"/>
      <c r="J253" s="648"/>
      <c r="K253" s="648"/>
      <c r="L253" s="648"/>
      <c r="M253" s="648"/>
      <c r="N253" s="648"/>
      <c r="O253" s="649"/>
      <c r="P253" s="653" t="s">
        <v>81</v>
      </c>
      <c r="Q253" s="654"/>
      <c r="R253" s="654"/>
      <c r="S253" s="654"/>
      <c r="T253" s="654"/>
      <c r="U253" s="654"/>
      <c r="V253" s="655"/>
      <c r="W253" s="37" t="s">
        <v>67</v>
      </c>
      <c r="X253" s="637">
        <f>IFERROR(SUM(X249:X251),"0")</f>
        <v>0</v>
      </c>
      <c r="Y253" s="637">
        <f>IFERROR(SUM(Y249:Y251),"0")</f>
        <v>0</v>
      </c>
      <c r="Z253" s="37"/>
      <c r="AA253" s="638"/>
      <c r="AB253" s="638"/>
      <c r="AC253" s="638"/>
    </row>
    <row r="254" spans="1:68" ht="14.25" hidden="1" customHeight="1" x14ac:dyDescent="0.25">
      <c r="A254" s="658" t="s">
        <v>150</v>
      </c>
      <c r="B254" s="648"/>
      <c r="C254" s="648"/>
      <c r="D254" s="648"/>
      <c r="E254" s="648"/>
      <c r="F254" s="648"/>
      <c r="G254" s="648"/>
      <c r="H254" s="648"/>
      <c r="I254" s="648"/>
      <c r="J254" s="648"/>
      <c r="K254" s="648"/>
      <c r="L254" s="648"/>
      <c r="M254" s="648"/>
      <c r="N254" s="648"/>
      <c r="O254" s="648"/>
      <c r="P254" s="648"/>
      <c r="Q254" s="648"/>
      <c r="R254" s="648"/>
      <c r="S254" s="648"/>
      <c r="T254" s="648"/>
      <c r="U254" s="648"/>
      <c r="V254" s="648"/>
      <c r="W254" s="648"/>
      <c r="X254" s="648"/>
      <c r="Y254" s="648"/>
      <c r="Z254" s="648"/>
      <c r="AA254" s="631"/>
      <c r="AB254" s="631"/>
      <c r="AC254" s="631"/>
    </row>
    <row r="255" spans="1:68" ht="16.5" hidden="1" customHeight="1" x14ac:dyDescent="0.25">
      <c r="A255" s="54" t="s">
        <v>423</v>
      </c>
      <c r="B255" s="54" t="s">
        <v>424</v>
      </c>
      <c r="C255" s="31">
        <v>4301020261</v>
      </c>
      <c r="D255" s="642">
        <v>4680115882935</v>
      </c>
      <c r="E255" s="643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116</v>
      </c>
      <c r="L255" s="32"/>
      <c r="M255" s="33" t="s">
        <v>117</v>
      </c>
      <c r="N255" s="33"/>
      <c r="O255" s="32">
        <v>50</v>
      </c>
      <c r="P255" s="7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40"/>
      <c r="R255" s="640"/>
      <c r="S255" s="640"/>
      <c r="T255" s="641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16.5" hidden="1" customHeight="1" x14ac:dyDescent="0.25">
      <c r="A256" s="54" t="s">
        <v>426</v>
      </c>
      <c r="B256" s="54" t="s">
        <v>427</v>
      </c>
      <c r="C256" s="31">
        <v>4301020220</v>
      </c>
      <c r="D256" s="642">
        <v>4680115880764</v>
      </c>
      <c r="E256" s="643"/>
      <c r="F256" s="634">
        <v>0.35</v>
      </c>
      <c r="G256" s="32">
        <v>6</v>
      </c>
      <c r="H256" s="634">
        <v>2.1</v>
      </c>
      <c r="I256" s="634">
        <v>2.2799999999999998</v>
      </c>
      <c r="J256" s="32">
        <v>182</v>
      </c>
      <c r="K256" s="32" t="s">
        <v>65</v>
      </c>
      <c r="L256" s="32"/>
      <c r="M256" s="33" t="s">
        <v>117</v>
      </c>
      <c r="N256" s="33"/>
      <c r="O256" s="32">
        <v>50</v>
      </c>
      <c r="P256" s="88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40"/>
      <c r="R256" s="640"/>
      <c r="S256" s="640"/>
      <c r="T256" s="641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7"/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9"/>
      <c r="P257" s="653" t="s">
        <v>81</v>
      </c>
      <c r="Q257" s="654"/>
      <c r="R257" s="654"/>
      <c r="S257" s="654"/>
      <c r="T257" s="654"/>
      <c r="U257" s="654"/>
      <c r="V257" s="655"/>
      <c r="W257" s="37" t="s">
        <v>82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8"/>
      <c r="B258" s="648"/>
      <c r="C258" s="648"/>
      <c r="D258" s="648"/>
      <c r="E258" s="648"/>
      <c r="F258" s="648"/>
      <c r="G258" s="648"/>
      <c r="H258" s="648"/>
      <c r="I258" s="648"/>
      <c r="J258" s="648"/>
      <c r="K258" s="648"/>
      <c r="L258" s="648"/>
      <c r="M258" s="648"/>
      <c r="N258" s="648"/>
      <c r="O258" s="649"/>
      <c r="P258" s="653" t="s">
        <v>81</v>
      </c>
      <c r="Q258" s="654"/>
      <c r="R258" s="654"/>
      <c r="S258" s="654"/>
      <c r="T258" s="654"/>
      <c r="U258" s="654"/>
      <c r="V258" s="655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58" t="s">
        <v>245</v>
      </c>
      <c r="B259" s="648"/>
      <c r="C259" s="648"/>
      <c r="D259" s="648"/>
      <c r="E259" s="648"/>
      <c r="F259" s="648"/>
      <c r="G259" s="648"/>
      <c r="H259" s="648"/>
      <c r="I259" s="648"/>
      <c r="J259" s="648"/>
      <c r="K259" s="648"/>
      <c r="L259" s="648"/>
      <c r="M259" s="648"/>
      <c r="N259" s="648"/>
      <c r="O259" s="648"/>
      <c r="P259" s="648"/>
      <c r="Q259" s="648"/>
      <c r="R259" s="648"/>
      <c r="S259" s="648"/>
      <c r="T259" s="648"/>
      <c r="U259" s="648"/>
      <c r="V259" s="648"/>
      <c r="W259" s="648"/>
      <c r="X259" s="648"/>
      <c r="Y259" s="648"/>
      <c r="Z259" s="648"/>
      <c r="AA259" s="631"/>
      <c r="AB259" s="631"/>
      <c r="AC259" s="631"/>
    </row>
    <row r="260" spans="1:68" ht="27" hidden="1" customHeight="1" x14ac:dyDescent="0.25">
      <c r="A260" s="54" t="s">
        <v>428</v>
      </c>
      <c r="B260" s="54" t="s">
        <v>429</v>
      </c>
      <c r="C260" s="31">
        <v>4301031224</v>
      </c>
      <c r="D260" s="642">
        <v>4680115882683</v>
      </c>
      <c r="E260" s="643"/>
      <c r="F260" s="634">
        <v>0.9</v>
      </c>
      <c r="G260" s="32">
        <v>6</v>
      </c>
      <c r="H260" s="634">
        <v>5.4</v>
      </c>
      <c r="I260" s="634">
        <v>5.59</v>
      </c>
      <c r="J260" s="32">
        <v>132</v>
      </c>
      <c r="K260" s="32" t="s">
        <v>126</v>
      </c>
      <c r="L260" s="32"/>
      <c r="M260" s="33" t="s">
        <v>122</v>
      </c>
      <c r="N260" s="33"/>
      <c r="O260" s="32">
        <v>40</v>
      </c>
      <c r="P260" s="83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40"/>
      <c r="R260" s="640"/>
      <c r="S260" s="640"/>
      <c r="T260" s="641"/>
      <c r="U260" s="34"/>
      <c r="V260" s="34"/>
      <c r="W260" s="35" t="s">
        <v>67</v>
      </c>
      <c r="X260" s="635">
        <v>0</v>
      </c>
      <c r="Y260" s="636">
        <f t="shared" ref="Y260:Y267" si="31">IFERROR(IF(X260="",0,CEILING((X260/$H260),1)*$H260),"")</f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ref="BM260:BM267" si="32">IFERROR(X260*I260/H260,"0")</f>
        <v>0</v>
      </c>
      <c r="BN260" s="64">
        <f t="shared" ref="BN260:BN267" si="33">IFERROR(Y260*I260/H260,"0")</f>
        <v>0</v>
      </c>
      <c r="BO260" s="64">
        <f t="shared" ref="BO260:BO267" si="34">IFERROR(1/J260*(X260/H260),"0")</f>
        <v>0</v>
      </c>
      <c r="BP260" s="64">
        <f t="shared" ref="BP260:BP267" si="35">IFERROR(1/J260*(Y260/H260),"0")</f>
        <v>0</v>
      </c>
    </row>
    <row r="261" spans="1:68" ht="27" hidden="1" customHeight="1" x14ac:dyDescent="0.25">
      <c r="A261" s="54" t="s">
        <v>431</v>
      </c>
      <c r="B261" s="54" t="s">
        <v>432</v>
      </c>
      <c r="C261" s="31">
        <v>4301031230</v>
      </c>
      <c r="D261" s="642">
        <v>4680115882690</v>
      </c>
      <c r="E261" s="643"/>
      <c r="F261" s="634">
        <v>0.9</v>
      </c>
      <c r="G261" s="32">
        <v>6</v>
      </c>
      <c r="H261" s="634">
        <v>5.4</v>
      </c>
      <c r="I261" s="634">
        <v>5.59</v>
      </c>
      <c r="J261" s="32">
        <v>132</v>
      </c>
      <c r="K261" s="32" t="s">
        <v>126</v>
      </c>
      <c r="L261" s="32"/>
      <c r="M261" s="33" t="s">
        <v>122</v>
      </c>
      <c r="N261" s="33"/>
      <c r="O261" s="32">
        <v>40</v>
      </c>
      <c r="P261" s="86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40"/>
      <c r="R261" s="640"/>
      <c r="S261" s="640"/>
      <c r="T261" s="641"/>
      <c r="U261" s="34"/>
      <c r="V261" s="34"/>
      <c r="W261" s="35" t="s">
        <v>67</v>
      </c>
      <c r="X261" s="635">
        <v>0</v>
      </c>
      <c r="Y261" s="636">
        <f t="shared" si="31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2"/>
        <v>0</v>
      </c>
      <c r="BN261" s="64">
        <f t="shared" si="33"/>
        <v>0</v>
      </c>
      <c r="BO261" s="64">
        <f t="shared" si="34"/>
        <v>0</v>
      </c>
      <c r="BP261" s="64">
        <f t="shared" si="35"/>
        <v>0</v>
      </c>
    </row>
    <row r="262" spans="1:68" ht="27" hidden="1" customHeight="1" x14ac:dyDescent="0.25">
      <c r="A262" s="54" t="s">
        <v>434</v>
      </c>
      <c r="B262" s="54" t="s">
        <v>435</v>
      </c>
      <c r="C262" s="31">
        <v>4301031220</v>
      </c>
      <c r="D262" s="642">
        <v>4680115882669</v>
      </c>
      <c r="E262" s="643"/>
      <c r="F262" s="634">
        <v>0.9</v>
      </c>
      <c r="G262" s="32">
        <v>6</v>
      </c>
      <c r="H262" s="634">
        <v>5.4</v>
      </c>
      <c r="I262" s="634">
        <v>5.59</v>
      </c>
      <c r="J262" s="32">
        <v>132</v>
      </c>
      <c r="K262" s="32" t="s">
        <v>126</v>
      </c>
      <c r="L262" s="32"/>
      <c r="M262" s="33" t="s">
        <v>122</v>
      </c>
      <c r="N262" s="33"/>
      <c r="O262" s="32">
        <v>40</v>
      </c>
      <c r="P262" s="9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40"/>
      <c r="R262" s="640"/>
      <c r="S262" s="640"/>
      <c r="T262" s="641"/>
      <c r="U262" s="34"/>
      <c r="V262" s="34"/>
      <c r="W262" s="35" t="s">
        <v>67</v>
      </c>
      <c r="X262" s="635">
        <v>0</v>
      </c>
      <c r="Y262" s="636">
        <f t="shared" si="31"/>
        <v>0</v>
      </c>
      <c r="Z262" s="36" t="str">
        <f>IFERROR(IF(Y262=0,"",ROUNDUP(Y262/H262,0)*0.00902),"")</f>
        <v/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2"/>
        <v>0</v>
      </c>
      <c r="BN262" s="64">
        <f t="shared" si="33"/>
        <v>0</v>
      </c>
      <c r="BO262" s="64">
        <f t="shared" si="34"/>
        <v>0</v>
      </c>
      <c r="BP262" s="64">
        <f t="shared" si="35"/>
        <v>0</v>
      </c>
    </row>
    <row r="263" spans="1:68" ht="27" hidden="1" customHeight="1" x14ac:dyDescent="0.25">
      <c r="A263" s="54" t="s">
        <v>437</v>
      </c>
      <c r="B263" s="54" t="s">
        <v>438</v>
      </c>
      <c r="C263" s="31">
        <v>4301031221</v>
      </c>
      <c r="D263" s="642">
        <v>4680115882676</v>
      </c>
      <c r="E263" s="643"/>
      <c r="F263" s="634">
        <v>0.9</v>
      </c>
      <c r="G263" s="32">
        <v>6</v>
      </c>
      <c r="H263" s="634">
        <v>5.4</v>
      </c>
      <c r="I263" s="634">
        <v>5.59</v>
      </c>
      <c r="J263" s="32">
        <v>132</v>
      </c>
      <c r="K263" s="32" t="s">
        <v>126</v>
      </c>
      <c r="L263" s="32"/>
      <c r="M263" s="33" t="s">
        <v>122</v>
      </c>
      <c r="N263" s="33"/>
      <c r="O263" s="32">
        <v>40</v>
      </c>
      <c r="P263" s="97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40"/>
      <c r="R263" s="640"/>
      <c r="S263" s="640"/>
      <c r="T263" s="641"/>
      <c r="U263" s="34"/>
      <c r="V263" s="34"/>
      <c r="W263" s="35" t="s">
        <v>67</v>
      </c>
      <c r="X263" s="635">
        <v>0</v>
      </c>
      <c r="Y263" s="636">
        <f t="shared" si="31"/>
        <v>0</v>
      </c>
      <c r="Z263" s="36" t="str">
        <f>IFERROR(IF(Y263=0,"",ROUNDUP(Y263/H263,0)*0.00902),"")</f>
        <v/>
      </c>
      <c r="AA263" s="56"/>
      <c r="AB263" s="57"/>
      <c r="AC263" s="325" t="s">
        <v>439</v>
      </c>
      <c r="AG263" s="64"/>
      <c r="AJ263" s="68"/>
      <c r="AK263" s="68">
        <v>0</v>
      </c>
      <c r="BB263" s="326" t="s">
        <v>1</v>
      </c>
      <c r="BM263" s="64">
        <f t="shared" si="32"/>
        <v>0</v>
      </c>
      <c r="BN263" s="64">
        <f t="shared" si="33"/>
        <v>0</v>
      </c>
      <c r="BO263" s="64">
        <f t="shared" si="34"/>
        <v>0</v>
      </c>
      <c r="BP263" s="64">
        <f t="shared" si="35"/>
        <v>0</v>
      </c>
    </row>
    <row r="264" spans="1:68" ht="27" hidden="1" customHeight="1" x14ac:dyDescent="0.25">
      <c r="A264" s="54" t="s">
        <v>440</v>
      </c>
      <c r="B264" s="54" t="s">
        <v>441</v>
      </c>
      <c r="C264" s="31">
        <v>4301031223</v>
      </c>
      <c r="D264" s="642">
        <v>4680115884014</v>
      </c>
      <c r="E264" s="643"/>
      <c r="F264" s="634">
        <v>0.3</v>
      </c>
      <c r="G264" s="32">
        <v>6</v>
      </c>
      <c r="H264" s="634">
        <v>1.8</v>
      </c>
      <c r="I264" s="634">
        <v>1.93</v>
      </c>
      <c r="J264" s="32">
        <v>234</v>
      </c>
      <c r="K264" s="32" t="s">
        <v>223</v>
      </c>
      <c r="L264" s="32"/>
      <c r="M264" s="33" t="s">
        <v>122</v>
      </c>
      <c r="N264" s="33"/>
      <c r="O264" s="32">
        <v>40</v>
      </c>
      <c r="P264" s="79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5">
        <v>0</v>
      </c>
      <c r="Y264" s="636">
        <f t="shared" si="31"/>
        <v>0</v>
      </c>
      <c r="Z264" s="36" t="str">
        <f>IFERROR(IF(Y264=0,"",ROUNDUP(Y264/H264,0)*0.00502),"")</f>
        <v/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2"/>
        <v>0</v>
      </c>
      <c r="BN264" s="64">
        <f t="shared" si="33"/>
        <v>0</v>
      </c>
      <c r="BO264" s="64">
        <f t="shared" si="34"/>
        <v>0</v>
      </c>
      <c r="BP264" s="64">
        <f t="shared" si="35"/>
        <v>0</v>
      </c>
    </row>
    <row r="265" spans="1:68" ht="27" customHeight="1" x14ac:dyDescent="0.25">
      <c r="A265" s="54" t="s">
        <v>442</v>
      </c>
      <c r="B265" s="54" t="s">
        <v>443</v>
      </c>
      <c r="C265" s="31">
        <v>4301031222</v>
      </c>
      <c r="D265" s="642">
        <v>4680115884007</v>
      </c>
      <c r="E265" s="643"/>
      <c r="F265" s="634">
        <v>0.3</v>
      </c>
      <c r="G265" s="32">
        <v>6</v>
      </c>
      <c r="H265" s="634">
        <v>1.8</v>
      </c>
      <c r="I265" s="634">
        <v>1.9</v>
      </c>
      <c r="J265" s="32">
        <v>234</v>
      </c>
      <c r="K265" s="32" t="s">
        <v>223</v>
      </c>
      <c r="L265" s="32"/>
      <c r="M265" s="33" t="s">
        <v>122</v>
      </c>
      <c r="N265" s="33"/>
      <c r="O265" s="32">
        <v>40</v>
      </c>
      <c r="P265" s="7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5">
        <v>6</v>
      </c>
      <c r="Y265" s="636">
        <f t="shared" si="31"/>
        <v>7.2</v>
      </c>
      <c r="Z265" s="36">
        <f>IFERROR(IF(Y265=0,"",ROUNDUP(Y265/H265,0)*0.00502),"")</f>
        <v>2.0080000000000001E-2</v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2"/>
        <v>6.3333333333333321</v>
      </c>
      <c r="BN265" s="64">
        <f t="shared" si="33"/>
        <v>7.6</v>
      </c>
      <c r="BO265" s="64">
        <f t="shared" si="34"/>
        <v>1.4245014245014245E-2</v>
      </c>
      <c r="BP265" s="64">
        <f t="shared" si="35"/>
        <v>1.7094017094017096E-2</v>
      </c>
    </row>
    <row r="266" spans="1:68" ht="27" hidden="1" customHeight="1" x14ac:dyDescent="0.25">
      <c r="A266" s="54" t="s">
        <v>444</v>
      </c>
      <c r="B266" s="54" t="s">
        <v>445</v>
      </c>
      <c r="C266" s="31">
        <v>4301031229</v>
      </c>
      <c r="D266" s="642">
        <v>4680115884038</v>
      </c>
      <c r="E266" s="643"/>
      <c r="F266" s="634">
        <v>0.3</v>
      </c>
      <c r="G266" s="32">
        <v>6</v>
      </c>
      <c r="H266" s="634">
        <v>1.8</v>
      </c>
      <c r="I266" s="634">
        <v>1.9</v>
      </c>
      <c r="J266" s="32">
        <v>234</v>
      </c>
      <c r="K266" s="32" t="s">
        <v>223</v>
      </c>
      <c r="L266" s="32"/>
      <c r="M266" s="33" t="s">
        <v>122</v>
      </c>
      <c r="N266" s="33"/>
      <c r="O266" s="32">
        <v>40</v>
      </c>
      <c r="P266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customHeight="1" x14ac:dyDescent="0.25">
      <c r="A267" s="54" t="s">
        <v>446</v>
      </c>
      <c r="B267" s="54" t="s">
        <v>447</v>
      </c>
      <c r="C267" s="31">
        <v>4301031225</v>
      </c>
      <c r="D267" s="642">
        <v>4680115884021</v>
      </c>
      <c r="E267" s="643"/>
      <c r="F267" s="634">
        <v>0.3</v>
      </c>
      <c r="G267" s="32">
        <v>6</v>
      </c>
      <c r="H267" s="634">
        <v>1.8</v>
      </c>
      <c r="I267" s="634">
        <v>1.9</v>
      </c>
      <c r="J267" s="32">
        <v>234</v>
      </c>
      <c r="K267" s="32" t="s">
        <v>223</v>
      </c>
      <c r="L267" s="32"/>
      <c r="M267" s="33" t="s">
        <v>122</v>
      </c>
      <c r="N267" s="33"/>
      <c r="O267" s="32">
        <v>40</v>
      </c>
      <c r="P267" s="8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5">
        <v>35</v>
      </c>
      <c r="Y267" s="636">
        <f t="shared" si="31"/>
        <v>36</v>
      </c>
      <c r="Z267" s="36">
        <f>IFERROR(IF(Y267=0,"",ROUNDUP(Y267/H267,0)*0.00502),"")</f>
        <v>0.1004</v>
      </c>
      <c r="AA267" s="56"/>
      <c r="AB267" s="57"/>
      <c r="AC267" s="333" t="s">
        <v>439</v>
      </c>
      <c r="AG267" s="64"/>
      <c r="AJ267" s="68"/>
      <c r="AK267" s="68">
        <v>0</v>
      </c>
      <c r="BB267" s="334" t="s">
        <v>1</v>
      </c>
      <c r="BM267" s="64">
        <f t="shared" si="32"/>
        <v>36.944444444444443</v>
      </c>
      <c r="BN267" s="64">
        <f t="shared" si="33"/>
        <v>37.999999999999993</v>
      </c>
      <c r="BO267" s="64">
        <f t="shared" si="34"/>
        <v>8.3095916429249767E-2</v>
      </c>
      <c r="BP267" s="64">
        <f t="shared" si="35"/>
        <v>8.5470085470085472E-2</v>
      </c>
    </row>
    <row r="268" spans="1:68" x14ac:dyDescent="0.2">
      <c r="A268" s="647"/>
      <c r="B268" s="648"/>
      <c r="C268" s="648"/>
      <c r="D268" s="648"/>
      <c r="E268" s="648"/>
      <c r="F268" s="648"/>
      <c r="G268" s="648"/>
      <c r="H268" s="648"/>
      <c r="I268" s="648"/>
      <c r="J268" s="648"/>
      <c r="K268" s="648"/>
      <c r="L268" s="648"/>
      <c r="M268" s="648"/>
      <c r="N268" s="648"/>
      <c r="O268" s="649"/>
      <c r="P268" s="653" t="s">
        <v>81</v>
      </c>
      <c r="Q268" s="654"/>
      <c r="R268" s="654"/>
      <c r="S268" s="654"/>
      <c r="T268" s="654"/>
      <c r="U268" s="654"/>
      <c r="V268" s="655"/>
      <c r="W268" s="37" t="s">
        <v>82</v>
      </c>
      <c r="X268" s="637">
        <f>IFERROR(X260/H260,"0")+IFERROR(X261/H261,"0")+IFERROR(X262/H262,"0")+IFERROR(X263/H263,"0")+IFERROR(X264/H264,"0")+IFERROR(X265/H265,"0")+IFERROR(X266/H266,"0")+IFERROR(X267/H267,"0")</f>
        <v>22.777777777777775</v>
      </c>
      <c r="Y268" s="637">
        <f>IFERROR(Y260/H260,"0")+IFERROR(Y261/H261,"0")+IFERROR(Y262/H262,"0")+IFERROR(Y263/H263,"0")+IFERROR(Y264/H264,"0")+IFERROR(Y265/H265,"0")+IFERROR(Y266/H266,"0")+IFERROR(Y267/H267,"0")</f>
        <v>24</v>
      </c>
      <c r="Z268" s="637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0.12048</v>
      </c>
      <c r="AA268" s="638"/>
      <c r="AB268" s="638"/>
      <c r="AC268" s="638"/>
    </row>
    <row r="269" spans="1:68" x14ac:dyDescent="0.2">
      <c r="A269" s="648"/>
      <c r="B269" s="648"/>
      <c r="C269" s="648"/>
      <c r="D269" s="648"/>
      <c r="E269" s="648"/>
      <c r="F269" s="648"/>
      <c r="G269" s="648"/>
      <c r="H269" s="648"/>
      <c r="I269" s="648"/>
      <c r="J269" s="648"/>
      <c r="K269" s="648"/>
      <c r="L269" s="648"/>
      <c r="M269" s="648"/>
      <c r="N269" s="648"/>
      <c r="O269" s="649"/>
      <c r="P269" s="653" t="s">
        <v>81</v>
      </c>
      <c r="Q269" s="654"/>
      <c r="R269" s="654"/>
      <c r="S269" s="654"/>
      <c r="T269" s="654"/>
      <c r="U269" s="654"/>
      <c r="V269" s="655"/>
      <c r="W269" s="37" t="s">
        <v>67</v>
      </c>
      <c r="X269" s="637">
        <f>IFERROR(SUM(X260:X267),"0")</f>
        <v>41</v>
      </c>
      <c r="Y269" s="637">
        <f>IFERROR(SUM(Y260:Y267),"0")</f>
        <v>43.2</v>
      </c>
      <c r="Z269" s="37"/>
      <c r="AA269" s="638"/>
      <c r="AB269" s="638"/>
      <c r="AC269" s="638"/>
    </row>
    <row r="270" spans="1:68" ht="14.25" hidden="1" customHeight="1" x14ac:dyDescent="0.25">
      <c r="A270" s="658" t="s">
        <v>62</v>
      </c>
      <c r="B270" s="648"/>
      <c r="C270" s="648"/>
      <c r="D270" s="648"/>
      <c r="E270" s="648"/>
      <c r="F270" s="648"/>
      <c r="G270" s="648"/>
      <c r="H270" s="648"/>
      <c r="I270" s="648"/>
      <c r="J270" s="648"/>
      <c r="K270" s="648"/>
      <c r="L270" s="648"/>
      <c r="M270" s="648"/>
      <c r="N270" s="648"/>
      <c r="O270" s="648"/>
      <c r="P270" s="648"/>
      <c r="Q270" s="648"/>
      <c r="R270" s="648"/>
      <c r="S270" s="648"/>
      <c r="T270" s="648"/>
      <c r="U270" s="648"/>
      <c r="V270" s="648"/>
      <c r="W270" s="648"/>
      <c r="X270" s="648"/>
      <c r="Y270" s="648"/>
      <c r="Z270" s="648"/>
      <c r="AA270" s="631"/>
      <c r="AB270" s="631"/>
      <c r="AC270" s="631"/>
    </row>
    <row r="271" spans="1:68" ht="27" hidden="1" customHeight="1" x14ac:dyDescent="0.25">
      <c r="A271" s="54" t="s">
        <v>448</v>
      </c>
      <c r="B271" s="54" t="s">
        <v>449</v>
      </c>
      <c r="C271" s="31">
        <v>4301052272</v>
      </c>
      <c r="D271" s="642">
        <v>4680115889873</v>
      </c>
      <c r="E271" s="643"/>
      <c r="F271" s="634">
        <v>0.8</v>
      </c>
      <c r="G271" s="32">
        <v>6</v>
      </c>
      <c r="H271" s="634">
        <v>4.8</v>
      </c>
      <c r="I271" s="634">
        <v>5.1619999999999999</v>
      </c>
      <c r="J271" s="32">
        <v>104</v>
      </c>
      <c r="K271" s="32" t="s">
        <v>116</v>
      </c>
      <c r="L271" s="32"/>
      <c r="M271" s="33" t="s">
        <v>66</v>
      </c>
      <c r="N271" s="33"/>
      <c r="O271" s="32">
        <v>45</v>
      </c>
      <c r="P271" s="70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5">
        <v>0</v>
      </c>
      <c r="Y271" s="636">
        <f t="shared" ref="Y271:Y282" si="36">IFERROR(IF(X271="",0,CEILING((X271/$H271),1)*$H271),"")</f>
        <v>0</v>
      </c>
      <c r="Z271" s="36" t="str">
        <f>IFERROR(IF(Y271=0,"",ROUNDUP(Y271/H271,0)*0.01196),"")</f>
        <v/>
      </c>
      <c r="AA271" s="56"/>
      <c r="AB271" s="57" t="s">
        <v>88</v>
      </c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ref="BM271:BM282" si="37">IFERROR(X271*I271/H271,"0")</f>
        <v>0</v>
      </c>
      <c r="BN271" s="64">
        <f t="shared" ref="BN271:BN282" si="38">IFERROR(Y271*I271/H271,"0")</f>
        <v>0</v>
      </c>
      <c r="BO271" s="64">
        <f t="shared" ref="BO271:BO282" si="39">IFERROR(1/J271*(X271/H271),"0")</f>
        <v>0</v>
      </c>
      <c r="BP271" s="64">
        <f t="shared" ref="BP271:BP282" si="40">IFERROR(1/J271*(Y271/H271),"0")</f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4301051408</v>
      </c>
      <c r="D272" s="642">
        <v>4680115881594</v>
      </c>
      <c r="E272" s="643"/>
      <c r="F272" s="634">
        <v>1.35</v>
      </c>
      <c r="G272" s="32">
        <v>6</v>
      </c>
      <c r="H272" s="634">
        <v>8.1</v>
      </c>
      <c r="I272" s="634">
        <v>8.5939999999999994</v>
      </c>
      <c r="J272" s="32">
        <v>64</v>
      </c>
      <c r="K272" s="32" t="s">
        <v>116</v>
      </c>
      <c r="L272" s="32"/>
      <c r="M272" s="33" t="s">
        <v>66</v>
      </c>
      <c r="N272" s="33"/>
      <c r="O272" s="32">
        <v>40</v>
      </c>
      <c r="P272" s="8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40"/>
      <c r="R272" s="640"/>
      <c r="S272" s="640"/>
      <c r="T272" s="641"/>
      <c r="U272" s="34"/>
      <c r="V272" s="34"/>
      <c r="W272" s="35" t="s">
        <v>67</v>
      </c>
      <c r="X272" s="635">
        <v>0</v>
      </c>
      <c r="Y272" s="636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customHeight="1" x14ac:dyDescent="0.25">
      <c r="A273" s="54" t="s">
        <v>454</v>
      </c>
      <c r="B273" s="54" t="s">
        <v>455</v>
      </c>
      <c r="C273" s="31">
        <v>4301051411</v>
      </c>
      <c r="D273" s="642">
        <v>4680115881617</v>
      </c>
      <c r="E273" s="643"/>
      <c r="F273" s="634">
        <v>1.35</v>
      </c>
      <c r="G273" s="32">
        <v>6</v>
      </c>
      <c r="H273" s="634">
        <v>8.1</v>
      </c>
      <c r="I273" s="634">
        <v>8.5760000000000005</v>
      </c>
      <c r="J273" s="32">
        <v>64</v>
      </c>
      <c r="K273" s="32" t="s">
        <v>116</v>
      </c>
      <c r="L273" s="32"/>
      <c r="M273" s="33" t="s">
        <v>66</v>
      </c>
      <c r="N273" s="33"/>
      <c r="O273" s="32">
        <v>40</v>
      </c>
      <c r="P273" s="73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40"/>
      <c r="R273" s="640"/>
      <c r="S273" s="640"/>
      <c r="T273" s="641"/>
      <c r="U273" s="34"/>
      <c r="V273" s="34"/>
      <c r="W273" s="35" t="s">
        <v>67</v>
      </c>
      <c r="X273" s="635">
        <v>288</v>
      </c>
      <c r="Y273" s="636">
        <f t="shared" si="36"/>
        <v>291.59999999999997</v>
      </c>
      <c r="Z273" s="36">
        <f>IFERROR(IF(Y273=0,"",ROUNDUP(Y273/H273,0)*0.01898),"")</f>
        <v>0.68328</v>
      </c>
      <c r="AA273" s="56"/>
      <c r="AB273" s="57"/>
      <c r="AC273" s="339" t="s">
        <v>456</v>
      </c>
      <c r="AG273" s="64"/>
      <c r="AJ273" s="68"/>
      <c r="AK273" s="68">
        <v>0</v>
      </c>
      <c r="BB273" s="340" t="s">
        <v>1</v>
      </c>
      <c r="BM273" s="64">
        <f t="shared" si="37"/>
        <v>304.92444444444448</v>
      </c>
      <c r="BN273" s="64">
        <f t="shared" si="38"/>
        <v>308.73599999999999</v>
      </c>
      <c r="BO273" s="64">
        <f t="shared" si="39"/>
        <v>0.55555555555555558</v>
      </c>
      <c r="BP273" s="64">
        <f t="shared" si="40"/>
        <v>0.5625</v>
      </c>
    </row>
    <row r="274" spans="1:68" ht="27" hidden="1" customHeight="1" x14ac:dyDescent="0.25">
      <c r="A274" s="54" t="s">
        <v>457</v>
      </c>
      <c r="B274" s="54" t="s">
        <v>458</v>
      </c>
      <c r="C274" s="31">
        <v>4301051656</v>
      </c>
      <c r="D274" s="642">
        <v>4680115880573</v>
      </c>
      <c r="E274" s="643"/>
      <c r="F274" s="634">
        <v>1.45</v>
      </c>
      <c r="G274" s="32">
        <v>6</v>
      </c>
      <c r="H274" s="634">
        <v>8.6999999999999993</v>
      </c>
      <c r="I274" s="634">
        <v>9.1940000000000008</v>
      </c>
      <c r="J274" s="32">
        <v>64</v>
      </c>
      <c r="K274" s="32" t="s">
        <v>116</v>
      </c>
      <c r="L274" s="32"/>
      <c r="M274" s="33" t="s">
        <v>66</v>
      </c>
      <c r="N274" s="33"/>
      <c r="O274" s="32">
        <v>45</v>
      </c>
      <c r="P274" s="8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40"/>
      <c r="R274" s="640"/>
      <c r="S274" s="640"/>
      <c r="T274" s="641"/>
      <c r="U274" s="34"/>
      <c r="V274" s="34"/>
      <c r="W274" s="35" t="s">
        <v>67</v>
      </c>
      <c r="X274" s="635">
        <v>0</v>
      </c>
      <c r="Y274" s="636">
        <f t="shared" si="36"/>
        <v>0</v>
      </c>
      <c r="Z274" s="36" t="str">
        <f>IFERROR(IF(Y274=0,"",ROUNDUP(Y274/H274,0)*0.01898),"")</f>
        <v/>
      </c>
      <c r="AA274" s="56"/>
      <c r="AB274" s="57"/>
      <c r="AC274" s="341" t="s">
        <v>450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customHeight="1" x14ac:dyDescent="0.25">
      <c r="A275" s="54" t="s">
        <v>459</v>
      </c>
      <c r="B275" s="54" t="s">
        <v>460</v>
      </c>
      <c r="C275" s="31">
        <v>4301051407</v>
      </c>
      <c r="D275" s="642">
        <v>4680115882195</v>
      </c>
      <c r="E275" s="643"/>
      <c r="F275" s="634">
        <v>0.4</v>
      </c>
      <c r="G275" s="32">
        <v>6</v>
      </c>
      <c r="H275" s="634">
        <v>2.4</v>
      </c>
      <c r="I275" s="634">
        <v>2.67</v>
      </c>
      <c r="J275" s="32">
        <v>182</v>
      </c>
      <c r="K275" s="32" t="s">
        <v>65</v>
      </c>
      <c r="L275" s="32"/>
      <c r="M275" s="33" t="s">
        <v>66</v>
      </c>
      <c r="N275" s="33"/>
      <c r="O275" s="32">
        <v>40</v>
      </c>
      <c r="P275" s="67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5">
        <v>29</v>
      </c>
      <c r="Y275" s="636">
        <f t="shared" si="36"/>
        <v>31.2</v>
      </c>
      <c r="Z275" s="36">
        <f>IFERROR(IF(Y275=0,"",ROUNDUP(Y275/H275,0)*0.00651),"")</f>
        <v>8.4629999999999997E-2</v>
      </c>
      <c r="AA275" s="56"/>
      <c r="AB275" s="57"/>
      <c r="AC275" s="343" t="s">
        <v>453</v>
      </c>
      <c r="AG275" s="64"/>
      <c r="AJ275" s="68"/>
      <c r="AK275" s="68">
        <v>0</v>
      </c>
      <c r="BB275" s="344" t="s">
        <v>1</v>
      </c>
      <c r="BM275" s="64">
        <f t="shared" si="37"/>
        <v>32.262499999999996</v>
      </c>
      <c r="BN275" s="64">
        <f t="shared" si="38"/>
        <v>34.71</v>
      </c>
      <c r="BO275" s="64">
        <f t="shared" si="39"/>
        <v>6.6391941391941406E-2</v>
      </c>
      <c r="BP275" s="64">
        <f t="shared" si="40"/>
        <v>7.1428571428571438E-2</v>
      </c>
    </row>
    <row r="276" spans="1:68" ht="27" hidden="1" customHeight="1" x14ac:dyDescent="0.25">
      <c r="A276" s="54" t="s">
        <v>461</v>
      </c>
      <c r="B276" s="54" t="s">
        <v>462</v>
      </c>
      <c r="C276" s="31">
        <v>4301051752</v>
      </c>
      <c r="D276" s="642">
        <v>4680115882607</v>
      </c>
      <c r="E276" s="643"/>
      <c r="F276" s="634">
        <v>0.3</v>
      </c>
      <c r="G276" s="32">
        <v>6</v>
      </c>
      <c r="H276" s="634">
        <v>1.8</v>
      </c>
      <c r="I276" s="634">
        <v>2.052</v>
      </c>
      <c r="J276" s="32">
        <v>182</v>
      </c>
      <c r="K276" s="32" t="s">
        <v>65</v>
      </c>
      <c r="L276" s="32"/>
      <c r="M276" s="33" t="s">
        <v>73</v>
      </c>
      <c r="N276" s="33"/>
      <c r="O276" s="32">
        <v>45</v>
      </c>
      <c r="P276" s="93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40"/>
      <c r="R276" s="640"/>
      <c r="S276" s="640"/>
      <c r="T276" s="641"/>
      <c r="U276" s="34"/>
      <c r="V276" s="34"/>
      <c r="W276" s="35" t="s">
        <v>67</v>
      </c>
      <c r="X276" s="635">
        <v>0</v>
      </c>
      <c r="Y276" s="636">
        <f t="shared" si="36"/>
        <v>0</v>
      </c>
      <c r="Z276" s="36" t="str">
        <f>IFERROR(IF(Y276=0,"",ROUNDUP(Y276/H276,0)*0.00651),"")</f>
        <v/>
      </c>
      <c r="AA276" s="56"/>
      <c r="AB276" s="57"/>
      <c r="AC276" s="345" t="s">
        <v>450</v>
      </c>
      <c r="AG276" s="64"/>
      <c r="AJ276" s="68"/>
      <c r="AK276" s="68">
        <v>0</v>
      </c>
      <c r="BB276" s="346" t="s">
        <v>1</v>
      </c>
      <c r="BM276" s="64">
        <f t="shared" si="37"/>
        <v>0</v>
      </c>
      <c r="BN276" s="64">
        <f t="shared" si="38"/>
        <v>0</v>
      </c>
      <c r="BO276" s="64">
        <f t="shared" si="39"/>
        <v>0</v>
      </c>
      <c r="BP276" s="64">
        <f t="shared" si="40"/>
        <v>0</v>
      </c>
    </row>
    <row r="277" spans="1:68" ht="27" customHeight="1" x14ac:dyDescent="0.25">
      <c r="A277" s="54" t="s">
        <v>463</v>
      </c>
      <c r="B277" s="54" t="s">
        <v>464</v>
      </c>
      <c r="C277" s="31">
        <v>4301051666</v>
      </c>
      <c r="D277" s="642">
        <v>4680115880092</v>
      </c>
      <c r="E277" s="643"/>
      <c r="F277" s="634">
        <v>0.4</v>
      </c>
      <c r="G277" s="32">
        <v>6</v>
      </c>
      <c r="H277" s="634">
        <v>2.4</v>
      </c>
      <c r="I277" s="634">
        <v>2.6520000000000001</v>
      </c>
      <c r="J277" s="32">
        <v>182</v>
      </c>
      <c r="K277" s="32" t="s">
        <v>65</v>
      </c>
      <c r="L277" s="32"/>
      <c r="M277" s="33" t="s">
        <v>66</v>
      </c>
      <c r="N277" s="33"/>
      <c r="O277" s="32">
        <v>45</v>
      </c>
      <c r="P277" s="8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5">
        <v>333</v>
      </c>
      <c r="Y277" s="636">
        <f t="shared" si="36"/>
        <v>333.59999999999997</v>
      </c>
      <c r="Z277" s="36">
        <f>IFERROR(IF(Y277=0,"",ROUNDUP(Y277/H277,0)*0.00651),"")</f>
        <v>0.90488999999999997</v>
      </c>
      <c r="AA277" s="56"/>
      <c r="AB277" s="57"/>
      <c r="AC277" s="347" t="s">
        <v>450</v>
      </c>
      <c r="AG277" s="64"/>
      <c r="AJ277" s="68"/>
      <c r="AK277" s="68">
        <v>0</v>
      </c>
      <c r="BB277" s="348" t="s">
        <v>1</v>
      </c>
      <c r="BM277" s="64">
        <f t="shared" si="37"/>
        <v>367.96500000000003</v>
      </c>
      <c r="BN277" s="64">
        <f t="shared" si="38"/>
        <v>368.62799999999999</v>
      </c>
      <c r="BO277" s="64">
        <f t="shared" si="39"/>
        <v>0.76236263736263743</v>
      </c>
      <c r="BP277" s="64">
        <f t="shared" si="40"/>
        <v>0.7637362637362638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4301052214</v>
      </c>
      <c r="D278" s="642">
        <v>4680115889064</v>
      </c>
      <c r="E278" s="643"/>
      <c r="F278" s="634">
        <v>0.7</v>
      </c>
      <c r="G278" s="32">
        <v>6</v>
      </c>
      <c r="H278" s="634">
        <v>4.2</v>
      </c>
      <c r="I278" s="634">
        <v>4.6159999999999997</v>
      </c>
      <c r="J278" s="32">
        <v>104</v>
      </c>
      <c r="K278" s="32" t="s">
        <v>116</v>
      </c>
      <c r="L278" s="32"/>
      <c r="M278" s="33" t="s">
        <v>66</v>
      </c>
      <c r="N278" s="33"/>
      <c r="O278" s="32">
        <v>45</v>
      </c>
      <c r="P278" s="94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5">
        <v>0</v>
      </c>
      <c r="Y278" s="636">
        <f t="shared" si="36"/>
        <v>0</v>
      </c>
      <c r="Z278" s="36" t="str">
        <f>IFERROR(IF(Y278=0,"",ROUNDUP(Y278/H278,0)*0.01196),"")</f>
        <v/>
      </c>
      <c r="AA278" s="56"/>
      <c r="AB278" s="57"/>
      <c r="AC278" s="349" t="s">
        <v>467</v>
      </c>
      <c r="AG278" s="64"/>
      <c r="AJ278" s="68"/>
      <c r="AK278" s="68">
        <v>0</v>
      </c>
      <c r="BB278" s="350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customHeight="1" x14ac:dyDescent="0.25">
      <c r="A279" s="54" t="s">
        <v>468</v>
      </c>
      <c r="B279" s="54" t="s">
        <v>469</v>
      </c>
      <c r="C279" s="31">
        <v>4301051668</v>
      </c>
      <c r="D279" s="642">
        <v>4680115880221</v>
      </c>
      <c r="E279" s="643"/>
      <c r="F279" s="634">
        <v>0.4</v>
      </c>
      <c r="G279" s="32">
        <v>6</v>
      </c>
      <c r="H279" s="634">
        <v>2.4</v>
      </c>
      <c r="I279" s="634">
        <v>2.6520000000000001</v>
      </c>
      <c r="J279" s="32">
        <v>182</v>
      </c>
      <c r="K279" s="32" t="s">
        <v>65</v>
      </c>
      <c r="L279" s="32"/>
      <c r="M279" s="33" t="s">
        <v>66</v>
      </c>
      <c r="N279" s="33"/>
      <c r="O279" s="32">
        <v>45</v>
      </c>
      <c r="P279" s="8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5">
        <v>119</v>
      </c>
      <c r="Y279" s="636">
        <f t="shared" si="36"/>
        <v>120</v>
      </c>
      <c r="Z279" s="36">
        <f>IFERROR(IF(Y279=0,"",ROUNDUP(Y279/H279,0)*0.00651),"")</f>
        <v>0.32550000000000001</v>
      </c>
      <c r="AA279" s="56"/>
      <c r="AB279" s="57"/>
      <c r="AC279" s="351" t="s">
        <v>450</v>
      </c>
      <c r="AG279" s="64"/>
      <c r="AJ279" s="68"/>
      <c r="AK279" s="68">
        <v>0</v>
      </c>
      <c r="BB279" s="352" t="s">
        <v>1</v>
      </c>
      <c r="BM279" s="64">
        <f t="shared" si="37"/>
        <v>131.495</v>
      </c>
      <c r="BN279" s="64">
        <f t="shared" si="38"/>
        <v>132.60000000000002</v>
      </c>
      <c r="BO279" s="64">
        <f t="shared" si="39"/>
        <v>0.27243589743589747</v>
      </c>
      <c r="BP279" s="64">
        <f t="shared" si="40"/>
        <v>0.27472527472527475</v>
      </c>
    </row>
    <row r="280" spans="1:68" ht="27" customHeight="1" x14ac:dyDescent="0.25">
      <c r="A280" s="54" t="s">
        <v>470</v>
      </c>
      <c r="B280" s="54" t="s">
        <v>471</v>
      </c>
      <c r="C280" s="31">
        <v>4301051945</v>
      </c>
      <c r="D280" s="642">
        <v>4680115880504</v>
      </c>
      <c r="E280" s="643"/>
      <c r="F280" s="634">
        <v>0.4</v>
      </c>
      <c r="G280" s="32">
        <v>6</v>
      </c>
      <c r="H280" s="634">
        <v>2.4</v>
      </c>
      <c r="I280" s="634">
        <v>2.6520000000000001</v>
      </c>
      <c r="J280" s="32">
        <v>182</v>
      </c>
      <c r="K280" s="32" t="s">
        <v>65</v>
      </c>
      <c r="L280" s="32"/>
      <c r="M280" s="33" t="s">
        <v>73</v>
      </c>
      <c r="N280" s="33"/>
      <c r="O280" s="32">
        <v>40</v>
      </c>
      <c r="P280" s="7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40"/>
      <c r="R280" s="640"/>
      <c r="S280" s="640"/>
      <c r="T280" s="641"/>
      <c r="U280" s="34"/>
      <c r="V280" s="34"/>
      <c r="W280" s="35" t="s">
        <v>67</v>
      </c>
      <c r="X280" s="635">
        <v>52</v>
      </c>
      <c r="Y280" s="636">
        <f t="shared" si="36"/>
        <v>52.8</v>
      </c>
      <c r="Z280" s="36">
        <f>IFERROR(IF(Y280=0,"",ROUNDUP(Y280/H280,0)*0.00651),"")</f>
        <v>0.14322000000000001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7"/>
        <v>57.46</v>
      </c>
      <c r="BN280" s="64">
        <f t="shared" si="38"/>
        <v>58.344000000000001</v>
      </c>
      <c r="BO280" s="64">
        <f t="shared" si="39"/>
        <v>0.11904761904761907</v>
      </c>
      <c r="BP280" s="64">
        <f t="shared" si="40"/>
        <v>0.12087912087912089</v>
      </c>
    </row>
    <row r="281" spans="1:68" ht="27" customHeight="1" x14ac:dyDescent="0.25">
      <c r="A281" s="54" t="s">
        <v>473</v>
      </c>
      <c r="B281" s="54" t="s">
        <v>474</v>
      </c>
      <c r="C281" s="31">
        <v>4301051410</v>
      </c>
      <c r="D281" s="642">
        <v>4680115882164</v>
      </c>
      <c r="E281" s="643"/>
      <c r="F281" s="634">
        <v>0.4</v>
      </c>
      <c r="G281" s="32">
        <v>6</v>
      </c>
      <c r="H281" s="634">
        <v>2.4</v>
      </c>
      <c r="I281" s="634">
        <v>2.6579999999999999</v>
      </c>
      <c r="J281" s="32">
        <v>182</v>
      </c>
      <c r="K281" s="32" t="s">
        <v>65</v>
      </c>
      <c r="L281" s="32"/>
      <c r="M281" s="33" t="s">
        <v>66</v>
      </c>
      <c r="N281" s="33"/>
      <c r="O281" s="32">
        <v>40</v>
      </c>
      <c r="P281" s="7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5">
        <v>69</v>
      </c>
      <c r="Y281" s="636">
        <f t="shared" si="36"/>
        <v>69.599999999999994</v>
      </c>
      <c r="Z281" s="36">
        <f>IFERROR(IF(Y281=0,"",ROUNDUP(Y281/H281,0)*0.00651),"")</f>
        <v>0.18879000000000001</v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7"/>
        <v>76.417500000000004</v>
      </c>
      <c r="BN281" s="64">
        <f t="shared" si="38"/>
        <v>77.081999999999994</v>
      </c>
      <c r="BO281" s="64">
        <f t="shared" si="39"/>
        <v>0.15796703296703299</v>
      </c>
      <c r="BP281" s="64">
        <f t="shared" si="40"/>
        <v>0.15934065934065936</v>
      </c>
    </row>
    <row r="282" spans="1:68" ht="27" hidden="1" customHeight="1" x14ac:dyDescent="0.25">
      <c r="A282" s="54" t="s">
        <v>476</v>
      </c>
      <c r="B282" s="54" t="s">
        <v>477</v>
      </c>
      <c r="C282" s="31">
        <v>4301052180</v>
      </c>
      <c r="D282" s="642">
        <v>4680115888340</v>
      </c>
      <c r="E282" s="643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65</v>
      </c>
      <c r="L282" s="32"/>
      <c r="M282" s="33" t="s">
        <v>66</v>
      </c>
      <c r="N282" s="33"/>
      <c r="O282" s="32">
        <v>45</v>
      </c>
      <c r="P282" s="91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5">
        <v>0</v>
      </c>
      <c r="Y282" s="636">
        <f t="shared" si="36"/>
        <v>0</v>
      </c>
      <c r="Z282" s="36" t="str">
        <f>IFERROR(IF(Y282=0,"",ROUNDUP(Y282/H282,0)*0.00651),"")</f>
        <v/>
      </c>
      <c r="AA282" s="56"/>
      <c r="AB282" s="57"/>
      <c r="AC282" s="357" t="s">
        <v>478</v>
      </c>
      <c r="AG282" s="64"/>
      <c r="AJ282" s="68"/>
      <c r="AK282" s="68">
        <v>0</v>
      </c>
      <c r="BB282" s="358" t="s">
        <v>1</v>
      </c>
      <c r="BM282" s="64">
        <f t="shared" si="37"/>
        <v>0</v>
      </c>
      <c r="BN282" s="64">
        <f t="shared" si="38"/>
        <v>0</v>
      </c>
      <c r="BO282" s="64">
        <f t="shared" si="39"/>
        <v>0</v>
      </c>
      <c r="BP282" s="64">
        <f t="shared" si="40"/>
        <v>0</v>
      </c>
    </row>
    <row r="283" spans="1:68" x14ac:dyDescent="0.2">
      <c r="A283" s="647"/>
      <c r="B283" s="648"/>
      <c r="C283" s="648"/>
      <c r="D283" s="648"/>
      <c r="E283" s="648"/>
      <c r="F283" s="648"/>
      <c r="G283" s="648"/>
      <c r="H283" s="648"/>
      <c r="I283" s="648"/>
      <c r="J283" s="648"/>
      <c r="K283" s="648"/>
      <c r="L283" s="648"/>
      <c r="M283" s="648"/>
      <c r="N283" s="648"/>
      <c r="O283" s="649"/>
      <c r="P283" s="653" t="s">
        <v>81</v>
      </c>
      <c r="Q283" s="654"/>
      <c r="R283" s="654"/>
      <c r="S283" s="654"/>
      <c r="T283" s="654"/>
      <c r="U283" s="654"/>
      <c r="V283" s="655"/>
      <c r="W283" s="37" t="s">
        <v>82</v>
      </c>
      <c r="X283" s="637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286.38888888888891</v>
      </c>
      <c r="Y283" s="637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289</v>
      </c>
      <c r="Z283" s="637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2.3303099999999999</v>
      </c>
      <c r="AA283" s="638"/>
      <c r="AB283" s="638"/>
      <c r="AC283" s="638"/>
    </row>
    <row r="284" spans="1:68" x14ac:dyDescent="0.2">
      <c r="A284" s="648"/>
      <c r="B284" s="648"/>
      <c r="C284" s="648"/>
      <c r="D284" s="648"/>
      <c r="E284" s="648"/>
      <c r="F284" s="648"/>
      <c r="G284" s="648"/>
      <c r="H284" s="648"/>
      <c r="I284" s="648"/>
      <c r="J284" s="648"/>
      <c r="K284" s="648"/>
      <c r="L284" s="648"/>
      <c r="M284" s="648"/>
      <c r="N284" s="648"/>
      <c r="O284" s="649"/>
      <c r="P284" s="653" t="s">
        <v>81</v>
      </c>
      <c r="Q284" s="654"/>
      <c r="R284" s="654"/>
      <c r="S284" s="654"/>
      <c r="T284" s="654"/>
      <c r="U284" s="654"/>
      <c r="V284" s="655"/>
      <c r="W284" s="37" t="s">
        <v>67</v>
      </c>
      <c r="X284" s="637">
        <f>IFERROR(SUM(X271:X282),"0")</f>
        <v>890</v>
      </c>
      <c r="Y284" s="637">
        <f>IFERROR(SUM(Y271:Y282),"0")</f>
        <v>898.79999999999984</v>
      </c>
      <c r="Z284" s="37"/>
      <c r="AA284" s="638"/>
      <c r="AB284" s="638"/>
      <c r="AC284" s="638"/>
    </row>
    <row r="285" spans="1:68" ht="14.25" hidden="1" customHeight="1" x14ac:dyDescent="0.25">
      <c r="A285" s="658" t="s">
        <v>168</v>
      </c>
      <c r="B285" s="648"/>
      <c r="C285" s="648"/>
      <c r="D285" s="648"/>
      <c r="E285" s="648"/>
      <c r="F285" s="648"/>
      <c r="G285" s="648"/>
      <c r="H285" s="648"/>
      <c r="I285" s="648"/>
      <c r="J285" s="648"/>
      <c r="K285" s="648"/>
      <c r="L285" s="648"/>
      <c r="M285" s="648"/>
      <c r="N285" s="648"/>
      <c r="O285" s="648"/>
      <c r="P285" s="648"/>
      <c r="Q285" s="648"/>
      <c r="R285" s="648"/>
      <c r="S285" s="648"/>
      <c r="T285" s="648"/>
      <c r="U285" s="648"/>
      <c r="V285" s="648"/>
      <c r="W285" s="648"/>
      <c r="X285" s="648"/>
      <c r="Y285" s="648"/>
      <c r="Z285" s="648"/>
      <c r="AA285" s="631"/>
      <c r="AB285" s="631"/>
      <c r="AC285" s="631"/>
    </row>
    <row r="286" spans="1:68" ht="27" hidden="1" customHeight="1" x14ac:dyDescent="0.25">
      <c r="A286" s="54" t="s">
        <v>479</v>
      </c>
      <c r="B286" s="54" t="s">
        <v>480</v>
      </c>
      <c r="C286" s="31">
        <v>4301060463</v>
      </c>
      <c r="D286" s="642">
        <v>4680115880818</v>
      </c>
      <c r="E286" s="643"/>
      <c r="F286" s="634">
        <v>0.4</v>
      </c>
      <c r="G286" s="32">
        <v>6</v>
      </c>
      <c r="H286" s="634">
        <v>2.4</v>
      </c>
      <c r="I286" s="634">
        <v>2.6520000000000001</v>
      </c>
      <c r="J286" s="32">
        <v>182</v>
      </c>
      <c r="K286" s="32" t="s">
        <v>65</v>
      </c>
      <c r="L286" s="32"/>
      <c r="M286" s="33" t="s">
        <v>73</v>
      </c>
      <c r="N286" s="33"/>
      <c r="O286" s="32">
        <v>40</v>
      </c>
      <c r="P286" s="75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40"/>
      <c r="R286" s="640"/>
      <c r="S286" s="640"/>
      <c r="T286" s="641"/>
      <c r="U286" s="34"/>
      <c r="V286" s="34"/>
      <c r="W286" s="35" t="s">
        <v>67</v>
      </c>
      <c r="X286" s="635">
        <v>0</v>
      </c>
      <c r="Y286" s="63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4301060389</v>
      </c>
      <c r="D287" s="642">
        <v>4680115880801</v>
      </c>
      <c r="E287" s="643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65</v>
      </c>
      <c r="L287" s="32"/>
      <c r="M287" s="33" t="s">
        <v>66</v>
      </c>
      <c r="N287" s="33"/>
      <c r="O287" s="32">
        <v>40</v>
      </c>
      <c r="P287" s="7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40"/>
      <c r="R287" s="640"/>
      <c r="S287" s="640"/>
      <c r="T287" s="641"/>
      <c r="U287" s="34"/>
      <c r="V287" s="34"/>
      <c r="W287" s="35" t="s">
        <v>67</v>
      </c>
      <c r="X287" s="635">
        <v>0</v>
      </c>
      <c r="Y287" s="636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647"/>
      <c r="B288" s="648"/>
      <c r="C288" s="648"/>
      <c r="D288" s="648"/>
      <c r="E288" s="648"/>
      <c r="F288" s="648"/>
      <c r="G288" s="648"/>
      <c r="H288" s="648"/>
      <c r="I288" s="648"/>
      <c r="J288" s="648"/>
      <c r="K288" s="648"/>
      <c r="L288" s="648"/>
      <c r="M288" s="648"/>
      <c r="N288" s="648"/>
      <c r="O288" s="649"/>
      <c r="P288" s="653" t="s">
        <v>81</v>
      </c>
      <c r="Q288" s="654"/>
      <c r="R288" s="654"/>
      <c r="S288" s="654"/>
      <c r="T288" s="654"/>
      <c r="U288" s="654"/>
      <c r="V288" s="655"/>
      <c r="W288" s="37" t="s">
        <v>82</v>
      </c>
      <c r="X288" s="637">
        <f>IFERROR(X286/H286,"0")+IFERROR(X287/H287,"0")</f>
        <v>0</v>
      </c>
      <c r="Y288" s="637">
        <f>IFERROR(Y286/H286,"0")+IFERROR(Y287/H287,"0")</f>
        <v>0</v>
      </c>
      <c r="Z288" s="637">
        <f>IFERROR(IF(Z286="",0,Z286),"0")+IFERROR(IF(Z287="",0,Z287),"0")</f>
        <v>0</v>
      </c>
      <c r="AA288" s="638"/>
      <c r="AB288" s="638"/>
      <c r="AC288" s="638"/>
    </row>
    <row r="289" spans="1:68" hidden="1" x14ac:dyDescent="0.2">
      <c r="A289" s="648"/>
      <c r="B289" s="648"/>
      <c r="C289" s="648"/>
      <c r="D289" s="648"/>
      <c r="E289" s="648"/>
      <c r="F289" s="648"/>
      <c r="G289" s="648"/>
      <c r="H289" s="648"/>
      <c r="I289" s="648"/>
      <c r="J289" s="648"/>
      <c r="K289" s="648"/>
      <c r="L289" s="648"/>
      <c r="M289" s="648"/>
      <c r="N289" s="648"/>
      <c r="O289" s="649"/>
      <c r="P289" s="653" t="s">
        <v>81</v>
      </c>
      <c r="Q289" s="654"/>
      <c r="R289" s="654"/>
      <c r="S289" s="654"/>
      <c r="T289" s="654"/>
      <c r="U289" s="654"/>
      <c r="V289" s="655"/>
      <c r="W289" s="37" t="s">
        <v>67</v>
      </c>
      <c r="X289" s="637">
        <f>IFERROR(SUM(X286:X287),"0")</f>
        <v>0</v>
      </c>
      <c r="Y289" s="637">
        <f>IFERROR(SUM(Y286:Y287),"0")</f>
        <v>0</v>
      </c>
      <c r="Z289" s="37"/>
      <c r="AA289" s="638"/>
      <c r="AB289" s="638"/>
      <c r="AC289" s="638"/>
    </row>
    <row r="290" spans="1:68" ht="16.5" hidden="1" customHeight="1" x14ac:dyDescent="0.25">
      <c r="A290" s="652" t="s">
        <v>485</v>
      </c>
      <c r="B290" s="648"/>
      <c r="C290" s="648"/>
      <c r="D290" s="648"/>
      <c r="E290" s="648"/>
      <c r="F290" s="648"/>
      <c r="G290" s="648"/>
      <c r="H290" s="648"/>
      <c r="I290" s="648"/>
      <c r="J290" s="648"/>
      <c r="K290" s="648"/>
      <c r="L290" s="648"/>
      <c r="M290" s="648"/>
      <c r="N290" s="648"/>
      <c r="O290" s="648"/>
      <c r="P290" s="648"/>
      <c r="Q290" s="648"/>
      <c r="R290" s="648"/>
      <c r="S290" s="648"/>
      <c r="T290" s="648"/>
      <c r="U290" s="648"/>
      <c r="V290" s="648"/>
      <c r="W290" s="648"/>
      <c r="X290" s="648"/>
      <c r="Y290" s="648"/>
      <c r="Z290" s="648"/>
      <c r="AA290" s="630"/>
      <c r="AB290" s="630"/>
      <c r="AC290" s="630"/>
    </row>
    <row r="291" spans="1:68" ht="14.25" hidden="1" customHeight="1" x14ac:dyDescent="0.25">
      <c r="A291" s="658" t="s">
        <v>113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31"/>
      <c r="AB291" s="631"/>
      <c r="AC291" s="631"/>
    </row>
    <row r="292" spans="1:68" ht="27" hidden="1" customHeight="1" x14ac:dyDescent="0.25">
      <c r="A292" s="54" t="s">
        <v>486</v>
      </c>
      <c r="B292" s="54" t="s">
        <v>487</v>
      </c>
      <c r="C292" s="31">
        <v>4301011826</v>
      </c>
      <c r="D292" s="642">
        <v>4680115884137</v>
      </c>
      <c r="E292" s="643"/>
      <c r="F292" s="634">
        <v>1.45</v>
      </c>
      <c r="G292" s="32">
        <v>8</v>
      </c>
      <c r="H292" s="634">
        <v>11.6</v>
      </c>
      <c r="I292" s="634">
        <v>12.01</v>
      </c>
      <c r="J292" s="32">
        <v>64</v>
      </c>
      <c r="K292" s="32" t="s">
        <v>116</v>
      </c>
      <c r="L292" s="32"/>
      <c r="M292" s="33" t="s">
        <v>117</v>
      </c>
      <c r="N292" s="33"/>
      <c r="O292" s="32">
        <v>55</v>
      </c>
      <c r="P292" s="9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40"/>
      <c r="R292" s="640"/>
      <c r="S292" s="640"/>
      <c r="T292" s="641"/>
      <c r="U292" s="34"/>
      <c r="V292" s="34"/>
      <c r="W292" s="35" t="s">
        <v>67</v>
      </c>
      <c r="X292" s="635">
        <v>0</v>
      </c>
      <c r="Y292" s="636">
        <f t="shared" ref="Y292:Y298" si="41"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ref="BM292:BM298" si="42">IFERROR(X292*I292/H292,"0")</f>
        <v>0</v>
      </c>
      <c r="BN292" s="64">
        <f t="shared" ref="BN292:BN298" si="43">IFERROR(Y292*I292/H292,"0")</f>
        <v>0</v>
      </c>
      <c r="BO292" s="64">
        <f t="shared" ref="BO292:BO298" si="44">IFERROR(1/J292*(X292/H292),"0")</f>
        <v>0</v>
      </c>
      <c r="BP292" s="64">
        <f t="shared" ref="BP292:BP298" si="45">IFERROR(1/J292*(Y292/H292),"0")</f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4301011724</v>
      </c>
      <c r="D293" s="642">
        <v>4680115884236</v>
      </c>
      <c r="E293" s="643"/>
      <c r="F293" s="634">
        <v>1.45</v>
      </c>
      <c r="G293" s="32">
        <v>8</v>
      </c>
      <c r="H293" s="634">
        <v>11.6</v>
      </c>
      <c r="I293" s="634">
        <v>12.01</v>
      </c>
      <c r="J293" s="32">
        <v>64</v>
      </c>
      <c r="K293" s="32" t="s">
        <v>116</v>
      </c>
      <c r="L293" s="32"/>
      <c r="M293" s="33" t="s">
        <v>117</v>
      </c>
      <c r="N293" s="33"/>
      <c r="O293" s="32">
        <v>55</v>
      </c>
      <c r="P293" s="9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40"/>
      <c r="R293" s="640"/>
      <c r="S293" s="640"/>
      <c r="T293" s="641"/>
      <c r="U293" s="34"/>
      <c r="V293" s="34"/>
      <c r="W293" s="35" t="s">
        <v>67</v>
      </c>
      <c r="X293" s="635">
        <v>0</v>
      </c>
      <c r="Y293" s="636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491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492</v>
      </c>
      <c r="B294" s="54" t="s">
        <v>493</v>
      </c>
      <c r="C294" s="31">
        <v>4301011721</v>
      </c>
      <c r="D294" s="642">
        <v>4680115884175</v>
      </c>
      <c r="E294" s="643"/>
      <c r="F294" s="634">
        <v>1.45</v>
      </c>
      <c r="G294" s="32">
        <v>8</v>
      </c>
      <c r="H294" s="634">
        <v>11.6</v>
      </c>
      <c r="I294" s="634">
        <v>12.01</v>
      </c>
      <c r="J294" s="32">
        <v>64</v>
      </c>
      <c r="K294" s="32" t="s">
        <v>116</v>
      </c>
      <c r="L294" s="32"/>
      <c r="M294" s="33" t="s">
        <v>117</v>
      </c>
      <c r="N294" s="33"/>
      <c r="O294" s="32">
        <v>55</v>
      </c>
      <c r="P294" s="9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40"/>
      <c r="R294" s="640"/>
      <c r="S294" s="640"/>
      <c r="T294" s="641"/>
      <c r="U294" s="34"/>
      <c r="V294" s="34"/>
      <c r="W294" s="35" t="s">
        <v>67</v>
      </c>
      <c r="X294" s="635">
        <v>0</v>
      </c>
      <c r="Y294" s="636">
        <f t="shared" si="41"/>
        <v>0</v>
      </c>
      <c r="Z294" s="36" t="str">
        <f>IFERROR(IF(Y294=0,"",ROUNDUP(Y294/H294,0)*0.01898),"")</f>
        <v/>
      </c>
      <c r="AA294" s="56"/>
      <c r="AB294" s="57"/>
      <c r="AC294" s="367" t="s">
        <v>347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494</v>
      </c>
      <c r="B295" s="54" t="s">
        <v>495</v>
      </c>
      <c r="C295" s="31">
        <v>4301011824</v>
      </c>
      <c r="D295" s="642">
        <v>4680115884144</v>
      </c>
      <c r="E295" s="643"/>
      <c r="F295" s="634">
        <v>0.4</v>
      </c>
      <c r="G295" s="32">
        <v>10</v>
      </c>
      <c r="H295" s="634">
        <v>4</v>
      </c>
      <c r="I295" s="634">
        <v>4.1900000000000004</v>
      </c>
      <c r="J295" s="32">
        <v>132</v>
      </c>
      <c r="K295" s="32" t="s">
        <v>126</v>
      </c>
      <c r="L295" s="32"/>
      <c r="M295" s="33" t="s">
        <v>117</v>
      </c>
      <c r="N295" s="33"/>
      <c r="O295" s="32">
        <v>55</v>
      </c>
      <c r="P295" s="93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5">
        <v>0</v>
      </c>
      <c r="Y295" s="636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488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4301012149</v>
      </c>
      <c r="D296" s="642">
        <v>4680115886551</v>
      </c>
      <c r="E296" s="643"/>
      <c r="F296" s="634">
        <v>0.4</v>
      </c>
      <c r="G296" s="32">
        <v>10</v>
      </c>
      <c r="H296" s="634">
        <v>4</v>
      </c>
      <c r="I296" s="634">
        <v>4.1900000000000004</v>
      </c>
      <c r="J296" s="32">
        <v>132</v>
      </c>
      <c r="K296" s="32" t="s">
        <v>126</v>
      </c>
      <c r="L296" s="32"/>
      <c r="M296" s="33" t="s">
        <v>117</v>
      </c>
      <c r="N296" s="33"/>
      <c r="O296" s="32">
        <v>55</v>
      </c>
      <c r="P296" s="8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5">
        <v>0</v>
      </c>
      <c r="Y296" s="636">
        <f t="shared" si="41"/>
        <v>0</v>
      </c>
      <c r="Z296" s="36" t="str">
        <f>IFERROR(IF(Y296=0,"",ROUNDUP(Y296/H296,0)*0.00902),"")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499</v>
      </c>
      <c r="B297" s="54" t="s">
        <v>500</v>
      </c>
      <c r="C297" s="31">
        <v>4301012228</v>
      </c>
      <c r="D297" s="642">
        <v>4680115887282</v>
      </c>
      <c r="E297" s="643"/>
      <c r="F297" s="634">
        <v>0.4</v>
      </c>
      <c r="G297" s="32">
        <v>6</v>
      </c>
      <c r="H297" s="634">
        <v>2.4</v>
      </c>
      <c r="I297" s="634">
        <v>2.58</v>
      </c>
      <c r="J297" s="32">
        <v>182</v>
      </c>
      <c r="K297" s="32" t="s">
        <v>65</v>
      </c>
      <c r="L297" s="32"/>
      <c r="M297" s="33" t="s">
        <v>117</v>
      </c>
      <c r="N297" s="33"/>
      <c r="O297" s="32">
        <v>55</v>
      </c>
      <c r="P297" s="9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5">
        <v>0</v>
      </c>
      <c r="Y297" s="636">
        <f t="shared" si="41"/>
        <v>0</v>
      </c>
      <c r="Z297" s="36" t="str">
        <f>IFERROR(IF(Y297=0,"",ROUNDUP(Y297/H297,0)*0.00651),"")</f>
        <v/>
      </c>
      <c r="AA297" s="56"/>
      <c r="AB297" s="57"/>
      <c r="AC297" s="373" t="s">
        <v>501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customHeight="1" x14ac:dyDescent="0.25">
      <c r="A298" s="54" t="s">
        <v>502</v>
      </c>
      <c r="B298" s="54" t="s">
        <v>503</v>
      </c>
      <c r="C298" s="31">
        <v>4301011722</v>
      </c>
      <c r="D298" s="642">
        <v>4680115884205</v>
      </c>
      <c r="E298" s="643"/>
      <c r="F298" s="634">
        <v>0.4</v>
      </c>
      <c r="G298" s="32">
        <v>10</v>
      </c>
      <c r="H298" s="634">
        <v>4</v>
      </c>
      <c r="I298" s="634">
        <v>4.1900000000000004</v>
      </c>
      <c r="J298" s="32">
        <v>132</v>
      </c>
      <c r="K298" s="32" t="s">
        <v>126</v>
      </c>
      <c r="L298" s="32"/>
      <c r="M298" s="33" t="s">
        <v>117</v>
      </c>
      <c r="N298" s="33"/>
      <c r="O298" s="32">
        <v>55</v>
      </c>
      <c r="P298" s="9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5">
        <v>8</v>
      </c>
      <c r="Y298" s="636">
        <f t="shared" si="41"/>
        <v>8</v>
      </c>
      <c r="Z298" s="36">
        <f>IFERROR(IF(Y298=0,"",ROUNDUP(Y298/H298,0)*0.00902),"")</f>
        <v>1.804E-2</v>
      </c>
      <c r="AA298" s="56"/>
      <c r="AB298" s="57"/>
      <c r="AC298" s="375" t="s">
        <v>347</v>
      </c>
      <c r="AG298" s="64"/>
      <c r="AJ298" s="68"/>
      <c r="AK298" s="68">
        <v>0</v>
      </c>
      <c r="BB298" s="376" t="s">
        <v>1</v>
      </c>
      <c r="BM298" s="64">
        <f t="shared" si="42"/>
        <v>8.3800000000000008</v>
      </c>
      <c r="BN298" s="64">
        <f t="shared" si="43"/>
        <v>8.3800000000000008</v>
      </c>
      <c r="BO298" s="64">
        <f t="shared" si="44"/>
        <v>1.5151515151515152E-2</v>
      </c>
      <c r="BP298" s="64">
        <f t="shared" si="45"/>
        <v>1.5151515151515152E-2</v>
      </c>
    </row>
    <row r="299" spans="1:68" x14ac:dyDescent="0.2">
      <c r="A299" s="647"/>
      <c r="B299" s="648"/>
      <c r="C299" s="648"/>
      <c r="D299" s="648"/>
      <c r="E299" s="648"/>
      <c r="F299" s="648"/>
      <c r="G299" s="648"/>
      <c r="H299" s="648"/>
      <c r="I299" s="648"/>
      <c r="J299" s="648"/>
      <c r="K299" s="648"/>
      <c r="L299" s="648"/>
      <c r="M299" s="648"/>
      <c r="N299" s="648"/>
      <c r="O299" s="649"/>
      <c r="P299" s="653" t="s">
        <v>81</v>
      </c>
      <c r="Q299" s="654"/>
      <c r="R299" s="654"/>
      <c r="S299" s="654"/>
      <c r="T299" s="654"/>
      <c r="U299" s="654"/>
      <c r="V299" s="655"/>
      <c r="W299" s="37" t="s">
        <v>82</v>
      </c>
      <c r="X299" s="637">
        <f>IFERROR(X292/H292,"0")+IFERROR(X293/H293,"0")+IFERROR(X294/H294,"0")+IFERROR(X295/H295,"0")+IFERROR(X296/H296,"0")+IFERROR(X297/H297,"0")+IFERROR(X298/H298,"0")</f>
        <v>2</v>
      </c>
      <c r="Y299" s="637">
        <f>IFERROR(Y292/H292,"0")+IFERROR(Y293/H293,"0")+IFERROR(Y294/H294,"0")+IFERROR(Y295/H295,"0")+IFERROR(Y296/H296,"0")+IFERROR(Y297/H297,"0")+IFERROR(Y298/H298,"0")</f>
        <v>2</v>
      </c>
      <c r="Z299" s="637">
        <f>IFERROR(IF(Z292="",0,Z292),"0")+IFERROR(IF(Z293="",0,Z293),"0")+IFERROR(IF(Z294="",0,Z294),"0")+IFERROR(IF(Z295="",0,Z295),"0")+IFERROR(IF(Z296="",0,Z296),"0")+IFERROR(IF(Z297="",0,Z297),"0")+IFERROR(IF(Z298="",0,Z298),"0")</f>
        <v>1.804E-2</v>
      </c>
      <c r="AA299" s="638"/>
      <c r="AB299" s="638"/>
      <c r="AC299" s="638"/>
    </row>
    <row r="300" spans="1:68" x14ac:dyDescent="0.2">
      <c r="A300" s="648"/>
      <c r="B300" s="648"/>
      <c r="C300" s="648"/>
      <c r="D300" s="648"/>
      <c r="E300" s="648"/>
      <c r="F300" s="648"/>
      <c r="G300" s="648"/>
      <c r="H300" s="648"/>
      <c r="I300" s="648"/>
      <c r="J300" s="648"/>
      <c r="K300" s="648"/>
      <c r="L300" s="648"/>
      <c r="M300" s="648"/>
      <c r="N300" s="648"/>
      <c r="O300" s="649"/>
      <c r="P300" s="653" t="s">
        <v>81</v>
      </c>
      <c r="Q300" s="654"/>
      <c r="R300" s="654"/>
      <c r="S300" s="654"/>
      <c r="T300" s="654"/>
      <c r="U300" s="654"/>
      <c r="V300" s="655"/>
      <c r="W300" s="37" t="s">
        <v>67</v>
      </c>
      <c r="X300" s="637">
        <f>IFERROR(SUM(X292:X298),"0")</f>
        <v>8</v>
      </c>
      <c r="Y300" s="637">
        <f>IFERROR(SUM(Y292:Y298),"0")</f>
        <v>8</v>
      </c>
      <c r="Z300" s="37"/>
      <c r="AA300" s="638"/>
      <c r="AB300" s="638"/>
      <c r="AC300" s="638"/>
    </row>
    <row r="301" spans="1:68" ht="14.25" hidden="1" customHeight="1" x14ac:dyDescent="0.25">
      <c r="A301" s="658" t="s">
        <v>150</v>
      </c>
      <c r="B301" s="648"/>
      <c r="C301" s="648"/>
      <c r="D301" s="648"/>
      <c r="E301" s="648"/>
      <c r="F301" s="648"/>
      <c r="G301" s="648"/>
      <c r="H301" s="648"/>
      <c r="I301" s="648"/>
      <c r="J301" s="648"/>
      <c r="K301" s="648"/>
      <c r="L301" s="648"/>
      <c r="M301" s="648"/>
      <c r="N301" s="648"/>
      <c r="O301" s="648"/>
      <c r="P301" s="648"/>
      <c r="Q301" s="648"/>
      <c r="R301" s="648"/>
      <c r="S301" s="648"/>
      <c r="T301" s="648"/>
      <c r="U301" s="648"/>
      <c r="V301" s="648"/>
      <c r="W301" s="648"/>
      <c r="X301" s="648"/>
      <c r="Y301" s="648"/>
      <c r="Z301" s="648"/>
      <c r="AA301" s="631"/>
      <c r="AB301" s="631"/>
      <c r="AC301" s="631"/>
    </row>
    <row r="302" spans="1:68" ht="27" hidden="1" customHeight="1" x14ac:dyDescent="0.25">
      <c r="A302" s="54" t="s">
        <v>504</v>
      </c>
      <c r="B302" s="54" t="s">
        <v>505</v>
      </c>
      <c r="C302" s="31">
        <v>4301020377</v>
      </c>
      <c r="D302" s="642">
        <v>4680115885981</v>
      </c>
      <c r="E302" s="643"/>
      <c r="F302" s="634">
        <v>0.33</v>
      </c>
      <c r="G302" s="32">
        <v>6</v>
      </c>
      <c r="H302" s="634">
        <v>1.98</v>
      </c>
      <c r="I302" s="634">
        <v>2.08</v>
      </c>
      <c r="J302" s="32">
        <v>234</v>
      </c>
      <c r="K302" s="32" t="s">
        <v>223</v>
      </c>
      <c r="L302" s="32"/>
      <c r="M302" s="33" t="s">
        <v>66</v>
      </c>
      <c r="N302" s="33"/>
      <c r="O302" s="32">
        <v>50</v>
      </c>
      <c r="P302" s="65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40"/>
      <c r="R302" s="640"/>
      <c r="S302" s="640"/>
      <c r="T302" s="641"/>
      <c r="U302" s="34"/>
      <c r="V302" s="34"/>
      <c r="W302" s="35" t="s">
        <v>67</v>
      </c>
      <c r="X302" s="635">
        <v>0</v>
      </c>
      <c r="Y302" s="636">
        <f>IFERROR(IF(X302="",0,CEILING((X302/$H302),1)*$H302),"")</f>
        <v>0</v>
      </c>
      <c r="Z302" s="36" t="str">
        <f>IFERROR(IF(Y302=0,"",ROUNDUP(Y302/H302,0)*0.00502),"")</f>
        <v/>
      </c>
      <c r="AA302" s="56"/>
      <c r="AB302" s="57"/>
      <c r="AC302" s="377" t="s">
        <v>506</v>
      </c>
      <c r="AG302" s="64"/>
      <c r="AJ302" s="68"/>
      <c r="AK302" s="68">
        <v>0</v>
      </c>
      <c r="BB302" s="37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47"/>
      <c r="B303" s="648"/>
      <c r="C303" s="648"/>
      <c r="D303" s="648"/>
      <c r="E303" s="648"/>
      <c r="F303" s="648"/>
      <c r="G303" s="648"/>
      <c r="H303" s="648"/>
      <c r="I303" s="648"/>
      <c r="J303" s="648"/>
      <c r="K303" s="648"/>
      <c r="L303" s="648"/>
      <c r="M303" s="648"/>
      <c r="N303" s="648"/>
      <c r="O303" s="649"/>
      <c r="P303" s="653" t="s">
        <v>81</v>
      </c>
      <c r="Q303" s="654"/>
      <c r="R303" s="654"/>
      <c r="S303" s="654"/>
      <c r="T303" s="654"/>
      <c r="U303" s="654"/>
      <c r="V303" s="655"/>
      <c r="W303" s="37" t="s">
        <v>82</v>
      </c>
      <c r="X303" s="637">
        <f>IFERROR(X302/H302,"0")</f>
        <v>0</v>
      </c>
      <c r="Y303" s="637">
        <f>IFERROR(Y302/H302,"0")</f>
        <v>0</v>
      </c>
      <c r="Z303" s="637">
        <f>IFERROR(IF(Z302="",0,Z302),"0")</f>
        <v>0</v>
      </c>
      <c r="AA303" s="638"/>
      <c r="AB303" s="638"/>
      <c r="AC303" s="638"/>
    </row>
    <row r="304" spans="1:68" hidden="1" x14ac:dyDescent="0.2">
      <c r="A304" s="648"/>
      <c r="B304" s="648"/>
      <c r="C304" s="648"/>
      <c r="D304" s="648"/>
      <c r="E304" s="648"/>
      <c r="F304" s="648"/>
      <c r="G304" s="648"/>
      <c r="H304" s="648"/>
      <c r="I304" s="648"/>
      <c r="J304" s="648"/>
      <c r="K304" s="648"/>
      <c r="L304" s="648"/>
      <c r="M304" s="648"/>
      <c r="N304" s="648"/>
      <c r="O304" s="649"/>
      <c r="P304" s="653" t="s">
        <v>81</v>
      </c>
      <c r="Q304" s="654"/>
      <c r="R304" s="654"/>
      <c r="S304" s="654"/>
      <c r="T304" s="654"/>
      <c r="U304" s="654"/>
      <c r="V304" s="655"/>
      <c r="W304" s="37" t="s">
        <v>67</v>
      </c>
      <c r="X304" s="637">
        <f>IFERROR(SUM(X302:X302),"0")</f>
        <v>0</v>
      </c>
      <c r="Y304" s="637">
        <f>IFERROR(SUM(Y302:Y302),"0")</f>
        <v>0</v>
      </c>
      <c r="Z304" s="37"/>
      <c r="AA304" s="638"/>
      <c r="AB304" s="638"/>
      <c r="AC304" s="638"/>
    </row>
    <row r="305" spans="1:68" ht="14.25" hidden="1" customHeight="1" x14ac:dyDescent="0.25">
      <c r="A305" s="658" t="s">
        <v>507</v>
      </c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8"/>
      <c r="P305" s="648"/>
      <c r="Q305" s="648"/>
      <c r="R305" s="648"/>
      <c r="S305" s="648"/>
      <c r="T305" s="648"/>
      <c r="U305" s="648"/>
      <c r="V305" s="648"/>
      <c r="W305" s="648"/>
      <c r="X305" s="648"/>
      <c r="Y305" s="648"/>
      <c r="Z305" s="648"/>
      <c r="AA305" s="631"/>
      <c r="AB305" s="631"/>
      <c r="AC305" s="631"/>
    </row>
    <row r="306" spans="1:68" ht="27" customHeight="1" x14ac:dyDescent="0.25">
      <c r="A306" s="54" t="s">
        <v>508</v>
      </c>
      <c r="B306" s="54" t="s">
        <v>509</v>
      </c>
      <c r="C306" s="31">
        <v>4301040362</v>
      </c>
      <c r="D306" s="642">
        <v>4680115886803</v>
      </c>
      <c r="E306" s="643"/>
      <c r="F306" s="634">
        <v>0.12</v>
      </c>
      <c r="G306" s="32">
        <v>15</v>
      </c>
      <c r="H306" s="634">
        <v>1.8</v>
      </c>
      <c r="I306" s="634">
        <v>1.9750000000000001</v>
      </c>
      <c r="J306" s="32">
        <v>216</v>
      </c>
      <c r="K306" s="32" t="s">
        <v>323</v>
      </c>
      <c r="L306" s="32"/>
      <c r="M306" s="33" t="s">
        <v>87</v>
      </c>
      <c r="N306" s="33"/>
      <c r="O306" s="32">
        <v>45</v>
      </c>
      <c r="P306" s="85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40"/>
      <c r="R306" s="640"/>
      <c r="S306" s="640"/>
      <c r="T306" s="641"/>
      <c r="U306" s="34"/>
      <c r="V306" s="34"/>
      <c r="W306" s="35" t="s">
        <v>67</v>
      </c>
      <c r="X306" s="635">
        <v>5</v>
      </c>
      <c r="Y306" s="636">
        <f>IFERROR(IF(X306="",0,CEILING((X306/$H306),1)*$H306),"")</f>
        <v>5.4</v>
      </c>
      <c r="Z306" s="36">
        <f>IFERROR(IF(Y306=0,"",ROUNDUP(Y306/H306,0)*0.0059),"")</f>
        <v>1.77E-2</v>
      </c>
      <c r="AA306" s="56"/>
      <c r="AB306" s="57"/>
      <c r="AC306" s="379" t="s">
        <v>510</v>
      </c>
      <c r="AG306" s="64"/>
      <c r="AJ306" s="68"/>
      <c r="AK306" s="68">
        <v>0</v>
      </c>
      <c r="BB306" s="380" t="s">
        <v>1</v>
      </c>
      <c r="BM306" s="64">
        <f>IFERROR(X306*I306/H306,"0")</f>
        <v>5.4861111111111107</v>
      </c>
      <c r="BN306" s="64">
        <f>IFERROR(Y306*I306/H306,"0")</f>
        <v>5.9250000000000007</v>
      </c>
      <c r="BO306" s="64">
        <f>IFERROR(1/J306*(X306/H306),"0")</f>
        <v>1.2860082304526748E-2</v>
      </c>
      <c r="BP306" s="64">
        <f>IFERROR(1/J306*(Y306/H306),"0")</f>
        <v>1.3888888888888888E-2</v>
      </c>
    </row>
    <row r="307" spans="1:68" x14ac:dyDescent="0.2">
      <c r="A307" s="647"/>
      <c r="B307" s="648"/>
      <c r="C307" s="648"/>
      <c r="D307" s="648"/>
      <c r="E307" s="648"/>
      <c r="F307" s="648"/>
      <c r="G307" s="648"/>
      <c r="H307" s="648"/>
      <c r="I307" s="648"/>
      <c r="J307" s="648"/>
      <c r="K307" s="648"/>
      <c r="L307" s="648"/>
      <c r="M307" s="648"/>
      <c r="N307" s="648"/>
      <c r="O307" s="649"/>
      <c r="P307" s="653" t="s">
        <v>81</v>
      </c>
      <c r="Q307" s="654"/>
      <c r="R307" s="654"/>
      <c r="S307" s="654"/>
      <c r="T307" s="654"/>
      <c r="U307" s="654"/>
      <c r="V307" s="655"/>
      <c r="W307" s="37" t="s">
        <v>82</v>
      </c>
      <c r="X307" s="637">
        <f>IFERROR(X306/H306,"0")</f>
        <v>2.7777777777777777</v>
      </c>
      <c r="Y307" s="637">
        <f>IFERROR(Y306/H306,"0")</f>
        <v>3</v>
      </c>
      <c r="Z307" s="637">
        <f>IFERROR(IF(Z306="",0,Z306),"0")</f>
        <v>1.77E-2</v>
      </c>
      <c r="AA307" s="638"/>
      <c r="AB307" s="638"/>
      <c r="AC307" s="638"/>
    </row>
    <row r="308" spans="1:68" x14ac:dyDescent="0.2">
      <c r="A308" s="648"/>
      <c r="B308" s="648"/>
      <c r="C308" s="648"/>
      <c r="D308" s="648"/>
      <c r="E308" s="648"/>
      <c r="F308" s="648"/>
      <c r="G308" s="648"/>
      <c r="H308" s="648"/>
      <c r="I308" s="648"/>
      <c r="J308" s="648"/>
      <c r="K308" s="648"/>
      <c r="L308" s="648"/>
      <c r="M308" s="648"/>
      <c r="N308" s="648"/>
      <c r="O308" s="649"/>
      <c r="P308" s="653" t="s">
        <v>81</v>
      </c>
      <c r="Q308" s="654"/>
      <c r="R308" s="654"/>
      <c r="S308" s="654"/>
      <c r="T308" s="654"/>
      <c r="U308" s="654"/>
      <c r="V308" s="655"/>
      <c r="W308" s="37" t="s">
        <v>67</v>
      </c>
      <c r="X308" s="637">
        <f>IFERROR(SUM(X306:X306),"0")</f>
        <v>5</v>
      </c>
      <c r="Y308" s="637">
        <f>IFERROR(SUM(Y306:Y306),"0")</f>
        <v>5.4</v>
      </c>
      <c r="Z308" s="37"/>
      <c r="AA308" s="638"/>
      <c r="AB308" s="638"/>
      <c r="AC308" s="638"/>
    </row>
    <row r="309" spans="1:68" ht="14.25" hidden="1" customHeight="1" x14ac:dyDescent="0.25">
      <c r="A309" s="658" t="s">
        <v>325</v>
      </c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8"/>
      <c r="P309" s="648"/>
      <c r="Q309" s="648"/>
      <c r="R309" s="648"/>
      <c r="S309" s="648"/>
      <c r="T309" s="648"/>
      <c r="U309" s="648"/>
      <c r="V309" s="648"/>
      <c r="W309" s="648"/>
      <c r="X309" s="648"/>
      <c r="Y309" s="648"/>
      <c r="Z309" s="648"/>
      <c r="AA309" s="631"/>
      <c r="AB309" s="631"/>
      <c r="AC309" s="631"/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42">
        <v>4680115886681</v>
      </c>
      <c r="E310" s="643"/>
      <c r="F310" s="634">
        <v>0.12</v>
      </c>
      <c r="G310" s="32">
        <v>15</v>
      </c>
      <c r="H310" s="634">
        <v>1.8</v>
      </c>
      <c r="I310" s="634">
        <v>1.9750000000000001</v>
      </c>
      <c r="J310" s="32">
        <v>216</v>
      </c>
      <c r="K310" s="32" t="s">
        <v>323</v>
      </c>
      <c r="L310" s="32"/>
      <c r="M310" s="33" t="s">
        <v>87</v>
      </c>
      <c r="N310" s="33"/>
      <c r="O310" s="32">
        <v>90</v>
      </c>
      <c r="P310" s="81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40"/>
      <c r="R310" s="640"/>
      <c r="S310" s="640"/>
      <c r="T310" s="641"/>
      <c r="U310" s="34"/>
      <c r="V310" s="34"/>
      <c r="W310" s="35" t="s">
        <v>67</v>
      </c>
      <c r="X310" s="635">
        <v>0</v>
      </c>
      <c r="Y310" s="63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513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514</v>
      </c>
      <c r="B311" s="54" t="s">
        <v>515</v>
      </c>
      <c r="C311" s="31">
        <v>4301041007</v>
      </c>
      <c r="D311" s="642">
        <v>4680115886735</v>
      </c>
      <c r="E311" s="643"/>
      <c r="F311" s="634">
        <v>0.05</v>
      </c>
      <c r="G311" s="32">
        <v>18</v>
      </c>
      <c r="H311" s="634">
        <v>0.9</v>
      </c>
      <c r="I311" s="634">
        <v>1.0900000000000001</v>
      </c>
      <c r="J311" s="32">
        <v>216</v>
      </c>
      <c r="K311" s="32" t="s">
        <v>323</v>
      </c>
      <c r="L311" s="32"/>
      <c r="M311" s="33" t="s">
        <v>87</v>
      </c>
      <c r="N311" s="33"/>
      <c r="O311" s="32">
        <v>90</v>
      </c>
      <c r="P311" s="81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40"/>
      <c r="R311" s="640"/>
      <c r="S311" s="640"/>
      <c r="T311" s="641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513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516</v>
      </c>
      <c r="B312" s="54" t="s">
        <v>517</v>
      </c>
      <c r="C312" s="31">
        <v>4301041006</v>
      </c>
      <c r="D312" s="642">
        <v>4680115886728</v>
      </c>
      <c r="E312" s="643"/>
      <c r="F312" s="634">
        <v>5.5E-2</v>
      </c>
      <c r="G312" s="32">
        <v>18</v>
      </c>
      <c r="H312" s="634">
        <v>0.99</v>
      </c>
      <c r="I312" s="634">
        <v>1.18</v>
      </c>
      <c r="J312" s="32">
        <v>216</v>
      </c>
      <c r="K312" s="32" t="s">
        <v>323</v>
      </c>
      <c r="L312" s="32"/>
      <c r="M312" s="33" t="s">
        <v>87</v>
      </c>
      <c r="N312" s="33"/>
      <c r="O312" s="32">
        <v>90</v>
      </c>
      <c r="P312" s="76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40"/>
      <c r="R312" s="640"/>
      <c r="S312" s="640"/>
      <c r="T312" s="641"/>
      <c r="U312" s="34"/>
      <c r="V312" s="34"/>
      <c r="W312" s="35" t="s">
        <v>67</v>
      </c>
      <c r="X312" s="635">
        <v>0</v>
      </c>
      <c r="Y312" s="636">
        <f>IFERROR(IF(X312="",0,CEILING((X312/$H312),1)*$H312),"")</f>
        <v>0</v>
      </c>
      <c r="Z312" s="36" t="str">
        <f>IFERROR(IF(Y312=0,"",ROUNDUP(Y312/H312,0)*0.0059),"")</f>
        <v/>
      </c>
      <c r="AA312" s="56"/>
      <c r="AB312" s="57"/>
      <c r="AC312" s="385" t="s">
        <v>513</v>
      </c>
      <c r="AG312" s="64"/>
      <c r="AJ312" s="68"/>
      <c r="AK312" s="68">
        <v>0</v>
      </c>
      <c r="BB312" s="38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518</v>
      </c>
      <c r="B313" s="54" t="s">
        <v>519</v>
      </c>
      <c r="C313" s="31">
        <v>4301041005</v>
      </c>
      <c r="D313" s="642">
        <v>4680115886711</v>
      </c>
      <c r="E313" s="643"/>
      <c r="F313" s="634">
        <v>5.5E-2</v>
      </c>
      <c r="G313" s="32">
        <v>18</v>
      </c>
      <c r="H313" s="634">
        <v>0.99</v>
      </c>
      <c r="I313" s="634">
        <v>1.18</v>
      </c>
      <c r="J313" s="32">
        <v>216</v>
      </c>
      <c r="K313" s="32" t="s">
        <v>323</v>
      </c>
      <c r="L313" s="32"/>
      <c r="M313" s="33" t="s">
        <v>87</v>
      </c>
      <c r="N313" s="33"/>
      <c r="O313" s="32">
        <v>90</v>
      </c>
      <c r="P313" s="100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5">
        <v>0</v>
      </c>
      <c r="Y313" s="636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7" t="s">
        <v>513</v>
      </c>
      <c r="AG313" s="64"/>
      <c r="AJ313" s="68"/>
      <c r="AK313" s="68">
        <v>0</v>
      </c>
      <c r="BB313" s="38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47"/>
      <c r="B314" s="648"/>
      <c r="C314" s="648"/>
      <c r="D314" s="648"/>
      <c r="E314" s="648"/>
      <c r="F314" s="648"/>
      <c r="G314" s="648"/>
      <c r="H314" s="648"/>
      <c r="I314" s="648"/>
      <c r="J314" s="648"/>
      <c r="K314" s="648"/>
      <c r="L314" s="648"/>
      <c r="M314" s="648"/>
      <c r="N314" s="648"/>
      <c r="O314" s="649"/>
      <c r="P314" s="653" t="s">
        <v>81</v>
      </c>
      <c r="Q314" s="654"/>
      <c r="R314" s="654"/>
      <c r="S314" s="654"/>
      <c r="T314" s="654"/>
      <c r="U314" s="654"/>
      <c r="V314" s="655"/>
      <c r="W314" s="37" t="s">
        <v>82</v>
      </c>
      <c r="X314" s="637">
        <f>IFERROR(X310/H310,"0")+IFERROR(X311/H311,"0")+IFERROR(X312/H312,"0")+IFERROR(X313/H313,"0")</f>
        <v>0</v>
      </c>
      <c r="Y314" s="637">
        <f>IFERROR(Y310/H310,"0")+IFERROR(Y311/H311,"0")+IFERROR(Y312/H312,"0")+IFERROR(Y313/H313,"0")</f>
        <v>0</v>
      </c>
      <c r="Z314" s="637">
        <f>IFERROR(IF(Z310="",0,Z310),"0")+IFERROR(IF(Z311="",0,Z311),"0")+IFERROR(IF(Z312="",0,Z312),"0")+IFERROR(IF(Z313="",0,Z313),"0")</f>
        <v>0</v>
      </c>
      <c r="AA314" s="638"/>
      <c r="AB314" s="638"/>
      <c r="AC314" s="638"/>
    </row>
    <row r="315" spans="1:68" hidden="1" x14ac:dyDescent="0.2">
      <c r="A315" s="648"/>
      <c r="B315" s="648"/>
      <c r="C315" s="648"/>
      <c r="D315" s="648"/>
      <c r="E315" s="648"/>
      <c r="F315" s="648"/>
      <c r="G315" s="648"/>
      <c r="H315" s="648"/>
      <c r="I315" s="648"/>
      <c r="J315" s="648"/>
      <c r="K315" s="648"/>
      <c r="L315" s="648"/>
      <c r="M315" s="648"/>
      <c r="N315" s="648"/>
      <c r="O315" s="649"/>
      <c r="P315" s="653" t="s">
        <v>81</v>
      </c>
      <c r="Q315" s="654"/>
      <c r="R315" s="654"/>
      <c r="S315" s="654"/>
      <c r="T315" s="654"/>
      <c r="U315" s="654"/>
      <c r="V315" s="655"/>
      <c r="W315" s="37" t="s">
        <v>67</v>
      </c>
      <c r="X315" s="637">
        <f>IFERROR(SUM(X310:X313),"0")</f>
        <v>0</v>
      </c>
      <c r="Y315" s="637">
        <f>IFERROR(SUM(Y310:Y313),"0")</f>
        <v>0</v>
      </c>
      <c r="Z315" s="37"/>
      <c r="AA315" s="638"/>
      <c r="AB315" s="638"/>
      <c r="AC315" s="638"/>
    </row>
    <row r="316" spans="1:68" ht="16.5" hidden="1" customHeight="1" x14ac:dyDescent="0.25">
      <c r="A316" s="652" t="s">
        <v>520</v>
      </c>
      <c r="B316" s="648"/>
      <c r="C316" s="648"/>
      <c r="D316" s="648"/>
      <c r="E316" s="648"/>
      <c r="F316" s="648"/>
      <c r="G316" s="648"/>
      <c r="H316" s="648"/>
      <c r="I316" s="648"/>
      <c r="J316" s="648"/>
      <c r="K316" s="648"/>
      <c r="L316" s="648"/>
      <c r="M316" s="648"/>
      <c r="N316" s="648"/>
      <c r="O316" s="648"/>
      <c r="P316" s="648"/>
      <c r="Q316" s="648"/>
      <c r="R316" s="648"/>
      <c r="S316" s="648"/>
      <c r="T316" s="648"/>
      <c r="U316" s="648"/>
      <c r="V316" s="648"/>
      <c r="W316" s="648"/>
      <c r="X316" s="648"/>
      <c r="Y316" s="648"/>
      <c r="Z316" s="648"/>
      <c r="AA316" s="630"/>
      <c r="AB316" s="630"/>
      <c r="AC316" s="630"/>
    </row>
    <row r="317" spans="1:68" ht="14.25" hidden="1" customHeight="1" x14ac:dyDescent="0.25">
      <c r="A317" s="658" t="s">
        <v>113</v>
      </c>
      <c r="B317" s="648"/>
      <c r="C317" s="648"/>
      <c r="D317" s="648"/>
      <c r="E317" s="648"/>
      <c r="F317" s="648"/>
      <c r="G317" s="648"/>
      <c r="H317" s="648"/>
      <c r="I317" s="648"/>
      <c r="J317" s="648"/>
      <c r="K317" s="648"/>
      <c r="L317" s="648"/>
      <c r="M317" s="648"/>
      <c r="N317" s="648"/>
      <c r="O317" s="648"/>
      <c r="P317" s="648"/>
      <c r="Q317" s="648"/>
      <c r="R317" s="648"/>
      <c r="S317" s="648"/>
      <c r="T317" s="648"/>
      <c r="U317" s="648"/>
      <c r="V317" s="648"/>
      <c r="W317" s="648"/>
      <c r="X317" s="648"/>
      <c r="Y317" s="648"/>
      <c r="Z317" s="648"/>
      <c r="AA317" s="631"/>
      <c r="AB317" s="631"/>
      <c r="AC317" s="631"/>
    </row>
    <row r="318" spans="1:68" ht="27" hidden="1" customHeight="1" x14ac:dyDescent="0.25">
      <c r="A318" s="54" t="s">
        <v>521</v>
      </c>
      <c r="B318" s="54" t="s">
        <v>522</v>
      </c>
      <c r="C318" s="31">
        <v>4301012362</v>
      </c>
      <c r="D318" s="642">
        <v>4680115889507</v>
      </c>
      <c r="E318" s="643"/>
      <c r="F318" s="634">
        <v>1.35</v>
      </c>
      <c r="G318" s="32">
        <v>8</v>
      </c>
      <c r="H318" s="634">
        <v>10.8</v>
      </c>
      <c r="I318" s="634">
        <v>11.21</v>
      </c>
      <c r="J318" s="32">
        <v>64</v>
      </c>
      <c r="K318" s="32" t="s">
        <v>116</v>
      </c>
      <c r="L318" s="32"/>
      <c r="M318" s="33" t="s">
        <v>117</v>
      </c>
      <c r="N318" s="33"/>
      <c r="O318" s="32">
        <v>55</v>
      </c>
      <c r="P318" s="883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40"/>
      <c r="R318" s="640"/>
      <c r="S318" s="640"/>
      <c r="T318" s="641"/>
      <c r="U318" s="34"/>
      <c r="V318" s="34"/>
      <c r="W318" s="35" t="s">
        <v>67</v>
      </c>
      <c r="X318" s="635">
        <v>0</v>
      </c>
      <c r="Y318" s="636">
        <f t="shared" ref="Y318:Y325" si="46">IFERROR(IF(X318="",0,CEILING((X318/$H318),1)*$H318),"")</f>
        <v>0</v>
      </c>
      <c r="Z318" s="36" t="str">
        <f t="shared" ref="Z318:Z323" si="47"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ref="BM318:BM325" si="48">IFERROR(X318*I318/H318,"0")</f>
        <v>0</v>
      </c>
      <c r="BN318" s="64">
        <f t="shared" ref="BN318:BN325" si="49">IFERROR(Y318*I318/H318,"0")</f>
        <v>0</v>
      </c>
      <c r="BO318" s="64">
        <f t="shared" ref="BO318:BO325" si="50">IFERROR(1/J318*(X318/H318),"0")</f>
        <v>0</v>
      </c>
      <c r="BP318" s="64">
        <f t="shared" ref="BP318:BP325" si="51">IFERROR(1/J318*(Y318/H318),"0")</f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4301011855</v>
      </c>
      <c r="D319" s="642">
        <v>4680115885837</v>
      </c>
      <c r="E319" s="643"/>
      <c r="F319" s="634">
        <v>1.35</v>
      </c>
      <c r="G319" s="32">
        <v>8</v>
      </c>
      <c r="H319" s="634">
        <v>10.8</v>
      </c>
      <c r="I319" s="634">
        <v>11.21</v>
      </c>
      <c r="J319" s="32">
        <v>64</v>
      </c>
      <c r="K319" s="32" t="s">
        <v>116</v>
      </c>
      <c r="L319" s="32"/>
      <c r="M319" s="33" t="s">
        <v>117</v>
      </c>
      <c r="N319" s="33"/>
      <c r="O319" s="32">
        <v>55</v>
      </c>
      <c r="P319" s="9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40"/>
      <c r="R319" s="640"/>
      <c r="S319" s="640"/>
      <c r="T319" s="641"/>
      <c r="U319" s="34"/>
      <c r="V319" s="34"/>
      <c r="W319" s="35" t="s">
        <v>67</v>
      </c>
      <c r="X319" s="635">
        <v>0</v>
      </c>
      <c r="Y319" s="636">
        <f t="shared" si="46"/>
        <v>0</v>
      </c>
      <c r="Z319" s="36" t="str">
        <f t="shared" si="47"/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8"/>
        <v>0</v>
      </c>
      <c r="BN319" s="64">
        <f t="shared" si="49"/>
        <v>0</v>
      </c>
      <c r="BO319" s="64">
        <f t="shared" si="50"/>
        <v>0</v>
      </c>
      <c r="BP319" s="64">
        <f t="shared" si="51"/>
        <v>0</v>
      </c>
    </row>
    <row r="320" spans="1:68" ht="27" hidden="1" customHeight="1" x14ac:dyDescent="0.25">
      <c r="A320" s="54" t="s">
        <v>527</v>
      </c>
      <c r="B320" s="54" t="s">
        <v>528</v>
      </c>
      <c r="C320" s="31">
        <v>4301012212</v>
      </c>
      <c r="D320" s="642">
        <v>4680115887077</v>
      </c>
      <c r="E320" s="643"/>
      <c r="F320" s="634">
        <v>1.35</v>
      </c>
      <c r="G320" s="32">
        <v>8</v>
      </c>
      <c r="H320" s="634">
        <v>10.8</v>
      </c>
      <c r="I320" s="634">
        <v>11.21</v>
      </c>
      <c r="J320" s="32">
        <v>64</v>
      </c>
      <c r="K320" s="32" t="s">
        <v>116</v>
      </c>
      <c r="L320" s="32"/>
      <c r="M320" s="33" t="s">
        <v>117</v>
      </c>
      <c r="N320" s="33"/>
      <c r="O320" s="32">
        <v>55</v>
      </c>
      <c r="P320" s="898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40"/>
      <c r="R320" s="640"/>
      <c r="S320" s="640"/>
      <c r="T320" s="641"/>
      <c r="U320" s="34"/>
      <c r="V320" s="34"/>
      <c r="W320" s="35" t="s">
        <v>67</v>
      </c>
      <c r="X320" s="635">
        <v>0</v>
      </c>
      <c r="Y320" s="636">
        <f t="shared" si="46"/>
        <v>0</v>
      </c>
      <c r="Z320" s="36" t="str">
        <f t="shared" si="47"/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hidden="1" customHeight="1" x14ac:dyDescent="0.25">
      <c r="A321" s="54" t="s">
        <v>530</v>
      </c>
      <c r="B321" s="54" t="s">
        <v>531</v>
      </c>
      <c r="C321" s="31">
        <v>4301012390</v>
      </c>
      <c r="D321" s="642">
        <v>4680115889637</v>
      </c>
      <c r="E321" s="643"/>
      <c r="F321" s="634">
        <v>1.35</v>
      </c>
      <c r="G321" s="32">
        <v>8</v>
      </c>
      <c r="H321" s="634">
        <v>10.8</v>
      </c>
      <c r="I321" s="634">
        <v>11.21</v>
      </c>
      <c r="J321" s="32">
        <v>64</v>
      </c>
      <c r="K321" s="32" t="s">
        <v>116</v>
      </c>
      <c r="L321" s="32"/>
      <c r="M321" s="33" t="s">
        <v>117</v>
      </c>
      <c r="N321" s="33"/>
      <c r="O321" s="32">
        <v>55</v>
      </c>
      <c r="P321" s="923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5">
        <v>0</v>
      </c>
      <c r="Y321" s="636">
        <f t="shared" si="46"/>
        <v>0</v>
      </c>
      <c r="Z321" s="36" t="str">
        <f t="shared" si="47"/>
        <v/>
      </c>
      <c r="AA321" s="56"/>
      <c r="AB321" s="57"/>
      <c r="AC321" s="395" t="s">
        <v>532</v>
      </c>
      <c r="AG321" s="64"/>
      <c r="AJ321" s="68"/>
      <c r="AK321" s="68">
        <v>0</v>
      </c>
      <c r="BB321" s="396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hidden="1" customHeight="1" x14ac:dyDescent="0.25">
      <c r="A322" s="54" t="s">
        <v>533</v>
      </c>
      <c r="B322" s="54" t="s">
        <v>534</v>
      </c>
      <c r="C322" s="31">
        <v>4301012234</v>
      </c>
      <c r="D322" s="642">
        <v>4680115887237</v>
      </c>
      <c r="E322" s="643"/>
      <c r="F322" s="634">
        <v>1.35</v>
      </c>
      <c r="G322" s="32">
        <v>8</v>
      </c>
      <c r="H322" s="634">
        <v>10.8</v>
      </c>
      <c r="I322" s="634">
        <v>11.21</v>
      </c>
      <c r="J322" s="32">
        <v>64</v>
      </c>
      <c r="K322" s="32" t="s">
        <v>116</v>
      </c>
      <c r="L322" s="32"/>
      <c r="M322" s="33" t="s">
        <v>117</v>
      </c>
      <c r="N322" s="33"/>
      <c r="O322" s="32">
        <v>55</v>
      </c>
      <c r="P322" s="83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5">
        <v>0</v>
      </c>
      <c r="Y322" s="636">
        <f t="shared" si="46"/>
        <v>0</v>
      </c>
      <c r="Z322" s="36" t="str">
        <f t="shared" si="47"/>
        <v/>
      </c>
      <c r="AA322" s="56"/>
      <c r="AB322" s="57"/>
      <c r="AC322" s="397" t="s">
        <v>535</v>
      </c>
      <c r="AG322" s="64"/>
      <c r="AJ322" s="68"/>
      <c r="AK322" s="68">
        <v>0</v>
      </c>
      <c r="BB322" s="398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hidden="1" customHeight="1" x14ac:dyDescent="0.25">
      <c r="A323" s="54" t="s">
        <v>536</v>
      </c>
      <c r="B323" s="54" t="s">
        <v>537</v>
      </c>
      <c r="C323" s="31">
        <v>4301011850</v>
      </c>
      <c r="D323" s="642">
        <v>4680115885806</v>
      </c>
      <c r="E323" s="643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116</v>
      </c>
      <c r="L323" s="32"/>
      <c r="M323" s="33" t="s">
        <v>117</v>
      </c>
      <c r="N323" s="33"/>
      <c r="O323" s="32">
        <v>55</v>
      </c>
      <c r="P323" s="9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5">
        <v>0</v>
      </c>
      <c r="Y323" s="636">
        <f t="shared" si="46"/>
        <v>0</v>
      </c>
      <c r="Z323" s="36" t="str">
        <f t="shared" si="47"/>
        <v/>
      </c>
      <c r="AA323" s="56"/>
      <c r="AB323" s="57"/>
      <c r="AC323" s="399" t="s">
        <v>538</v>
      </c>
      <c r="AG323" s="64"/>
      <c r="AJ323" s="68"/>
      <c r="AK323" s="68">
        <v>0</v>
      </c>
      <c r="BB323" s="400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hidden="1" customHeight="1" x14ac:dyDescent="0.25">
      <c r="A324" s="54" t="s">
        <v>539</v>
      </c>
      <c r="B324" s="54" t="s">
        <v>540</v>
      </c>
      <c r="C324" s="31">
        <v>4301011852</v>
      </c>
      <c r="D324" s="642">
        <v>4680115885844</v>
      </c>
      <c r="E324" s="643"/>
      <c r="F324" s="634">
        <v>0.4</v>
      </c>
      <c r="G324" s="32">
        <v>10</v>
      </c>
      <c r="H324" s="634">
        <v>4</v>
      </c>
      <c r="I324" s="634">
        <v>4.1900000000000004</v>
      </c>
      <c r="J324" s="32">
        <v>132</v>
      </c>
      <c r="K324" s="32" t="s">
        <v>126</v>
      </c>
      <c r="L324" s="32"/>
      <c r="M324" s="33" t="s">
        <v>117</v>
      </c>
      <c r="N324" s="33"/>
      <c r="O324" s="32">
        <v>55</v>
      </c>
      <c r="P324" s="83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IFERROR(IF(Y324=0,"",ROUNDUP(Y324/H324,0)*0.00902),"")</f>
        <v/>
      </c>
      <c r="AA324" s="56"/>
      <c r="AB324" s="57"/>
      <c r="AC324" s="401" t="s">
        <v>541</v>
      </c>
      <c r="AG324" s="64"/>
      <c r="AJ324" s="68"/>
      <c r="AK324" s="68">
        <v>0</v>
      </c>
      <c r="BB324" s="402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ht="37.5" hidden="1" customHeight="1" x14ac:dyDescent="0.25">
      <c r="A325" s="54" t="s">
        <v>542</v>
      </c>
      <c r="B325" s="54" t="s">
        <v>543</v>
      </c>
      <c r="C325" s="31">
        <v>4301011851</v>
      </c>
      <c r="D325" s="642">
        <v>4680115885820</v>
      </c>
      <c r="E325" s="643"/>
      <c r="F325" s="634">
        <v>0.4</v>
      </c>
      <c r="G325" s="32">
        <v>10</v>
      </c>
      <c r="H325" s="634">
        <v>4</v>
      </c>
      <c r="I325" s="634">
        <v>4.1900000000000004</v>
      </c>
      <c r="J325" s="32">
        <v>132</v>
      </c>
      <c r="K325" s="32" t="s">
        <v>126</v>
      </c>
      <c r="L325" s="32"/>
      <c r="M325" s="33" t="s">
        <v>117</v>
      </c>
      <c r="N325" s="33"/>
      <c r="O325" s="32">
        <v>55</v>
      </c>
      <c r="P325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IFERROR(IF(Y325=0,"",ROUNDUP(Y325/H325,0)*0.00902),"")</f>
        <v/>
      </c>
      <c r="AA325" s="56"/>
      <c r="AB325" s="57"/>
      <c r="AC325" s="403" t="s">
        <v>544</v>
      </c>
      <c r="AG325" s="64"/>
      <c r="AJ325" s="68"/>
      <c r="AK325" s="68">
        <v>0</v>
      </c>
      <c r="BB325" s="404" t="s">
        <v>1</v>
      </c>
      <c r="BM325" s="64">
        <f t="shared" si="48"/>
        <v>0</v>
      </c>
      <c r="BN325" s="64">
        <f t="shared" si="49"/>
        <v>0</v>
      </c>
      <c r="BO325" s="64">
        <f t="shared" si="50"/>
        <v>0</v>
      </c>
      <c r="BP325" s="64">
        <f t="shared" si="51"/>
        <v>0</v>
      </c>
    </row>
    <row r="326" spans="1:68" hidden="1" x14ac:dyDescent="0.2">
      <c r="A326" s="647"/>
      <c r="B326" s="648"/>
      <c r="C326" s="648"/>
      <c r="D326" s="648"/>
      <c r="E326" s="648"/>
      <c r="F326" s="648"/>
      <c r="G326" s="648"/>
      <c r="H326" s="648"/>
      <c r="I326" s="648"/>
      <c r="J326" s="648"/>
      <c r="K326" s="648"/>
      <c r="L326" s="648"/>
      <c r="M326" s="648"/>
      <c r="N326" s="648"/>
      <c r="O326" s="649"/>
      <c r="P326" s="653" t="s">
        <v>81</v>
      </c>
      <c r="Q326" s="654"/>
      <c r="R326" s="654"/>
      <c r="S326" s="654"/>
      <c r="T326" s="654"/>
      <c r="U326" s="654"/>
      <c r="V326" s="655"/>
      <c r="W326" s="37" t="s">
        <v>82</v>
      </c>
      <c r="X326" s="637">
        <f>IFERROR(X318/H318,"0")+IFERROR(X319/H319,"0")+IFERROR(X320/H320,"0")+IFERROR(X321/H321,"0")+IFERROR(X322/H322,"0")+IFERROR(X323/H323,"0")+IFERROR(X324/H324,"0")+IFERROR(X325/H325,"0")</f>
        <v>0</v>
      </c>
      <c r="Y326" s="637">
        <f>IFERROR(Y318/H318,"0")+IFERROR(Y319/H319,"0")+IFERROR(Y320/H320,"0")+IFERROR(Y321/H321,"0")+IFERROR(Y322/H322,"0")+IFERROR(Y323/H323,"0")+IFERROR(Y324/H324,"0")+IFERROR(Y325/H325,"0")</f>
        <v>0</v>
      </c>
      <c r="Z326" s="637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</v>
      </c>
      <c r="AA326" s="638"/>
      <c r="AB326" s="638"/>
      <c r="AC326" s="638"/>
    </row>
    <row r="327" spans="1:68" hidden="1" x14ac:dyDescent="0.2">
      <c r="A327" s="648"/>
      <c r="B327" s="648"/>
      <c r="C327" s="648"/>
      <c r="D327" s="648"/>
      <c r="E327" s="648"/>
      <c r="F327" s="648"/>
      <c r="G327" s="648"/>
      <c r="H327" s="648"/>
      <c r="I327" s="648"/>
      <c r="J327" s="648"/>
      <c r="K327" s="648"/>
      <c r="L327" s="648"/>
      <c r="M327" s="648"/>
      <c r="N327" s="648"/>
      <c r="O327" s="649"/>
      <c r="P327" s="653" t="s">
        <v>81</v>
      </c>
      <c r="Q327" s="654"/>
      <c r="R327" s="654"/>
      <c r="S327" s="654"/>
      <c r="T327" s="654"/>
      <c r="U327" s="654"/>
      <c r="V327" s="655"/>
      <c r="W327" s="37" t="s">
        <v>67</v>
      </c>
      <c r="X327" s="637">
        <f>IFERROR(SUM(X318:X325),"0")</f>
        <v>0</v>
      </c>
      <c r="Y327" s="637">
        <f>IFERROR(SUM(Y318:Y325),"0")</f>
        <v>0</v>
      </c>
      <c r="Z327" s="37"/>
      <c r="AA327" s="638"/>
      <c r="AB327" s="638"/>
      <c r="AC327" s="638"/>
    </row>
    <row r="328" spans="1:68" ht="16.5" hidden="1" customHeight="1" x14ac:dyDescent="0.25">
      <c r="A328" s="652" t="s">
        <v>545</v>
      </c>
      <c r="B328" s="648"/>
      <c r="C328" s="648"/>
      <c r="D328" s="648"/>
      <c r="E328" s="648"/>
      <c r="F328" s="648"/>
      <c r="G328" s="648"/>
      <c r="H328" s="648"/>
      <c r="I328" s="648"/>
      <c r="J328" s="648"/>
      <c r="K328" s="648"/>
      <c r="L328" s="648"/>
      <c r="M328" s="648"/>
      <c r="N328" s="648"/>
      <c r="O328" s="648"/>
      <c r="P328" s="648"/>
      <c r="Q328" s="648"/>
      <c r="R328" s="648"/>
      <c r="S328" s="648"/>
      <c r="T328" s="648"/>
      <c r="U328" s="648"/>
      <c r="V328" s="648"/>
      <c r="W328" s="648"/>
      <c r="X328" s="648"/>
      <c r="Y328" s="648"/>
      <c r="Z328" s="648"/>
      <c r="AA328" s="630"/>
      <c r="AB328" s="630"/>
      <c r="AC328" s="630"/>
    </row>
    <row r="329" spans="1:68" ht="14.25" hidden="1" customHeight="1" x14ac:dyDescent="0.25">
      <c r="A329" s="658" t="s">
        <v>62</v>
      </c>
      <c r="B329" s="648"/>
      <c r="C329" s="648"/>
      <c r="D329" s="648"/>
      <c r="E329" s="648"/>
      <c r="F329" s="648"/>
      <c r="G329" s="648"/>
      <c r="H329" s="648"/>
      <c r="I329" s="648"/>
      <c r="J329" s="648"/>
      <c r="K329" s="648"/>
      <c r="L329" s="648"/>
      <c r="M329" s="648"/>
      <c r="N329" s="648"/>
      <c r="O329" s="648"/>
      <c r="P329" s="648"/>
      <c r="Q329" s="648"/>
      <c r="R329" s="648"/>
      <c r="S329" s="648"/>
      <c r="T329" s="648"/>
      <c r="U329" s="648"/>
      <c r="V329" s="648"/>
      <c r="W329" s="648"/>
      <c r="X329" s="648"/>
      <c r="Y329" s="648"/>
      <c r="Z329" s="648"/>
      <c r="AA329" s="631"/>
      <c r="AB329" s="631"/>
      <c r="AC329" s="631"/>
    </row>
    <row r="330" spans="1:68" ht="27" hidden="1" customHeight="1" x14ac:dyDescent="0.25">
      <c r="A330" s="54" t="s">
        <v>546</v>
      </c>
      <c r="B330" s="54" t="s">
        <v>547</v>
      </c>
      <c r="C330" s="31">
        <v>4301051893</v>
      </c>
      <c r="D330" s="642">
        <v>4680115886186</v>
      </c>
      <c r="E330" s="643"/>
      <c r="F330" s="634">
        <v>0.3</v>
      </c>
      <c r="G330" s="32">
        <v>6</v>
      </c>
      <c r="H330" s="634">
        <v>1.8</v>
      </c>
      <c r="I330" s="634">
        <v>1.98</v>
      </c>
      <c r="J330" s="32">
        <v>182</v>
      </c>
      <c r="K330" s="32" t="s">
        <v>65</v>
      </c>
      <c r="L330" s="32"/>
      <c r="M330" s="33" t="s">
        <v>66</v>
      </c>
      <c r="N330" s="33"/>
      <c r="O330" s="32">
        <v>45</v>
      </c>
      <c r="P330" s="85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40"/>
      <c r="R330" s="640"/>
      <c r="S330" s="640"/>
      <c r="T330" s="641"/>
      <c r="U330" s="34"/>
      <c r="V330" s="34"/>
      <c r="W330" s="35" t="s">
        <v>67</v>
      </c>
      <c r="X330" s="635">
        <v>0</v>
      </c>
      <c r="Y330" s="636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405" t="s">
        <v>548</v>
      </c>
      <c r="AG330" s="64"/>
      <c r="AJ330" s="68"/>
      <c r="AK330" s="68">
        <v>0</v>
      </c>
      <c r="BB330" s="40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549</v>
      </c>
      <c r="B331" s="54" t="s">
        <v>550</v>
      </c>
      <c r="C331" s="31">
        <v>4301051795</v>
      </c>
      <c r="D331" s="642">
        <v>4680115881228</v>
      </c>
      <c r="E331" s="643"/>
      <c r="F331" s="634">
        <v>0.4</v>
      </c>
      <c r="G331" s="32">
        <v>6</v>
      </c>
      <c r="H331" s="634">
        <v>2.4</v>
      </c>
      <c r="I331" s="634">
        <v>2.6520000000000001</v>
      </c>
      <c r="J331" s="32">
        <v>182</v>
      </c>
      <c r="K331" s="32" t="s">
        <v>65</v>
      </c>
      <c r="L331" s="32"/>
      <c r="M331" s="33" t="s">
        <v>73</v>
      </c>
      <c r="N331" s="33"/>
      <c r="O331" s="32">
        <v>40</v>
      </c>
      <c r="P331" s="71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40"/>
      <c r="R331" s="640"/>
      <c r="S331" s="640"/>
      <c r="T331" s="641"/>
      <c r="U331" s="34"/>
      <c r="V331" s="34"/>
      <c r="W331" s="35" t="s">
        <v>67</v>
      </c>
      <c r="X331" s="635">
        <v>134</v>
      </c>
      <c r="Y331" s="636">
        <f>IFERROR(IF(X331="",0,CEILING((X331/$H331),1)*$H331),"")</f>
        <v>134.4</v>
      </c>
      <c r="Z331" s="36">
        <f>IFERROR(IF(Y331=0,"",ROUNDUP(Y331/H331,0)*0.00651),"")</f>
        <v>0.36456</v>
      </c>
      <c r="AA331" s="56"/>
      <c r="AB331" s="57"/>
      <c r="AC331" s="407" t="s">
        <v>551</v>
      </c>
      <c r="AG331" s="64"/>
      <c r="AJ331" s="68"/>
      <c r="AK331" s="68">
        <v>0</v>
      </c>
      <c r="BB331" s="408" t="s">
        <v>1</v>
      </c>
      <c r="BM331" s="64">
        <f>IFERROR(X331*I331/H331,"0")</f>
        <v>148.07</v>
      </c>
      <c r="BN331" s="64">
        <f>IFERROR(Y331*I331/H331,"0")</f>
        <v>148.51200000000003</v>
      </c>
      <c r="BO331" s="64">
        <f>IFERROR(1/J331*(X331/H331),"0")</f>
        <v>0.3067765567765568</v>
      </c>
      <c r="BP331" s="64">
        <f>IFERROR(1/J331*(Y331/H331),"0")</f>
        <v>0.30769230769230776</v>
      </c>
    </row>
    <row r="332" spans="1:68" ht="27" customHeight="1" x14ac:dyDescent="0.25">
      <c r="A332" s="54" t="s">
        <v>552</v>
      </c>
      <c r="B332" s="54" t="s">
        <v>553</v>
      </c>
      <c r="C332" s="31">
        <v>4301051388</v>
      </c>
      <c r="D332" s="642">
        <v>4680115881211</v>
      </c>
      <c r="E332" s="643"/>
      <c r="F332" s="634">
        <v>0.4</v>
      </c>
      <c r="G332" s="32">
        <v>6</v>
      </c>
      <c r="H332" s="634">
        <v>2.4</v>
      </c>
      <c r="I332" s="634">
        <v>2.58</v>
      </c>
      <c r="J332" s="32">
        <v>182</v>
      </c>
      <c r="K332" s="32" t="s">
        <v>65</v>
      </c>
      <c r="L332" s="32"/>
      <c r="M332" s="33" t="s">
        <v>66</v>
      </c>
      <c r="N332" s="33"/>
      <c r="O332" s="32">
        <v>45</v>
      </c>
      <c r="P332" s="86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40"/>
      <c r="R332" s="640"/>
      <c r="S332" s="640"/>
      <c r="T332" s="641"/>
      <c r="U332" s="34"/>
      <c r="V332" s="34"/>
      <c r="W332" s="35" t="s">
        <v>67</v>
      </c>
      <c r="X332" s="635">
        <v>51</v>
      </c>
      <c r="Y332" s="636">
        <f>IFERROR(IF(X332="",0,CEILING((X332/$H332),1)*$H332),"")</f>
        <v>52.8</v>
      </c>
      <c r="Z332" s="36">
        <f>IFERROR(IF(Y332=0,"",ROUNDUP(Y332/H332,0)*0.00651),"")</f>
        <v>0.14322000000000001</v>
      </c>
      <c r="AA332" s="56"/>
      <c r="AB332" s="57"/>
      <c r="AC332" s="409" t="s">
        <v>548</v>
      </c>
      <c r="AG332" s="64"/>
      <c r="AJ332" s="68"/>
      <c r="AK332" s="68">
        <v>0</v>
      </c>
      <c r="BB332" s="410" t="s">
        <v>1</v>
      </c>
      <c r="BM332" s="64">
        <f>IFERROR(X332*I332/H332,"0")</f>
        <v>54.82500000000001</v>
      </c>
      <c r="BN332" s="64">
        <f>IFERROR(Y332*I332/H332,"0")</f>
        <v>56.76</v>
      </c>
      <c r="BO332" s="64">
        <f>IFERROR(1/J332*(X332/H332),"0")</f>
        <v>0.11675824175824177</v>
      </c>
      <c r="BP332" s="64">
        <f>IFERROR(1/J332*(Y332/H332),"0")</f>
        <v>0.12087912087912089</v>
      </c>
    </row>
    <row r="333" spans="1:68" x14ac:dyDescent="0.2">
      <c r="A333" s="647"/>
      <c r="B333" s="648"/>
      <c r="C333" s="648"/>
      <c r="D333" s="648"/>
      <c r="E333" s="648"/>
      <c r="F333" s="648"/>
      <c r="G333" s="648"/>
      <c r="H333" s="648"/>
      <c r="I333" s="648"/>
      <c r="J333" s="648"/>
      <c r="K333" s="648"/>
      <c r="L333" s="648"/>
      <c r="M333" s="648"/>
      <c r="N333" s="648"/>
      <c r="O333" s="649"/>
      <c r="P333" s="653" t="s">
        <v>81</v>
      </c>
      <c r="Q333" s="654"/>
      <c r="R333" s="654"/>
      <c r="S333" s="654"/>
      <c r="T333" s="654"/>
      <c r="U333" s="654"/>
      <c r="V333" s="655"/>
      <c r="W333" s="37" t="s">
        <v>82</v>
      </c>
      <c r="X333" s="637">
        <f>IFERROR(X330/H330,"0")+IFERROR(X331/H331,"0")+IFERROR(X332/H332,"0")</f>
        <v>77.083333333333343</v>
      </c>
      <c r="Y333" s="637">
        <f>IFERROR(Y330/H330,"0")+IFERROR(Y331/H331,"0")+IFERROR(Y332/H332,"0")</f>
        <v>78</v>
      </c>
      <c r="Z333" s="637">
        <f>IFERROR(IF(Z330="",0,Z330),"0")+IFERROR(IF(Z331="",0,Z331),"0")+IFERROR(IF(Z332="",0,Z332),"0")</f>
        <v>0.50778000000000001</v>
      </c>
      <c r="AA333" s="638"/>
      <c r="AB333" s="638"/>
      <c r="AC333" s="638"/>
    </row>
    <row r="334" spans="1:68" x14ac:dyDescent="0.2">
      <c r="A334" s="648"/>
      <c r="B334" s="648"/>
      <c r="C334" s="648"/>
      <c r="D334" s="648"/>
      <c r="E334" s="648"/>
      <c r="F334" s="648"/>
      <c r="G334" s="648"/>
      <c r="H334" s="648"/>
      <c r="I334" s="648"/>
      <c r="J334" s="648"/>
      <c r="K334" s="648"/>
      <c r="L334" s="648"/>
      <c r="M334" s="648"/>
      <c r="N334" s="648"/>
      <c r="O334" s="649"/>
      <c r="P334" s="653" t="s">
        <v>81</v>
      </c>
      <c r="Q334" s="654"/>
      <c r="R334" s="654"/>
      <c r="S334" s="654"/>
      <c r="T334" s="654"/>
      <c r="U334" s="654"/>
      <c r="V334" s="655"/>
      <c r="W334" s="37" t="s">
        <v>67</v>
      </c>
      <c r="X334" s="637">
        <f>IFERROR(SUM(X330:X332),"0")</f>
        <v>185</v>
      </c>
      <c r="Y334" s="637">
        <f>IFERROR(SUM(Y330:Y332),"0")</f>
        <v>187.2</v>
      </c>
      <c r="Z334" s="37"/>
      <c r="AA334" s="638"/>
      <c r="AB334" s="638"/>
      <c r="AC334" s="638"/>
    </row>
    <row r="335" spans="1:68" ht="16.5" hidden="1" customHeight="1" x14ac:dyDescent="0.25">
      <c r="A335" s="652" t="s">
        <v>554</v>
      </c>
      <c r="B335" s="648"/>
      <c r="C335" s="648"/>
      <c r="D335" s="648"/>
      <c r="E335" s="648"/>
      <c r="F335" s="648"/>
      <c r="G335" s="648"/>
      <c r="H335" s="648"/>
      <c r="I335" s="648"/>
      <c r="J335" s="648"/>
      <c r="K335" s="648"/>
      <c r="L335" s="648"/>
      <c r="M335" s="648"/>
      <c r="N335" s="648"/>
      <c r="O335" s="648"/>
      <c r="P335" s="648"/>
      <c r="Q335" s="648"/>
      <c r="R335" s="648"/>
      <c r="S335" s="648"/>
      <c r="T335" s="648"/>
      <c r="U335" s="648"/>
      <c r="V335" s="648"/>
      <c r="W335" s="648"/>
      <c r="X335" s="648"/>
      <c r="Y335" s="648"/>
      <c r="Z335" s="648"/>
      <c r="AA335" s="630"/>
      <c r="AB335" s="630"/>
      <c r="AC335" s="630"/>
    </row>
    <row r="336" spans="1:68" ht="14.25" hidden="1" customHeight="1" x14ac:dyDescent="0.25">
      <c r="A336" s="658" t="s">
        <v>245</v>
      </c>
      <c r="B336" s="648"/>
      <c r="C336" s="648"/>
      <c r="D336" s="648"/>
      <c r="E336" s="648"/>
      <c r="F336" s="648"/>
      <c r="G336" s="648"/>
      <c r="H336" s="648"/>
      <c r="I336" s="648"/>
      <c r="J336" s="648"/>
      <c r="K336" s="648"/>
      <c r="L336" s="648"/>
      <c r="M336" s="648"/>
      <c r="N336" s="648"/>
      <c r="O336" s="648"/>
      <c r="P336" s="648"/>
      <c r="Q336" s="648"/>
      <c r="R336" s="648"/>
      <c r="S336" s="648"/>
      <c r="T336" s="648"/>
      <c r="U336" s="648"/>
      <c r="V336" s="648"/>
      <c r="W336" s="648"/>
      <c r="X336" s="648"/>
      <c r="Y336" s="648"/>
      <c r="Z336" s="648"/>
      <c r="AA336" s="631"/>
      <c r="AB336" s="631"/>
      <c r="AC336" s="631"/>
    </row>
    <row r="337" spans="1:68" ht="27" hidden="1" customHeight="1" x14ac:dyDescent="0.25">
      <c r="A337" s="54" t="s">
        <v>555</v>
      </c>
      <c r="B337" s="54" t="s">
        <v>556</v>
      </c>
      <c r="C337" s="31">
        <v>4301031445</v>
      </c>
      <c r="D337" s="642">
        <v>4680115888319</v>
      </c>
      <c r="E337" s="643"/>
      <c r="F337" s="634">
        <v>0.35</v>
      </c>
      <c r="G337" s="32">
        <v>6</v>
      </c>
      <c r="H337" s="634">
        <v>2.1</v>
      </c>
      <c r="I337" s="634">
        <v>2.23</v>
      </c>
      <c r="J337" s="32">
        <v>234</v>
      </c>
      <c r="K337" s="32" t="s">
        <v>223</v>
      </c>
      <c r="L337" s="32"/>
      <c r="M337" s="33" t="s">
        <v>122</v>
      </c>
      <c r="N337" s="33"/>
      <c r="O337" s="32">
        <v>45</v>
      </c>
      <c r="P337" s="73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40"/>
      <c r="R337" s="640"/>
      <c r="S337" s="640"/>
      <c r="T337" s="641"/>
      <c r="U337" s="34"/>
      <c r="V337" s="34"/>
      <c r="W337" s="35" t="s">
        <v>67</v>
      </c>
      <c r="X337" s="635">
        <v>0</v>
      </c>
      <c r="Y337" s="636">
        <f>IFERROR(IF(X337="",0,CEILING((X337/$H337),1)*$H337),"")</f>
        <v>0</v>
      </c>
      <c r="Z337" s="36" t="str">
        <f>IFERROR(IF(Y337=0,"",ROUNDUP(Y337/H337,0)*0.00502),"")</f>
        <v/>
      </c>
      <c r="AA337" s="56"/>
      <c r="AB337" s="57"/>
      <c r="AC337" s="411" t="s">
        <v>557</v>
      </c>
      <c r="AG337" s="64"/>
      <c r="AJ337" s="68"/>
      <c r="AK337" s="68">
        <v>0</v>
      </c>
      <c r="BB337" s="412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558</v>
      </c>
      <c r="B338" s="54" t="s">
        <v>559</v>
      </c>
      <c r="C338" s="31">
        <v>4301031502</v>
      </c>
      <c r="D338" s="642">
        <v>4680115884700</v>
      </c>
      <c r="E338" s="643"/>
      <c r="F338" s="634">
        <v>0.57999999999999996</v>
      </c>
      <c r="G338" s="32">
        <v>4</v>
      </c>
      <c r="H338" s="634">
        <v>2.3199999999999998</v>
      </c>
      <c r="I338" s="634">
        <v>2.42</v>
      </c>
      <c r="J338" s="32">
        <v>234</v>
      </c>
      <c r="K338" s="32" t="s">
        <v>223</v>
      </c>
      <c r="L338" s="32"/>
      <c r="M338" s="33" t="s">
        <v>122</v>
      </c>
      <c r="N338" s="33"/>
      <c r="O338" s="32">
        <v>40</v>
      </c>
      <c r="P338" s="100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40"/>
      <c r="R338" s="640"/>
      <c r="S338" s="640"/>
      <c r="T338" s="641"/>
      <c r="U338" s="34"/>
      <c r="V338" s="34"/>
      <c r="W338" s="35" t="s">
        <v>67</v>
      </c>
      <c r="X338" s="635">
        <v>0</v>
      </c>
      <c r="Y338" s="636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560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561</v>
      </c>
      <c r="B339" s="54" t="s">
        <v>562</v>
      </c>
      <c r="C339" s="31">
        <v>4301031307</v>
      </c>
      <c r="D339" s="642">
        <v>4680115880344</v>
      </c>
      <c r="E339" s="643"/>
      <c r="F339" s="634">
        <v>0.28000000000000003</v>
      </c>
      <c r="G339" s="32">
        <v>6</v>
      </c>
      <c r="H339" s="634">
        <v>1.68</v>
      </c>
      <c r="I339" s="634">
        <v>1.78</v>
      </c>
      <c r="J339" s="32">
        <v>234</v>
      </c>
      <c r="K339" s="32" t="s">
        <v>223</v>
      </c>
      <c r="L339" s="32"/>
      <c r="M339" s="33" t="s">
        <v>122</v>
      </c>
      <c r="N339" s="33"/>
      <c r="O339" s="32">
        <v>40</v>
      </c>
      <c r="P339" s="74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40"/>
      <c r="R339" s="640"/>
      <c r="S339" s="640"/>
      <c r="T339" s="641"/>
      <c r="U339" s="34"/>
      <c r="V339" s="34"/>
      <c r="W339" s="35" t="s">
        <v>67</v>
      </c>
      <c r="X339" s="635">
        <v>0</v>
      </c>
      <c r="Y339" s="636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563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564</v>
      </c>
      <c r="B340" s="54" t="s">
        <v>565</v>
      </c>
      <c r="C340" s="31">
        <v>4301031501</v>
      </c>
      <c r="D340" s="642">
        <v>4680115886919</v>
      </c>
      <c r="E340" s="643"/>
      <c r="F340" s="634">
        <v>0.4</v>
      </c>
      <c r="G340" s="32">
        <v>6</v>
      </c>
      <c r="H340" s="634">
        <v>2.4</v>
      </c>
      <c r="I340" s="634">
        <v>2.58</v>
      </c>
      <c r="J340" s="32">
        <v>182</v>
      </c>
      <c r="K340" s="32" t="s">
        <v>65</v>
      </c>
      <c r="L340" s="32"/>
      <c r="M340" s="33" t="s">
        <v>122</v>
      </c>
      <c r="N340" s="33"/>
      <c r="O340" s="32">
        <v>40</v>
      </c>
      <c r="P340" s="78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5">
        <v>0</v>
      </c>
      <c r="Y340" s="63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417" t="s">
        <v>566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647"/>
      <c r="B341" s="648"/>
      <c r="C341" s="648"/>
      <c r="D341" s="648"/>
      <c r="E341" s="648"/>
      <c r="F341" s="648"/>
      <c r="G341" s="648"/>
      <c r="H341" s="648"/>
      <c r="I341" s="648"/>
      <c r="J341" s="648"/>
      <c r="K341" s="648"/>
      <c r="L341" s="648"/>
      <c r="M341" s="648"/>
      <c r="N341" s="648"/>
      <c r="O341" s="649"/>
      <c r="P341" s="653" t="s">
        <v>81</v>
      </c>
      <c r="Q341" s="654"/>
      <c r="R341" s="654"/>
      <c r="S341" s="654"/>
      <c r="T341" s="654"/>
      <c r="U341" s="654"/>
      <c r="V341" s="655"/>
      <c r="W341" s="37" t="s">
        <v>82</v>
      </c>
      <c r="X341" s="637">
        <f>IFERROR(X337/H337,"0")+IFERROR(X338/H338,"0")+IFERROR(X339/H339,"0")+IFERROR(X340/H340,"0")</f>
        <v>0</v>
      </c>
      <c r="Y341" s="637">
        <f>IFERROR(Y337/H337,"0")+IFERROR(Y338/H338,"0")+IFERROR(Y339/H339,"0")+IFERROR(Y340/H340,"0")</f>
        <v>0</v>
      </c>
      <c r="Z341" s="637">
        <f>IFERROR(IF(Z337="",0,Z337),"0")+IFERROR(IF(Z338="",0,Z338),"0")+IFERROR(IF(Z339="",0,Z339),"0")+IFERROR(IF(Z340="",0,Z340),"0")</f>
        <v>0</v>
      </c>
      <c r="AA341" s="638"/>
      <c r="AB341" s="638"/>
      <c r="AC341" s="638"/>
    </row>
    <row r="342" spans="1:68" hidden="1" x14ac:dyDescent="0.2">
      <c r="A342" s="648"/>
      <c r="B342" s="648"/>
      <c r="C342" s="648"/>
      <c r="D342" s="648"/>
      <c r="E342" s="648"/>
      <c r="F342" s="648"/>
      <c r="G342" s="648"/>
      <c r="H342" s="648"/>
      <c r="I342" s="648"/>
      <c r="J342" s="648"/>
      <c r="K342" s="648"/>
      <c r="L342" s="648"/>
      <c r="M342" s="648"/>
      <c r="N342" s="648"/>
      <c r="O342" s="649"/>
      <c r="P342" s="653" t="s">
        <v>81</v>
      </c>
      <c r="Q342" s="654"/>
      <c r="R342" s="654"/>
      <c r="S342" s="654"/>
      <c r="T342" s="654"/>
      <c r="U342" s="654"/>
      <c r="V342" s="655"/>
      <c r="W342" s="37" t="s">
        <v>67</v>
      </c>
      <c r="X342" s="637">
        <f>IFERROR(SUM(X337:X340),"0")</f>
        <v>0</v>
      </c>
      <c r="Y342" s="637">
        <f>IFERROR(SUM(Y337:Y340),"0")</f>
        <v>0</v>
      </c>
      <c r="Z342" s="37"/>
      <c r="AA342" s="638"/>
      <c r="AB342" s="638"/>
      <c r="AC342" s="638"/>
    </row>
    <row r="343" spans="1:68" ht="14.25" hidden="1" customHeight="1" x14ac:dyDescent="0.25">
      <c r="A343" s="658" t="s">
        <v>62</v>
      </c>
      <c r="B343" s="648"/>
      <c r="C343" s="648"/>
      <c r="D343" s="648"/>
      <c r="E343" s="648"/>
      <c r="F343" s="648"/>
      <c r="G343" s="648"/>
      <c r="H343" s="648"/>
      <c r="I343" s="648"/>
      <c r="J343" s="648"/>
      <c r="K343" s="648"/>
      <c r="L343" s="648"/>
      <c r="M343" s="648"/>
      <c r="N343" s="648"/>
      <c r="O343" s="648"/>
      <c r="P343" s="648"/>
      <c r="Q343" s="648"/>
      <c r="R343" s="648"/>
      <c r="S343" s="648"/>
      <c r="T343" s="648"/>
      <c r="U343" s="648"/>
      <c r="V343" s="648"/>
      <c r="W343" s="648"/>
      <c r="X343" s="648"/>
      <c r="Y343" s="648"/>
      <c r="Z343" s="648"/>
      <c r="AA343" s="631"/>
      <c r="AB343" s="631"/>
      <c r="AC343" s="631"/>
    </row>
    <row r="344" spans="1:68" ht="27" hidden="1" customHeight="1" x14ac:dyDescent="0.25">
      <c r="A344" s="54" t="s">
        <v>567</v>
      </c>
      <c r="B344" s="54" t="s">
        <v>568</v>
      </c>
      <c r="C344" s="31">
        <v>4301051782</v>
      </c>
      <c r="D344" s="642">
        <v>4680115884618</v>
      </c>
      <c r="E344" s="643"/>
      <c r="F344" s="634">
        <v>0.6</v>
      </c>
      <c r="G344" s="32">
        <v>6</v>
      </c>
      <c r="H344" s="634">
        <v>3.6</v>
      </c>
      <c r="I344" s="634">
        <v>3.79</v>
      </c>
      <c r="J344" s="32">
        <v>132</v>
      </c>
      <c r="K344" s="32" t="s">
        <v>126</v>
      </c>
      <c r="L344" s="32"/>
      <c r="M344" s="33" t="s">
        <v>66</v>
      </c>
      <c r="N344" s="33"/>
      <c r="O344" s="32">
        <v>45</v>
      </c>
      <c r="P344" s="9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40"/>
      <c r="R344" s="640"/>
      <c r="S344" s="640"/>
      <c r="T344" s="641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IFERROR(IF(Y344=0,"",ROUNDUP(Y344/H344,0)*0.00902),"")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570</v>
      </c>
      <c r="B345" s="54" t="s">
        <v>571</v>
      </c>
      <c r="C345" s="31">
        <v>4301052057</v>
      </c>
      <c r="D345" s="642">
        <v>4680115887114</v>
      </c>
      <c r="E345" s="643"/>
      <c r="F345" s="634">
        <v>0.55000000000000004</v>
      </c>
      <c r="G345" s="32">
        <v>6</v>
      </c>
      <c r="H345" s="634">
        <v>3.3</v>
      </c>
      <c r="I345" s="634">
        <v>3.49</v>
      </c>
      <c r="J345" s="32">
        <v>132</v>
      </c>
      <c r="K345" s="32" t="s">
        <v>126</v>
      </c>
      <c r="L345" s="32"/>
      <c r="M345" s="33" t="s">
        <v>66</v>
      </c>
      <c r="N345" s="33"/>
      <c r="O345" s="32">
        <v>45</v>
      </c>
      <c r="P345" s="89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40"/>
      <c r="R345" s="640"/>
      <c r="S345" s="640"/>
      <c r="T345" s="641"/>
      <c r="U345" s="34"/>
      <c r="V345" s="34"/>
      <c r="W345" s="35" t="s">
        <v>67</v>
      </c>
      <c r="X345" s="635">
        <v>0</v>
      </c>
      <c r="Y345" s="636">
        <f>IFERROR(IF(X345="",0,CEILING((X345/$H345),1)*$H345),"")</f>
        <v>0</v>
      </c>
      <c r="Z345" s="36" t="str">
        <f>IFERROR(IF(Y345=0,"",ROUNDUP(Y345/H345,0)*0.00902),"")</f>
        <v/>
      </c>
      <c r="AA345" s="56"/>
      <c r="AB345" s="57"/>
      <c r="AC345" s="421" t="s">
        <v>572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37.5" hidden="1" customHeight="1" x14ac:dyDescent="0.25">
      <c r="A346" s="54" t="s">
        <v>573</v>
      </c>
      <c r="B346" s="54" t="s">
        <v>574</v>
      </c>
      <c r="C346" s="31">
        <v>4301052066</v>
      </c>
      <c r="D346" s="642">
        <v>4680115887466</v>
      </c>
      <c r="E346" s="643"/>
      <c r="F346" s="634">
        <v>0.7</v>
      </c>
      <c r="G346" s="32">
        <v>6</v>
      </c>
      <c r="H346" s="634">
        <v>4.2</v>
      </c>
      <c r="I346" s="634">
        <v>4.6159999999999997</v>
      </c>
      <c r="J346" s="32">
        <v>104</v>
      </c>
      <c r="K346" s="32" t="s">
        <v>116</v>
      </c>
      <c r="L346" s="32"/>
      <c r="M346" s="33" t="s">
        <v>66</v>
      </c>
      <c r="N346" s="33"/>
      <c r="O346" s="32">
        <v>45</v>
      </c>
      <c r="P346" s="922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5">
        <v>0</v>
      </c>
      <c r="Y346" s="636">
        <f>IFERROR(IF(X346="",0,CEILING((X346/$H346),1)*$H346),"")</f>
        <v>0</v>
      </c>
      <c r="Z346" s="36" t="str">
        <f>IFERROR(IF(Y346=0,"",ROUNDUP(Y346/H346,0)*0.01196),"")</f>
        <v/>
      </c>
      <c r="AA346" s="56"/>
      <c r="AB346" s="57"/>
      <c r="AC346" s="423" t="s">
        <v>575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47"/>
      <c r="B347" s="648"/>
      <c r="C347" s="648"/>
      <c r="D347" s="648"/>
      <c r="E347" s="648"/>
      <c r="F347" s="648"/>
      <c r="G347" s="648"/>
      <c r="H347" s="648"/>
      <c r="I347" s="648"/>
      <c r="J347" s="648"/>
      <c r="K347" s="648"/>
      <c r="L347" s="648"/>
      <c r="M347" s="648"/>
      <c r="N347" s="648"/>
      <c r="O347" s="649"/>
      <c r="P347" s="653" t="s">
        <v>81</v>
      </c>
      <c r="Q347" s="654"/>
      <c r="R347" s="654"/>
      <c r="S347" s="654"/>
      <c r="T347" s="654"/>
      <c r="U347" s="654"/>
      <c r="V347" s="655"/>
      <c r="W347" s="37" t="s">
        <v>82</v>
      </c>
      <c r="X347" s="637">
        <f>IFERROR(X344/H344,"0")+IFERROR(X345/H345,"0")+IFERROR(X346/H346,"0")</f>
        <v>0</v>
      </c>
      <c r="Y347" s="637">
        <f>IFERROR(Y344/H344,"0")+IFERROR(Y345/H345,"0")+IFERROR(Y346/H346,"0")</f>
        <v>0</v>
      </c>
      <c r="Z347" s="637">
        <f>IFERROR(IF(Z344="",0,Z344),"0")+IFERROR(IF(Z345="",0,Z345),"0")+IFERROR(IF(Z346="",0,Z346),"0")</f>
        <v>0</v>
      </c>
      <c r="AA347" s="638"/>
      <c r="AB347" s="638"/>
      <c r="AC347" s="638"/>
    </row>
    <row r="348" spans="1:68" hidden="1" x14ac:dyDescent="0.2">
      <c r="A348" s="648"/>
      <c r="B348" s="648"/>
      <c r="C348" s="648"/>
      <c r="D348" s="648"/>
      <c r="E348" s="648"/>
      <c r="F348" s="648"/>
      <c r="G348" s="648"/>
      <c r="H348" s="648"/>
      <c r="I348" s="648"/>
      <c r="J348" s="648"/>
      <c r="K348" s="648"/>
      <c r="L348" s="648"/>
      <c r="M348" s="648"/>
      <c r="N348" s="648"/>
      <c r="O348" s="649"/>
      <c r="P348" s="653" t="s">
        <v>81</v>
      </c>
      <c r="Q348" s="654"/>
      <c r="R348" s="654"/>
      <c r="S348" s="654"/>
      <c r="T348" s="654"/>
      <c r="U348" s="654"/>
      <c r="V348" s="655"/>
      <c r="W348" s="37" t="s">
        <v>67</v>
      </c>
      <c r="X348" s="637">
        <f>IFERROR(SUM(X344:X346),"0")</f>
        <v>0</v>
      </c>
      <c r="Y348" s="637">
        <f>IFERROR(SUM(Y344:Y346),"0")</f>
        <v>0</v>
      </c>
      <c r="Z348" s="37"/>
      <c r="AA348" s="638"/>
      <c r="AB348" s="638"/>
      <c r="AC348" s="638"/>
    </row>
    <row r="349" spans="1:68" ht="16.5" hidden="1" customHeight="1" x14ac:dyDescent="0.25">
      <c r="A349" s="652" t="s">
        <v>576</v>
      </c>
      <c r="B349" s="648"/>
      <c r="C349" s="648"/>
      <c r="D349" s="648"/>
      <c r="E349" s="648"/>
      <c r="F349" s="648"/>
      <c r="G349" s="648"/>
      <c r="H349" s="648"/>
      <c r="I349" s="648"/>
      <c r="J349" s="648"/>
      <c r="K349" s="648"/>
      <c r="L349" s="648"/>
      <c r="M349" s="648"/>
      <c r="N349" s="648"/>
      <c r="O349" s="648"/>
      <c r="P349" s="648"/>
      <c r="Q349" s="648"/>
      <c r="R349" s="648"/>
      <c r="S349" s="648"/>
      <c r="T349" s="648"/>
      <c r="U349" s="648"/>
      <c r="V349" s="648"/>
      <c r="W349" s="648"/>
      <c r="X349" s="648"/>
      <c r="Y349" s="648"/>
      <c r="Z349" s="648"/>
      <c r="AA349" s="630"/>
      <c r="AB349" s="630"/>
      <c r="AC349" s="630"/>
    </row>
    <row r="350" spans="1:68" ht="14.25" hidden="1" customHeight="1" x14ac:dyDescent="0.25">
      <c r="A350" s="658" t="s">
        <v>245</v>
      </c>
      <c r="B350" s="648"/>
      <c r="C350" s="648"/>
      <c r="D350" s="648"/>
      <c r="E350" s="648"/>
      <c r="F350" s="648"/>
      <c r="G350" s="648"/>
      <c r="H350" s="648"/>
      <c r="I350" s="648"/>
      <c r="J350" s="648"/>
      <c r="K350" s="648"/>
      <c r="L350" s="648"/>
      <c r="M350" s="648"/>
      <c r="N350" s="648"/>
      <c r="O350" s="648"/>
      <c r="P350" s="648"/>
      <c r="Q350" s="648"/>
      <c r="R350" s="648"/>
      <c r="S350" s="648"/>
      <c r="T350" s="648"/>
      <c r="U350" s="648"/>
      <c r="V350" s="648"/>
      <c r="W350" s="648"/>
      <c r="X350" s="648"/>
      <c r="Y350" s="648"/>
      <c r="Z350" s="648"/>
      <c r="AA350" s="631"/>
      <c r="AB350" s="631"/>
      <c r="AC350" s="631"/>
    </row>
    <row r="351" spans="1:68" ht="37.5" hidden="1" customHeight="1" x14ac:dyDescent="0.25">
      <c r="A351" s="54" t="s">
        <v>577</v>
      </c>
      <c r="B351" s="54" t="s">
        <v>578</v>
      </c>
      <c r="C351" s="31">
        <v>4301031283</v>
      </c>
      <c r="D351" s="642">
        <v>4680115886001</v>
      </c>
      <c r="E351" s="643"/>
      <c r="F351" s="634">
        <v>0.73</v>
      </c>
      <c r="G351" s="32">
        <v>6</v>
      </c>
      <c r="H351" s="634">
        <v>4.38</v>
      </c>
      <c r="I351" s="634">
        <v>4.57</v>
      </c>
      <c r="J351" s="32">
        <v>132</v>
      </c>
      <c r="K351" s="32" t="s">
        <v>126</v>
      </c>
      <c r="L351" s="32"/>
      <c r="M351" s="33" t="s">
        <v>122</v>
      </c>
      <c r="N351" s="33"/>
      <c r="O351" s="32">
        <v>45</v>
      </c>
      <c r="P351" s="791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40"/>
      <c r="R351" s="640"/>
      <c r="S351" s="640"/>
      <c r="T351" s="641"/>
      <c r="U351" s="34"/>
      <c r="V351" s="34"/>
      <c r="W351" s="35" t="s">
        <v>67</v>
      </c>
      <c r="X351" s="635">
        <v>0</v>
      </c>
      <c r="Y351" s="636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5" t="s">
        <v>579</v>
      </c>
      <c r="AG351" s="64"/>
      <c r="AJ351" s="68"/>
      <c r="AK351" s="68">
        <v>0</v>
      </c>
      <c r="BB351" s="426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47"/>
      <c r="B352" s="648"/>
      <c r="C352" s="648"/>
      <c r="D352" s="648"/>
      <c r="E352" s="648"/>
      <c r="F352" s="648"/>
      <c r="G352" s="648"/>
      <c r="H352" s="648"/>
      <c r="I352" s="648"/>
      <c r="J352" s="648"/>
      <c r="K352" s="648"/>
      <c r="L352" s="648"/>
      <c r="M352" s="648"/>
      <c r="N352" s="648"/>
      <c r="O352" s="649"/>
      <c r="P352" s="653" t="s">
        <v>81</v>
      </c>
      <c r="Q352" s="654"/>
      <c r="R352" s="654"/>
      <c r="S352" s="654"/>
      <c r="T352" s="654"/>
      <c r="U352" s="654"/>
      <c r="V352" s="655"/>
      <c r="W352" s="37" t="s">
        <v>82</v>
      </c>
      <c r="X352" s="637">
        <f>IFERROR(X351/H351,"0")</f>
        <v>0</v>
      </c>
      <c r="Y352" s="637">
        <f>IFERROR(Y351/H351,"0")</f>
        <v>0</v>
      </c>
      <c r="Z352" s="637">
        <f>IFERROR(IF(Z351="",0,Z351),"0")</f>
        <v>0</v>
      </c>
      <c r="AA352" s="638"/>
      <c r="AB352" s="638"/>
      <c r="AC352" s="638"/>
    </row>
    <row r="353" spans="1:68" hidden="1" x14ac:dyDescent="0.2">
      <c r="A353" s="648"/>
      <c r="B353" s="648"/>
      <c r="C353" s="648"/>
      <c r="D353" s="648"/>
      <c r="E353" s="648"/>
      <c r="F353" s="648"/>
      <c r="G353" s="648"/>
      <c r="H353" s="648"/>
      <c r="I353" s="648"/>
      <c r="J353" s="648"/>
      <c r="K353" s="648"/>
      <c r="L353" s="648"/>
      <c r="M353" s="648"/>
      <c r="N353" s="648"/>
      <c r="O353" s="649"/>
      <c r="P353" s="653" t="s">
        <v>81</v>
      </c>
      <c r="Q353" s="654"/>
      <c r="R353" s="654"/>
      <c r="S353" s="654"/>
      <c r="T353" s="654"/>
      <c r="U353" s="654"/>
      <c r="V353" s="655"/>
      <c r="W353" s="37" t="s">
        <v>67</v>
      </c>
      <c r="X353" s="637">
        <f>IFERROR(SUM(X351:X351),"0")</f>
        <v>0</v>
      </c>
      <c r="Y353" s="637">
        <f>IFERROR(SUM(Y351:Y351),"0")</f>
        <v>0</v>
      </c>
      <c r="Z353" s="37"/>
      <c r="AA353" s="638"/>
      <c r="AB353" s="638"/>
      <c r="AC353" s="638"/>
    </row>
    <row r="354" spans="1:68" ht="14.25" hidden="1" customHeight="1" x14ac:dyDescent="0.25">
      <c r="A354" s="658" t="s">
        <v>62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31"/>
      <c r="AB354" s="631"/>
      <c r="AC354" s="631"/>
    </row>
    <row r="355" spans="1:68" ht="27" hidden="1" customHeight="1" x14ac:dyDescent="0.25">
      <c r="A355" s="54" t="s">
        <v>580</v>
      </c>
      <c r="B355" s="54" t="s">
        <v>581</v>
      </c>
      <c r="C355" s="31">
        <v>4301051597</v>
      </c>
      <c r="D355" s="642">
        <v>4680115886087</v>
      </c>
      <c r="E355" s="643"/>
      <c r="F355" s="634">
        <v>1</v>
      </c>
      <c r="G355" s="32">
        <v>8</v>
      </c>
      <c r="H355" s="634">
        <v>8</v>
      </c>
      <c r="I355" s="634">
        <v>8.41</v>
      </c>
      <c r="J355" s="32">
        <v>64</v>
      </c>
      <c r="K355" s="32" t="s">
        <v>116</v>
      </c>
      <c r="L355" s="32"/>
      <c r="M355" s="33" t="s">
        <v>66</v>
      </c>
      <c r="N355" s="33"/>
      <c r="O355" s="32">
        <v>45</v>
      </c>
      <c r="P355" s="97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40"/>
      <c r="R355" s="640"/>
      <c r="S355" s="640"/>
      <c r="T355" s="641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47"/>
      <c r="B356" s="648"/>
      <c r="C356" s="648"/>
      <c r="D356" s="648"/>
      <c r="E356" s="648"/>
      <c r="F356" s="648"/>
      <c r="G356" s="648"/>
      <c r="H356" s="648"/>
      <c r="I356" s="648"/>
      <c r="J356" s="648"/>
      <c r="K356" s="648"/>
      <c r="L356" s="648"/>
      <c r="M356" s="648"/>
      <c r="N356" s="648"/>
      <c r="O356" s="649"/>
      <c r="P356" s="653" t="s">
        <v>81</v>
      </c>
      <c r="Q356" s="654"/>
      <c r="R356" s="654"/>
      <c r="S356" s="654"/>
      <c r="T356" s="654"/>
      <c r="U356" s="654"/>
      <c r="V356" s="655"/>
      <c r="W356" s="37" t="s">
        <v>82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8"/>
      <c r="B357" s="648"/>
      <c r="C357" s="648"/>
      <c r="D357" s="648"/>
      <c r="E357" s="648"/>
      <c r="F357" s="648"/>
      <c r="G357" s="648"/>
      <c r="H357" s="648"/>
      <c r="I357" s="648"/>
      <c r="J357" s="648"/>
      <c r="K357" s="648"/>
      <c r="L357" s="648"/>
      <c r="M357" s="648"/>
      <c r="N357" s="648"/>
      <c r="O357" s="649"/>
      <c r="P357" s="653" t="s">
        <v>81</v>
      </c>
      <c r="Q357" s="654"/>
      <c r="R357" s="654"/>
      <c r="S357" s="654"/>
      <c r="T357" s="654"/>
      <c r="U357" s="654"/>
      <c r="V357" s="655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6.5" hidden="1" customHeight="1" x14ac:dyDescent="0.25">
      <c r="A358" s="652" t="s">
        <v>583</v>
      </c>
      <c r="B358" s="648"/>
      <c r="C358" s="648"/>
      <c r="D358" s="648"/>
      <c r="E358" s="648"/>
      <c r="F358" s="648"/>
      <c r="G358" s="648"/>
      <c r="H358" s="648"/>
      <c r="I358" s="648"/>
      <c r="J358" s="648"/>
      <c r="K358" s="648"/>
      <c r="L358" s="648"/>
      <c r="M358" s="648"/>
      <c r="N358" s="648"/>
      <c r="O358" s="648"/>
      <c r="P358" s="648"/>
      <c r="Q358" s="648"/>
      <c r="R358" s="648"/>
      <c r="S358" s="648"/>
      <c r="T358" s="648"/>
      <c r="U358" s="648"/>
      <c r="V358" s="648"/>
      <c r="W358" s="648"/>
      <c r="X358" s="648"/>
      <c r="Y358" s="648"/>
      <c r="Z358" s="648"/>
      <c r="AA358" s="630"/>
      <c r="AB358" s="630"/>
      <c r="AC358" s="630"/>
    </row>
    <row r="359" spans="1:68" ht="14.25" hidden="1" customHeight="1" x14ac:dyDescent="0.25">
      <c r="A359" s="658" t="s">
        <v>113</v>
      </c>
      <c r="B359" s="648"/>
      <c r="C359" s="648"/>
      <c r="D359" s="648"/>
      <c r="E359" s="648"/>
      <c r="F359" s="648"/>
      <c r="G359" s="648"/>
      <c r="H359" s="648"/>
      <c r="I359" s="648"/>
      <c r="J359" s="648"/>
      <c r="K359" s="648"/>
      <c r="L359" s="648"/>
      <c r="M359" s="648"/>
      <c r="N359" s="648"/>
      <c r="O359" s="648"/>
      <c r="P359" s="648"/>
      <c r="Q359" s="648"/>
      <c r="R359" s="648"/>
      <c r="S359" s="648"/>
      <c r="T359" s="648"/>
      <c r="U359" s="648"/>
      <c r="V359" s="648"/>
      <c r="W359" s="648"/>
      <c r="X359" s="648"/>
      <c r="Y359" s="648"/>
      <c r="Z359" s="648"/>
      <c r="AA359" s="631"/>
      <c r="AB359" s="631"/>
      <c r="AC359" s="631"/>
    </row>
    <row r="360" spans="1:68" ht="27" customHeight="1" x14ac:dyDescent="0.25">
      <c r="A360" s="54" t="s">
        <v>584</v>
      </c>
      <c r="B360" s="54" t="s">
        <v>585</v>
      </c>
      <c r="C360" s="31">
        <v>4301012324</v>
      </c>
      <c r="D360" s="642">
        <v>4680115887947</v>
      </c>
      <c r="E360" s="643"/>
      <c r="F360" s="634">
        <v>1.3</v>
      </c>
      <c r="G360" s="32">
        <v>6</v>
      </c>
      <c r="H360" s="634">
        <v>7.8</v>
      </c>
      <c r="I360" s="634">
        <v>8.2100000000000009</v>
      </c>
      <c r="J360" s="32">
        <v>64</v>
      </c>
      <c r="K360" s="32" t="s">
        <v>116</v>
      </c>
      <c r="L360" s="32"/>
      <c r="M360" s="33" t="s">
        <v>66</v>
      </c>
      <c r="N360" s="33"/>
      <c r="O360" s="32">
        <v>60</v>
      </c>
      <c r="P360" s="100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40"/>
      <c r="R360" s="640"/>
      <c r="S360" s="640"/>
      <c r="T360" s="641"/>
      <c r="U360" s="34"/>
      <c r="V360" s="34"/>
      <c r="W360" s="35" t="s">
        <v>67</v>
      </c>
      <c r="X360" s="635">
        <v>21</v>
      </c>
      <c r="Y360" s="636">
        <f>IFERROR(IF(X360="",0,CEILING((X360/$H360),1)*$H360),"")</f>
        <v>23.4</v>
      </c>
      <c r="Z360" s="36">
        <f>IFERROR(IF(Y360=0,"",ROUNDUP(Y360/H360,0)*0.01898),"")</f>
        <v>5.6940000000000004E-2</v>
      </c>
      <c r="AA360" s="56"/>
      <c r="AB360" s="57"/>
      <c r="AC360" s="429" t="s">
        <v>338</v>
      </c>
      <c r="AG360" s="64"/>
      <c r="AJ360" s="68"/>
      <c r="AK360" s="68">
        <v>0</v>
      </c>
      <c r="BB360" s="430" t="s">
        <v>1</v>
      </c>
      <c r="BM360" s="64">
        <f>IFERROR(X360*I360/H360,"0")</f>
        <v>22.103846153846156</v>
      </c>
      <c r="BN360" s="64">
        <f>IFERROR(Y360*I360/H360,"0")</f>
        <v>24.630000000000003</v>
      </c>
      <c r="BO360" s="64">
        <f>IFERROR(1/J360*(X360/H360),"0")</f>
        <v>4.2067307692307696E-2</v>
      </c>
      <c r="BP360" s="64">
        <f>IFERROR(1/J360*(Y360/H360),"0")</f>
        <v>4.6875E-2</v>
      </c>
    </row>
    <row r="361" spans="1:68" ht="27" customHeight="1" x14ac:dyDescent="0.25">
      <c r="A361" s="54" t="s">
        <v>586</v>
      </c>
      <c r="B361" s="54" t="s">
        <v>587</v>
      </c>
      <c r="C361" s="31">
        <v>4301012325</v>
      </c>
      <c r="D361" s="642">
        <v>4680115887978</v>
      </c>
      <c r="E361" s="643"/>
      <c r="F361" s="634">
        <v>1.3</v>
      </c>
      <c r="G361" s="32">
        <v>6</v>
      </c>
      <c r="H361" s="634">
        <v>7.8</v>
      </c>
      <c r="I361" s="634">
        <v>8.2100000000000009</v>
      </c>
      <c r="J361" s="32">
        <v>64</v>
      </c>
      <c r="K361" s="32" t="s">
        <v>116</v>
      </c>
      <c r="L361" s="32"/>
      <c r="M361" s="33" t="s">
        <v>66</v>
      </c>
      <c r="N361" s="33"/>
      <c r="O361" s="32">
        <v>60</v>
      </c>
      <c r="P361" s="81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40"/>
      <c r="R361" s="640"/>
      <c r="S361" s="640"/>
      <c r="T361" s="641"/>
      <c r="U361" s="34"/>
      <c r="V361" s="34"/>
      <c r="W361" s="35" t="s">
        <v>67</v>
      </c>
      <c r="X361" s="635">
        <v>89</v>
      </c>
      <c r="Y361" s="636">
        <f>IFERROR(IF(X361="",0,CEILING((X361/$H361),1)*$H361),"")</f>
        <v>93.6</v>
      </c>
      <c r="Z361" s="36">
        <f>IFERROR(IF(Y361=0,"",ROUNDUP(Y361/H361,0)*0.01898),"")</f>
        <v>0.22776000000000002</v>
      </c>
      <c r="AA361" s="56"/>
      <c r="AB361" s="57"/>
      <c r="AC361" s="431" t="s">
        <v>588</v>
      </c>
      <c r="AG361" s="64"/>
      <c r="AJ361" s="68"/>
      <c r="AK361" s="68">
        <v>0</v>
      </c>
      <c r="BB361" s="432" t="s">
        <v>1</v>
      </c>
      <c r="BM361" s="64">
        <f>IFERROR(X361*I361/H361,"0")</f>
        <v>93.678205128205136</v>
      </c>
      <c r="BN361" s="64">
        <f>IFERROR(Y361*I361/H361,"0")</f>
        <v>98.52000000000001</v>
      </c>
      <c r="BO361" s="64">
        <f>IFERROR(1/J361*(X361/H361),"0")</f>
        <v>0.17828525641025642</v>
      </c>
      <c r="BP361" s="64">
        <f>IFERROR(1/J361*(Y361/H361),"0")</f>
        <v>0.1875</v>
      </c>
    </row>
    <row r="362" spans="1:68" ht="27" hidden="1" customHeight="1" x14ac:dyDescent="0.25">
      <c r="A362" s="54" t="s">
        <v>589</v>
      </c>
      <c r="B362" s="54" t="s">
        <v>590</v>
      </c>
      <c r="C362" s="31">
        <v>4301012327</v>
      </c>
      <c r="D362" s="642">
        <v>4680115887992</v>
      </c>
      <c r="E362" s="643"/>
      <c r="F362" s="634">
        <v>1.3</v>
      </c>
      <c r="G362" s="32">
        <v>6</v>
      </c>
      <c r="H362" s="634">
        <v>7.8</v>
      </c>
      <c r="I362" s="634">
        <v>8.2100000000000009</v>
      </c>
      <c r="J362" s="32">
        <v>64</v>
      </c>
      <c r="K362" s="32" t="s">
        <v>116</v>
      </c>
      <c r="L362" s="32"/>
      <c r="M362" s="33" t="s">
        <v>66</v>
      </c>
      <c r="N362" s="33"/>
      <c r="O362" s="32">
        <v>60</v>
      </c>
      <c r="P362" s="95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5">
        <v>0</v>
      </c>
      <c r="Y362" s="63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3" t="s">
        <v>591</v>
      </c>
      <c r="AG362" s="64"/>
      <c r="AJ362" s="68"/>
      <c r="AK362" s="68">
        <v>0</v>
      </c>
      <c r="BB362" s="43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647"/>
      <c r="B363" s="648"/>
      <c r="C363" s="648"/>
      <c r="D363" s="648"/>
      <c r="E363" s="648"/>
      <c r="F363" s="648"/>
      <c r="G363" s="648"/>
      <c r="H363" s="648"/>
      <c r="I363" s="648"/>
      <c r="J363" s="648"/>
      <c r="K363" s="648"/>
      <c r="L363" s="648"/>
      <c r="M363" s="648"/>
      <c r="N363" s="648"/>
      <c r="O363" s="649"/>
      <c r="P363" s="653" t="s">
        <v>81</v>
      </c>
      <c r="Q363" s="654"/>
      <c r="R363" s="654"/>
      <c r="S363" s="654"/>
      <c r="T363" s="654"/>
      <c r="U363" s="654"/>
      <c r="V363" s="655"/>
      <c r="W363" s="37" t="s">
        <v>82</v>
      </c>
      <c r="X363" s="637">
        <f>IFERROR(X360/H360,"0")+IFERROR(X361/H361,"0")+IFERROR(X362/H362,"0")</f>
        <v>14.102564102564102</v>
      </c>
      <c r="Y363" s="637">
        <f>IFERROR(Y360/H360,"0")+IFERROR(Y361/H361,"0")+IFERROR(Y362/H362,"0")</f>
        <v>15</v>
      </c>
      <c r="Z363" s="637">
        <f>IFERROR(IF(Z360="",0,Z360),"0")+IFERROR(IF(Z361="",0,Z361),"0")+IFERROR(IF(Z362="",0,Z362),"0")</f>
        <v>0.28470000000000001</v>
      </c>
      <c r="AA363" s="638"/>
      <c r="AB363" s="638"/>
      <c r="AC363" s="638"/>
    </row>
    <row r="364" spans="1:68" x14ac:dyDescent="0.2">
      <c r="A364" s="648"/>
      <c r="B364" s="648"/>
      <c r="C364" s="648"/>
      <c r="D364" s="648"/>
      <c r="E364" s="648"/>
      <c r="F364" s="648"/>
      <c r="G364" s="648"/>
      <c r="H364" s="648"/>
      <c r="I364" s="648"/>
      <c r="J364" s="648"/>
      <c r="K364" s="648"/>
      <c r="L364" s="648"/>
      <c r="M364" s="648"/>
      <c r="N364" s="648"/>
      <c r="O364" s="649"/>
      <c r="P364" s="653" t="s">
        <v>81</v>
      </c>
      <c r="Q364" s="654"/>
      <c r="R364" s="654"/>
      <c r="S364" s="654"/>
      <c r="T364" s="654"/>
      <c r="U364" s="654"/>
      <c r="V364" s="655"/>
      <c r="W364" s="37" t="s">
        <v>67</v>
      </c>
      <c r="X364" s="637">
        <f>IFERROR(SUM(X360:X362),"0")</f>
        <v>110</v>
      </c>
      <c r="Y364" s="637">
        <f>IFERROR(SUM(Y360:Y362),"0")</f>
        <v>117</v>
      </c>
      <c r="Z364" s="37"/>
      <c r="AA364" s="638"/>
      <c r="AB364" s="638"/>
      <c r="AC364" s="638"/>
    </row>
    <row r="365" spans="1:68" ht="16.5" hidden="1" customHeight="1" x14ac:dyDescent="0.25">
      <c r="A365" s="652" t="s">
        <v>592</v>
      </c>
      <c r="B365" s="648"/>
      <c r="C365" s="648"/>
      <c r="D365" s="648"/>
      <c r="E365" s="648"/>
      <c r="F365" s="648"/>
      <c r="G365" s="648"/>
      <c r="H365" s="648"/>
      <c r="I365" s="648"/>
      <c r="J365" s="648"/>
      <c r="K365" s="648"/>
      <c r="L365" s="648"/>
      <c r="M365" s="648"/>
      <c r="N365" s="648"/>
      <c r="O365" s="648"/>
      <c r="P365" s="648"/>
      <c r="Q365" s="648"/>
      <c r="R365" s="648"/>
      <c r="S365" s="648"/>
      <c r="T365" s="648"/>
      <c r="U365" s="648"/>
      <c r="V365" s="648"/>
      <c r="W365" s="648"/>
      <c r="X365" s="648"/>
      <c r="Y365" s="648"/>
      <c r="Z365" s="648"/>
      <c r="AA365" s="630"/>
      <c r="AB365" s="630"/>
      <c r="AC365" s="630"/>
    </row>
    <row r="366" spans="1:68" ht="14.25" hidden="1" customHeight="1" x14ac:dyDescent="0.25">
      <c r="A366" s="658" t="s">
        <v>113</v>
      </c>
      <c r="B366" s="648"/>
      <c r="C366" s="648"/>
      <c r="D366" s="648"/>
      <c r="E366" s="648"/>
      <c r="F366" s="648"/>
      <c r="G366" s="648"/>
      <c r="H366" s="648"/>
      <c r="I366" s="648"/>
      <c r="J366" s="648"/>
      <c r="K366" s="648"/>
      <c r="L366" s="648"/>
      <c r="M366" s="648"/>
      <c r="N366" s="648"/>
      <c r="O366" s="648"/>
      <c r="P366" s="648"/>
      <c r="Q366" s="648"/>
      <c r="R366" s="648"/>
      <c r="S366" s="648"/>
      <c r="T366" s="648"/>
      <c r="U366" s="648"/>
      <c r="V366" s="648"/>
      <c r="W366" s="648"/>
      <c r="X366" s="648"/>
      <c r="Y366" s="648"/>
      <c r="Z366" s="648"/>
      <c r="AA366" s="631"/>
      <c r="AB366" s="631"/>
      <c r="AC366" s="631"/>
    </row>
    <row r="367" spans="1:68" ht="27" hidden="1" customHeight="1" x14ac:dyDescent="0.25">
      <c r="A367" s="54" t="s">
        <v>593</v>
      </c>
      <c r="B367" s="54" t="s">
        <v>594</v>
      </c>
      <c r="C367" s="31">
        <v>4301012360</v>
      </c>
      <c r="D367" s="642">
        <v>4680115889293</v>
      </c>
      <c r="E367" s="643"/>
      <c r="F367" s="634">
        <v>1.35</v>
      </c>
      <c r="G367" s="32">
        <v>8</v>
      </c>
      <c r="H367" s="634">
        <v>10.8</v>
      </c>
      <c r="I367" s="634">
        <v>11.21</v>
      </c>
      <c r="J367" s="32">
        <v>64</v>
      </c>
      <c r="K367" s="32" t="s">
        <v>116</v>
      </c>
      <c r="L367" s="32"/>
      <c r="M367" s="33" t="s">
        <v>117</v>
      </c>
      <c r="N367" s="33"/>
      <c r="O367" s="32">
        <v>55</v>
      </c>
      <c r="P367" s="96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40"/>
      <c r="R367" s="640"/>
      <c r="S367" s="640"/>
      <c r="T367" s="641"/>
      <c r="U367" s="34"/>
      <c r="V367" s="34"/>
      <c r="W367" s="35" t="s">
        <v>67</v>
      </c>
      <c r="X367" s="635">
        <v>0</v>
      </c>
      <c r="Y367" s="636">
        <f t="shared" ref="Y367:Y373" si="52"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35" t="s">
        <v>595</v>
      </c>
      <c r="AG367" s="64"/>
      <c r="AJ367" s="68"/>
      <c r="AK367" s="68">
        <v>0</v>
      </c>
      <c r="BB367" s="436" t="s">
        <v>1</v>
      </c>
      <c r="BM367" s="64">
        <f t="shared" ref="BM367:BM373" si="53">IFERROR(X367*I367/H367,"0")</f>
        <v>0</v>
      </c>
      <c r="BN367" s="64">
        <f t="shared" ref="BN367:BN373" si="54">IFERROR(Y367*I367/H367,"0")</f>
        <v>0</v>
      </c>
      <c r="BO367" s="64">
        <f t="shared" ref="BO367:BO373" si="55">IFERROR(1/J367*(X367/H367),"0")</f>
        <v>0</v>
      </c>
      <c r="BP367" s="64">
        <f t="shared" ref="BP367:BP373" si="56">IFERROR(1/J367*(Y367/H367),"0")</f>
        <v>0</v>
      </c>
    </row>
    <row r="368" spans="1:68" ht="27" hidden="1" customHeight="1" x14ac:dyDescent="0.25">
      <c r="A368" s="54" t="s">
        <v>596</v>
      </c>
      <c r="B368" s="54" t="s">
        <v>597</v>
      </c>
      <c r="C368" s="31">
        <v>4301012235</v>
      </c>
      <c r="D368" s="642">
        <v>4680115887190</v>
      </c>
      <c r="E368" s="643"/>
      <c r="F368" s="634">
        <v>1.35</v>
      </c>
      <c r="G368" s="32">
        <v>8</v>
      </c>
      <c r="H368" s="634">
        <v>10.8</v>
      </c>
      <c r="I368" s="634">
        <v>11.21</v>
      </c>
      <c r="J368" s="32">
        <v>64</v>
      </c>
      <c r="K368" s="32" t="s">
        <v>116</v>
      </c>
      <c r="L368" s="32"/>
      <c r="M368" s="33" t="s">
        <v>117</v>
      </c>
      <c r="N368" s="33"/>
      <c r="O368" s="32">
        <v>55</v>
      </c>
      <c r="P368" s="98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40"/>
      <c r="R368" s="640"/>
      <c r="S368" s="640"/>
      <c r="T368" s="641"/>
      <c r="U368" s="34"/>
      <c r="V368" s="34"/>
      <c r="W368" s="35" t="s">
        <v>67</v>
      </c>
      <c r="X368" s="635">
        <v>0</v>
      </c>
      <c r="Y368" s="636">
        <f t="shared" si="52"/>
        <v>0</v>
      </c>
      <c r="Z368" s="36" t="str">
        <f>IFERROR(IF(Y368=0,"",ROUNDUP(Y368/H368,0)*0.01898),"")</f>
        <v/>
      </c>
      <c r="AA368" s="56"/>
      <c r="AB368" s="57"/>
      <c r="AC368" s="437" t="s">
        <v>598</v>
      </c>
      <c r="AG368" s="64"/>
      <c r="AJ368" s="68"/>
      <c r="AK368" s="68">
        <v>0</v>
      </c>
      <c r="BB368" s="438" t="s">
        <v>1</v>
      </c>
      <c r="BM368" s="64">
        <f t="shared" si="53"/>
        <v>0</v>
      </c>
      <c r="BN368" s="64">
        <f t="shared" si="54"/>
        <v>0</v>
      </c>
      <c r="BO368" s="64">
        <f t="shared" si="55"/>
        <v>0</v>
      </c>
      <c r="BP368" s="64">
        <f t="shared" si="56"/>
        <v>0</v>
      </c>
    </row>
    <row r="369" spans="1:68" ht="27" hidden="1" customHeight="1" x14ac:dyDescent="0.25">
      <c r="A369" s="54" t="s">
        <v>599</v>
      </c>
      <c r="B369" s="54" t="s">
        <v>600</v>
      </c>
      <c r="C369" s="31">
        <v>4301012400</v>
      </c>
      <c r="D369" s="642">
        <v>4680115889880</v>
      </c>
      <c r="E369" s="643"/>
      <c r="F369" s="634">
        <v>1.35</v>
      </c>
      <c r="G369" s="32">
        <v>8</v>
      </c>
      <c r="H369" s="634">
        <v>10.8</v>
      </c>
      <c r="I369" s="634">
        <v>11.21</v>
      </c>
      <c r="J369" s="32">
        <v>64</v>
      </c>
      <c r="K369" s="32" t="s">
        <v>116</v>
      </c>
      <c r="L369" s="32"/>
      <c r="M369" s="33" t="s">
        <v>117</v>
      </c>
      <c r="N369" s="33"/>
      <c r="O369" s="32">
        <v>55</v>
      </c>
      <c r="P369" s="94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5">
        <v>0</v>
      </c>
      <c r="Y369" s="636">
        <f t="shared" si="52"/>
        <v>0</v>
      </c>
      <c r="Z369" s="36" t="str">
        <f>IFERROR(IF(Y369=0,"",ROUNDUP(Y369/H369,0)*0.01898),"")</f>
        <v/>
      </c>
      <c r="AA369" s="56"/>
      <c r="AB369" s="57"/>
      <c r="AC369" s="439" t="s">
        <v>498</v>
      </c>
      <c r="AG369" s="64"/>
      <c r="AJ369" s="68"/>
      <c r="AK369" s="68">
        <v>0</v>
      </c>
      <c r="BB369" s="440" t="s">
        <v>1</v>
      </c>
      <c r="BM369" s="64">
        <f t="shared" si="53"/>
        <v>0</v>
      </c>
      <c r="BN369" s="64">
        <f t="shared" si="54"/>
        <v>0</v>
      </c>
      <c r="BO369" s="64">
        <f t="shared" si="55"/>
        <v>0</v>
      </c>
      <c r="BP369" s="64">
        <f t="shared" si="56"/>
        <v>0</v>
      </c>
    </row>
    <row r="370" spans="1:68" ht="37.5" hidden="1" customHeight="1" x14ac:dyDescent="0.25">
      <c r="A370" s="54" t="s">
        <v>601</v>
      </c>
      <c r="B370" s="54" t="s">
        <v>602</v>
      </c>
      <c r="C370" s="31">
        <v>4301012233</v>
      </c>
      <c r="D370" s="642">
        <v>4680115887138</v>
      </c>
      <c r="E370" s="643"/>
      <c r="F370" s="634">
        <v>1.35</v>
      </c>
      <c r="G370" s="32">
        <v>8</v>
      </c>
      <c r="H370" s="634">
        <v>10.8</v>
      </c>
      <c r="I370" s="634">
        <v>11.21</v>
      </c>
      <c r="J370" s="32">
        <v>64</v>
      </c>
      <c r="K370" s="32" t="s">
        <v>116</v>
      </c>
      <c r="L370" s="32"/>
      <c r="M370" s="33" t="s">
        <v>117</v>
      </c>
      <c r="N370" s="33"/>
      <c r="O370" s="32">
        <v>55</v>
      </c>
      <c r="P370" s="97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5">
        <v>0</v>
      </c>
      <c r="Y370" s="636">
        <f t="shared" si="52"/>
        <v>0</v>
      </c>
      <c r="Z370" s="36" t="str">
        <f>IFERROR(IF(Y370=0,"",ROUNDUP(Y370/H370,0)*0.01898),"")</f>
        <v/>
      </c>
      <c r="AA370" s="56"/>
      <c r="AB370" s="57"/>
      <c r="AC370" s="441" t="s">
        <v>603</v>
      </c>
      <c r="AG370" s="64"/>
      <c r="AJ370" s="68"/>
      <c r="AK370" s="68">
        <v>0</v>
      </c>
      <c r="BB370" s="442" t="s">
        <v>1</v>
      </c>
      <c r="BM370" s="64">
        <f t="shared" si="53"/>
        <v>0</v>
      </c>
      <c r="BN370" s="64">
        <f t="shared" si="54"/>
        <v>0</v>
      </c>
      <c r="BO370" s="64">
        <f t="shared" si="55"/>
        <v>0</v>
      </c>
      <c r="BP370" s="64">
        <f t="shared" si="56"/>
        <v>0</v>
      </c>
    </row>
    <row r="371" spans="1:68" ht="27" customHeight="1" x14ac:dyDescent="0.25">
      <c r="A371" s="54" t="s">
        <v>604</v>
      </c>
      <c r="B371" s="54" t="s">
        <v>605</v>
      </c>
      <c r="C371" s="31">
        <v>4301012016</v>
      </c>
      <c r="D371" s="642">
        <v>4680115885554</v>
      </c>
      <c r="E371" s="643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116</v>
      </c>
      <c r="L371" s="32"/>
      <c r="M371" s="33" t="s">
        <v>66</v>
      </c>
      <c r="N371" s="33"/>
      <c r="O371" s="32">
        <v>55</v>
      </c>
      <c r="P371" s="78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5">
        <v>31</v>
      </c>
      <c r="Y371" s="636">
        <f t="shared" si="52"/>
        <v>32.400000000000006</v>
      </c>
      <c r="Z371" s="36">
        <f>IFERROR(IF(Y371=0,"",ROUNDUP(Y371/H371,0)*0.01898),"")</f>
        <v>5.6940000000000004E-2</v>
      </c>
      <c r="AA371" s="56"/>
      <c r="AB371" s="57"/>
      <c r="AC371" s="443" t="s">
        <v>606</v>
      </c>
      <c r="AG371" s="64"/>
      <c r="AJ371" s="68"/>
      <c r="AK371" s="68">
        <v>0</v>
      </c>
      <c r="BB371" s="444" t="s">
        <v>1</v>
      </c>
      <c r="BM371" s="64">
        <f t="shared" si="53"/>
        <v>32.176851851851858</v>
      </c>
      <c r="BN371" s="64">
        <f t="shared" si="54"/>
        <v>33.630000000000003</v>
      </c>
      <c r="BO371" s="64">
        <f t="shared" si="55"/>
        <v>4.4849537037037035E-2</v>
      </c>
      <c r="BP371" s="64">
        <f t="shared" si="56"/>
        <v>4.6875000000000007E-2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4301012236</v>
      </c>
      <c r="D372" s="642">
        <v>4680115887220</v>
      </c>
      <c r="E372" s="643"/>
      <c r="F372" s="634">
        <v>0.4</v>
      </c>
      <c r="G372" s="32">
        <v>10</v>
      </c>
      <c r="H372" s="634">
        <v>4</v>
      </c>
      <c r="I372" s="634">
        <v>4.1900000000000004</v>
      </c>
      <c r="J372" s="32">
        <v>132</v>
      </c>
      <c r="K372" s="32" t="s">
        <v>126</v>
      </c>
      <c r="L372" s="32"/>
      <c r="M372" s="33" t="s">
        <v>117</v>
      </c>
      <c r="N372" s="33"/>
      <c r="O372" s="32">
        <v>55</v>
      </c>
      <c r="P372" s="80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5">
        <v>0</v>
      </c>
      <c r="Y372" s="636">
        <f t="shared" si="52"/>
        <v>0</v>
      </c>
      <c r="Z372" s="36" t="str">
        <f>IFERROR(IF(Y372=0,"",ROUNDUP(Y372/H372,0)*0.00902),"")</f>
        <v/>
      </c>
      <c r="AA372" s="56"/>
      <c r="AB372" s="57"/>
      <c r="AC372" s="445" t="s">
        <v>598</v>
      </c>
      <c r="AG372" s="64"/>
      <c r="AJ372" s="68"/>
      <c r="AK372" s="68">
        <v>0</v>
      </c>
      <c r="BB372" s="446" t="s">
        <v>1</v>
      </c>
      <c r="BM372" s="64">
        <f t="shared" si="53"/>
        <v>0</v>
      </c>
      <c r="BN372" s="64">
        <f t="shared" si="54"/>
        <v>0</v>
      </c>
      <c r="BO372" s="64">
        <f t="shared" si="55"/>
        <v>0</v>
      </c>
      <c r="BP372" s="64">
        <f t="shared" si="56"/>
        <v>0</v>
      </c>
    </row>
    <row r="373" spans="1:68" ht="27" hidden="1" customHeight="1" x14ac:dyDescent="0.25">
      <c r="A373" s="54" t="s">
        <v>609</v>
      </c>
      <c r="B373" s="54" t="s">
        <v>610</v>
      </c>
      <c r="C373" s="31">
        <v>4301011859</v>
      </c>
      <c r="D373" s="642">
        <v>4680115885608</v>
      </c>
      <c r="E373" s="643"/>
      <c r="F373" s="634">
        <v>0.4</v>
      </c>
      <c r="G373" s="32">
        <v>10</v>
      </c>
      <c r="H373" s="634">
        <v>4</v>
      </c>
      <c r="I373" s="634">
        <v>4.1900000000000004</v>
      </c>
      <c r="J373" s="32">
        <v>132</v>
      </c>
      <c r="K373" s="32" t="s">
        <v>126</v>
      </c>
      <c r="L373" s="32"/>
      <c r="M373" s="33" t="s">
        <v>117</v>
      </c>
      <c r="N373" s="33"/>
      <c r="O373" s="32">
        <v>55</v>
      </c>
      <c r="P373" s="100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5">
        <v>0</v>
      </c>
      <c r="Y373" s="636">
        <f t="shared" si="52"/>
        <v>0</v>
      </c>
      <c r="Z373" s="36" t="str">
        <f>IFERROR(IF(Y373=0,"",ROUNDUP(Y373/H373,0)*0.00902),"")</f>
        <v/>
      </c>
      <c r="AA373" s="56"/>
      <c r="AB373" s="57"/>
      <c r="AC373" s="447" t="s">
        <v>611</v>
      </c>
      <c r="AG373" s="64"/>
      <c r="AJ373" s="68"/>
      <c r="AK373" s="68">
        <v>0</v>
      </c>
      <c r="BB373" s="448" t="s">
        <v>1</v>
      </c>
      <c r="BM373" s="64">
        <f t="shared" si="53"/>
        <v>0</v>
      </c>
      <c r="BN373" s="64">
        <f t="shared" si="54"/>
        <v>0</v>
      </c>
      <c r="BO373" s="64">
        <f t="shared" si="55"/>
        <v>0</v>
      </c>
      <c r="BP373" s="64">
        <f t="shared" si="56"/>
        <v>0</v>
      </c>
    </row>
    <row r="374" spans="1:68" x14ac:dyDescent="0.2">
      <c r="A374" s="647"/>
      <c r="B374" s="648"/>
      <c r="C374" s="648"/>
      <c r="D374" s="648"/>
      <c r="E374" s="648"/>
      <c r="F374" s="648"/>
      <c r="G374" s="648"/>
      <c r="H374" s="648"/>
      <c r="I374" s="648"/>
      <c r="J374" s="648"/>
      <c r="K374" s="648"/>
      <c r="L374" s="648"/>
      <c r="M374" s="648"/>
      <c r="N374" s="648"/>
      <c r="O374" s="649"/>
      <c r="P374" s="653" t="s">
        <v>81</v>
      </c>
      <c r="Q374" s="654"/>
      <c r="R374" s="654"/>
      <c r="S374" s="654"/>
      <c r="T374" s="654"/>
      <c r="U374" s="654"/>
      <c r="V374" s="655"/>
      <c r="W374" s="37" t="s">
        <v>82</v>
      </c>
      <c r="X374" s="637">
        <f>IFERROR(X367/H367,"0")+IFERROR(X368/H368,"0")+IFERROR(X369/H369,"0")+IFERROR(X370/H370,"0")+IFERROR(X371/H371,"0")+IFERROR(X372/H372,"0")+IFERROR(X373/H373,"0")</f>
        <v>2.8703703703703702</v>
      </c>
      <c r="Y374" s="637">
        <f>IFERROR(Y367/H367,"0")+IFERROR(Y368/H368,"0")+IFERROR(Y369/H369,"0")+IFERROR(Y370/H370,"0")+IFERROR(Y371/H371,"0")+IFERROR(Y372/H372,"0")+IFERROR(Y373/H373,"0")</f>
        <v>3.0000000000000004</v>
      </c>
      <c r="Z374" s="637">
        <f>IFERROR(IF(Z367="",0,Z367),"0")+IFERROR(IF(Z368="",0,Z368),"0")+IFERROR(IF(Z369="",0,Z369),"0")+IFERROR(IF(Z370="",0,Z370),"0")+IFERROR(IF(Z371="",0,Z371),"0")+IFERROR(IF(Z372="",0,Z372),"0")+IFERROR(IF(Z373="",0,Z373),"0")</f>
        <v>5.6940000000000004E-2</v>
      </c>
      <c r="AA374" s="638"/>
      <c r="AB374" s="638"/>
      <c r="AC374" s="638"/>
    </row>
    <row r="375" spans="1:68" x14ac:dyDescent="0.2">
      <c r="A375" s="648"/>
      <c r="B375" s="648"/>
      <c r="C375" s="648"/>
      <c r="D375" s="648"/>
      <c r="E375" s="648"/>
      <c r="F375" s="648"/>
      <c r="G375" s="648"/>
      <c r="H375" s="648"/>
      <c r="I375" s="648"/>
      <c r="J375" s="648"/>
      <c r="K375" s="648"/>
      <c r="L375" s="648"/>
      <c r="M375" s="648"/>
      <c r="N375" s="648"/>
      <c r="O375" s="649"/>
      <c r="P375" s="653" t="s">
        <v>81</v>
      </c>
      <c r="Q375" s="654"/>
      <c r="R375" s="654"/>
      <c r="S375" s="654"/>
      <c r="T375" s="654"/>
      <c r="U375" s="654"/>
      <c r="V375" s="655"/>
      <c r="W375" s="37" t="s">
        <v>67</v>
      </c>
      <c r="X375" s="637">
        <f>IFERROR(SUM(X367:X373),"0")</f>
        <v>31</v>
      </c>
      <c r="Y375" s="637">
        <f>IFERROR(SUM(Y367:Y373),"0")</f>
        <v>32.400000000000006</v>
      </c>
      <c r="Z375" s="37"/>
      <c r="AA375" s="638"/>
      <c r="AB375" s="638"/>
      <c r="AC375" s="638"/>
    </row>
    <row r="376" spans="1:68" ht="14.25" hidden="1" customHeight="1" x14ac:dyDescent="0.25">
      <c r="A376" s="658" t="s">
        <v>245</v>
      </c>
      <c r="B376" s="648"/>
      <c r="C376" s="648"/>
      <c r="D376" s="648"/>
      <c r="E376" s="648"/>
      <c r="F376" s="648"/>
      <c r="G376" s="648"/>
      <c r="H376" s="648"/>
      <c r="I376" s="648"/>
      <c r="J376" s="648"/>
      <c r="K376" s="648"/>
      <c r="L376" s="648"/>
      <c r="M376" s="648"/>
      <c r="N376" s="648"/>
      <c r="O376" s="648"/>
      <c r="P376" s="648"/>
      <c r="Q376" s="648"/>
      <c r="R376" s="648"/>
      <c r="S376" s="648"/>
      <c r="T376" s="648"/>
      <c r="U376" s="648"/>
      <c r="V376" s="648"/>
      <c r="W376" s="648"/>
      <c r="X376" s="648"/>
      <c r="Y376" s="648"/>
      <c r="Z376" s="648"/>
      <c r="AA376" s="631"/>
      <c r="AB376" s="631"/>
      <c r="AC376" s="631"/>
    </row>
    <row r="377" spans="1:68" ht="27" hidden="1" customHeight="1" x14ac:dyDescent="0.25">
      <c r="A377" s="54" t="s">
        <v>612</v>
      </c>
      <c r="B377" s="54" t="s">
        <v>613</v>
      </c>
      <c r="C377" s="31">
        <v>4301030878</v>
      </c>
      <c r="D377" s="642">
        <v>4607091387193</v>
      </c>
      <c r="E377" s="643"/>
      <c r="F377" s="634">
        <v>0.7</v>
      </c>
      <c r="G377" s="32">
        <v>6</v>
      </c>
      <c r="H377" s="634">
        <v>4.2</v>
      </c>
      <c r="I377" s="634">
        <v>4.45</v>
      </c>
      <c r="J377" s="32">
        <v>132</v>
      </c>
      <c r="K377" s="32" t="s">
        <v>126</v>
      </c>
      <c r="L377" s="32"/>
      <c r="M377" s="33" t="s">
        <v>122</v>
      </c>
      <c r="N377" s="33"/>
      <c r="O377" s="32">
        <v>35</v>
      </c>
      <c r="P377" s="8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40"/>
      <c r="R377" s="640"/>
      <c r="S377" s="640"/>
      <c r="T377" s="641"/>
      <c r="U377" s="34"/>
      <c r="V377" s="34"/>
      <c r="W377" s="35" t="s">
        <v>67</v>
      </c>
      <c r="X377" s="635">
        <v>0</v>
      </c>
      <c r="Y377" s="636">
        <f t="shared" ref="Y377:Y383" si="57"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ref="BM377:BM383" si="58">IFERROR(X377*I377/H377,"0")</f>
        <v>0</v>
      </c>
      <c r="BN377" s="64">
        <f t="shared" ref="BN377:BN383" si="59">IFERROR(Y377*I377/H377,"0")</f>
        <v>0</v>
      </c>
      <c r="BO377" s="64">
        <f t="shared" ref="BO377:BO383" si="60">IFERROR(1/J377*(X377/H377),"0")</f>
        <v>0</v>
      </c>
      <c r="BP377" s="64">
        <f t="shared" ref="BP377:BP383" si="61">IFERROR(1/J377*(Y377/H377),"0")</f>
        <v>0</v>
      </c>
    </row>
    <row r="378" spans="1:68" ht="27" customHeight="1" x14ac:dyDescent="0.25">
      <c r="A378" s="54" t="s">
        <v>615</v>
      </c>
      <c r="B378" s="54" t="s">
        <v>616</v>
      </c>
      <c r="C378" s="31">
        <v>4301031153</v>
      </c>
      <c r="D378" s="642">
        <v>4607091387230</v>
      </c>
      <c r="E378" s="643"/>
      <c r="F378" s="634">
        <v>0.7</v>
      </c>
      <c r="G378" s="32">
        <v>6</v>
      </c>
      <c r="H378" s="634">
        <v>4.2</v>
      </c>
      <c r="I378" s="634">
        <v>4.45</v>
      </c>
      <c r="J378" s="32">
        <v>132</v>
      </c>
      <c r="K378" s="32" t="s">
        <v>126</v>
      </c>
      <c r="L378" s="32"/>
      <c r="M378" s="33" t="s">
        <v>122</v>
      </c>
      <c r="N378" s="33"/>
      <c r="O378" s="32">
        <v>40</v>
      </c>
      <c r="P378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40"/>
      <c r="R378" s="640"/>
      <c r="S378" s="640"/>
      <c r="T378" s="641"/>
      <c r="U378" s="34"/>
      <c r="V378" s="34"/>
      <c r="W378" s="35" t="s">
        <v>67</v>
      </c>
      <c r="X378" s="635">
        <v>11</v>
      </c>
      <c r="Y378" s="636">
        <f t="shared" si="57"/>
        <v>12.600000000000001</v>
      </c>
      <c r="Z378" s="36">
        <f>IFERROR(IF(Y378=0,"",ROUNDUP(Y378/H378,0)*0.00902),"")</f>
        <v>2.7060000000000001E-2</v>
      </c>
      <c r="AA378" s="56"/>
      <c r="AB378" s="57"/>
      <c r="AC378" s="451" t="s">
        <v>617</v>
      </c>
      <c r="AG378" s="64"/>
      <c r="AJ378" s="68"/>
      <c r="AK378" s="68">
        <v>0</v>
      </c>
      <c r="BB378" s="452" t="s">
        <v>1</v>
      </c>
      <c r="BM378" s="64">
        <f t="shared" si="58"/>
        <v>11.654761904761905</v>
      </c>
      <c r="BN378" s="64">
        <f t="shared" si="59"/>
        <v>13.350000000000001</v>
      </c>
      <c r="BO378" s="64">
        <f t="shared" si="60"/>
        <v>1.9841269841269844E-2</v>
      </c>
      <c r="BP378" s="64">
        <f t="shared" si="61"/>
        <v>2.2727272727272728E-2</v>
      </c>
    </row>
    <row r="379" spans="1:68" ht="27" hidden="1" customHeight="1" x14ac:dyDescent="0.25">
      <c r="A379" s="54" t="s">
        <v>618</v>
      </c>
      <c r="B379" s="54" t="s">
        <v>619</v>
      </c>
      <c r="C379" s="31">
        <v>4301031154</v>
      </c>
      <c r="D379" s="642">
        <v>4607091387292</v>
      </c>
      <c r="E379" s="643"/>
      <c r="F379" s="634">
        <v>0.73</v>
      </c>
      <c r="G379" s="32">
        <v>6</v>
      </c>
      <c r="H379" s="634">
        <v>4.38</v>
      </c>
      <c r="I379" s="634">
        <v>4.63</v>
      </c>
      <c r="J379" s="32">
        <v>132</v>
      </c>
      <c r="K379" s="32" t="s">
        <v>126</v>
      </c>
      <c r="L379" s="32"/>
      <c r="M379" s="33" t="s">
        <v>122</v>
      </c>
      <c r="N379" s="33"/>
      <c r="O379" s="32">
        <v>45</v>
      </c>
      <c r="P379" s="68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5">
        <v>0</v>
      </c>
      <c r="Y379" s="636">
        <f t="shared" si="57"/>
        <v>0</v>
      </c>
      <c r="Z379" s="36" t="str">
        <f>IFERROR(IF(Y379=0,"",ROUNDUP(Y379/H379,0)*0.00902),"")</f>
        <v/>
      </c>
      <c r="AA379" s="56"/>
      <c r="AB379" s="57"/>
      <c r="AC379" s="453" t="s">
        <v>620</v>
      </c>
      <c r="AG379" s="64"/>
      <c r="AJ379" s="68"/>
      <c r="AK379" s="68">
        <v>0</v>
      </c>
      <c r="BB379" s="454" t="s">
        <v>1</v>
      </c>
      <c r="BM379" s="64">
        <f t="shared" si="58"/>
        <v>0</v>
      </c>
      <c r="BN379" s="64">
        <f t="shared" si="59"/>
        <v>0</v>
      </c>
      <c r="BO379" s="64">
        <f t="shared" si="60"/>
        <v>0</v>
      </c>
      <c r="BP379" s="64">
        <f t="shared" si="61"/>
        <v>0</v>
      </c>
    </row>
    <row r="380" spans="1:68" ht="27" hidden="1" customHeight="1" x14ac:dyDescent="0.25">
      <c r="A380" s="54" t="s">
        <v>621</v>
      </c>
      <c r="B380" s="54" t="s">
        <v>622</v>
      </c>
      <c r="C380" s="31">
        <v>4301031152</v>
      </c>
      <c r="D380" s="642">
        <v>4607091387285</v>
      </c>
      <c r="E380" s="643"/>
      <c r="F380" s="634">
        <v>0.35</v>
      </c>
      <c r="G380" s="32">
        <v>6</v>
      </c>
      <c r="H380" s="634">
        <v>2.1</v>
      </c>
      <c r="I380" s="634">
        <v>2.23</v>
      </c>
      <c r="J380" s="32">
        <v>234</v>
      </c>
      <c r="K380" s="32" t="s">
        <v>223</v>
      </c>
      <c r="L380" s="32"/>
      <c r="M380" s="33" t="s">
        <v>122</v>
      </c>
      <c r="N380" s="33"/>
      <c r="O380" s="32">
        <v>40</v>
      </c>
      <c r="P380" s="84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5">
        <v>0</v>
      </c>
      <c r="Y380" s="636">
        <f t="shared" si="57"/>
        <v>0</v>
      </c>
      <c r="Z380" s="36" t="str">
        <f>IFERROR(IF(Y380=0,"",ROUNDUP(Y380/H380,0)*0.00502),"")</f>
        <v/>
      </c>
      <c r="AA380" s="56"/>
      <c r="AB380" s="57"/>
      <c r="AC380" s="455" t="s">
        <v>617</v>
      </c>
      <c r="AG380" s="64"/>
      <c r="AJ380" s="68"/>
      <c r="AK380" s="68">
        <v>0</v>
      </c>
      <c r="BB380" s="456" t="s">
        <v>1</v>
      </c>
      <c r="BM380" s="64">
        <f t="shared" si="58"/>
        <v>0</v>
      </c>
      <c r="BN380" s="64">
        <f t="shared" si="59"/>
        <v>0</v>
      </c>
      <c r="BO380" s="64">
        <f t="shared" si="60"/>
        <v>0</v>
      </c>
      <c r="BP380" s="64">
        <f t="shared" si="61"/>
        <v>0</v>
      </c>
    </row>
    <row r="381" spans="1:68" ht="27" hidden="1" customHeight="1" x14ac:dyDescent="0.25">
      <c r="A381" s="54" t="s">
        <v>623</v>
      </c>
      <c r="B381" s="54" t="s">
        <v>624</v>
      </c>
      <c r="C381" s="31">
        <v>4301031305</v>
      </c>
      <c r="D381" s="642">
        <v>4607091389845</v>
      </c>
      <c r="E381" s="643"/>
      <c r="F381" s="634">
        <v>0.35</v>
      </c>
      <c r="G381" s="32">
        <v>6</v>
      </c>
      <c r="H381" s="634">
        <v>2.1</v>
      </c>
      <c r="I381" s="634">
        <v>2.2000000000000002</v>
      </c>
      <c r="J381" s="32">
        <v>234</v>
      </c>
      <c r="K381" s="32" t="s">
        <v>223</v>
      </c>
      <c r="L381" s="32"/>
      <c r="M381" s="33" t="s">
        <v>122</v>
      </c>
      <c r="N381" s="33"/>
      <c r="O381" s="32">
        <v>40</v>
      </c>
      <c r="P381" s="69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5">
        <v>0</v>
      </c>
      <c r="Y381" s="636">
        <f t="shared" si="57"/>
        <v>0</v>
      </c>
      <c r="Z381" s="36" t="str">
        <f>IFERROR(IF(Y381=0,"",ROUNDUP(Y381/H381,0)*0.00502),"")</f>
        <v/>
      </c>
      <c r="AA381" s="56"/>
      <c r="AB381" s="57"/>
      <c r="AC381" s="457" t="s">
        <v>625</v>
      </c>
      <c r="AG381" s="64"/>
      <c r="AJ381" s="68"/>
      <c r="AK381" s="68">
        <v>0</v>
      </c>
      <c r="BB381" s="458" t="s">
        <v>1</v>
      </c>
      <c r="BM381" s="64">
        <f t="shared" si="58"/>
        <v>0</v>
      </c>
      <c r="BN381" s="64">
        <f t="shared" si="59"/>
        <v>0</v>
      </c>
      <c r="BO381" s="64">
        <f t="shared" si="60"/>
        <v>0</v>
      </c>
      <c r="BP381" s="64">
        <f t="shared" si="61"/>
        <v>0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4301031460</v>
      </c>
      <c r="D382" s="642">
        <v>4680115887442</v>
      </c>
      <c r="E382" s="643"/>
      <c r="F382" s="634">
        <v>0.73</v>
      </c>
      <c r="G382" s="32">
        <v>6</v>
      </c>
      <c r="H382" s="634">
        <v>4.38</v>
      </c>
      <c r="I382" s="634">
        <v>4.63</v>
      </c>
      <c r="J382" s="32">
        <v>132</v>
      </c>
      <c r="K382" s="32" t="s">
        <v>126</v>
      </c>
      <c r="L382" s="32"/>
      <c r="M382" s="33" t="s">
        <v>122</v>
      </c>
      <c r="N382" s="33"/>
      <c r="O382" s="32">
        <v>45</v>
      </c>
      <c r="P382" s="72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40"/>
      <c r="R382" s="640"/>
      <c r="S382" s="640"/>
      <c r="T382" s="641"/>
      <c r="U382" s="34"/>
      <c r="V382" s="34"/>
      <c r="W382" s="35" t="s">
        <v>67</v>
      </c>
      <c r="X382" s="635">
        <v>0</v>
      </c>
      <c r="Y382" s="636">
        <f t="shared" si="57"/>
        <v>0</v>
      </c>
      <c r="Z382" s="36" t="str">
        <f>IFERROR(IF(Y382=0,"",ROUNDUP(Y382/H382,0)*0.00902),"")</f>
        <v/>
      </c>
      <c r="AA382" s="56"/>
      <c r="AB382" s="57"/>
      <c r="AC382" s="459" t="s">
        <v>620</v>
      </c>
      <c r="AG382" s="64"/>
      <c r="AJ382" s="68"/>
      <c r="AK382" s="68">
        <v>0</v>
      </c>
      <c r="BB382" s="460" t="s">
        <v>1</v>
      </c>
      <c r="BM382" s="64">
        <f t="shared" si="58"/>
        <v>0</v>
      </c>
      <c r="BN382" s="64">
        <f t="shared" si="59"/>
        <v>0</v>
      </c>
      <c r="BO382" s="64">
        <f t="shared" si="60"/>
        <v>0</v>
      </c>
      <c r="BP382" s="64">
        <f t="shared" si="61"/>
        <v>0</v>
      </c>
    </row>
    <row r="383" spans="1:68" ht="27" customHeight="1" x14ac:dyDescent="0.25">
      <c r="A383" s="54" t="s">
        <v>628</v>
      </c>
      <c r="B383" s="54" t="s">
        <v>629</v>
      </c>
      <c r="C383" s="31">
        <v>4301031066</v>
      </c>
      <c r="D383" s="642">
        <v>4607091383836</v>
      </c>
      <c r="E383" s="643"/>
      <c r="F383" s="634">
        <v>0.3</v>
      </c>
      <c r="G383" s="32">
        <v>6</v>
      </c>
      <c r="H383" s="634">
        <v>1.8</v>
      </c>
      <c r="I383" s="634">
        <v>2.028</v>
      </c>
      <c r="J383" s="32">
        <v>182</v>
      </c>
      <c r="K383" s="32" t="s">
        <v>65</v>
      </c>
      <c r="L383" s="32"/>
      <c r="M383" s="33" t="s">
        <v>122</v>
      </c>
      <c r="N383" s="33"/>
      <c r="O383" s="32">
        <v>40</v>
      </c>
      <c r="P383" s="99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5">
        <v>7</v>
      </c>
      <c r="Y383" s="636">
        <f t="shared" si="57"/>
        <v>7.2</v>
      </c>
      <c r="Z383" s="36">
        <f>IFERROR(IF(Y383=0,"",ROUNDUP(Y383/H383,0)*0.00651),"")</f>
        <v>2.6040000000000001E-2</v>
      </c>
      <c r="AA383" s="56"/>
      <c r="AB383" s="57"/>
      <c r="AC383" s="461" t="s">
        <v>630</v>
      </c>
      <c r="AG383" s="64"/>
      <c r="AJ383" s="68"/>
      <c r="AK383" s="68">
        <v>0</v>
      </c>
      <c r="BB383" s="462" t="s">
        <v>1</v>
      </c>
      <c r="BM383" s="64">
        <f t="shared" si="58"/>
        <v>7.8866666666666667</v>
      </c>
      <c r="BN383" s="64">
        <f t="shared" si="59"/>
        <v>8.1120000000000001</v>
      </c>
      <c r="BO383" s="64">
        <f t="shared" si="60"/>
        <v>2.1367521367521368E-2</v>
      </c>
      <c r="BP383" s="64">
        <f t="shared" si="61"/>
        <v>2.197802197802198E-2</v>
      </c>
    </row>
    <row r="384" spans="1:68" x14ac:dyDescent="0.2">
      <c r="A384" s="647"/>
      <c r="B384" s="648"/>
      <c r="C384" s="648"/>
      <c r="D384" s="648"/>
      <c r="E384" s="648"/>
      <c r="F384" s="648"/>
      <c r="G384" s="648"/>
      <c r="H384" s="648"/>
      <c r="I384" s="648"/>
      <c r="J384" s="648"/>
      <c r="K384" s="648"/>
      <c r="L384" s="648"/>
      <c r="M384" s="648"/>
      <c r="N384" s="648"/>
      <c r="O384" s="649"/>
      <c r="P384" s="653" t="s">
        <v>81</v>
      </c>
      <c r="Q384" s="654"/>
      <c r="R384" s="654"/>
      <c r="S384" s="654"/>
      <c r="T384" s="654"/>
      <c r="U384" s="654"/>
      <c r="V384" s="655"/>
      <c r="W384" s="37" t="s">
        <v>82</v>
      </c>
      <c r="X384" s="637">
        <f>IFERROR(X377/H377,"0")+IFERROR(X378/H378,"0")+IFERROR(X379/H379,"0")+IFERROR(X380/H380,"0")+IFERROR(X381/H381,"0")+IFERROR(X382/H382,"0")+IFERROR(X383/H383,"0")</f>
        <v>6.5079365079365079</v>
      </c>
      <c r="Y384" s="637">
        <f>IFERROR(Y377/H377,"0")+IFERROR(Y378/H378,"0")+IFERROR(Y379/H379,"0")+IFERROR(Y380/H380,"0")+IFERROR(Y381/H381,"0")+IFERROR(Y382/H382,"0")+IFERROR(Y383/H383,"0")</f>
        <v>7</v>
      </c>
      <c r="Z384" s="637">
        <f>IFERROR(IF(Z377="",0,Z377),"0")+IFERROR(IF(Z378="",0,Z378),"0")+IFERROR(IF(Z379="",0,Z379),"0")+IFERROR(IF(Z380="",0,Z380),"0")+IFERROR(IF(Z381="",0,Z381),"0")+IFERROR(IF(Z382="",0,Z382),"0")+IFERROR(IF(Z383="",0,Z383),"0")</f>
        <v>5.3100000000000001E-2</v>
      </c>
      <c r="AA384" s="638"/>
      <c r="AB384" s="638"/>
      <c r="AC384" s="638"/>
    </row>
    <row r="385" spans="1:68" x14ac:dyDescent="0.2">
      <c r="A385" s="648"/>
      <c r="B385" s="648"/>
      <c r="C385" s="648"/>
      <c r="D385" s="648"/>
      <c r="E385" s="648"/>
      <c r="F385" s="648"/>
      <c r="G385" s="648"/>
      <c r="H385" s="648"/>
      <c r="I385" s="648"/>
      <c r="J385" s="648"/>
      <c r="K385" s="648"/>
      <c r="L385" s="648"/>
      <c r="M385" s="648"/>
      <c r="N385" s="648"/>
      <c r="O385" s="649"/>
      <c r="P385" s="653" t="s">
        <v>81</v>
      </c>
      <c r="Q385" s="654"/>
      <c r="R385" s="654"/>
      <c r="S385" s="654"/>
      <c r="T385" s="654"/>
      <c r="U385" s="654"/>
      <c r="V385" s="655"/>
      <c r="W385" s="37" t="s">
        <v>67</v>
      </c>
      <c r="X385" s="637">
        <f>IFERROR(SUM(X377:X383),"0")</f>
        <v>18</v>
      </c>
      <c r="Y385" s="637">
        <f>IFERROR(SUM(Y377:Y383),"0")</f>
        <v>19.8</v>
      </c>
      <c r="Z385" s="37"/>
      <c r="AA385" s="638"/>
      <c r="AB385" s="638"/>
      <c r="AC385" s="638"/>
    </row>
    <row r="386" spans="1:68" ht="14.25" hidden="1" customHeight="1" x14ac:dyDescent="0.25">
      <c r="A386" s="658" t="s">
        <v>62</v>
      </c>
      <c r="B386" s="648"/>
      <c r="C386" s="648"/>
      <c r="D386" s="648"/>
      <c r="E386" s="648"/>
      <c r="F386" s="648"/>
      <c r="G386" s="648"/>
      <c r="H386" s="648"/>
      <c r="I386" s="648"/>
      <c r="J386" s="648"/>
      <c r="K386" s="648"/>
      <c r="L386" s="648"/>
      <c r="M386" s="648"/>
      <c r="N386" s="648"/>
      <c r="O386" s="648"/>
      <c r="P386" s="648"/>
      <c r="Q386" s="648"/>
      <c r="R386" s="648"/>
      <c r="S386" s="648"/>
      <c r="T386" s="648"/>
      <c r="U386" s="648"/>
      <c r="V386" s="648"/>
      <c r="W386" s="648"/>
      <c r="X386" s="648"/>
      <c r="Y386" s="648"/>
      <c r="Z386" s="648"/>
      <c r="AA386" s="631"/>
      <c r="AB386" s="631"/>
      <c r="AC386" s="631"/>
    </row>
    <row r="387" spans="1:68" ht="27" hidden="1" customHeight="1" x14ac:dyDescent="0.25">
      <c r="A387" s="54" t="s">
        <v>631</v>
      </c>
      <c r="B387" s="54" t="s">
        <v>632</v>
      </c>
      <c r="C387" s="31">
        <v>4301051100</v>
      </c>
      <c r="D387" s="642">
        <v>4607091387766</v>
      </c>
      <c r="E387" s="643"/>
      <c r="F387" s="634">
        <v>1.3</v>
      </c>
      <c r="G387" s="32">
        <v>6</v>
      </c>
      <c r="H387" s="634">
        <v>7.8</v>
      </c>
      <c r="I387" s="634">
        <v>8.2880000000000003</v>
      </c>
      <c r="J387" s="32">
        <v>64</v>
      </c>
      <c r="K387" s="32" t="s">
        <v>116</v>
      </c>
      <c r="L387" s="32"/>
      <c r="M387" s="33" t="s">
        <v>66</v>
      </c>
      <c r="N387" s="33"/>
      <c r="O387" s="32">
        <v>40</v>
      </c>
      <c r="P387" s="8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40"/>
      <c r="R387" s="640"/>
      <c r="S387" s="640"/>
      <c r="T387" s="641"/>
      <c r="U387" s="34"/>
      <c r="V387" s="34"/>
      <c r="W387" s="35" t="s">
        <v>67</v>
      </c>
      <c r="X387" s="635">
        <v>0</v>
      </c>
      <c r="Y387" s="636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4301051818</v>
      </c>
      <c r="D388" s="642">
        <v>4607091387957</v>
      </c>
      <c r="E388" s="643"/>
      <c r="F388" s="634">
        <v>1.3</v>
      </c>
      <c r="G388" s="32">
        <v>6</v>
      </c>
      <c r="H388" s="634">
        <v>7.8</v>
      </c>
      <c r="I388" s="634">
        <v>8.2940000000000005</v>
      </c>
      <c r="J388" s="32">
        <v>64</v>
      </c>
      <c r="K388" s="32" t="s">
        <v>116</v>
      </c>
      <c r="L388" s="32"/>
      <c r="M388" s="33" t="s">
        <v>66</v>
      </c>
      <c r="N388" s="33"/>
      <c r="O388" s="32">
        <v>40</v>
      </c>
      <c r="P388" s="8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40"/>
      <c r="R388" s="640"/>
      <c r="S388" s="640"/>
      <c r="T388" s="641"/>
      <c r="U388" s="34"/>
      <c r="V388" s="34"/>
      <c r="W388" s="35" t="s">
        <v>67</v>
      </c>
      <c r="X388" s="635">
        <v>0</v>
      </c>
      <c r="Y388" s="636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5" t="s">
        <v>636</v>
      </c>
      <c r="AG388" s="64"/>
      <c r="AJ388" s="68"/>
      <c r="AK388" s="68">
        <v>0</v>
      </c>
      <c r="BB388" s="466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637</v>
      </c>
      <c r="B389" s="54" t="s">
        <v>638</v>
      </c>
      <c r="C389" s="31">
        <v>4301051819</v>
      </c>
      <c r="D389" s="642">
        <v>4607091387964</v>
      </c>
      <c r="E389" s="643"/>
      <c r="F389" s="634">
        <v>1.35</v>
      </c>
      <c r="G389" s="32">
        <v>6</v>
      </c>
      <c r="H389" s="634">
        <v>8.1</v>
      </c>
      <c r="I389" s="634">
        <v>8.5760000000000005</v>
      </c>
      <c r="J389" s="32">
        <v>64</v>
      </c>
      <c r="K389" s="32" t="s">
        <v>116</v>
      </c>
      <c r="L389" s="32"/>
      <c r="M389" s="33" t="s">
        <v>66</v>
      </c>
      <c r="N389" s="33"/>
      <c r="O389" s="32">
        <v>40</v>
      </c>
      <c r="P389" s="6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40"/>
      <c r="R389" s="640"/>
      <c r="S389" s="640"/>
      <c r="T389" s="641"/>
      <c r="U389" s="34"/>
      <c r="V389" s="34"/>
      <c r="W389" s="35" t="s">
        <v>67</v>
      </c>
      <c r="X389" s="635">
        <v>0</v>
      </c>
      <c r="Y389" s="636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7" t="s">
        <v>639</v>
      </c>
      <c r="AG389" s="64"/>
      <c r="AJ389" s="68"/>
      <c r="AK389" s="68">
        <v>0</v>
      </c>
      <c r="BB389" s="468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640</v>
      </c>
      <c r="B390" s="54" t="s">
        <v>641</v>
      </c>
      <c r="C390" s="31">
        <v>4301051734</v>
      </c>
      <c r="D390" s="642">
        <v>4680115884588</v>
      </c>
      <c r="E390" s="643"/>
      <c r="F390" s="634">
        <v>0.5</v>
      </c>
      <c r="G390" s="32">
        <v>6</v>
      </c>
      <c r="H390" s="634">
        <v>3</v>
      </c>
      <c r="I390" s="634">
        <v>3.246</v>
      </c>
      <c r="J390" s="32">
        <v>182</v>
      </c>
      <c r="K390" s="32" t="s">
        <v>65</v>
      </c>
      <c r="L390" s="32"/>
      <c r="M390" s="33" t="s">
        <v>66</v>
      </c>
      <c r="N390" s="33"/>
      <c r="O390" s="32">
        <v>40</v>
      </c>
      <c r="P390" s="86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40"/>
      <c r="R390" s="640"/>
      <c r="S390" s="640"/>
      <c r="T390" s="641"/>
      <c r="U390" s="34"/>
      <c r="V390" s="34"/>
      <c r="W390" s="35" t="s">
        <v>67</v>
      </c>
      <c r="X390" s="635">
        <v>0</v>
      </c>
      <c r="Y390" s="636">
        <f>IFERROR(IF(X390="",0,CEILING((X390/$H390),1)*$H390),"")</f>
        <v>0</v>
      </c>
      <c r="Z390" s="36" t="str">
        <f>IFERROR(IF(Y390=0,"",ROUNDUP(Y390/H390,0)*0.00651),"")</f>
        <v/>
      </c>
      <c r="AA390" s="56"/>
      <c r="AB390" s="57"/>
      <c r="AC390" s="469" t="s">
        <v>633</v>
      </c>
      <c r="AG390" s="64"/>
      <c r="AJ390" s="68"/>
      <c r="AK390" s="68">
        <v>0</v>
      </c>
      <c r="BB390" s="470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idden="1" x14ac:dyDescent="0.2">
      <c r="A391" s="647"/>
      <c r="B391" s="648"/>
      <c r="C391" s="648"/>
      <c r="D391" s="648"/>
      <c r="E391" s="648"/>
      <c r="F391" s="648"/>
      <c r="G391" s="648"/>
      <c r="H391" s="648"/>
      <c r="I391" s="648"/>
      <c r="J391" s="648"/>
      <c r="K391" s="648"/>
      <c r="L391" s="648"/>
      <c r="M391" s="648"/>
      <c r="N391" s="648"/>
      <c r="O391" s="649"/>
      <c r="P391" s="653" t="s">
        <v>81</v>
      </c>
      <c r="Q391" s="654"/>
      <c r="R391" s="654"/>
      <c r="S391" s="654"/>
      <c r="T391" s="654"/>
      <c r="U391" s="654"/>
      <c r="V391" s="655"/>
      <c r="W391" s="37" t="s">
        <v>82</v>
      </c>
      <c r="X391" s="637">
        <f>IFERROR(X387/H387,"0")+IFERROR(X388/H388,"0")+IFERROR(X389/H389,"0")+IFERROR(X390/H390,"0")</f>
        <v>0</v>
      </c>
      <c r="Y391" s="637">
        <f>IFERROR(Y387/H387,"0")+IFERROR(Y388/H388,"0")+IFERROR(Y389/H389,"0")+IFERROR(Y390/H390,"0")</f>
        <v>0</v>
      </c>
      <c r="Z391" s="637">
        <f>IFERROR(IF(Z387="",0,Z387),"0")+IFERROR(IF(Z388="",0,Z388),"0")+IFERROR(IF(Z389="",0,Z389),"0")+IFERROR(IF(Z390="",0,Z390),"0")</f>
        <v>0</v>
      </c>
      <c r="AA391" s="638"/>
      <c r="AB391" s="638"/>
      <c r="AC391" s="638"/>
    </row>
    <row r="392" spans="1:68" hidden="1" x14ac:dyDescent="0.2">
      <c r="A392" s="648"/>
      <c r="B392" s="648"/>
      <c r="C392" s="648"/>
      <c r="D392" s="648"/>
      <c r="E392" s="648"/>
      <c r="F392" s="648"/>
      <c r="G392" s="648"/>
      <c r="H392" s="648"/>
      <c r="I392" s="648"/>
      <c r="J392" s="648"/>
      <c r="K392" s="648"/>
      <c r="L392" s="648"/>
      <c r="M392" s="648"/>
      <c r="N392" s="648"/>
      <c r="O392" s="649"/>
      <c r="P392" s="653" t="s">
        <v>81</v>
      </c>
      <c r="Q392" s="654"/>
      <c r="R392" s="654"/>
      <c r="S392" s="654"/>
      <c r="T392" s="654"/>
      <c r="U392" s="654"/>
      <c r="V392" s="655"/>
      <c r="W392" s="37" t="s">
        <v>67</v>
      </c>
      <c r="X392" s="637">
        <f>IFERROR(SUM(X387:X390),"0")</f>
        <v>0</v>
      </c>
      <c r="Y392" s="637">
        <f>IFERROR(SUM(Y387:Y390),"0")</f>
        <v>0</v>
      </c>
      <c r="Z392" s="37"/>
      <c r="AA392" s="638"/>
      <c r="AB392" s="638"/>
      <c r="AC392" s="638"/>
    </row>
    <row r="393" spans="1:68" ht="14.25" hidden="1" customHeight="1" x14ac:dyDescent="0.25">
      <c r="A393" s="658" t="s">
        <v>168</v>
      </c>
      <c r="B393" s="648"/>
      <c r="C393" s="648"/>
      <c r="D393" s="648"/>
      <c r="E393" s="648"/>
      <c r="F393" s="648"/>
      <c r="G393" s="648"/>
      <c r="H393" s="648"/>
      <c r="I393" s="648"/>
      <c r="J393" s="648"/>
      <c r="K393" s="648"/>
      <c r="L393" s="648"/>
      <c r="M393" s="648"/>
      <c r="N393" s="648"/>
      <c r="O393" s="648"/>
      <c r="P393" s="648"/>
      <c r="Q393" s="648"/>
      <c r="R393" s="648"/>
      <c r="S393" s="648"/>
      <c r="T393" s="648"/>
      <c r="U393" s="648"/>
      <c r="V393" s="648"/>
      <c r="W393" s="648"/>
      <c r="X393" s="648"/>
      <c r="Y393" s="648"/>
      <c r="Z393" s="648"/>
      <c r="AA393" s="631"/>
      <c r="AB393" s="631"/>
      <c r="AC393" s="631"/>
    </row>
    <row r="394" spans="1:68" ht="27" hidden="1" customHeight="1" x14ac:dyDescent="0.25">
      <c r="A394" s="54" t="s">
        <v>642</v>
      </c>
      <c r="B394" s="54" t="s">
        <v>643</v>
      </c>
      <c r="C394" s="31">
        <v>4301060387</v>
      </c>
      <c r="D394" s="642">
        <v>4607091380880</v>
      </c>
      <c r="E394" s="643"/>
      <c r="F394" s="634">
        <v>1.4</v>
      </c>
      <c r="G394" s="32">
        <v>6</v>
      </c>
      <c r="H394" s="634">
        <v>8.4</v>
      </c>
      <c r="I394" s="634">
        <v>8.8940000000000001</v>
      </c>
      <c r="J394" s="32">
        <v>64</v>
      </c>
      <c r="K394" s="32" t="s">
        <v>116</v>
      </c>
      <c r="L394" s="32"/>
      <c r="M394" s="33" t="s">
        <v>66</v>
      </c>
      <c r="N394" s="33"/>
      <c r="O394" s="32">
        <v>30</v>
      </c>
      <c r="P394" s="69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40"/>
      <c r="R394" s="640"/>
      <c r="S394" s="640"/>
      <c r="T394" s="641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71" t="s">
        <v>644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645</v>
      </c>
      <c r="B395" s="54" t="s">
        <v>646</v>
      </c>
      <c r="C395" s="31">
        <v>4301060406</v>
      </c>
      <c r="D395" s="642">
        <v>4607091384482</v>
      </c>
      <c r="E395" s="643"/>
      <c r="F395" s="634">
        <v>1.3</v>
      </c>
      <c r="G395" s="32">
        <v>6</v>
      </c>
      <c r="H395" s="634">
        <v>7.8</v>
      </c>
      <c r="I395" s="634">
        <v>8.2940000000000005</v>
      </c>
      <c r="J395" s="32">
        <v>64</v>
      </c>
      <c r="K395" s="32" t="s">
        <v>116</v>
      </c>
      <c r="L395" s="32"/>
      <c r="M395" s="33" t="s">
        <v>66</v>
      </c>
      <c r="N395" s="33"/>
      <c r="O395" s="32">
        <v>30</v>
      </c>
      <c r="P395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40"/>
      <c r="R395" s="640"/>
      <c r="S395" s="640"/>
      <c r="T395" s="641"/>
      <c r="U395" s="34"/>
      <c r="V395" s="34"/>
      <c r="W395" s="35" t="s">
        <v>67</v>
      </c>
      <c r="X395" s="635">
        <v>622</v>
      </c>
      <c r="Y395" s="636">
        <f>IFERROR(IF(X395="",0,CEILING((X395/$H395),1)*$H395),"")</f>
        <v>624</v>
      </c>
      <c r="Z395" s="36">
        <f>IFERROR(IF(Y395=0,"",ROUNDUP(Y395/H395,0)*0.01898),"")</f>
        <v>1.5184</v>
      </c>
      <c r="AA395" s="56"/>
      <c r="AB395" s="57"/>
      <c r="AC395" s="473" t="s">
        <v>647</v>
      </c>
      <c r="AG395" s="64"/>
      <c r="AJ395" s="68"/>
      <c r="AK395" s="68">
        <v>0</v>
      </c>
      <c r="BB395" s="474" t="s">
        <v>1</v>
      </c>
      <c r="BM395" s="64">
        <f>IFERROR(X395*I395/H395,"0")</f>
        <v>661.39333333333343</v>
      </c>
      <c r="BN395" s="64">
        <f>IFERROR(Y395*I395/H395,"0")</f>
        <v>663.52</v>
      </c>
      <c r="BO395" s="64">
        <f>IFERROR(1/J395*(X395/H395),"0")</f>
        <v>1.2459935897435899</v>
      </c>
      <c r="BP395" s="64">
        <f>IFERROR(1/J395*(Y395/H395),"0")</f>
        <v>1.25</v>
      </c>
    </row>
    <row r="396" spans="1:68" ht="27" hidden="1" customHeight="1" x14ac:dyDescent="0.25">
      <c r="A396" s="54" t="s">
        <v>648</v>
      </c>
      <c r="B396" s="54" t="s">
        <v>649</v>
      </c>
      <c r="C396" s="31">
        <v>4301060484</v>
      </c>
      <c r="D396" s="642">
        <v>4607091380897</v>
      </c>
      <c r="E396" s="643"/>
      <c r="F396" s="634">
        <v>1.4</v>
      </c>
      <c r="G396" s="32">
        <v>6</v>
      </c>
      <c r="H396" s="634">
        <v>8.4</v>
      </c>
      <c r="I396" s="634">
        <v>8.8940000000000001</v>
      </c>
      <c r="J396" s="32">
        <v>64</v>
      </c>
      <c r="K396" s="32" t="s">
        <v>116</v>
      </c>
      <c r="L396" s="32"/>
      <c r="M396" s="33" t="s">
        <v>73</v>
      </c>
      <c r="N396" s="33"/>
      <c r="O396" s="32">
        <v>30</v>
      </c>
      <c r="P396" s="90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5">
        <v>0</v>
      </c>
      <c r="Y396" s="636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75" t="s">
        <v>650</v>
      </c>
      <c r="AG396" s="64"/>
      <c r="AJ396" s="68"/>
      <c r="AK396" s="68">
        <v>0</v>
      </c>
      <c r="BB396" s="476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x14ac:dyDescent="0.2">
      <c r="A397" s="647"/>
      <c r="B397" s="648"/>
      <c r="C397" s="648"/>
      <c r="D397" s="648"/>
      <c r="E397" s="648"/>
      <c r="F397" s="648"/>
      <c r="G397" s="648"/>
      <c r="H397" s="648"/>
      <c r="I397" s="648"/>
      <c r="J397" s="648"/>
      <c r="K397" s="648"/>
      <c r="L397" s="648"/>
      <c r="M397" s="648"/>
      <c r="N397" s="648"/>
      <c r="O397" s="649"/>
      <c r="P397" s="653" t="s">
        <v>81</v>
      </c>
      <c r="Q397" s="654"/>
      <c r="R397" s="654"/>
      <c r="S397" s="654"/>
      <c r="T397" s="654"/>
      <c r="U397" s="654"/>
      <c r="V397" s="655"/>
      <c r="W397" s="37" t="s">
        <v>82</v>
      </c>
      <c r="X397" s="637">
        <f>IFERROR(X394/H394,"0")+IFERROR(X395/H395,"0")+IFERROR(X396/H396,"0")</f>
        <v>79.743589743589752</v>
      </c>
      <c r="Y397" s="637">
        <f>IFERROR(Y394/H394,"0")+IFERROR(Y395/H395,"0")+IFERROR(Y396/H396,"0")</f>
        <v>80</v>
      </c>
      <c r="Z397" s="637">
        <f>IFERROR(IF(Z394="",0,Z394),"0")+IFERROR(IF(Z395="",0,Z395),"0")+IFERROR(IF(Z396="",0,Z396),"0")</f>
        <v>1.5184</v>
      </c>
      <c r="AA397" s="638"/>
      <c r="AB397" s="638"/>
      <c r="AC397" s="638"/>
    </row>
    <row r="398" spans="1:68" x14ac:dyDescent="0.2">
      <c r="A398" s="648"/>
      <c r="B398" s="648"/>
      <c r="C398" s="648"/>
      <c r="D398" s="648"/>
      <c r="E398" s="648"/>
      <c r="F398" s="648"/>
      <c r="G398" s="648"/>
      <c r="H398" s="648"/>
      <c r="I398" s="648"/>
      <c r="J398" s="648"/>
      <c r="K398" s="648"/>
      <c r="L398" s="648"/>
      <c r="M398" s="648"/>
      <c r="N398" s="648"/>
      <c r="O398" s="649"/>
      <c r="P398" s="653" t="s">
        <v>81</v>
      </c>
      <c r="Q398" s="654"/>
      <c r="R398" s="654"/>
      <c r="S398" s="654"/>
      <c r="T398" s="654"/>
      <c r="U398" s="654"/>
      <c r="V398" s="655"/>
      <c r="W398" s="37" t="s">
        <v>67</v>
      </c>
      <c r="X398" s="637">
        <f>IFERROR(SUM(X394:X396),"0")</f>
        <v>622</v>
      </c>
      <c r="Y398" s="637">
        <f>IFERROR(SUM(Y394:Y396),"0")</f>
        <v>624</v>
      </c>
      <c r="Z398" s="37"/>
      <c r="AA398" s="638"/>
      <c r="AB398" s="638"/>
      <c r="AC398" s="638"/>
    </row>
    <row r="399" spans="1:68" ht="14.25" hidden="1" customHeight="1" x14ac:dyDescent="0.25">
      <c r="A399" s="658" t="s">
        <v>83</v>
      </c>
      <c r="B399" s="648"/>
      <c r="C399" s="648"/>
      <c r="D399" s="648"/>
      <c r="E399" s="648"/>
      <c r="F399" s="648"/>
      <c r="G399" s="648"/>
      <c r="H399" s="648"/>
      <c r="I399" s="648"/>
      <c r="J399" s="648"/>
      <c r="K399" s="648"/>
      <c r="L399" s="648"/>
      <c r="M399" s="648"/>
      <c r="N399" s="648"/>
      <c r="O399" s="648"/>
      <c r="P399" s="648"/>
      <c r="Q399" s="648"/>
      <c r="R399" s="648"/>
      <c r="S399" s="648"/>
      <c r="T399" s="648"/>
      <c r="U399" s="648"/>
      <c r="V399" s="648"/>
      <c r="W399" s="648"/>
      <c r="X399" s="648"/>
      <c r="Y399" s="648"/>
      <c r="Z399" s="648"/>
      <c r="AA399" s="631"/>
      <c r="AB399" s="631"/>
      <c r="AC399" s="631"/>
    </row>
    <row r="400" spans="1:68" ht="27" hidden="1" customHeight="1" x14ac:dyDescent="0.25">
      <c r="A400" s="54" t="s">
        <v>651</v>
      </c>
      <c r="B400" s="54" t="s">
        <v>652</v>
      </c>
      <c r="C400" s="31">
        <v>4301030235</v>
      </c>
      <c r="D400" s="642">
        <v>4607091388381</v>
      </c>
      <c r="E400" s="643"/>
      <c r="F400" s="634">
        <v>0.38</v>
      </c>
      <c r="G400" s="32">
        <v>8</v>
      </c>
      <c r="H400" s="634">
        <v>3.04</v>
      </c>
      <c r="I400" s="634">
        <v>3.31</v>
      </c>
      <c r="J400" s="32">
        <v>132</v>
      </c>
      <c r="K400" s="32" t="s">
        <v>126</v>
      </c>
      <c r="L400" s="32"/>
      <c r="M400" s="33" t="s">
        <v>242</v>
      </c>
      <c r="N400" s="33"/>
      <c r="O400" s="32">
        <v>180</v>
      </c>
      <c r="P400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40"/>
      <c r="R400" s="640"/>
      <c r="S400" s="640"/>
      <c r="T400" s="641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IFERROR(IF(Y400=0,"",ROUNDUP(Y400/H400,0)*0.00902),"")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4301030232</v>
      </c>
      <c r="D401" s="642">
        <v>4607091388374</v>
      </c>
      <c r="E401" s="643"/>
      <c r="F401" s="634">
        <v>0.38</v>
      </c>
      <c r="G401" s="32">
        <v>8</v>
      </c>
      <c r="H401" s="634">
        <v>3.04</v>
      </c>
      <c r="I401" s="634">
        <v>3.27</v>
      </c>
      <c r="J401" s="32">
        <v>132</v>
      </c>
      <c r="K401" s="32" t="s">
        <v>126</v>
      </c>
      <c r="L401" s="32"/>
      <c r="M401" s="33" t="s">
        <v>242</v>
      </c>
      <c r="N401" s="33"/>
      <c r="O401" s="32">
        <v>180</v>
      </c>
      <c r="P401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40"/>
      <c r="R401" s="640"/>
      <c r="S401" s="640"/>
      <c r="T401" s="641"/>
      <c r="U401" s="34"/>
      <c r="V401" s="34"/>
      <c r="W401" s="35" t="s">
        <v>67</v>
      </c>
      <c r="X401" s="635">
        <v>0</v>
      </c>
      <c r="Y401" s="63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79" t="s">
        <v>653</v>
      </c>
      <c r="AG401" s="64"/>
      <c r="AJ401" s="68"/>
      <c r="AK401" s="68">
        <v>0</v>
      </c>
      <c r="BB401" s="480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656</v>
      </c>
      <c r="B402" s="54" t="s">
        <v>657</v>
      </c>
      <c r="C402" s="31">
        <v>4301032015</v>
      </c>
      <c r="D402" s="642">
        <v>4607091383102</v>
      </c>
      <c r="E402" s="643"/>
      <c r="F402" s="634">
        <v>0.17</v>
      </c>
      <c r="G402" s="32">
        <v>15</v>
      </c>
      <c r="H402" s="634">
        <v>2.5499999999999998</v>
      </c>
      <c r="I402" s="634">
        <v>2.9550000000000001</v>
      </c>
      <c r="J402" s="32">
        <v>182</v>
      </c>
      <c r="K402" s="32" t="s">
        <v>65</v>
      </c>
      <c r="L402" s="32"/>
      <c r="M402" s="33" t="s">
        <v>242</v>
      </c>
      <c r="N402" s="33"/>
      <c r="O402" s="32">
        <v>180</v>
      </c>
      <c r="P402" s="7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5">
        <v>0</v>
      </c>
      <c r="Y402" s="63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81" t="s">
        <v>653</v>
      </c>
      <c r="AG402" s="64"/>
      <c r="AJ402" s="68"/>
      <c r="AK402" s="68">
        <v>0</v>
      </c>
      <c r="BB402" s="482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658</v>
      </c>
      <c r="B403" s="54" t="s">
        <v>659</v>
      </c>
      <c r="C403" s="31">
        <v>4301030233</v>
      </c>
      <c r="D403" s="642">
        <v>4607091388404</v>
      </c>
      <c r="E403" s="643"/>
      <c r="F403" s="634">
        <v>0.17</v>
      </c>
      <c r="G403" s="32">
        <v>15</v>
      </c>
      <c r="H403" s="634">
        <v>2.5499999999999998</v>
      </c>
      <c r="I403" s="634">
        <v>2.88</v>
      </c>
      <c r="J403" s="32">
        <v>182</v>
      </c>
      <c r="K403" s="32" t="s">
        <v>65</v>
      </c>
      <c r="L403" s="32"/>
      <c r="M403" s="33" t="s">
        <v>242</v>
      </c>
      <c r="N403" s="33"/>
      <c r="O403" s="32">
        <v>180</v>
      </c>
      <c r="P403" s="77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5">
        <v>0</v>
      </c>
      <c r="Y403" s="636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83" t="s">
        <v>653</v>
      </c>
      <c r="AG403" s="64"/>
      <c r="AJ403" s="68"/>
      <c r="AK403" s="68">
        <v>0</v>
      </c>
      <c r="BB403" s="484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647"/>
      <c r="B404" s="648"/>
      <c r="C404" s="648"/>
      <c r="D404" s="648"/>
      <c r="E404" s="648"/>
      <c r="F404" s="648"/>
      <c r="G404" s="648"/>
      <c r="H404" s="648"/>
      <c r="I404" s="648"/>
      <c r="J404" s="648"/>
      <c r="K404" s="648"/>
      <c r="L404" s="648"/>
      <c r="M404" s="648"/>
      <c r="N404" s="648"/>
      <c r="O404" s="649"/>
      <c r="P404" s="653" t="s">
        <v>81</v>
      </c>
      <c r="Q404" s="654"/>
      <c r="R404" s="654"/>
      <c r="S404" s="654"/>
      <c r="T404" s="654"/>
      <c r="U404" s="654"/>
      <c r="V404" s="655"/>
      <c r="W404" s="37" t="s">
        <v>82</v>
      </c>
      <c r="X404" s="637">
        <f>IFERROR(X400/H400,"0")+IFERROR(X401/H401,"0")+IFERROR(X402/H402,"0")+IFERROR(X403/H403,"0")</f>
        <v>0</v>
      </c>
      <c r="Y404" s="637">
        <f>IFERROR(Y400/H400,"0")+IFERROR(Y401/H401,"0")+IFERROR(Y402/H402,"0")+IFERROR(Y403/H403,"0")</f>
        <v>0</v>
      </c>
      <c r="Z404" s="637">
        <f>IFERROR(IF(Z400="",0,Z400),"0")+IFERROR(IF(Z401="",0,Z401),"0")+IFERROR(IF(Z402="",0,Z402),"0")+IFERROR(IF(Z403="",0,Z403),"0")</f>
        <v>0</v>
      </c>
      <c r="AA404" s="638"/>
      <c r="AB404" s="638"/>
      <c r="AC404" s="638"/>
    </row>
    <row r="405" spans="1:68" hidden="1" x14ac:dyDescent="0.2">
      <c r="A405" s="648"/>
      <c r="B405" s="648"/>
      <c r="C405" s="648"/>
      <c r="D405" s="648"/>
      <c r="E405" s="648"/>
      <c r="F405" s="648"/>
      <c r="G405" s="648"/>
      <c r="H405" s="648"/>
      <c r="I405" s="648"/>
      <c r="J405" s="648"/>
      <c r="K405" s="648"/>
      <c r="L405" s="648"/>
      <c r="M405" s="648"/>
      <c r="N405" s="648"/>
      <c r="O405" s="649"/>
      <c r="P405" s="653" t="s">
        <v>81</v>
      </c>
      <c r="Q405" s="654"/>
      <c r="R405" s="654"/>
      <c r="S405" s="654"/>
      <c r="T405" s="654"/>
      <c r="U405" s="654"/>
      <c r="V405" s="655"/>
      <c r="W405" s="37" t="s">
        <v>67</v>
      </c>
      <c r="X405" s="637">
        <f>IFERROR(SUM(X400:X403),"0")</f>
        <v>0</v>
      </c>
      <c r="Y405" s="637">
        <f>IFERROR(SUM(Y400:Y403),"0")</f>
        <v>0</v>
      </c>
      <c r="Z405" s="37"/>
      <c r="AA405" s="638"/>
      <c r="AB405" s="638"/>
      <c r="AC405" s="638"/>
    </row>
    <row r="406" spans="1:68" ht="14.25" hidden="1" customHeight="1" x14ac:dyDescent="0.25">
      <c r="A406" s="658" t="s">
        <v>660</v>
      </c>
      <c r="B406" s="648"/>
      <c r="C406" s="648"/>
      <c r="D406" s="648"/>
      <c r="E406" s="648"/>
      <c r="F406" s="648"/>
      <c r="G406" s="648"/>
      <c r="H406" s="648"/>
      <c r="I406" s="648"/>
      <c r="J406" s="648"/>
      <c r="K406" s="648"/>
      <c r="L406" s="648"/>
      <c r="M406" s="648"/>
      <c r="N406" s="648"/>
      <c r="O406" s="648"/>
      <c r="P406" s="648"/>
      <c r="Q406" s="648"/>
      <c r="R406" s="648"/>
      <c r="S406" s="648"/>
      <c r="T406" s="648"/>
      <c r="U406" s="648"/>
      <c r="V406" s="648"/>
      <c r="W406" s="648"/>
      <c r="X406" s="648"/>
      <c r="Y406" s="648"/>
      <c r="Z406" s="648"/>
      <c r="AA406" s="631"/>
      <c r="AB406" s="631"/>
      <c r="AC406" s="631"/>
    </row>
    <row r="407" spans="1:68" ht="16.5" customHeight="1" x14ac:dyDescent="0.25">
      <c r="A407" s="54" t="s">
        <v>661</v>
      </c>
      <c r="B407" s="54" t="s">
        <v>662</v>
      </c>
      <c r="C407" s="31">
        <v>4301180007</v>
      </c>
      <c r="D407" s="642">
        <v>4680115881808</v>
      </c>
      <c r="E407" s="643"/>
      <c r="F407" s="634">
        <v>0.1</v>
      </c>
      <c r="G407" s="32">
        <v>20</v>
      </c>
      <c r="H407" s="634">
        <v>2</v>
      </c>
      <c r="I407" s="634">
        <v>2.2400000000000002</v>
      </c>
      <c r="J407" s="32">
        <v>238</v>
      </c>
      <c r="K407" s="32" t="s">
        <v>65</v>
      </c>
      <c r="L407" s="32"/>
      <c r="M407" s="33" t="s">
        <v>663</v>
      </c>
      <c r="N407" s="33"/>
      <c r="O407" s="32">
        <v>731</v>
      </c>
      <c r="P407" s="72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40"/>
      <c r="R407" s="640"/>
      <c r="S407" s="640"/>
      <c r="T407" s="641"/>
      <c r="U407" s="34"/>
      <c r="V407" s="34"/>
      <c r="W407" s="35" t="s">
        <v>67</v>
      </c>
      <c r="X407" s="635">
        <v>15</v>
      </c>
      <c r="Y407" s="636">
        <f>IFERROR(IF(X407="",0,CEILING((X407/$H407),1)*$H407),"")</f>
        <v>16</v>
      </c>
      <c r="Z407" s="36">
        <f>IFERROR(IF(Y407=0,"",ROUNDUP(Y407/H407,0)*0.00474),"")</f>
        <v>3.7920000000000002E-2</v>
      </c>
      <c r="AA407" s="56"/>
      <c r="AB407" s="57"/>
      <c r="AC407" s="485" t="s">
        <v>664</v>
      </c>
      <c r="AG407" s="64"/>
      <c r="AJ407" s="68"/>
      <c r="AK407" s="68">
        <v>0</v>
      </c>
      <c r="BB407" s="486" t="s">
        <v>1</v>
      </c>
      <c r="BM407" s="64">
        <f>IFERROR(X407*I407/H407,"0")</f>
        <v>16.8</v>
      </c>
      <c r="BN407" s="64">
        <f>IFERROR(Y407*I407/H407,"0")</f>
        <v>17.920000000000002</v>
      </c>
      <c r="BO407" s="64">
        <f>IFERROR(1/J407*(X407/H407),"0")</f>
        <v>3.1512605042016806E-2</v>
      </c>
      <c r="BP407" s="64">
        <f>IFERROR(1/J407*(Y407/H407),"0")</f>
        <v>3.3613445378151259E-2</v>
      </c>
    </row>
    <row r="408" spans="1:68" ht="27" customHeight="1" x14ac:dyDescent="0.25">
      <c r="A408" s="54" t="s">
        <v>665</v>
      </c>
      <c r="B408" s="54" t="s">
        <v>666</v>
      </c>
      <c r="C408" s="31">
        <v>4301180006</v>
      </c>
      <c r="D408" s="642">
        <v>4680115881822</v>
      </c>
      <c r="E408" s="643"/>
      <c r="F408" s="634">
        <v>0.1</v>
      </c>
      <c r="G408" s="32">
        <v>20</v>
      </c>
      <c r="H408" s="634">
        <v>2</v>
      </c>
      <c r="I408" s="634">
        <v>2.2400000000000002</v>
      </c>
      <c r="J408" s="32">
        <v>238</v>
      </c>
      <c r="K408" s="32" t="s">
        <v>65</v>
      </c>
      <c r="L408" s="32"/>
      <c r="M408" s="33" t="s">
        <v>663</v>
      </c>
      <c r="N408" s="33"/>
      <c r="O408" s="32">
        <v>731</v>
      </c>
      <c r="P408" s="96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40"/>
      <c r="R408" s="640"/>
      <c r="S408" s="640"/>
      <c r="T408" s="641"/>
      <c r="U408" s="34"/>
      <c r="V408" s="34"/>
      <c r="W408" s="35" t="s">
        <v>67</v>
      </c>
      <c r="X408" s="635">
        <v>13</v>
      </c>
      <c r="Y408" s="636">
        <f>IFERROR(IF(X408="",0,CEILING((X408/$H408),1)*$H408),"")</f>
        <v>14</v>
      </c>
      <c r="Z408" s="36">
        <f>IFERROR(IF(Y408=0,"",ROUNDUP(Y408/H408,0)*0.00474),"")</f>
        <v>3.3180000000000001E-2</v>
      </c>
      <c r="AA408" s="56"/>
      <c r="AB408" s="57"/>
      <c r="AC408" s="487" t="s">
        <v>664</v>
      </c>
      <c r="AG408" s="64"/>
      <c r="AJ408" s="68"/>
      <c r="AK408" s="68">
        <v>0</v>
      </c>
      <c r="BB408" s="488" t="s">
        <v>1</v>
      </c>
      <c r="BM408" s="64">
        <f>IFERROR(X408*I408/H408,"0")</f>
        <v>14.560000000000002</v>
      </c>
      <c r="BN408" s="64">
        <f>IFERROR(Y408*I408/H408,"0")</f>
        <v>15.680000000000001</v>
      </c>
      <c r="BO408" s="64">
        <f>IFERROR(1/J408*(X408/H408),"0")</f>
        <v>2.7310924369747899E-2</v>
      </c>
      <c r="BP408" s="64">
        <f>IFERROR(1/J408*(Y408/H408),"0")</f>
        <v>2.9411764705882353E-2</v>
      </c>
    </row>
    <row r="409" spans="1:68" ht="27" customHeight="1" x14ac:dyDescent="0.25">
      <c r="A409" s="54" t="s">
        <v>667</v>
      </c>
      <c r="B409" s="54" t="s">
        <v>668</v>
      </c>
      <c r="C409" s="31">
        <v>4301180001</v>
      </c>
      <c r="D409" s="642">
        <v>4680115880016</v>
      </c>
      <c r="E409" s="643"/>
      <c r="F409" s="634">
        <v>0.1</v>
      </c>
      <c r="G409" s="32">
        <v>20</v>
      </c>
      <c r="H409" s="634">
        <v>2</v>
      </c>
      <c r="I409" s="634">
        <v>2.2400000000000002</v>
      </c>
      <c r="J409" s="32">
        <v>238</v>
      </c>
      <c r="K409" s="32" t="s">
        <v>65</v>
      </c>
      <c r="L409" s="32"/>
      <c r="M409" s="33" t="s">
        <v>663</v>
      </c>
      <c r="N409" s="33"/>
      <c r="O409" s="32">
        <v>731</v>
      </c>
      <c r="P409" s="9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40"/>
      <c r="R409" s="640"/>
      <c r="S409" s="640"/>
      <c r="T409" s="641"/>
      <c r="U409" s="34"/>
      <c r="V409" s="34"/>
      <c r="W409" s="35" t="s">
        <v>67</v>
      </c>
      <c r="X409" s="635">
        <v>10</v>
      </c>
      <c r="Y409" s="636">
        <f>IFERROR(IF(X409="",0,CEILING((X409/$H409),1)*$H409),"")</f>
        <v>10</v>
      </c>
      <c r="Z409" s="36">
        <f>IFERROR(IF(Y409=0,"",ROUNDUP(Y409/H409,0)*0.00474),"")</f>
        <v>2.3700000000000002E-2</v>
      </c>
      <c r="AA409" s="56"/>
      <c r="AB409" s="57"/>
      <c r="AC409" s="489" t="s">
        <v>664</v>
      </c>
      <c r="AG409" s="64"/>
      <c r="AJ409" s="68"/>
      <c r="AK409" s="68">
        <v>0</v>
      </c>
      <c r="BB409" s="490" t="s">
        <v>1</v>
      </c>
      <c r="BM409" s="64">
        <f>IFERROR(X409*I409/H409,"0")</f>
        <v>11.200000000000001</v>
      </c>
      <c r="BN409" s="64">
        <f>IFERROR(Y409*I409/H409,"0")</f>
        <v>11.200000000000001</v>
      </c>
      <c r="BO409" s="64">
        <f>IFERROR(1/J409*(X409/H409),"0")</f>
        <v>2.1008403361344536E-2</v>
      </c>
      <c r="BP409" s="64">
        <f>IFERROR(1/J409*(Y409/H409),"0")</f>
        <v>2.1008403361344536E-2</v>
      </c>
    </row>
    <row r="410" spans="1:68" x14ac:dyDescent="0.2">
      <c r="A410" s="647"/>
      <c r="B410" s="648"/>
      <c r="C410" s="648"/>
      <c r="D410" s="648"/>
      <c r="E410" s="648"/>
      <c r="F410" s="648"/>
      <c r="G410" s="648"/>
      <c r="H410" s="648"/>
      <c r="I410" s="648"/>
      <c r="J410" s="648"/>
      <c r="K410" s="648"/>
      <c r="L410" s="648"/>
      <c r="M410" s="648"/>
      <c r="N410" s="648"/>
      <c r="O410" s="649"/>
      <c r="P410" s="653" t="s">
        <v>81</v>
      </c>
      <c r="Q410" s="654"/>
      <c r="R410" s="654"/>
      <c r="S410" s="654"/>
      <c r="T410" s="654"/>
      <c r="U410" s="654"/>
      <c r="V410" s="655"/>
      <c r="W410" s="37" t="s">
        <v>82</v>
      </c>
      <c r="X410" s="637">
        <f>IFERROR(X407/H407,"0")+IFERROR(X408/H408,"0")+IFERROR(X409/H409,"0")</f>
        <v>19</v>
      </c>
      <c r="Y410" s="637">
        <f>IFERROR(Y407/H407,"0")+IFERROR(Y408/H408,"0")+IFERROR(Y409/H409,"0")</f>
        <v>20</v>
      </c>
      <c r="Z410" s="637">
        <f>IFERROR(IF(Z407="",0,Z407),"0")+IFERROR(IF(Z408="",0,Z408),"0")+IFERROR(IF(Z409="",0,Z409),"0")</f>
        <v>9.4799999999999995E-2</v>
      </c>
      <c r="AA410" s="638"/>
      <c r="AB410" s="638"/>
      <c r="AC410" s="638"/>
    </row>
    <row r="411" spans="1:68" x14ac:dyDescent="0.2">
      <c r="A411" s="648"/>
      <c r="B411" s="648"/>
      <c r="C411" s="648"/>
      <c r="D411" s="648"/>
      <c r="E411" s="648"/>
      <c r="F411" s="648"/>
      <c r="G411" s="648"/>
      <c r="H411" s="648"/>
      <c r="I411" s="648"/>
      <c r="J411" s="648"/>
      <c r="K411" s="648"/>
      <c r="L411" s="648"/>
      <c r="M411" s="648"/>
      <c r="N411" s="648"/>
      <c r="O411" s="649"/>
      <c r="P411" s="653" t="s">
        <v>81</v>
      </c>
      <c r="Q411" s="654"/>
      <c r="R411" s="654"/>
      <c r="S411" s="654"/>
      <c r="T411" s="654"/>
      <c r="U411" s="654"/>
      <c r="V411" s="655"/>
      <c r="W411" s="37" t="s">
        <v>67</v>
      </c>
      <c r="X411" s="637">
        <f>IFERROR(SUM(X407:X409),"0")</f>
        <v>38</v>
      </c>
      <c r="Y411" s="637">
        <f>IFERROR(SUM(Y407:Y409),"0")</f>
        <v>40</v>
      </c>
      <c r="Z411" s="37"/>
      <c r="AA411" s="638"/>
      <c r="AB411" s="638"/>
      <c r="AC411" s="638"/>
    </row>
    <row r="412" spans="1:68" ht="14.25" hidden="1" customHeight="1" x14ac:dyDescent="0.25">
      <c r="A412" s="658" t="s">
        <v>669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31"/>
      <c r="AB412" s="631"/>
      <c r="AC412" s="631"/>
    </row>
    <row r="413" spans="1:68" ht="27" hidden="1" customHeight="1" x14ac:dyDescent="0.25">
      <c r="A413" s="54" t="s">
        <v>670</v>
      </c>
      <c r="B413" s="54" t="s">
        <v>671</v>
      </c>
      <c r="C413" s="31">
        <v>4301220003</v>
      </c>
      <c r="D413" s="642">
        <v>4680115888678</v>
      </c>
      <c r="E413" s="643"/>
      <c r="F413" s="634">
        <v>0.25</v>
      </c>
      <c r="G413" s="32">
        <v>12</v>
      </c>
      <c r="H413" s="634">
        <v>3</v>
      </c>
      <c r="I413" s="634">
        <v>3.22</v>
      </c>
      <c r="J413" s="32">
        <v>224</v>
      </c>
      <c r="K413" s="32" t="s">
        <v>65</v>
      </c>
      <c r="L413" s="32"/>
      <c r="M413" s="33" t="s">
        <v>663</v>
      </c>
      <c r="N413" s="33"/>
      <c r="O413" s="32">
        <v>1096</v>
      </c>
      <c r="P413" s="72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40"/>
      <c r="R413" s="640"/>
      <c r="S413" s="640"/>
      <c r="T413" s="641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IFERROR(IF(Y413=0,"",ROUNDUP(Y413/H413,0)*0.0045),"")</f>
        <v/>
      </c>
      <c r="AA413" s="56"/>
      <c r="AB413" s="57"/>
      <c r="AC413" s="491" t="s">
        <v>672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673</v>
      </c>
      <c r="B414" s="54" t="s">
        <v>674</v>
      </c>
      <c r="C414" s="31">
        <v>4301220001</v>
      </c>
      <c r="D414" s="642">
        <v>4680115888654</v>
      </c>
      <c r="E414" s="643"/>
      <c r="F414" s="634">
        <v>0.32500000000000001</v>
      </c>
      <c r="G414" s="32">
        <v>12</v>
      </c>
      <c r="H414" s="634">
        <v>3.9</v>
      </c>
      <c r="I414" s="634">
        <v>4.17</v>
      </c>
      <c r="J414" s="32">
        <v>144</v>
      </c>
      <c r="K414" s="32" t="s">
        <v>126</v>
      </c>
      <c r="L414" s="32"/>
      <c r="M414" s="33" t="s">
        <v>663</v>
      </c>
      <c r="N414" s="33"/>
      <c r="O414" s="32">
        <v>1096</v>
      </c>
      <c r="P414" s="76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40"/>
      <c r="R414" s="640"/>
      <c r="S414" s="640"/>
      <c r="T414" s="641"/>
      <c r="U414" s="34"/>
      <c r="V414" s="34"/>
      <c r="W414" s="35" t="s">
        <v>67</v>
      </c>
      <c r="X414" s="635">
        <v>0</v>
      </c>
      <c r="Y414" s="636">
        <f>IFERROR(IF(X414="",0,CEILING((X414/$H414),1)*$H414),"")</f>
        <v>0</v>
      </c>
      <c r="Z414" s="36" t="str">
        <f>IFERROR(IF(Y414=0,"",ROUNDUP(Y414/H414,0)*0.006),"")</f>
        <v/>
      </c>
      <c r="AA414" s="56"/>
      <c r="AB414" s="57"/>
      <c r="AC414" s="493" t="s">
        <v>675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676</v>
      </c>
      <c r="B415" s="54" t="s">
        <v>677</v>
      </c>
      <c r="C415" s="31">
        <v>4301220002</v>
      </c>
      <c r="D415" s="642">
        <v>4680115888753</v>
      </c>
      <c r="E415" s="643"/>
      <c r="F415" s="634">
        <v>0.25</v>
      </c>
      <c r="G415" s="32">
        <v>12</v>
      </c>
      <c r="H415" s="634">
        <v>3</v>
      </c>
      <c r="I415" s="634">
        <v>3.22</v>
      </c>
      <c r="J415" s="32">
        <v>224</v>
      </c>
      <c r="K415" s="32" t="s">
        <v>65</v>
      </c>
      <c r="L415" s="32"/>
      <c r="M415" s="33" t="s">
        <v>663</v>
      </c>
      <c r="N415" s="33"/>
      <c r="O415" s="32">
        <v>1096</v>
      </c>
      <c r="P415" s="9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5">
        <v>0</v>
      </c>
      <c r="Y415" s="636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95" t="s">
        <v>672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47"/>
      <c r="B416" s="648"/>
      <c r="C416" s="648"/>
      <c r="D416" s="648"/>
      <c r="E416" s="648"/>
      <c r="F416" s="648"/>
      <c r="G416" s="648"/>
      <c r="H416" s="648"/>
      <c r="I416" s="648"/>
      <c r="J416" s="648"/>
      <c r="K416" s="648"/>
      <c r="L416" s="648"/>
      <c r="M416" s="648"/>
      <c r="N416" s="648"/>
      <c r="O416" s="649"/>
      <c r="P416" s="653" t="s">
        <v>81</v>
      </c>
      <c r="Q416" s="654"/>
      <c r="R416" s="654"/>
      <c r="S416" s="654"/>
      <c r="T416" s="654"/>
      <c r="U416" s="654"/>
      <c r="V416" s="655"/>
      <c r="W416" s="37" t="s">
        <v>82</v>
      </c>
      <c r="X416" s="637">
        <f>IFERROR(X413/H413,"0")+IFERROR(X414/H414,"0")+IFERROR(X415/H415,"0")</f>
        <v>0</v>
      </c>
      <c r="Y416" s="637">
        <f>IFERROR(Y413/H413,"0")+IFERROR(Y414/H414,"0")+IFERROR(Y415/H415,"0")</f>
        <v>0</v>
      </c>
      <c r="Z416" s="637">
        <f>IFERROR(IF(Z413="",0,Z413),"0")+IFERROR(IF(Z414="",0,Z414),"0")+IFERROR(IF(Z415="",0,Z415),"0")</f>
        <v>0</v>
      </c>
      <c r="AA416" s="638"/>
      <c r="AB416" s="638"/>
      <c r="AC416" s="638"/>
    </row>
    <row r="417" spans="1:68" hidden="1" x14ac:dyDescent="0.2">
      <c r="A417" s="648"/>
      <c r="B417" s="648"/>
      <c r="C417" s="648"/>
      <c r="D417" s="648"/>
      <c r="E417" s="648"/>
      <c r="F417" s="648"/>
      <c r="G417" s="648"/>
      <c r="H417" s="648"/>
      <c r="I417" s="648"/>
      <c r="J417" s="648"/>
      <c r="K417" s="648"/>
      <c r="L417" s="648"/>
      <c r="M417" s="648"/>
      <c r="N417" s="648"/>
      <c r="O417" s="649"/>
      <c r="P417" s="653" t="s">
        <v>81</v>
      </c>
      <c r="Q417" s="654"/>
      <c r="R417" s="654"/>
      <c r="S417" s="654"/>
      <c r="T417" s="654"/>
      <c r="U417" s="654"/>
      <c r="V417" s="655"/>
      <c r="W417" s="37" t="s">
        <v>67</v>
      </c>
      <c r="X417" s="637">
        <f>IFERROR(SUM(X413:X415),"0")</f>
        <v>0</v>
      </c>
      <c r="Y417" s="637">
        <f>IFERROR(SUM(Y413:Y415),"0")</f>
        <v>0</v>
      </c>
      <c r="Z417" s="37"/>
      <c r="AA417" s="638"/>
      <c r="AB417" s="638"/>
      <c r="AC417" s="638"/>
    </row>
    <row r="418" spans="1:68" ht="16.5" hidden="1" customHeight="1" x14ac:dyDescent="0.25">
      <c r="A418" s="652" t="s">
        <v>678</v>
      </c>
      <c r="B418" s="648"/>
      <c r="C418" s="648"/>
      <c r="D418" s="648"/>
      <c r="E418" s="648"/>
      <c r="F418" s="648"/>
      <c r="G418" s="648"/>
      <c r="H418" s="648"/>
      <c r="I418" s="648"/>
      <c r="J418" s="648"/>
      <c r="K418" s="648"/>
      <c r="L418" s="648"/>
      <c r="M418" s="648"/>
      <c r="N418" s="648"/>
      <c r="O418" s="648"/>
      <c r="P418" s="648"/>
      <c r="Q418" s="648"/>
      <c r="R418" s="648"/>
      <c r="S418" s="648"/>
      <c r="T418" s="648"/>
      <c r="U418" s="648"/>
      <c r="V418" s="648"/>
      <c r="W418" s="648"/>
      <c r="X418" s="648"/>
      <c r="Y418" s="648"/>
      <c r="Z418" s="648"/>
      <c r="AA418" s="630"/>
      <c r="AB418" s="630"/>
      <c r="AC418" s="630"/>
    </row>
    <row r="419" spans="1:68" ht="14.25" hidden="1" customHeight="1" x14ac:dyDescent="0.25">
      <c r="A419" s="658" t="s">
        <v>62</v>
      </c>
      <c r="B419" s="648"/>
      <c r="C419" s="648"/>
      <c r="D419" s="648"/>
      <c r="E419" s="648"/>
      <c r="F419" s="648"/>
      <c r="G419" s="648"/>
      <c r="H419" s="648"/>
      <c r="I419" s="648"/>
      <c r="J419" s="648"/>
      <c r="K419" s="648"/>
      <c r="L419" s="648"/>
      <c r="M419" s="648"/>
      <c r="N419" s="648"/>
      <c r="O419" s="648"/>
      <c r="P419" s="648"/>
      <c r="Q419" s="648"/>
      <c r="R419" s="648"/>
      <c r="S419" s="648"/>
      <c r="T419" s="648"/>
      <c r="U419" s="648"/>
      <c r="V419" s="648"/>
      <c r="W419" s="648"/>
      <c r="X419" s="648"/>
      <c r="Y419" s="648"/>
      <c r="Z419" s="648"/>
      <c r="AA419" s="631"/>
      <c r="AB419" s="631"/>
      <c r="AC419" s="631"/>
    </row>
    <row r="420" spans="1:68" ht="16.5" hidden="1" customHeight="1" x14ac:dyDescent="0.25">
      <c r="A420" s="54" t="s">
        <v>679</v>
      </c>
      <c r="B420" s="54" t="s">
        <v>680</v>
      </c>
      <c r="C420" s="31">
        <v>4301052283</v>
      </c>
      <c r="D420" s="642">
        <v>4660663720026</v>
      </c>
      <c r="E420" s="643"/>
      <c r="F420" s="634">
        <v>1.3</v>
      </c>
      <c r="G420" s="32">
        <v>6</v>
      </c>
      <c r="H420" s="634">
        <v>7.8</v>
      </c>
      <c r="I420" s="634">
        <v>8.2159999999999993</v>
      </c>
      <c r="J420" s="32">
        <v>64</v>
      </c>
      <c r="K420" s="32" t="s">
        <v>116</v>
      </c>
      <c r="L420" s="32"/>
      <c r="M420" s="33" t="s">
        <v>66</v>
      </c>
      <c r="N420" s="33"/>
      <c r="O420" s="32">
        <v>40</v>
      </c>
      <c r="P420" s="952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40"/>
      <c r="R420" s="640"/>
      <c r="S420" s="640"/>
      <c r="T420" s="641"/>
      <c r="U420" s="34"/>
      <c r="V420" s="34"/>
      <c r="W420" s="35" t="s">
        <v>67</v>
      </c>
      <c r="X420" s="635">
        <v>0</v>
      </c>
      <c r="Y420" s="636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497" t="s">
        <v>681</v>
      </c>
      <c r="AG420" s="64"/>
      <c r="AJ420" s="68"/>
      <c r="AK420" s="68">
        <v>0</v>
      </c>
      <c r="BB420" s="498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16.5" hidden="1" customHeight="1" x14ac:dyDescent="0.25">
      <c r="A421" s="54" t="s">
        <v>682</v>
      </c>
      <c r="B421" s="54" t="s">
        <v>683</v>
      </c>
      <c r="C421" s="31">
        <v>4301052236</v>
      </c>
      <c r="D421" s="642">
        <v>4680115889422</v>
      </c>
      <c r="E421" s="643"/>
      <c r="F421" s="634">
        <v>1.3</v>
      </c>
      <c r="G421" s="32">
        <v>6</v>
      </c>
      <c r="H421" s="634">
        <v>7.8</v>
      </c>
      <c r="I421" s="634">
        <v>8.2100000000000009</v>
      </c>
      <c r="J421" s="32">
        <v>64</v>
      </c>
      <c r="K421" s="32" t="s">
        <v>116</v>
      </c>
      <c r="L421" s="32"/>
      <c r="M421" s="33" t="s">
        <v>66</v>
      </c>
      <c r="N421" s="33"/>
      <c r="O421" s="32">
        <v>40</v>
      </c>
      <c r="P421" s="96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40"/>
      <c r="R421" s="640"/>
      <c r="S421" s="640"/>
      <c r="T421" s="641"/>
      <c r="U421" s="34"/>
      <c r="V421" s="34"/>
      <c r="W421" s="35" t="s">
        <v>67</v>
      </c>
      <c r="X421" s="635">
        <v>0</v>
      </c>
      <c r="Y421" s="636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499" t="s">
        <v>684</v>
      </c>
      <c r="AG421" s="64"/>
      <c r="AJ421" s="68"/>
      <c r="AK421" s="68">
        <v>0</v>
      </c>
      <c r="BB421" s="500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hidden="1" customHeight="1" x14ac:dyDescent="0.25">
      <c r="A422" s="54" t="s">
        <v>682</v>
      </c>
      <c r="B422" s="54" t="s">
        <v>685</v>
      </c>
      <c r="C422" s="31">
        <v>4301052284</v>
      </c>
      <c r="D422" s="642">
        <v>4680115889972</v>
      </c>
      <c r="E422" s="643"/>
      <c r="F422" s="634">
        <v>1.3</v>
      </c>
      <c r="G422" s="32">
        <v>6</v>
      </c>
      <c r="H422" s="634">
        <v>7.8</v>
      </c>
      <c r="I422" s="634">
        <v>8.2159999999999993</v>
      </c>
      <c r="J422" s="32">
        <v>64</v>
      </c>
      <c r="K422" s="32" t="s">
        <v>116</v>
      </c>
      <c r="L422" s="32"/>
      <c r="M422" s="33" t="s">
        <v>66</v>
      </c>
      <c r="N422" s="33"/>
      <c r="O422" s="32">
        <v>40</v>
      </c>
      <c r="P422" s="792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5">
        <v>0</v>
      </c>
      <c r="Y422" s="636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01" t="s">
        <v>686</v>
      </c>
      <c r="AG422" s="64"/>
      <c r="AJ422" s="68"/>
      <c r="AK422" s="68">
        <v>0</v>
      </c>
      <c r="BB422" s="502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687</v>
      </c>
      <c r="B423" s="54" t="s">
        <v>688</v>
      </c>
      <c r="C423" s="31">
        <v>4301052281</v>
      </c>
      <c r="D423" s="642">
        <v>4660663720163</v>
      </c>
      <c r="E423" s="643"/>
      <c r="F423" s="634">
        <v>1.3</v>
      </c>
      <c r="G423" s="32">
        <v>6</v>
      </c>
      <c r="H423" s="634">
        <v>7.8</v>
      </c>
      <c r="I423" s="634">
        <v>8.2100000000000009</v>
      </c>
      <c r="J423" s="32">
        <v>64</v>
      </c>
      <c r="K423" s="32" t="s">
        <v>116</v>
      </c>
      <c r="L423" s="32"/>
      <c r="M423" s="33" t="s">
        <v>73</v>
      </c>
      <c r="N423" s="33"/>
      <c r="O423" s="32">
        <v>20</v>
      </c>
      <c r="P423" s="761" t="s">
        <v>689</v>
      </c>
      <c r="Q423" s="640"/>
      <c r="R423" s="640"/>
      <c r="S423" s="640"/>
      <c r="T423" s="641"/>
      <c r="U423" s="34"/>
      <c r="V423" s="34"/>
      <c r="W423" s="35" t="s">
        <v>67</v>
      </c>
      <c r="X423" s="635">
        <v>0</v>
      </c>
      <c r="Y423" s="63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3" t="s">
        <v>690</v>
      </c>
      <c r="AG423" s="64"/>
      <c r="AJ423" s="68"/>
      <c r="AK423" s="68">
        <v>0</v>
      </c>
      <c r="BB423" s="504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647"/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9"/>
      <c r="P424" s="653" t="s">
        <v>81</v>
      </c>
      <c r="Q424" s="654"/>
      <c r="R424" s="654"/>
      <c r="S424" s="654"/>
      <c r="T424" s="654"/>
      <c r="U424" s="654"/>
      <c r="V424" s="655"/>
      <c r="W424" s="37" t="s">
        <v>82</v>
      </c>
      <c r="X424" s="637">
        <f>IFERROR(X420/H420,"0")+IFERROR(X421/H421,"0")+IFERROR(X422/H422,"0")+IFERROR(X423/H423,"0")</f>
        <v>0</v>
      </c>
      <c r="Y424" s="637">
        <f>IFERROR(Y420/H420,"0")+IFERROR(Y421/H421,"0")+IFERROR(Y422/H422,"0")+IFERROR(Y423/H423,"0")</f>
        <v>0</v>
      </c>
      <c r="Z424" s="637">
        <f>IFERROR(IF(Z420="",0,Z420),"0")+IFERROR(IF(Z421="",0,Z421),"0")+IFERROR(IF(Z422="",0,Z422),"0")+IFERROR(IF(Z423="",0,Z423),"0")</f>
        <v>0</v>
      </c>
      <c r="AA424" s="638"/>
      <c r="AB424" s="638"/>
      <c r="AC424" s="638"/>
    </row>
    <row r="425" spans="1:68" hidden="1" x14ac:dyDescent="0.2">
      <c r="A425" s="648"/>
      <c r="B425" s="648"/>
      <c r="C425" s="648"/>
      <c r="D425" s="648"/>
      <c r="E425" s="648"/>
      <c r="F425" s="648"/>
      <c r="G425" s="648"/>
      <c r="H425" s="648"/>
      <c r="I425" s="648"/>
      <c r="J425" s="648"/>
      <c r="K425" s="648"/>
      <c r="L425" s="648"/>
      <c r="M425" s="648"/>
      <c r="N425" s="648"/>
      <c r="O425" s="649"/>
      <c r="P425" s="653" t="s">
        <v>81</v>
      </c>
      <c r="Q425" s="654"/>
      <c r="R425" s="654"/>
      <c r="S425" s="654"/>
      <c r="T425" s="654"/>
      <c r="U425" s="654"/>
      <c r="V425" s="655"/>
      <c r="W425" s="37" t="s">
        <v>67</v>
      </c>
      <c r="X425" s="637">
        <f>IFERROR(SUM(X420:X423),"0")</f>
        <v>0</v>
      </c>
      <c r="Y425" s="637">
        <f>IFERROR(SUM(Y420:Y423),"0")</f>
        <v>0</v>
      </c>
      <c r="Z425" s="37"/>
      <c r="AA425" s="638"/>
      <c r="AB425" s="638"/>
      <c r="AC425" s="638"/>
    </row>
    <row r="426" spans="1:68" ht="16.5" hidden="1" customHeight="1" x14ac:dyDescent="0.25">
      <c r="A426" s="652" t="s">
        <v>691</v>
      </c>
      <c r="B426" s="648"/>
      <c r="C426" s="648"/>
      <c r="D426" s="648"/>
      <c r="E426" s="648"/>
      <c r="F426" s="648"/>
      <c r="G426" s="648"/>
      <c r="H426" s="648"/>
      <c r="I426" s="648"/>
      <c r="J426" s="648"/>
      <c r="K426" s="648"/>
      <c r="L426" s="648"/>
      <c r="M426" s="648"/>
      <c r="N426" s="648"/>
      <c r="O426" s="648"/>
      <c r="P426" s="648"/>
      <c r="Q426" s="648"/>
      <c r="R426" s="648"/>
      <c r="S426" s="648"/>
      <c r="T426" s="648"/>
      <c r="U426" s="648"/>
      <c r="V426" s="648"/>
      <c r="W426" s="648"/>
      <c r="X426" s="648"/>
      <c r="Y426" s="648"/>
      <c r="Z426" s="648"/>
      <c r="AA426" s="630"/>
      <c r="AB426" s="630"/>
      <c r="AC426" s="630"/>
    </row>
    <row r="427" spans="1:68" ht="14.25" hidden="1" customHeight="1" x14ac:dyDescent="0.25">
      <c r="A427" s="658" t="s">
        <v>62</v>
      </c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8"/>
      <c r="P427" s="648"/>
      <c r="Q427" s="648"/>
      <c r="R427" s="648"/>
      <c r="S427" s="648"/>
      <c r="T427" s="648"/>
      <c r="U427" s="648"/>
      <c r="V427" s="648"/>
      <c r="W427" s="648"/>
      <c r="X427" s="648"/>
      <c r="Y427" s="648"/>
      <c r="Z427" s="648"/>
      <c r="AA427" s="631"/>
      <c r="AB427" s="631"/>
      <c r="AC427" s="631"/>
    </row>
    <row r="428" spans="1:68" ht="27" hidden="1" customHeight="1" x14ac:dyDescent="0.25">
      <c r="A428" s="54" t="s">
        <v>692</v>
      </c>
      <c r="B428" s="54" t="s">
        <v>693</v>
      </c>
      <c r="C428" s="31">
        <v>4301051489</v>
      </c>
      <c r="D428" s="642">
        <v>4607091387919</v>
      </c>
      <c r="E428" s="643"/>
      <c r="F428" s="634">
        <v>1.35</v>
      </c>
      <c r="G428" s="32">
        <v>6</v>
      </c>
      <c r="H428" s="634">
        <v>8.1</v>
      </c>
      <c r="I428" s="634">
        <v>8.5939999999999994</v>
      </c>
      <c r="J428" s="32">
        <v>64</v>
      </c>
      <c r="K428" s="32" t="s">
        <v>116</v>
      </c>
      <c r="L428" s="32"/>
      <c r="M428" s="33" t="s">
        <v>73</v>
      </c>
      <c r="N428" s="33"/>
      <c r="O428" s="32">
        <v>45</v>
      </c>
      <c r="P428" s="74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40"/>
      <c r="R428" s="640"/>
      <c r="S428" s="640"/>
      <c r="T428" s="641"/>
      <c r="U428" s="34"/>
      <c r="V428" s="34"/>
      <c r="W428" s="35" t="s">
        <v>67</v>
      </c>
      <c r="X428" s="635">
        <v>0</v>
      </c>
      <c r="Y428" s="63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694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ht="27" customHeight="1" x14ac:dyDescent="0.25">
      <c r="A429" s="54" t="s">
        <v>695</v>
      </c>
      <c r="B429" s="54" t="s">
        <v>696</v>
      </c>
      <c r="C429" s="31">
        <v>4301051461</v>
      </c>
      <c r="D429" s="642">
        <v>4680115883604</v>
      </c>
      <c r="E429" s="643"/>
      <c r="F429" s="634">
        <v>0.35</v>
      </c>
      <c r="G429" s="32">
        <v>6</v>
      </c>
      <c r="H429" s="634">
        <v>2.1</v>
      </c>
      <c r="I429" s="634">
        <v>2.3519999999999999</v>
      </c>
      <c r="J429" s="32">
        <v>182</v>
      </c>
      <c r="K429" s="32" t="s">
        <v>65</v>
      </c>
      <c r="L429" s="32"/>
      <c r="M429" s="33" t="s">
        <v>66</v>
      </c>
      <c r="N429" s="33"/>
      <c r="O429" s="32">
        <v>45</v>
      </c>
      <c r="P429" s="7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40"/>
      <c r="R429" s="640"/>
      <c r="S429" s="640"/>
      <c r="T429" s="641"/>
      <c r="U429" s="34"/>
      <c r="V429" s="34"/>
      <c r="W429" s="35" t="s">
        <v>67</v>
      </c>
      <c r="X429" s="635">
        <v>28</v>
      </c>
      <c r="Y429" s="636">
        <f>IFERROR(IF(X429="",0,CEILING((X429/$H429),1)*$H429),"")</f>
        <v>29.400000000000002</v>
      </c>
      <c r="Z429" s="36">
        <f>IFERROR(IF(Y429=0,"",ROUNDUP(Y429/H429,0)*0.00651),"")</f>
        <v>9.1139999999999999E-2</v>
      </c>
      <c r="AA429" s="56"/>
      <c r="AB429" s="57"/>
      <c r="AC429" s="507" t="s">
        <v>697</v>
      </c>
      <c r="AG429" s="64"/>
      <c r="AJ429" s="68"/>
      <c r="AK429" s="68">
        <v>0</v>
      </c>
      <c r="BB429" s="508" t="s">
        <v>1</v>
      </c>
      <c r="BM429" s="64">
        <f>IFERROR(X429*I429/H429,"0")</f>
        <v>31.359999999999996</v>
      </c>
      <c r="BN429" s="64">
        <f>IFERROR(Y429*I429/H429,"0")</f>
        <v>32.927999999999997</v>
      </c>
      <c r="BO429" s="64">
        <f>IFERROR(1/J429*(X429/H429),"0")</f>
        <v>7.3260073260073263E-2</v>
      </c>
      <c r="BP429" s="64">
        <f>IFERROR(1/J429*(Y429/H429),"0")</f>
        <v>7.6923076923076927E-2</v>
      </c>
    </row>
    <row r="430" spans="1:68" ht="27" hidden="1" customHeight="1" x14ac:dyDescent="0.25">
      <c r="A430" s="54" t="s">
        <v>698</v>
      </c>
      <c r="B430" s="54" t="s">
        <v>699</v>
      </c>
      <c r="C430" s="31">
        <v>4301051864</v>
      </c>
      <c r="D430" s="642">
        <v>4680115883567</v>
      </c>
      <c r="E430" s="643"/>
      <c r="F430" s="634">
        <v>0.35</v>
      </c>
      <c r="G430" s="32">
        <v>6</v>
      </c>
      <c r="H430" s="634">
        <v>2.1</v>
      </c>
      <c r="I430" s="634">
        <v>2.34</v>
      </c>
      <c r="J430" s="32">
        <v>182</v>
      </c>
      <c r="K430" s="32" t="s">
        <v>65</v>
      </c>
      <c r="L430" s="32"/>
      <c r="M430" s="33" t="s">
        <v>73</v>
      </c>
      <c r="N430" s="33"/>
      <c r="O430" s="32">
        <v>40</v>
      </c>
      <c r="P430" s="94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40"/>
      <c r="R430" s="640"/>
      <c r="S430" s="640"/>
      <c r="T430" s="641"/>
      <c r="U430" s="34"/>
      <c r="V430" s="34"/>
      <c r="W430" s="35" t="s">
        <v>67</v>
      </c>
      <c r="X430" s="635">
        <v>0</v>
      </c>
      <c r="Y430" s="636">
        <f>IFERROR(IF(X430="",0,CEILING((X430/$H430),1)*$H430),"")</f>
        <v>0</v>
      </c>
      <c r="Z430" s="36" t="str">
        <f>IFERROR(IF(Y430=0,"",ROUNDUP(Y430/H430,0)*0.00651),"")</f>
        <v/>
      </c>
      <c r="AA430" s="56"/>
      <c r="AB430" s="57"/>
      <c r="AC430" s="509" t="s">
        <v>700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47"/>
      <c r="B431" s="648"/>
      <c r="C431" s="648"/>
      <c r="D431" s="648"/>
      <c r="E431" s="648"/>
      <c r="F431" s="648"/>
      <c r="G431" s="648"/>
      <c r="H431" s="648"/>
      <c r="I431" s="648"/>
      <c r="J431" s="648"/>
      <c r="K431" s="648"/>
      <c r="L431" s="648"/>
      <c r="M431" s="648"/>
      <c r="N431" s="648"/>
      <c r="O431" s="649"/>
      <c r="P431" s="653" t="s">
        <v>81</v>
      </c>
      <c r="Q431" s="654"/>
      <c r="R431" s="654"/>
      <c r="S431" s="654"/>
      <c r="T431" s="654"/>
      <c r="U431" s="654"/>
      <c r="V431" s="655"/>
      <c r="W431" s="37" t="s">
        <v>82</v>
      </c>
      <c r="X431" s="637">
        <f>IFERROR(X428/H428,"0")+IFERROR(X429/H429,"0")+IFERROR(X430/H430,"0")</f>
        <v>13.333333333333332</v>
      </c>
      <c r="Y431" s="637">
        <f>IFERROR(Y428/H428,"0")+IFERROR(Y429/H429,"0")+IFERROR(Y430/H430,"0")</f>
        <v>14</v>
      </c>
      <c r="Z431" s="637">
        <f>IFERROR(IF(Z428="",0,Z428),"0")+IFERROR(IF(Z429="",0,Z429),"0")+IFERROR(IF(Z430="",0,Z430),"0")</f>
        <v>9.1139999999999999E-2</v>
      </c>
      <c r="AA431" s="638"/>
      <c r="AB431" s="638"/>
      <c r="AC431" s="638"/>
    </row>
    <row r="432" spans="1:68" x14ac:dyDescent="0.2">
      <c r="A432" s="648"/>
      <c r="B432" s="648"/>
      <c r="C432" s="648"/>
      <c r="D432" s="648"/>
      <c r="E432" s="648"/>
      <c r="F432" s="648"/>
      <c r="G432" s="648"/>
      <c r="H432" s="648"/>
      <c r="I432" s="648"/>
      <c r="J432" s="648"/>
      <c r="K432" s="648"/>
      <c r="L432" s="648"/>
      <c r="M432" s="648"/>
      <c r="N432" s="648"/>
      <c r="O432" s="649"/>
      <c r="P432" s="653" t="s">
        <v>81</v>
      </c>
      <c r="Q432" s="654"/>
      <c r="R432" s="654"/>
      <c r="S432" s="654"/>
      <c r="T432" s="654"/>
      <c r="U432" s="654"/>
      <c r="V432" s="655"/>
      <c r="W432" s="37" t="s">
        <v>67</v>
      </c>
      <c r="X432" s="637">
        <f>IFERROR(SUM(X428:X430),"0")</f>
        <v>28</v>
      </c>
      <c r="Y432" s="637">
        <f>IFERROR(SUM(Y428:Y430),"0")</f>
        <v>29.400000000000002</v>
      </c>
      <c r="Z432" s="37"/>
      <c r="AA432" s="638"/>
      <c r="AB432" s="638"/>
      <c r="AC432" s="638"/>
    </row>
    <row r="433" spans="1:68" ht="27.75" hidden="1" customHeight="1" x14ac:dyDescent="0.2">
      <c r="A433" s="656" t="s">
        <v>701</v>
      </c>
      <c r="B433" s="657"/>
      <c r="C433" s="657"/>
      <c r="D433" s="657"/>
      <c r="E433" s="657"/>
      <c r="F433" s="657"/>
      <c r="G433" s="657"/>
      <c r="H433" s="657"/>
      <c r="I433" s="657"/>
      <c r="J433" s="657"/>
      <c r="K433" s="657"/>
      <c r="L433" s="657"/>
      <c r="M433" s="657"/>
      <c r="N433" s="657"/>
      <c r="O433" s="657"/>
      <c r="P433" s="657"/>
      <c r="Q433" s="657"/>
      <c r="R433" s="657"/>
      <c r="S433" s="657"/>
      <c r="T433" s="657"/>
      <c r="U433" s="657"/>
      <c r="V433" s="657"/>
      <c r="W433" s="657"/>
      <c r="X433" s="657"/>
      <c r="Y433" s="657"/>
      <c r="Z433" s="657"/>
      <c r="AA433" s="48"/>
      <c r="AB433" s="48"/>
      <c r="AC433" s="48"/>
    </row>
    <row r="434" spans="1:68" ht="16.5" hidden="1" customHeight="1" x14ac:dyDescent="0.25">
      <c r="A434" s="652" t="s">
        <v>702</v>
      </c>
      <c r="B434" s="648"/>
      <c r="C434" s="648"/>
      <c r="D434" s="648"/>
      <c r="E434" s="648"/>
      <c r="F434" s="648"/>
      <c r="G434" s="648"/>
      <c r="H434" s="648"/>
      <c r="I434" s="648"/>
      <c r="J434" s="648"/>
      <c r="K434" s="648"/>
      <c r="L434" s="648"/>
      <c r="M434" s="648"/>
      <c r="N434" s="648"/>
      <c r="O434" s="648"/>
      <c r="P434" s="648"/>
      <c r="Q434" s="648"/>
      <c r="R434" s="648"/>
      <c r="S434" s="648"/>
      <c r="T434" s="648"/>
      <c r="U434" s="648"/>
      <c r="V434" s="648"/>
      <c r="W434" s="648"/>
      <c r="X434" s="648"/>
      <c r="Y434" s="648"/>
      <c r="Z434" s="648"/>
      <c r="AA434" s="630"/>
      <c r="AB434" s="630"/>
      <c r="AC434" s="630"/>
    </row>
    <row r="435" spans="1:68" ht="14.25" hidden="1" customHeight="1" x14ac:dyDescent="0.25">
      <c r="A435" s="658" t="s">
        <v>113</v>
      </c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8"/>
      <c r="P435" s="648"/>
      <c r="Q435" s="648"/>
      <c r="R435" s="648"/>
      <c r="S435" s="648"/>
      <c r="T435" s="648"/>
      <c r="U435" s="648"/>
      <c r="V435" s="648"/>
      <c r="W435" s="648"/>
      <c r="X435" s="648"/>
      <c r="Y435" s="648"/>
      <c r="Z435" s="648"/>
      <c r="AA435" s="631"/>
      <c r="AB435" s="631"/>
      <c r="AC435" s="631"/>
    </row>
    <row r="436" spans="1:68" ht="27" customHeight="1" x14ac:dyDescent="0.25">
      <c r="A436" s="54" t="s">
        <v>703</v>
      </c>
      <c r="B436" s="54" t="s">
        <v>704</v>
      </c>
      <c r="C436" s="31">
        <v>4301012332</v>
      </c>
      <c r="D436" s="642">
        <v>4680115888401</v>
      </c>
      <c r="E436" s="643"/>
      <c r="F436" s="634">
        <v>2.5</v>
      </c>
      <c r="G436" s="32">
        <v>6</v>
      </c>
      <c r="H436" s="634">
        <v>15</v>
      </c>
      <c r="I436" s="634">
        <v>15.47</v>
      </c>
      <c r="J436" s="32">
        <v>48</v>
      </c>
      <c r="K436" s="32" t="s">
        <v>116</v>
      </c>
      <c r="L436" s="32"/>
      <c r="M436" s="33" t="s">
        <v>73</v>
      </c>
      <c r="N436" s="33"/>
      <c r="O436" s="32">
        <v>60</v>
      </c>
      <c r="P436" s="98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40"/>
      <c r="R436" s="640"/>
      <c r="S436" s="640"/>
      <c r="T436" s="641"/>
      <c r="U436" s="34"/>
      <c r="V436" s="34"/>
      <c r="W436" s="35" t="s">
        <v>67</v>
      </c>
      <c r="X436" s="635">
        <v>18</v>
      </c>
      <c r="Y436" s="636">
        <f t="shared" ref="Y436:Y443" si="62">IFERROR(IF(X436="",0,CEILING((X436/$H436),1)*$H436),"")</f>
        <v>30</v>
      </c>
      <c r="Z436" s="36">
        <f>IFERROR(IF(Y436=0,"",ROUNDUP(Y436/H436,0)*0.02175),"")</f>
        <v>4.3499999999999997E-2</v>
      </c>
      <c r="AA436" s="56"/>
      <c r="AB436" s="57"/>
      <c r="AC436" s="511" t="s">
        <v>705</v>
      </c>
      <c r="AG436" s="64"/>
      <c r="AJ436" s="68"/>
      <c r="AK436" s="68">
        <v>0</v>
      </c>
      <c r="BB436" s="512" t="s">
        <v>1</v>
      </c>
      <c r="BM436" s="64">
        <f t="shared" ref="BM436:BM443" si="63">IFERROR(X436*I436/H436,"0")</f>
        <v>18.564000000000004</v>
      </c>
      <c r="BN436" s="64">
        <f t="shared" ref="BN436:BN443" si="64">IFERROR(Y436*I436/H436,"0")</f>
        <v>30.94</v>
      </c>
      <c r="BO436" s="64">
        <f t="shared" ref="BO436:BO443" si="65">IFERROR(1/J436*(X436/H436),"0")</f>
        <v>2.4999999999999998E-2</v>
      </c>
      <c r="BP436" s="64">
        <f t="shared" ref="BP436:BP443" si="66">IFERROR(1/J436*(Y436/H436),"0")</f>
        <v>4.1666666666666664E-2</v>
      </c>
    </row>
    <row r="437" spans="1:68" ht="37.5" customHeight="1" x14ac:dyDescent="0.25">
      <c r="A437" s="54" t="s">
        <v>706</v>
      </c>
      <c r="B437" s="54" t="s">
        <v>707</v>
      </c>
      <c r="C437" s="31">
        <v>4301011869</v>
      </c>
      <c r="D437" s="642">
        <v>4680115884847</v>
      </c>
      <c r="E437" s="643"/>
      <c r="F437" s="634">
        <v>2.5</v>
      </c>
      <c r="G437" s="32">
        <v>6</v>
      </c>
      <c r="H437" s="634">
        <v>15</v>
      </c>
      <c r="I437" s="634">
        <v>15.47</v>
      </c>
      <c r="J437" s="32">
        <v>48</v>
      </c>
      <c r="K437" s="32" t="s">
        <v>116</v>
      </c>
      <c r="L437" s="32"/>
      <c r="M437" s="33" t="s">
        <v>122</v>
      </c>
      <c r="N437" s="33"/>
      <c r="O437" s="32">
        <v>60</v>
      </c>
      <c r="P437" s="64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40"/>
      <c r="R437" s="640"/>
      <c r="S437" s="640"/>
      <c r="T437" s="641"/>
      <c r="U437" s="34"/>
      <c r="V437" s="34"/>
      <c r="W437" s="35" t="s">
        <v>67</v>
      </c>
      <c r="X437" s="635">
        <v>1667</v>
      </c>
      <c r="Y437" s="636">
        <f t="shared" si="62"/>
        <v>1680</v>
      </c>
      <c r="Z437" s="36">
        <f>IFERROR(IF(Y437=0,"",ROUNDUP(Y437/H437,0)*0.02175),"")</f>
        <v>2.4359999999999999</v>
      </c>
      <c r="AA437" s="56"/>
      <c r="AB437" s="57"/>
      <c r="AC437" s="513" t="s">
        <v>708</v>
      </c>
      <c r="AG437" s="64"/>
      <c r="AJ437" s="68"/>
      <c r="AK437" s="68">
        <v>0</v>
      </c>
      <c r="BB437" s="514" t="s">
        <v>1</v>
      </c>
      <c r="BM437" s="64">
        <f t="shared" si="63"/>
        <v>1719.2326666666668</v>
      </c>
      <c r="BN437" s="64">
        <f t="shared" si="64"/>
        <v>1732.64</v>
      </c>
      <c r="BO437" s="64">
        <f t="shared" si="65"/>
        <v>2.3152777777777778</v>
      </c>
      <c r="BP437" s="64">
        <f t="shared" si="66"/>
        <v>2.333333333333333</v>
      </c>
    </row>
    <row r="438" spans="1:68" ht="27" customHeight="1" x14ac:dyDescent="0.25">
      <c r="A438" s="54" t="s">
        <v>709</v>
      </c>
      <c r="B438" s="54" t="s">
        <v>710</v>
      </c>
      <c r="C438" s="31">
        <v>4301012083</v>
      </c>
      <c r="D438" s="642">
        <v>4680115884854</v>
      </c>
      <c r="E438" s="643"/>
      <c r="F438" s="634">
        <v>2.5</v>
      </c>
      <c r="G438" s="32">
        <v>6</v>
      </c>
      <c r="H438" s="634">
        <v>15</v>
      </c>
      <c r="I438" s="634">
        <v>15.47</v>
      </c>
      <c r="J438" s="32">
        <v>48</v>
      </c>
      <c r="K438" s="32" t="s">
        <v>116</v>
      </c>
      <c r="L438" s="32"/>
      <c r="M438" s="33" t="s">
        <v>117</v>
      </c>
      <c r="N438" s="33"/>
      <c r="O438" s="32">
        <v>60</v>
      </c>
      <c r="P438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40"/>
      <c r="R438" s="640"/>
      <c r="S438" s="640"/>
      <c r="T438" s="641"/>
      <c r="U438" s="34"/>
      <c r="V438" s="34"/>
      <c r="W438" s="35" t="s">
        <v>67</v>
      </c>
      <c r="X438" s="635">
        <v>784</v>
      </c>
      <c r="Y438" s="636">
        <f t="shared" si="62"/>
        <v>795</v>
      </c>
      <c r="Z438" s="36">
        <f>IFERROR(IF(Y438=0,"",ROUNDUP(Y438/H438,0)*0.02175),"")</f>
        <v>1.1527499999999999</v>
      </c>
      <c r="AA438" s="56"/>
      <c r="AB438" s="57"/>
      <c r="AC438" s="515" t="s">
        <v>711</v>
      </c>
      <c r="AG438" s="64"/>
      <c r="AJ438" s="68"/>
      <c r="AK438" s="68">
        <v>0</v>
      </c>
      <c r="BB438" s="516" t="s">
        <v>1</v>
      </c>
      <c r="BM438" s="64">
        <f t="shared" si="63"/>
        <v>808.56533333333346</v>
      </c>
      <c r="BN438" s="64">
        <f t="shared" si="64"/>
        <v>819.91</v>
      </c>
      <c r="BO438" s="64">
        <f t="shared" si="65"/>
        <v>1.0888888888888888</v>
      </c>
      <c r="BP438" s="64">
        <f t="shared" si="66"/>
        <v>1.1041666666666665</v>
      </c>
    </row>
    <row r="439" spans="1:68" ht="27" customHeight="1" x14ac:dyDescent="0.25">
      <c r="A439" s="54" t="s">
        <v>712</v>
      </c>
      <c r="B439" s="54" t="s">
        <v>713</v>
      </c>
      <c r="C439" s="31">
        <v>4301011867</v>
      </c>
      <c r="D439" s="642">
        <v>4680115884830</v>
      </c>
      <c r="E439" s="643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116</v>
      </c>
      <c r="L439" s="32"/>
      <c r="M439" s="33" t="s">
        <v>122</v>
      </c>
      <c r="N439" s="33"/>
      <c r="O439" s="32">
        <v>60</v>
      </c>
      <c r="P439" s="97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40"/>
      <c r="R439" s="640"/>
      <c r="S439" s="640"/>
      <c r="T439" s="641"/>
      <c r="U439" s="34"/>
      <c r="V439" s="34"/>
      <c r="W439" s="35" t="s">
        <v>67</v>
      </c>
      <c r="X439" s="635">
        <v>415</v>
      </c>
      <c r="Y439" s="636">
        <f t="shared" si="62"/>
        <v>420</v>
      </c>
      <c r="Z439" s="36">
        <f>IFERROR(IF(Y439=0,"",ROUNDUP(Y439/H439,0)*0.02175),"")</f>
        <v>0.60899999999999999</v>
      </c>
      <c r="AA439" s="56"/>
      <c r="AB439" s="57"/>
      <c r="AC439" s="517" t="s">
        <v>714</v>
      </c>
      <c r="AG439" s="64"/>
      <c r="AJ439" s="68"/>
      <c r="AK439" s="68">
        <v>0</v>
      </c>
      <c r="BB439" s="518" t="s">
        <v>1</v>
      </c>
      <c r="BM439" s="64">
        <f t="shared" si="63"/>
        <v>428.00333333333333</v>
      </c>
      <c r="BN439" s="64">
        <f t="shared" si="64"/>
        <v>433.16</v>
      </c>
      <c r="BO439" s="64">
        <f t="shared" si="65"/>
        <v>0.57638888888888884</v>
      </c>
      <c r="BP439" s="64">
        <f t="shared" si="66"/>
        <v>0.58333333333333326</v>
      </c>
    </row>
    <row r="440" spans="1:68" ht="27" customHeight="1" x14ac:dyDescent="0.25">
      <c r="A440" s="54" t="s">
        <v>715</v>
      </c>
      <c r="B440" s="54" t="s">
        <v>716</v>
      </c>
      <c r="C440" s="31">
        <v>4301012356</v>
      </c>
      <c r="D440" s="642">
        <v>4680115889231</v>
      </c>
      <c r="E440" s="643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116</v>
      </c>
      <c r="L440" s="32"/>
      <c r="M440" s="33" t="s">
        <v>73</v>
      </c>
      <c r="N440" s="33"/>
      <c r="O440" s="32">
        <v>60</v>
      </c>
      <c r="P440" s="84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40"/>
      <c r="R440" s="640"/>
      <c r="S440" s="640"/>
      <c r="T440" s="641"/>
      <c r="U440" s="34"/>
      <c r="V440" s="34"/>
      <c r="W440" s="35" t="s">
        <v>67</v>
      </c>
      <c r="X440" s="635">
        <v>8</v>
      </c>
      <c r="Y440" s="636">
        <f t="shared" si="62"/>
        <v>15</v>
      </c>
      <c r="Z440" s="36">
        <f>IFERROR(IF(Y440=0,"",ROUNDUP(Y440/H440,0)*0.02175),"")</f>
        <v>2.1749999999999999E-2</v>
      </c>
      <c r="AA440" s="56"/>
      <c r="AB440" s="57"/>
      <c r="AC440" s="519" t="s">
        <v>717</v>
      </c>
      <c r="AG440" s="64"/>
      <c r="AJ440" s="68"/>
      <c r="AK440" s="68">
        <v>0</v>
      </c>
      <c r="BB440" s="520" t="s">
        <v>1</v>
      </c>
      <c r="BM440" s="64">
        <f t="shared" si="63"/>
        <v>8.2506666666666675</v>
      </c>
      <c r="BN440" s="64">
        <f t="shared" si="64"/>
        <v>15.47</v>
      </c>
      <c r="BO440" s="64">
        <f t="shared" si="65"/>
        <v>1.111111111111111E-2</v>
      </c>
      <c r="BP440" s="64">
        <f t="shared" si="66"/>
        <v>2.0833333333333332E-2</v>
      </c>
    </row>
    <row r="441" spans="1:68" ht="27" hidden="1" customHeight="1" x14ac:dyDescent="0.25">
      <c r="A441" s="54" t="s">
        <v>718</v>
      </c>
      <c r="B441" s="54" t="s">
        <v>719</v>
      </c>
      <c r="C441" s="31">
        <v>4301011433</v>
      </c>
      <c r="D441" s="642">
        <v>4680115882638</v>
      </c>
      <c r="E441" s="643"/>
      <c r="F441" s="634">
        <v>0.4</v>
      </c>
      <c r="G441" s="32">
        <v>10</v>
      </c>
      <c r="H441" s="634">
        <v>4</v>
      </c>
      <c r="I441" s="634">
        <v>4.1900000000000004</v>
      </c>
      <c r="J441" s="32">
        <v>132</v>
      </c>
      <c r="K441" s="32" t="s">
        <v>126</v>
      </c>
      <c r="L441" s="32"/>
      <c r="M441" s="33" t="s">
        <v>117</v>
      </c>
      <c r="N441" s="33"/>
      <c r="O441" s="32">
        <v>90</v>
      </c>
      <c r="P441" s="85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40"/>
      <c r="R441" s="640"/>
      <c r="S441" s="640"/>
      <c r="T441" s="641"/>
      <c r="U441" s="34"/>
      <c r="V441" s="34"/>
      <c r="W441" s="35" t="s">
        <v>67</v>
      </c>
      <c r="X441" s="635">
        <v>0</v>
      </c>
      <c r="Y441" s="636">
        <f t="shared" si="62"/>
        <v>0</v>
      </c>
      <c r="Z441" s="36" t="str">
        <f>IFERROR(IF(Y441=0,"",ROUNDUP(Y441/H441,0)*0.00902),"")</f>
        <v/>
      </c>
      <c r="AA441" s="56"/>
      <c r="AB441" s="57"/>
      <c r="AC441" s="521" t="s">
        <v>720</v>
      </c>
      <c r="AG441" s="64"/>
      <c r="AJ441" s="68"/>
      <c r="AK441" s="68">
        <v>0</v>
      </c>
      <c r="BB441" s="522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721</v>
      </c>
      <c r="B442" s="54" t="s">
        <v>722</v>
      </c>
      <c r="C442" s="31">
        <v>4301011952</v>
      </c>
      <c r="D442" s="642">
        <v>4680115884922</v>
      </c>
      <c r="E442" s="643"/>
      <c r="F442" s="634">
        <v>0.5</v>
      </c>
      <c r="G442" s="32">
        <v>10</v>
      </c>
      <c r="H442" s="634">
        <v>5</v>
      </c>
      <c r="I442" s="634">
        <v>5.19</v>
      </c>
      <c r="J442" s="32">
        <v>132</v>
      </c>
      <c r="K442" s="32" t="s">
        <v>126</v>
      </c>
      <c r="L442" s="32"/>
      <c r="M442" s="33" t="s">
        <v>122</v>
      </c>
      <c r="N442" s="33"/>
      <c r="O442" s="32">
        <v>60</v>
      </c>
      <c r="P442" s="78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5">
        <v>0</v>
      </c>
      <c r="Y442" s="636">
        <f t="shared" si="62"/>
        <v>0</v>
      </c>
      <c r="Z442" s="36" t="str">
        <f>IFERROR(IF(Y442=0,"",ROUNDUP(Y442/H442,0)*0.00902),"")</f>
        <v/>
      </c>
      <c r="AA442" s="56"/>
      <c r="AB442" s="57"/>
      <c r="AC442" s="523" t="s">
        <v>723</v>
      </c>
      <c r="AG442" s="64"/>
      <c r="AJ442" s="68"/>
      <c r="AK442" s="68">
        <v>0</v>
      </c>
      <c r="BB442" s="524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724</v>
      </c>
      <c r="B443" s="54" t="s">
        <v>725</v>
      </c>
      <c r="C443" s="31">
        <v>4301011868</v>
      </c>
      <c r="D443" s="642">
        <v>4680115884861</v>
      </c>
      <c r="E443" s="643"/>
      <c r="F443" s="634">
        <v>0.5</v>
      </c>
      <c r="G443" s="32">
        <v>10</v>
      </c>
      <c r="H443" s="634">
        <v>5</v>
      </c>
      <c r="I443" s="634">
        <v>5.19</v>
      </c>
      <c r="J443" s="32">
        <v>132</v>
      </c>
      <c r="K443" s="32" t="s">
        <v>126</v>
      </c>
      <c r="L443" s="32"/>
      <c r="M443" s="33" t="s">
        <v>122</v>
      </c>
      <c r="N443" s="33"/>
      <c r="O443" s="32">
        <v>60</v>
      </c>
      <c r="P443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5">
        <v>0</v>
      </c>
      <c r="Y443" s="636">
        <f t="shared" si="62"/>
        <v>0</v>
      </c>
      <c r="Z443" s="36" t="str">
        <f>IFERROR(IF(Y443=0,"",ROUNDUP(Y443/H443,0)*0.00902),"")</f>
        <v/>
      </c>
      <c r="AA443" s="56"/>
      <c r="AB443" s="57"/>
      <c r="AC443" s="525" t="s">
        <v>726</v>
      </c>
      <c r="AG443" s="64"/>
      <c r="AJ443" s="68"/>
      <c r="AK443" s="68">
        <v>0</v>
      </c>
      <c r="BB443" s="526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x14ac:dyDescent="0.2">
      <c r="A444" s="647"/>
      <c r="B444" s="648"/>
      <c r="C444" s="648"/>
      <c r="D444" s="648"/>
      <c r="E444" s="648"/>
      <c r="F444" s="648"/>
      <c r="G444" s="648"/>
      <c r="H444" s="648"/>
      <c r="I444" s="648"/>
      <c r="J444" s="648"/>
      <c r="K444" s="648"/>
      <c r="L444" s="648"/>
      <c r="M444" s="648"/>
      <c r="N444" s="648"/>
      <c r="O444" s="649"/>
      <c r="P444" s="653" t="s">
        <v>81</v>
      </c>
      <c r="Q444" s="654"/>
      <c r="R444" s="654"/>
      <c r="S444" s="654"/>
      <c r="T444" s="654"/>
      <c r="U444" s="654"/>
      <c r="V444" s="655"/>
      <c r="W444" s="37" t="s">
        <v>82</v>
      </c>
      <c r="X444" s="637">
        <f>IFERROR(X436/H436,"0")+IFERROR(X437/H437,"0")+IFERROR(X438/H438,"0")+IFERROR(X439/H439,"0")+IFERROR(X440/H440,"0")+IFERROR(X441/H441,"0")+IFERROR(X442/H442,"0")+IFERROR(X443/H443,"0")</f>
        <v>192.8</v>
      </c>
      <c r="Y444" s="637">
        <f>IFERROR(Y436/H436,"0")+IFERROR(Y437/H437,"0")+IFERROR(Y438/H438,"0")+IFERROR(Y439/H439,"0")+IFERROR(Y440/H440,"0")+IFERROR(Y441/H441,"0")+IFERROR(Y442/H442,"0")+IFERROR(Y443/H443,"0")</f>
        <v>196</v>
      </c>
      <c r="Z444" s="637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4.2629999999999999</v>
      </c>
      <c r="AA444" s="638"/>
      <c r="AB444" s="638"/>
      <c r="AC444" s="638"/>
    </row>
    <row r="445" spans="1:68" x14ac:dyDescent="0.2">
      <c r="A445" s="648"/>
      <c r="B445" s="648"/>
      <c r="C445" s="648"/>
      <c r="D445" s="648"/>
      <c r="E445" s="648"/>
      <c r="F445" s="648"/>
      <c r="G445" s="648"/>
      <c r="H445" s="648"/>
      <c r="I445" s="648"/>
      <c r="J445" s="648"/>
      <c r="K445" s="648"/>
      <c r="L445" s="648"/>
      <c r="M445" s="648"/>
      <c r="N445" s="648"/>
      <c r="O445" s="649"/>
      <c r="P445" s="653" t="s">
        <v>81</v>
      </c>
      <c r="Q445" s="654"/>
      <c r="R445" s="654"/>
      <c r="S445" s="654"/>
      <c r="T445" s="654"/>
      <c r="U445" s="654"/>
      <c r="V445" s="655"/>
      <c r="W445" s="37" t="s">
        <v>67</v>
      </c>
      <c r="X445" s="637">
        <f>IFERROR(SUM(X436:X443),"0")</f>
        <v>2892</v>
      </c>
      <c r="Y445" s="637">
        <f>IFERROR(SUM(Y436:Y443),"0")</f>
        <v>2940</v>
      </c>
      <c r="Z445" s="37"/>
      <c r="AA445" s="638"/>
      <c r="AB445" s="638"/>
      <c r="AC445" s="638"/>
    </row>
    <row r="446" spans="1:68" ht="14.25" hidden="1" customHeight="1" x14ac:dyDescent="0.25">
      <c r="A446" s="658" t="s">
        <v>150</v>
      </c>
      <c r="B446" s="648"/>
      <c r="C446" s="648"/>
      <c r="D446" s="648"/>
      <c r="E446" s="648"/>
      <c r="F446" s="648"/>
      <c r="G446" s="648"/>
      <c r="H446" s="648"/>
      <c r="I446" s="648"/>
      <c r="J446" s="648"/>
      <c r="K446" s="648"/>
      <c r="L446" s="648"/>
      <c r="M446" s="648"/>
      <c r="N446" s="648"/>
      <c r="O446" s="648"/>
      <c r="P446" s="648"/>
      <c r="Q446" s="648"/>
      <c r="R446" s="648"/>
      <c r="S446" s="648"/>
      <c r="T446" s="648"/>
      <c r="U446" s="648"/>
      <c r="V446" s="648"/>
      <c r="W446" s="648"/>
      <c r="X446" s="648"/>
      <c r="Y446" s="648"/>
      <c r="Z446" s="648"/>
      <c r="AA446" s="631"/>
      <c r="AB446" s="631"/>
      <c r="AC446" s="631"/>
    </row>
    <row r="447" spans="1:68" ht="27" customHeight="1" x14ac:dyDescent="0.25">
      <c r="A447" s="54" t="s">
        <v>727</v>
      </c>
      <c r="B447" s="54" t="s">
        <v>728</v>
      </c>
      <c r="C447" s="31">
        <v>4301020178</v>
      </c>
      <c r="D447" s="642">
        <v>4607091383980</v>
      </c>
      <c r="E447" s="643"/>
      <c r="F447" s="634">
        <v>2.5</v>
      </c>
      <c r="G447" s="32">
        <v>6</v>
      </c>
      <c r="H447" s="634">
        <v>15</v>
      </c>
      <c r="I447" s="634">
        <v>15.47</v>
      </c>
      <c r="J447" s="32">
        <v>48</v>
      </c>
      <c r="K447" s="32" t="s">
        <v>116</v>
      </c>
      <c r="L447" s="32"/>
      <c r="M447" s="33" t="s">
        <v>117</v>
      </c>
      <c r="N447" s="33"/>
      <c r="O447" s="32">
        <v>50</v>
      </c>
      <c r="P447" s="99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40"/>
      <c r="R447" s="640"/>
      <c r="S447" s="640"/>
      <c r="T447" s="641"/>
      <c r="U447" s="34"/>
      <c r="V447" s="34"/>
      <c r="W447" s="35" t="s">
        <v>67</v>
      </c>
      <c r="X447" s="635">
        <v>767</v>
      </c>
      <c r="Y447" s="636">
        <f>IFERROR(IF(X447="",0,CEILING((X447/$H447),1)*$H447),"")</f>
        <v>780</v>
      </c>
      <c r="Z447" s="36">
        <f>IFERROR(IF(Y447=0,"",ROUNDUP(Y447/H447,0)*0.02175),"")</f>
        <v>1.131</v>
      </c>
      <c r="AA447" s="56"/>
      <c r="AB447" s="57"/>
      <c r="AC447" s="527" t="s">
        <v>729</v>
      </c>
      <c r="AG447" s="64"/>
      <c r="AJ447" s="68"/>
      <c r="AK447" s="68">
        <v>0</v>
      </c>
      <c r="BB447" s="528" t="s">
        <v>1</v>
      </c>
      <c r="BM447" s="64">
        <f>IFERROR(X447*I447/H447,"0")</f>
        <v>791.03266666666661</v>
      </c>
      <c r="BN447" s="64">
        <f>IFERROR(Y447*I447/H447,"0")</f>
        <v>804.44</v>
      </c>
      <c r="BO447" s="64">
        <f>IFERROR(1/J447*(X447/H447),"0")</f>
        <v>1.0652777777777778</v>
      </c>
      <c r="BP447" s="64">
        <f>IFERROR(1/J447*(Y447/H447),"0")</f>
        <v>1.0833333333333333</v>
      </c>
    </row>
    <row r="448" spans="1:68" ht="27" hidden="1" customHeight="1" x14ac:dyDescent="0.25">
      <c r="A448" s="54" t="s">
        <v>730</v>
      </c>
      <c r="B448" s="54" t="s">
        <v>731</v>
      </c>
      <c r="C448" s="31">
        <v>4301020355</v>
      </c>
      <c r="D448" s="642">
        <v>4680115888425</v>
      </c>
      <c r="E448" s="643"/>
      <c r="F448" s="634">
        <v>2.5</v>
      </c>
      <c r="G448" s="32">
        <v>6</v>
      </c>
      <c r="H448" s="634">
        <v>15</v>
      </c>
      <c r="I448" s="634">
        <v>15.47</v>
      </c>
      <c r="J448" s="32">
        <v>48</v>
      </c>
      <c r="K448" s="32" t="s">
        <v>116</v>
      </c>
      <c r="L448" s="32"/>
      <c r="M448" s="33" t="s">
        <v>117</v>
      </c>
      <c r="N448" s="33"/>
      <c r="O448" s="32">
        <v>50</v>
      </c>
      <c r="P448" s="85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40"/>
      <c r="R448" s="640"/>
      <c r="S448" s="640"/>
      <c r="T448" s="641"/>
      <c r="U448" s="34"/>
      <c r="V448" s="34"/>
      <c r="W448" s="35" t="s">
        <v>67</v>
      </c>
      <c r="X448" s="635">
        <v>0</v>
      </c>
      <c r="Y448" s="636">
        <f>IFERROR(IF(X448="",0,CEILING((X448/$H448),1)*$H448),"")</f>
        <v>0</v>
      </c>
      <c r="Z448" s="36" t="str">
        <f>IFERROR(IF(Y448=0,"",ROUNDUP(Y448/H448,0)*0.02175),"")</f>
        <v/>
      </c>
      <c r="AA448" s="56"/>
      <c r="AB448" s="57"/>
      <c r="AC448" s="529" t="s">
        <v>732</v>
      </c>
      <c r="AG448" s="64"/>
      <c r="AJ448" s="68"/>
      <c r="AK448" s="68">
        <v>0</v>
      </c>
      <c r="BB448" s="530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733</v>
      </c>
      <c r="B449" s="54" t="s">
        <v>734</v>
      </c>
      <c r="C449" s="31">
        <v>4301020179</v>
      </c>
      <c r="D449" s="642">
        <v>4607091384178</v>
      </c>
      <c r="E449" s="643"/>
      <c r="F449" s="634">
        <v>0.4</v>
      </c>
      <c r="G449" s="32">
        <v>10</v>
      </c>
      <c r="H449" s="634">
        <v>4</v>
      </c>
      <c r="I449" s="634">
        <v>4.1900000000000004</v>
      </c>
      <c r="J449" s="32">
        <v>132</v>
      </c>
      <c r="K449" s="32" t="s">
        <v>126</v>
      </c>
      <c r="L449" s="32"/>
      <c r="M449" s="33" t="s">
        <v>117</v>
      </c>
      <c r="N449" s="33"/>
      <c r="O449" s="32">
        <v>50</v>
      </c>
      <c r="P449" s="100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40"/>
      <c r="R449" s="640"/>
      <c r="S449" s="640"/>
      <c r="T449" s="641"/>
      <c r="U449" s="34"/>
      <c r="V449" s="34"/>
      <c r="W449" s="35" t="s">
        <v>67</v>
      </c>
      <c r="X449" s="635">
        <v>0</v>
      </c>
      <c r="Y449" s="636">
        <f>IFERROR(IF(X449="",0,CEILING((X449/$H449),1)*$H449),"")</f>
        <v>0</v>
      </c>
      <c r="Z449" s="36" t="str">
        <f>IFERROR(IF(Y449=0,"",ROUNDUP(Y449/H449,0)*0.00902),"")</f>
        <v/>
      </c>
      <c r="AA449" s="56"/>
      <c r="AB449" s="57"/>
      <c r="AC449" s="531" t="s">
        <v>735</v>
      </c>
      <c r="AG449" s="64"/>
      <c r="AJ449" s="68"/>
      <c r="AK449" s="68">
        <v>0</v>
      </c>
      <c r="BB449" s="532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x14ac:dyDescent="0.2">
      <c r="A450" s="647"/>
      <c r="B450" s="648"/>
      <c r="C450" s="648"/>
      <c r="D450" s="648"/>
      <c r="E450" s="648"/>
      <c r="F450" s="648"/>
      <c r="G450" s="648"/>
      <c r="H450" s="648"/>
      <c r="I450" s="648"/>
      <c r="J450" s="648"/>
      <c r="K450" s="648"/>
      <c r="L450" s="648"/>
      <c r="M450" s="648"/>
      <c r="N450" s="648"/>
      <c r="O450" s="649"/>
      <c r="P450" s="653" t="s">
        <v>81</v>
      </c>
      <c r="Q450" s="654"/>
      <c r="R450" s="654"/>
      <c r="S450" s="654"/>
      <c r="T450" s="654"/>
      <c r="U450" s="654"/>
      <c r="V450" s="655"/>
      <c r="W450" s="37" t="s">
        <v>82</v>
      </c>
      <c r="X450" s="637">
        <f>IFERROR(X447/H447,"0")+IFERROR(X448/H448,"0")+IFERROR(X449/H449,"0")</f>
        <v>51.133333333333333</v>
      </c>
      <c r="Y450" s="637">
        <f>IFERROR(Y447/H447,"0")+IFERROR(Y448/H448,"0")+IFERROR(Y449/H449,"0")</f>
        <v>52</v>
      </c>
      <c r="Z450" s="637">
        <f>IFERROR(IF(Z447="",0,Z447),"0")+IFERROR(IF(Z448="",0,Z448),"0")+IFERROR(IF(Z449="",0,Z449),"0")</f>
        <v>1.131</v>
      </c>
      <c r="AA450" s="638"/>
      <c r="AB450" s="638"/>
      <c r="AC450" s="638"/>
    </row>
    <row r="451" spans="1:68" x14ac:dyDescent="0.2">
      <c r="A451" s="648"/>
      <c r="B451" s="648"/>
      <c r="C451" s="648"/>
      <c r="D451" s="648"/>
      <c r="E451" s="648"/>
      <c r="F451" s="648"/>
      <c r="G451" s="648"/>
      <c r="H451" s="648"/>
      <c r="I451" s="648"/>
      <c r="J451" s="648"/>
      <c r="K451" s="648"/>
      <c r="L451" s="648"/>
      <c r="M451" s="648"/>
      <c r="N451" s="648"/>
      <c r="O451" s="649"/>
      <c r="P451" s="653" t="s">
        <v>81</v>
      </c>
      <c r="Q451" s="654"/>
      <c r="R451" s="654"/>
      <c r="S451" s="654"/>
      <c r="T451" s="654"/>
      <c r="U451" s="654"/>
      <c r="V451" s="655"/>
      <c r="W451" s="37" t="s">
        <v>67</v>
      </c>
      <c r="X451" s="637">
        <f>IFERROR(SUM(X447:X449),"0")</f>
        <v>767</v>
      </c>
      <c r="Y451" s="637">
        <f>IFERROR(SUM(Y447:Y449),"0")</f>
        <v>780</v>
      </c>
      <c r="Z451" s="37"/>
      <c r="AA451" s="638"/>
      <c r="AB451" s="638"/>
      <c r="AC451" s="638"/>
    </row>
    <row r="452" spans="1:68" ht="14.25" hidden="1" customHeight="1" x14ac:dyDescent="0.25">
      <c r="A452" s="658" t="s">
        <v>62</v>
      </c>
      <c r="B452" s="648"/>
      <c r="C452" s="648"/>
      <c r="D452" s="648"/>
      <c r="E452" s="648"/>
      <c r="F452" s="648"/>
      <c r="G452" s="648"/>
      <c r="H452" s="648"/>
      <c r="I452" s="648"/>
      <c r="J452" s="648"/>
      <c r="K452" s="648"/>
      <c r="L452" s="648"/>
      <c r="M452" s="648"/>
      <c r="N452" s="648"/>
      <c r="O452" s="648"/>
      <c r="P452" s="648"/>
      <c r="Q452" s="648"/>
      <c r="R452" s="648"/>
      <c r="S452" s="648"/>
      <c r="T452" s="648"/>
      <c r="U452" s="648"/>
      <c r="V452" s="648"/>
      <c r="W452" s="648"/>
      <c r="X452" s="648"/>
      <c r="Y452" s="648"/>
      <c r="Z452" s="648"/>
      <c r="AA452" s="631"/>
      <c r="AB452" s="631"/>
      <c r="AC452" s="631"/>
    </row>
    <row r="453" spans="1:68" ht="27" hidden="1" customHeight="1" x14ac:dyDescent="0.25">
      <c r="A453" s="54" t="s">
        <v>736</v>
      </c>
      <c r="B453" s="54" t="s">
        <v>737</v>
      </c>
      <c r="C453" s="31">
        <v>4301051903</v>
      </c>
      <c r="D453" s="642">
        <v>4607091383928</v>
      </c>
      <c r="E453" s="643"/>
      <c r="F453" s="634">
        <v>1.5</v>
      </c>
      <c r="G453" s="32">
        <v>6</v>
      </c>
      <c r="H453" s="634">
        <v>9</v>
      </c>
      <c r="I453" s="634">
        <v>9.5</v>
      </c>
      <c r="J453" s="32">
        <v>64</v>
      </c>
      <c r="K453" s="32" t="s">
        <v>116</v>
      </c>
      <c r="L453" s="32"/>
      <c r="M453" s="33" t="s">
        <v>66</v>
      </c>
      <c r="N453" s="33"/>
      <c r="O453" s="32">
        <v>40</v>
      </c>
      <c r="P453" s="7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40"/>
      <c r="R453" s="640"/>
      <c r="S453" s="640"/>
      <c r="T453" s="641"/>
      <c r="U453" s="34"/>
      <c r="V453" s="34"/>
      <c r="W453" s="35" t="s">
        <v>67</v>
      </c>
      <c r="X453" s="635">
        <v>0</v>
      </c>
      <c r="Y453" s="63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738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739</v>
      </c>
      <c r="B454" s="54" t="s">
        <v>740</v>
      </c>
      <c r="C454" s="31">
        <v>4301051897</v>
      </c>
      <c r="D454" s="642">
        <v>4607091384260</v>
      </c>
      <c r="E454" s="643"/>
      <c r="F454" s="634">
        <v>1.5</v>
      </c>
      <c r="G454" s="32">
        <v>6</v>
      </c>
      <c r="H454" s="634">
        <v>9</v>
      </c>
      <c r="I454" s="634">
        <v>9.4939999999999998</v>
      </c>
      <c r="J454" s="32">
        <v>64</v>
      </c>
      <c r="K454" s="32" t="s">
        <v>116</v>
      </c>
      <c r="L454" s="32"/>
      <c r="M454" s="33" t="s">
        <v>66</v>
      </c>
      <c r="N454" s="33"/>
      <c r="O454" s="32">
        <v>40</v>
      </c>
      <c r="P454" s="6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40"/>
      <c r="R454" s="640"/>
      <c r="S454" s="640"/>
      <c r="T454" s="641"/>
      <c r="U454" s="34"/>
      <c r="V454" s="34"/>
      <c r="W454" s="35" t="s">
        <v>67</v>
      </c>
      <c r="X454" s="635">
        <v>0</v>
      </c>
      <c r="Y454" s="636">
        <f>IFERROR(IF(X454="",0,CEILING((X454/$H454),1)*$H454),"")</f>
        <v>0</v>
      </c>
      <c r="Z454" s="36" t="str">
        <f>IFERROR(IF(Y454=0,"",ROUNDUP(Y454/H454,0)*0.01898),"")</f>
        <v/>
      </c>
      <c r="AA454" s="56"/>
      <c r="AB454" s="57"/>
      <c r="AC454" s="535" t="s">
        <v>741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27" hidden="1" customHeight="1" x14ac:dyDescent="0.25">
      <c r="A455" s="54" t="s">
        <v>742</v>
      </c>
      <c r="B455" s="54" t="s">
        <v>743</v>
      </c>
      <c r="C455" s="31">
        <v>4301052220</v>
      </c>
      <c r="D455" s="642">
        <v>4680115889538</v>
      </c>
      <c r="E455" s="643"/>
      <c r="F455" s="634">
        <v>0.8</v>
      </c>
      <c r="G455" s="32">
        <v>6</v>
      </c>
      <c r="H455" s="634">
        <v>4.8</v>
      </c>
      <c r="I455" s="634">
        <v>5.2160000000000002</v>
      </c>
      <c r="J455" s="32">
        <v>104</v>
      </c>
      <c r="K455" s="32" t="s">
        <v>116</v>
      </c>
      <c r="L455" s="32"/>
      <c r="M455" s="33" t="s">
        <v>66</v>
      </c>
      <c r="N455" s="33"/>
      <c r="O455" s="32">
        <v>45</v>
      </c>
      <c r="P455" s="66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5">
        <v>0</v>
      </c>
      <c r="Y455" s="636">
        <f>IFERROR(IF(X455="",0,CEILING((X455/$H455),1)*$H455),"")</f>
        <v>0</v>
      </c>
      <c r="Z455" s="36" t="str">
        <f>IFERROR(IF(Y455=0,"",ROUNDUP(Y455/H455,0)*0.01196),"")</f>
        <v/>
      </c>
      <c r="AA455" s="56"/>
      <c r="AB455" s="57"/>
      <c r="AC455" s="537" t="s">
        <v>744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647"/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9"/>
      <c r="P456" s="653" t="s">
        <v>81</v>
      </c>
      <c r="Q456" s="654"/>
      <c r="R456" s="654"/>
      <c r="S456" s="654"/>
      <c r="T456" s="654"/>
      <c r="U456" s="654"/>
      <c r="V456" s="655"/>
      <c r="W456" s="37" t="s">
        <v>82</v>
      </c>
      <c r="X456" s="637">
        <f>IFERROR(X453/H453,"0")+IFERROR(X454/H454,"0")+IFERROR(X455/H455,"0")</f>
        <v>0</v>
      </c>
      <c r="Y456" s="637">
        <f>IFERROR(Y453/H453,"0")+IFERROR(Y454/H454,"0")+IFERROR(Y455/H455,"0")</f>
        <v>0</v>
      </c>
      <c r="Z456" s="637">
        <f>IFERROR(IF(Z453="",0,Z453),"0")+IFERROR(IF(Z454="",0,Z454),"0")+IFERROR(IF(Z455="",0,Z455),"0")</f>
        <v>0</v>
      </c>
      <c r="AA456" s="638"/>
      <c r="AB456" s="638"/>
      <c r="AC456" s="638"/>
    </row>
    <row r="457" spans="1:68" hidden="1" x14ac:dyDescent="0.2">
      <c r="A457" s="648"/>
      <c r="B457" s="648"/>
      <c r="C457" s="648"/>
      <c r="D457" s="648"/>
      <c r="E457" s="648"/>
      <c r="F457" s="648"/>
      <c r="G457" s="648"/>
      <c r="H457" s="648"/>
      <c r="I457" s="648"/>
      <c r="J457" s="648"/>
      <c r="K457" s="648"/>
      <c r="L457" s="648"/>
      <c r="M457" s="648"/>
      <c r="N457" s="648"/>
      <c r="O457" s="649"/>
      <c r="P457" s="653" t="s">
        <v>81</v>
      </c>
      <c r="Q457" s="654"/>
      <c r="R457" s="654"/>
      <c r="S457" s="654"/>
      <c r="T457" s="654"/>
      <c r="U457" s="654"/>
      <c r="V457" s="655"/>
      <c r="W457" s="37" t="s">
        <v>67</v>
      </c>
      <c r="X457" s="637">
        <f>IFERROR(SUM(X453:X455),"0")</f>
        <v>0</v>
      </c>
      <c r="Y457" s="637">
        <f>IFERROR(SUM(Y453:Y455),"0")</f>
        <v>0</v>
      </c>
      <c r="Z457" s="37"/>
      <c r="AA457" s="638"/>
      <c r="AB457" s="638"/>
      <c r="AC457" s="638"/>
    </row>
    <row r="458" spans="1:68" ht="14.25" hidden="1" customHeight="1" x14ac:dyDescent="0.25">
      <c r="A458" s="658" t="s">
        <v>168</v>
      </c>
      <c r="B458" s="648"/>
      <c r="C458" s="648"/>
      <c r="D458" s="648"/>
      <c r="E458" s="648"/>
      <c r="F458" s="648"/>
      <c r="G458" s="648"/>
      <c r="H458" s="648"/>
      <c r="I458" s="648"/>
      <c r="J458" s="648"/>
      <c r="K458" s="648"/>
      <c r="L458" s="648"/>
      <c r="M458" s="648"/>
      <c r="N458" s="648"/>
      <c r="O458" s="648"/>
      <c r="P458" s="648"/>
      <c r="Q458" s="648"/>
      <c r="R458" s="648"/>
      <c r="S458" s="648"/>
      <c r="T458" s="648"/>
      <c r="U458" s="648"/>
      <c r="V458" s="648"/>
      <c r="W458" s="648"/>
      <c r="X458" s="648"/>
      <c r="Y458" s="648"/>
      <c r="Z458" s="648"/>
      <c r="AA458" s="631"/>
      <c r="AB458" s="631"/>
      <c r="AC458" s="631"/>
    </row>
    <row r="459" spans="1:68" ht="27" hidden="1" customHeight="1" x14ac:dyDescent="0.25">
      <c r="A459" s="54" t="s">
        <v>745</v>
      </c>
      <c r="B459" s="54" t="s">
        <v>746</v>
      </c>
      <c r="C459" s="31">
        <v>4301060537</v>
      </c>
      <c r="D459" s="642">
        <v>4680115889545</v>
      </c>
      <c r="E459" s="643"/>
      <c r="F459" s="634">
        <v>0.7</v>
      </c>
      <c r="G459" s="32">
        <v>6</v>
      </c>
      <c r="H459" s="634">
        <v>4.2</v>
      </c>
      <c r="I459" s="634">
        <v>4.6159999999999997</v>
      </c>
      <c r="J459" s="32">
        <v>104</v>
      </c>
      <c r="K459" s="32" t="s">
        <v>116</v>
      </c>
      <c r="L459" s="32"/>
      <c r="M459" s="33" t="s">
        <v>66</v>
      </c>
      <c r="N459" s="33"/>
      <c r="O459" s="32">
        <v>30</v>
      </c>
      <c r="P459" s="86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40"/>
      <c r="R459" s="640"/>
      <c r="S459" s="640"/>
      <c r="T459" s="641"/>
      <c r="U459" s="34"/>
      <c r="V459" s="34"/>
      <c r="W459" s="35" t="s">
        <v>67</v>
      </c>
      <c r="X459" s="635">
        <v>0</v>
      </c>
      <c r="Y459" s="636">
        <f>IFERROR(IF(X459="",0,CEILING((X459/$H459),1)*$H459),"")</f>
        <v>0</v>
      </c>
      <c r="Z459" s="36" t="str">
        <f>IFERROR(IF(Y459=0,"",ROUNDUP(Y459/H459,0)*0.01196),"")</f>
        <v/>
      </c>
      <c r="AA459" s="56"/>
      <c r="AB459" s="57"/>
      <c r="AC459" s="539" t="s">
        <v>747</v>
      </c>
      <c r="AG459" s="64"/>
      <c r="AJ459" s="68"/>
      <c r="AK459" s="68">
        <v>0</v>
      </c>
      <c r="BB459" s="54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16.5" hidden="1" customHeight="1" x14ac:dyDescent="0.25">
      <c r="A460" s="54" t="s">
        <v>748</v>
      </c>
      <c r="B460" s="54" t="s">
        <v>749</v>
      </c>
      <c r="C460" s="31">
        <v>4301060524</v>
      </c>
      <c r="D460" s="642">
        <v>4607091384673</v>
      </c>
      <c r="E460" s="643"/>
      <c r="F460" s="634">
        <v>1.5</v>
      </c>
      <c r="G460" s="32">
        <v>6</v>
      </c>
      <c r="H460" s="634">
        <v>9</v>
      </c>
      <c r="I460" s="634">
        <v>9.4939999999999998</v>
      </c>
      <c r="J460" s="32">
        <v>64</v>
      </c>
      <c r="K460" s="32" t="s">
        <v>116</v>
      </c>
      <c r="L460" s="32"/>
      <c r="M460" s="33" t="s">
        <v>66</v>
      </c>
      <c r="N460" s="33"/>
      <c r="O460" s="32">
        <v>40</v>
      </c>
      <c r="P460" s="9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40"/>
      <c r="R460" s="640"/>
      <c r="S460" s="640"/>
      <c r="T460" s="641"/>
      <c r="U460" s="34"/>
      <c r="V460" s="34"/>
      <c r="W460" s="35" t="s">
        <v>67</v>
      </c>
      <c r="X460" s="635">
        <v>0</v>
      </c>
      <c r="Y460" s="63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1" t="s">
        <v>750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47"/>
      <c r="B461" s="648"/>
      <c r="C461" s="648"/>
      <c r="D461" s="648"/>
      <c r="E461" s="648"/>
      <c r="F461" s="648"/>
      <c r="G461" s="648"/>
      <c r="H461" s="648"/>
      <c r="I461" s="648"/>
      <c r="J461" s="648"/>
      <c r="K461" s="648"/>
      <c r="L461" s="648"/>
      <c r="M461" s="648"/>
      <c r="N461" s="648"/>
      <c r="O461" s="649"/>
      <c r="P461" s="653" t="s">
        <v>81</v>
      </c>
      <c r="Q461" s="654"/>
      <c r="R461" s="654"/>
      <c r="S461" s="654"/>
      <c r="T461" s="654"/>
      <c r="U461" s="654"/>
      <c r="V461" s="655"/>
      <c r="W461" s="37" t="s">
        <v>82</v>
      </c>
      <c r="X461" s="637">
        <f>IFERROR(X459/H459,"0")+IFERROR(X460/H460,"0")</f>
        <v>0</v>
      </c>
      <c r="Y461" s="637">
        <f>IFERROR(Y459/H459,"0")+IFERROR(Y460/H460,"0")</f>
        <v>0</v>
      </c>
      <c r="Z461" s="637">
        <f>IFERROR(IF(Z459="",0,Z459),"0")+IFERROR(IF(Z460="",0,Z460),"0")</f>
        <v>0</v>
      </c>
      <c r="AA461" s="638"/>
      <c r="AB461" s="638"/>
      <c r="AC461" s="638"/>
    </row>
    <row r="462" spans="1:68" hidden="1" x14ac:dyDescent="0.2">
      <c r="A462" s="648"/>
      <c r="B462" s="648"/>
      <c r="C462" s="648"/>
      <c r="D462" s="648"/>
      <c r="E462" s="648"/>
      <c r="F462" s="648"/>
      <c r="G462" s="648"/>
      <c r="H462" s="648"/>
      <c r="I462" s="648"/>
      <c r="J462" s="648"/>
      <c r="K462" s="648"/>
      <c r="L462" s="648"/>
      <c r="M462" s="648"/>
      <c r="N462" s="648"/>
      <c r="O462" s="649"/>
      <c r="P462" s="653" t="s">
        <v>81</v>
      </c>
      <c r="Q462" s="654"/>
      <c r="R462" s="654"/>
      <c r="S462" s="654"/>
      <c r="T462" s="654"/>
      <c r="U462" s="654"/>
      <c r="V462" s="655"/>
      <c r="W462" s="37" t="s">
        <v>67</v>
      </c>
      <c r="X462" s="637">
        <f>IFERROR(SUM(X459:X460),"0")</f>
        <v>0</v>
      </c>
      <c r="Y462" s="637">
        <f>IFERROR(SUM(Y459:Y460),"0")</f>
        <v>0</v>
      </c>
      <c r="Z462" s="37"/>
      <c r="AA462" s="638"/>
      <c r="AB462" s="638"/>
      <c r="AC462" s="638"/>
    </row>
    <row r="463" spans="1:68" ht="16.5" hidden="1" customHeight="1" x14ac:dyDescent="0.25">
      <c r="A463" s="652" t="s">
        <v>751</v>
      </c>
      <c r="B463" s="648"/>
      <c r="C463" s="648"/>
      <c r="D463" s="648"/>
      <c r="E463" s="648"/>
      <c r="F463" s="648"/>
      <c r="G463" s="648"/>
      <c r="H463" s="648"/>
      <c r="I463" s="648"/>
      <c r="J463" s="648"/>
      <c r="K463" s="648"/>
      <c r="L463" s="648"/>
      <c r="M463" s="648"/>
      <c r="N463" s="648"/>
      <c r="O463" s="648"/>
      <c r="P463" s="648"/>
      <c r="Q463" s="648"/>
      <c r="R463" s="648"/>
      <c r="S463" s="648"/>
      <c r="T463" s="648"/>
      <c r="U463" s="648"/>
      <c r="V463" s="648"/>
      <c r="W463" s="648"/>
      <c r="X463" s="648"/>
      <c r="Y463" s="648"/>
      <c r="Z463" s="648"/>
      <c r="AA463" s="630"/>
      <c r="AB463" s="630"/>
      <c r="AC463" s="630"/>
    </row>
    <row r="464" spans="1:68" ht="14.25" hidden="1" customHeight="1" x14ac:dyDescent="0.25">
      <c r="A464" s="658" t="s">
        <v>113</v>
      </c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8"/>
      <c r="P464" s="648"/>
      <c r="Q464" s="648"/>
      <c r="R464" s="648"/>
      <c r="S464" s="648"/>
      <c r="T464" s="648"/>
      <c r="U464" s="648"/>
      <c r="V464" s="648"/>
      <c r="W464" s="648"/>
      <c r="X464" s="648"/>
      <c r="Y464" s="648"/>
      <c r="Z464" s="648"/>
      <c r="AA464" s="631"/>
      <c r="AB464" s="631"/>
      <c r="AC464" s="631"/>
    </row>
    <row r="465" spans="1:68" ht="27" hidden="1" customHeight="1" x14ac:dyDescent="0.25">
      <c r="A465" s="54" t="s">
        <v>752</v>
      </c>
      <c r="B465" s="54" t="s">
        <v>753</v>
      </c>
      <c r="C465" s="31">
        <v>4301011875</v>
      </c>
      <c r="D465" s="642">
        <v>4680115884885</v>
      </c>
      <c r="E465" s="643"/>
      <c r="F465" s="634">
        <v>0.8</v>
      </c>
      <c r="G465" s="32">
        <v>15</v>
      </c>
      <c r="H465" s="634">
        <v>12</v>
      </c>
      <c r="I465" s="634">
        <v>12.41</v>
      </c>
      <c r="J465" s="32">
        <v>64</v>
      </c>
      <c r="K465" s="32" t="s">
        <v>116</v>
      </c>
      <c r="L465" s="32"/>
      <c r="M465" s="33" t="s">
        <v>122</v>
      </c>
      <c r="N465" s="33"/>
      <c r="O465" s="32">
        <v>60</v>
      </c>
      <c r="P465" s="94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40"/>
      <c r="R465" s="640"/>
      <c r="S465" s="640"/>
      <c r="T465" s="641"/>
      <c r="U465" s="34"/>
      <c r="V465" s="34"/>
      <c r="W465" s="35" t="s">
        <v>67</v>
      </c>
      <c r="X465" s="635">
        <v>0</v>
      </c>
      <c r="Y465" s="636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43" t="s">
        <v>754</v>
      </c>
      <c r="AG465" s="64"/>
      <c r="AJ465" s="68"/>
      <c r="AK465" s="68">
        <v>0</v>
      </c>
      <c r="BB465" s="544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37.5" hidden="1" customHeight="1" x14ac:dyDescent="0.25">
      <c r="A466" s="54" t="s">
        <v>755</v>
      </c>
      <c r="B466" s="54" t="s">
        <v>756</v>
      </c>
      <c r="C466" s="31">
        <v>4301011871</v>
      </c>
      <c r="D466" s="642">
        <v>4680115884908</v>
      </c>
      <c r="E466" s="643"/>
      <c r="F466" s="634">
        <v>0.4</v>
      </c>
      <c r="G466" s="32">
        <v>10</v>
      </c>
      <c r="H466" s="634">
        <v>4</v>
      </c>
      <c r="I466" s="634">
        <v>4.1900000000000004</v>
      </c>
      <c r="J466" s="32">
        <v>132</v>
      </c>
      <c r="K466" s="32" t="s">
        <v>126</v>
      </c>
      <c r="L466" s="32"/>
      <c r="M466" s="33" t="s">
        <v>122</v>
      </c>
      <c r="N466" s="33"/>
      <c r="O466" s="32">
        <v>60</v>
      </c>
      <c r="P466" s="74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40"/>
      <c r="R466" s="640"/>
      <c r="S466" s="640"/>
      <c r="T466" s="641"/>
      <c r="U466" s="34"/>
      <c r="V466" s="34"/>
      <c r="W466" s="35" t="s">
        <v>67</v>
      </c>
      <c r="X466" s="635">
        <v>0</v>
      </c>
      <c r="Y466" s="636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45" t="s">
        <v>754</v>
      </c>
      <c r="AG466" s="64"/>
      <c r="AJ466" s="68"/>
      <c r="AK466" s="68">
        <v>0</v>
      </c>
      <c r="BB466" s="546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47"/>
      <c r="B467" s="648"/>
      <c r="C467" s="648"/>
      <c r="D467" s="648"/>
      <c r="E467" s="648"/>
      <c r="F467" s="648"/>
      <c r="G467" s="648"/>
      <c r="H467" s="648"/>
      <c r="I467" s="648"/>
      <c r="J467" s="648"/>
      <c r="K467" s="648"/>
      <c r="L467" s="648"/>
      <c r="M467" s="648"/>
      <c r="N467" s="648"/>
      <c r="O467" s="649"/>
      <c r="P467" s="653" t="s">
        <v>81</v>
      </c>
      <c r="Q467" s="654"/>
      <c r="R467" s="654"/>
      <c r="S467" s="654"/>
      <c r="T467" s="654"/>
      <c r="U467" s="654"/>
      <c r="V467" s="655"/>
      <c r="W467" s="37" t="s">
        <v>82</v>
      </c>
      <c r="X467" s="637">
        <f>IFERROR(X465/H465,"0")+IFERROR(X466/H466,"0")</f>
        <v>0</v>
      </c>
      <c r="Y467" s="637">
        <f>IFERROR(Y465/H465,"0")+IFERROR(Y466/H466,"0")</f>
        <v>0</v>
      </c>
      <c r="Z467" s="637">
        <f>IFERROR(IF(Z465="",0,Z465),"0")+IFERROR(IF(Z466="",0,Z466),"0")</f>
        <v>0</v>
      </c>
      <c r="AA467" s="638"/>
      <c r="AB467" s="638"/>
      <c r="AC467" s="638"/>
    </row>
    <row r="468" spans="1:68" hidden="1" x14ac:dyDescent="0.2">
      <c r="A468" s="648"/>
      <c r="B468" s="648"/>
      <c r="C468" s="648"/>
      <c r="D468" s="648"/>
      <c r="E468" s="648"/>
      <c r="F468" s="648"/>
      <c r="G468" s="648"/>
      <c r="H468" s="648"/>
      <c r="I468" s="648"/>
      <c r="J468" s="648"/>
      <c r="K468" s="648"/>
      <c r="L468" s="648"/>
      <c r="M468" s="648"/>
      <c r="N468" s="648"/>
      <c r="O468" s="649"/>
      <c r="P468" s="653" t="s">
        <v>81</v>
      </c>
      <c r="Q468" s="654"/>
      <c r="R468" s="654"/>
      <c r="S468" s="654"/>
      <c r="T468" s="654"/>
      <c r="U468" s="654"/>
      <c r="V468" s="655"/>
      <c r="W468" s="37" t="s">
        <v>67</v>
      </c>
      <c r="X468" s="637">
        <f>IFERROR(SUM(X465:X466),"0")</f>
        <v>0</v>
      </c>
      <c r="Y468" s="637">
        <f>IFERROR(SUM(Y465:Y466),"0")</f>
        <v>0</v>
      </c>
      <c r="Z468" s="37"/>
      <c r="AA468" s="638"/>
      <c r="AB468" s="638"/>
      <c r="AC468" s="638"/>
    </row>
    <row r="469" spans="1:68" ht="14.25" hidden="1" customHeight="1" x14ac:dyDescent="0.25">
      <c r="A469" s="658" t="s">
        <v>245</v>
      </c>
      <c r="B469" s="648"/>
      <c r="C469" s="648"/>
      <c r="D469" s="648"/>
      <c r="E469" s="648"/>
      <c r="F469" s="648"/>
      <c r="G469" s="648"/>
      <c r="H469" s="648"/>
      <c r="I469" s="648"/>
      <c r="J469" s="648"/>
      <c r="K469" s="648"/>
      <c r="L469" s="648"/>
      <c r="M469" s="648"/>
      <c r="N469" s="648"/>
      <c r="O469" s="648"/>
      <c r="P469" s="648"/>
      <c r="Q469" s="648"/>
      <c r="R469" s="648"/>
      <c r="S469" s="648"/>
      <c r="T469" s="648"/>
      <c r="U469" s="648"/>
      <c r="V469" s="648"/>
      <c r="W469" s="648"/>
      <c r="X469" s="648"/>
      <c r="Y469" s="648"/>
      <c r="Z469" s="648"/>
      <c r="AA469" s="631"/>
      <c r="AB469" s="631"/>
      <c r="AC469" s="631"/>
    </row>
    <row r="470" spans="1:68" ht="27" hidden="1" customHeight="1" x14ac:dyDescent="0.25">
      <c r="A470" s="54" t="s">
        <v>757</v>
      </c>
      <c r="B470" s="54" t="s">
        <v>758</v>
      </c>
      <c r="C470" s="31">
        <v>4301031533</v>
      </c>
      <c r="D470" s="642">
        <v>4607091384802</v>
      </c>
      <c r="E470" s="643"/>
      <c r="F470" s="634">
        <v>0.7</v>
      </c>
      <c r="G470" s="32">
        <v>6</v>
      </c>
      <c r="H470" s="634">
        <v>4.2</v>
      </c>
      <c r="I470" s="634">
        <v>4.45</v>
      </c>
      <c r="J470" s="32">
        <v>132</v>
      </c>
      <c r="K470" s="32" t="s">
        <v>126</v>
      </c>
      <c r="L470" s="32"/>
      <c r="M470" s="33" t="s">
        <v>122</v>
      </c>
      <c r="N470" s="33"/>
      <c r="O470" s="32">
        <v>50</v>
      </c>
      <c r="P470" s="933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40"/>
      <c r="R470" s="640"/>
      <c r="S470" s="640"/>
      <c r="T470" s="641"/>
      <c r="U470" s="34"/>
      <c r="V470" s="34"/>
      <c r="W470" s="35" t="s">
        <v>67</v>
      </c>
      <c r="X470" s="635">
        <v>0</v>
      </c>
      <c r="Y470" s="636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7" t="s">
        <v>759</v>
      </c>
      <c r="AG470" s="64"/>
      <c r="AJ470" s="68"/>
      <c r="AK470" s="68">
        <v>0</v>
      </c>
      <c r="BB470" s="54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47"/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9"/>
      <c r="P471" s="653" t="s">
        <v>81</v>
      </c>
      <c r="Q471" s="654"/>
      <c r="R471" s="654"/>
      <c r="S471" s="654"/>
      <c r="T471" s="654"/>
      <c r="U471" s="654"/>
      <c r="V471" s="655"/>
      <c r="W471" s="37" t="s">
        <v>82</v>
      </c>
      <c r="X471" s="637">
        <f>IFERROR(X470/H470,"0")</f>
        <v>0</v>
      </c>
      <c r="Y471" s="637">
        <f>IFERROR(Y470/H470,"0")</f>
        <v>0</v>
      </c>
      <c r="Z471" s="637">
        <f>IFERROR(IF(Z470="",0,Z470),"0")</f>
        <v>0</v>
      </c>
      <c r="AA471" s="638"/>
      <c r="AB471" s="638"/>
      <c r="AC471" s="638"/>
    </row>
    <row r="472" spans="1:68" hidden="1" x14ac:dyDescent="0.2">
      <c r="A472" s="648"/>
      <c r="B472" s="648"/>
      <c r="C472" s="648"/>
      <c r="D472" s="648"/>
      <c r="E472" s="648"/>
      <c r="F472" s="648"/>
      <c r="G472" s="648"/>
      <c r="H472" s="648"/>
      <c r="I472" s="648"/>
      <c r="J472" s="648"/>
      <c r="K472" s="648"/>
      <c r="L472" s="648"/>
      <c r="M472" s="648"/>
      <c r="N472" s="648"/>
      <c r="O472" s="649"/>
      <c r="P472" s="653" t="s">
        <v>81</v>
      </c>
      <c r="Q472" s="654"/>
      <c r="R472" s="654"/>
      <c r="S472" s="654"/>
      <c r="T472" s="654"/>
      <c r="U472" s="654"/>
      <c r="V472" s="655"/>
      <c r="W472" s="37" t="s">
        <v>67</v>
      </c>
      <c r="X472" s="637">
        <f>IFERROR(SUM(X470:X470),"0")</f>
        <v>0</v>
      </c>
      <c r="Y472" s="637">
        <f>IFERROR(SUM(Y470:Y470),"0")</f>
        <v>0</v>
      </c>
      <c r="Z472" s="37"/>
      <c r="AA472" s="638"/>
      <c r="AB472" s="638"/>
      <c r="AC472" s="638"/>
    </row>
    <row r="473" spans="1:68" ht="14.25" hidden="1" customHeight="1" x14ac:dyDescent="0.25">
      <c r="A473" s="658" t="s">
        <v>62</v>
      </c>
      <c r="B473" s="648"/>
      <c r="C473" s="648"/>
      <c r="D473" s="648"/>
      <c r="E473" s="648"/>
      <c r="F473" s="648"/>
      <c r="G473" s="648"/>
      <c r="H473" s="648"/>
      <c r="I473" s="648"/>
      <c r="J473" s="648"/>
      <c r="K473" s="648"/>
      <c r="L473" s="648"/>
      <c r="M473" s="648"/>
      <c r="N473" s="648"/>
      <c r="O473" s="648"/>
      <c r="P473" s="648"/>
      <c r="Q473" s="648"/>
      <c r="R473" s="648"/>
      <c r="S473" s="648"/>
      <c r="T473" s="648"/>
      <c r="U473" s="648"/>
      <c r="V473" s="648"/>
      <c r="W473" s="648"/>
      <c r="X473" s="648"/>
      <c r="Y473" s="648"/>
      <c r="Z473" s="648"/>
      <c r="AA473" s="631"/>
      <c r="AB473" s="631"/>
      <c r="AC473" s="631"/>
    </row>
    <row r="474" spans="1:68" ht="27" customHeight="1" x14ac:dyDescent="0.25">
      <c r="A474" s="54" t="s">
        <v>760</v>
      </c>
      <c r="B474" s="54" t="s">
        <v>761</v>
      </c>
      <c r="C474" s="31">
        <v>4301051899</v>
      </c>
      <c r="D474" s="642">
        <v>4607091384246</v>
      </c>
      <c r="E474" s="643"/>
      <c r="F474" s="634">
        <v>1.5</v>
      </c>
      <c r="G474" s="32">
        <v>6</v>
      </c>
      <c r="H474" s="634">
        <v>9</v>
      </c>
      <c r="I474" s="634">
        <v>9.4939999999999998</v>
      </c>
      <c r="J474" s="32">
        <v>64</v>
      </c>
      <c r="K474" s="32" t="s">
        <v>116</v>
      </c>
      <c r="L474" s="32"/>
      <c r="M474" s="33" t="s">
        <v>66</v>
      </c>
      <c r="N474" s="33"/>
      <c r="O474" s="32">
        <v>40</v>
      </c>
      <c r="P474" s="74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40"/>
      <c r="R474" s="640"/>
      <c r="S474" s="640"/>
      <c r="T474" s="641"/>
      <c r="U474" s="34"/>
      <c r="V474" s="34"/>
      <c r="W474" s="35" t="s">
        <v>67</v>
      </c>
      <c r="X474" s="635">
        <v>1154</v>
      </c>
      <c r="Y474" s="636">
        <f>IFERROR(IF(X474="",0,CEILING((X474/$H474),1)*$H474),"")</f>
        <v>1161</v>
      </c>
      <c r="Z474" s="36">
        <f>IFERROR(IF(Y474=0,"",ROUNDUP(Y474/H474,0)*0.01898),"")</f>
        <v>2.44842</v>
      </c>
      <c r="AA474" s="56"/>
      <c r="AB474" s="57"/>
      <c r="AC474" s="549" t="s">
        <v>762</v>
      </c>
      <c r="AG474" s="64"/>
      <c r="AJ474" s="68"/>
      <c r="AK474" s="68">
        <v>0</v>
      </c>
      <c r="BB474" s="550" t="s">
        <v>1</v>
      </c>
      <c r="BM474" s="64">
        <f>IFERROR(X474*I474/H474,"0")</f>
        <v>1217.3417777777777</v>
      </c>
      <c r="BN474" s="64">
        <f>IFERROR(Y474*I474/H474,"0")</f>
        <v>1224.7259999999999</v>
      </c>
      <c r="BO474" s="64">
        <f>IFERROR(1/J474*(X474/H474),"0")</f>
        <v>2.0034722222222223</v>
      </c>
      <c r="BP474" s="64">
        <f>IFERROR(1/J474*(Y474/H474),"0")</f>
        <v>2.015625</v>
      </c>
    </row>
    <row r="475" spans="1:68" ht="27" customHeight="1" x14ac:dyDescent="0.25">
      <c r="A475" s="54" t="s">
        <v>763</v>
      </c>
      <c r="B475" s="54" t="s">
        <v>764</v>
      </c>
      <c r="C475" s="31">
        <v>4301051660</v>
      </c>
      <c r="D475" s="642">
        <v>4607091384253</v>
      </c>
      <c r="E475" s="643"/>
      <c r="F475" s="634">
        <v>0.4</v>
      </c>
      <c r="G475" s="32">
        <v>6</v>
      </c>
      <c r="H475" s="634">
        <v>2.4</v>
      </c>
      <c r="I475" s="634">
        <v>2.6640000000000001</v>
      </c>
      <c r="J475" s="32">
        <v>182</v>
      </c>
      <c r="K475" s="32" t="s">
        <v>65</v>
      </c>
      <c r="L475" s="32"/>
      <c r="M475" s="33" t="s">
        <v>66</v>
      </c>
      <c r="N475" s="33"/>
      <c r="O475" s="32">
        <v>40</v>
      </c>
      <c r="P475" s="9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40"/>
      <c r="R475" s="640"/>
      <c r="S475" s="640"/>
      <c r="T475" s="641"/>
      <c r="U475" s="34"/>
      <c r="V475" s="34"/>
      <c r="W475" s="35" t="s">
        <v>67</v>
      </c>
      <c r="X475" s="635">
        <v>51</v>
      </c>
      <c r="Y475" s="636">
        <f>IFERROR(IF(X475="",0,CEILING((X475/$H475),1)*$H475),"")</f>
        <v>52.8</v>
      </c>
      <c r="Z475" s="36">
        <f>IFERROR(IF(Y475=0,"",ROUNDUP(Y475/H475,0)*0.00651),"")</f>
        <v>0.14322000000000001</v>
      </c>
      <c r="AA475" s="56"/>
      <c r="AB475" s="57"/>
      <c r="AC475" s="551" t="s">
        <v>762</v>
      </c>
      <c r="AG475" s="64"/>
      <c r="AJ475" s="68"/>
      <c r="AK475" s="68">
        <v>0</v>
      </c>
      <c r="BB475" s="552" t="s">
        <v>1</v>
      </c>
      <c r="BM475" s="64">
        <f>IFERROR(X475*I475/H475,"0")</f>
        <v>56.610000000000007</v>
      </c>
      <c r="BN475" s="64">
        <f>IFERROR(Y475*I475/H475,"0")</f>
        <v>58.608000000000004</v>
      </c>
      <c r="BO475" s="64">
        <f>IFERROR(1/J475*(X475/H475),"0")</f>
        <v>0.11675824175824177</v>
      </c>
      <c r="BP475" s="64">
        <f>IFERROR(1/J475*(Y475/H475),"0")</f>
        <v>0.12087912087912089</v>
      </c>
    </row>
    <row r="476" spans="1:68" ht="27" hidden="1" customHeight="1" x14ac:dyDescent="0.25">
      <c r="A476" s="54" t="s">
        <v>763</v>
      </c>
      <c r="B476" s="54" t="s">
        <v>765</v>
      </c>
      <c r="C476" s="31">
        <v>4301052069</v>
      </c>
      <c r="D476" s="642">
        <v>4607091384253</v>
      </c>
      <c r="E476" s="643"/>
      <c r="F476" s="634">
        <v>0.4</v>
      </c>
      <c r="G476" s="32">
        <v>6</v>
      </c>
      <c r="H476" s="634">
        <v>2.4</v>
      </c>
      <c r="I476" s="634">
        <v>2.6640000000000001</v>
      </c>
      <c r="J476" s="32">
        <v>182</v>
      </c>
      <c r="K476" s="32" t="s">
        <v>65</v>
      </c>
      <c r="L476" s="32"/>
      <c r="M476" s="33" t="s">
        <v>66</v>
      </c>
      <c r="N476" s="33"/>
      <c r="O476" s="32">
        <v>40</v>
      </c>
      <c r="P476" s="71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5">
        <v>0</v>
      </c>
      <c r="Y476" s="636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53" t="s">
        <v>766</v>
      </c>
      <c r="AG476" s="64"/>
      <c r="AJ476" s="68"/>
      <c r="AK476" s="68">
        <v>0</v>
      </c>
      <c r="BB476" s="55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47"/>
      <c r="B477" s="648"/>
      <c r="C477" s="648"/>
      <c r="D477" s="648"/>
      <c r="E477" s="648"/>
      <c r="F477" s="648"/>
      <c r="G477" s="648"/>
      <c r="H477" s="648"/>
      <c r="I477" s="648"/>
      <c r="J477" s="648"/>
      <c r="K477" s="648"/>
      <c r="L477" s="648"/>
      <c r="M477" s="648"/>
      <c r="N477" s="648"/>
      <c r="O477" s="649"/>
      <c r="P477" s="653" t="s">
        <v>81</v>
      </c>
      <c r="Q477" s="654"/>
      <c r="R477" s="654"/>
      <c r="S477" s="654"/>
      <c r="T477" s="654"/>
      <c r="U477" s="654"/>
      <c r="V477" s="655"/>
      <c r="W477" s="37" t="s">
        <v>82</v>
      </c>
      <c r="X477" s="637">
        <f>IFERROR(X474/H474,"0")+IFERROR(X475/H475,"0")+IFERROR(X476/H476,"0")</f>
        <v>149.47222222222223</v>
      </c>
      <c r="Y477" s="637">
        <f>IFERROR(Y474/H474,"0")+IFERROR(Y475/H475,"0")+IFERROR(Y476/H476,"0")</f>
        <v>151</v>
      </c>
      <c r="Z477" s="637">
        <f>IFERROR(IF(Z474="",0,Z474),"0")+IFERROR(IF(Z475="",0,Z475),"0")+IFERROR(IF(Z476="",0,Z476),"0")</f>
        <v>2.5916399999999999</v>
      </c>
      <c r="AA477" s="638"/>
      <c r="AB477" s="638"/>
      <c r="AC477" s="638"/>
    </row>
    <row r="478" spans="1:68" x14ac:dyDescent="0.2">
      <c r="A478" s="648"/>
      <c r="B478" s="648"/>
      <c r="C478" s="648"/>
      <c r="D478" s="648"/>
      <c r="E478" s="648"/>
      <c r="F478" s="648"/>
      <c r="G478" s="648"/>
      <c r="H478" s="648"/>
      <c r="I478" s="648"/>
      <c r="J478" s="648"/>
      <c r="K478" s="648"/>
      <c r="L478" s="648"/>
      <c r="M478" s="648"/>
      <c r="N478" s="648"/>
      <c r="O478" s="649"/>
      <c r="P478" s="653" t="s">
        <v>81</v>
      </c>
      <c r="Q478" s="654"/>
      <c r="R478" s="654"/>
      <c r="S478" s="654"/>
      <c r="T478" s="654"/>
      <c r="U478" s="654"/>
      <c r="V478" s="655"/>
      <c r="W478" s="37" t="s">
        <v>67</v>
      </c>
      <c r="X478" s="637">
        <f>IFERROR(SUM(X474:X476),"0")</f>
        <v>1205</v>
      </c>
      <c r="Y478" s="637">
        <f>IFERROR(SUM(Y474:Y476),"0")</f>
        <v>1213.8</v>
      </c>
      <c r="Z478" s="37"/>
      <c r="AA478" s="638"/>
      <c r="AB478" s="638"/>
      <c r="AC478" s="638"/>
    </row>
    <row r="479" spans="1:68" ht="27.75" hidden="1" customHeight="1" x14ac:dyDescent="0.2">
      <c r="A479" s="656" t="s">
        <v>767</v>
      </c>
      <c r="B479" s="657"/>
      <c r="C479" s="657"/>
      <c r="D479" s="657"/>
      <c r="E479" s="657"/>
      <c r="F479" s="657"/>
      <c r="G479" s="657"/>
      <c r="H479" s="657"/>
      <c r="I479" s="657"/>
      <c r="J479" s="657"/>
      <c r="K479" s="657"/>
      <c r="L479" s="657"/>
      <c r="M479" s="657"/>
      <c r="N479" s="657"/>
      <c r="O479" s="657"/>
      <c r="P479" s="657"/>
      <c r="Q479" s="657"/>
      <c r="R479" s="657"/>
      <c r="S479" s="657"/>
      <c r="T479" s="657"/>
      <c r="U479" s="657"/>
      <c r="V479" s="657"/>
      <c r="W479" s="657"/>
      <c r="X479" s="657"/>
      <c r="Y479" s="657"/>
      <c r="Z479" s="657"/>
      <c r="AA479" s="48"/>
      <c r="AB479" s="48"/>
      <c r="AC479" s="48"/>
    </row>
    <row r="480" spans="1:68" ht="16.5" hidden="1" customHeight="1" x14ac:dyDescent="0.25">
      <c r="A480" s="652" t="s">
        <v>768</v>
      </c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8"/>
      <c r="P480" s="648"/>
      <c r="Q480" s="648"/>
      <c r="R480" s="648"/>
      <c r="S480" s="648"/>
      <c r="T480" s="648"/>
      <c r="U480" s="648"/>
      <c r="V480" s="648"/>
      <c r="W480" s="648"/>
      <c r="X480" s="648"/>
      <c r="Y480" s="648"/>
      <c r="Z480" s="648"/>
      <c r="AA480" s="630"/>
      <c r="AB480" s="630"/>
      <c r="AC480" s="630"/>
    </row>
    <row r="481" spans="1:68" ht="14.25" hidden="1" customHeight="1" x14ac:dyDescent="0.25">
      <c r="A481" s="658" t="s">
        <v>245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31"/>
      <c r="AB481" s="631"/>
      <c r="AC481" s="631"/>
    </row>
    <row r="482" spans="1:68" ht="27" hidden="1" customHeight="1" x14ac:dyDescent="0.25">
      <c r="A482" s="54" t="s">
        <v>769</v>
      </c>
      <c r="B482" s="54" t="s">
        <v>770</v>
      </c>
      <c r="C482" s="31">
        <v>4301031405</v>
      </c>
      <c r="D482" s="642">
        <v>4680115886100</v>
      </c>
      <c r="E482" s="643"/>
      <c r="F482" s="634">
        <v>0.9</v>
      </c>
      <c r="G482" s="32">
        <v>6</v>
      </c>
      <c r="H482" s="634">
        <v>5.4</v>
      </c>
      <c r="I482" s="634">
        <v>5.59</v>
      </c>
      <c r="J482" s="32">
        <v>132</v>
      </c>
      <c r="K482" s="32" t="s">
        <v>126</v>
      </c>
      <c r="L482" s="32"/>
      <c r="M482" s="33" t="s">
        <v>122</v>
      </c>
      <c r="N482" s="33"/>
      <c r="O482" s="32">
        <v>50</v>
      </c>
      <c r="P482" s="73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40"/>
      <c r="R482" s="640"/>
      <c r="S482" s="640"/>
      <c r="T482" s="641"/>
      <c r="U482" s="34"/>
      <c r="V482" s="34"/>
      <c r="W482" s="35" t="s">
        <v>67</v>
      </c>
      <c r="X482" s="635">
        <v>0</v>
      </c>
      <c r="Y482" s="636">
        <f t="shared" ref="Y482:Y487" si="67">IFERROR(IF(X482="",0,CEILING((X482/$H482),1)*$H482),"")</f>
        <v>0</v>
      </c>
      <c r="Z482" s="36" t="str">
        <f>IFERROR(IF(Y482=0,"",ROUNDUP(Y482/H482,0)*0.00902),"")</f>
        <v/>
      </c>
      <c r="AA482" s="56"/>
      <c r="AB482" s="57"/>
      <c r="AC482" s="555" t="s">
        <v>771</v>
      </c>
      <c r="AG482" s="64"/>
      <c r="AJ482" s="68"/>
      <c r="AK482" s="68">
        <v>0</v>
      </c>
      <c r="BB482" s="556" t="s">
        <v>1</v>
      </c>
      <c r="BM482" s="64">
        <f t="shared" ref="BM482:BM487" si="68">IFERROR(X482*I482/H482,"0")</f>
        <v>0</v>
      </c>
      <c r="BN482" s="64">
        <f t="shared" ref="BN482:BN487" si="69">IFERROR(Y482*I482/H482,"0")</f>
        <v>0</v>
      </c>
      <c r="BO482" s="64">
        <f t="shared" ref="BO482:BO487" si="70">IFERROR(1/J482*(X482/H482),"0")</f>
        <v>0</v>
      </c>
      <c r="BP482" s="64">
        <f t="shared" ref="BP482:BP487" si="71">IFERROR(1/J482*(Y482/H482),"0")</f>
        <v>0</v>
      </c>
    </row>
    <row r="483" spans="1:68" ht="27" hidden="1" customHeight="1" x14ac:dyDescent="0.25">
      <c r="A483" s="54" t="s">
        <v>772</v>
      </c>
      <c r="B483" s="54" t="s">
        <v>773</v>
      </c>
      <c r="C483" s="31">
        <v>4301031402</v>
      </c>
      <c r="D483" s="642">
        <v>4680115886124</v>
      </c>
      <c r="E483" s="643"/>
      <c r="F483" s="634">
        <v>0.9</v>
      </c>
      <c r="G483" s="32">
        <v>6</v>
      </c>
      <c r="H483" s="634">
        <v>5.4</v>
      </c>
      <c r="I483" s="634">
        <v>5.59</v>
      </c>
      <c r="J483" s="32">
        <v>132</v>
      </c>
      <c r="K483" s="32" t="s">
        <v>126</v>
      </c>
      <c r="L483" s="32"/>
      <c r="M483" s="33" t="s">
        <v>122</v>
      </c>
      <c r="N483" s="33"/>
      <c r="O483" s="32">
        <v>50</v>
      </c>
      <c r="P483" s="93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40"/>
      <c r="R483" s="640"/>
      <c r="S483" s="640"/>
      <c r="T483" s="641"/>
      <c r="U483" s="34"/>
      <c r="V483" s="34"/>
      <c r="W483" s="35" t="s">
        <v>67</v>
      </c>
      <c r="X483" s="635">
        <v>0</v>
      </c>
      <c r="Y483" s="636">
        <f t="shared" si="67"/>
        <v>0</v>
      </c>
      <c r="Z483" s="36" t="str">
        <f>IFERROR(IF(Y483=0,"",ROUNDUP(Y483/H483,0)*0.00902),"")</f>
        <v/>
      </c>
      <c r="AA483" s="56"/>
      <c r="AB483" s="57"/>
      <c r="AC483" s="557" t="s">
        <v>774</v>
      </c>
      <c r="AG483" s="64"/>
      <c r="AJ483" s="68"/>
      <c r="AK483" s="68">
        <v>0</v>
      </c>
      <c r="BB483" s="558" t="s">
        <v>1</v>
      </c>
      <c r="BM483" s="64">
        <f t="shared" si="68"/>
        <v>0</v>
      </c>
      <c r="BN483" s="64">
        <f t="shared" si="69"/>
        <v>0</v>
      </c>
      <c r="BO483" s="64">
        <f t="shared" si="70"/>
        <v>0</v>
      </c>
      <c r="BP483" s="64">
        <f t="shared" si="71"/>
        <v>0</v>
      </c>
    </row>
    <row r="484" spans="1:68" ht="27" hidden="1" customHeight="1" x14ac:dyDescent="0.25">
      <c r="A484" s="54" t="s">
        <v>775</v>
      </c>
      <c r="B484" s="54" t="s">
        <v>776</v>
      </c>
      <c r="C484" s="31">
        <v>4301031362</v>
      </c>
      <c r="D484" s="642">
        <v>4607091384338</v>
      </c>
      <c r="E484" s="643"/>
      <c r="F484" s="634">
        <v>0.35</v>
      </c>
      <c r="G484" s="32">
        <v>6</v>
      </c>
      <c r="H484" s="634">
        <v>2.1</v>
      </c>
      <c r="I484" s="634">
        <v>2.23</v>
      </c>
      <c r="J484" s="32">
        <v>234</v>
      </c>
      <c r="K484" s="32" t="s">
        <v>223</v>
      </c>
      <c r="L484" s="32"/>
      <c r="M484" s="33" t="s">
        <v>122</v>
      </c>
      <c r="N484" s="33"/>
      <c r="O484" s="32">
        <v>50</v>
      </c>
      <c r="P484" s="97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40"/>
      <c r="R484" s="640"/>
      <c r="S484" s="640"/>
      <c r="T484" s="641"/>
      <c r="U484" s="34"/>
      <c r="V484" s="34"/>
      <c r="W484" s="35" t="s">
        <v>67</v>
      </c>
      <c r="X484" s="635">
        <v>0</v>
      </c>
      <c r="Y484" s="636">
        <f t="shared" si="67"/>
        <v>0</v>
      </c>
      <c r="Z484" s="36" t="str">
        <f>IFERROR(IF(Y484=0,"",ROUNDUP(Y484/H484,0)*0.00502),"")</f>
        <v/>
      </c>
      <c r="AA484" s="56"/>
      <c r="AB484" s="57"/>
      <c r="AC484" s="559" t="s">
        <v>771</v>
      </c>
      <c r="AG484" s="64"/>
      <c r="AJ484" s="68"/>
      <c r="AK484" s="68">
        <v>0</v>
      </c>
      <c r="BB484" s="560" t="s">
        <v>1</v>
      </c>
      <c r="BM484" s="64">
        <f t="shared" si="68"/>
        <v>0</v>
      </c>
      <c r="BN484" s="64">
        <f t="shared" si="69"/>
        <v>0</v>
      </c>
      <c r="BO484" s="64">
        <f t="shared" si="70"/>
        <v>0</v>
      </c>
      <c r="BP484" s="64">
        <f t="shared" si="71"/>
        <v>0</v>
      </c>
    </row>
    <row r="485" spans="1:68" ht="27" hidden="1" customHeight="1" x14ac:dyDescent="0.25">
      <c r="A485" s="54" t="s">
        <v>777</v>
      </c>
      <c r="B485" s="54" t="s">
        <v>778</v>
      </c>
      <c r="C485" s="31">
        <v>4301031364</v>
      </c>
      <c r="D485" s="642">
        <v>4680115883161</v>
      </c>
      <c r="E485" s="643"/>
      <c r="F485" s="634">
        <v>0.28000000000000003</v>
      </c>
      <c r="G485" s="32">
        <v>6</v>
      </c>
      <c r="H485" s="634">
        <v>1.68</v>
      </c>
      <c r="I485" s="634">
        <v>1.81</v>
      </c>
      <c r="J485" s="32">
        <v>234</v>
      </c>
      <c r="K485" s="32" t="s">
        <v>223</v>
      </c>
      <c r="L485" s="32"/>
      <c r="M485" s="33" t="s">
        <v>122</v>
      </c>
      <c r="N485" s="33"/>
      <c r="O485" s="32">
        <v>50</v>
      </c>
      <c r="P485" s="87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5">
        <v>0</v>
      </c>
      <c r="Y485" s="636">
        <f t="shared" si="67"/>
        <v>0</v>
      </c>
      <c r="Z485" s="36" t="str">
        <f>IFERROR(IF(Y485=0,"",ROUNDUP(Y485/H485,0)*0.00502),"")</f>
        <v/>
      </c>
      <c r="AA485" s="56"/>
      <c r="AB485" s="57"/>
      <c r="AC485" s="561" t="s">
        <v>779</v>
      </c>
      <c r="AG485" s="64"/>
      <c r="AJ485" s="68"/>
      <c r="AK485" s="68">
        <v>0</v>
      </c>
      <c r="BB485" s="562" t="s">
        <v>1</v>
      </c>
      <c r="BM485" s="64">
        <f t="shared" si="68"/>
        <v>0</v>
      </c>
      <c r="BN485" s="64">
        <f t="shared" si="69"/>
        <v>0</v>
      </c>
      <c r="BO485" s="64">
        <f t="shared" si="70"/>
        <v>0</v>
      </c>
      <c r="BP485" s="64">
        <f t="shared" si="71"/>
        <v>0</v>
      </c>
    </row>
    <row r="486" spans="1:68" ht="27" hidden="1" customHeight="1" x14ac:dyDescent="0.25">
      <c r="A486" s="54" t="s">
        <v>780</v>
      </c>
      <c r="B486" s="54" t="s">
        <v>781</v>
      </c>
      <c r="C486" s="31">
        <v>4301031358</v>
      </c>
      <c r="D486" s="642">
        <v>4607091389531</v>
      </c>
      <c r="E486" s="643"/>
      <c r="F486" s="634">
        <v>0.35</v>
      </c>
      <c r="G486" s="32">
        <v>6</v>
      </c>
      <c r="H486" s="634">
        <v>2.1</v>
      </c>
      <c r="I486" s="634">
        <v>2.23</v>
      </c>
      <c r="J486" s="32">
        <v>234</v>
      </c>
      <c r="K486" s="32" t="s">
        <v>223</v>
      </c>
      <c r="L486" s="32"/>
      <c r="M486" s="33" t="s">
        <v>122</v>
      </c>
      <c r="N486" s="33"/>
      <c r="O486" s="32">
        <v>50</v>
      </c>
      <c r="P486" s="96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5">
        <v>0</v>
      </c>
      <c r="Y486" s="636">
        <f t="shared" si="67"/>
        <v>0</v>
      </c>
      <c r="Z486" s="36" t="str">
        <f>IFERROR(IF(Y486=0,"",ROUNDUP(Y486/H486,0)*0.00502),"")</f>
        <v/>
      </c>
      <c r="AA486" s="56"/>
      <c r="AB486" s="57"/>
      <c r="AC486" s="563" t="s">
        <v>782</v>
      </c>
      <c r="AG486" s="64"/>
      <c r="AJ486" s="68"/>
      <c r="AK486" s="68">
        <v>0</v>
      </c>
      <c r="BB486" s="564" t="s">
        <v>1</v>
      </c>
      <c r="BM486" s="64">
        <f t="shared" si="68"/>
        <v>0</v>
      </c>
      <c r="BN486" s="64">
        <f t="shared" si="69"/>
        <v>0</v>
      </c>
      <c r="BO486" s="64">
        <f t="shared" si="70"/>
        <v>0</v>
      </c>
      <c r="BP486" s="64">
        <f t="shared" si="71"/>
        <v>0</v>
      </c>
    </row>
    <row r="487" spans="1:68" ht="37.5" hidden="1" customHeight="1" x14ac:dyDescent="0.25">
      <c r="A487" s="54" t="s">
        <v>783</v>
      </c>
      <c r="B487" s="54" t="s">
        <v>784</v>
      </c>
      <c r="C487" s="31">
        <v>4301031360</v>
      </c>
      <c r="D487" s="642">
        <v>4607091384345</v>
      </c>
      <c r="E487" s="643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223</v>
      </c>
      <c r="L487" s="32"/>
      <c r="M487" s="33" t="s">
        <v>122</v>
      </c>
      <c r="N487" s="33"/>
      <c r="O487" s="32">
        <v>50</v>
      </c>
      <c r="P487" s="87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40"/>
      <c r="R487" s="640"/>
      <c r="S487" s="640"/>
      <c r="T487" s="641"/>
      <c r="U487" s="34"/>
      <c r="V487" s="34"/>
      <c r="W487" s="35" t="s">
        <v>67</v>
      </c>
      <c r="X487" s="635">
        <v>0</v>
      </c>
      <c r="Y487" s="636">
        <f t="shared" si="67"/>
        <v>0</v>
      </c>
      <c r="Z487" s="36" t="str">
        <f>IFERROR(IF(Y487=0,"",ROUNDUP(Y487/H487,0)*0.00502),"")</f>
        <v/>
      </c>
      <c r="AA487" s="56"/>
      <c r="AB487" s="57"/>
      <c r="AC487" s="565" t="s">
        <v>779</v>
      </c>
      <c r="AG487" s="64"/>
      <c r="AJ487" s="68"/>
      <c r="AK487" s="68">
        <v>0</v>
      </c>
      <c r="BB487" s="566" t="s">
        <v>1</v>
      </c>
      <c r="BM487" s="64">
        <f t="shared" si="68"/>
        <v>0</v>
      </c>
      <c r="BN487" s="64">
        <f t="shared" si="69"/>
        <v>0</v>
      </c>
      <c r="BO487" s="64">
        <f t="shared" si="70"/>
        <v>0</v>
      </c>
      <c r="BP487" s="64">
        <f t="shared" si="71"/>
        <v>0</v>
      </c>
    </row>
    <row r="488" spans="1:68" hidden="1" x14ac:dyDescent="0.2">
      <c r="A488" s="647"/>
      <c r="B488" s="648"/>
      <c r="C488" s="648"/>
      <c r="D488" s="648"/>
      <c r="E488" s="648"/>
      <c r="F488" s="648"/>
      <c r="G488" s="648"/>
      <c r="H488" s="648"/>
      <c r="I488" s="648"/>
      <c r="J488" s="648"/>
      <c r="K488" s="648"/>
      <c r="L488" s="648"/>
      <c r="M488" s="648"/>
      <c r="N488" s="648"/>
      <c r="O488" s="649"/>
      <c r="P488" s="653" t="s">
        <v>81</v>
      </c>
      <c r="Q488" s="654"/>
      <c r="R488" s="654"/>
      <c r="S488" s="654"/>
      <c r="T488" s="654"/>
      <c r="U488" s="654"/>
      <c r="V488" s="655"/>
      <c r="W488" s="37" t="s">
        <v>82</v>
      </c>
      <c r="X488" s="637">
        <f>IFERROR(X482/H482,"0")+IFERROR(X483/H483,"0")+IFERROR(X484/H484,"0")+IFERROR(X485/H485,"0")+IFERROR(X486/H486,"0")+IFERROR(X487/H487,"0")</f>
        <v>0</v>
      </c>
      <c r="Y488" s="637">
        <f>IFERROR(Y482/H482,"0")+IFERROR(Y483/H483,"0")+IFERROR(Y484/H484,"0")+IFERROR(Y485/H485,"0")+IFERROR(Y486/H486,"0")+IFERROR(Y487/H487,"0")</f>
        <v>0</v>
      </c>
      <c r="Z488" s="637">
        <f>IFERROR(IF(Z482="",0,Z482),"0")+IFERROR(IF(Z483="",0,Z483),"0")+IFERROR(IF(Z484="",0,Z484),"0")+IFERROR(IF(Z485="",0,Z485),"0")+IFERROR(IF(Z486="",0,Z486),"0")+IFERROR(IF(Z487="",0,Z487),"0")</f>
        <v>0</v>
      </c>
      <c r="AA488" s="638"/>
      <c r="AB488" s="638"/>
      <c r="AC488" s="638"/>
    </row>
    <row r="489" spans="1:68" hidden="1" x14ac:dyDescent="0.2">
      <c r="A489" s="648"/>
      <c r="B489" s="648"/>
      <c r="C489" s="648"/>
      <c r="D489" s="648"/>
      <c r="E489" s="648"/>
      <c r="F489" s="648"/>
      <c r="G489" s="648"/>
      <c r="H489" s="648"/>
      <c r="I489" s="648"/>
      <c r="J489" s="648"/>
      <c r="K489" s="648"/>
      <c r="L489" s="648"/>
      <c r="M489" s="648"/>
      <c r="N489" s="648"/>
      <c r="O489" s="649"/>
      <c r="P489" s="653" t="s">
        <v>81</v>
      </c>
      <c r="Q489" s="654"/>
      <c r="R489" s="654"/>
      <c r="S489" s="654"/>
      <c r="T489" s="654"/>
      <c r="U489" s="654"/>
      <c r="V489" s="655"/>
      <c r="W489" s="37" t="s">
        <v>67</v>
      </c>
      <c r="X489" s="637">
        <f>IFERROR(SUM(X482:X487),"0")</f>
        <v>0</v>
      </c>
      <c r="Y489" s="637">
        <f>IFERROR(SUM(Y482:Y487),"0")</f>
        <v>0</v>
      </c>
      <c r="Z489" s="37"/>
      <c r="AA489" s="638"/>
      <c r="AB489" s="638"/>
      <c r="AC489" s="638"/>
    </row>
    <row r="490" spans="1:68" ht="14.25" hidden="1" customHeight="1" x14ac:dyDescent="0.25">
      <c r="A490" s="658" t="s">
        <v>62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31"/>
      <c r="AB490" s="631"/>
      <c r="AC490" s="631"/>
    </row>
    <row r="491" spans="1:68" ht="27" hidden="1" customHeight="1" x14ac:dyDescent="0.25">
      <c r="A491" s="54" t="s">
        <v>785</v>
      </c>
      <c r="B491" s="54" t="s">
        <v>786</v>
      </c>
      <c r="C491" s="31">
        <v>4301051284</v>
      </c>
      <c r="D491" s="642">
        <v>4607091384352</v>
      </c>
      <c r="E491" s="643"/>
      <c r="F491" s="634">
        <v>0.6</v>
      </c>
      <c r="G491" s="32">
        <v>4</v>
      </c>
      <c r="H491" s="634">
        <v>2.4</v>
      </c>
      <c r="I491" s="634">
        <v>2.6259999999999999</v>
      </c>
      <c r="J491" s="32">
        <v>132</v>
      </c>
      <c r="K491" s="32" t="s">
        <v>126</v>
      </c>
      <c r="L491" s="32"/>
      <c r="M491" s="33" t="s">
        <v>66</v>
      </c>
      <c r="N491" s="33"/>
      <c r="O491" s="32">
        <v>45</v>
      </c>
      <c r="P491" s="83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40"/>
      <c r="R491" s="640"/>
      <c r="S491" s="640"/>
      <c r="T491" s="641"/>
      <c r="U491" s="34"/>
      <c r="V491" s="34"/>
      <c r="W491" s="35" t="s">
        <v>67</v>
      </c>
      <c r="X491" s="635">
        <v>0</v>
      </c>
      <c r="Y491" s="63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787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47"/>
      <c r="B492" s="648"/>
      <c r="C492" s="648"/>
      <c r="D492" s="648"/>
      <c r="E492" s="648"/>
      <c r="F492" s="648"/>
      <c r="G492" s="648"/>
      <c r="H492" s="648"/>
      <c r="I492" s="648"/>
      <c r="J492" s="648"/>
      <c r="K492" s="648"/>
      <c r="L492" s="648"/>
      <c r="M492" s="648"/>
      <c r="N492" s="648"/>
      <c r="O492" s="649"/>
      <c r="P492" s="653" t="s">
        <v>81</v>
      </c>
      <c r="Q492" s="654"/>
      <c r="R492" s="654"/>
      <c r="S492" s="654"/>
      <c r="T492" s="654"/>
      <c r="U492" s="654"/>
      <c r="V492" s="655"/>
      <c r="W492" s="37" t="s">
        <v>82</v>
      </c>
      <c r="X492" s="637">
        <f>IFERROR(X491/H491,"0")</f>
        <v>0</v>
      </c>
      <c r="Y492" s="637">
        <f>IFERROR(Y491/H491,"0")</f>
        <v>0</v>
      </c>
      <c r="Z492" s="637">
        <f>IFERROR(IF(Z491="",0,Z491),"0")</f>
        <v>0</v>
      </c>
      <c r="AA492" s="638"/>
      <c r="AB492" s="638"/>
      <c r="AC492" s="638"/>
    </row>
    <row r="493" spans="1:68" hidden="1" x14ac:dyDescent="0.2">
      <c r="A493" s="648"/>
      <c r="B493" s="648"/>
      <c r="C493" s="648"/>
      <c r="D493" s="648"/>
      <c r="E493" s="648"/>
      <c r="F493" s="648"/>
      <c r="G493" s="648"/>
      <c r="H493" s="648"/>
      <c r="I493" s="648"/>
      <c r="J493" s="648"/>
      <c r="K493" s="648"/>
      <c r="L493" s="648"/>
      <c r="M493" s="648"/>
      <c r="N493" s="648"/>
      <c r="O493" s="649"/>
      <c r="P493" s="653" t="s">
        <v>81</v>
      </c>
      <c r="Q493" s="654"/>
      <c r="R493" s="654"/>
      <c r="S493" s="654"/>
      <c r="T493" s="654"/>
      <c r="U493" s="654"/>
      <c r="V493" s="655"/>
      <c r="W493" s="37" t="s">
        <v>67</v>
      </c>
      <c r="X493" s="637">
        <f>IFERROR(SUM(X491:X491),"0")</f>
        <v>0</v>
      </c>
      <c r="Y493" s="637">
        <f>IFERROR(SUM(Y491:Y491),"0")</f>
        <v>0</v>
      </c>
      <c r="Z493" s="37"/>
      <c r="AA493" s="638"/>
      <c r="AB493" s="638"/>
      <c r="AC493" s="638"/>
    </row>
    <row r="494" spans="1:68" ht="16.5" hidden="1" customHeight="1" x14ac:dyDescent="0.25">
      <c r="A494" s="652" t="s">
        <v>788</v>
      </c>
      <c r="B494" s="648"/>
      <c r="C494" s="648"/>
      <c r="D494" s="648"/>
      <c r="E494" s="648"/>
      <c r="F494" s="648"/>
      <c r="G494" s="648"/>
      <c r="H494" s="648"/>
      <c r="I494" s="648"/>
      <c r="J494" s="648"/>
      <c r="K494" s="648"/>
      <c r="L494" s="648"/>
      <c r="M494" s="648"/>
      <c r="N494" s="648"/>
      <c r="O494" s="648"/>
      <c r="P494" s="648"/>
      <c r="Q494" s="648"/>
      <c r="R494" s="648"/>
      <c r="S494" s="648"/>
      <c r="T494" s="648"/>
      <c r="U494" s="648"/>
      <c r="V494" s="648"/>
      <c r="W494" s="648"/>
      <c r="X494" s="648"/>
      <c r="Y494" s="648"/>
      <c r="Z494" s="648"/>
      <c r="AA494" s="630"/>
      <c r="AB494" s="630"/>
      <c r="AC494" s="630"/>
    </row>
    <row r="495" spans="1:68" ht="14.25" hidden="1" customHeight="1" x14ac:dyDescent="0.25">
      <c r="A495" s="658" t="s">
        <v>150</v>
      </c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8"/>
      <c r="P495" s="648"/>
      <c r="Q495" s="648"/>
      <c r="R495" s="648"/>
      <c r="S495" s="648"/>
      <c r="T495" s="648"/>
      <c r="U495" s="648"/>
      <c r="V495" s="648"/>
      <c r="W495" s="648"/>
      <c r="X495" s="648"/>
      <c r="Y495" s="648"/>
      <c r="Z495" s="648"/>
      <c r="AA495" s="631"/>
      <c r="AB495" s="631"/>
      <c r="AC495" s="631"/>
    </row>
    <row r="496" spans="1:68" ht="27" hidden="1" customHeight="1" x14ac:dyDescent="0.25">
      <c r="A496" s="54" t="s">
        <v>789</v>
      </c>
      <c r="B496" s="54" t="s">
        <v>790</v>
      </c>
      <c r="C496" s="31">
        <v>4301020416</v>
      </c>
      <c r="D496" s="642">
        <v>4680115885240</v>
      </c>
      <c r="E496" s="643"/>
      <c r="F496" s="634">
        <v>0.35</v>
      </c>
      <c r="G496" s="32">
        <v>6</v>
      </c>
      <c r="H496" s="634">
        <v>2.1</v>
      </c>
      <c r="I496" s="634">
        <v>2.31</v>
      </c>
      <c r="J496" s="32">
        <v>182</v>
      </c>
      <c r="K496" s="32" t="s">
        <v>65</v>
      </c>
      <c r="L496" s="32"/>
      <c r="M496" s="33" t="s">
        <v>122</v>
      </c>
      <c r="N496" s="33"/>
      <c r="O496" s="32">
        <v>40</v>
      </c>
      <c r="P496" s="8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40"/>
      <c r="R496" s="640"/>
      <c r="S496" s="640"/>
      <c r="T496" s="641"/>
      <c r="U496" s="34"/>
      <c r="V496" s="34"/>
      <c r="W496" s="35" t="s">
        <v>67</v>
      </c>
      <c r="X496" s="635">
        <v>0</v>
      </c>
      <c r="Y496" s="636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69" t="s">
        <v>791</v>
      </c>
      <c r="AG496" s="64"/>
      <c r="AJ496" s="68"/>
      <c r="AK496" s="68">
        <v>0</v>
      </c>
      <c r="BB496" s="570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47"/>
      <c r="B497" s="648"/>
      <c r="C497" s="648"/>
      <c r="D497" s="648"/>
      <c r="E497" s="648"/>
      <c r="F497" s="648"/>
      <c r="G497" s="648"/>
      <c r="H497" s="648"/>
      <c r="I497" s="648"/>
      <c r="J497" s="648"/>
      <c r="K497" s="648"/>
      <c r="L497" s="648"/>
      <c r="M497" s="648"/>
      <c r="N497" s="648"/>
      <c r="O497" s="649"/>
      <c r="P497" s="653" t="s">
        <v>81</v>
      </c>
      <c r="Q497" s="654"/>
      <c r="R497" s="654"/>
      <c r="S497" s="654"/>
      <c r="T497" s="654"/>
      <c r="U497" s="654"/>
      <c r="V497" s="655"/>
      <c r="W497" s="37" t="s">
        <v>82</v>
      </c>
      <c r="X497" s="637">
        <f>IFERROR(X496/H496,"0")</f>
        <v>0</v>
      </c>
      <c r="Y497" s="637">
        <f>IFERROR(Y496/H496,"0")</f>
        <v>0</v>
      </c>
      <c r="Z497" s="637">
        <f>IFERROR(IF(Z496="",0,Z496),"0")</f>
        <v>0</v>
      </c>
      <c r="AA497" s="638"/>
      <c r="AB497" s="638"/>
      <c r="AC497" s="638"/>
    </row>
    <row r="498" spans="1:68" hidden="1" x14ac:dyDescent="0.2">
      <c r="A498" s="648"/>
      <c r="B498" s="648"/>
      <c r="C498" s="648"/>
      <c r="D498" s="648"/>
      <c r="E498" s="648"/>
      <c r="F498" s="648"/>
      <c r="G498" s="648"/>
      <c r="H498" s="648"/>
      <c r="I498" s="648"/>
      <c r="J498" s="648"/>
      <c r="K498" s="648"/>
      <c r="L498" s="648"/>
      <c r="M498" s="648"/>
      <c r="N498" s="648"/>
      <c r="O498" s="649"/>
      <c r="P498" s="653" t="s">
        <v>81</v>
      </c>
      <c r="Q498" s="654"/>
      <c r="R498" s="654"/>
      <c r="S498" s="654"/>
      <c r="T498" s="654"/>
      <c r="U498" s="654"/>
      <c r="V498" s="655"/>
      <c r="W498" s="37" t="s">
        <v>67</v>
      </c>
      <c r="X498" s="637">
        <f>IFERROR(SUM(X496:X496),"0")</f>
        <v>0</v>
      </c>
      <c r="Y498" s="637">
        <f>IFERROR(SUM(Y496:Y496),"0")</f>
        <v>0</v>
      </c>
      <c r="Z498" s="37"/>
      <c r="AA498" s="638"/>
      <c r="AB498" s="638"/>
      <c r="AC498" s="638"/>
    </row>
    <row r="499" spans="1:68" ht="14.25" hidden="1" customHeight="1" x14ac:dyDescent="0.25">
      <c r="A499" s="658" t="s">
        <v>245</v>
      </c>
      <c r="B499" s="648"/>
      <c r="C499" s="648"/>
      <c r="D499" s="648"/>
      <c r="E499" s="648"/>
      <c r="F499" s="648"/>
      <c r="G499" s="648"/>
      <c r="H499" s="648"/>
      <c r="I499" s="648"/>
      <c r="J499" s="648"/>
      <c r="K499" s="648"/>
      <c r="L499" s="648"/>
      <c r="M499" s="648"/>
      <c r="N499" s="648"/>
      <c r="O499" s="648"/>
      <c r="P499" s="648"/>
      <c r="Q499" s="648"/>
      <c r="R499" s="648"/>
      <c r="S499" s="648"/>
      <c r="T499" s="648"/>
      <c r="U499" s="648"/>
      <c r="V499" s="648"/>
      <c r="W499" s="648"/>
      <c r="X499" s="648"/>
      <c r="Y499" s="648"/>
      <c r="Z499" s="648"/>
      <c r="AA499" s="631"/>
      <c r="AB499" s="631"/>
      <c r="AC499" s="631"/>
    </row>
    <row r="500" spans="1:68" ht="27" hidden="1" customHeight="1" x14ac:dyDescent="0.25">
      <c r="A500" s="54" t="s">
        <v>792</v>
      </c>
      <c r="B500" s="54" t="s">
        <v>793</v>
      </c>
      <c r="C500" s="31">
        <v>4301031407</v>
      </c>
      <c r="D500" s="642">
        <v>4680115886094</v>
      </c>
      <c r="E500" s="643"/>
      <c r="F500" s="634">
        <v>0.9</v>
      </c>
      <c r="G500" s="32">
        <v>6</v>
      </c>
      <c r="H500" s="634">
        <v>5.4</v>
      </c>
      <c r="I500" s="634">
        <v>5.59</v>
      </c>
      <c r="J500" s="32">
        <v>132</v>
      </c>
      <c r="K500" s="32" t="s">
        <v>126</v>
      </c>
      <c r="L500" s="32"/>
      <c r="M500" s="33" t="s">
        <v>122</v>
      </c>
      <c r="N500" s="33"/>
      <c r="O500" s="32">
        <v>50</v>
      </c>
      <c r="P500" s="87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40"/>
      <c r="R500" s="640"/>
      <c r="S500" s="640"/>
      <c r="T500" s="641"/>
      <c r="U500" s="34"/>
      <c r="V500" s="34"/>
      <c r="W500" s="35" t="s">
        <v>67</v>
      </c>
      <c r="X500" s="635">
        <v>0</v>
      </c>
      <c r="Y500" s="636">
        <f>IFERROR(IF(X500="",0,CEILING((X500/$H500),1)*$H500),"")</f>
        <v>0</v>
      </c>
      <c r="Z500" s="36" t="str">
        <f>IFERROR(IF(Y500=0,"",ROUNDUP(Y500/H500,0)*0.00902),"")</f>
        <v/>
      </c>
      <c r="AA500" s="56"/>
      <c r="AB500" s="57"/>
      <c r="AC500" s="571" t="s">
        <v>794</v>
      </c>
      <c r="AG500" s="64"/>
      <c r="AJ500" s="68"/>
      <c r="AK500" s="68">
        <v>0</v>
      </c>
      <c r="BB500" s="572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27" hidden="1" customHeight="1" x14ac:dyDescent="0.25">
      <c r="A501" s="54" t="s">
        <v>795</v>
      </c>
      <c r="B501" s="54" t="s">
        <v>796</v>
      </c>
      <c r="C501" s="31">
        <v>4301031373</v>
      </c>
      <c r="D501" s="642">
        <v>4680115880771</v>
      </c>
      <c r="E501" s="643"/>
      <c r="F501" s="634">
        <v>0.28000000000000003</v>
      </c>
      <c r="G501" s="32">
        <v>6</v>
      </c>
      <c r="H501" s="634">
        <v>1.68</v>
      </c>
      <c r="I501" s="634">
        <v>1.81</v>
      </c>
      <c r="J501" s="32">
        <v>234</v>
      </c>
      <c r="K501" s="32" t="s">
        <v>223</v>
      </c>
      <c r="L501" s="32"/>
      <c r="M501" s="33" t="s">
        <v>122</v>
      </c>
      <c r="N501" s="33"/>
      <c r="O501" s="32">
        <v>50</v>
      </c>
      <c r="P501" s="80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40"/>
      <c r="R501" s="640"/>
      <c r="S501" s="640"/>
      <c r="T501" s="641"/>
      <c r="U501" s="34"/>
      <c r="V501" s="34"/>
      <c r="W501" s="35" t="s">
        <v>67</v>
      </c>
      <c r="X501" s="635">
        <v>0</v>
      </c>
      <c r="Y501" s="636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73" t="s">
        <v>797</v>
      </c>
      <c r="AG501" s="64"/>
      <c r="AJ501" s="68"/>
      <c r="AK501" s="68">
        <v>0</v>
      </c>
      <c r="BB501" s="574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4301031359</v>
      </c>
      <c r="D502" s="642">
        <v>4607091389500</v>
      </c>
      <c r="E502" s="643"/>
      <c r="F502" s="634">
        <v>0.35</v>
      </c>
      <c r="G502" s="32">
        <v>6</v>
      </c>
      <c r="H502" s="634">
        <v>2.1</v>
      </c>
      <c r="I502" s="634">
        <v>2.23</v>
      </c>
      <c r="J502" s="32">
        <v>234</v>
      </c>
      <c r="K502" s="32" t="s">
        <v>223</v>
      </c>
      <c r="L502" s="32"/>
      <c r="M502" s="33" t="s">
        <v>122</v>
      </c>
      <c r="N502" s="33"/>
      <c r="O502" s="32">
        <v>50</v>
      </c>
      <c r="P502" s="71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40"/>
      <c r="R502" s="640"/>
      <c r="S502" s="640"/>
      <c r="T502" s="641"/>
      <c r="U502" s="34"/>
      <c r="V502" s="34"/>
      <c r="W502" s="35" t="s">
        <v>67</v>
      </c>
      <c r="X502" s="635">
        <v>0</v>
      </c>
      <c r="Y502" s="636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75" t="s">
        <v>797</v>
      </c>
      <c r="AG502" s="64"/>
      <c r="AJ502" s="68"/>
      <c r="AK502" s="68">
        <v>0</v>
      </c>
      <c r="BB502" s="576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47"/>
      <c r="B503" s="648"/>
      <c r="C503" s="648"/>
      <c r="D503" s="648"/>
      <c r="E503" s="648"/>
      <c r="F503" s="648"/>
      <c r="G503" s="648"/>
      <c r="H503" s="648"/>
      <c r="I503" s="648"/>
      <c r="J503" s="648"/>
      <c r="K503" s="648"/>
      <c r="L503" s="648"/>
      <c r="M503" s="648"/>
      <c r="N503" s="648"/>
      <c r="O503" s="649"/>
      <c r="P503" s="653" t="s">
        <v>81</v>
      </c>
      <c r="Q503" s="654"/>
      <c r="R503" s="654"/>
      <c r="S503" s="654"/>
      <c r="T503" s="654"/>
      <c r="U503" s="654"/>
      <c r="V503" s="655"/>
      <c r="W503" s="37" t="s">
        <v>82</v>
      </c>
      <c r="X503" s="637">
        <f>IFERROR(X500/H500,"0")+IFERROR(X501/H501,"0")+IFERROR(X502/H502,"0")</f>
        <v>0</v>
      </c>
      <c r="Y503" s="637">
        <f>IFERROR(Y500/H500,"0")+IFERROR(Y501/H501,"0")+IFERROR(Y502/H502,"0")</f>
        <v>0</v>
      </c>
      <c r="Z503" s="637">
        <f>IFERROR(IF(Z500="",0,Z500),"0")+IFERROR(IF(Z501="",0,Z501),"0")+IFERROR(IF(Z502="",0,Z502),"0")</f>
        <v>0</v>
      </c>
      <c r="AA503" s="638"/>
      <c r="AB503" s="638"/>
      <c r="AC503" s="638"/>
    </row>
    <row r="504" spans="1:68" hidden="1" x14ac:dyDescent="0.2">
      <c r="A504" s="648"/>
      <c r="B504" s="648"/>
      <c r="C504" s="648"/>
      <c r="D504" s="648"/>
      <c r="E504" s="648"/>
      <c r="F504" s="648"/>
      <c r="G504" s="648"/>
      <c r="H504" s="648"/>
      <c r="I504" s="648"/>
      <c r="J504" s="648"/>
      <c r="K504" s="648"/>
      <c r="L504" s="648"/>
      <c r="M504" s="648"/>
      <c r="N504" s="648"/>
      <c r="O504" s="649"/>
      <c r="P504" s="653" t="s">
        <v>81</v>
      </c>
      <c r="Q504" s="654"/>
      <c r="R504" s="654"/>
      <c r="S504" s="654"/>
      <c r="T504" s="654"/>
      <c r="U504" s="654"/>
      <c r="V504" s="655"/>
      <c r="W504" s="37" t="s">
        <v>67</v>
      </c>
      <c r="X504" s="637">
        <f>IFERROR(SUM(X500:X502),"0")</f>
        <v>0</v>
      </c>
      <c r="Y504" s="637">
        <f>IFERROR(SUM(Y500:Y502),"0")</f>
        <v>0</v>
      </c>
      <c r="Z504" s="37"/>
      <c r="AA504" s="638"/>
      <c r="AB504" s="638"/>
      <c r="AC504" s="638"/>
    </row>
    <row r="505" spans="1:68" ht="27.75" hidden="1" customHeight="1" x14ac:dyDescent="0.2">
      <c r="A505" s="656" t="s">
        <v>800</v>
      </c>
      <c r="B505" s="657"/>
      <c r="C505" s="657"/>
      <c r="D505" s="657"/>
      <c r="E505" s="657"/>
      <c r="F505" s="657"/>
      <c r="G505" s="657"/>
      <c r="H505" s="657"/>
      <c r="I505" s="657"/>
      <c r="J505" s="657"/>
      <c r="K505" s="657"/>
      <c r="L505" s="657"/>
      <c r="M505" s="657"/>
      <c r="N505" s="657"/>
      <c r="O505" s="657"/>
      <c r="P505" s="657"/>
      <c r="Q505" s="657"/>
      <c r="R505" s="657"/>
      <c r="S505" s="657"/>
      <c r="T505" s="657"/>
      <c r="U505" s="657"/>
      <c r="V505" s="657"/>
      <c r="W505" s="657"/>
      <c r="X505" s="657"/>
      <c r="Y505" s="657"/>
      <c r="Z505" s="657"/>
      <c r="AA505" s="48"/>
      <c r="AB505" s="48"/>
      <c r="AC505" s="48"/>
    </row>
    <row r="506" spans="1:68" ht="16.5" hidden="1" customHeight="1" x14ac:dyDescent="0.25">
      <c r="A506" s="652" t="s">
        <v>800</v>
      </c>
      <c r="B506" s="648"/>
      <c r="C506" s="648"/>
      <c r="D506" s="648"/>
      <c r="E506" s="648"/>
      <c r="F506" s="648"/>
      <c r="G506" s="648"/>
      <c r="H506" s="648"/>
      <c r="I506" s="648"/>
      <c r="J506" s="648"/>
      <c r="K506" s="648"/>
      <c r="L506" s="648"/>
      <c r="M506" s="648"/>
      <c r="N506" s="648"/>
      <c r="O506" s="648"/>
      <c r="P506" s="648"/>
      <c r="Q506" s="648"/>
      <c r="R506" s="648"/>
      <c r="S506" s="648"/>
      <c r="T506" s="648"/>
      <c r="U506" s="648"/>
      <c r="V506" s="648"/>
      <c r="W506" s="648"/>
      <c r="X506" s="648"/>
      <c r="Y506" s="648"/>
      <c r="Z506" s="648"/>
      <c r="AA506" s="630"/>
      <c r="AB506" s="630"/>
      <c r="AC506" s="630"/>
    </row>
    <row r="507" spans="1:68" ht="14.25" hidden="1" customHeight="1" x14ac:dyDescent="0.25">
      <c r="A507" s="658" t="s">
        <v>113</v>
      </c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8"/>
      <c r="P507" s="648"/>
      <c r="Q507" s="648"/>
      <c r="R507" s="648"/>
      <c r="S507" s="648"/>
      <c r="T507" s="648"/>
      <c r="U507" s="648"/>
      <c r="V507" s="648"/>
      <c r="W507" s="648"/>
      <c r="X507" s="648"/>
      <c r="Y507" s="648"/>
      <c r="Z507" s="648"/>
      <c r="AA507" s="631"/>
      <c r="AB507" s="631"/>
      <c r="AC507" s="631"/>
    </row>
    <row r="508" spans="1:68" ht="27" customHeight="1" x14ac:dyDescent="0.25">
      <c r="A508" s="54" t="s">
        <v>801</v>
      </c>
      <c r="B508" s="54" t="s">
        <v>802</v>
      </c>
      <c r="C508" s="31">
        <v>4301011769</v>
      </c>
      <c r="D508" s="642">
        <v>4607091389067</v>
      </c>
      <c r="E508" s="643"/>
      <c r="F508" s="634">
        <v>0.88</v>
      </c>
      <c r="G508" s="32">
        <v>6</v>
      </c>
      <c r="H508" s="634">
        <v>5.28</v>
      </c>
      <c r="I508" s="634">
        <v>5.63</v>
      </c>
      <c r="J508" s="32">
        <v>104</v>
      </c>
      <c r="K508" s="32" t="s">
        <v>116</v>
      </c>
      <c r="L508" s="32"/>
      <c r="M508" s="33" t="s">
        <v>66</v>
      </c>
      <c r="N508" s="33"/>
      <c r="O508" s="32">
        <v>60</v>
      </c>
      <c r="P508" s="73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40"/>
      <c r="R508" s="640"/>
      <c r="S508" s="640"/>
      <c r="T508" s="641"/>
      <c r="U508" s="34"/>
      <c r="V508" s="34"/>
      <c r="W508" s="35" t="s">
        <v>67</v>
      </c>
      <c r="X508" s="635">
        <v>114</v>
      </c>
      <c r="Y508" s="636">
        <f t="shared" ref="Y508:Y515" si="72">IFERROR(IF(X508="",0,CEILING((X508/$H508),1)*$H508),"")</f>
        <v>116.16000000000001</v>
      </c>
      <c r="Z508" s="36">
        <f>IFERROR(IF(Y508=0,"",ROUNDUP(Y508/H508,0)*0.01196),"")</f>
        <v>0.26312000000000002</v>
      </c>
      <c r="AA508" s="56"/>
      <c r="AB508" s="57"/>
      <c r="AC508" s="577" t="s">
        <v>118</v>
      </c>
      <c r="AG508" s="64"/>
      <c r="AJ508" s="68"/>
      <c r="AK508" s="68">
        <v>0</v>
      </c>
      <c r="BB508" s="578" t="s">
        <v>1</v>
      </c>
      <c r="BM508" s="64">
        <f t="shared" ref="BM508:BM515" si="73">IFERROR(X508*I508/H508,"0")</f>
        <v>121.55681818181816</v>
      </c>
      <c r="BN508" s="64">
        <f t="shared" ref="BN508:BN515" si="74">IFERROR(Y508*I508/H508,"0")</f>
        <v>123.86</v>
      </c>
      <c r="BO508" s="64">
        <f t="shared" ref="BO508:BO515" si="75">IFERROR(1/J508*(X508/H508),"0")</f>
        <v>0.2076048951048951</v>
      </c>
      <c r="BP508" s="64">
        <f t="shared" ref="BP508:BP515" si="76">IFERROR(1/J508*(Y508/H508),"0")</f>
        <v>0.21153846153846156</v>
      </c>
    </row>
    <row r="509" spans="1:68" ht="16.5" hidden="1" customHeight="1" x14ac:dyDescent="0.25">
      <c r="A509" s="54" t="s">
        <v>803</v>
      </c>
      <c r="B509" s="54" t="s">
        <v>804</v>
      </c>
      <c r="C509" s="31">
        <v>4301012380</v>
      </c>
      <c r="D509" s="642">
        <v>4680115889576</v>
      </c>
      <c r="E509" s="643"/>
      <c r="F509" s="634">
        <v>0.88</v>
      </c>
      <c r="G509" s="32">
        <v>6</v>
      </c>
      <c r="H509" s="634">
        <v>5.28</v>
      </c>
      <c r="I509" s="634">
        <v>5.63</v>
      </c>
      <c r="J509" s="32">
        <v>104</v>
      </c>
      <c r="K509" s="32" t="s">
        <v>116</v>
      </c>
      <c r="L509" s="32"/>
      <c r="M509" s="33" t="s">
        <v>117</v>
      </c>
      <c r="N509" s="33"/>
      <c r="O509" s="32">
        <v>60</v>
      </c>
      <c r="P509" s="95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40"/>
      <c r="R509" s="640"/>
      <c r="S509" s="640"/>
      <c r="T509" s="641"/>
      <c r="U509" s="34"/>
      <c r="V509" s="34"/>
      <c r="W509" s="35" t="s">
        <v>67</v>
      </c>
      <c r="X509" s="635">
        <v>0</v>
      </c>
      <c r="Y509" s="636">
        <f t="shared" si="72"/>
        <v>0</v>
      </c>
      <c r="Z509" s="36" t="str">
        <f>IFERROR(IF(Y509=0,"",ROUNDUP(Y509/H509,0)*0.01196),"")</f>
        <v/>
      </c>
      <c r="AA509" s="56"/>
      <c r="AB509" s="57"/>
      <c r="AC509" s="579" t="s">
        <v>805</v>
      </c>
      <c r="AG509" s="64"/>
      <c r="AJ509" s="68"/>
      <c r="AK509" s="68">
        <v>0</v>
      </c>
      <c r="BB509" s="580" t="s">
        <v>1</v>
      </c>
      <c r="BM509" s="64">
        <f t="shared" si="73"/>
        <v>0</v>
      </c>
      <c r="BN509" s="64">
        <f t="shared" si="74"/>
        <v>0</v>
      </c>
      <c r="BO509" s="64">
        <f t="shared" si="75"/>
        <v>0</v>
      </c>
      <c r="BP509" s="64">
        <f t="shared" si="76"/>
        <v>0</v>
      </c>
    </row>
    <row r="510" spans="1:68" ht="27" hidden="1" customHeight="1" x14ac:dyDescent="0.25">
      <c r="A510" s="54" t="s">
        <v>806</v>
      </c>
      <c r="B510" s="54" t="s">
        <v>807</v>
      </c>
      <c r="C510" s="31">
        <v>4301011961</v>
      </c>
      <c r="D510" s="642">
        <v>4680115885271</v>
      </c>
      <c r="E510" s="643"/>
      <c r="F510" s="634">
        <v>0.88</v>
      </c>
      <c r="G510" s="32">
        <v>6</v>
      </c>
      <c r="H510" s="634">
        <v>5.28</v>
      </c>
      <c r="I510" s="634">
        <v>5.63</v>
      </c>
      <c r="J510" s="32">
        <v>104</v>
      </c>
      <c r="K510" s="32" t="s">
        <v>116</v>
      </c>
      <c r="L510" s="32"/>
      <c r="M510" s="33" t="s">
        <v>117</v>
      </c>
      <c r="N510" s="33"/>
      <c r="O510" s="32">
        <v>60</v>
      </c>
      <c r="P510" s="9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40"/>
      <c r="R510" s="640"/>
      <c r="S510" s="640"/>
      <c r="T510" s="641"/>
      <c r="U510" s="34"/>
      <c r="V510" s="34"/>
      <c r="W510" s="35" t="s">
        <v>67</v>
      </c>
      <c r="X510" s="635">
        <v>0</v>
      </c>
      <c r="Y510" s="636">
        <f t="shared" si="72"/>
        <v>0</v>
      </c>
      <c r="Z510" s="36" t="str">
        <f>IFERROR(IF(Y510=0,"",ROUNDUP(Y510/H510,0)*0.01196),"")</f>
        <v/>
      </c>
      <c r="AA510" s="56"/>
      <c r="AB510" s="57"/>
      <c r="AC510" s="581" t="s">
        <v>808</v>
      </c>
      <c r="AG510" s="64"/>
      <c r="AJ510" s="68"/>
      <c r="AK510" s="68">
        <v>0</v>
      </c>
      <c r="BB510" s="582" t="s">
        <v>1</v>
      </c>
      <c r="BM510" s="64">
        <f t="shared" si="73"/>
        <v>0</v>
      </c>
      <c r="BN510" s="64">
        <f t="shared" si="74"/>
        <v>0</v>
      </c>
      <c r="BO510" s="64">
        <f t="shared" si="75"/>
        <v>0</v>
      </c>
      <c r="BP510" s="64">
        <f t="shared" si="76"/>
        <v>0</v>
      </c>
    </row>
    <row r="511" spans="1:68" ht="27" customHeight="1" x14ac:dyDescent="0.25">
      <c r="A511" s="54" t="s">
        <v>809</v>
      </c>
      <c r="B511" s="54" t="s">
        <v>810</v>
      </c>
      <c r="C511" s="31">
        <v>4301011369</v>
      </c>
      <c r="D511" s="642">
        <v>4680115885226</v>
      </c>
      <c r="E511" s="643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116</v>
      </c>
      <c r="L511" s="32"/>
      <c r="M511" s="33" t="s">
        <v>117</v>
      </c>
      <c r="N511" s="33"/>
      <c r="O511" s="32">
        <v>60</v>
      </c>
      <c r="P511" s="84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40"/>
      <c r="R511" s="640"/>
      <c r="S511" s="640"/>
      <c r="T511" s="641"/>
      <c r="U511" s="34"/>
      <c r="V511" s="34"/>
      <c r="W511" s="35" t="s">
        <v>67</v>
      </c>
      <c r="X511" s="635">
        <v>1421</v>
      </c>
      <c r="Y511" s="636">
        <f t="shared" si="72"/>
        <v>1425.6000000000001</v>
      </c>
      <c r="Z511" s="36">
        <f>IFERROR(IF(Y511=0,"",ROUNDUP(Y511/H511,0)*0.01196),"")</f>
        <v>3.2292000000000001</v>
      </c>
      <c r="AA511" s="56"/>
      <c r="AB511" s="57"/>
      <c r="AC511" s="583" t="s">
        <v>811</v>
      </c>
      <c r="AG511" s="64"/>
      <c r="AJ511" s="68"/>
      <c r="AK511" s="68">
        <v>0</v>
      </c>
      <c r="BB511" s="584" t="s">
        <v>1</v>
      </c>
      <c r="BM511" s="64">
        <f t="shared" si="73"/>
        <v>1515.1950757575755</v>
      </c>
      <c r="BN511" s="64">
        <f t="shared" si="74"/>
        <v>1520.1000000000001</v>
      </c>
      <c r="BO511" s="64">
        <f t="shared" si="75"/>
        <v>2.5877768065268065</v>
      </c>
      <c r="BP511" s="64">
        <f t="shared" si="76"/>
        <v>2.5961538461538463</v>
      </c>
    </row>
    <row r="512" spans="1:68" ht="27" customHeight="1" x14ac:dyDescent="0.25">
      <c r="A512" s="54" t="s">
        <v>812</v>
      </c>
      <c r="B512" s="54" t="s">
        <v>813</v>
      </c>
      <c r="C512" s="31">
        <v>4301011771</v>
      </c>
      <c r="D512" s="642">
        <v>4607091389104</v>
      </c>
      <c r="E512" s="643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116</v>
      </c>
      <c r="L512" s="32"/>
      <c r="M512" s="33" t="s">
        <v>117</v>
      </c>
      <c r="N512" s="33"/>
      <c r="O512" s="32">
        <v>60</v>
      </c>
      <c r="P512" s="87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5">
        <v>2015</v>
      </c>
      <c r="Y512" s="636">
        <f t="shared" si="72"/>
        <v>2016.96</v>
      </c>
      <c r="Z512" s="36">
        <f>IFERROR(IF(Y512=0,"",ROUNDUP(Y512/H512,0)*0.01196),"")</f>
        <v>4.5687199999999999</v>
      </c>
      <c r="AA512" s="56"/>
      <c r="AB512" s="57"/>
      <c r="AC512" s="585" t="s">
        <v>814</v>
      </c>
      <c r="AG512" s="64"/>
      <c r="AJ512" s="68"/>
      <c r="AK512" s="68">
        <v>0</v>
      </c>
      <c r="BB512" s="586" t="s">
        <v>1</v>
      </c>
      <c r="BM512" s="64">
        <f t="shared" si="73"/>
        <v>2148.5700757575755</v>
      </c>
      <c r="BN512" s="64">
        <f t="shared" si="74"/>
        <v>2150.66</v>
      </c>
      <c r="BO512" s="64">
        <f t="shared" si="75"/>
        <v>3.6695075757575761</v>
      </c>
      <c r="BP512" s="64">
        <f t="shared" si="76"/>
        <v>3.6730769230769234</v>
      </c>
    </row>
    <row r="513" spans="1:68" ht="27" hidden="1" customHeight="1" x14ac:dyDescent="0.25">
      <c r="A513" s="54" t="s">
        <v>815</v>
      </c>
      <c r="B513" s="54" t="s">
        <v>816</v>
      </c>
      <c r="C513" s="31">
        <v>4301012125</v>
      </c>
      <c r="D513" s="642">
        <v>4680115886391</v>
      </c>
      <c r="E513" s="643"/>
      <c r="F513" s="634">
        <v>0.4</v>
      </c>
      <c r="G513" s="32">
        <v>6</v>
      </c>
      <c r="H513" s="634">
        <v>2.4</v>
      </c>
      <c r="I513" s="634">
        <v>2.58</v>
      </c>
      <c r="J513" s="32">
        <v>182</v>
      </c>
      <c r="K513" s="32" t="s">
        <v>65</v>
      </c>
      <c r="L513" s="32"/>
      <c r="M513" s="33" t="s">
        <v>66</v>
      </c>
      <c r="N513" s="33"/>
      <c r="O513" s="32">
        <v>60</v>
      </c>
      <c r="P513" s="79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40"/>
      <c r="R513" s="640"/>
      <c r="S513" s="640"/>
      <c r="T513" s="641"/>
      <c r="U513" s="34"/>
      <c r="V513" s="34"/>
      <c r="W513" s="35" t="s">
        <v>67</v>
      </c>
      <c r="X513" s="635">
        <v>0</v>
      </c>
      <c r="Y513" s="636">
        <f t="shared" si="72"/>
        <v>0</v>
      </c>
      <c r="Z513" s="36" t="str">
        <f>IFERROR(IF(Y513=0,"",ROUNDUP(Y513/H513,0)*0.00651),"")</f>
        <v/>
      </c>
      <c r="AA513" s="56"/>
      <c r="AB513" s="57"/>
      <c r="AC513" s="587" t="s">
        <v>118</v>
      </c>
      <c r="AG513" s="64"/>
      <c r="AJ513" s="68"/>
      <c r="AK513" s="68">
        <v>0</v>
      </c>
      <c r="BB513" s="588" t="s">
        <v>1</v>
      </c>
      <c r="BM513" s="64">
        <f t="shared" si="73"/>
        <v>0</v>
      </c>
      <c r="BN513" s="64">
        <f t="shared" si="74"/>
        <v>0</v>
      </c>
      <c r="BO513" s="64">
        <f t="shared" si="75"/>
        <v>0</v>
      </c>
      <c r="BP513" s="64">
        <f t="shared" si="76"/>
        <v>0</v>
      </c>
    </row>
    <row r="514" spans="1:68" ht="27" customHeight="1" x14ac:dyDescent="0.25">
      <c r="A514" s="54" t="s">
        <v>817</v>
      </c>
      <c r="B514" s="54" t="s">
        <v>818</v>
      </c>
      <c r="C514" s="31">
        <v>4301012048</v>
      </c>
      <c r="D514" s="642">
        <v>4680115880603</v>
      </c>
      <c r="E514" s="643"/>
      <c r="F514" s="634">
        <v>0.6</v>
      </c>
      <c r="G514" s="32">
        <v>8</v>
      </c>
      <c r="H514" s="634">
        <v>4.8</v>
      </c>
      <c r="I514" s="634">
        <v>6.91</v>
      </c>
      <c r="J514" s="32">
        <v>132</v>
      </c>
      <c r="K514" s="32" t="s">
        <v>126</v>
      </c>
      <c r="L514" s="32"/>
      <c r="M514" s="33" t="s">
        <v>66</v>
      </c>
      <c r="N514" s="33"/>
      <c r="O514" s="32">
        <v>60</v>
      </c>
      <c r="P514" s="82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5">
        <v>299</v>
      </c>
      <c r="Y514" s="636">
        <f t="shared" si="72"/>
        <v>302.39999999999998</v>
      </c>
      <c r="Z514" s="36">
        <f>IFERROR(IF(Y514=0,"",ROUNDUP(Y514/H514,0)*0.00902),"")</f>
        <v>0.56825999999999999</v>
      </c>
      <c r="AA514" s="56"/>
      <c r="AB514" s="57"/>
      <c r="AC514" s="589" t="s">
        <v>118</v>
      </c>
      <c r="AG514" s="64"/>
      <c r="AJ514" s="68"/>
      <c r="AK514" s="68">
        <v>0</v>
      </c>
      <c r="BB514" s="590" t="s">
        <v>1</v>
      </c>
      <c r="BM514" s="64">
        <f t="shared" si="73"/>
        <v>430.4354166666667</v>
      </c>
      <c r="BN514" s="64">
        <f t="shared" si="74"/>
        <v>435.33</v>
      </c>
      <c r="BO514" s="64">
        <f t="shared" si="75"/>
        <v>0.47190656565656569</v>
      </c>
      <c r="BP514" s="64">
        <f t="shared" si="76"/>
        <v>0.47727272727272729</v>
      </c>
    </row>
    <row r="515" spans="1:68" ht="27" customHeight="1" x14ac:dyDescent="0.25">
      <c r="A515" s="54" t="s">
        <v>819</v>
      </c>
      <c r="B515" s="54" t="s">
        <v>820</v>
      </c>
      <c r="C515" s="31">
        <v>4301012034</v>
      </c>
      <c r="D515" s="642">
        <v>4607091389982</v>
      </c>
      <c r="E515" s="643"/>
      <c r="F515" s="634">
        <v>0.6</v>
      </c>
      <c r="G515" s="32">
        <v>8</v>
      </c>
      <c r="H515" s="634">
        <v>4.8</v>
      </c>
      <c r="I515" s="634">
        <v>6.91</v>
      </c>
      <c r="J515" s="32">
        <v>132</v>
      </c>
      <c r="K515" s="32" t="s">
        <v>126</v>
      </c>
      <c r="L515" s="32"/>
      <c r="M515" s="33" t="s">
        <v>117</v>
      </c>
      <c r="N515" s="33"/>
      <c r="O515" s="32">
        <v>60</v>
      </c>
      <c r="P515" s="9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40"/>
      <c r="R515" s="640"/>
      <c r="S515" s="640"/>
      <c r="T515" s="641"/>
      <c r="U515" s="34"/>
      <c r="V515" s="34"/>
      <c r="W515" s="35" t="s">
        <v>67</v>
      </c>
      <c r="X515" s="635">
        <v>108</v>
      </c>
      <c r="Y515" s="636">
        <f t="shared" si="72"/>
        <v>110.39999999999999</v>
      </c>
      <c r="Z515" s="36">
        <f>IFERROR(IF(Y515=0,"",ROUNDUP(Y515/H515,0)*0.00902),"")</f>
        <v>0.20746000000000001</v>
      </c>
      <c r="AA515" s="56"/>
      <c r="AB515" s="57"/>
      <c r="AC515" s="591" t="s">
        <v>814</v>
      </c>
      <c r="AG515" s="64"/>
      <c r="AJ515" s="68"/>
      <c r="AK515" s="68">
        <v>0</v>
      </c>
      <c r="BB515" s="592" t="s">
        <v>1</v>
      </c>
      <c r="BM515" s="64">
        <f t="shared" si="73"/>
        <v>155.47499999999999</v>
      </c>
      <c r="BN515" s="64">
        <f t="shared" si="74"/>
        <v>158.92999999999998</v>
      </c>
      <c r="BO515" s="64">
        <f t="shared" si="75"/>
        <v>0.17045454545454547</v>
      </c>
      <c r="BP515" s="64">
        <f t="shared" si="76"/>
        <v>0.17424242424242425</v>
      </c>
    </row>
    <row r="516" spans="1:68" x14ac:dyDescent="0.2">
      <c r="A516" s="647"/>
      <c r="B516" s="648"/>
      <c r="C516" s="648"/>
      <c r="D516" s="648"/>
      <c r="E516" s="648"/>
      <c r="F516" s="648"/>
      <c r="G516" s="648"/>
      <c r="H516" s="648"/>
      <c r="I516" s="648"/>
      <c r="J516" s="648"/>
      <c r="K516" s="648"/>
      <c r="L516" s="648"/>
      <c r="M516" s="648"/>
      <c r="N516" s="648"/>
      <c r="O516" s="649"/>
      <c r="P516" s="653" t="s">
        <v>81</v>
      </c>
      <c r="Q516" s="654"/>
      <c r="R516" s="654"/>
      <c r="S516" s="654"/>
      <c r="T516" s="654"/>
      <c r="U516" s="654"/>
      <c r="V516" s="655"/>
      <c r="W516" s="37" t="s">
        <v>82</v>
      </c>
      <c r="X516" s="637">
        <f>IFERROR(X508/H508,"0")+IFERROR(X509/H509,"0")+IFERROR(X510/H510,"0")+IFERROR(X511/H511,"0")+IFERROR(X512/H512,"0")+IFERROR(X513/H513,"0")+IFERROR(X514/H514,"0")+IFERROR(X515/H515,"0")</f>
        <v>757.14015151515139</v>
      </c>
      <c r="Y516" s="637">
        <f>IFERROR(Y508/H508,"0")+IFERROR(Y509/H509,"0")+IFERROR(Y510/H510,"0")+IFERROR(Y511/H511,"0")+IFERROR(Y512/H512,"0")+IFERROR(Y513/H513,"0")+IFERROR(Y514/H514,"0")+IFERROR(Y515/H515,"0")</f>
        <v>760</v>
      </c>
      <c r="Z516" s="637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8.8367599999999999</v>
      </c>
      <c r="AA516" s="638"/>
      <c r="AB516" s="638"/>
      <c r="AC516" s="638"/>
    </row>
    <row r="517" spans="1:68" x14ac:dyDescent="0.2">
      <c r="A517" s="648"/>
      <c r="B517" s="648"/>
      <c r="C517" s="648"/>
      <c r="D517" s="648"/>
      <c r="E517" s="648"/>
      <c r="F517" s="648"/>
      <c r="G517" s="648"/>
      <c r="H517" s="648"/>
      <c r="I517" s="648"/>
      <c r="J517" s="648"/>
      <c r="K517" s="648"/>
      <c r="L517" s="648"/>
      <c r="M517" s="648"/>
      <c r="N517" s="648"/>
      <c r="O517" s="649"/>
      <c r="P517" s="653" t="s">
        <v>81</v>
      </c>
      <c r="Q517" s="654"/>
      <c r="R517" s="654"/>
      <c r="S517" s="654"/>
      <c r="T517" s="654"/>
      <c r="U517" s="654"/>
      <c r="V517" s="655"/>
      <c r="W517" s="37" t="s">
        <v>67</v>
      </c>
      <c r="X517" s="637">
        <f>IFERROR(SUM(X508:X515),"0")</f>
        <v>3957</v>
      </c>
      <c r="Y517" s="637">
        <f>IFERROR(SUM(Y508:Y515),"0")</f>
        <v>3971.5200000000004</v>
      </c>
      <c r="Z517" s="37"/>
      <c r="AA517" s="638"/>
      <c r="AB517" s="638"/>
      <c r="AC517" s="638"/>
    </row>
    <row r="518" spans="1:68" ht="14.25" hidden="1" customHeight="1" x14ac:dyDescent="0.25">
      <c r="A518" s="658" t="s">
        <v>150</v>
      </c>
      <c r="B518" s="648"/>
      <c r="C518" s="648"/>
      <c r="D518" s="648"/>
      <c r="E518" s="648"/>
      <c r="F518" s="648"/>
      <c r="G518" s="648"/>
      <c r="H518" s="648"/>
      <c r="I518" s="648"/>
      <c r="J518" s="648"/>
      <c r="K518" s="648"/>
      <c r="L518" s="648"/>
      <c r="M518" s="648"/>
      <c r="N518" s="648"/>
      <c r="O518" s="648"/>
      <c r="P518" s="648"/>
      <c r="Q518" s="648"/>
      <c r="R518" s="648"/>
      <c r="S518" s="648"/>
      <c r="T518" s="648"/>
      <c r="U518" s="648"/>
      <c r="V518" s="648"/>
      <c r="W518" s="648"/>
      <c r="X518" s="648"/>
      <c r="Y518" s="648"/>
      <c r="Z518" s="648"/>
      <c r="AA518" s="631"/>
      <c r="AB518" s="631"/>
      <c r="AC518" s="631"/>
    </row>
    <row r="519" spans="1:68" ht="16.5" customHeight="1" x14ac:dyDescent="0.25">
      <c r="A519" s="54" t="s">
        <v>821</v>
      </c>
      <c r="B519" s="54" t="s">
        <v>822</v>
      </c>
      <c r="C519" s="31">
        <v>4301020334</v>
      </c>
      <c r="D519" s="642">
        <v>4607091388930</v>
      </c>
      <c r="E519" s="643"/>
      <c r="F519" s="634">
        <v>0.88</v>
      </c>
      <c r="G519" s="32">
        <v>6</v>
      </c>
      <c r="H519" s="634">
        <v>5.28</v>
      </c>
      <c r="I519" s="634">
        <v>5.63</v>
      </c>
      <c r="J519" s="32">
        <v>104</v>
      </c>
      <c r="K519" s="32" t="s">
        <v>116</v>
      </c>
      <c r="L519" s="32"/>
      <c r="M519" s="33" t="s">
        <v>66</v>
      </c>
      <c r="N519" s="33"/>
      <c r="O519" s="32">
        <v>70</v>
      </c>
      <c r="P519" s="80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40"/>
      <c r="R519" s="640"/>
      <c r="S519" s="640"/>
      <c r="T519" s="641"/>
      <c r="U519" s="34"/>
      <c r="V519" s="34"/>
      <c r="W519" s="35" t="s">
        <v>67</v>
      </c>
      <c r="X519" s="635">
        <v>637</v>
      </c>
      <c r="Y519" s="636">
        <f>IFERROR(IF(X519="",0,CEILING((X519/$H519),1)*$H519),"")</f>
        <v>638.88</v>
      </c>
      <c r="Z519" s="36">
        <f>IFERROR(IF(Y519=0,"",ROUNDUP(Y519/H519,0)*0.01196),"")</f>
        <v>1.44716</v>
      </c>
      <c r="AA519" s="56"/>
      <c r="AB519" s="57"/>
      <c r="AC519" s="593" t="s">
        <v>823</v>
      </c>
      <c r="AG519" s="64"/>
      <c r="AJ519" s="68"/>
      <c r="AK519" s="68">
        <v>0</v>
      </c>
      <c r="BB519" s="594" t="s">
        <v>1</v>
      </c>
      <c r="BM519" s="64">
        <f>IFERROR(X519*I519/H519,"0")</f>
        <v>679.22537878787875</v>
      </c>
      <c r="BN519" s="64">
        <f>IFERROR(Y519*I519/H519,"0")</f>
        <v>681.23</v>
      </c>
      <c r="BO519" s="64">
        <f>IFERROR(1/J519*(X519/H519),"0")</f>
        <v>1.1600378787878789</v>
      </c>
      <c r="BP519" s="64">
        <f>IFERROR(1/J519*(Y519/H519),"0")</f>
        <v>1.1634615384615385</v>
      </c>
    </row>
    <row r="520" spans="1:68" ht="16.5" hidden="1" customHeight="1" x14ac:dyDescent="0.25">
      <c r="A520" s="54" t="s">
        <v>824</v>
      </c>
      <c r="B520" s="54" t="s">
        <v>825</v>
      </c>
      <c r="C520" s="31">
        <v>4301020374</v>
      </c>
      <c r="D520" s="642">
        <v>4680115886407</v>
      </c>
      <c r="E520" s="643"/>
      <c r="F520" s="634">
        <v>0.4</v>
      </c>
      <c r="G520" s="32">
        <v>6</v>
      </c>
      <c r="H520" s="634">
        <v>2.4</v>
      </c>
      <c r="I520" s="634">
        <v>2.58</v>
      </c>
      <c r="J520" s="32">
        <v>182</v>
      </c>
      <c r="K520" s="32" t="s">
        <v>65</v>
      </c>
      <c r="L520" s="32"/>
      <c r="M520" s="33" t="s">
        <v>117</v>
      </c>
      <c r="N520" s="33"/>
      <c r="O520" s="32">
        <v>70</v>
      </c>
      <c r="P520" s="6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40"/>
      <c r="R520" s="640"/>
      <c r="S520" s="640"/>
      <c r="T520" s="641"/>
      <c r="U520" s="34"/>
      <c r="V520" s="34"/>
      <c r="W520" s="35" t="s">
        <v>67</v>
      </c>
      <c r="X520" s="635">
        <v>0</v>
      </c>
      <c r="Y520" s="636">
        <f>IFERROR(IF(X520="",0,CEILING((X520/$H520),1)*$H520),"")</f>
        <v>0</v>
      </c>
      <c r="Z520" s="36" t="str">
        <f>IFERROR(IF(Y520=0,"",ROUNDUP(Y520/H520,0)*0.00651),"")</f>
        <v/>
      </c>
      <c r="AA520" s="56"/>
      <c r="AB520" s="57"/>
      <c r="AC520" s="595" t="s">
        <v>823</v>
      </c>
      <c r="AG520" s="64"/>
      <c r="AJ520" s="68"/>
      <c r="AK520" s="68">
        <v>0</v>
      </c>
      <c r="BB520" s="596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16.5" hidden="1" customHeight="1" x14ac:dyDescent="0.25">
      <c r="A521" s="54" t="s">
        <v>826</v>
      </c>
      <c r="B521" s="54" t="s">
        <v>827</v>
      </c>
      <c r="C521" s="31">
        <v>4301020385</v>
      </c>
      <c r="D521" s="642">
        <v>4680115880054</v>
      </c>
      <c r="E521" s="643"/>
      <c r="F521" s="634">
        <v>0.6</v>
      </c>
      <c r="G521" s="32">
        <v>8</v>
      </c>
      <c r="H521" s="634">
        <v>4.8</v>
      </c>
      <c r="I521" s="634">
        <v>6.91</v>
      </c>
      <c r="J521" s="32">
        <v>132</v>
      </c>
      <c r="K521" s="32" t="s">
        <v>126</v>
      </c>
      <c r="L521" s="32"/>
      <c r="M521" s="33" t="s">
        <v>117</v>
      </c>
      <c r="N521" s="33"/>
      <c r="O521" s="32">
        <v>70</v>
      </c>
      <c r="P521" s="70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40"/>
      <c r="R521" s="640"/>
      <c r="S521" s="640"/>
      <c r="T521" s="641"/>
      <c r="U521" s="34"/>
      <c r="V521" s="34"/>
      <c r="W521" s="35" t="s">
        <v>67</v>
      </c>
      <c r="X521" s="635">
        <v>0</v>
      </c>
      <c r="Y521" s="636">
        <f>IFERROR(IF(X521="",0,CEILING((X521/$H521),1)*$H521),"")</f>
        <v>0</v>
      </c>
      <c r="Z521" s="36" t="str">
        <f>IFERROR(IF(Y521=0,"",ROUNDUP(Y521/H521,0)*0.00902),"")</f>
        <v/>
      </c>
      <c r="AA521" s="56"/>
      <c r="AB521" s="57"/>
      <c r="AC521" s="597" t="s">
        <v>823</v>
      </c>
      <c r="AG521" s="64"/>
      <c r="AJ521" s="68"/>
      <c r="AK521" s="68">
        <v>0</v>
      </c>
      <c r="BB521" s="598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x14ac:dyDescent="0.2">
      <c r="A522" s="647"/>
      <c r="B522" s="648"/>
      <c r="C522" s="648"/>
      <c r="D522" s="648"/>
      <c r="E522" s="648"/>
      <c r="F522" s="648"/>
      <c r="G522" s="648"/>
      <c r="H522" s="648"/>
      <c r="I522" s="648"/>
      <c r="J522" s="648"/>
      <c r="K522" s="648"/>
      <c r="L522" s="648"/>
      <c r="M522" s="648"/>
      <c r="N522" s="648"/>
      <c r="O522" s="649"/>
      <c r="P522" s="653" t="s">
        <v>81</v>
      </c>
      <c r="Q522" s="654"/>
      <c r="R522" s="654"/>
      <c r="S522" s="654"/>
      <c r="T522" s="654"/>
      <c r="U522" s="654"/>
      <c r="V522" s="655"/>
      <c r="W522" s="37" t="s">
        <v>82</v>
      </c>
      <c r="X522" s="637">
        <f>IFERROR(X519/H519,"0")+IFERROR(X520/H520,"0")+IFERROR(X521/H521,"0")</f>
        <v>120.64393939393939</v>
      </c>
      <c r="Y522" s="637">
        <f>IFERROR(Y519/H519,"0")+IFERROR(Y520/H520,"0")+IFERROR(Y521/H521,"0")</f>
        <v>121</v>
      </c>
      <c r="Z522" s="637">
        <f>IFERROR(IF(Z519="",0,Z519),"0")+IFERROR(IF(Z520="",0,Z520),"0")+IFERROR(IF(Z521="",0,Z521),"0")</f>
        <v>1.44716</v>
      </c>
      <c r="AA522" s="638"/>
      <c r="AB522" s="638"/>
      <c r="AC522" s="638"/>
    </row>
    <row r="523" spans="1:68" x14ac:dyDescent="0.2">
      <c r="A523" s="648"/>
      <c r="B523" s="648"/>
      <c r="C523" s="648"/>
      <c r="D523" s="648"/>
      <c r="E523" s="648"/>
      <c r="F523" s="648"/>
      <c r="G523" s="648"/>
      <c r="H523" s="648"/>
      <c r="I523" s="648"/>
      <c r="J523" s="648"/>
      <c r="K523" s="648"/>
      <c r="L523" s="648"/>
      <c r="M523" s="648"/>
      <c r="N523" s="648"/>
      <c r="O523" s="649"/>
      <c r="P523" s="653" t="s">
        <v>81</v>
      </c>
      <c r="Q523" s="654"/>
      <c r="R523" s="654"/>
      <c r="S523" s="654"/>
      <c r="T523" s="654"/>
      <c r="U523" s="654"/>
      <c r="V523" s="655"/>
      <c r="W523" s="37" t="s">
        <v>67</v>
      </c>
      <c r="X523" s="637">
        <f>IFERROR(SUM(X519:X521),"0")</f>
        <v>637</v>
      </c>
      <c r="Y523" s="637">
        <f>IFERROR(SUM(Y519:Y521),"0")</f>
        <v>638.88</v>
      </c>
      <c r="Z523" s="37"/>
      <c r="AA523" s="638"/>
      <c r="AB523" s="638"/>
      <c r="AC523" s="638"/>
    </row>
    <row r="524" spans="1:68" ht="14.25" hidden="1" customHeight="1" x14ac:dyDescent="0.25">
      <c r="A524" s="658" t="s">
        <v>245</v>
      </c>
      <c r="B524" s="648"/>
      <c r="C524" s="648"/>
      <c r="D524" s="648"/>
      <c r="E524" s="648"/>
      <c r="F524" s="648"/>
      <c r="G524" s="648"/>
      <c r="H524" s="648"/>
      <c r="I524" s="648"/>
      <c r="J524" s="648"/>
      <c r="K524" s="648"/>
      <c r="L524" s="648"/>
      <c r="M524" s="648"/>
      <c r="N524" s="648"/>
      <c r="O524" s="648"/>
      <c r="P524" s="648"/>
      <c r="Q524" s="648"/>
      <c r="R524" s="648"/>
      <c r="S524" s="648"/>
      <c r="T524" s="648"/>
      <c r="U524" s="648"/>
      <c r="V524" s="648"/>
      <c r="W524" s="648"/>
      <c r="X524" s="648"/>
      <c r="Y524" s="648"/>
      <c r="Z524" s="648"/>
      <c r="AA524" s="631"/>
      <c r="AB524" s="631"/>
      <c r="AC524" s="631"/>
    </row>
    <row r="525" spans="1:68" ht="27" customHeight="1" x14ac:dyDescent="0.25">
      <c r="A525" s="54" t="s">
        <v>828</v>
      </c>
      <c r="B525" s="54" t="s">
        <v>829</v>
      </c>
      <c r="C525" s="31">
        <v>4301031349</v>
      </c>
      <c r="D525" s="642">
        <v>4680115883116</v>
      </c>
      <c r="E525" s="643"/>
      <c r="F525" s="634">
        <v>0.88</v>
      </c>
      <c r="G525" s="32">
        <v>6</v>
      </c>
      <c r="H525" s="634">
        <v>5.28</v>
      </c>
      <c r="I525" s="634">
        <v>5.63</v>
      </c>
      <c r="J525" s="32">
        <v>104</v>
      </c>
      <c r="K525" s="32" t="s">
        <v>116</v>
      </c>
      <c r="L525" s="32"/>
      <c r="M525" s="33" t="s">
        <v>117</v>
      </c>
      <c r="N525" s="33"/>
      <c r="O525" s="32">
        <v>70</v>
      </c>
      <c r="P525" s="91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40"/>
      <c r="R525" s="640"/>
      <c r="S525" s="640"/>
      <c r="T525" s="641"/>
      <c r="U525" s="34"/>
      <c r="V525" s="34"/>
      <c r="W525" s="35" t="s">
        <v>67</v>
      </c>
      <c r="X525" s="635">
        <v>277</v>
      </c>
      <c r="Y525" s="636">
        <f t="shared" ref="Y525:Y531" si="77">IFERROR(IF(X525="",0,CEILING((X525/$H525),1)*$H525),"")</f>
        <v>279.84000000000003</v>
      </c>
      <c r="Z525" s="36">
        <f>IFERROR(IF(Y525=0,"",ROUNDUP(Y525/H525,0)*0.01196),"")</f>
        <v>0.63388</v>
      </c>
      <c r="AA525" s="56"/>
      <c r="AB525" s="57"/>
      <c r="AC525" s="599" t="s">
        <v>830</v>
      </c>
      <c r="AG525" s="64"/>
      <c r="AJ525" s="68"/>
      <c r="AK525" s="68">
        <v>0</v>
      </c>
      <c r="BB525" s="600" t="s">
        <v>1</v>
      </c>
      <c r="BM525" s="64">
        <f t="shared" ref="BM525:BM531" si="78">IFERROR(X525*I525/H525,"0")</f>
        <v>295.36174242424244</v>
      </c>
      <c r="BN525" s="64">
        <f t="shared" ref="BN525:BN531" si="79">IFERROR(Y525*I525/H525,"0")</f>
        <v>298.39000000000004</v>
      </c>
      <c r="BO525" s="64">
        <f t="shared" ref="BO525:BO531" si="80">IFERROR(1/J525*(X525/H525),"0")</f>
        <v>0.50444347319347316</v>
      </c>
      <c r="BP525" s="64">
        <f t="shared" ref="BP525:BP531" si="81">IFERROR(1/J525*(Y525/H525),"0")</f>
        <v>0.50961538461538469</v>
      </c>
    </row>
    <row r="526" spans="1:68" ht="27" customHeight="1" x14ac:dyDescent="0.25">
      <c r="A526" s="54" t="s">
        <v>831</v>
      </c>
      <c r="B526" s="54" t="s">
        <v>832</v>
      </c>
      <c r="C526" s="31">
        <v>4301031350</v>
      </c>
      <c r="D526" s="642">
        <v>4680115883093</v>
      </c>
      <c r="E526" s="643"/>
      <c r="F526" s="634">
        <v>0.88</v>
      </c>
      <c r="G526" s="32">
        <v>6</v>
      </c>
      <c r="H526" s="634">
        <v>5.28</v>
      </c>
      <c r="I526" s="634">
        <v>5.63</v>
      </c>
      <c r="J526" s="32">
        <v>104</v>
      </c>
      <c r="K526" s="32" t="s">
        <v>116</v>
      </c>
      <c r="L526" s="32"/>
      <c r="M526" s="33" t="s">
        <v>122</v>
      </c>
      <c r="N526" s="33"/>
      <c r="O526" s="32">
        <v>70</v>
      </c>
      <c r="P526" s="91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40"/>
      <c r="R526" s="640"/>
      <c r="S526" s="640"/>
      <c r="T526" s="641"/>
      <c r="U526" s="34"/>
      <c r="V526" s="34"/>
      <c r="W526" s="35" t="s">
        <v>67</v>
      </c>
      <c r="X526" s="635">
        <v>67</v>
      </c>
      <c r="Y526" s="636">
        <f t="shared" si="77"/>
        <v>68.64</v>
      </c>
      <c r="Z526" s="36">
        <f>IFERROR(IF(Y526=0,"",ROUNDUP(Y526/H526,0)*0.01196),"")</f>
        <v>0.15548000000000001</v>
      </c>
      <c r="AA526" s="56"/>
      <c r="AB526" s="57"/>
      <c r="AC526" s="601" t="s">
        <v>833</v>
      </c>
      <c r="AG526" s="64"/>
      <c r="AJ526" s="68"/>
      <c r="AK526" s="68">
        <v>0</v>
      </c>
      <c r="BB526" s="602" t="s">
        <v>1</v>
      </c>
      <c r="BM526" s="64">
        <f t="shared" si="78"/>
        <v>71.441287878787875</v>
      </c>
      <c r="BN526" s="64">
        <f t="shared" si="79"/>
        <v>73.19</v>
      </c>
      <c r="BO526" s="64">
        <f t="shared" si="80"/>
        <v>0.12201340326340326</v>
      </c>
      <c r="BP526" s="64">
        <f t="shared" si="81"/>
        <v>0.125</v>
      </c>
    </row>
    <row r="527" spans="1:68" ht="27" customHeight="1" x14ac:dyDescent="0.25">
      <c r="A527" s="54" t="s">
        <v>834</v>
      </c>
      <c r="B527" s="54" t="s">
        <v>835</v>
      </c>
      <c r="C527" s="31">
        <v>4301031353</v>
      </c>
      <c r="D527" s="642">
        <v>4680115883109</v>
      </c>
      <c r="E527" s="643"/>
      <c r="F527" s="634">
        <v>0.88</v>
      </c>
      <c r="G527" s="32">
        <v>6</v>
      </c>
      <c r="H527" s="634">
        <v>5.28</v>
      </c>
      <c r="I527" s="634">
        <v>5.63</v>
      </c>
      <c r="J527" s="32">
        <v>104</v>
      </c>
      <c r="K527" s="32" t="s">
        <v>116</v>
      </c>
      <c r="L527" s="32"/>
      <c r="M527" s="33" t="s">
        <v>122</v>
      </c>
      <c r="N527" s="33"/>
      <c r="O527" s="32">
        <v>70</v>
      </c>
      <c r="P527" s="71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5">
        <v>576</v>
      </c>
      <c r="Y527" s="636">
        <f t="shared" si="77"/>
        <v>580.80000000000007</v>
      </c>
      <c r="Z527" s="36">
        <f>IFERROR(IF(Y527=0,"",ROUNDUP(Y527/H527,0)*0.01196),"")</f>
        <v>1.3156000000000001</v>
      </c>
      <c r="AA527" s="56"/>
      <c r="AB527" s="57"/>
      <c r="AC527" s="603" t="s">
        <v>836</v>
      </c>
      <c r="AG527" s="64"/>
      <c r="AJ527" s="68"/>
      <c r="AK527" s="68">
        <v>0</v>
      </c>
      <c r="BB527" s="604" t="s">
        <v>1</v>
      </c>
      <c r="BM527" s="64">
        <f t="shared" si="78"/>
        <v>614.18181818181813</v>
      </c>
      <c r="BN527" s="64">
        <f t="shared" si="79"/>
        <v>619.30000000000007</v>
      </c>
      <c r="BO527" s="64">
        <f t="shared" si="80"/>
        <v>1.048951048951049</v>
      </c>
      <c r="BP527" s="64">
        <f t="shared" si="81"/>
        <v>1.0576923076923079</v>
      </c>
    </row>
    <row r="528" spans="1:68" ht="27" hidden="1" customHeight="1" x14ac:dyDescent="0.25">
      <c r="A528" s="54" t="s">
        <v>837</v>
      </c>
      <c r="B528" s="54" t="s">
        <v>838</v>
      </c>
      <c r="C528" s="31">
        <v>4301031419</v>
      </c>
      <c r="D528" s="642">
        <v>4680115882072</v>
      </c>
      <c r="E528" s="643"/>
      <c r="F528" s="634">
        <v>0.6</v>
      </c>
      <c r="G528" s="32">
        <v>8</v>
      </c>
      <c r="H528" s="634">
        <v>4.8</v>
      </c>
      <c r="I528" s="634">
        <v>6.91</v>
      </c>
      <c r="J528" s="32">
        <v>132</v>
      </c>
      <c r="K528" s="32" t="s">
        <v>126</v>
      </c>
      <c r="L528" s="32"/>
      <c r="M528" s="33" t="s">
        <v>117</v>
      </c>
      <c r="N528" s="33"/>
      <c r="O528" s="32">
        <v>70</v>
      </c>
      <c r="P528" s="9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5">
        <v>0</v>
      </c>
      <c r="Y528" s="636">
        <f t="shared" si="77"/>
        <v>0</v>
      </c>
      <c r="Z528" s="36" t="str">
        <f>IFERROR(IF(Y528=0,"",ROUNDUP(Y528/H528,0)*0.00902),"")</f>
        <v/>
      </c>
      <c r="AA528" s="56"/>
      <c r="AB528" s="57"/>
      <c r="AC528" s="605" t="s">
        <v>830</v>
      </c>
      <c r="AG528" s="64"/>
      <c r="AJ528" s="68"/>
      <c r="AK528" s="68">
        <v>0</v>
      </c>
      <c r="BB528" s="606" t="s">
        <v>1</v>
      </c>
      <c r="BM528" s="64">
        <f t="shared" si="78"/>
        <v>0</v>
      </c>
      <c r="BN528" s="64">
        <f t="shared" si="79"/>
        <v>0</v>
      </c>
      <c r="BO528" s="64">
        <f t="shared" si="80"/>
        <v>0</v>
      </c>
      <c r="BP528" s="64">
        <f t="shared" si="81"/>
        <v>0</v>
      </c>
    </row>
    <row r="529" spans="1:68" ht="27" hidden="1" customHeight="1" x14ac:dyDescent="0.25">
      <c r="A529" s="54" t="s">
        <v>839</v>
      </c>
      <c r="B529" s="54" t="s">
        <v>840</v>
      </c>
      <c r="C529" s="31">
        <v>4301031352</v>
      </c>
      <c r="D529" s="642">
        <v>4680115882102</v>
      </c>
      <c r="E529" s="643"/>
      <c r="F529" s="634">
        <v>0.6</v>
      </c>
      <c r="G529" s="32">
        <v>6</v>
      </c>
      <c r="H529" s="634">
        <v>3.6</v>
      </c>
      <c r="I529" s="634">
        <v>3.79</v>
      </c>
      <c r="J529" s="32">
        <v>132</v>
      </c>
      <c r="K529" s="32" t="s">
        <v>126</v>
      </c>
      <c r="L529" s="32"/>
      <c r="M529" s="33" t="s">
        <v>122</v>
      </c>
      <c r="N529" s="33"/>
      <c r="O529" s="32">
        <v>70</v>
      </c>
      <c r="P529" s="78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40"/>
      <c r="R529" s="640"/>
      <c r="S529" s="640"/>
      <c r="T529" s="641"/>
      <c r="U529" s="34"/>
      <c r="V529" s="34"/>
      <c r="W529" s="35" t="s">
        <v>67</v>
      </c>
      <c r="X529" s="635">
        <v>0</v>
      </c>
      <c r="Y529" s="636">
        <f t="shared" si="77"/>
        <v>0</v>
      </c>
      <c r="Z529" s="36" t="str">
        <f>IFERROR(IF(Y529=0,"",ROUNDUP(Y529/H529,0)*0.00902),"")</f>
        <v/>
      </c>
      <c r="AA529" s="56"/>
      <c r="AB529" s="57"/>
      <c r="AC529" s="607" t="s">
        <v>833</v>
      </c>
      <c r="AG529" s="64"/>
      <c r="AJ529" s="68"/>
      <c r="AK529" s="68">
        <v>0</v>
      </c>
      <c r="BB529" s="608" t="s">
        <v>1</v>
      </c>
      <c r="BM529" s="64">
        <f t="shared" si="78"/>
        <v>0</v>
      </c>
      <c r="BN529" s="64">
        <f t="shared" si="79"/>
        <v>0</v>
      </c>
      <c r="BO529" s="64">
        <f t="shared" si="80"/>
        <v>0</v>
      </c>
      <c r="BP529" s="64">
        <f t="shared" si="81"/>
        <v>0</v>
      </c>
    </row>
    <row r="530" spans="1:68" ht="27" hidden="1" customHeight="1" x14ac:dyDescent="0.25">
      <c r="A530" s="54" t="s">
        <v>839</v>
      </c>
      <c r="B530" s="54" t="s">
        <v>841</v>
      </c>
      <c r="C530" s="31">
        <v>4301031418</v>
      </c>
      <c r="D530" s="642">
        <v>4680115882102</v>
      </c>
      <c r="E530" s="643"/>
      <c r="F530" s="634">
        <v>0.6</v>
      </c>
      <c r="G530" s="32">
        <v>8</v>
      </c>
      <c r="H530" s="634">
        <v>4.8</v>
      </c>
      <c r="I530" s="634">
        <v>6.67</v>
      </c>
      <c r="J530" s="32">
        <v>132</v>
      </c>
      <c r="K530" s="32" t="s">
        <v>126</v>
      </c>
      <c r="L530" s="32"/>
      <c r="M530" s="33" t="s">
        <v>122</v>
      </c>
      <c r="N530" s="33"/>
      <c r="O530" s="32">
        <v>70</v>
      </c>
      <c r="P530" s="8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40"/>
      <c r="R530" s="640"/>
      <c r="S530" s="640"/>
      <c r="T530" s="641"/>
      <c r="U530" s="34"/>
      <c r="V530" s="34"/>
      <c r="W530" s="35" t="s">
        <v>67</v>
      </c>
      <c r="X530" s="635">
        <v>0</v>
      </c>
      <c r="Y530" s="636">
        <f t="shared" si="77"/>
        <v>0</v>
      </c>
      <c r="Z530" s="36" t="str">
        <f>IFERROR(IF(Y530=0,"",ROUNDUP(Y530/H530,0)*0.00902),"")</f>
        <v/>
      </c>
      <c r="AA530" s="56"/>
      <c r="AB530" s="57"/>
      <c r="AC530" s="609" t="s">
        <v>833</v>
      </c>
      <c r="AG530" s="64"/>
      <c r="AJ530" s="68"/>
      <c r="AK530" s="68">
        <v>0</v>
      </c>
      <c r="BB530" s="610" t="s">
        <v>1</v>
      </c>
      <c r="BM530" s="64">
        <f t="shared" si="78"/>
        <v>0</v>
      </c>
      <c r="BN530" s="64">
        <f t="shared" si="79"/>
        <v>0</v>
      </c>
      <c r="BO530" s="64">
        <f t="shared" si="80"/>
        <v>0</v>
      </c>
      <c r="BP530" s="64">
        <f t="shared" si="81"/>
        <v>0</v>
      </c>
    </row>
    <row r="531" spans="1:68" ht="27" hidden="1" customHeight="1" x14ac:dyDescent="0.25">
      <c r="A531" s="54" t="s">
        <v>842</v>
      </c>
      <c r="B531" s="54" t="s">
        <v>843</v>
      </c>
      <c r="C531" s="31">
        <v>4301031417</v>
      </c>
      <c r="D531" s="642">
        <v>4680115882096</v>
      </c>
      <c r="E531" s="643"/>
      <c r="F531" s="634">
        <v>0.6</v>
      </c>
      <c r="G531" s="32">
        <v>8</v>
      </c>
      <c r="H531" s="634">
        <v>4.8</v>
      </c>
      <c r="I531" s="634">
        <v>6.67</v>
      </c>
      <c r="J531" s="32">
        <v>132</v>
      </c>
      <c r="K531" s="32" t="s">
        <v>126</v>
      </c>
      <c r="L531" s="32"/>
      <c r="M531" s="33" t="s">
        <v>122</v>
      </c>
      <c r="N531" s="33"/>
      <c r="O531" s="32">
        <v>70</v>
      </c>
      <c r="P531" s="67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5">
        <v>0</v>
      </c>
      <c r="Y531" s="636">
        <f t="shared" si="77"/>
        <v>0</v>
      </c>
      <c r="Z531" s="36" t="str">
        <f>IFERROR(IF(Y531=0,"",ROUNDUP(Y531/H531,0)*0.00902),"")</f>
        <v/>
      </c>
      <c r="AA531" s="56"/>
      <c r="AB531" s="57"/>
      <c r="AC531" s="611" t="s">
        <v>836</v>
      </c>
      <c r="AG531" s="64"/>
      <c r="AJ531" s="68"/>
      <c r="AK531" s="68">
        <v>0</v>
      </c>
      <c r="BB531" s="612" t="s">
        <v>1</v>
      </c>
      <c r="BM531" s="64">
        <f t="shared" si="78"/>
        <v>0</v>
      </c>
      <c r="BN531" s="64">
        <f t="shared" si="79"/>
        <v>0</v>
      </c>
      <c r="BO531" s="64">
        <f t="shared" si="80"/>
        <v>0</v>
      </c>
      <c r="BP531" s="64">
        <f t="shared" si="81"/>
        <v>0</v>
      </c>
    </row>
    <row r="532" spans="1:68" x14ac:dyDescent="0.2">
      <c r="A532" s="647"/>
      <c r="B532" s="648"/>
      <c r="C532" s="648"/>
      <c r="D532" s="648"/>
      <c r="E532" s="648"/>
      <c r="F532" s="648"/>
      <c r="G532" s="648"/>
      <c r="H532" s="648"/>
      <c r="I532" s="648"/>
      <c r="J532" s="648"/>
      <c r="K532" s="648"/>
      <c r="L532" s="648"/>
      <c r="M532" s="648"/>
      <c r="N532" s="648"/>
      <c r="O532" s="649"/>
      <c r="P532" s="653" t="s">
        <v>81</v>
      </c>
      <c r="Q532" s="654"/>
      <c r="R532" s="654"/>
      <c r="S532" s="654"/>
      <c r="T532" s="654"/>
      <c r="U532" s="654"/>
      <c r="V532" s="655"/>
      <c r="W532" s="37" t="s">
        <v>82</v>
      </c>
      <c r="X532" s="637">
        <f>IFERROR(X525/H525,"0")+IFERROR(X526/H526,"0")+IFERROR(X527/H527,"0")+IFERROR(X528/H528,"0")+IFERROR(X529/H529,"0")+IFERROR(X530/H530,"0")+IFERROR(X531/H531,"0")</f>
        <v>174.24242424242425</v>
      </c>
      <c r="Y532" s="637">
        <f>IFERROR(Y525/H525,"0")+IFERROR(Y526/H526,"0")+IFERROR(Y527/H527,"0")+IFERROR(Y528/H528,"0")+IFERROR(Y529/H529,"0")+IFERROR(Y530/H530,"0")+IFERROR(Y531/H531,"0")</f>
        <v>176</v>
      </c>
      <c r="Z532" s="637">
        <f>IFERROR(IF(Z525="",0,Z525),"0")+IFERROR(IF(Z526="",0,Z526),"0")+IFERROR(IF(Z527="",0,Z527),"0")+IFERROR(IF(Z528="",0,Z528),"0")+IFERROR(IF(Z529="",0,Z529),"0")+IFERROR(IF(Z530="",0,Z530),"0")+IFERROR(IF(Z531="",0,Z531),"0")</f>
        <v>2.1049600000000002</v>
      </c>
      <c r="AA532" s="638"/>
      <c r="AB532" s="638"/>
      <c r="AC532" s="638"/>
    </row>
    <row r="533" spans="1:68" x14ac:dyDescent="0.2">
      <c r="A533" s="648"/>
      <c r="B533" s="648"/>
      <c r="C533" s="648"/>
      <c r="D533" s="648"/>
      <c r="E533" s="648"/>
      <c r="F533" s="648"/>
      <c r="G533" s="648"/>
      <c r="H533" s="648"/>
      <c r="I533" s="648"/>
      <c r="J533" s="648"/>
      <c r="K533" s="648"/>
      <c r="L533" s="648"/>
      <c r="M533" s="648"/>
      <c r="N533" s="648"/>
      <c r="O533" s="649"/>
      <c r="P533" s="653" t="s">
        <v>81</v>
      </c>
      <c r="Q533" s="654"/>
      <c r="R533" s="654"/>
      <c r="S533" s="654"/>
      <c r="T533" s="654"/>
      <c r="U533" s="654"/>
      <c r="V533" s="655"/>
      <c r="W533" s="37" t="s">
        <v>67</v>
      </c>
      <c r="X533" s="637">
        <f>IFERROR(SUM(X525:X531),"0")</f>
        <v>920</v>
      </c>
      <c r="Y533" s="637">
        <f>IFERROR(SUM(Y525:Y531),"0")</f>
        <v>929.28000000000009</v>
      </c>
      <c r="Z533" s="37"/>
      <c r="AA533" s="638"/>
      <c r="AB533" s="638"/>
      <c r="AC533" s="638"/>
    </row>
    <row r="534" spans="1:68" ht="27.75" hidden="1" customHeight="1" x14ac:dyDescent="0.2">
      <c r="A534" s="656" t="s">
        <v>844</v>
      </c>
      <c r="B534" s="657"/>
      <c r="C534" s="657"/>
      <c r="D534" s="657"/>
      <c r="E534" s="657"/>
      <c r="F534" s="657"/>
      <c r="G534" s="657"/>
      <c r="H534" s="657"/>
      <c r="I534" s="657"/>
      <c r="J534" s="657"/>
      <c r="K534" s="657"/>
      <c r="L534" s="657"/>
      <c r="M534" s="657"/>
      <c r="N534" s="657"/>
      <c r="O534" s="657"/>
      <c r="P534" s="657"/>
      <c r="Q534" s="657"/>
      <c r="R534" s="657"/>
      <c r="S534" s="657"/>
      <c r="T534" s="657"/>
      <c r="U534" s="657"/>
      <c r="V534" s="657"/>
      <c r="W534" s="657"/>
      <c r="X534" s="657"/>
      <c r="Y534" s="657"/>
      <c r="Z534" s="657"/>
      <c r="AA534" s="48"/>
      <c r="AB534" s="48"/>
      <c r="AC534" s="48"/>
    </row>
    <row r="535" spans="1:68" ht="16.5" hidden="1" customHeight="1" x14ac:dyDescent="0.25">
      <c r="A535" s="652" t="s">
        <v>844</v>
      </c>
      <c r="B535" s="648"/>
      <c r="C535" s="648"/>
      <c r="D535" s="648"/>
      <c r="E535" s="648"/>
      <c r="F535" s="648"/>
      <c r="G535" s="648"/>
      <c r="H535" s="648"/>
      <c r="I535" s="648"/>
      <c r="J535" s="648"/>
      <c r="K535" s="648"/>
      <c r="L535" s="648"/>
      <c r="M535" s="648"/>
      <c r="N535" s="648"/>
      <c r="O535" s="648"/>
      <c r="P535" s="648"/>
      <c r="Q535" s="648"/>
      <c r="R535" s="648"/>
      <c r="S535" s="648"/>
      <c r="T535" s="648"/>
      <c r="U535" s="648"/>
      <c r="V535" s="648"/>
      <c r="W535" s="648"/>
      <c r="X535" s="648"/>
      <c r="Y535" s="648"/>
      <c r="Z535" s="648"/>
      <c r="AA535" s="630"/>
      <c r="AB535" s="630"/>
      <c r="AC535" s="630"/>
    </row>
    <row r="536" spans="1:68" ht="14.25" hidden="1" customHeight="1" x14ac:dyDescent="0.25">
      <c r="A536" s="658" t="s">
        <v>113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31"/>
      <c r="AB536" s="631"/>
      <c r="AC536" s="631"/>
    </row>
    <row r="537" spans="1:68" ht="27" hidden="1" customHeight="1" x14ac:dyDescent="0.25">
      <c r="A537" s="54" t="s">
        <v>845</v>
      </c>
      <c r="B537" s="54" t="s">
        <v>846</v>
      </c>
      <c r="C537" s="31">
        <v>4301012386</v>
      </c>
      <c r="D537" s="642">
        <v>4680115889736</v>
      </c>
      <c r="E537" s="643"/>
      <c r="F537" s="634">
        <v>1.5</v>
      </c>
      <c r="G537" s="32">
        <v>8</v>
      </c>
      <c r="H537" s="634">
        <v>12</v>
      </c>
      <c r="I537" s="634">
        <v>12.41</v>
      </c>
      <c r="J537" s="32">
        <v>64</v>
      </c>
      <c r="K537" s="32" t="s">
        <v>116</v>
      </c>
      <c r="L537" s="32"/>
      <c r="M537" s="33" t="s">
        <v>117</v>
      </c>
      <c r="N537" s="33"/>
      <c r="O537" s="32">
        <v>50</v>
      </c>
      <c r="P537" s="735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40"/>
      <c r="R537" s="640"/>
      <c r="S537" s="640"/>
      <c r="T537" s="641"/>
      <c r="U537" s="34"/>
      <c r="V537" s="34"/>
      <c r="W537" s="35" t="s">
        <v>67</v>
      </c>
      <c r="X537" s="635">
        <v>0</v>
      </c>
      <c r="Y537" s="636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3" t="s">
        <v>847</v>
      </c>
      <c r="AG537" s="64"/>
      <c r="AJ537" s="68"/>
      <c r="AK537" s="68">
        <v>0</v>
      </c>
      <c r="BB537" s="61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47"/>
      <c r="B538" s="648"/>
      <c r="C538" s="648"/>
      <c r="D538" s="648"/>
      <c r="E538" s="648"/>
      <c r="F538" s="648"/>
      <c r="G538" s="648"/>
      <c r="H538" s="648"/>
      <c r="I538" s="648"/>
      <c r="J538" s="648"/>
      <c r="K538" s="648"/>
      <c r="L538" s="648"/>
      <c r="M538" s="648"/>
      <c r="N538" s="648"/>
      <c r="O538" s="649"/>
      <c r="P538" s="653" t="s">
        <v>81</v>
      </c>
      <c r="Q538" s="654"/>
      <c r="R538" s="654"/>
      <c r="S538" s="654"/>
      <c r="T538" s="654"/>
      <c r="U538" s="654"/>
      <c r="V538" s="655"/>
      <c r="W538" s="37" t="s">
        <v>82</v>
      </c>
      <c r="X538" s="637">
        <f>IFERROR(X537/H537,"0")</f>
        <v>0</v>
      </c>
      <c r="Y538" s="637">
        <f>IFERROR(Y537/H537,"0")</f>
        <v>0</v>
      </c>
      <c r="Z538" s="637">
        <f>IFERROR(IF(Z537="",0,Z537),"0")</f>
        <v>0</v>
      </c>
      <c r="AA538" s="638"/>
      <c r="AB538" s="638"/>
      <c r="AC538" s="638"/>
    </row>
    <row r="539" spans="1:68" hidden="1" x14ac:dyDescent="0.2">
      <c r="A539" s="648"/>
      <c r="B539" s="648"/>
      <c r="C539" s="648"/>
      <c r="D539" s="648"/>
      <c r="E539" s="648"/>
      <c r="F539" s="648"/>
      <c r="G539" s="648"/>
      <c r="H539" s="648"/>
      <c r="I539" s="648"/>
      <c r="J539" s="648"/>
      <c r="K539" s="648"/>
      <c r="L539" s="648"/>
      <c r="M539" s="648"/>
      <c r="N539" s="648"/>
      <c r="O539" s="649"/>
      <c r="P539" s="653" t="s">
        <v>81</v>
      </c>
      <c r="Q539" s="654"/>
      <c r="R539" s="654"/>
      <c r="S539" s="654"/>
      <c r="T539" s="654"/>
      <c r="U539" s="654"/>
      <c r="V539" s="655"/>
      <c r="W539" s="37" t="s">
        <v>67</v>
      </c>
      <c r="X539" s="637">
        <f>IFERROR(SUM(X537:X537),"0")</f>
        <v>0</v>
      </c>
      <c r="Y539" s="637">
        <f>IFERROR(SUM(Y537:Y537),"0")</f>
        <v>0</v>
      </c>
      <c r="Z539" s="37"/>
      <c r="AA539" s="638"/>
      <c r="AB539" s="638"/>
      <c r="AC539" s="638"/>
    </row>
    <row r="540" spans="1:68" ht="14.25" hidden="1" customHeight="1" x14ac:dyDescent="0.25">
      <c r="A540" s="658" t="s">
        <v>150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31"/>
      <c r="AB540" s="631"/>
      <c r="AC540" s="631"/>
    </row>
    <row r="541" spans="1:68" ht="27" hidden="1" customHeight="1" x14ac:dyDescent="0.25">
      <c r="A541" s="54" t="s">
        <v>848</v>
      </c>
      <c r="B541" s="54" t="s">
        <v>849</v>
      </c>
      <c r="C541" s="31">
        <v>4301020444</v>
      </c>
      <c r="D541" s="642">
        <v>4680115889781</v>
      </c>
      <c r="E541" s="643"/>
      <c r="F541" s="634">
        <v>1.5</v>
      </c>
      <c r="G541" s="32">
        <v>8</v>
      </c>
      <c r="H541" s="634">
        <v>12</v>
      </c>
      <c r="I541" s="634">
        <v>12.41</v>
      </c>
      <c r="J541" s="32">
        <v>64</v>
      </c>
      <c r="K541" s="32" t="s">
        <v>116</v>
      </c>
      <c r="L541" s="32"/>
      <c r="M541" s="33" t="s">
        <v>66</v>
      </c>
      <c r="N541" s="33"/>
      <c r="O541" s="32">
        <v>50</v>
      </c>
      <c r="P541" s="893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40"/>
      <c r="R541" s="640"/>
      <c r="S541" s="640"/>
      <c r="T541" s="641"/>
      <c r="U541" s="34"/>
      <c r="V541" s="34"/>
      <c r="W541" s="35" t="s">
        <v>67</v>
      </c>
      <c r="X541" s="635">
        <v>0</v>
      </c>
      <c r="Y541" s="636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5" t="s">
        <v>729</v>
      </c>
      <c r="AG541" s="64"/>
      <c r="AJ541" s="68"/>
      <c r="AK541" s="68">
        <v>0</v>
      </c>
      <c r="BB541" s="616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47"/>
      <c r="B542" s="648"/>
      <c r="C542" s="648"/>
      <c r="D542" s="648"/>
      <c r="E542" s="648"/>
      <c r="F542" s="648"/>
      <c r="G542" s="648"/>
      <c r="H542" s="648"/>
      <c r="I542" s="648"/>
      <c r="J542" s="648"/>
      <c r="K542" s="648"/>
      <c r="L542" s="648"/>
      <c r="M542" s="648"/>
      <c r="N542" s="648"/>
      <c r="O542" s="649"/>
      <c r="P542" s="653" t="s">
        <v>81</v>
      </c>
      <c r="Q542" s="654"/>
      <c r="R542" s="654"/>
      <c r="S542" s="654"/>
      <c r="T542" s="654"/>
      <c r="U542" s="654"/>
      <c r="V542" s="655"/>
      <c r="W542" s="37" t="s">
        <v>82</v>
      </c>
      <c r="X542" s="637">
        <f>IFERROR(X541/H541,"0")</f>
        <v>0</v>
      </c>
      <c r="Y542" s="637">
        <f>IFERROR(Y541/H541,"0")</f>
        <v>0</v>
      </c>
      <c r="Z542" s="637">
        <f>IFERROR(IF(Z541="",0,Z541),"0")</f>
        <v>0</v>
      </c>
      <c r="AA542" s="638"/>
      <c r="AB542" s="638"/>
      <c r="AC542" s="638"/>
    </row>
    <row r="543" spans="1:68" hidden="1" x14ac:dyDescent="0.2">
      <c r="A543" s="648"/>
      <c r="B543" s="648"/>
      <c r="C543" s="648"/>
      <c r="D543" s="648"/>
      <c r="E543" s="648"/>
      <c r="F543" s="648"/>
      <c r="G543" s="648"/>
      <c r="H543" s="648"/>
      <c r="I543" s="648"/>
      <c r="J543" s="648"/>
      <c r="K543" s="648"/>
      <c r="L543" s="648"/>
      <c r="M543" s="648"/>
      <c r="N543" s="648"/>
      <c r="O543" s="649"/>
      <c r="P543" s="653" t="s">
        <v>81</v>
      </c>
      <c r="Q543" s="654"/>
      <c r="R543" s="654"/>
      <c r="S543" s="654"/>
      <c r="T543" s="654"/>
      <c r="U543" s="654"/>
      <c r="V543" s="655"/>
      <c r="W543" s="37" t="s">
        <v>67</v>
      </c>
      <c r="X543" s="637">
        <f>IFERROR(SUM(X541:X541),"0")</f>
        <v>0</v>
      </c>
      <c r="Y543" s="637">
        <f>IFERROR(SUM(Y541:Y541),"0")</f>
        <v>0</v>
      </c>
      <c r="Z543" s="37"/>
      <c r="AA543" s="638"/>
      <c r="AB543" s="638"/>
      <c r="AC543" s="638"/>
    </row>
    <row r="544" spans="1:68" ht="14.25" hidden="1" customHeight="1" x14ac:dyDescent="0.25">
      <c r="A544" s="658" t="s">
        <v>245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31"/>
      <c r="AB544" s="631"/>
      <c r="AC544" s="631"/>
    </row>
    <row r="545" spans="1:68" ht="27" hidden="1" customHeight="1" x14ac:dyDescent="0.25">
      <c r="A545" s="54" t="s">
        <v>850</v>
      </c>
      <c r="B545" s="54" t="s">
        <v>851</v>
      </c>
      <c r="C545" s="31">
        <v>4301031523</v>
      </c>
      <c r="D545" s="642">
        <v>4680115889774</v>
      </c>
      <c r="E545" s="643"/>
      <c r="F545" s="634">
        <v>0.7</v>
      </c>
      <c r="G545" s="32">
        <v>6</v>
      </c>
      <c r="H545" s="634">
        <v>4.2</v>
      </c>
      <c r="I545" s="634">
        <v>4.45</v>
      </c>
      <c r="J545" s="32">
        <v>132</v>
      </c>
      <c r="K545" s="32" t="s">
        <v>126</v>
      </c>
      <c r="L545" s="32"/>
      <c r="M545" s="33" t="s">
        <v>122</v>
      </c>
      <c r="N545" s="33"/>
      <c r="O545" s="32">
        <v>40</v>
      </c>
      <c r="P545" s="83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40"/>
      <c r="R545" s="640"/>
      <c r="S545" s="640"/>
      <c r="T545" s="641"/>
      <c r="U545" s="34"/>
      <c r="V545" s="34"/>
      <c r="W545" s="35" t="s">
        <v>67</v>
      </c>
      <c r="X545" s="635">
        <v>0</v>
      </c>
      <c r="Y545" s="636">
        <f>IFERROR(IF(X545="",0,CEILING((X545/$H545),1)*$H545),"")</f>
        <v>0</v>
      </c>
      <c r="Z545" s="36" t="str">
        <f>IFERROR(IF(Y545=0,"",ROUNDUP(Y545/H545,0)*0.00902),"")</f>
        <v/>
      </c>
      <c r="AA545" s="56"/>
      <c r="AB545" s="57"/>
      <c r="AC545" s="617" t="s">
        <v>852</v>
      </c>
      <c r="AG545" s="64"/>
      <c r="AJ545" s="68"/>
      <c r="AK545" s="68">
        <v>0</v>
      </c>
      <c r="BB545" s="618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idden="1" x14ac:dyDescent="0.2">
      <c r="A546" s="647"/>
      <c r="B546" s="648"/>
      <c r="C546" s="648"/>
      <c r="D546" s="648"/>
      <c r="E546" s="648"/>
      <c r="F546" s="648"/>
      <c r="G546" s="648"/>
      <c r="H546" s="648"/>
      <c r="I546" s="648"/>
      <c r="J546" s="648"/>
      <c r="K546" s="648"/>
      <c r="L546" s="648"/>
      <c r="M546" s="648"/>
      <c r="N546" s="648"/>
      <c r="O546" s="649"/>
      <c r="P546" s="653" t="s">
        <v>81</v>
      </c>
      <c r="Q546" s="654"/>
      <c r="R546" s="654"/>
      <c r="S546" s="654"/>
      <c r="T546" s="654"/>
      <c r="U546" s="654"/>
      <c r="V546" s="655"/>
      <c r="W546" s="37" t="s">
        <v>82</v>
      </c>
      <c r="X546" s="637">
        <f>IFERROR(X545/H545,"0")</f>
        <v>0</v>
      </c>
      <c r="Y546" s="637">
        <f>IFERROR(Y545/H545,"0")</f>
        <v>0</v>
      </c>
      <c r="Z546" s="637">
        <f>IFERROR(IF(Z545="",0,Z545),"0")</f>
        <v>0</v>
      </c>
      <c r="AA546" s="638"/>
      <c r="AB546" s="638"/>
      <c r="AC546" s="638"/>
    </row>
    <row r="547" spans="1:68" hidden="1" x14ac:dyDescent="0.2">
      <c r="A547" s="648"/>
      <c r="B547" s="648"/>
      <c r="C547" s="648"/>
      <c r="D547" s="648"/>
      <c r="E547" s="648"/>
      <c r="F547" s="648"/>
      <c r="G547" s="648"/>
      <c r="H547" s="648"/>
      <c r="I547" s="648"/>
      <c r="J547" s="648"/>
      <c r="K547" s="648"/>
      <c r="L547" s="648"/>
      <c r="M547" s="648"/>
      <c r="N547" s="648"/>
      <c r="O547" s="649"/>
      <c r="P547" s="653" t="s">
        <v>81</v>
      </c>
      <c r="Q547" s="654"/>
      <c r="R547" s="654"/>
      <c r="S547" s="654"/>
      <c r="T547" s="654"/>
      <c r="U547" s="654"/>
      <c r="V547" s="655"/>
      <c r="W547" s="37" t="s">
        <v>67</v>
      </c>
      <c r="X547" s="637">
        <f>IFERROR(SUM(X545:X545),"0")</f>
        <v>0</v>
      </c>
      <c r="Y547" s="637">
        <f>IFERROR(SUM(Y545:Y545),"0")</f>
        <v>0</v>
      </c>
      <c r="Z547" s="37"/>
      <c r="AA547" s="638"/>
      <c r="AB547" s="638"/>
      <c r="AC547" s="638"/>
    </row>
    <row r="548" spans="1:68" ht="14.25" hidden="1" customHeight="1" x14ac:dyDescent="0.25">
      <c r="A548" s="658" t="s">
        <v>62</v>
      </c>
      <c r="B548" s="648"/>
      <c r="C548" s="648"/>
      <c r="D548" s="648"/>
      <c r="E548" s="648"/>
      <c r="F548" s="648"/>
      <c r="G548" s="648"/>
      <c r="H548" s="648"/>
      <c r="I548" s="648"/>
      <c r="J548" s="648"/>
      <c r="K548" s="648"/>
      <c r="L548" s="648"/>
      <c r="M548" s="648"/>
      <c r="N548" s="648"/>
      <c r="O548" s="648"/>
      <c r="P548" s="648"/>
      <c r="Q548" s="648"/>
      <c r="R548" s="648"/>
      <c r="S548" s="648"/>
      <c r="T548" s="648"/>
      <c r="U548" s="648"/>
      <c r="V548" s="648"/>
      <c r="W548" s="648"/>
      <c r="X548" s="648"/>
      <c r="Y548" s="648"/>
      <c r="Z548" s="648"/>
      <c r="AA548" s="631"/>
      <c r="AB548" s="631"/>
      <c r="AC548" s="631"/>
    </row>
    <row r="549" spans="1:68" ht="27" hidden="1" customHeight="1" x14ac:dyDescent="0.25">
      <c r="A549" s="54" t="s">
        <v>853</v>
      </c>
      <c r="B549" s="54" t="s">
        <v>854</v>
      </c>
      <c r="C549" s="31">
        <v>4301052282</v>
      </c>
      <c r="D549" s="642">
        <v>4680115889811</v>
      </c>
      <c r="E549" s="643"/>
      <c r="F549" s="634">
        <v>1.5</v>
      </c>
      <c r="G549" s="32">
        <v>6</v>
      </c>
      <c r="H549" s="634">
        <v>9</v>
      </c>
      <c r="I549" s="634">
        <v>9.4939999999999998</v>
      </c>
      <c r="J549" s="32">
        <v>64</v>
      </c>
      <c r="K549" s="32" t="s">
        <v>116</v>
      </c>
      <c r="L549" s="32"/>
      <c r="M549" s="33" t="s">
        <v>66</v>
      </c>
      <c r="N549" s="33"/>
      <c r="O549" s="32">
        <v>45</v>
      </c>
      <c r="P549" s="675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40"/>
      <c r="R549" s="640"/>
      <c r="S549" s="640"/>
      <c r="T549" s="641"/>
      <c r="U549" s="34"/>
      <c r="V549" s="34"/>
      <c r="W549" s="35" t="s">
        <v>67</v>
      </c>
      <c r="X549" s="635">
        <v>0</v>
      </c>
      <c r="Y549" s="636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855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47"/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9"/>
      <c r="P550" s="653" t="s">
        <v>81</v>
      </c>
      <c r="Q550" s="654"/>
      <c r="R550" s="654"/>
      <c r="S550" s="654"/>
      <c r="T550" s="654"/>
      <c r="U550" s="654"/>
      <c r="V550" s="655"/>
      <c r="W550" s="37" t="s">
        <v>82</v>
      </c>
      <c r="X550" s="637">
        <f>IFERROR(X549/H549,"0")</f>
        <v>0</v>
      </c>
      <c r="Y550" s="637">
        <f>IFERROR(Y549/H549,"0")</f>
        <v>0</v>
      </c>
      <c r="Z550" s="637">
        <f>IFERROR(IF(Z549="",0,Z549),"0")</f>
        <v>0</v>
      </c>
      <c r="AA550" s="638"/>
      <c r="AB550" s="638"/>
      <c r="AC550" s="638"/>
    </row>
    <row r="551" spans="1:68" hidden="1" x14ac:dyDescent="0.2">
      <c r="A551" s="648"/>
      <c r="B551" s="648"/>
      <c r="C551" s="648"/>
      <c r="D551" s="648"/>
      <c r="E551" s="648"/>
      <c r="F551" s="648"/>
      <c r="G551" s="648"/>
      <c r="H551" s="648"/>
      <c r="I551" s="648"/>
      <c r="J551" s="648"/>
      <c r="K551" s="648"/>
      <c r="L551" s="648"/>
      <c r="M551" s="648"/>
      <c r="N551" s="648"/>
      <c r="O551" s="649"/>
      <c r="P551" s="653" t="s">
        <v>81</v>
      </c>
      <c r="Q551" s="654"/>
      <c r="R551" s="654"/>
      <c r="S551" s="654"/>
      <c r="T551" s="654"/>
      <c r="U551" s="654"/>
      <c r="V551" s="655"/>
      <c r="W551" s="37" t="s">
        <v>67</v>
      </c>
      <c r="X551" s="637">
        <f>IFERROR(SUM(X549:X549),"0")</f>
        <v>0</v>
      </c>
      <c r="Y551" s="637">
        <f>IFERROR(SUM(Y549:Y549),"0")</f>
        <v>0</v>
      </c>
      <c r="Z551" s="37"/>
      <c r="AA551" s="638"/>
      <c r="AB551" s="638"/>
      <c r="AC551" s="638"/>
    </row>
    <row r="552" spans="1:68" ht="14.25" hidden="1" customHeight="1" x14ac:dyDescent="0.25">
      <c r="A552" s="658" t="s">
        <v>168</v>
      </c>
      <c r="B552" s="648"/>
      <c r="C552" s="648"/>
      <c r="D552" s="648"/>
      <c r="E552" s="648"/>
      <c r="F552" s="648"/>
      <c r="G552" s="648"/>
      <c r="H552" s="648"/>
      <c r="I552" s="648"/>
      <c r="J552" s="648"/>
      <c r="K552" s="648"/>
      <c r="L552" s="648"/>
      <c r="M552" s="648"/>
      <c r="N552" s="648"/>
      <c r="O552" s="648"/>
      <c r="P552" s="648"/>
      <c r="Q552" s="648"/>
      <c r="R552" s="648"/>
      <c r="S552" s="648"/>
      <c r="T552" s="648"/>
      <c r="U552" s="648"/>
      <c r="V552" s="648"/>
      <c r="W552" s="648"/>
      <c r="X552" s="648"/>
      <c r="Y552" s="648"/>
      <c r="Z552" s="648"/>
      <c r="AA552" s="631"/>
      <c r="AB552" s="631"/>
      <c r="AC552" s="631"/>
    </row>
    <row r="553" spans="1:68" ht="27" hidden="1" customHeight="1" x14ac:dyDescent="0.25">
      <c r="A553" s="54" t="s">
        <v>856</v>
      </c>
      <c r="B553" s="54" t="s">
        <v>857</v>
      </c>
      <c r="C553" s="31">
        <v>4301060543</v>
      </c>
      <c r="D553" s="642">
        <v>4680115889804</v>
      </c>
      <c r="E553" s="643"/>
      <c r="F553" s="634">
        <v>1.5</v>
      </c>
      <c r="G553" s="32">
        <v>6</v>
      </c>
      <c r="H553" s="634">
        <v>9</v>
      </c>
      <c r="I553" s="634">
        <v>9.41</v>
      </c>
      <c r="J553" s="32">
        <v>64</v>
      </c>
      <c r="K553" s="32" t="s">
        <v>116</v>
      </c>
      <c r="L553" s="32"/>
      <c r="M553" s="33" t="s">
        <v>66</v>
      </c>
      <c r="N553" s="33"/>
      <c r="O553" s="32">
        <v>40</v>
      </c>
      <c r="P553" s="726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40"/>
      <c r="R553" s="640"/>
      <c r="S553" s="640"/>
      <c r="T553" s="641"/>
      <c r="U553" s="34"/>
      <c r="V553" s="34"/>
      <c r="W553" s="35" t="s">
        <v>67</v>
      </c>
      <c r="X553" s="635">
        <v>0</v>
      </c>
      <c r="Y553" s="636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21" t="s">
        <v>858</v>
      </c>
      <c r="AG553" s="64"/>
      <c r="AJ553" s="68"/>
      <c r="AK553" s="68">
        <v>0</v>
      </c>
      <c r="BB553" s="622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t="27" hidden="1" customHeight="1" x14ac:dyDescent="0.25">
      <c r="A554" s="54" t="s">
        <v>859</v>
      </c>
      <c r="B554" s="54" t="s">
        <v>860</v>
      </c>
      <c r="C554" s="31">
        <v>4301060544</v>
      </c>
      <c r="D554" s="642">
        <v>4680115889828</v>
      </c>
      <c r="E554" s="643"/>
      <c r="F554" s="634">
        <v>1.5</v>
      </c>
      <c r="G554" s="32">
        <v>6</v>
      </c>
      <c r="H554" s="634">
        <v>9</v>
      </c>
      <c r="I554" s="634">
        <v>9.41</v>
      </c>
      <c r="J554" s="32">
        <v>64</v>
      </c>
      <c r="K554" s="32" t="s">
        <v>116</v>
      </c>
      <c r="L554" s="32"/>
      <c r="M554" s="33" t="s">
        <v>66</v>
      </c>
      <c r="N554" s="33"/>
      <c r="O554" s="32">
        <v>40</v>
      </c>
      <c r="P554" s="890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40"/>
      <c r="R554" s="640"/>
      <c r="S554" s="640"/>
      <c r="T554" s="641"/>
      <c r="U554" s="34"/>
      <c r="V554" s="34"/>
      <c r="W554" s="35" t="s">
        <v>67</v>
      </c>
      <c r="X554" s="635">
        <v>0</v>
      </c>
      <c r="Y554" s="636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3" t="s">
        <v>861</v>
      </c>
      <c r="AG554" s="64"/>
      <c r="AJ554" s="68"/>
      <c r="AK554" s="68">
        <v>0</v>
      </c>
      <c r="BB554" s="624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idden="1" x14ac:dyDescent="0.2">
      <c r="A555" s="647"/>
      <c r="B555" s="648"/>
      <c r="C555" s="648"/>
      <c r="D555" s="648"/>
      <c r="E555" s="648"/>
      <c r="F555" s="648"/>
      <c r="G555" s="648"/>
      <c r="H555" s="648"/>
      <c r="I555" s="648"/>
      <c r="J555" s="648"/>
      <c r="K555" s="648"/>
      <c r="L555" s="648"/>
      <c r="M555" s="648"/>
      <c r="N555" s="648"/>
      <c r="O555" s="649"/>
      <c r="P555" s="653" t="s">
        <v>81</v>
      </c>
      <c r="Q555" s="654"/>
      <c r="R555" s="654"/>
      <c r="S555" s="654"/>
      <c r="T555" s="654"/>
      <c r="U555" s="654"/>
      <c r="V555" s="655"/>
      <c r="W555" s="37" t="s">
        <v>82</v>
      </c>
      <c r="X555" s="637">
        <f>IFERROR(X553/H553,"0")+IFERROR(X554/H554,"0")</f>
        <v>0</v>
      </c>
      <c r="Y555" s="637">
        <f>IFERROR(Y553/H553,"0")+IFERROR(Y554/H554,"0")</f>
        <v>0</v>
      </c>
      <c r="Z555" s="637">
        <f>IFERROR(IF(Z553="",0,Z553),"0")+IFERROR(IF(Z554="",0,Z554),"0")</f>
        <v>0</v>
      </c>
      <c r="AA555" s="638"/>
      <c r="AB555" s="638"/>
      <c r="AC555" s="638"/>
    </row>
    <row r="556" spans="1:68" hidden="1" x14ac:dyDescent="0.2">
      <c r="A556" s="648"/>
      <c r="B556" s="648"/>
      <c r="C556" s="648"/>
      <c r="D556" s="648"/>
      <c r="E556" s="648"/>
      <c r="F556" s="648"/>
      <c r="G556" s="648"/>
      <c r="H556" s="648"/>
      <c r="I556" s="648"/>
      <c r="J556" s="648"/>
      <c r="K556" s="648"/>
      <c r="L556" s="648"/>
      <c r="M556" s="648"/>
      <c r="N556" s="648"/>
      <c r="O556" s="649"/>
      <c r="P556" s="653" t="s">
        <v>81</v>
      </c>
      <c r="Q556" s="654"/>
      <c r="R556" s="654"/>
      <c r="S556" s="654"/>
      <c r="T556" s="654"/>
      <c r="U556" s="654"/>
      <c r="V556" s="655"/>
      <c r="W556" s="37" t="s">
        <v>67</v>
      </c>
      <c r="X556" s="637">
        <f>IFERROR(SUM(X553:X554),"0")</f>
        <v>0</v>
      </c>
      <c r="Y556" s="637">
        <f>IFERROR(SUM(Y553:Y554),"0")</f>
        <v>0</v>
      </c>
      <c r="Z556" s="37"/>
      <c r="AA556" s="638"/>
      <c r="AB556" s="638"/>
      <c r="AC556" s="638"/>
    </row>
    <row r="557" spans="1:68" ht="16.5" hidden="1" customHeight="1" x14ac:dyDescent="0.25">
      <c r="A557" s="652" t="s">
        <v>862</v>
      </c>
      <c r="B557" s="648"/>
      <c r="C557" s="648"/>
      <c r="D557" s="648"/>
      <c r="E557" s="648"/>
      <c r="F557" s="648"/>
      <c r="G557" s="648"/>
      <c r="H557" s="648"/>
      <c r="I557" s="648"/>
      <c r="J557" s="648"/>
      <c r="K557" s="648"/>
      <c r="L557" s="648"/>
      <c r="M557" s="648"/>
      <c r="N557" s="648"/>
      <c r="O557" s="648"/>
      <c r="P557" s="648"/>
      <c r="Q557" s="648"/>
      <c r="R557" s="648"/>
      <c r="S557" s="648"/>
      <c r="T557" s="648"/>
      <c r="U557" s="648"/>
      <c r="V557" s="648"/>
      <c r="W557" s="648"/>
      <c r="X557" s="648"/>
      <c r="Y557" s="648"/>
      <c r="Z557" s="648"/>
      <c r="AA557" s="630"/>
      <c r="AB557" s="630"/>
      <c r="AC557" s="630"/>
    </row>
    <row r="558" spans="1:68" ht="14.25" hidden="1" customHeight="1" x14ac:dyDescent="0.25">
      <c r="A558" s="658" t="s">
        <v>150</v>
      </c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8"/>
      <c r="P558" s="648"/>
      <c r="Q558" s="648"/>
      <c r="R558" s="648"/>
      <c r="S558" s="648"/>
      <c r="T558" s="648"/>
      <c r="U558" s="648"/>
      <c r="V558" s="648"/>
      <c r="W558" s="648"/>
      <c r="X558" s="648"/>
      <c r="Y558" s="648"/>
      <c r="Z558" s="648"/>
      <c r="AA558" s="631"/>
      <c r="AB558" s="631"/>
      <c r="AC558" s="631"/>
    </row>
    <row r="559" spans="1:68" ht="27" hidden="1" customHeight="1" x14ac:dyDescent="0.25">
      <c r="A559" s="54" t="s">
        <v>863</v>
      </c>
      <c r="B559" s="54" t="s">
        <v>864</v>
      </c>
      <c r="C559" s="31">
        <v>4301020441</v>
      </c>
      <c r="D559" s="642">
        <v>4680115889798</v>
      </c>
      <c r="E559" s="643"/>
      <c r="F559" s="634">
        <v>1.5</v>
      </c>
      <c r="G559" s="32">
        <v>8</v>
      </c>
      <c r="H559" s="634">
        <v>12</v>
      </c>
      <c r="I559" s="634">
        <v>12.41</v>
      </c>
      <c r="J559" s="32">
        <v>64</v>
      </c>
      <c r="K559" s="32" t="s">
        <v>116</v>
      </c>
      <c r="L559" s="32"/>
      <c r="M559" s="33" t="s">
        <v>117</v>
      </c>
      <c r="N559" s="33"/>
      <c r="O559" s="32">
        <v>50</v>
      </c>
      <c r="P559" s="86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40"/>
      <c r="R559" s="640"/>
      <c r="S559" s="640"/>
      <c r="T559" s="641"/>
      <c r="U559" s="34"/>
      <c r="V559" s="34"/>
      <c r="W559" s="35" t="s">
        <v>67</v>
      </c>
      <c r="X559" s="635">
        <v>0</v>
      </c>
      <c r="Y559" s="636">
        <f>IFERROR(IF(X559="",0,CEILING((X559/$H559),1)*$H559),"")</f>
        <v>0</v>
      </c>
      <c r="Z559" s="36" t="str">
        <f>IFERROR(IF(Y559=0,"",ROUNDUP(Y559/H559,0)*0.01898),"")</f>
        <v/>
      </c>
      <c r="AA559" s="56"/>
      <c r="AB559" s="57"/>
      <c r="AC559" s="625" t="s">
        <v>865</v>
      </c>
      <c r="AG559" s="64"/>
      <c r="AJ559" s="68"/>
      <c r="AK559" s="68">
        <v>0</v>
      </c>
      <c r="BB559" s="626" t="s">
        <v>1</v>
      </c>
      <c r="BM559" s="64">
        <f>IFERROR(X559*I559/H559,"0")</f>
        <v>0</v>
      </c>
      <c r="BN559" s="64">
        <f>IFERROR(Y559*I559/H559,"0")</f>
        <v>0</v>
      </c>
      <c r="BO559" s="64">
        <f>IFERROR(1/J559*(X559/H559),"0")</f>
        <v>0</v>
      </c>
      <c r="BP559" s="64">
        <f>IFERROR(1/J559*(Y559/H559),"0")</f>
        <v>0</v>
      </c>
    </row>
    <row r="560" spans="1:68" hidden="1" x14ac:dyDescent="0.2">
      <c r="A560" s="647"/>
      <c r="B560" s="648"/>
      <c r="C560" s="648"/>
      <c r="D560" s="648"/>
      <c r="E560" s="648"/>
      <c r="F560" s="648"/>
      <c r="G560" s="648"/>
      <c r="H560" s="648"/>
      <c r="I560" s="648"/>
      <c r="J560" s="648"/>
      <c r="K560" s="648"/>
      <c r="L560" s="648"/>
      <c r="M560" s="648"/>
      <c r="N560" s="648"/>
      <c r="O560" s="649"/>
      <c r="P560" s="653" t="s">
        <v>81</v>
      </c>
      <c r="Q560" s="654"/>
      <c r="R560" s="654"/>
      <c r="S560" s="654"/>
      <c r="T560" s="654"/>
      <c r="U560" s="654"/>
      <c r="V560" s="655"/>
      <c r="W560" s="37" t="s">
        <v>82</v>
      </c>
      <c r="X560" s="637">
        <f>IFERROR(X559/H559,"0")</f>
        <v>0</v>
      </c>
      <c r="Y560" s="637">
        <f>IFERROR(Y559/H559,"0")</f>
        <v>0</v>
      </c>
      <c r="Z560" s="637">
        <f>IFERROR(IF(Z559="",0,Z559),"0")</f>
        <v>0</v>
      </c>
      <c r="AA560" s="638"/>
      <c r="AB560" s="638"/>
      <c r="AC560" s="638"/>
    </row>
    <row r="561" spans="1:32" hidden="1" x14ac:dyDescent="0.2">
      <c r="A561" s="648"/>
      <c r="B561" s="648"/>
      <c r="C561" s="648"/>
      <c r="D561" s="648"/>
      <c r="E561" s="648"/>
      <c r="F561" s="648"/>
      <c r="G561" s="648"/>
      <c r="H561" s="648"/>
      <c r="I561" s="648"/>
      <c r="J561" s="648"/>
      <c r="K561" s="648"/>
      <c r="L561" s="648"/>
      <c r="M561" s="648"/>
      <c r="N561" s="648"/>
      <c r="O561" s="649"/>
      <c r="P561" s="653" t="s">
        <v>81</v>
      </c>
      <c r="Q561" s="654"/>
      <c r="R561" s="654"/>
      <c r="S561" s="654"/>
      <c r="T561" s="654"/>
      <c r="U561" s="654"/>
      <c r="V561" s="655"/>
      <c r="W561" s="37" t="s">
        <v>67</v>
      </c>
      <c r="X561" s="637">
        <f>IFERROR(SUM(X559:X559),"0")</f>
        <v>0</v>
      </c>
      <c r="Y561" s="637">
        <f>IFERROR(SUM(Y559:Y559),"0")</f>
        <v>0</v>
      </c>
      <c r="Z561" s="37"/>
      <c r="AA561" s="638"/>
      <c r="AB561" s="638"/>
      <c r="AC561" s="638"/>
    </row>
    <row r="562" spans="1:32" ht="15" customHeight="1" x14ac:dyDescent="0.2">
      <c r="A562" s="854"/>
      <c r="B562" s="648"/>
      <c r="C562" s="648"/>
      <c r="D562" s="648"/>
      <c r="E562" s="648"/>
      <c r="F562" s="648"/>
      <c r="G562" s="648"/>
      <c r="H562" s="648"/>
      <c r="I562" s="648"/>
      <c r="J562" s="648"/>
      <c r="K562" s="648"/>
      <c r="L562" s="648"/>
      <c r="M562" s="648"/>
      <c r="N562" s="648"/>
      <c r="O562" s="812"/>
      <c r="P562" s="688" t="s">
        <v>866</v>
      </c>
      <c r="Q562" s="689"/>
      <c r="R562" s="689"/>
      <c r="S562" s="689"/>
      <c r="T562" s="689"/>
      <c r="U562" s="689"/>
      <c r="V562" s="690"/>
      <c r="W562" s="37" t="s">
        <v>67</v>
      </c>
      <c r="X562" s="637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16615</v>
      </c>
      <c r="Y562" s="637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16797.7</v>
      </c>
      <c r="Z562" s="37"/>
      <c r="AA562" s="638"/>
      <c r="AB562" s="638"/>
      <c r="AC562" s="638"/>
    </row>
    <row r="563" spans="1:32" x14ac:dyDescent="0.2">
      <c r="A563" s="648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648"/>
      <c r="O563" s="812"/>
      <c r="P563" s="688" t="s">
        <v>867</v>
      </c>
      <c r="Q563" s="689"/>
      <c r="R563" s="689"/>
      <c r="S563" s="689"/>
      <c r="T563" s="689"/>
      <c r="U563" s="689"/>
      <c r="V563" s="690"/>
      <c r="W563" s="37" t="s">
        <v>67</v>
      </c>
      <c r="X563" s="637">
        <f>IFERROR(SUM(BM22:BM559),"0")</f>
        <v>17740.971104981607</v>
      </c>
      <c r="Y563" s="637">
        <f>IFERROR(SUM(BN22:BN559),"0")</f>
        <v>17936.191000000003</v>
      </c>
      <c r="Z563" s="37"/>
      <c r="AA563" s="638"/>
      <c r="AB563" s="638"/>
      <c r="AC563" s="638"/>
    </row>
    <row r="564" spans="1:32" x14ac:dyDescent="0.2">
      <c r="A564" s="648"/>
      <c r="B564" s="648"/>
      <c r="C564" s="648"/>
      <c r="D564" s="648"/>
      <c r="E564" s="648"/>
      <c r="F564" s="648"/>
      <c r="G564" s="648"/>
      <c r="H564" s="648"/>
      <c r="I564" s="648"/>
      <c r="J564" s="648"/>
      <c r="K564" s="648"/>
      <c r="L564" s="648"/>
      <c r="M564" s="648"/>
      <c r="N564" s="648"/>
      <c r="O564" s="812"/>
      <c r="P564" s="688" t="s">
        <v>868</v>
      </c>
      <c r="Q564" s="689"/>
      <c r="R564" s="689"/>
      <c r="S564" s="689"/>
      <c r="T564" s="689"/>
      <c r="U564" s="689"/>
      <c r="V564" s="690"/>
      <c r="W564" s="37" t="s">
        <v>869</v>
      </c>
      <c r="X564" s="38">
        <f>ROUNDUP(SUM(BO22:BO559),0)</f>
        <v>30</v>
      </c>
      <c r="Y564" s="38">
        <f>ROUNDUP(SUM(BP22:BP559),0)</f>
        <v>30</v>
      </c>
      <c r="Z564" s="37"/>
      <c r="AA564" s="638"/>
      <c r="AB564" s="638"/>
      <c r="AC564" s="638"/>
    </row>
    <row r="565" spans="1:32" x14ac:dyDescent="0.2">
      <c r="A565" s="648"/>
      <c r="B565" s="648"/>
      <c r="C565" s="648"/>
      <c r="D565" s="648"/>
      <c r="E565" s="648"/>
      <c r="F565" s="648"/>
      <c r="G565" s="648"/>
      <c r="H565" s="648"/>
      <c r="I565" s="648"/>
      <c r="J565" s="648"/>
      <c r="K565" s="648"/>
      <c r="L565" s="648"/>
      <c r="M565" s="648"/>
      <c r="N565" s="648"/>
      <c r="O565" s="812"/>
      <c r="P565" s="688" t="s">
        <v>870</v>
      </c>
      <c r="Q565" s="689"/>
      <c r="R565" s="689"/>
      <c r="S565" s="689"/>
      <c r="T565" s="689"/>
      <c r="U565" s="689"/>
      <c r="V565" s="690"/>
      <c r="W565" s="37" t="s">
        <v>67</v>
      </c>
      <c r="X565" s="637">
        <f>GrossWeightTotal+PalletQtyTotal*25</f>
        <v>18490.971104981607</v>
      </c>
      <c r="Y565" s="637">
        <f>GrossWeightTotalR+PalletQtyTotalR*25</f>
        <v>18686.191000000003</v>
      </c>
      <c r="Z565" s="37"/>
      <c r="AA565" s="638"/>
      <c r="AB565" s="638"/>
      <c r="AC565" s="638"/>
    </row>
    <row r="566" spans="1:32" x14ac:dyDescent="0.2">
      <c r="A566" s="648"/>
      <c r="B566" s="648"/>
      <c r="C566" s="648"/>
      <c r="D566" s="648"/>
      <c r="E566" s="648"/>
      <c r="F566" s="648"/>
      <c r="G566" s="648"/>
      <c r="H566" s="648"/>
      <c r="I566" s="648"/>
      <c r="J566" s="648"/>
      <c r="K566" s="648"/>
      <c r="L566" s="648"/>
      <c r="M566" s="648"/>
      <c r="N566" s="648"/>
      <c r="O566" s="812"/>
      <c r="P566" s="688" t="s">
        <v>871</v>
      </c>
      <c r="Q566" s="689"/>
      <c r="R566" s="689"/>
      <c r="S566" s="689"/>
      <c r="T566" s="689"/>
      <c r="U566" s="689"/>
      <c r="V566" s="690"/>
      <c r="W566" s="37" t="s">
        <v>869</v>
      </c>
      <c r="X566" s="637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3007.2461851290282</v>
      </c>
      <c r="Y566" s="637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3043</v>
      </c>
      <c r="Z566" s="37"/>
      <c r="AA566" s="638"/>
      <c r="AB566" s="638"/>
      <c r="AC566" s="638"/>
    </row>
    <row r="567" spans="1:32" ht="14.25" hidden="1" customHeight="1" x14ac:dyDescent="0.2">
      <c r="A567" s="648"/>
      <c r="B567" s="648"/>
      <c r="C567" s="648"/>
      <c r="D567" s="648"/>
      <c r="E567" s="648"/>
      <c r="F567" s="648"/>
      <c r="G567" s="648"/>
      <c r="H567" s="648"/>
      <c r="I567" s="648"/>
      <c r="J567" s="648"/>
      <c r="K567" s="648"/>
      <c r="L567" s="648"/>
      <c r="M567" s="648"/>
      <c r="N567" s="648"/>
      <c r="O567" s="812"/>
      <c r="P567" s="688" t="s">
        <v>872</v>
      </c>
      <c r="Q567" s="689"/>
      <c r="R567" s="689"/>
      <c r="S567" s="689"/>
      <c r="T567" s="689"/>
      <c r="U567" s="689"/>
      <c r="V567" s="690"/>
      <c r="W567" s="39" t="s">
        <v>873</v>
      </c>
      <c r="X567" s="37"/>
      <c r="Y567" s="37"/>
      <c r="Z567" s="37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35.473729999999996</v>
      </c>
      <c r="AA567" s="638"/>
      <c r="AB567" s="638"/>
      <c r="AC567" s="638"/>
    </row>
    <row r="568" spans="1:32" ht="13.5" customHeight="1" thickBot="1" x14ac:dyDescent="0.25"/>
    <row r="569" spans="1:32" ht="27" customHeight="1" thickTop="1" thickBot="1" x14ac:dyDescent="0.25">
      <c r="A569" s="40" t="s">
        <v>874</v>
      </c>
      <c r="B569" s="632" t="s">
        <v>61</v>
      </c>
      <c r="C569" s="632" t="s">
        <v>94</v>
      </c>
      <c r="D569" s="668" t="s">
        <v>111</v>
      </c>
      <c r="E569" s="708"/>
      <c r="F569" s="708"/>
      <c r="G569" s="708"/>
      <c r="H569" s="708"/>
      <c r="I569" s="708"/>
      <c r="J569" s="709"/>
      <c r="K569" s="668" t="s">
        <v>329</v>
      </c>
      <c r="L569" s="708"/>
      <c r="M569" s="708"/>
      <c r="N569" s="708"/>
      <c r="O569" s="708"/>
      <c r="P569" s="708"/>
      <c r="Q569" s="708"/>
      <c r="R569" s="708"/>
      <c r="S569" s="708"/>
      <c r="T569" s="708"/>
      <c r="U569" s="708"/>
      <c r="V569" s="708"/>
      <c r="W569" s="709"/>
      <c r="X569" s="668" t="s">
        <v>701</v>
      </c>
      <c r="Y569" s="709"/>
      <c r="Z569" s="668" t="s">
        <v>767</v>
      </c>
      <c r="AA569" s="709"/>
      <c r="AB569" s="632" t="s">
        <v>800</v>
      </c>
      <c r="AC569" s="668" t="s">
        <v>844</v>
      </c>
      <c r="AD569" s="709"/>
      <c r="AF569" s="633"/>
    </row>
    <row r="570" spans="1:32" ht="14.25" customHeight="1" thickTop="1" x14ac:dyDescent="0.2">
      <c r="A570" s="880" t="s">
        <v>875</v>
      </c>
      <c r="B570" s="668" t="s">
        <v>61</v>
      </c>
      <c r="C570" s="668" t="s">
        <v>95</v>
      </c>
      <c r="D570" s="668" t="s">
        <v>112</v>
      </c>
      <c r="E570" s="668" t="s">
        <v>129</v>
      </c>
      <c r="F570" s="668" t="s">
        <v>176</v>
      </c>
      <c r="G570" s="668" t="s">
        <v>200</v>
      </c>
      <c r="H570" s="668" t="s">
        <v>239</v>
      </c>
      <c r="I570" s="668" t="s">
        <v>253</v>
      </c>
      <c r="J570" s="668" t="s">
        <v>111</v>
      </c>
      <c r="K570" s="668" t="s">
        <v>330</v>
      </c>
      <c r="L570" s="668" t="s">
        <v>351</v>
      </c>
      <c r="M570" s="668" t="s">
        <v>414</v>
      </c>
      <c r="N570" s="633"/>
      <c r="O570" s="668" t="s">
        <v>485</v>
      </c>
      <c r="P570" s="668" t="s">
        <v>520</v>
      </c>
      <c r="Q570" s="668" t="s">
        <v>545</v>
      </c>
      <c r="R570" s="668" t="s">
        <v>554</v>
      </c>
      <c r="S570" s="668" t="s">
        <v>576</v>
      </c>
      <c r="T570" s="668" t="s">
        <v>583</v>
      </c>
      <c r="U570" s="668" t="s">
        <v>592</v>
      </c>
      <c r="V570" s="668" t="s">
        <v>678</v>
      </c>
      <c r="W570" s="668" t="s">
        <v>691</v>
      </c>
      <c r="X570" s="668" t="s">
        <v>702</v>
      </c>
      <c r="Y570" s="668" t="s">
        <v>751</v>
      </c>
      <c r="Z570" s="668" t="s">
        <v>768</v>
      </c>
      <c r="AA570" s="668" t="s">
        <v>788</v>
      </c>
      <c r="AB570" s="668" t="s">
        <v>800</v>
      </c>
      <c r="AC570" s="668" t="s">
        <v>844</v>
      </c>
      <c r="AD570" s="668" t="s">
        <v>862</v>
      </c>
      <c r="AF570" s="633"/>
    </row>
    <row r="571" spans="1:32" ht="13.5" customHeight="1" thickBot="1" x14ac:dyDescent="0.25">
      <c r="A571" s="881"/>
      <c r="B571" s="669"/>
      <c r="C571" s="669"/>
      <c r="D571" s="669"/>
      <c r="E571" s="669"/>
      <c r="F571" s="669"/>
      <c r="G571" s="669"/>
      <c r="H571" s="669"/>
      <c r="I571" s="669"/>
      <c r="J571" s="669"/>
      <c r="K571" s="669"/>
      <c r="L571" s="669"/>
      <c r="M571" s="669"/>
      <c r="N571" s="633"/>
      <c r="O571" s="669"/>
      <c r="P571" s="669"/>
      <c r="Q571" s="669"/>
      <c r="R571" s="669"/>
      <c r="S571" s="669"/>
      <c r="T571" s="669"/>
      <c r="U571" s="669"/>
      <c r="V571" s="669"/>
      <c r="W571" s="669"/>
      <c r="X571" s="669"/>
      <c r="Y571" s="669"/>
      <c r="Z571" s="669"/>
      <c r="AA571" s="669"/>
      <c r="AB571" s="669"/>
      <c r="AC571" s="669"/>
      <c r="AD571" s="669"/>
      <c r="AF571" s="633"/>
    </row>
    <row r="572" spans="1:32" ht="18" customHeight="1" thickTop="1" thickBot="1" x14ac:dyDescent="0.25">
      <c r="A572" s="40" t="s">
        <v>876</v>
      </c>
      <c r="B572" s="46">
        <f>IFERROR(Y22*1,"0")+IFERROR(Y23*1,"0")+IFERROR(Y24*1,"0")+IFERROR(Y25*1,"0")+IFERROR(Y26*1,"0")+IFERROR(Y30*1,"0")+IFERROR(Y31*1,"0")</f>
        <v>3.6</v>
      </c>
      <c r="C572" s="46">
        <f>IFERROR(Y37*1,"0")+IFERROR(Y38*1,"0")+IFERROR(Y39*1,"0")+IFERROR(Y40*1,"0")+IFERROR(Y41*1,"0")</f>
        <v>0</v>
      </c>
      <c r="D572" s="46">
        <f>IFERROR(Y47*1,"0")+IFERROR(Y48*1,"0")+IFERROR(Y49*1,"0")+IFERROR(Y50*1,"0")</f>
        <v>696.1</v>
      </c>
      <c r="E572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575</v>
      </c>
      <c r="F572" s="46">
        <f>IFERROR(Y85*1,"0")+IFERROR(Y86*1,"0")+IFERROR(Y87*1,"0")+IFERROR(Y88*1,"0")+IFERROR(Y89*1,"0")+IFERROR(Y90*1,"0")+IFERROR(Y94*1,"0")+IFERROR(Y95*1,"0")+IFERROR(Y96*1,"0")+IFERROR(Y97*1,"0")</f>
        <v>1117.0999999999999</v>
      </c>
      <c r="G572" s="46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1310.04</v>
      </c>
      <c r="H572" s="46">
        <f>IFERROR(Y130*1,"0")+IFERROR(Y131*1,"0")+IFERROR(Y135*1,"0")+IFERROR(Y136*1,"0")+IFERROR(Y140*1,"0")+IFERROR(Y141*1,"0")</f>
        <v>30.8</v>
      </c>
      <c r="I572" s="46">
        <f>IFERROR(Y146*1,"0")+IFERROR(Y147*1,"0")+IFERROR(Y148*1,"0")+IFERROR(Y149*1,"0")+IFERROR(Y153*1,"0")</f>
        <v>0</v>
      </c>
      <c r="J572" s="46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376.65999999999997</v>
      </c>
      <c r="K572" s="46">
        <f>IFERROR(Y199*1,"0")+IFERROR(Y200*1,"0")+IFERROR(Y201*1,"0")+IFERROR(Y202*1,"0")+IFERROR(Y203*1,"0")+IFERROR(Y204*1,"0")+IFERROR(Y205*1,"0")</f>
        <v>0</v>
      </c>
      <c r="L572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209.72</v>
      </c>
      <c r="M572" s="46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941.99999999999989</v>
      </c>
      <c r="N572" s="633"/>
      <c r="O572" s="46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13.4</v>
      </c>
      <c r="P572" s="46">
        <f>IFERROR(Y318*1,"0")+IFERROR(Y319*1,"0")+IFERROR(Y320*1,"0")+IFERROR(Y321*1,"0")+IFERROR(Y322*1,"0")+IFERROR(Y323*1,"0")+IFERROR(Y324*1,"0")+IFERROR(Y325*1,"0")</f>
        <v>0</v>
      </c>
      <c r="Q572" s="46">
        <f>IFERROR(Y330*1,"0")+IFERROR(Y331*1,"0")+IFERROR(Y332*1,"0")</f>
        <v>187.2</v>
      </c>
      <c r="R572" s="46">
        <f>IFERROR(Y337*1,"0")+IFERROR(Y338*1,"0")+IFERROR(Y339*1,"0")+IFERROR(Y340*1,"0")+IFERROR(Y344*1,"0")+IFERROR(Y345*1,"0")+IFERROR(Y346*1,"0")</f>
        <v>0</v>
      </c>
      <c r="S572" s="46">
        <f>IFERROR(Y351*1,"0")+IFERROR(Y355*1,"0")</f>
        <v>0</v>
      </c>
      <c r="T572" s="46">
        <f>IFERROR(Y360*1,"0")+IFERROR(Y361*1,"0")+IFERROR(Y362*1,"0")</f>
        <v>117</v>
      </c>
      <c r="U572" s="46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716.2</v>
      </c>
      <c r="V572" s="46">
        <f>IFERROR(Y420*1,"0")+IFERROR(Y421*1,"0")+IFERROR(Y422*1,"0")+IFERROR(Y423*1,"0")</f>
        <v>0</v>
      </c>
      <c r="W572" s="46">
        <f>IFERROR(Y428*1,"0")+IFERROR(Y429*1,"0")+IFERROR(Y430*1,"0")</f>
        <v>29.400000000000002</v>
      </c>
      <c r="X572" s="46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3720</v>
      </c>
      <c r="Y572" s="46">
        <f>IFERROR(Y465*1,"0")+IFERROR(Y466*1,"0")+IFERROR(Y470*1,"0")+IFERROR(Y474*1,"0")+IFERROR(Y475*1,"0")+IFERROR(Y476*1,"0")</f>
        <v>1213.8</v>
      </c>
      <c r="Z572" s="46">
        <f>IFERROR(Y482*1,"0")+IFERROR(Y483*1,"0")+IFERROR(Y484*1,"0")+IFERROR(Y485*1,"0")+IFERROR(Y486*1,"0")+IFERROR(Y487*1,"0")+IFERROR(Y491*1,"0")</f>
        <v>0</v>
      </c>
      <c r="AA572" s="46">
        <f>IFERROR(Y496*1,"0")+IFERROR(Y500*1,"0")+IFERROR(Y501*1,"0")+IFERROR(Y502*1,"0")</f>
        <v>0</v>
      </c>
      <c r="AB572" s="46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5539.6800000000012</v>
      </c>
      <c r="AC572" s="46">
        <f>IFERROR(Y537*1,"0")+IFERROR(Y541*1,"0")+IFERROR(Y545*1,"0")+IFERROR(Y549*1,"0")+IFERROR(Y553*1,"0")+IFERROR(Y554*1,"0")</f>
        <v>0</v>
      </c>
      <c r="AD572" s="46">
        <f>IFERROR(Y559*1,"0")</f>
        <v>0</v>
      </c>
      <c r="AF572" s="633"/>
    </row>
  </sheetData>
  <sheetProtection algorithmName="SHA-512" hashValue="PyyO41XEx4lJOlWvXamcWRnGR7HlccsbP781gjqKH1yUsrVXIZyl7sDnLpUxSokmBnAMZVwNs/w7t/0+hhi0gQ==" saltValue="ogznITlFNjvQe2ldOocOkA==" spinCount="100000" sheet="1" objects="1" scenarios="1" sort="0" autoFilter="0" pivotTables="0"/>
  <autoFilter ref="A18:AF56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54,00"/>
        <filter val="1 205,00"/>
        <filter val="1 421,00"/>
        <filter val="1 667,00"/>
        <filter val="1,67"/>
        <filter val="10,00"/>
        <filter val="105,00"/>
        <filter val="107,00"/>
        <filter val="108,00"/>
        <filter val="11,00"/>
        <filter val="110,00"/>
        <filter val="114,00"/>
        <filter val="119,00"/>
        <filter val="120,00"/>
        <filter val="120,64"/>
        <filter val="129,00"/>
        <filter val="13,00"/>
        <filter val="13,33"/>
        <filter val="131,00"/>
        <filter val="133,00"/>
        <filter val="134,00"/>
        <filter val="14,00"/>
        <filter val="14,10"/>
        <filter val="144,00"/>
        <filter val="149,47"/>
        <filter val="15,00"/>
        <filter val="16 615,00"/>
        <filter val="165,06"/>
        <filter val="17 740,97"/>
        <filter val="17,00"/>
        <filter val="17,46"/>
        <filter val="174,24"/>
        <filter val="176,00"/>
        <filter val="18 490,97"/>
        <filter val="18,00"/>
        <filter val="181,00"/>
        <filter val="185,00"/>
        <filter val="186,00"/>
        <filter val="186,94"/>
        <filter val="19,00"/>
        <filter val="192,80"/>
        <filter val="2 015,00"/>
        <filter val="2 892,00"/>
        <filter val="2,00"/>
        <filter val="2,50"/>
        <filter val="2,78"/>
        <filter val="2,87"/>
        <filter val="20,00"/>
        <filter val="20,74"/>
        <filter val="21,00"/>
        <filter val="22,00"/>
        <filter val="22,78"/>
        <filter val="229,51"/>
        <filter val="26,00"/>
        <filter val="277,00"/>
        <filter val="28,00"/>
        <filter val="286,39"/>
        <filter val="288,00"/>
        <filter val="289,00"/>
        <filter val="29,00"/>
        <filter val="292,00"/>
        <filter val="299,00"/>
        <filter val="3 007,25"/>
        <filter val="3 957,00"/>
        <filter val="3,00"/>
        <filter val="3,17"/>
        <filter val="30"/>
        <filter val="31,00"/>
        <filter val="333,00"/>
        <filter val="35,00"/>
        <filter val="369,00"/>
        <filter val="37,95"/>
        <filter val="38,00"/>
        <filter val="4,00"/>
        <filter val="41,00"/>
        <filter val="415,00"/>
        <filter val="45,00"/>
        <filter val="461,00"/>
        <filter val="466,00"/>
        <filter val="492,00"/>
        <filter val="5,00"/>
        <filter val="51,00"/>
        <filter val="51,13"/>
        <filter val="52,00"/>
        <filter val="54,00"/>
        <filter val="552,00"/>
        <filter val="576,00"/>
        <filter val="59,06"/>
        <filter val="6,00"/>
        <filter val="6,25"/>
        <filter val="6,51"/>
        <filter val="60,61"/>
        <filter val="622,00"/>
        <filter val="637,00"/>
        <filter val="640,00"/>
        <filter val="67,00"/>
        <filter val="685,00"/>
        <filter val="69,00"/>
        <filter val="7,00"/>
        <filter val="71,42"/>
        <filter val="73,00"/>
        <filter val="74,41"/>
        <filter val="753,00"/>
        <filter val="757,14"/>
        <filter val="767,00"/>
        <filter val="77,08"/>
        <filter val="784,00"/>
        <filter val="79,74"/>
        <filter val="8,00"/>
        <filter val="8,33"/>
        <filter val="89,00"/>
        <filter val="890,00"/>
        <filter val="9,00"/>
        <filter val="90,16"/>
        <filter val="91,00"/>
        <filter val="920,00"/>
        <filter val="927,00"/>
      </filters>
    </filterColumn>
    <filterColumn colId="29" showButton="0"/>
    <filterColumn colId="30" showButton="0"/>
  </autoFilter>
  <mergeCells count="1005">
    <mergeCell ref="D344:E344"/>
    <mergeCell ref="D173:E173"/>
    <mergeCell ref="D17:E18"/>
    <mergeCell ref="P313:T313"/>
    <mergeCell ref="P373:T373"/>
    <mergeCell ref="P202:T202"/>
    <mergeCell ref="P58:T58"/>
    <mergeCell ref="D250:E250"/>
    <mergeCell ref="D50:E50"/>
    <mergeCell ref="A494:Z494"/>
    <mergeCell ref="X17:X18"/>
    <mergeCell ref="D286:E286"/>
    <mergeCell ref="A481:Z481"/>
    <mergeCell ref="AC569:AD569"/>
    <mergeCell ref="P397:V397"/>
    <mergeCell ref="D239:E239"/>
    <mergeCell ref="D266:E266"/>
    <mergeCell ref="D537:E537"/>
    <mergeCell ref="P174:T174"/>
    <mergeCell ref="P149:T149"/>
    <mergeCell ref="P447:T447"/>
    <mergeCell ref="D331:E331"/>
    <mergeCell ref="D95:E95"/>
    <mergeCell ref="D57:E57"/>
    <mergeCell ref="Y17:Y18"/>
    <mergeCell ref="U17:V17"/>
    <mergeCell ref="D355:E355"/>
    <mergeCell ref="A8:C8"/>
    <mergeCell ref="D293:E293"/>
    <mergeCell ref="P163:V163"/>
    <mergeCell ref="P360:T360"/>
    <mergeCell ref="A477:O478"/>
    <mergeCell ref="P138:V138"/>
    <mergeCell ref="D97:E97"/>
    <mergeCell ref="A137:O138"/>
    <mergeCell ref="D395:E395"/>
    <mergeCell ref="P449:T449"/>
    <mergeCell ref="P374:V374"/>
    <mergeCell ref="A268:O269"/>
    <mergeCell ref="A426:Z426"/>
    <mergeCell ref="A128:Z128"/>
    <mergeCell ref="D553:E553"/>
    <mergeCell ref="P76:V76"/>
    <mergeCell ref="A557:Z557"/>
    <mergeCell ref="A10:C10"/>
    <mergeCell ref="T570:T571"/>
    <mergeCell ref="P283:V283"/>
    <mergeCell ref="D483:E483"/>
    <mergeCell ref="A42:O43"/>
    <mergeCell ref="D271:E271"/>
    <mergeCell ref="V12:W12"/>
    <mergeCell ref="P319:T319"/>
    <mergeCell ref="D262:E262"/>
    <mergeCell ref="P122:V122"/>
    <mergeCell ref="A506:Z506"/>
    <mergeCell ref="P368:T368"/>
    <mergeCell ref="P43:V43"/>
    <mergeCell ref="P25:T25"/>
    <mergeCell ref="P85:T85"/>
    <mergeCell ref="P383:T383"/>
    <mergeCell ref="A142:O143"/>
    <mergeCell ref="P60:T60"/>
    <mergeCell ref="P161:T161"/>
    <mergeCell ref="P218:T218"/>
    <mergeCell ref="A192:Z192"/>
    <mergeCell ref="A21:Z21"/>
    <mergeCell ref="D184:E184"/>
    <mergeCell ref="A499:Z499"/>
    <mergeCell ref="P425:V425"/>
    <mergeCell ref="A129:Z129"/>
    <mergeCell ref="Q570:Q571"/>
    <mergeCell ref="D121:E121"/>
    <mergeCell ref="Z569:AA569"/>
    <mergeCell ref="P356:V356"/>
    <mergeCell ref="P338:T338"/>
    <mergeCell ref="D515:E515"/>
    <mergeCell ref="A479:Z479"/>
    <mergeCell ref="N17:N18"/>
    <mergeCell ref="P370:T370"/>
    <mergeCell ref="P199:T199"/>
    <mergeCell ref="D120:E120"/>
    <mergeCell ref="F17:F18"/>
    <mergeCell ref="P297:T297"/>
    <mergeCell ref="Q5:R5"/>
    <mergeCell ref="D278:E278"/>
    <mergeCell ref="D549:E549"/>
    <mergeCell ref="D107:E107"/>
    <mergeCell ref="P484:T484"/>
    <mergeCell ref="D234:E234"/>
    <mergeCell ref="P136:T136"/>
    <mergeCell ref="P263:T263"/>
    <mergeCell ref="D244:E244"/>
    <mergeCell ref="D171:E171"/>
    <mergeCell ref="P355:T355"/>
    <mergeCell ref="P293:T293"/>
    <mergeCell ref="D407:E407"/>
    <mergeCell ref="Q6:R6"/>
    <mergeCell ref="P200:T200"/>
    <mergeCell ref="P436:T436"/>
    <mergeCell ref="P292:T292"/>
    <mergeCell ref="D102:E102"/>
    <mergeCell ref="P81:V81"/>
    <mergeCell ref="P528:T528"/>
    <mergeCell ref="P450:V450"/>
    <mergeCell ref="D25:E25"/>
    <mergeCell ref="A126:O127"/>
    <mergeCell ref="A424:O425"/>
    <mergeCell ref="P294:T294"/>
    <mergeCell ref="A35:Z35"/>
    <mergeCell ref="AD17:AF18"/>
    <mergeCell ref="P167:V167"/>
    <mergeCell ref="P142:V142"/>
    <mergeCell ref="A399:Z399"/>
    <mergeCell ref="J570:J571"/>
    <mergeCell ref="F5:G5"/>
    <mergeCell ref="A352:O353"/>
    <mergeCell ref="P411:V411"/>
    <mergeCell ref="P467:V467"/>
    <mergeCell ref="A463:Z463"/>
    <mergeCell ref="D455:E455"/>
    <mergeCell ref="P509:T509"/>
    <mergeCell ref="D430:E430"/>
    <mergeCell ref="P67:T67"/>
    <mergeCell ref="D175:E175"/>
    <mergeCell ref="D221:E221"/>
    <mergeCell ref="V11:W11"/>
    <mergeCell ref="A497:O498"/>
    <mergeCell ref="P367:T367"/>
    <mergeCell ref="A326:O327"/>
    <mergeCell ref="P57:T57"/>
    <mergeCell ref="D165:E165"/>
    <mergeCell ref="D475:E475"/>
    <mergeCell ref="P486:T486"/>
    <mergeCell ref="P146:T146"/>
    <mergeCell ref="D323:E323"/>
    <mergeCell ref="D394:E394"/>
    <mergeCell ref="D279:E279"/>
    <mergeCell ref="D223:E223"/>
    <mergeCell ref="D521:E521"/>
    <mergeCell ref="A254:Z254"/>
    <mergeCell ref="P121:T121"/>
    <mergeCell ref="P2:W3"/>
    <mergeCell ref="P498:V498"/>
    <mergeCell ref="P298:T298"/>
    <mergeCell ref="D437:E437"/>
    <mergeCell ref="P369:T369"/>
    <mergeCell ref="D508:E508"/>
    <mergeCell ref="A542:O543"/>
    <mergeCell ref="D526:E526"/>
    <mergeCell ref="D10:E10"/>
    <mergeCell ref="P135:T135"/>
    <mergeCell ref="P362:T362"/>
    <mergeCell ref="F10:G10"/>
    <mergeCell ref="A181:O182"/>
    <mergeCell ref="A115:O116"/>
    <mergeCell ref="A550:O551"/>
    <mergeCell ref="P420:T420"/>
    <mergeCell ref="D528:E528"/>
    <mergeCell ref="P363:V363"/>
    <mergeCell ref="D310:E310"/>
    <mergeCell ref="A245:O246"/>
    <mergeCell ref="D23:E23"/>
    <mergeCell ref="P515:T515"/>
    <mergeCell ref="P344:T344"/>
    <mergeCell ref="D265:E265"/>
    <mergeCell ref="P300:V300"/>
    <mergeCell ref="D216:E216"/>
    <mergeCell ref="P493:V493"/>
    <mergeCell ref="P431:V431"/>
    <mergeCell ref="A194:O195"/>
    <mergeCell ref="P195:V195"/>
    <mergeCell ref="A20:Z20"/>
    <mergeCell ref="P421:T421"/>
    <mergeCell ref="M17:M18"/>
    <mergeCell ref="A469:Z469"/>
    <mergeCell ref="O17:O18"/>
    <mergeCell ref="P187:V187"/>
    <mergeCell ref="P258:V258"/>
    <mergeCell ref="P556:V556"/>
    <mergeCell ref="A248:Z248"/>
    <mergeCell ref="P430:T430"/>
    <mergeCell ref="P52:V52"/>
    <mergeCell ref="P410:V410"/>
    <mergeCell ref="P102:T102"/>
    <mergeCell ref="D531:E531"/>
    <mergeCell ref="A247:Z247"/>
    <mergeCell ref="P456:V456"/>
    <mergeCell ref="D177:E177"/>
    <mergeCell ref="D226:E226"/>
    <mergeCell ref="P523:V523"/>
    <mergeCell ref="P352:V352"/>
    <mergeCell ref="P62:T62"/>
    <mergeCell ref="P408:T408"/>
    <mergeCell ref="D218:E218"/>
    <mergeCell ref="P137:V137"/>
    <mergeCell ref="P289:V289"/>
    <mergeCell ref="A534:Z534"/>
    <mergeCell ref="A412:Z412"/>
    <mergeCell ref="P432:V432"/>
    <mergeCell ref="P439:T439"/>
    <mergeCell ref="D249:E249"/>
    <mergeCell ref="P262:T262"/>
    <mergeCell ref="D276:E276"/>
    <mergeCell ref="P353:V353"/>
    <mergeCell ref="A349:Z349"/>
    <mergeCell ref="D149:E149"/>
    <mergeCell ref="P295:T295"/>
    <mergeCell ref="P178:T178"/>
    <mergeCell ref="P276:T276"/>
    <mergeCell ref="P105:T105"/>
    <mergeCell ref="P214:T214"/>
    <mergeCell ref="D86:E86"/>
    <mergeCell ref="D449:E449"/>
    <mergeCell ref="P49:T49"/>
    <mergeCell ref="P284:V284"/>
    <mergeCell ref="H570:H571"/>
    <mergeCell ref="D321:E321"/>
    <mergeCell ref="P278:T278"/>
    <mergeCell ref="P107:T107"/>
    <mergeCell ref="P63:V63"/>
    <mergeCell ref="P465:T465"/>
    <mergeCell ref="D215:E215"/>
    <mergeCell ref="P194:V194"/>
    <mergeCell ref="D513:E513"/>
    <mergeCell ref="P492:V492"/>
    <mergeCell ref="A317:Z317"/>
    <mergeCell ref="P415:T415"/>
    <mergeCell ref="I570:I571"/>
    <mergeCell ref="R570:R571"/>
    <mergeCell ref="D105:E105"/>
    <mergeCell ref="D170:E170"/>
    <mergeCell ref="A536:Z536"/>
    <mergeCell ref="P303:V303"/>
    <mergeCell ref="P132:V132"/>
    <mergeCell ref="D49:E49"/>
    <mergeCell ref="P510:T510"/>
    <mergeCell ref="P308:V308"/>
    <mergeCell ref="K570:K571"/>
    <mergeCell ref="A397:O398"/>
    <mergeCell ref="D525:E525"/>
    <mergeCell ref="P321:T321"/>
    <mergeCell ref="P125:T125"/>
    <mergeCell ref="A9:C9"/>
    <mergeCell ref="D373:E373"/>
    <mergeCell ref="D202:E202"/>
    <mergeCell ref="D58:E58"/>
    <mergeCell ref="D500:E500"/>
    <mergeCell ref="P112:T112"/>
    <mergeCell ref="A307:O308"/>
    <mergeCell ref="D294:E294"/>
    <mergeCell ref="P323:T323"/>
    <mergeCell ref="AC570:AC571"/>
    <mergeCell ref="D231:E231"/>
    <mergeCell ref="D529:E529"/>
    <mergeCell ref="P70:V70"/>
    <mergeCell ref="D408:E408"/>
    <mergeCell ref="A156:Z156"/>
    <mergeCell ref="P116:V116"/>
    <mergeCell ref="P32:V32"/>
    <mergeCell ref="Q13:R13"/>
    <mergeCell ref="P268:V268"/>
    <mergeCell ref="A93:Z93"/>
    <mergeCell ref="D318:E318"/>
    <mergeCell ref="P201:T201"/>
    <mergeCell ref="D389:E389"/>
    <mergeCell ref="A518:Z518"/>
    <mergeCell ref="P176:T176"/>
    <mergeCell ref="P114:T114"/>
    <mergeCell ref="P41:T41"/>
    <mergeCell ref="D541:E541"/>
    <mergeCell ref="D370:E370"/>
    <mergeCell ref="P405:V405"/>
    <mergeCell ref="D222:E222"/>
    <mergeCell ref="G17:G18"/>
    <mergeCell ref="A81:O82"/>
    <mergeCell ref="P526:T526"/>
    <mergeCell ref="A450:O451"/>
    <mergeCell ref="U570:U571"/>
    <mergeCell ref="P242:V242"/>
    <mergeCell ref="D159:E159"/>
    <mergeCell ref="W570:W571"/>
    <mergeCell ref="D80:E80"/>
    <mergeCell ref="P357:V357"/>
    <mergeCell ref="P42:V42"/>
    <mergeCell ref="A505:Z505"/>
    <mergeCell ref="A169:Z169"/>
    <mergeCell ref="P471:V471"/>
    <mergeCell ref="D459:E459"/>
    <mergeCell ref="P123:V123"/>
    <mergeCell ref="P59:T59"/>
    <mergeCell ref="P130:T130"/>
    <mergeCell ref="D136:E136"/>
    <mergeCell ref="A507:Z507"/>
    <mergeCell ref="A241:O242"/>
    <mergeCell ref="P282:T282"/>
    <mergeCell ref="D225:E225"/>
    <mergeCell ref="P409:T409"/>
    <mergeCell ref="P61:T61"/>
    <mergeCell ref="D200:E200"/>
    <mergeCell ref="A51:O52"/>
    <mergeCell ref="D436:E436"/>
    <mergeCell ref="P563:V563"/>
    <mergeCell ref="P550:V550"/>
    <mergeCell ref="D367:E367"/>
    <mergeCell ref="H5:M5"/>
    <mergeCell ref="P522:V522"/>
    <mergeCell ref="D439:E439"/>
    <mergeCell ref="B570:B571"/>
    <mergeCell ref="P565:V565"/>
    <mergeCell ref="D510:E510"/>
    <mergeCell ref="P396:T396"/>
    <mergeCell ref="A285:Z285"/>
    <mergeCell ref="P225:T225"/>
    <mergeCell ref="D146:E146"/>
    <mergeCell ref="A75:O76"/>
    <mergeCell ref="P175:T175"/>
    <mergeCell ref="D6:M6"/>
    <mergeCell ref="P460:T460"/>
    <mergeCell ref="D441:E441"/>
    <mergeCell ref="A384:O385"/>
    <mergeCell ref="D512:E512"/>
    <mergeCell ref="P525:T525"/>
    <mergeCell ref="D368:E368"/>
    <mergeCell ref="D319:E319"/>
    <mergeCell ref="P106:T106"/>
    <mergeCell ref="P177:T177"/>
    <mergeCell ref="P475:T475"/>
    <mergeCell ref="P226:T226"/>
    <mergeCell ref="P539:V539"/>
    <mergeCell ref="D256:E256"/>
    <mergeCell ref="A150:O151"/>
    <mergeCell ref="D85:E85"/>
    <mergeCell ref="D383:E383"/>
    <mergeCell ref="A570:A571"/>
    <mergeCell ref="D420:E420"/>
    <mergeCell ref="D153:E153"/>
    <mergeCell ref="C570:C571"/>
    <mergeCell ref="P530:T530"/>
    <mergeCell ref="P318:T318"/>
    <mergeCell ref="P256:T256"/>
    <mergeCell ref="V6:W9"/>
    <mergeCell ref="D199:E199"/>
    <mergeCell ref="P554:T554"/>
    <mergeCell ref="P38:T38"/>
    <mergeCell ref="A299:O300"/>
    <mergeCell ref="A404:O405"/>
    <mergeCell ref="P274:T274"/>
    <mergeCell ref="P541:T541"/>
    <mergeCell ref="D413:E413"/>
    <mergeCell ref="D484:E484"/>
    <mergeCell ref="P345:T345"/>
    <mergeCell ref="A391:O392"/>
    <mergeCell ref="D217:E217"/>
    <mergeCell ref="P222:T222"/>
    <mergeCell ref="P193:T193"/>
    <mergeCell ref="P22:T22"/>
    <mergeCell ref="P320:T320"/>
    <mergeCell ref="D428:E428"/>
    <mergeCell ref="P40:T40"/>
    <mergeCell ref="P236:V236"/>
    <mergeCell ref="P92:V92"/>
    <mergeCell ref="D415:E415"/>
    <mergeCell ref="A359:Z359"/>
    <mergeCell ref="P334:V334"/>
    <mergeCell ref="P80:T80"/>
    <mergeCell ref="P468:V468"/>
    <mergeCell ref="A464:Z464"/>
    <mergeCell ref="D39:E39"/>
    <mergeCell ref="AA17:AA18"/>
    <mergeCell ref="H10:M10"/>
    <mergeCell ref="A433:Z433"/>
    <mergeCell ref="P485:T485"/>
    <mergeCell ref="AC17:AC18"/>
    <mergeCell ref="P279:T279"/>
    <mergeCell ref="P108:T108"/>
    <mergeCell ref="D89:E89"/>
    <mergeCell ref="A72:Z72"/>
    <mergeCell ref="P445:V445"/>
    <mergeCell ref="P251:T251"/>
    <mergeCell ref="P512:T512"/>
    <mergeCell ref="P487:T487"/>
    <mergeCell ref="A435:Z435"/>
    <mergeCell ref="A235:O236"/>
    <mergeCell ref="Z17:Z18"/>
    <mergeCell ref="A54:Z54"/>
    <mergeCell ref="AB17:AB18"/>
    <mergeCell ref="P48:T48"/>
    <mergeCell ref="D292:E292"/>
    <mergeCell ref="P346:T346"/>
    <mergeCell ref="P483:T483"/>
    <mergeCell ref="A328:Z328"/>
    <mergeCell ref="A157:Z157"/>
    <mergeCell ref="D22:E22"/>
    <mergeCell ref="A333:O334"/>
    <mergeCell ref="D320:E320"/>
    <mergeCell ref="P470:T470"/>
    <mergeCell ref="D447:E447"/>
    <mergeCell ref="D140:E140"/>
    <mergeCell ref="D438:E438"/>
    <mergeCell ref="P395:T395"/>
    <mergeCell ref="D509:E509"/>
    <mergeCell ref="D267:E267"/>
    <mergeCell ref="P96:T96"/>
    <mergeCell ref="H17:H18"/>
    <mergeCell ref="P261:T261"/>
    <mergeCell ref="P90:T90"/>
    <mergeCell ref="P332:T332"/>
    <mergeCell ref="P559:T559"/>
    <mergeCell ref="P388:T388"/>
    <mergeCell ref="P459:T459"/>
    <mergeCell ref="AD570:AD571"/>
    <mergeCell ref="D465:E465"/>
    <mergeCell ref="D440:E440"/>
    <mergeCell ref="D296:E296"/>
    <mergeCell ref="P217:T217"/>
    <mergeCell ref="D204:E204"/>
    <mergeCell ref="X570:X571"/>
    <mergeCell ref="P325:T325"/>
    <mergeCell ref="P560:V560"/>
    <mergeCell ref="P390:T390"/>
    <mergeCell ref="P241:V241"/>
    <mergeCell ref="D298:E298"/>
    <mergeCell ref="P404:V404"/>
    <mergeCell ref="D273:E273"/>
    <mergeCell ref="P252:V252"/>
    <mergeCell ref="P500:T500"/>
    <mergeCell ref="A444:O445"/>
    <mergeCell ref="P99:V99"/>
    <mergeCell ref="P341:V341"/>
    <mergeCell ref="V570:V571"/>
    <mergeCell ref="P204:T204"/>
    <mergeCell ref="A198:Z198"/>
    <mergeCell ref="P179:T179"/>
    <mergeCell ref="D125:E125"/>
    <mergeCell ref="P440:T440"/>
    <mergeCell ref="A418:Z418"/>
    <mergeCell ref="D554:E554"/>
    <mergeCell ref="D112:E112"/>
    <mergeCell ref="J9:M9"/>
    <mergeCell ref="A532:O533"/>
    <mergeCell ref="D519:E519"/>
    <mergeCell ref="A283:O284"/>
    <mergeCell ref="P141:T141"/>
    <mergeCell ref="D62:E62"/>
    <mergeCell ref="D56:E56"/>
    <mergeCell ref="D193:E193"/>
    <mergeCell ref="P377:T377"/>
    <mergeCell ref="A363:O364"/>
    <mergeCell ref="D491:E491"/>
    <mergeCell ref="P448:T448"/>
    <mergeCell ref="P233:T233"/>
    <mergeCell ref="D176:E176"/>
    <mergeCell ref="P155:V155"/>
    <mergeCell ref="D114:E114"/>
    <mergeCell ref="A154:O155"/>
    <mergeCell ref="P37:T37"/>
    <mergeCell ref="P562:V562"/>
    <mergeCell ref="P391:V391"/>
    <mergeCell ref="P441:T441"/>
    <mergeCell ref="D362:E362"/>
    <mergeCell ref="A562:O567"/>
    <mergeCell ref="P26:T26"/>
    <mergeCell ref="P461:V461"/>
    <mergeCell ref="P324:T324"/>
    <mergeCell ref="P153:T153"/>
    <mergeCell ref="P511:T511"/>
    <mergeCell ref="P227:V227"/>
    <mergeCell ref="A350:Z350"/>
    <mergeCell ref="P71:V71"/>
    <mergeCell ref="P307:V307"/>
    <mergeCell ref="P444:V444"/>
    <mergeCell ref="P380:T380"/>
    <mergeCell ref="A13:M13"/>
    <mergeCell ref="A548:Z548"/>
    <mergeCell ref="P315:V315"/>
    <mergeCell ref="A196:Z196"/>
    <mergeCell ref="D61:E61"/>
    <mergeCell ref="A427:Z427"/>
    <mergeCell ref="A15:M15"/>
    <mergeCell ref="P238:T238"/>
    <mergeCell ref="A354:Z354"/>
    <mergeCell ref="A183:Z183"/>
    <mergeCell ref="D48:E48"/>
    <mergeCell ref="D346:E346"/>
    <mergeCell ref="A419:Z419"/>
    <mergeCell ref="P306:T306"/>
    <mergeCell ref="D476:E476"/>
    <mergeCell ref="P384:V384"/>
    <mergeCell ref="A209:Z209"/>
    <mergeCell ref="P150:V150"/>
    <mergeCell ref="P28:V28"/>
    <mergeCell ref="P392:V392"/>
    <mergeCell ref="P326:V326"/>
    <mergeCell ref="T6:U9"/>
    <mergeCell ref="Q10:R10"/>
    <mergeCell ref="D185:E185"/>
    <mergeCell ref="D41:E41"/>
    <mergeCell ref="P296:T296"/>
    <mergeCell ref="D277:E277"/>
    <mergeCell ref="A208:Z208"/>
    <mergeCell ref="D371:E371"/>
    <mergeCell ref="A252:O253"/>
    <mergeCell ref="D485:E485"/>
    <mergeCell ref="A145:Z145"/>
    <mergeCell ref="P314:V314"/>
    <mergeCell ref="P387:T387"/>
    <mergeCell ref="A406:Z406"/>
    <mergeCell ref="P385:V385"/>
    <mergeCell ref="P514:T514"/>
    <mergeCell ref="P216:T216"/>
    <mergeCell ref="A139:Z139"/>
    <mergeCell ref="D422:E422"/>
    <mergeCell ref="D74:E74"/>
    <mergeCell ref="P151:V151"/>
    <mergeCell ref="D130:E130"/>
    <mergeCell ref="D372:E372"/>
    <mergeCell ref="D201:E201"/>
    <mergeCell ref="P87:T87"/>
    <mergeCell ref="D68:E68"/>
    <mergeCell ref="P126:V126"/>
    <mergeCell ref="P224:T224"/>
    <mergeCell ref="P491:T491"/>
    <mergeCell ref="P24:T24"/>
    <mergeCell ref="P322:T322"/>
    <mergeCell ref="A341:O342"/>
    <mergeCell ref="A12:M12"/>
    <mergeCell ref="L570:L571"/>
    <mergeCell ref="P74:T74"/>
    <mergeCell ref="A19:Z19"/>
    <mergeCell ref="P372:T372"/>
    <mergeCell ref="P310:T310"/>
    <mergeCell ref="A117:Z117"/>
    <mergeCell ref="A14:M14"/>
    <mergeCell ref="D280:E280"/>
    <mergeCell ref="A111:Z111"/>
    <mergeCell ref="A480:Z480"/>
    <mergeCell ref="D345:E345"/>
    <mergeCell ref="T5:U5"/>
    <mergeCell ref="D119:E119"/>
    <mergeCell ref="V5:W5"/>
    <mergeCell ref="P496:T496"/>
    <mergeCell ref="P203:T203"/>
    <mergeCell ref="A490:Z490"/>
    <mergeCell ref="D40:E40"/>
    <mergeCell ref="P361:T361"/>
    <mergeCell ref="A347:O348"/>
    <mergeCell ref="D338:E338"/>
    <mergeCell ref="D409:E409"/>
    <mergeCell ref="D282:E282"/>
    <mergeCell ref="D233:E233"/>
    <mergeCell ref="P212:V212"/>
    <mergeCell ref="P69:T69"/>
    <mergeCell ref="Q8:R8"/>
    <mergeCell ref="P311:T311"/>
    <mergeCell ref="P140:T140"/>
    <mergeCell ref="P438:T438"/>
    <mergeCell ref="P267:T267"/>
    <mergeCell ref="P15:T16"/>
    <mergeCell ref="A132:O133"/>
    <mergeCell ref="D414:E414"/>
    <mergeCell ref="P219:T219"/>
    <mergeCell ref="P23:T23"/>
    <mergeCell ref="A335:Z335"/>
    <mergeCell ref="A164:Z164"/>
    <mergeCell ref="P272:T272"/>
    <mergeCell ref="D460:E460"/>
    <mergeCell ref="P210:T210"/>
    <mergeCell ref="D454:E454"/>
    <mergeCell ref="P185:T185"/>
    <mergeCell ref="D106:E106"/>
    <mergeCell ref="D264:E264"/>
    <mergeCell ref="P277:T277"/>
    <mergeCell ref="P519:T519"/>
    <mergeCell ref="D220:E220"/>
    <mergeCell ref="P497:V497"/>
    <mergeCell ref="A309:Z309"/>
    <mergeCell ref="P288:V288"/>
    <mergeCell ref="A188:Z188"/>
    <mergeCell ref="A259:Z259"/>
    <mergeCell ref="P501:T501"/>
    <mergeCell ref="D251:E251"/>
    <mergeCell ref="A495:Z495"/>
    <mergeCell ref="P228:V228"/>
    <mergeCell ref="A53:Z53"/>
    <mergeCell ref="D487:E487"/>
    <mergeCell ref="A257:O258"/>
    <mergeCell ref="D219:E219"/>
    <mergeCell ref="A288:O289"/>
    <mergeCell ref="D275:E275"/>
    <mergeCell ref="A29:Z29"/>
    <mergeCell ref="P538:V538"/>
    <mergeCell ref="A122:O123"/>
    <mergeCell ref="A44:Z44"/>
    <mergeCell ref="P75:V75"/>
    <mergeCell ref="P342:V342"/>
    <mergeCell ref="A314:O315"/>
    <mergeCell ref="D330:E330"/>
    <mergeCell ref="A329:Z329"/>
    <mergeCell ref="O570:O571"/>
    <mergeCell ref="P304:V304"/>
    <mergeCell ref="P181:V181"/>
    <mergeCell ref="D96:E96"/>
    <mergeCell ref="A540:Z540"/>
    <mergeCell ref="P513:T513"/>
    <mergeCell ref="P110:V110"/>
    <mergeCell ref="D325:E325"/>
    <mergeCell ref="D396:E396"/>
    <mergeCell ref="A558:Z558"/>
    <mergeCell ref="A555:O556"/>
    <mergeCell ref="A186:O187"/>
    <mergeCell ref="D104:E104"/>
    <mergeCell ref="D340:E340"/>
    <mergeCell ref="P570:P571"/>
    <mergeCell ref="P260:T260"/>
    <mergeCell ref="P89:T89"/>
    <mergeCell ref="D59:E59"/>
    <mergeCell ref="A206:O207"/>
    <mergeCell ref="P545:T545"/>
    <mergeCell ref="D295:E295"/>
    <mergeCell ref="D178:E178"/>
    <mergeCell ref="D172:E172"/>
    <mergeCell ref="A5:C5"/>
    <mergeCell ref="A552:Z552"/>
    <mergeCell ref="A237:Z237"/>
    <mergeCell ref="A535:Z535"/>
    <mergeCell ref="A473:Z473"/>
    <mergeCell ref="P340:T340"/>
    <mergeCell ref="P64:V64"/>
    <mergeCell ref="P191:V191"/>
    <mergeCell ref="P51:V51"/>
    <mergeCell ref="D179:E179"/>
    <mergeCell ref="D337:E337"/>
    <mergeCell ref="D166:E166"/>
    <mergeCell ref="D402:E402"/>
    <mergeCell ref="A17:A18"/>
    <mergeCell ref="P364:V364"/>
    <mergeCell ref="K17:K18"/>
    <mergeCell ref="P371:T371"/>
    <mergeCell ref="C17:C18"/>
    <mergeCell ref="D103:E103"/>
    <mergeCell ref="D37:E37"/>
    <mergeCell ref="A488:O489"/>
    <mergeCell ref="P529:T529"/>
    <mergeCell ref="D401:E401"/>
    <mergeCell ref="D339:E339"/>
    <mergeCell ref="D230:E230"/>
    <mergeCell ref="D466:E466"/>
    <mergeCell ref="P66:T66"/>
    <mergeCell ref="D180:E180"/>
    <mergeCell ref="D9:E9"/>
    <mergeCell ref="D118:E118"/>
    <mergeCell ref="F9:G9"/>
    <mergeCell ref="P351:T351"/>
    <mergeCell ref="A6:C6"/>
    <mergeCell ref="D113:E113"/>
    <mergeCell ref="P180:T180"/>
    <mergeCell ref="D545:E545"/>
    <mergeCell ref="P118:T118"/>
    <mergeCell ref="D88:E88"/>
    <mergeCell ref="D148:E148"/>
    <mergeCell ref="D26:E26"/>
    <mergeCell ref="P403:T403"/>
    <mergeCell ref="P378:T378"/>
    <mergeCell ref="D324:E324"/>
    <mergeCell ref="D311:E311"/>
    <mergeCell ref="P55:T55"/>
    <mergeCell ref="P417:V417"/>
    <mergeCell ref="P280:T280"/>
    <mergeCell ref="Q12:R12"/>
    <mergeCell ref="D261:E261"/>
    <mergeCell ref="D90:E90"/>
    <mergeCell ref="D388:E388"/>
    <mergeCell ref="P442:T442"/>
    <mergeCell ref="P489:V489"/>
    <mergeCell ref="D448:E448"/>
    <mergeCell ref="P119:T119"/>
    <mergeCell ref="P133:V133"/>
    <mergeCell ref="D390:E390"/>
    <mergeCell ref="P127:V127"/>
    <mergeCell ref="P347:V347"/>
    <mergeCell ref="P422:T422"/>
    <mergeCell ref="D161:E161"/>
    <mergeCell ref="D403:E403"/>
    <mergeCell ref="D232:E232"/>
    <mergeCell ref="D530:E530"/>
    <mergeCell ref="E570:E571"/>
    <mergeCell ref="G570:G571"/>
    <mergeCell ref="A301:Z301"/>
    <mergeCell ref="P547:V547"/>
    <mergeCell ref="D421:E421"/>
    <mergeCell ref="Q9:R9"/>
    <mergeCell ref="A393:Z393"/>
    <mergeCell ref="P312:T312"/>
    <mergeCell ref="D255:E255"/>
    <mergeCell ref="A524:Z524"/>
    <mergeCell ref="P478:V478"/>
    <mergeCell ref="D24:E24"/>
    <mergeCell ref="P78:T78"/>
    <mergeCell ref="Q11:R11"/>
    <mergeCell ref="D322:E322"/>
    <mergeCell ref="A290:Z290"/>
    <mergeCell ref="D260:E260"/>
    <mergeCell ref="P205:T205"/>
    <mergeCell ref="D453:E453"/>
    <mergeCell ref="D570:D571"/>
    <mergeCell ref="M570:M571"/>
    <mergeCell ref="X569:Y569"/>
    <mergeCell ref="P264:T264"/>
    <mergeCell ref="P239:T239"/>
    <mergeCell ref="P68:T68"/>
    <mergeCell ref="P186:V186"/>
    <mergeCell ref="D38:E38"/>
    <mergeCell ref="A356:O357"/>
    <mergeCell ref="D569:J569"/>
    <mergeCell ref="P253:V253"/>
    <mergeCell ref="P82:V82"/>
    <mergeCell ref="A134:Z134"/>
    <mergeCell ref="D1:F1"/>
    <mergeCell ref="J17:J18"/>
    <mergeCell ref="A91:O92"/>
    <mergeCell ref="L17:L18"/>
    <mergeCell ref="P555:V555"/>
    <mergeCell ref="D240:E240"/>
    <mergeCell ref="D511:E511"/>
    <mergeCell ref="P255:T255"/>
    <mergeCell ref="A100:Z100"/>
    <mergeCell ref="Z570:Z571"/>
    <mergeCell ref="A336:Z336"/>
    <mergeCell ref="AB570:AB571"/>
    <mergeCell ref="P428:T428"/>
    <mergeCell ref="A544:Z544"/>
    <mergeCell ref="P348:V348"/>
    <mergeCell ref="A229:Z229"/>
    <mergeCell ref="P17:T18"/>
    <mergeCell ref="P113:T113"/>
    <mergeCell ref="A77:Z77"/>
    <mergeCell ref="A446:Z446"/>
    <mergeCell ref="P250:T250"/>
    <mergeCell ref="P50:T50"/>
    <mergeCell ref="D31:E31"/>
    <mergeCell ref="A416:O417"/>
    <mergeCell ref="P286:T286"/>
    <mergeCell ref="A167:O168"/>
    <mergeCell ref="D400:E400"/>
    <mergeCell ref="D158:E158"/>
    <mergeCell ref="P131:T131"/>
    <mergeCell ref="D108:E108"/>
    <mergeCell ref="P429:T429"/>
    <mergeCell ref="D369:E369"/>
    <mergeCell ref="AA570:AA571"/>
    <mergeCell ref="P333:V333"/>
    <mergeCell ref="P273:T273"/>
    <mergeCell ref="D387:E387"/>
    <mergeCell ref="D443:E443"/>
    <mergeCell ref="P400:T400"/>
    <mergeCell ref="D514:E514"/>
    <mergeCell ref="D381:E381"/>
    <mergeCell ref="A316:Z316"/>
    <mergeCell ref="D272:E272"/>
    <mergeCell ref="A492:O493"/>
    <mergeCell ref="D210:E210"/>
    <mergeCell ref="P39:T39"/>
    <mergeCell ref="A46:Z46"/>
    <mergeCell ref="P537:T537"/>
    <mergeCell ref="P508:T508"/>
    <mergeCell ref="D380:E380"/>
    <mergeCell ref="P337:T337"/>
    <mergeCell ref="P166:T166"/>
    <mergeCell ref="D147:E147"/>
    <mergeCell ref="P402:T402"/>
    <mergeCell ref="D274:E274"/>
    <mergeCell ref="D87:E87"/>
    <mergeCell ref="P551:V551"/>
    <mergeCell ref="A376:Z376"/>
    <mergeCell ref="A162:O163"/>
    <mergeCell ref="P474:T474"/>
    <mergeCell ref="D224:E224"/>
    <mergeCell ref="P103:T103"/>
    <mergeCell ref="A227:O228"/>
    <mergeCell ref="P401:T401"/>
    <mergeCell ref="P230:T230"/>
    <mergeCell ref="F570:F571"/>
    <mergeCell ref="P407:T407"/>
    <mergeCell ref="D30:E30"/>
    <mergeCell ref="D67:E67"/>
    <mergeCell ref="D5:E5"/>
    <mergeCell ref="P553:T553"/>
    <mergeCell ref="P382:T382"/>
    <mergeCell ref="D496:E496"/>
    <mergeCell ref="P453:T453"/>
    <mergeCell ref="A32:O33"/>
    <mergeCell ref="A303:O304"/>
    <mergeCell ref="D94:E94"/>
    <mergeCell ref="D361:E361"/>
    <mergeCell ref="P98:V98"/>
    <mergeCell ref="P567:V567"/>
    <mergeCell ref="P148:T148"/>
    <mergeCell ref="D69:E69"/>
    <mergeCell ref="A109:O110"/>
    <mergeCell ref="P240:T240"/>
    <mergeCell ref="A538:O539"/>
    <mergeCell ref="P482:T482"/>
    <mergeCell ref="P162:V162"/>
    <mergeCell ref="P398:V398"/>
    <mergeCell ref="P33:V33"/>
    <mergeCell ref="D527:E527"/>
    <mergeCell ref="P269:V269"/>
    <mergeCell ref="A45:Z45"/>
    <mergeCell ref="P462:V462"/>
    <mergeCell ref="A458:Z458"/>
    <mergeCell ref="A343:Z343"/>
    <mergeCell ref="A452:Z452"/>
    <mergeCell ref="A27:O28"/>
    <mergeCell ref="K569:W569"/>
    <mergeCell ref="P472:V472"/>
    <mergeCell ref="P31:T31"/>
    <mergeCell ref="A291:Z291"/>
    <mergeCell ref="P158:T158"/>
    <mergeCell ref="P416:V416"/>
    <mergeCell ref="A98:O99"/>
    <mergeCell ref="P266:T266"/>
    <mergeCell ref="P95:T95"/>
    <mergeCell ref="P527:T527"/>
    <mergeCell ref="P502:T502"/>
    <mergeCell ref="D470:E470"/>
    <mergeCell ref="A461:O462"/>
    <mergeCell ref="P331:T331"/>
    <mergeCell ref="P182:V182"/>
    <mergeCell ref="H1:Q1"/>
    <mergeCell ref="A305:Z305"/>
    <mergeCell ref="P109:V109"/>
    <mergeCell ref="A243:Z243"/>
    <mergeCell ref="A366:Z366"/>
    <mergeCell ref="D214:E214"/>
    <mergeCell ref="D520:E520"/>
    <mergeCell ref="P246:V246"/>
    <mergeCell ref="P120:T120"/>
    <mergeCell ref="D501:E501"/>
    <mergeCell ref="A101:Z101"/>
    <mergeCell ref="P476:T476"/>
    <mergeCell ref="P257:V257"/>
    <mergeCell ref="D313:E313"/>
    <mergeCell ref="P184:T184"/>
    <mergeCell ref="D559:E559"/>
    <mergeCell ref="A410:O411"/>
    <mergeCell ref="D7:M7"/>
    <mergeCell ref="P91:V91"/>
    <mergeCell ref="D79:E79"/>
    <mergeCell ref="P327:V327"/>
    <mergeCell ref="A152:Z152"/>
    <mergeCell ref="P394:T394"/>
    <mergeCell ref="P521:T521"/>
    <mergeCell ref="D442:E442"/>
    <mergeCell ref="D502:E502"/>
    <mergeCell ref="D302:E302"/>
    <mergeCell ref="D429:E429"/>
    <mergeCell ref="P173:T173"/>
    <mergeCell ref="P271:T271"/>
    <mergeCell ref="P265:T265"/>
    <mergeCell ref="P94:T94"/>
    <mergeCell ref="D379:E379"/>
    <mergeCell ref="D8:M8"/>
    <mergeCell ref="A211:O212"/>
    <mergeCell ref="P413:T413"/>
    <mergeCell ref="P171:T171"/>
    <mergeCell ref="D55:E55"/>
    <mergeCell ref="D382:E382"/>
    <mergeCell ref="P339:T339"/>
    <mergeCell ref="P190:V190"/>
    <mergeCell ref="P466:T466"/>
    <mergeCell ref="P488:V488"/>
    <mergeCell ref="A456:O457"/>
    <mergeCell ref="P97:T97"/>
    <mergeCell ref="P47:T47"/>
    <mergeCell ref="P423:T423"/>
    <mergeCell ref="P223:T223"/>
    <mergeCell ref="D160:E160"/>
    <mergeCell ref="P564:V564"/>
    <mergeCell ref="D474:E474"/>
    <mergeCell ref="D66:E66"/>
    <mergeCell ref="P443:T443"/>
    <mergeCell ref="P381:T381"/>
    <mergeCell ref="A560:O561"/>
    <mergeCell ref="D351:E351"/>
    <mergeCell ref="A84:Z84"/>
    <mergeCell ref="D47:E47"/>
    <mergeCell ref="D482:E482"/>
    <mergeCell ref="P160:T160"/>
    <mergeCell ref="A522:O523"/>
    <mergeCell ref="P566:V566"/>
    <mergeCell ref="P517:V517"/>
    <mergeCell ref="P147:T147"/>
    <mergeCell ref="A434:Z434"/>
    <mergeCell ref="W17:W18"/>
    <mergeCell ref="P532:V532"/>
    <mergeCell ref="P503:V503"/>
    <mergeCell ref="A213:Z213"/>
    <mergeCell ref="P546:V546"/>
    <mergeCell ref="P27:V27"/>
    <mergeCell ref="P234:T234"/>
    <mergeCell ref="P154:V154"/>
    <mergeCell ref="A144:Z144"/>
    <mergeCell ref="P561:V561"/>
    <mergeCell ref="A386:Z386"/>
    <mergeCell ref="D378:E378"/>
    <mergeCell ref="A546:O547"/>
    <mergeCell ref="A467:O468"/>
    <mergeCell ref="I17:I18"/>
    <mergeCell ref="D141:E141"/>
    <mergeCell ref="S570:S571"/>
    <mergeCell ref="P542:V542"/>
    <mergeCell ref="P172:T172"/>
    <mergeCell ref="R1:T1"/>
    <mergeCell ref="P221:T221"/>
    <mergeCell ref="A516:O517"/>
    <mergeCell ref="D332:E332"/>
    <mergeCell ref="P215:T215"/>
    <mergeCell ref="P115:V115"/>
    <mergeCell ref="A503:O504"/>
    <mergeCell ref="P549:T549"/>
    <mergeCell ref="P165:T165"/>
    <mergeCell ref="D73:E73"/>
    <mergeCell ref="P30:T30"/>
    <mergeCell ref="P375:V375"/>
    <mergeCell ref="A374:O375"/>
    <mergeCell ref="P531:T531"/>
    <mergeCell ref="P206:V206"/>
    <mergeCell ref="P504:V504"/>
    <mergeCell ref="A63:O64"/>
    <mergeCell ref="P275:T275"/>
    <mergeCell ref="P168:V168"/>
    <mergeCell ref="P104:T104"/>
    <mergeCell ref="B17:B18"/>
    <mergeCell ref="P143:V143"/>
    <mergeCell ref="D131:E131"/>
    <mergeCell ref="P235:V235"/>
    <mergeCell ref="P477:V477"/>
    <mergeCell ref="P533:V533"/>
    <mergeCell ref="A358:Z358"/>
    <mergeCell ref="P207:V207"/>
    <mergeCell ref="Y570:Y571"/>
    <mergeCell ref="H9:I9"/>
    <mergeCell ref="D281:E281"/>
    <mergeCell ref="P211:V211"/>
    <mergeCell ref="A36:Z36"/>
    <mergeCell ref="P389:T389"/>
    <mergeCell ref="P454:T454"/>
    <mergeCell ref="D297:E297"/>
    <mergeCell ref="D312:E312"/>
    <mergeCell ref="D263:E263"/>
    <mergeCell ref="P220:T220"/>
    <mergeCell ref="A65:Z65"/>
    <mergeCell ref="A70:O71"/>
    <mergeCell ref="D238:E238"/>
    <mergeCell ref="D486:E486"/>
    <mergeCell ref="P86:T86"/>
    <mergeCell ref="D78:E78"/>
    <mergeCell ref="P455:T455"/>
    <mergeCell ref="D205:E205"/>
    <mergeCell ref="P249:T249"/>
    <mergeCell ref="A365:Z365"/>
    <mergeCell ref="P56:T56"/>
    <mergeCell ref="A197:Z197"/>
    <mergeCell ref="P379:T379"/>
    <mergeCell ref="V10:W10"/>
    <mergeCell ref="D360:E360"/>
    <mergeCell ref="P299:V299"/>
    <mergeCell ref="D189:E189"/>
    <mergeCell ref="A124:Z124"/>
    <mergeCell ref="A471:O472"/>
    <mergeCell ref="D287:E287"/>
    <mergeCell ref="P170:T170"/>
    <mergeCell ref="D306:E306"/>
    <mergeCell ref="P79:T79"/>
    <mergeCell ref="D60:E60"/>
    <mergeCell ref="P244:T244"/>
    <mergeCell ref="P73:T73"/>
    <mergeCell ref="P437:T437"/>
    <mergeCell ref="A190:O191"/>
    <mergeCell ref="P231:T231"/>
    <mergeCell ref="D423:E423"/>
    <mergeCell ref="P302:T302"/>
    <mergeCell ref="D174:E174"/>
    <mergeCell ref="A83:Z83"/>
    <mergeCell ref="P451:V451"/>
    <mergeCell ref="A34:Z34"/>
    <mergeCell ref="A270:Z270"/>
    <mergeCell ref="P516:V516"/>
    <mergeCell ref="P245:V245"/>
    <mergeCell ref="P543:V543"/>
    <mergeCell ref="P520:T520"/>
    <mergeCell ref="P189:T189"/>
    <mergeCell ref="D377:E377"/>
    <mergeCell ref="P424:V424"/>
    <mergeCell ref="D135:E135"/>
    <mergeCell ref="P287:T287"/>
    <mergeCell ref="P414:T414"/>
    <mergeCell ref="P281:T281"/>
    <mergeCell ref="P88:T88"/>
    <mergeCell ref="P457:V457"/>
    <mergeCell ref="D203:E203"/>
    <mergeCell ref="A431:O432"/>
    <mergeCell ref="P232:T232"/>
    <mergeCell ref="P330:T330"/>
    <mergeCell ref="P159:T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52"/>
    </row>
    <row r="3" spans="2:8" x14ac:dyDescent="0.2">
      <c r="B3" s="47" t="s">
        <v>878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879</v>
      </c>
      <c r="C6" s="47" t="s">
        <v>880</v>
      </c>
      <c r="D6" s="47" t="s">
        <v>881</v>
      </c>
      <c r="E6" s="47"/>
    </row>
    <row r="7" spans="2:8" x14ac:dyDescent="0.2">
      <c r="B7" s="47" t="s">
        <v>882</v>
      </c>
      <c r="C7" s="47" t="s">
        <v>883</v>
      </c>
      <c r="D7" s="47" t="s">
        <v>884</v>
      </c>
      <c r="E7" s="47"/>
    </row>
    <row r="8" spans="2:8" x14ac:dyDescent="0.2">
      <c r="B8" s="47" t="s">
        <v>885</v>
      </c>
      <c r="C8" s="47" t="s">
        <v>886</v>
      </c>
      <c r="D8" s="47" t="s">
        <v>887</v>
      </c>
      <c r="E8" s="47"/>
    </row>
    <row r="9" spans="2:8" x14ac:dyDescent="0.2">
      <c r="B9" s="47" t="s">
        <v>888</v>
      </c>
      <c r="C9" s="47" t="s">
        <v>889</v>
      </c>
      <c r="D9" s="47" t="s">
        <v>890</v>
      </c>
      <c r="E9" s="47"/>
    </row>
    <row r="10" spans="2:8" x14ac:dyDescent="0.2">
      <c r="B10" s="47" t="s">
        <v>891</v>
      </c>
      <c r="C10" s="47" t="s">
        <v>892</v>
      </c>
      <c r="D10" s="47" t="s">
        <v>893</v>
      </c>
      <c r="E10" s="47"/>
    </row>
    <row r="11" spans="2:8" x14ac:dyDescent="0.2">
      <c r="B11" s="47" t="s">
        <v>894</v>
      </c>
      <c r="C11" s="47" t="s">
        <v>895</v>
      </c>
      <c r="D11" s="47" t="s">
        <v>896</v>
      </c>
      <c r="E11" s="47"/>
    </row>
    <row r="13" spans="2:8" x14ac:dyDescent="0.2">
      <c r="B13" s="47" t="s">
        <v>897</v>
      </c>
      <c r="C13" s="47" t="s">
        <v>880</v>
      </c>
      <c r="D13" s="47"/>
      <c r="E13" s="47"/>
    </row>
    <row r="15" spans="2:8" x14ac:dyDescent="0.2">
      <c r="B15" s="47" t="s">
        <v>898</v>
      </c>
      <c r="C15" s="47" t="s">
        <v>883</v>
      </c>
      <c r="D15" s="47"/>
      <c r="E15" s="47"/>
    </row>
    <row r="17" spans="2:5" x14ac:dyDescent="0.2">
      <c r="B17" s="47" t="s">
        <v>899</v>
      </c>
      <c r="C17" s="47" t="s">
        <v>886</v>
      </c>
      <c r="D17" s="47"/>
      <c r="E17" s="47"/>
    </row>
    <row r="19" spans="2:5" x14ac:dyDescent="0.2">
      <c r="B19" s="47" t="s">
        <v>900</v>
      </c>
      <c r="C19" s="47" t="s">
        <v>889</v>
      </c>
      <c r="D19" s="47"/>
      <c r="E19" s="47"/>
    </row>
    <row r="21" spans="2:5" x14ac:dyDescent="0.2">
      <c r="B21" s="47" t="s">
        <v>901</v>
      </c>
      <c r="C21" s="47" t="s">
        <v>892</v>
      </c>
      <c r="D21" s="47"/>
      <c r="E21" s="47"/>
    </row>
    <row r="23" spans="2:5" x14ac:dyDescent="0.2">
      <c r="B23" s="47" t="s">
        <v>902</v>
      </c>
      <c r="C23" s="47" t="s">
        <v>895</v>
      </c>
      <c r="D23" s="47"/>
      <c r="E23" s="47"/>
    </row>
    <row r="25" spans="2:5" x14ac:dyDescent="0.2">
      <c r="B25" s="47" t="s">
        <v>903</v>
      </c>
      <c r="C25" s="47"/>
      <c r="D25" s="47"/>
      <c r="E25" s="47"/>
    </row>
    <row r="26" spans="2:5" x14ac:dyDescent="0.2">
      <c r="B26" s="47" t="s">
        <v>904</v>
      </c>
      <c r="C26" s="47"/>
      <c r="D26" s="47"/>
      <c r="E26" s="47"/>
    </row>
    <row r="27" spans="2:5" x14ac:dyDescent="0.2">
      <c r="B27" s="47" t="s">
        <v>905</v>
      </c>
      <c r="C27" s="47"/>
      <c r="D27" s="47"/>
      <c r="E27" s="47"/>
    </row>
    <row r="28" spans="2:5" x14ac:dyDescent="0.2">
      <c r="B28" s="47" t="s">
        <v>906</v>
      </c>
      <c r="C28" s="47"/>
      <c r="D28" s="47"/>
      <c r="E28" s="47"/>
    </row>
    <row r="29" spans="2:5" x14ac:dyDescent="0.2">
      <c r="B29" s="47" t="s">
        <v>907</v>
      </c>
      <c r="C29" s="47"/>
      <c r="D29" s="47"/>
      <c r="E29" s="47"/>
    </row>
    <row r="30" spans="2:5" x14ac:dyDescent="0.2">
      <c r="B30" s="47" t="s">
        <v>908</v>
      </c>
      <c r="C30" s="47"/>
      <c r="D30" s="47"/>
      <c r="E30" s="47"/>
    </row>
    <row r="31" spans="2:5" x14ac:dyDescent="0.2">
      <c r="B31" s="47" t="s">
        <v>909</v>
      </c>
      <c r="C31" s="47"/>
      <c r="D31" s="47"/>
      <c r="E31" s="47"/>
    </row>
    <row r="32" spans="2:5" x14ac:dyDescent="0.2">
      <c r="B32" s="47" t="s">
        <v>910</v>
      </c>
      <c r="C32" s="47"/>
      <c r="D32" s="47"/>
      <c r="E32" s="47"/>
    </row>
    <row r="33" spans="2:5" x14ac:dyDescent="0.2">
      <c r="B33" s="47" t="s">
        <v>911</v>
      </c>
      <c r="C33" s="47"/>
      <c r="D33" s="47"/>
      <c r="E33" s="47"/>
    </row>
    <row r="34" spans="2:5" x14ac:dyDescent="0.2">
      <c r="B34" s="47" t="s">
        <v>912</v>
      </c>
      <c r="C34" s="47"/>
      <c r="D34" s="47"/>
      <c r="E34" s="47"/>
    </row>
    <row r="35" spans="2:5" x14ac:dyDescent="0.2">
      <c r="B35" s="47" t="s">
        <v>913</v>
      </c>
      <c r="C35" s="47"/>
      <c r="D35" s="47"/>
      <c r="E35" s="47"/>
    </row>
  </sheetData>
  <sheetProtection algorithmName="SHA-512" hashValue="8FI7s5hmsUo23RQ1+LIP1KLloCGUpFzBDrk7+b3wlx84gNO9/E17Kjaxl32Wfr1W6CPEMDLOm7bq04NGFMTFxA==" saltValue="fB06H+r9jHzER/dK9vNp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2026-10-30T10:31:05Z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