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 filterPrivacy="1"/>
  <xr:revisionPtr revIDLastSave="0" documentId="13_ncr:1_{C1142722-C465-418F-B906-3D1168681716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Лист2" sheetId="7" r:id="rId1"/>
  </sheets>
  <definedNames>
    <definedName name="_xlnm._FilterDatabase" localSheetId="0" hidden="1">Лист2!$A$1:$G$1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H2" i="7" l="1"/>
</calcChain>
</file>

<file path=xl/sharedStrings.xml><?xml version="1.0" encoding="utf-8"?>
<sst xmlns="http://schemas.openxmlformats.org/spreadsheetml/2006/main" count="87" uniqueCount="62">
  <si>
    <t>Запрошенная дата отгрузки</t>
  </si>
  <si>
    <t>Внешний код клиента</t>
  </si>
  <si>
    <t>Внешний номер заказа</t>
  </si>
  <si>
    <t>Заказ на продажу</t>
  </si>
  <si>
    <t>Код единицы продаж</t>
  </si>
  <si>
    <t>Наименование для бланков</t>
  </si>
  <si>
    <t>Урезание</t>
  </si>
  <si>
    <t>КскТрСим</t>
  </si>
  <si>
    <t>6321478</t>
  </si>
  <si>
    <t>TSO001127083</t>
  </si>
  <si>
    <t>SU002847</t>
  </si>
  <si>
    <t>В/к колбасы Сервелат Мясорубский с мелкорубленным окороком Бордо Весовой фиброуз Стародворье</t>
  </si>
  <si>
    <t>SU002943</t>
  </si>
  <si>
    <t>В/к колбасы «Сочинка по-фински с сочным окороком» Весовой фиброуз ТМ «Стародворье»</t>
  </si>
  <si>
    <t>SU002945</t>
  </si>
  <si>
    <t>П/к колбасы «Сочинка зернистая с сочной грудинкой» Весовой фиброуз ТМ «Стародворье»</t>
  </si>
  <si>
    <t>SU002947</t>
  </si>
  <si>
    <t>П/к колбасы «Сочинка рубленая с сочным окороком» Весовой фиброуз ТМ «Стародворье»</t>
  </si>
  <si>
    <t>SU003168</t>
  </si>
  <si>
    <t>Сосиски «Баварские с сыром» Фикс.вес 0,35 п/а ТМ «Стародворье»</t>
  </si>
  <si>
    <t>6322760</t>
  </si>
  <si>
    <t>TSO001127882</t>
  </si>
  <si>
    <t>SU002617</t>
  </si>
  <si>
    <t>В/к колбасы Сервелат Филедворский срез Бордо Фикс.вес 0,35 фиброуз в/у стародворье</t>
  </si>
  <si>
    <t>SU002660</t>
  </si>
  <si>
    <t>Колбаса Мясорубская ТМ Стародворье с рубленой грудинкой в оболочке фиброуз в вакуумной упаковке 0,35 кг срез</t>
  </si>
  <si>
    <t>SU002801</t>
  </si>
  <si>
    <t>Сосиски «Сочинки по-баварски с сыром» Фикс.вес 0,4 П/а мгс ТМ «Стародворье»</t>
  </si>
  <si>
    <t>SU002877</t>
  </si>
  <si>
    <t>Копченые колбасы Салями Мясорубская с рубленым шпиком срез Бордо ф/в 0,35 фиброуз Стародворье</t>
  </si>
  <si>
    <t>SU002942</t>
  </si>
  <si>
    <t>В/к колбасы «Сочинка по-фински с сочным окороком» срез Фикс.вес 0,3 фиброуз ТМ «Стародворье»</t>
  </si>
  <si>
    <t>SU002944</t>
  </si>
  <si>
    <t>В/к колбасы «Сочинка по-европейски с сочной грудинкой» срез Фикс.вес 0,3 фиброуз ТМ «Стародворье»</t>
  </si>
  <si>
    <t>SU002946</t>
  </si>
  <si>
    <t>П/к колбасы «Сочинка зернистая с сочной грудинкой» срез Фикс.вес 0,3 фиброуз ТМ «Стародворье»</t>
  </si>
  <si>
    <t>SU002948</t>
  </si>
  <si>
    <t>П/к колбасы «Сочинка рубленая с сочным окороком» срез Фикс.вес 0,3 фиброуз ТМ «Стародворье»</t>
  </si>
  <si>
    <t>SU003893</t>
  </si>
  <si>
    <t>Сырокопченые колбасы «Сальчичон» Фикс.вес 0,07 нарезка ТМ «Стародворье»</t>
  </si>
  <si>
    <t>SU003894</t>
  </si>
  <si>
    <t>Сырокопченые колбасы «Сервелат Ореховый» Фикс.вес 0,07 нарезка ТМ «Стародворье»</t>
  </si>
  <si>
    <t>SU004039</t>
  </si>
  <si>
    <t>Копченые колбасы «Балыковая» Фикс.вес 0,28 фиброуз срез ТМ «Вязанка»</t>
  </si>
  <si>
    <t>SU004042</t>
  </si>
  <si>
    <t>Копченые колбасы «Сервелат Ореховый» Фикс.вес 0,28 фиброуз срез ТМ «Вязанка»</t>
  </si>
  <si>
    <t>SU004123</t>
  </si>
  <si>
    <t>Сосиски «со вкусом Мясо по-сычуаньски» Фикс.вес 0,32 целлофан ТМ «Горячая штучка»</t>
  </si>
  <si>
    <t>6323326</t>
  </si>
  <si>
    <t>TSO001128083</t>
  </si>
  <si>
    <t>SU002823</t>
  </si>
  <si>
    <t>Вареные колбасы Сочинка с сочным окороком ТМ Стародворье ф/в 0,45 кг</t>
  </si>
  <si>
    <t>6323334</t>
  </si>
  <si>
    <t>TSO001127998</t>
  </si>
  <si>
    <t>SU003429</t>
  </si>
  <si>
    <t>Вареные колбасы «Стародворская» Весовой фиброуз ТМ «Стародворье»</t>
  </si>
  <si>
    <t>SU004045</t>
  </si>
  <si>
    <t>Копченые колбасы «Сервелат Финский» Фикс.вес 0,28 фиброуз срез ТМ «Вязанка»</t>
  </si>
  <si>
    <t>(пусто)</t>
  </si>
  <si>
    <t>Общий итог</t>
  </si>
  <si>
    <t>Крым</t>
  </si>
  <si>
    <t>Поляков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</si>
</sst>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1" xfId="0" pivotButton="1" applyBorder="1"/>
    <xf numFmtId="14" fontId="0" fillId="0" borderId="1" xfId="0" applyNumberFormat="1" applyBorder="1"/>
    <xf numFmtId="0" fontId="0" fillId="0" borderId="1" xfId="0" applyBorder="1"/>
    <xf numFmtId="0" fontId="0" fillId="2" borderId="1" xfId="0" applyFill="1" applyBorder="1"/>
    <xf numFmtId="0" fontId="0" fillId="2" borderId="0" xfId="0" applyFill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3"/>
  <sheetViews>
    <sheetView tabSelected="1" workbookViewId="0">
      <pane ySplit="1" topLeftCell="A2" activePane="bottomLeft" state="frozen"/>
      <selection pane="bottomLeft" activeCell="H24" sqref="H24"/>
    </sheetView>
  </sheetViews>
  <sheetFormatPr defaultRowHeight="15" x14ac:dyDescent="0.25"/>
  <cols>
    <col min="1" max="1" width="28" customWidth="1"/>
    <col min="2" max="2" width="22.5703125" customWidth="1"/>
    <col min="3" max="3" width="30.85546875" customWidth="1"/>
    <col min="4" max="4" width="21.7109375" customWidth="1"/>
    <col min="5" max="5" width="27.28515625" customWidth="1"/>
    <col min="6" max="6" width="36.85546875" customWidth="1"/>
    <col min="7" max="7" width="22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8" x14ac:dyDescent="0.25">
      <c r="A2" s="2">
        <v>46294</v>
      </c>
      <c r="B2" s="3" t="s">
        <v>7</v>
      </c>
      <c r="C2" s="4" t="s">
        <v>8</v>
      </c>
      <c r="D2" s="4" t="s">
        <v>9</v>
      </c>
      <c r="E2" s="4" t="s">
        <v>10</v>
      </c>
      <c r="F2" s="4" t="s">
        <v>11</v>
      </c>
      <c r="G2" s="4">
        <v>-84</v>
      </c>
      <c r="H2" s="5">
        <f>SUM(G2:G6)</f>
        <v>-579.59999999999991</v>
      </c>
    </row>
    <row r="3" spans="1:8" x14ac:dyDescent="0.25">
      <c r="A3" s="3"/>
      <c r="B3" s="3"/>
      <c r="C3" s="3"/>
      <c r="D3" s="3"/>
      <c r="E3" s="3" t="s">
        <v>12</v>
      </c>
      <c r="F3" s="3" t="s">
        <v>13</v>
      </c>
      <c r="G3" s="3">
        <v>-151.19999999999999</v>
      </c>
    </row>
    <row r="4" spans="1:8" x14ac:dyDescent="0.25">
      <c r="A4" s="3"/>
      <c r="B4" s="3"/>
      <c r="C4" s="3"/>
      <c r="D4" s="3"/>
      <c r="E4" s="3" t="s">
        <v>14</v>
      </c>
      <c r="F4" s="3" t="s">
        <v>15</v>
      </c>
      <c r="G4" s="3">
        <v>-151.19999999999999</v>
      </c>
    </row>
    <row r="5" spans="1:8" x14ac:dyDescent="0.25">
      <c r="A5" s="3"/>
      <c r="B5" s="3"/>
      <c r="C5" s="3"/>
      <c r="D5" s="3"/>
      <c r="E5" s="3" t="s">
        <v>16</v>
      </c>
      <c r="F5" s="3" t="s">
        <v>17</v>
      </c>
      <c r="G5" s="3">
        <v>-151.19999999999999</v>
      </c>
    </row>
    <row r="6" spans="1:8" x14ac:dyDescent="0.25">
      <c r="A6" s="3"/>
      <c r="B6" s="3"/>
      <c r="C6" s="3"/>
      <c r="D6" s="3"/>
      <c r="E6" s="3" t="s">
        <v>18</v>
      </c>
      <c r="F6" s="3" t="s">
        <v>19</v>
      </c>
      <c r="G6" s="3">
        <v>-42</v>
      </c>
    </row>
    <row r="7" spans="1:8" x14ac:dyDescent="0.25">
      <c r="A7" s="3"/>
      <c r="B7" s="3"/>
      <c r="C7" s="4" t="s">
        <v>20</v>
      </c>
      <c r="D7" s="4" t="s">
        <v>21</v>
      </c>
      <c r="E7" s="4" t="s">
        <v>22</v>
      </c>
      <c r="F7" s="4" t="s">
        <v>23</v>
      </c>
      <c r="G7" s="4">
        <v>-281.39999999999998</v>
      </c>
      <c r="H7" s="5" t="s">
        <v>60</v>
      </c>
    </row>
    <row r="8" spans="1:8" x14ac:dyDescent="0.25">
      <c r="A8" s="3"/>
      <c r="B8" s="3"/>
      <c r="C8" s="3"/>
      <c r="D8" s="3"/>
      <c r="E8" s="3" t="s">
        <v>24</v>
      </c>
      <c r="F8" s="3" t="s">
        <v>25</v>
      </c>
      <c r="G8" s="3">
        <v>-105</v>
      </c>
    </row>
    <row r="9" spans="1:8" x14ac:dyDescent="0.25">
      <c r="A9" s="3"/>
      <c r="B9" s="3"/>
      <c r="C9" s="3"/>
      <c r="D9" s="3"/>
      <c r="E9" s="3" t="s">
        <v>26</v>
      </c>
      <c r="F9" s="3" t="s">
        <v>27</v>
      </c>
      <c r="G9" s="3">
        <v>-81.599999999999994</v>
      </c>
    </row>
    <row r="10" spans="1:8" x14ac:dyDescent="0.25">
      <c r="A10" s="3"/>
      <c r="B10" s="3"/>
      <c r="C10" s="3"/>
      <c r="D10" s="3"/>
      <c r="E10" s="3" t="s">
        <v>28</v>
      </c>
      <c r="F10" s="3" t="s">
        <v>29</v>
      </c>
      <c r="G10" s="3">
        <v>-176.4</v>
      </c>
    </row>
    <row r="11" spans="1:8" x14ac:dyDescent="0.25">
      <c r="A11" s="3"/>
      <c r="B11" s="3"/>
      <c r="C11" s="3"/>
      <c r="D11" s="3"/>
      <c r="E11" s="3" t="s">
        <v>30</v>
      </c>
      <c r="F11" s="3" t="s">
        <v>31</v>
      </c>
      <c r="G11" s="3">
        <v>-90</v>
      </c>
    </row>
    <row r="12" spans="1:8" x14ac:dyDescent="0.25">
      <c r="A12" s="3"/>
      <c r="B12" s="3"/>
      <c r="C12" s="3"/>
      <c r="D12" s="3"/>
      <c r="E12" s="3" t="s">
        <v>32</v>
      </c>
      <c r="F12" s="3" t="s">
        <v>33</v>
      </c>
      <c r="G12" s="3">
        <v>-90</v>
      </c>
    </row>
    <row r="13" spans="1:8" x14ac:dyDescent="0.25">
      <c r="A13" s="3"/>
      <c r="B13" s="3"/>
      <c r="C13" s="3"/>
      <c r="D13" s="3"/>
      <c r="E13" s="3" t="s">
        <v>34</v>
      </c>
      <c r="F13" s="3" t="s">
        <v>35</v>
      </c>
      <c r="G13" s="3">
        <v>-90</v>
      </c>
    </row>
    <row r="14" spans="1:8" x14ac:dyDescent="0.25">
      <c r="A14" s="3"/>
      <c r="B14" s="3"/>
      <c r="C14" s="3"/>
      <c r="D14" s="3"/>
      <c r="E14" s="3" t="s">
        <v>36</v>
      </c>
      <c r="F14" s="3" t="s">
        <v>37</v>
      </c>
      <c r="G14" s="3">
        <v>-90</v>
      </c>
    </row>
    <row r="15" spans="1:8" x14ac:dyDescent="0.25">
      <c r="A15" s="3"/>
      <c r="B15" s="3"/>
      <c r="C15" s="3"/>
      <c r="D15" s="3"/>
      <c r="E15" s="3" t="s">
        <v>38</v>
      </c>
      <c r="F15" s="3" t="s">
        <v>39</v>
      </c>
      <c r="G15" s="3">
        <v>-15.12</v>
      </c>
    </row>
    <row r="16" spans="1:8" x14ac:dyDescent="0.25">
      <c r="A16" s="3"/>
      <c r="B16" s="3"/>
      <c r="C16" s="3"/>
      <c r="D16" s="3"/>
      <c r="E16" s="3" t="s">
        <v>40</v>
      </c>
      <c r="F16" s="3" t="s">
        <v>41</v>
      </c>
      <c r="G16" s="3">
        <v>-21.42</v>
      </c>
    </row>
    <row r="17" spans="1:8" x14ac:dyDescent="0.25">
      <c r="A17" s="3"/>
      <c r="B17" s="3"/>
      <c r="C17" s="3"/>
      <c r="D17" s="3"/>
      <c r="E17" s="3" t="s">
        <v>42</v>
      </c>
      <c r="F17" s="3" t="s">
        <v>43</v>
      </c>
      <c r="G17" s="3">
        <v>-168</v>
      </c>
    </row>
    <row r="18" spans="1:8" x14ac:dyDescent="0.25">
      <c r="A18" s="3"/>
      <c r="B18" s="3"/>
      <c r="C18" s="3"/>
      <c r="D18" s="3"/>
      <c r="E18" s="3" t="s">
        <v>44</v>
      </c>
      <c r="F18" s="3" t="s">
        <v>45</v>
      </c>
      <c r="G18" s="3">
        <v>-196.56</v>
      </c>
    </row>
    <row r="19" spans="1:8" x14ac:dyDescent="0.25">
      <c r="A19" s="3"/>
      <c r="B19" s="3"/>
      <c r="C19" s="3"/>
      <c r="D19" s="3"/>
      <c r="E19" s="3" t="s">
        <v>46</v>
      </c>
      <c r="F19" s="3" t="s">
        <v>47</v>
      </c>
      <c r="G19" s="3">
        <v>-32.64</v>
      </c>
    </row>
    <row r="20" spans="1:8" x14ac:dyDescent="0.25">
      <c r="A20" s="3"/>
      <c r="B20" s="3"/>
      <c r="C20" s="4" t="s">
        <v>48</v>
      </c>
      <c r="D20" s="4" t="s">
        <v>49</v>
      </c>
      <c r="E20" s="4" t="s">
        <v>50</v>
      </c>
      <c r="F20" s="4" t="s">
        <v>51</v>
      </c>
      <c r="G20" s="4">
        <v>-43.2</v>
      </c>
      <c r="H20" s="5" t="s">
        <v>61</v>
      </c>
    </row>
    <row r="21" spans="1:8" x14ac:dyDescent="0.25">
      <c r="A21" s="3"/>
      <c r="B21" s="3"/>
      <c r="C21" s="3"/>
      <c r="D21" s="3"/>
      <c r="E21" s="3" t="s">
        <v>14</v>
      </c>
      <c r="F21" s="3" t="s">
        <v>15</v>
      </c>
      <c r="G21" s="3">
        <v>-14.922000000000001</v>
      </c>
    </row>
    <row r="22" spans="1:8" x14ac:dyDescent="0.25">
      <c r="A22" s="3"/>
      <c r="B22" s="3"/>
      <c r="C22" s="3"/>
      <c r="D22" s="3"/>
      <c r="E22" s="3" t="s">
        <v>16</v>
      </c>
      <c r="F22" s="3" t="s">
        <v>17</v>
      </c>
      <c r="G22" s="3">
        <v>-253.8</v>
      </c>
    </row>
    <row r="23" spans="1:8" x14ac:dyDescent="0.25">
      <c r="A23" s="3"/>
      <c r="B23" s="3"/>
      <c r="C23" s="4" t="s">
        <v>52</v>
      </c>
      <c r="D23" s="4" t="s">
        <v>53</v>
      </c>
      <c r="E23" s="4" t="s">
        <v>32</v>
      </c>
      <c r="F23" s="4" t="s">
        <v>33</v>
      </c>
      <c r="G23" s="4">
        <v>-90</v>
      </c>
      <c r="H23" s="5" t="s">
        <v>60</v>
      </c>
    </row>
    <row r="24" spans="1:8" x14ac:dyDescent="0.25">
      <c r="A24" s="3"/>
      <c r="B24" s="3"/>
      <c r="C24" s="3"/>
      <c r="D24" s="3"/>
      <c r="E24" s="3" t="s">
        <v>14</v>
      </c>
      <c r="F24" s="3" t="s">
        <v>15</v>
      </c>
      <c r="G24" s="3">
        <v>-5.0629999999999997</v>
      </c>
    </row>
    <row r="25" spans="1:8" x14ac:dyDescent="0.25">
      <c r="A25" s="3"/>
      <c r="B25" s="3"/>
      <c r="C25" s="3"/>
      <c r="D25" s="3"/>
      <c r="E25" s="3" t="s">
        <v>16</v>
      </c>
      <c r="F25" s="3" t="s">
        <v>17</v>
      </c>
      <c r="G25" s="3">
        <v>-54</v>
      </c>
    </row>
    <row r="26" spans="1:8" x14ac:dyDescent="0.25">
      <c r="A26" s="3"/>
      <c r="B26" s="3"/>
      <c r="C26" s="3"/>
      <c r="D26" s="3"/>
      <c r="E26" s="3" t="s">
        <v>54</v>
      </c>
      <c r="F26" s="3" t="s">
        <v>55</v>
      </c>
      <c r="G26" s="3">
        <v>-108</v>
      </c>
    </row>
    <row r="27" spans="1:8" x14ac:dyDescent="0.25">
      <c r="A27" s="3"/>
      <c r="B27" s="3"/>
      <c r="C27" s="3"/>
      <c r="D27" s="3"/>
      <c r="E27" s="3" t="s">
        <v>38</v>
      </c>
      <c r="F27" s="3" t="s">
        <v>39</v>
      </c>
      <c r="G27" s="3">
        <v>-11.34</v>
      </c>
    </row>
    <row r="28" spans="1:8" x14ac:dyDescent="0.25">
      <c r="A28" s="3"/>
      <c r="B28" s="3"/>
      <c r="C28" s="3"/>
      <c r="D28" s="3"/>
      <c r="E28" s="3" t="s">
        <v>40</v>
      </c>
      <c r="F28" s="3" t="s">
        <v>41</v>
      </c>
      <c r="G28" s="3">
        <v>-15.12</v>
      </c>
    </row>
    <row r="29" spans="1:8" x14ac:dyDescent="0.25">
      <c r="A29" s="3"/>
      <c r="B29" s="3"/>
      <c r="C29" s="3"/>
      <c r="D29" s="3"/>
      <c r="E29" s="3" t="s">
        <v>44</v>
      </c>
      <c r="F29" s="3" t="s">
        <v>45</v>
      </c>
      <c r="G29" s="3">
        <v>-168</v>
      </c>
    </row>
    <row r="30" spans="1:8" x14ac:dyDescent="0.25">
      <c r="A30" s="3"/>
      <c r="B30" s="3"/>
      <c r="C30" s="3"/>
      <c r="D30" s="3"/>
      <c r="E30" s="3" t="s">
        <v>56</v>
      </c>
      <c r="F30" s="3" t="s">
        <v>57</v>
      </c>
      <c r="G30" s="3">
        <v>-252</v>
      </c>
    </row>
    <row r="31" spans="1:8" x14ac:dyDescent="0.25">
      <c r="A31" s="3"/>
      <c r="B31" s="3"/>
      <c r="C31" s="3"/>
      <c r="D31" s="3"/>
      <c r="E31" s="3" t="s">
        <v>46</v>
      </c>
      <c r="F31" s="3" t="s">
        <v>47</v>
      </c>
      <c r="G31" s="3">
        <v>-32.64</v>
      </c>
    </row>
    <row r="32" spans="1:8" x14ac:dyDescent="0.25">
      <c r="A32" s="3" t="s">
        <v>58</v>
      </c>
      <c r="B32" s="3" t="s">
        <v>58</v>
      </c>
      <c r="C32" s="3" t="s">
        <v>58</v>
      </c>
      <c r="D32" s="3" t="s">
        <v>58</v>
      </c>
      <c r="E32" s="3" t="s">
        <v>58</v>
      </c>
      <c r="F32" s="3" t="s">
        <v>58</v>
      </c>
      <c r="G32" s="3" t="s">
        <v>58</v>
      </c>
    </row>
    <row r="33" spans="1:7" x14ac:dyDescent="0.25">
      <c r="A33" s="3" t="s">
        <v>59</v>
      </c>
      <c r="B33" s="3"/>
      <c r="C33" s="3"/>
      <c r="D33" s="3"/>
      <c r="E33" s="3"/>
      <c r="F33" s="3"/>
      <c r="G33" s="3"/>
    </row>
  </sheetData>
  <autoFilter ref="A1:G1" xr:uid="{00000000-0009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2026-09-29T11:56:06Z</dcterms:modified>
</cp:coreProperties>
</file>