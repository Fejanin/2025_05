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646D08E2-3630-46F4-9150-C647593D657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P555" i="1"/>
  <c r="BO555" i="1"/>
  <c r="BN555" i="1"/>
  <c r="BM555" i="1"/>
  <c r="Z555" i="1"/>
  <c r="Y555" i="1"/>
  <c r="P555" i="1"/>
  <c r="X553" i="1"/>
  <c r="Y552" i="1"/>
  <c r="X552" i="1"/>
  <c r="BP551" i="1"/>
  <c r="BO551" i="1"/>
  <c r="BN551" i="1"/>
  <c r="BM551" i="1"/>
  <c r="Z551" i="1"/>
  <c r="Z552" i="1" s="1"/>
  <c r="Y551" i="1"/>
  <c r="Y553" i="1" s="1"/>
  <c r="P551" i="1"/>
  <c r="X549" i="1"/>
  <c r="Y548" i="1"/>
  <c r="X548" i="1"/>
  <c r="BP547" i="1"/>
  <c r="BO547" i="1"/>
  <c r="BN547" i="1"/>
  <c r="BM547" i="1"/>
  <c r="Z547" i="1"/>
  <c r="Z548" i="1" s="1"/>
  <c r="Y547" i="1"/>
  <c r="Y549" i="1" s="1"/>
  <c r="P547" i="1"/>
  <c r="X545" i="1"/>
  <c r="Y544" i="1"/>
  <c r="X544" i="1"/>
  <c r="BP543" i="1"/>
  <c r="BO543" i="1"/>
  <c r="BN543" i="1"/>
  <c r="BM543" i="1"/>
  <c r="Z543" i="1"/>
  <c r="Z544" i="1" s="1"/>
  <c r="Y543" i="1"/>
  <c r="Y545" i="1" s="1"/>
  <c r="P543" i="1"/>
  <c r="X541" i="1"/>
  <c r="Y540" i="1"/>
  <c r="X540" i="1"/>
  <c r="BP539" i="1"/>
  <c r="BO539" i="1"/>
  <c r="BN539" i="1"/>
  <c r="BM539" i="1"/>
  <c r="Z539" i="1"/>
  <c r="Z540" i="1" s="1"/>
  <c r="Y539" i="1"/>
  <c r="Y541" i="1" s="1"/>
  <c r="P539" i="1"/>
  <c r="X535" i="1"/>
  <c r="X534" i="1"/>
  <c r="BO533" i="1"/>
  <c r="BM533" i="1"/>
  <c r="Y533" i="1"/>
  <c r="P533" i="1"/>
  <c r="BO532" i="1"/>
  <c r="BM532" i="1"/>
  <c r="Y532" i="1"/>
  <c r="P532" i="1"/>
  <c r="BP531" i="1"/>
  <c r="BO531" i="1"/>
  <c r="BN531" i="1"/>
  <c r="BM531" i="1"/>
  <c r="Z531" i="1"/>
  <c r="Y531" i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X525" i="1"/>
  <c r="X524" i="1"/>
  <c r="BP523" i="1"/>
  <c r="BO523" i="1"/>
  <c r="BN523" i="1"/>
  <c r="BM523" i="1"/>
  <c r="Z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P517" i="1"/>
  <c r="BO517" i="1"/>
  <c r="BN517" i="1"/>
  <c r="BM517" i="1"/>
  <c r="Z517" i="1"/>
  <c r="Y517" i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P503" i="1"/>
  <c r="BO503" i="1"/>
  <c r="BN503" i="1"/>
  <c r="BM503" i="1"/>
  <c r="Z503" i="1"/>
  <c r="Y503" i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0" i="1"/>
  <c r="X479" i="1"/>
  <c r="BO478" i="1"/>
  <c r="BM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X474" i="1"/>
  <c r="Y473" i="1"/>
  <c r="X473" i="1"/>
  <c r="BP472" i="1"/>
  <c r="BO472" i="1"/>
  <c r="BN472" i="1"/>
  <c r="BM472" i="1"/>
  <c r="Z472" i="1"/>
  <c r="Z473" i="1" s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X459" i="1"/>
  <c r="X458" i="1"/>
  <c r="BP457" i="1"/>
  <c r="BO457" i="1"/>
  <c r="BN457" i="1"/>
  <c r="BM457" i="1"/>
  <c r="Z457" i="1"/>
  <c r="Y457" i="1"/>
  <c r="P457" i="1"/>
  <c r="BO456" i="1"/>
  <c r="BM456" i="1"/>
  <c r="Y456" i="1"/>
  <c r="P456" i="1"/>
  <c r="BO455" i="1"/>
  <c r="BM455" i="1"/>
  <c r="Y455" i="1"/>
  <c r="P455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BO409" i="1"/>
  <c r="BM409" i="1"/>
  <c r="Y409" i="1"/>
  <c r="P409" i="1"/>
  <c r="X407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X365" i="1"/>
  <c r="BO364" i="1"/>
  <c r="BM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X359" i="1"/>
  <c r="Y358" i="1"/>
  <c r="X358" i="1"/>
  <c r="BP357" i="1"/>
  <c r="BO357" i="1"/>
  <c r="BN357" i="1"/>
  <c r="BM357" i="1"/>
  <c r="Z357" i="1"/>
  <c r="Z358" i="1" s="1"/>
  <c r="Y357" i="1"/>
  <c r="Y359" i="1" s="1"/>
  <c r="P357" i="1"/>
  <c r="X355" i="1"/>
  <c r="Y354" i="1"/>
  <c r="X354" i="1"/>
  <c r="BP353" i="1"/>
  <c r="BO353" i="1"/>
  <c r="BN353" i="1"/>
  <c r="BM353" i="1"/>
  <c r="Z353" i="1"/>
  <c r="Z354" i="1" s="1"/>
  <c r="Y353" i="1"/>
  <c r="S574" i="1" s="1"/>
  <c r="P353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N322" i="1"/>
  <c r="BM322" i="1"/>
  <c r="Z322" i="1"/>
  <c r="Y322" i="1"/>
  <c r="BP322" i="1" s="1"/>
  <c r="P322" i="1"/>
  <c r="BO321" i="1"/>
  <c r="BM321" i="1"/>
  <c r="Y321" i="1"/>
  <c r="P321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X302" i="1"/>
  <c r="BO301" i="1"/>
  <c r="BM301" i="1"/>
  <c r="Y301" i="1"/>
  <c r="BP301" i="1" s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X292" i="1"/>
  <c r="X291" i="1"/>
  <c r="BO290" i="1"/>
  <c r="BM290" i="1"/>
  <c r="Y290" i="1"/>
  <c r="BP290" i="1" s="1"/>
  <c r="P290" i="1"/>
  <c r="BO289" i="1"/>
  <c r="BM289" i="1"/>
  <c r="Y289" i="1"/>
  <c r="P289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X273" i="1"/>
  <c r="X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2" i="1"/>
  <c r="X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X246" i="1"/>
  <c r="BP245" i="1"/>
  <c r="BO245" i="1"/>
  <c r="BN245" i="1"/>
  <c r="BM245" i="1"/>
  <c r="Z245" i="1"/>
  <c r="Y245" i="1"/>
  <c r="P245" i="1"/>
  <c r="BO244" i="1"/>
  <c r="BM244" i="1"/>
  <c r="Y244" i="1"/>
  <c r="P244" i="1"/>
  <c r="BO243" i="1"/>
  <c r="BM243" i="1"/>
  <c r="Y243" i="1"/>
  <c r="Y247" i="1" s="1"/>
  <c r="P243" i="1"/>
  <c r="X241" i="1"/>
  <c r="X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X233" i="1"/>
  <c r="X232" i="1"/>
  <c r="BO231" i="1"/>
  <c r="BM231" i="1"/>
  <c r="Y231" i="1"/>
  <c r="BP231" i="1" s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BP170" i="1" s="1"/>
  <c r="P170" i="1"/>
  <c r="X168" i="1"/>
  <c r="X167" i="1"/>
  <c r="BP166" i="1"/>
  <c r="BO166" i="1"/>
  <c r="BN166" i="1"/>
  <c r="BM166" i="1"/>
  <c r="Z166" i="1"/>
  <c r="Y166" i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P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2" i="1"/>
  <c r="X131" i="1"/>
  <c r="BO130" i="1"/>
  <c r="BM130" i="1"/>
  <c r="Y130" i="1"/>
  <c r="Y131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G574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O98" i="1"/>
  <c r="BM98" i="1"/>
  <c r="Y98" i="1"/>
  <c r="Y102" i="1" s="1"/>
  <c r="P98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BP35" i="1" s="1"/>
  <c r="P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246" i="1" l="1"/>
  <c r="BP326" i="1"/>
  <c r="BN326" i="1"/>
  <c r="Z326" i="1"/>
  <c r="Y350" i="1"/>
  <c r="BP346" i="1"/>
  <c r="BN346" i="1"/>
  <c r="Z346" i="1"/>
  <c r="Z349" i="1" s="1"/>
  <c r="BP371" i="1"/>
  <c r="BN371" i="1"/>
  <c r="Z371" i="1"/>
  <c r="BP381" i="1"/>
  <c r="BN381" i="1"/>
  <c r="Z381" i="1"/>
  <c r="BP391" i="1"/>
  <c r="BN391" i="1"/>
  <c r="Z391" i="1"/>
  <c r="Y413" i="1"/>
  <c r="BP409" i="1"/>
  <c r="BN409" i="1"/>
  <c r="Z409" i="1"/>
  <c r="BP424" i="1"/>
  <c r="BN424" i="1"/>
  <c r="Z424" i="1"/>
  <c r="BP443" i="1"/>
  <c r="BN443" i="1"/>
  <c r="Z443" i="1"/>
  <c r="Y459" i="1"/>
  <c r="BP455" i="1"/>
  <c r="BN455" i="1"/>
  <c r="Z455" i="1"/>
  <c r="BP478" i="1"/>
  <c r="BN478" i="1"/>
  <c r="Z478" i="1"/>
  <c r="BP484" i="1"/>
  <c r="BN484" i="1"/>
  <c r="Z484" i="1"/>
  <c r="BP511" i="1"/>
  <c r="BN511" i="1"/>
  <c r="Z511" i="1"/>
  <c r="Y525" i="1"/>
  <c r="BP521" i="1"/>
  <c r="BN521" i="1"/>
  <c r="Z521" i="1"/>
  <c r="BP533" i="1"/>
  <c r="BN533" i="1"/>
  <c r="Z533" i="1"/>
  <c r="X564" i="1"/>
  <c r="Y32" i="1"/>
  <c r="Z28" i="1"/>
  <c r="BN28" i="1"/>
  <c r="Z34" i="1"/>
  <c r="BN34" i="1"/>
  <c r="BP34" i="1"/>
  <c r="C574" i="1"/>
  <c r="Z44" i="1"/>
  <c r="BN44" i="1"/>
  <c r="D574" i="1"/>
  <c r="Z54" i="1"/>
  <c r="BN54" i="1"/>
  <c r="Z61" i="1"/>
  <c r="BN61" i="1"/>
  <c r="Z65" i="1"/>
  <c r="BN65" i="1"/>
  <c r="Y75" i="1"/>
  <c r="Z73" i="1"/>
  <c r="BN73" i="1"/>
  <c r="Y79" i="1"/>
  <c r="Z83" i="1"/>
  <c r="BN83" i="1"/>
  <c r="F574" i="1"/>
  <c r="Z92" i="1"/>
  <c r="BN92" i="1"/>
  <c r="Z98" i="1"/>
  <c r="BN98" i="1"/>
  <c r="BP98" i="1"/>
  <c r="Z107" i="1"/>
  <c r="BN107" i="1"/>
  <c r="Z111" i="1"/>
  <c r="BN111" i="1"/>
  <c r="Y121" i="1"/>
  <c r="Z119" i="1"/>
  <c r="BN119" i="1"/>
  <c r="Y127" i="1"/>
  <c r="Z125" i="1"/>
  <c r="BN125" i="1"/>
  <c r="H574" i="1"/>
  <c r="Z140" i="1"/>
  <c r="BN140" i="1"/>
  <c r="BP140" i="1"/>
  <c r="Z151" i="1"/>
  <c r="BN151" i="1"/>
  <c r="Z164" i="1"/>
  <c r="BN164" i="1"/>
  <c r="Z170" i="1"/>
  <c r="BN170" i="1"/>
  <c r="Z178" i="1"/>
  <c r="BN178" i="1"/>
  <c r="Z182" i="1"/>
  <c r="BN182" i="1"/>
  <c r="Z188" i="1"/>
  <c r="BN188" i="1"/>
  <c r="BP188" i="1"/>
  <c r="Z206" i="1"/>
  <c r="BN206" i="1"/>
  <c r="Z219" i="1"/>
  <c r="BN219" i="1"/>
  <c r="Z223" i="1"/>
  <c r="BN223" i="1"/>
  <c r="Z227" i="1"/>
  <c r="BN227" i="1"/>
  <c r="Z231" i="1"/>
  <c r="BN231" i="1"/>
  <c r="Y241" i="1"/>
  <c r="Z237" i="1"/>
  <c r="BN237" i="1"/>
  <c r="Z243" i="1"/>
  <c r="BN243" i="1"/>
  <c r="BP243" i="1"/>
  <c r="Z260" i="1"/>
  <c r="BN260" i="1"/>
  <c r="Z266" i="1"/>
  <c r="BN266" i="1"/>
  <c r="Z270" i="1"/>
  <c r="BN270" i="1"/>
  <c r="Z278" i="1"/>
  <c r="BN278" i="1"/>
  <c r="Z282" i="1"/>
  <c r="BN282" i="1"/>
  <c r="Z290" i="1"/>
  <c r="BN290" i="1"/>
  <c r="Z297" i="1"/>
  <c r="BN297" i="1"/>
  <c r="Z301" i="1"/>
  <c r="BN301" i="1"/>
  <c r="Z315" i="1"/>
  <c r="BN315" i="1"/>
  <c r="BP340" i="1"/>
  <c r="BN340" i="1"/>
  <c r="Z340" i="1"/>
  <c r="Y349" i="1"/>
  <c r="BP364" i="1"/>
  <c r="BN364" i="1"/>
  <c r="Z364" i="1"/>
  <c r="BP375" i="1"/>
  <c r="BN375" i="1"/>
  <c r="Z375" i="1"/>
  <c r="BP385" i="1"/>
  <c r="BN385" i="1"/>
  <c r="Z385" i="1"/>
  <c r="BP403" i="1"/>
  <c r="BN403" i="1"/>
  <c r="Z403" i="1"/>
  <c r="Y412" i="1"/>
  <c r="BP417" i="1"/>
  <c r="BN417" i="1"/>
  <c r="Z417" i="1"/>
  <c r="BP439" i="1"/>
  <c r="BN439" i="1"/>
  <c r="Z439" i="1"/>
  <c r="BP449" i="1"/>
  <c r="BN449" i="1"/>
  <c r="Z449" i="1"/>
  <c r="Y458" i="1"/>
  <c r="BP468" i="1"/>
  <c r="BN468" i="1"/>
  <c r="Z468" i="1"/>
  <c r="BP488" i="1"/>
  <c r="BN488" i="1"/>
  <c r="Z488" i="1"/>
  <c r="BP515" i="1"/>
  <c r="BN515" i="1"/>
  <c r="Z515" i="1"/>
  <c r="Y524" i="1"/>
  <c r="BP529" i="1"/>
  <c r="BN529" i="1"/>
  <c r="Z529" i="1"/>
  <c r="U574" i="1"/>
  <c r="Y393" i="1"/>
  <c r="Y480" i="1"/>
  <c r="Y479" i="1"/>
  <c r="Y557" i="1"/>
  <c r="AC574" i="1"/>
  <c r="Y31" i="1"/>
  <c r="Y37" i="1"/>
  <c r="Y47" i="1"/>
  <c r="Y55" i="1"/>
  <c r="Y68" i="1"/>
  <c r="Y74" i="1"/>
  <c r="Y80" i="1"/>
  <c r="Y86" i="1"/>
  <c r="Y95" i="1"/>
  <c r="Y103" i="1"/>
  <c r="Y114" i="1"/>
  <c r="Y120" i="1"/>
  <c r="Y128" i="1"/>
  <c r="Y132" i="1"/>
  <c r="Y137" i="1"/>
  <c r="Y143" i="1"/>
  <c r="Y148" i="1"/>
  <c r="BP145" i="1"/>
  <c r="BP154" i="1"/>
  <c r="BN154" i="1"/>
  <c r="Z154" i="1"/>
  <c r="Y156" i="1"/>
  <c r="Y159" i="1"/>
  <c r="BP158" i="1"/>
  <c r="BN158" i="1"/>
  <c r="Z158" i="1"/>
  <c r="Z159" i="1" s="1"/>
  <c r="Y160" i="1"/>
  <c r="J574" i="1"/>
  <c r="Y168" i="1"/>
  <c r="BP163" i="1"/>
  <c r="BN163" i="1"/>
  <c r="Z163" i="1"/>
  <c r="Y167" i="1"/>
  <c r="BP171" i="1"/>
  <c r="BN171" i="1"/>
  <c r="Z171" i="1"/>
  <c r="Z172" i="1" s="1"/>
  <c r="Y173" i="1"/>
  <c r="Y186" i="1"/>
  <c r="BP175" i="1"/>
  <c r="BN175" i="1"/>
  <c r="Z175" i="1"/>
  <c r="BP179" i="1"/>
  <c r="BN179" i="1"/>
  <c r="Z179" i="1"/>
  <c r="BP183" i="1"/>
  <c r="BN183" i="1"/>
  <c r="Z183" i="1"/>
  <c r="BP205" i="1"/>
  <c r="BN205" i="1"/>
  <c r="Z205" i="1"/>
  <c r="BP209" i="1"/>
  <c r="BN209" i="1"/>
  <c r="Z209" i="1"/>
  <c r="Y211" i="1"/>
  <c r="L574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55" i="1"/>
  <c r="BN255" i="1"/>
  <c r="Z255" i="1"/>
  <c r="Z256" i="1" s="1"/>
  <c r="Y257" i="1"/>
  <c r="Y262" i="1"/>
  <c r="BP259" i="1"/>
  <c r="BN259" i="1"/>
  <c r="Z259" i="1"/>
  <c r="BP267" i="1"/>
  <c r="BN267" i="1"/>
  <c r="Z267" i="1"/>
  <c r="BP298" i="1"/>
  <c r="BN298" i="1"/>
  <c r="Z298" i="1"/>
  <c r="Y302" i="1"/>
  <c r="BP314" i="1"/>
  <c r="BN314" i="1"/>
  <c r="Z314" i="1"/>
  <c r="Y318" i="1"/>
  <c r="BP323" i="1"/>
  <c r="BN323" i="1"/>
  <c r="Z323" i="1"/>
  <c r="BP327" i="1"/>
  <c r="BN327" i="1"/>
  <c r="Z327" i="1"/>
  <c r="Y329" i="1"/>
  <c r="Y335" i="1"/>
  <c r="BP332" i="1"/>
  <c r="BN332" i="1"/>
  <c r="Z332" i="1"/>
  <c r="Y336" i="1"/>
  <c r="BP341" i="1"/>
  <c r="BN341" i="1"/>
  <c r="Z341" i="1"/>
  <c r="BP372" i="1"/>
  <c r="BN372" i="1"/>
  <c r="Z372" i="1"/>
  <c r="Y376" i="1"/>
  <c r="BP380" i="1"/>
  <c r="BN380" i="1"/>
  <c r="Z380" i="1"/>
  <c r="Y386" i="1"/>
  <c r="BP384" i="1"/>
  <c r="BN384" i="1"/>
  <c r="Z384" i="1"/>
  <c r="BP416" i="1"/>
  <c r="BN416" i="1"/>
  <c r="Z416" i="1"/>
  <c r="Z418" i="1" s="1"/>
  <c r="Y418" i="1"/>
  <c r="BP462" i="1"/>
  <c r="BN462" i="1"/>
  <c r="Z462" i="1"/>
  <c r="Z463" i="1" s="1"/>
  <c r="Y464" i="1"/>
  <c r="Y470" i="1"/>
  <c r="BP467" i="1"/>
  <c r="BN467" i="1"/>
  <c r="Z467" i="1"/>
  <c r="Z469" i="1" s="1"/>
  <c r="Y469" i="1"/>
  <c r="Y574" i="1"/>
  <c r="Q574" i="1"/>
  <c r="H9" i="1"/>
  <c r="B574" i="1"/>
  <c r="X565" i="1"/>
  <c r="X566" i="1"/>
  <c r="X568" i="1"/>
  <c r="Y24" i="1"/>
  <c r="Z27" i="1"/>
  <c r="BN27" i="1"/>
  <c r="Z29" i="1"/>
  <c r="BN29" i="1"/>
  <c r="Z35" i="1"/>
  <c r="Z36" i="1" s="1"/>
  <c r="BN35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74" i="1"/>
  <c r="Z60" i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Z95" i="1" s="1"/>
  <c r="BN89" i="1"/>
  <c r="BP89" i="1"/>
  <c r="Z91" i="1"/>
  <c r="BN91" i="1"/>
  <c r="Z93" i="1"/>
  <c r="BN93" i="1"/>
  <c r="Y96" i="1"/>
  <c r="Z99" i="1"/>
  <c r="BN99" i="1"/>
  <c r="Z101" i="1"/>
  <c r="BN101" i="1"/>
  <c r="Z106" i="1"/>
  <c r="Z113" i="1" s="1"/>
  <c r="BN106" i="1"/>
  <c r="BP106" i="1"/>
  <c r="Z108" i="1"/>
  <c r="BN108" i="1"/>
  <c r="Z110" i="1"/>
  <c r="BN110" i="1"/>
  <c r="Z112" i="1"/>
  <c r="BN112" i="1"/>
  <c r="Y113" i="1"/>
  <c r="Z116" i="1"/>
  <c r="Z120" i="1" s="1"/>
  <c r="BN116" i="1"/>
  <c r="BP116" i="1"/>
  <c r="Z118" i="1"/>
  <c r="BN118" i="1"/>
  <c r="Z124" i="1"/>
  <c r="BN124" i="1"/>
  <c r="Z126" i="1"/>
  <c r="BN126" i="1"/>
  <c r="Z130" i="1"/>
  <c r="Z131" i="1" s="1"/>
  <c r="BN130" i="1"/>
  <c r="BP130" i="1"/>
  <c r="Z135" i="1"/>
  <c r="Z137" i="1" s="1"/>
  <c r="BN135" i="1"/>
  <c r="BP135" i="1"/>
  <c r="Y138" i="1"/>
  <c r="Z141" i="1"/>
  <c r="Z142" i="1" s="1"/>
  <c r="BN141" i="1"/>
  <c r="Z145" i="1"/>
  <c r="Z147" i="1" s="1"/>
  <c r="BN145" i="1"/>
  <c r="Y147" i="1"/>
  <c r="BP152" i="1"/>
  <c r="BN152" i="1"/>
  <c r="Z152" i="1"/>
  <c r="BP165" i="1"/>
  <c r="BN165" i="1"/>
  <c r="Z165" i="1"/>
  <c r="Y172" i="1"/>
  <c r="BP177" i="1"/>
  <c r="BN177" i="1"/>
  <c r="Z177" i="1"/>
  <c r="BP181" i="1"/>
  <c r="BN181" i="1"/>
  <c r="Z181" i="1"/>
  <c r="Y185" i="1"/>
  <c r="BP189" i="1"/>
  <c r="BN189" i="1"/>
  <c r="Z189" i="1"/>
  <c r="Z190" i="1" s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74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Y232" i="1"/>
  <c r="BP236" i="1"/>
  <c r="BN236" i="1"/>
  <c r="Z236" i="1"/>
  <c r="Z240" i="1" s="1"/>
  <c r="Y240" i="1"/>
  <c r="BP244" i="1"/>
  <c r="BN244" i="1"/>
  <c r="Z244" i="1"/>
  <c r="Z246" i="1" s="1"/>
  <c r="Y261" i="1"/>
  <c r="BP265" i="1"/>
  <c r="BN265" i="1"/>
  <c r="Z265" i="1"/>
  <c r="BP269" i="1"/>
  <c r="BN269" i="1"/>
  <c r="Z269" i="1"/>
  <c r="BP277" i="1"/>
  <c r="BN277" i="1"/>
  <c r="Z277" i="1"/>
  <c r="BP281" i="1"/>
  <c r="BN281" i="1"/>
  <c r="Z281" i="1"/>
  <c r="BP285" i="1"/>
  <c r="BN285" i="1"/>
  <c r="Z285" i="1"/>
  <c r="Y287" i="1"/>
  <c r="Y292" i="1"/>
  <c r="BP289" i="1"/>
  <c r="BN289" i="1"/>
  <c r="Z289" i="1"/>
  <c r="Y291" i="1"/>
  <c r="BP363" i="1"/>
  <c r="BN363" i="1"/>
  <c r="Z363" i="1"/>
  <c r="Y365" i="1"/>
  <c r="BP392" i="1"/>
  <c r="BN392" i="1"/>
  <c r="Z392" i="1"/>
  <c r="Y394" i="1"/>
  <c r="Y399" i="1"/>
  <c r="BP396" i="1"/>
  <c r="BN396" i="1"/>
  <c r="Z396" i="1"/>
  <c r="Y400" i="1"/>
  <c r="BP404" i="1"/>
  <c r="BN404" i="1"/>
  <c r="Z404" i="1"/>
  <c r="I574" i="1"/>
  <c r="Y155" i="1"/>
  <c r="M574" i="1"/>
  <c r="Y256" i="1"/>
  <c r="Y272" i="1"/>
  <c r="BP271" i="1"/>
  <c r="BN271" i="1"/>
  <c r="Z271" i="1"/>
  <c r="Y273" i="1"/>
  <c r="Y286" i="1"/>
  <c r="BP275" i="1"/>
  <c r="BN275" i="1"/>
  <c r="Z275" i="1"/>
  <c r="BP279" i="1"/>
  <c r="BN279" i="1"/>
  <c r="Z279" i="1"/>
  <c r="BP283" i="1"/>
  <c r="BN283" i="1"/>
  <c r="Z283" i="1"/>
  <c r="BP296" i="1"/>
  <c r="BN296" i="1"/>
  <c r="Z296" i="1"/>
  <c r="BP300" i="1"/>
  <c r="BN300" i="1"/>
  <c r="Z300" i="1"/>
  <c r="Y317" i="1"/>
  <c r="BP316" i="1"/>
  <c r="BN316" i="1"/>
  <c r="Z316" i="1"/>
  <c r="P574" i="1"/>
  <c r="Y328" i="1"/>
  <c r="BP321" i="1"/>
  <c r="BN321" i="1"/>
  <c r="Z321" i="1"/>
  <c r="BP325" i="1"/>
  <c r="BN325" i="1"/>
  <c r="Z325" i="1"/>
  <c r="BP334" i="1"/>
  <c r="BN334" i="1"/>
  <c r="Z334" i="1"/>
  <c r="R574" i="1"/>
  <c r="Y344" i="1"/>
  <c r="BP339" i="1"/>
  <c r="BN339" i="1"/>
  <c r="Z339" i="1"/>
  <c r="Y343" i="1"/>
  <c r="BP347" i="1"/>
  <c r="BN347" i="1"/>
  <c r="Z347" i="1"/>
  <c r="BP370" i="1"/>
  <c r="BN370" i="1"/>
  <c r="Z370" i="1"/>
  <c r="BP374" i="1"/>
  <c r="BN374" i="1"/>
  <c r="Z374" i="1"/>
  <c r="Z376" i="1" s="1"/>
  <c r="Y387" i="1"/>
  <c r="BP382" i="1"/>
  <c r="BN382" i="1"/>
  <c r="Z382" i="1"/>
  <c r="BP390" i="1"/>
  <c r="BN390" i="1"/>
  <c r="Z390" i="1"/>
  <c r="Z393" i="1" s="1"/>
  <c r="BP398" i="1"/>
  <c r="BN398" i="1"/>
  <c r="Z398" i="1"/>
  <c r="Y407" i="1"/>
  <c r="BP402" i="1"/>
  <c r="BN402" i="1"/>
  <c r="Z402" i="1"/>
  <c r="Z406" i="1" s="1"/>
  <c r="Y406" i="1"/>
  <c r="Z412" i="1"/>
  <c r="BP410" i="1"/>
  <c r="BN410" i="1"/>
  <c r="Z410" i="1"/>
  <c r="Y419" i="1"/>
  <c r="BP423" i="1"/>
  <c r="BN423" i="1"/>
  <c r="Z423" i="1"/>
  <c r="BP432" i="1"/>
  <c r="BN432" i="1"/>
  <c r="Z432" i="1"/>
  <c r="Y434" i="1"/>
  <c r="X574" i="1"/>
  <c r="Y447" i="1"/>
  <c r="BP438" i="1"/>
  <c r="BN438" i="1"/>
  <c r="Z438" i="1"/>
  <c r="BP442" i="1"/>
  <c r="BN442" i="1"/>
  <c r="Z442" i="1"/>
  <c r="Y446" i="1"/>
  <c r="BP450" i="1"/>
  <c r="BN450" i="1"/>
  <c r="Z450" i="1"/>
  <c r="Z452" i="1" s="1"/>
  <c r="Y452" i="1"/>
  <c r="BP485" i="1"/>
  <c r="BN485" i="1"/>
  <c r="Z485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AA574" i="1"/>
  <c r="Y500" i="1"/>
  <c r="Y505" i="1"/>
  <c r="BP502" i="1"/>
  <c r="BN502" i="1"/>
  <c r="Z502" i="1"/>
  <c r="Y506" i="1"/>
  <c r="BP512" i="1"/>
  <c r="BN512" i="1"/>
  <c r="Z512" i="1"/>
  <c r="BP516" i="1"/>
  <c r="BN516" i="1"/>
  <c r="Z516" i="1"/>
  <c r="O574" i="1"/>
  <c r="Y303" i="1"/>
  <c r="Y355" i="1"/>
  <c r="T574" i="1"/>
  <c r="Y366" i="1"/>
  <c r="Y377" i="1"/>
  <c r="V574" i="1"/>
  <c r="Y426" i="1"/>
  <c r="BP422" i="1"/>
  <c r="BN422" i="1"/>
  <c r="Z422" i="1"/>
  <c r="BP425" i="1"/>
  <c r="BN425" i="1"/>
  <c r="Z425" i="1"/>
  <c r="Y427" i="1"/>
  <c r="W574" i="1"/>
  <c r="Y433" i="1"/>
  <c r="BP430" i="1"/>
  <c r="BN430" i="1"/>
  <c r="Z430" i="1"/>
  <c r="BP440" i="1"/>
  <c r="BN440" i="1"/>
  <c r="Z440" i="1"/>
  <c r="BP444" i="1"/>
  <c r="BN444" i="1"/>
  <c r="Z444" i="1"/>
  <c r="Y453" i="1"/>
  <c r="BP456" i="1"/>
  <c r="BN456" i="1"/>
  <c r="Z456" i="1"/>
  <c r="Z458" i="1" s="1"/>
  <c r="Y463" i="1"/>
  <c r="BP477" i="1"/>
  <c r="BN477" i="1"/>
  <c r="Z477" i="1"/>
  <c r="Z479" i="1" s="1"/>
  <c r="BP487" i="1"/>
  <c r="BN487" i="1"/>
  <c r="Z487" i="1"/>
  <c r="BP528" i="1"/>
  <c r="BN528" i="1"/>
  <c r="Z528" i="1"/>
  <c r="Y534" i="1"/>
  <c r="BP532" i="1"/>
  <c r="BN532" i="1"/>
  <c r="Z532" i="1"/>
  <c r="Z574" i="1"/>
  <c r="Y490" i="1"/>
  <c r="BP504" i="1"/>
  <c r="BN504" i="1"/>
  <c r="Z504" i="1"/>
  <c r="AB574" i="1"/>
  <c r="Y519" i="1"/>
  <c r="BP510" i="1"/>
  <c r="BN510" i="1"/>
  <c r="Z510" i="1"/>
  <c r="BP514" i="1"/>
  <c r="BN514" i="1"/>
  <c r="Z514" i="1"/>
  <c r="Y518" i="1"/>
  <c r="BP522" i="1"/>
  <c r="BN522" i="1"/>
  <c r="Z522" i="1"/>
  <c r="Z524" i="1" s="1"/>
  <c r="Y535" i="1"/>
  <c r="BP530" i="1"/>
  <c r="BN530" i="1"/>
  <c r="Z530" i="1"/>
  <c r="Z534" i="1" s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Z272" i="1" l="1"/>
  <c r="Z102" i="1"/>
  <c r="Y566" i="1"/>
  <c r="Z31" i="1"/>
  <c r="Z386" i="1"/>
  <c r="Y568" i="1"/>
  <c r="Z518" i="1"/>
  <c r="Z433" i="1"/>
  <c r="Z490" i="1"/>
  <c r="Z343" i="1"/>
  <c r="Z302" i="1"/>
  <c r="Z365" i="1"/>
  <c r="Z291" i="1"/>
  <c r="Z155" i="1"/>
  <c r="Z127" i="1"/>
  <c r="Z67" i="1"/>
  <c r="Y565" i="1"/>
  <c r="Z317" i="1"/>
  <c r="Z261" i="1"/>
  <c r="Y567" i="1"/>
  <c r="Z426" i="1"/>
  <c r="Z505" i="1"/>
  <c r="Z328" i="1"/>
  <c r="Z286" i="1"/>
  <c r="Z399" i="1"/>
  <c r="Z210" i="1"/>
  <c r="Z85" i="1"/>
  <c r="Y564" i="1"/>
  <c r="Z335" i="1"/>
  <c r="Z185" i="1"/>
  <c r="Z446" i="1"/>
  <c r="X567" i="1"/>
  <c r="Z232" i="1"/>
  <c r="Z167" i="1"/>
  <c r="Z569" i="1" l="1"/>
</calcChain>
</file>

<file path=xl/sharedStrings.xml><?xml version="1.0" encoding="utf-8"?>
<sst xmlns="http://schemas.openxmlformats.org/spreadsheetml/2006/main" count="2536" uniqueCount="916">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</sst>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64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21" t="s">
        <v>0</v>
      </c>
      <c r="E1" s="662"/>
      <c r="F1" s="662"/>
      <c r="G1" s="12" t="s">
        <v>1</v>
      </c>
      <c r="H1" s="721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61" t="s">
        <v>8</v>
      </c>
      <c r="B5" s="691"/>
      <c r="C5" s="692"/>
      <c r="D5" s="727"/>
      <c r="E5" s="728"/>
      <c r="F5" s="963" t="s">
        <v>9</v>
      </c>
      <c r="G5" s="692"/>
      <c r="H5" s="727"/>
      <c r="I5" s="893"/>
      <c r="J5" s="893"/>
      <c r="K5" s="893"/>
      <c r="L5" s="893"/>
      <c r="M5" s="728"/>
      <c r="N5" s="58"/>
      <c r="P5" s="24" t="s">
        <v>10</v>
      </c>
      <c r="Q5" s="976">
        <v>46314</v>
      </c>
      <c r="R5" s="759"/>
      <c r="T5" s="810" t="s">
        <v>11</v>
      </c>
      <c r="U5" s="799"/>
      <c r="V5" s="811" t="s">
        <v>12</v>
      </c>
      <c r="W5" s="759"/>
      <c r="AB5" s="51"/>
      <c r="AC5" s="51"/>
      <c r="AD5" s="51"/>
      <c r="AE5" s="51"/>
    </row>
    <row r="6" spans="1:32" s="627" customFormat="1" ht="24" customHeight="1" x14ac:dyDescent="0.2">
      <c r="A6" s="761" t="s">
        <v>13</v>
      </c>
      <c r="B6" s="691"/>
      <c r="C6" s="692"/>
      <c r="D6" s="898"/>
      <c r="E6" s="899"/>
      <c r="F6" s="899"/>
      <c r="G6" s="899"/>
      <c r="H6" s="899"/>
      <c r="I6" s="899"/>
      <c r="J6" s="899"/>
      <c r="K6" s="899"/>
      <c r="L6" s="899"/>
      <c r="M6" s="759"/>
      <c r="N6" s="59"/>
      <c r="P6" s="24" t="s">
        <v>14</v>
      </c>
      <c r="Q6" s="984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18" t="s">
        <v>15</v>
      </c>
      <c r="U6" s="799"/>
      <c r="V6" s="880" t="s">
        <v>16</v>
      </c>
      <c r="W6" s="68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9">
        <f>IFERROR(VLOOKUP(DeliveryAddress,Table,3,0),1)</f>
        <v>1</v>
      </c>
      <c r="E7" s="700"/>
      <c r="F7" s="700"/>
      <c r="G7" s="700"/>
      <c r="H7" s="700"/>
      <c r="I7" s="700"/>
      <c r="J7" s="700"/>
      <c r="K7" s="700"/>
      <c r="L7" s="700"/>
      <c r="M7" s="701"/>
      <c r="N7" s="60"/>
      <c r="P7" s="24"/>
      <c r="Q7" s="42"/>
      <c r="R7" s="42"/>
      <c r="T7" s="645"/>
      <c r="U7" s="799"/>
      <c r="V7" s="881"/>
      <c r="W7" s="882"/>
      <c r="AB7" s="51"/>
      <c r="AC7" s="51"/>
      <c r="AD7" s="51"/>
      <c r="AE7" s="51"/>
    </row>
    <row r="8" spans="1:32" s="627" customFormat="1" ht="25.5" customHeight="1" x14ac:dyDescent="0.2">
      <c r="A8" s="997" t="s">
        <v>17</v>
      </c>
      <c r="B8" s="652"/>
      <c r="C8" s="653"/>
      <c r="D8" s="711"/>
      <c r="E8" s="712"/>
      <c r="F8" s="712"/>
      <c r="G8" s="712"/>
      <c r="H8" s="712"/>
      <c r="I8" s="712"/>
      <c r="J8" s="712"/>
      <c r="K8" s="712"/>
      <c r="L8" s="712"/>
      <c r="M8" s="713"/>
      <c r="N8" s="61"/>
      <c r="P8" s="24" t="s">
        <v>18</v>
      </c>
      <c r="Q8" s="769">
        <v>0.41666666666666669</v>
      </c>
      <c r="R8" s="701"/>
      <c r="T8" s="645"/>
      <c r="U8" s="799"/>
      <c r="V8" s="881"/>
      <c r="W8" s="882"/>
      <c r="AB8" s="51"/>
      <c r="AC8" s="51"/>
      <c r="AD8" s="51"/>
      <c r="AE8" s="51"/>
    </row>
    <row r="9" spans="1:32" s="627" customFormat="1" ht="39.950000000000003" customHeight="1" x14ac:dyDescent="0.2">
      <c r="A9" s="78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82"/>
      <c r="E9" s="650"/>
      <c r="F9" s="78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25"/>
      <c r="P9" s="26" t="s">
        <v>19</v>
      </c>
      <c r="Q9" s="755"/>
      <c r="R9" s="756"/>
      <c r="T9" s="645"/>
      <c r="U9" s="799"/>
      <c r="V9" s="883"/>
      <c r="W9" s="884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78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82"/>
      <c r="E10" s="650"/>
      <c r="F10" s="78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70" t="str">
        <f>IFERROR(VLOOKUP($D$10,Proxy,2,FALSE),"")</f>
        <v/>
      </c>
      <c r="I10" s="645"/>
      <c r="J10" s="645"/>
      <c r="K10" s="645"/>
      <c r="L10" s="645"/>
      <c r="M10" s="645"/>
      <c r="N10" s="626"/>
      <c r="P10" s="26" t="s">
        <v>20</v>
      </c>
      <c r="Q10" s="819"/>
      <c r="R10" s="820"/>
      <c r="U10" s="24" t="s">
        <v>21</v>
      </c>
      <c r="V10" s="684" t="s">
        <v>22</v>
      </c>
      <c r="W10" s="68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8"/>
      <c r="R11" s="759"/>
      <c r="U11" s="24" t="s">
        <v>25</v>
      </c>
      <c r="V11" s="928" t="s">
        <v>26</v>
      </c>
      <c r="W11" s="756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05" t="s">
        <v>27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2"/>
      <c r="N12" s="62"/>
      <c r="P12" s="24" t="s">
        <v>28</v>
      </c>
      <c r="Q12" s="769"/>
      <c r="R12" s="701"/>
      <c r="S12" s="23"/>
      <c r="U12" s="24"/>
      <c r="V12" s="662"/>
      <c r="W12" s="645"/>
      <c r="AB12" s="51"/>
      <c r="AC12" s="51"/>
      <c r="AD12" s="51"/>
      <c r="AE12" s="51"/>
    </row>
    <row r="13" spans="1:32" s="627" customFormat="1" ht="23.25" customHeight="1" x14ac:dyDescent="0.2">
      <c r="A13" s="805" t="s">
        <v>29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2"/>
      <c r="N13" s="62"/>
      <c r="O13" s="26"/>
      <c r="P13" s="26" t="s">
        <v>30</v>
      </c>
      <c r="Q13" s="928"/>
      <c r="R13" s="7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05" t="s">
        <v>31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1" t="s">
        <v>32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2"/>
      <c r="N15" s="63"/>
      <c r="P15" s="795" t="s">
        <v>33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6"/>
      <c r="Q16" s="796"/>
      <c r="R16" s="796"/>
      <c r="S16" s="796"/>
      <c r="T16" s="79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34</v>
      </c>
      <c r="B17" s="679" t="s">
        <v>35</v>
      </c>
      <c r="C17" s="779" t="s">
        <v>36</v>
      </c>
      <c r="D17" s="679" t="s">
        <v>37</v>
      </c>
      <c r="E17" s="741"/>
      <c r="F17" s="679" t="s">
        <v>38</v>
      </c>
      <c r="G17" s="679" t="s">
        <v>39</v>
      </c>
      <c r="H17" s="679" t="s">
        <v>40</v>
      </c>
      <c r="I17" s="679" t="s">
        <v>41</v>
      </c>
      <c r="J17" s="679" t="s">
        <v>42</v>
      </c>
      <c r="K17" s="679" t="s">
        <v>43</v>
      </c>
      <c r="L17" s="679" t="s">
        <v>44</v>
      </c>
      <c r="M17" s="679" t="s">
        <v>45</v>
      </c>
      <c r="N17" s="679" t="s">
        <v>46</v>
      </c>
      <c r="O17" s="679" t="s">
        <v>47</v>
      </c>
      <c r="P17" s="679" t="s">
        <v>48</v>
      </c>
      <c r="Q17" s="740"/>
      <c r="R17" s="740"/>
      <c r="S17" s="740"/>
      <c r="T17" s="741"/>
      <c r="U17" s="991" t="s">
        <v>49</v>
      </c>
      <c r="V17" s="692"/>
      <c r="W17" s="679" t="s">
        <v>50</v>
      </c>
      <c r="X17" s="679" t="s">
        <v>51</v>
      </c>
      <c r="Y17" s="994" t="s">
        <v>52</v>
      </c>
      <c r="Z17" s="891" t="s">
        <v>53</v>
      </c>
      <c r="AA17" s="868" t="s">
        <v>54</v>
      </c>
      <c r="AB17" s="868" t="s">
        <v>55</v>
      </c>
      <c r="AC17" s="868" t="s">
        <v>56</v>
      </c>
      <c r="AD17" s="868" t="s">
        <v>57</v>
      </c>
      <c r="AE17" s="958"/>
      <c r="AF17" s="959"/>
      <c r="AG17" s="66"/>
      <c r="BD17" s="65" t="s">
        <v>58</v>
      </c>
    </row>
    <row r="18" spans="1:68" ht="14.25" customHeight="1" x14ac:dyDescent="0.2">
      <c r="A18" s="680"/>
      <c r="B18" s="680"/>
      <c r="C18" s="680"/>
      <c r="D18" s="742"/>
      <c r="E18" s="744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2"/>
      <c r="Q18" s="743"/>
      <c r="R18" s="743"/>
      <c r="S18" s="743"/>
      <c r="T18" s="744"/>
      <c r="U18" s="67" t="s">
        <v>59</v>
      </c>
      <c r="V18" s="67" t="s">
        <v>60</v>
      </c>
      <c r="W18" s="680"/>
      <c r="X18" s="680"/>
      <c r="Y18" s="995"/>
      <c r="Z18" s="892"/>
      <c r="AA18" s="869"/>
      <c r="AB18" s="869"/>
      <c r="AC18" s="869"/>
      <c r="AD18" s="960"/>
      <c r="AE18" s="961"/>
      <c r="AF18" s="962"/>
      <c r="AG18" s="66"/>
      <c r="BD18" s="65"/>
    </row>
    <row r="19" spans="1:68" ht="27.75" hidden="1" customHeight="1" x14ac:dyDescent="0.2">
      <c r="A19" s="674" t="s">
        <v>61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48"/>
      <c r="AB19" s="48"/>
      <c r="AC19" s="48"/>
    </row>
    <row r="20" spans="1:68" ht="16.5" hidden="1" customHeight="1" x14ac:dyDescent="0.25">
      <c r="A20" s="654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8"/>
      <c r="AB20" s="628"/>
      <c r="AC20" s="628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1" t="s">
        <v>69</v>
      </c>
      <c r="Q23" s="652"/>
      <c r="R23" s="652"/>
      <c r="S23" s="652"/>
      <c r="T23" s="652"/>
      <c r="U23" s="652"/>
      <c r="V23" s="653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1" t="s">
        <v>69</v>
      </c>
      <c r="Q24" s="652"/>
      <c r="R24" s="652"/>
      <c r="S24" s="652"/>
      <c r="T24" s="652"/>
      <c r="U24" s="652"/>
      <c r="V24" s="653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9"/>
      <c r="AB25" s="629"/>
      <c r="AC25" s="629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20</v>
      </c>
      <c r="Y28" s="634">
        <f>IFERROR(IF(X28="",0,CEILING((X28/$H28),1)*$H28),"")</f>
        <v>21.6</v>
      </c>
      <c r="Z28" s="36">
        <f>IFERROR(IF(Y28=0,"",ROUNDUP(Y28/H28,0)*0.00651),"")</f>
        <v>7.8119999999999995E-2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35.333333333333336</v>
      </c>
      <c r="BN28" s="64">
        <f>IFERROR(Y28*I28/H28,"0")</f>
        <v>38.160000000000004</v>
      </c>
      <c r="BO28" s="64">
        <f>IFERROR(1/J28*(X28/H28),"0")</f>
        <v>6.1050061050061055E-2</v>
      </c>
      <c r="BP28" s="64">
        <f>IFERROR(1/J28*(Y28/H28),"0")</f>
        <v>6.5934065934065936E-2</v>
      </c>
    </row>
    <row r="29" spans="1:68" ht="27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14</v>
      </c>
      <c r="Y29" s="634">
        <f>IFERROR(IF(X29="",0,CEILING((X29/$H29),1)*$H29),"")</f>
        <v>14.4</v>
      </c>
      <c r="Z29" s="36">
        <f>IFERROR(IF(Y29=0,"",ROUNDUP(Y29/H29,0)*0.00651),"")</f>
        <v>5.2080000000000001E-2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24.733333333333334</v>
      </c>
      <c r="BN29" s="64">
        <f>IFERROR(Y29*I29/H29,"0")</f>
        <v>25.44</v>
      </c>
      <c r="BO29" s="64">
        <f>IFERROR(1/J29*(X29/H29),"0")</f>
        <v>4.2735042735042736E-2</v>
      </c>
      <c r="BP29" s="64">
        <f>IFERROR(1/J29*(Y29/H29),"0")</f>
        <v>4.3956043956043959E-2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1" t="s">
        <v>69</v>
      </c>
      <c r="Q31" s="652"/>
      <c r="R31" s="652"/>
      <c r="S31" s="652"/>
      <c r="T31" s="652"/>
      <c r="U31" s="652"/>
      <c r="V31" s="653"/>
      <c r="W31" s="37" t="s">
        <v>70</v>
      </c>
      <c r="X31" s="635">
        <f>IFERROR(X26/H26,"0")+IFERROR(X27/H27,"0")+IFERROR(X28/H28,"0")+IFERROR(X29/H29,"0")+IFERROR(X30/H30,"0")</f>
        <v>18.888888888888889</v>
      </c>
      <c r="Y31" s="635">
        <f>IFERROR(Y26/H26,"0")+IFERROR(Y27/H27,"0")+IFERROR(Y28/H28,"0")+IFERROR(Y29/H29,"0")+IFERROR(Y30/H30,"0")</f>
        <v>20</v>
      </c>
      <c r="Z31" s="635">
        <f>IFERROR(IF(Z26="",0,Z26),"0")+IFERROR(IF(Z27="",0,Z27),"0")+IFERROR(IF(Z28="",0,Z28),"0")+IFERROR(IF(Z29="",0,Z29),"0")+IFERROR(IF(Z30="",0,Z30),"0")</f>
        <v>0.13019999999999998</v>
      </c>
      <c r="AA31" s="636"/>
      <c r="AB31" s="636"/>
      <c r="AC31" s="636"/>
    </row>
    <row r="32" spans="1:68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1" t="s">
        <v>69</v>
      </c>
      <c r="Q32" s="652"/>
      <c r="R32" s="652"/>
      <c r="S32" s="652"/>
      <c r="T32" s="652"/>
      <c r="U32" s="652"/>
      <c r="V32" s="653"/>
      <c r="W32" s="37" t="s">
        <v>67</v>
      </c>
      <c r="X32" s="635">
        <f>IFERROR(SUM(X26:X30),"0")</f>
        <v>34</v>
      </c>
      <c r="Y32" s="635">
        <f>IFERROR(SUM(Y26:Y30),"0")</f>
        <v>36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9"/>
      <c r="AB33" s="629"/>
      <c r="AC33" s="629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4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1" t="s">
        <v>69</v>
      </c>
      <c r="Q36" s="652"/>
      <c r="R36" s="652"/>
      <c r="S36" s="652"/>
      <c r="T36" s="652"/>
      <c r="U36" s="652"/>
      <c r="V36" s="653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1" t="s">
        <v>69</v>
      </c>
      <c r="Q37" s="652"/>
      <c r="R37" s="652"/>
      <c r="S37" s="652"/>
      <c r="T37" s="652"/>
      <c r="U37" s="652"/>
      <c r="V37" s="653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74" t="s">
        <v>100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48"/>
      <c r="AB38" s="48"/>
      <c r="AC38" s="48"/>
    </row>
    <row r="39" spans="1:68" ht="16.5" hidden="1" customHeight="1" x14ac:dyDescent="0.25">
      <c r="A39" s="654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8"/>
      <c r="AB39" s="628"/>
      <c r="AC39" s="628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9"/>
      <c r="AB40" s="629"/>
      <c r="AC40" s="629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1" t="s">
        <v>69</v>
      </c>
      <c r="Q46" s="652"/>
      <c r="R46" s="652"/>
      <c r="S46" s="652"/>
      <c r="T46" s="652"/>
      <c r="U46" s="652"/>
      <c r="V46" s="653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1" t="s">
        <v>69</v>
      </c>
      <c r="Q47" s="652"/>
      <c r="R47" s="652"/>
      <c r="S47" s="652"/>
      <c r="T47" s="652"/>
      <c r="U47" s="652"/>
      <c r="V47" s="653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74" t="s">
        <v>117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48"/>
      <c r="AB48" s="48"/>
      <c r="AC48" s="48"/>
    </row>
    <row r="49" spans="1:68" ht="16.5" hidden="1" customHeight="1" x14ac:dyDescent="0.25">
      <c r="A49" s="654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8"/>
      <c r="AB49" s="628"/>
      <c r="AC49" s="628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9"/>
      <c r="AB50" s="629"/>
      <c r="AC50" s="629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540</v>
      </c>
      <c r="Y51" s="634">
        <f>IFERROR(IF(X51="",0,CEILING((X51/$H51),1)*$H51),"")</f>
        <v>540</v>
      </c>
      <c r="Z51" s="36">
        <f>IFERROR(IF(Y51=0,"",ROUNDUP(Y51/H51,0)*0.01898),"")</f>
        <v>0.94900000000000007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560.5</v>
      </c>
      <c r="BN51" s="64">
        <f>IFERROR(Y51*I51/H51,"0")</f>
        <v>560.5</v>
      </c>
      <c r="BO51" s="64">
        <f>IFERROR(1/J51*(X51/H51),"0")</f>
        <v>0.78125</v>
      </c>
      <c r="BP51" s="64">
        <f>IFERROR(1/J51*(Y51/H51),"0")</f>
        <v>0.78125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4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8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0</v>
      </c>
      <c r="Y53" s="634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21</v>
      </c>
      <c r="Y54" s="634">
        <f>IFERROR(IF(X54="",0,CEILING((X54/$H54),1)*$H54),"")</f>
        <v>22.200000000000003</v>
      </c>
      <c r="Z54" s="36">
        <f>IFERROR(IF(Y54=0,"",ROUNDUP(Y54/H54,0)*0.00902),"")</f>
        <v>5.4120000000000001E-2</v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22.078378378378378</v>
      </c>
      <c r="BN54" s="64">
        <f>IFERROR(Y54*I54/H54,"0")</f>
        <v>23.340000000000003</v>
      </c>
      <c r="BO54" s="64">
        <f>IFERROR(1/J54*(X54/H54),"0")</f>
        <v>4.2997542997542999E-2</v>
      </c>
      <c r="BP54" s="64">
        <f>IFERROR(1/J54*(Y54/H54),"0")</f>
        <v>4.5454545454545463E-2</v>
      </c>
    </row>
    <row r="55" spans="1:68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1" t="s">
        <v>69</v>
      </c>
      <c r="Q55" s="652"/>
      <c r="R55" s="652"/>
      <c r="S55" s="652"/>
      <c r="T55" s="652"/>
      <c r="U55" s="652"/>
      <c r="V55" s="653"/>
      <c r="W55" s="37" t="s">
        <v>70</v>
      </c>
      <c r="X55" s="635">
        <f>IFERROR(X51/H51,"0")+IFERROR(X52/H52,"0")+IFERROR(X53/H53,"0")+IFERROR(X54/H54,"0")</f>
        <v>55.675675675675677</v>
      </c>
      <c r="Y55" s="635">
        <f>IFERROR(Y51/H51,"0")+IFERROR(Y52/H52,"0")+IFERROR(Y53/H53,"0")+IFERROR(Y54/H54,"0")</f>
        <v>56</v>
      </c>
      <c r="Z55" s="635">
        <f>IFERROR(IF(Z51="",0,Z51),"0")+IFERROR(IF(Z52="",0,Z52),"0")+IFERROR(IF(Z53="",0,Z53),"0")+IFERROR(IF(Z54="",0,Z54),"0")</f>
        <v>1.00312</v>
      </c>
      <c r="AA55" s="636"/>
      <c r="AB55" s="636"/>
      <c r="AC55" s="636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1" t="s">
        <v>69</v>
      </c>
      <c r="Q56" s="652"/>
      <c r="R56" s="652"/>
      <c r="S56" s="652"/>
      <c r="T56" s="652"/>
      <c r="U56" s="652"/>
      <c r="V56" s="653"/>
      <c r="W56" s="37" t="s">
        <v>67</v>
      </c>
      <c r="X56" s="635">
        <f>IFERROR(SUM(X51:X54),"0")</f>
        <v>561</v>
      </c>
      <c r="Y56" s="635">
        <f>IFERROR(SUM(Y51:Y54),"0")</f>
        <v>562.20000000000005</v>
      </c>
      <c r="Z56" s="37"/>
      <c r="AA56" s="636"/>
      <c r="AB56" s="636"/>
      <c r="AC56" s="636"/>
    </row>
    <row r="57" spans="1:68" ht="16.5" hidden="1" customHeight="1" x14ac:dyDescent="0.25">
      <c r="A57" s="654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8"/>
      <c r="AB57" s="628"/>
      <c r="AC57" s="628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9"/>
      <c r="AB58" s="629"/>
      <c r="AC58" s="629"/>
    </row>
    <row r="59" spans="1:68" ht="27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96</v>
      </c>
      <c r="Y59" s="634">
        <f t="shared" ref="Y59:Y66" si="0">IFERROR(IF(X59="",0,CEILING((X59/$H59),1)*$H59),"")</f>
        <v>100.8</v>
      </c>
      <c r="Z59" s="36">
        <f>IFERROR(IF(Y59=0,"",ROUNDUP(Y59/H59,0)*0.01898),"")</f>
        <v>0.17082</v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99.51428571428572</v>
      </c>
      <c r="BN59" s="64">
        <f t="shared" ref="BN59:BN66" si="2">IFERROR(Y59*I59/H59,"0")</f>
        <v>104.49000000000001</v>
      </c>
      <c r="BO59" s="64">
        <f t="shared" ref="BO59:BO66" si="3">IFERROR(1/J59*(X59/H59),"0")</f>
        <v>0.13392857142857142</v>
      </c>
      <c r="BP59" s="64">
        <f t="shared" ref="BP59:BP66" si="4">IFERROR(1/J59*(Y59/H59),"0")</f>
        <v>0.140625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379</v>
      </c>
      <c r="Y60" s="634">
        <f t="shared" si="0"/>
        <v>388.8</v>
      </c>
      <c r="Z60" s="36">
        <f>IFERROR(IF(Y60=0,"",ROUNDUP(Y60/H60,0)*0.01898),"")</f>
        <v>0.68328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393.38796296296294</v>
      </c>
      <c r="BN60" s="64">
        <f t="shared" si="2"/>
        <v>403.56</v>
      </c>
      <c r="BO60" s="64">
        <f t="shared" si="3"/>
        <v>0.54832175925925919</v>
      </c>
      <c r="BP60" s="64">
        <f t="shared" si="4"/>
        <v>0.5625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29</v>
      </c>
      <c r="Y63" s="634">
        <f t="shared" si="0"/>
        <v>32</v>
      </c>
      <c r="Z63" s="36">
        <f>IFERROR(IF(Y63=0,"",ROUNDUP(Y63/H63,0)*0.00902),"")</f>
        <v>7.2160000000000002E-2</v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30.377500000000001</v>
      </c>
      <c r="BN63" s="64">
        <f t="shared" si="2"/>
        <v>33.520000000000003</v>
      </c>
      <c r="BO63" s="64">
        <f t="shared" si="3"/>
        <v>5.4924242424242424E-2</v>
      </c>
      <c r="BP63" s="64">
        <f t="shared" si="4"/>
        <v>6.0606060606060608E-2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23</v>
      </c>
      <c r="Y66" s="634">
        <f t="shared" si="0"/>
        <v>27</v>
      </c>
      <c r="Z66" s="36">
        <f>IFERROR(IF(Y66=0,"",ROUNDUP(Y66/H66,0)*0.00902),"")</f>
        <v>5.4120000000000001E-2</v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23.971111111111114</v>
      </c>
      <c r="BN66" s="64">
        <f t="shared" si="2"/>
        <v>28.14</v>
      </c>
      <c r="BO66" s="64">
        <f t="shared" si="3"/>
        <v>3.8720538720538718E-2</v>
      </c>
      <c r="BP66" s="64">
        <f t="shared" si="4"/>
        <v>4.5454545454545456E-2</v>
      </c>
    </row>
    <row r="67" spans="1:68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1" t="s">
        <v>69</v>
      </c>
      <c r="Q67" s="652"/>
      <c r="R67" s="652"/>
      <c r="S67" s="652"/>
      <c r="T67" s="652"/>
      <c r="U67" s="652"/>
      <c r="V67" s="653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56.025132275132265</v>
      </c>
      <c r="Y67" s="635">
        <f>IFERROR(Y59/H59,"0")+IFERROR(Y60/H60,"0")+IFERROR(Y61/H61,"0")+IFERROR(Y62/H62,"0")+IFERROR(Y63/H63,"0")+IFERROR(Y64/H64,"0")+IFERROR(Y65/H65,"0")+IFERROR(Y66/H66,"0")</f>
        <v>59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0.98038000000000003</v>
      </c>
      <c r="AA67" s="636"/>
      <c r="AB67" s="636"/>
      <c r="AC67" s="636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1" t="s">
        <v>69</v>
      </c>
      <c r="Q68" s="652"/>
      <c r="R68" s="652"/>
      <c r="S68" s="652"/>
      <c r="T68" s="652"/>
      <c r="U68" s="652"/>
      <c r="V68" s="653"/>
      <c r="W68" s="37" t="s">
        <v>67</v>
      </c>
      <c r="X68" s="635">
        <f>IFERROR(SUM(X59:X66),"0")</f>
        <v>527</v>
      </c>
      <c r="Y68" s="635">
        <f>IFERROR(SUM(Y59:Y66),"0")</f>
        <v>548.6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9"/>
      <c r="AB69" s="629"/>
      <c r="AC69" s="629"/>
    </row>
    <row r="70" spans="1:68" ht="27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49</v>
      </c>
      <c r="Y70" s="634">
        <f>IFERROR(IF(X70="",0,CEILING((X70/$H70),1)*$H70),"")</f>
        <v>54</v>
      </c>
      <c r="Z70" s="36">
        <f>IFERROR(IF(Y70=0,"",ROUNDUP(Y70/H70,0)*0.01898),"")</f>
        <v>9.4899999999999998E-2</v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50.860185185185188</v>
      </c>
      <c r="BN70" s="64">
        <f>IFERROR(Y70*I70/H70,"0")</f>
        <v>56.05</v>
      </c>
      <c r="BO70" s="64">
        <f>IFERROR(1/J70*(X70/H70),"0")</f>
        <v>7.0891203703703692E-2</v>
      </c>
      <c r="BP70" s="64">
        <f>IFERROR(1/J70*(Y70/H70),"0")</f>
        <v>7.8125E-2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1" t="s">
        <v>69</v>
      </c>
      <c r="Q74" s="652"/>
      <c r="R74" s="652"/>
      <c r="S74" s="652"/>
      <c r="T74" s="652"/>
      <c r="U74" s="652"/>
      <c r="V74" s="653"/>
      <c r="W74" s="37" t="s">
        <v>70</v>
      </c>
      <c r="X74" s="635">
        <f>IFERROR(X70/H70,"0")+IFERROR(X71/H71,"0")+IFERROR(X72/H72,"0")+IFERROR(X73/H73,"0")</f>
        <v>4.5370370370370363</v>
      </c>
      <c r="Y74" s="635">
        <f>IFERROR(Y70/H70,"0")+IFERROR(Y71/H71,"0")+IFERROR(Y72/H72,"0")+IFERROR(Y73/H73,"0")</f>
        <v>5</v>
      </c>
      <c r="Z74" s="635">
        <f>IFERROR(IF(Z70="",0,Z70),"0")+IFERROR(IF(Z71="",0,Z71),"0")+IFERROR(IF(Z72="",0,Z72),"0")+IFERROR(IF(Z73="",0,Z73),"0")</f>
        <v>9.4899999999999998E-2</v>
      </c>
      <c r="AA74" s="636"/>
      <c r="AB74" s="636"/>
      <c r="AC74" s="636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1" t="s">
        <v>69</v>
      </c>
      <c r="Q75" s="652"/>
      <c r="R75" s="652"/>
      <c r="S75" s="652"/>
      <c r="T75" s="652"/>
      <c r="U75" s="652"/>
      <c r="V75" s="653"/>
      <c r="W75" s="37" t="s">
        <v>67</v>
      </c>
      <c r="X75" s="635">
        <f>IFERROR(SUM(X70:X73),"0")</f>
        <v>49</v>
      </c>
      <c r="Y75" s="635">
        <f>IFERROR(SUM(Y70:Y73),"0")</f>
        <v>54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9"/>
      <c r="AB76" s="629"/>
      <c r="AC76" s="62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5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1" t="s">
        <v>69</v>
      </c>
      <c r="Q79" s="652"/>
      <c r="R79" s="652"/>
      <c r="S79" s="652"/>
      <c r="T79" s="652"/>
      <c r="U79" s="652"/>
      <c r="V79" s="653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1" t="s">
        <v>69</v>
      </c>
      <c r="Q80" s="652"/>
      <c r="R80" s="652"/>
      <c r="S80" s="652"/>
      <c r="T80" s="652"/>
      <c r="U80" s="652"/>
      <c r="V80" s="653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9"/>
      <c r="AB81" s="629"/>
      <c r="AC81" s="62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89</v>
      </c>
      <c r="Y82" s="634">
        <f>IFERROR(IF(X82="",0,CEILING((X82/$H82),1)*$H82),"")</f>
        <v>93.6</v>
      </c>
      <c r="Z82" s="36">
        <f>IFERROR(IF(Y82=0,"",ROUNDUP(Y82/H82,0)*0.01898),"")</f>
        <v>0.22776000000000002</v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93.678205128205136</v>
      </c>
      <c r="BN82" s="64">
        <f>IFERROR(Y82*I82/H82,"0")</f>
        <v>98.52000000000001</v>
      </c>
      <c r="BO82" s="64">
        <f>IFERROR(1/J82*(X82/H82),"0")</f>
        <v>0.17828525641025642</v>
      </c>
      <c r="BP82" s="64">
        <f>IFERROR(1/J82*(Y82/H82),"0")</f>
        <v>0.1875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8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1" t="s">
        <v>69</v>
      </c>
      <c r="Q85" s="652"/>
      <c r="R85" s="652"/>
      <c r="S85" s="652"/>
      <c r="T85" s="652"/>
      <c r="U85" s="652"/>
      <c r="V85" s="653"/>
      <c r="W85" s="37" t="s">
        <v>70</v>
      </c>
      <c r="X85" s="635">
        <f>IFERROR(X82/H82,"0")+IFERROR(X83/H83,"0")+IFERROR(X84/H84,"0")</f>
        <v>11.410256410256411</v>
      </c>
      <c r="Y85" s="635">
        <f>IFERROR(Y82/H82,"0")+IFERROR(Y83/H83,"0")+IFERROR(Y84/H84,"0")</f>
        <v>12</v>
      </c>
      <c r="Z85" s="635">
        <f>IFERROR(IF(Z82="",0,Z82),"0")+IFERROR(IF(Z83="",0,Z83),"0")+IFERROR(IF(Z84="",0,Z84),"0")</f>
        <v>0.22776000000000002</v>
      </c>
      <c r="AA85" s="636"/>
      <c r="AB85" s="636"/>
      <c r="AC85" s="636"/>
    </row>
    <row r="86" spans="1:68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1" t="s">
        <v>69</v>
      </c>
      <c r="Q86" s="652"/>
      <c r="R86" s="652"/>
      <c r="S86" s="652"/>
      <c r="T86" s="652"/>
      <c r="U86" s="652"/>
      <c r="V86" s="653"/>
      <c r="W86" s="37" t="s">
        <v>67</v>
      </c>
      <c r="X86" s="635">
        <f>IFERROR(SUM(X82:X84),"0")</f>
        <v>89</v>
      </c>
      <c r="Y86" s="635">
        <f>IFERROR(SUM(Y82:Y84),"0")</f>
        <v>93.6</v>
      </c>
      <c r="Z86" s="37"/>
      <c r="AA86" s="636"/>
      <c r="AB86" s="636"/>
      <c r="AC86" s="636"/>
    </row>
    <row r="87" spans="1:68" ht="16.5" hidden="1" customHeight="1" x14ac:dyDescent="0.25">
      <c r="A87" s="654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8"/>
      <c r="AB87" s="628"/>
      <c r="AC87" s="628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9"/>
      <c r="AB88" s="629"/>
      <c r="AC88" s="629"/>
    </row>
    <row r="89" spans="1:68" ht="27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109</v>
      </c>
      <c r="Y89" s="634">
        <f t="shared" ref="Y89:Y94" si="5">IFERROR(IF(X89="",0,CEILING((X89/$H89),1)*$H89),"")</f>
        <v>118.80000000000001</v>
      </c>
      <c r="Z89" s="36">
        <f>IFERROR(IF(Y89=0,"",ROUNDUP(Y89/H89,0)*0.01898),"")</f>
        <v>0.20877999999999999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113.13796296296296</v>
      </c>
      <c r="BN89" s="64">
        <f t="shared" ref="BN89:BN94" si="7">IFERROR(Y89*I89/H89,"0")</f>
        <v>123.31000000000002</v>
      </c>
      <c r="BO89" s="64">
        <f t="shared" ref="BO89:BO94" si="8">IFERROR(1/J89*(X89/H89),"0")</f>
        <v>0.15769675925925924</v>
      </c>
      <c r="BP89" s="64">
        <f t="shared" ref="BP89:BP94" si="9">IFERROR(1/J89*(Y89/H89),"0")</f>
        <v>0.171875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5</v>
      </c>
      <c r="Y91" s="634">
        <f t="shared" si="5"/>
        <v>5.44</v>
      </c>
      <c r="Z91" s="36">
        <f>IFERROR(IF(Y91=0,"",ROUNDUP(Y91/H91,0)*0.00726),"")</f>
        <v>2.904E-2</v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5.6617647058823524</v>
      </c>
      <c r="BN91" s="64">
        <f t="shared" si="7"/>
        <v>6.16</v>
      </c>
      <c r="BO91" s="64">
        <f t="shared" si="8"/>
        <v>1.9148284313725488E-2</v>
      </c>
      <c r="BP91" s="64">
        <f t="shared" si="9"/>
        <v>2.0833333333333332E-2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55</v>
      </c>
      <c r="Y94" s="634">
        <f t="shared" si="5"/>
        <v>58.5</v>
      </c>
      <c r="Z94" s="36">
        <f>IFERROR(IF(Y94=0,"",ROUNDUP(Y94/H94,0)*0.00902),"")</f>
        <v>0.11726</v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57.32222222222223</v>
      </c>
      <c r="BN94" s="64">
        <f t="shared" si="7"/>
        <v>60.97</v>
      </c>
      <c r="BO94" s="64">
        <f t="shared" si="8"/>
        <v>9.2592592592592587E-2</v>
      </c>
      <c r="BP94" s="64">
        <f t="shared" si="9"/>
        <v>9.8484848484848481E-2</v>
      </c>
    </row>
    <row r="95" spans="1:68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1" t="s">
        <v>69</v>
      </c>
      <c r="Q95" s="652"/>
      <c r="R95" s="652"/>
      <c r="S95" s="652"/>
      <c r="T95" s="652"/>
      <c r="U95" s="652"/>
      <c r="V95" s="653"/>
      <c r="W95" s="37" t="s">
        <v>70</v>
      </c>
      <c r="X95" s="635">
        <f>IFERROR(X89/H89,"0")+IFERROR(X90/H90,"0")+IFERROR(X91/H91,"0")+IFERROR(X92/H92,"0")+IFERROR(X93/H93,"0")+IFERROR(X94/H94,"0")</f>
        <v>25.991285403050107</v>
      </c>
      <c r="Y95" s="635">
        <f>IFERROR(Y89/H89,"0")+IFERROR(Y90/H90,"0")+IFERROR(Y91/H91,"0")+IFERROR(Y92/H92,"0")+IFERROR(Y93/H93,"0")+IFERROR(Y94/H94,"0")</f>
        <v>28</v>
      </c>
      <c r="Z95" s="635">
        <f>IFERROR(IF(Z89="",0,Z89),"0")+IFERROR(IF(Z90="",0,Z90),"0")+IFERROR(IF(Z91="",0,Z91),"0")+IFERROR(IF(Z92="",0,Z92),"0")+IFERROR(IF(Z93="",0,Z93),"0")+IFERROR(IF(Z94="",0,Z94),"0")</f>
        <v>0.35508000000000001</v>
      </c>
      <c r="AA95" s="636"/>
      <c r="AB95" s="636"/>
      <c r="AC95" s="636"/>
    </row>
    <row r="96" spans="1:68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1" t="s">
        <v>69</v>
      </c>
      <c r="Q96" s="652"/>
      <c r="R96" s="652"/>
      <c r="S96" s="652"/>
      <c r="T96" s="652"/>
      <c r="U96" s="652"/>
      <c r="V96" s="653"/>
      <c r="W96" s="37" t="s">
        <v>67</v>
      </c>
      <c r="X96" s="635">
        <f>IFERROR(SUM(X89:X94),"0")</f>
        <v>169</v>
      </c>
      <c r="Y96" s="635">
        <f>IFERROR(SUM(Y89:Y94),"0")</f>
        <v>182.74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9"/>
      <c r="AB97" s="629"/>
      <c r="AC97" s="629"/>
    </row>
    <row r="98" spans="1:68" ht="27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293</v>
      </c>
      <c r="Y98" s="634">
        <f>IFERROR(IF(X98="",0,CEILING((X98/$H98),1)*$H98),"")</f>
        <v>299.7</v>
      </c>
      <c r="Z98" s="36">
        <f>IFERROR(IF(Y98=0,"",ROUNDUP(Y98/H98,0)*0.01898),"")</f>
        <v>0.70226</v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310.86938271604936</v>
      </c>
      <c r="BN98" s="64">
        <f>IFERROR(Y98*I98/H98,"0")</f>
        <v>317.97800000000001</v>
      </c>
      <c r="BO98" s="64">
        <f>IFERROR(1/J98*(X98/H98),"0")</f>
        <v>0.56520061728395066</v>
      </c>
      <c r="BP98" s="64">
        <f>IFERROR(1/J98*(Y98/H98),"0")</f>
        <v>0.578125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114</v>
      </c>
      <c r="Y100" s="634">
        <f>IFERROR(IF(X100="",0,CEILING((X100/$H100),1)*$H100),"")</f>
        <v>116.10000000000001</v>
      </c>
      <c r="Z100" s="36">
        <f>IFERROR(IF(Y100=0,"",ROUNDUP(Y100/H100,0)*0.00651),"")</f>
        <v>0.27993000000000001</v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124.64</v>
      </c>
      <c r="BN100" s="64">
        <f>IFERROR(Y100*I100/H100,"0")</f>
        <v>126.93600000000001</v>
      </c>
      <c r="BO100" s="64">
        <f>IFERROR(1/J100*(X100/H100),"0")</f>
        <v>0.231990231990232</v>
      </c>
      <c r="BP100" s="64">
        <f>IFERROR(1/J100*(Y100/H100),"0")</f>
        <v>0.23626373626373628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1" t="s">
        <v>69</v>
      </c>
      <c r="Q102" s="652"/>
      <c r="R102" s="652"/>
      <c r="S102" s="652"/>
      <c r="T102" s="652"/>
      <c r="U102" s="652"/>
      <c r="V102" s="653"/>
      <c r="W102" s="37" t="s">
        <v>70</v>
      </c>
      <c r="X102" s="635">
        <f>IFERROR(X98/H98,"0")+IFERROR(X99/H99,"0")+IFERROR(X100/H100,"0")+IFERROR(X101/H101,"0")</f>
        <v>78.395061728395063</v>
      </c>
      <c r="Y102" s="635">
        <f>IFERROR(Y98/H98,"0")+IFERROR(Y99/H99,"0")+IFERROR(Y100/H100,"0")+IFERROR(Y101/H101,"0")</f>
        <v>80</v>
      </c>
      <c r="Z102" s="635">
        <f>IFERROR(IF(Z98="",0,Z98),"0")+IFERROR(IF(Z99="",0,Z99),"0")+IFERROR(IF(Z100="",0,Z100),"0")+IFERROR(IF(Z101="",0,Z101),"0")</f>
        <v>0.98219000000000001</v>
      </c>
      <c r="AA102" s="636"/>
      <c r="AB102" s="636"/>
      <c r="AC102" s="636"/>
    </row>
    <row r="103" spans="1:68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1" t="s">
        <v>69</v>
      </c>
      <c r="Q103" s="652"/>
      <c r="R103" s="652"/>
      <c r="S103" s="652"/>
      <c r="T103" s="652"/>
      <c r="U103" s="652"/>
      <c r="V103" s="653"/>
      <c r="W103" s="37" t="s">
        <v>67</v>
      </c>
      <c r="X103" s="635">
        <f>IFERROR(SUM(X98:X101),"0")</f>
        <v>407</v>
      </c>
      <c r="Y103" s="635">
        <f>IFERROR(SUM(Y98:Y101),"0")</f>
        <v>415.8</v>
      </c>
      <c r="Z103" s="37"/>
      <c r="AA103" s="636"/>
      <c r="AB103" s="636"/>
      <c r="AC103" s="636"/>
    </row>
    <row r="104" spans="1:68" ht="16.5" hidden="1" customHeight="1" x14ac:dyDescent="0.25">
      <c r="A104" s="654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8"/>
      <c r="AB104" s="628"/>
      <c r="AC104" s="628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9"/>
      <c r="AB105" s="629"/>
      <c r="AC105" s="629"/>
    </row>
    <row r="106" spans="1:68" ht="37.5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180</v>
      </c>
      <c r="Y106" s="634">
        <f t="shared" ref="Y106:Y112" si="10">IFERROR(IF(X106="",0,CEILING((X106/$H106),1)*$H106),"")</f>
        <v>183.60000000000002</v>
      </c>
      <c r="Z106" s="36">
        <f>IFERROR(IF(Y106=0,"",ROUNDUP(Y106/H106,0)*0.01898),"")</f>
        <v>0.32266</v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186.83333333333334</v>
      </c>
      <c r="BN106" s="64">
        <f t="shared" ref="BN106:BN112" si="12">IFERROR(Y106*I106/H106,"0")</f>
        <v>190.57000000000002</v>
      </c>
      <c r="BO106" s="64">
        <f t="shared" ref="BO106:BO112" si="13">IFERROR(1/J106*(X106/H106),"0")</f>
        <v>0.26041666666666663</v>
      </c>
      <c r="BP106" s="64">
        <f t="shared" ref="BP106:BP112" si="14">IFERROR(1/J106*(Y106/H106),"0")</f>
        <v>0.265625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7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5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69</v>
      </c>
      <c r="Y110" s="634">
        <f t="shared" si="10"/>
        <v>72</v>
      </c>
      <c r="Z110" s="36">
        <f>IFERROR(IF(Y110=0,"",ROUNDUP(Y110/H110,0)*0.00902),"")</f>
        <v>0.14432</v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71.913333333333341</v>
      </c>
      <c r="BN110" s="64">
        <f t="shared" si="12"/>
        <v>75.040000000000006</v>
      </c>
      <c r="BO110" s="64">
        <f t="shared" si="13"/>
        <v>0.11616161616161617</v>
      </c>
      <c r="BP110" s="64">
        <f t="shared" si="14"/>
        <v>0.12121212121212122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1" t="s">
        <v>69</v>
      </c>
      <c r="Q113" s="652"/>
      <c r="R113" s="652"/>
      <c r="S113" s="652"/>
      <c r="T113" s="652"/>
      <c r="U113" s="652"/>
      <c r="V113" s="653"/>
      <c r="W113" s="37" t="s">
        <v>70</v>
      </c>
      <c r="X113" s="635">
        <f>IFERROR(X106/H106,"0")+IFERROR(X107/H107,"0")+IFERROR(X108/H108,"0")+IFERROR(X109/H109,"0")+IFERROR(X110/H110,"0")+IFERROR(X111/H111,"0")+IFERROR(X112/H112,"0")</f>
        <v>32</v>
      </c>
      <c r="Y113" s="635">
        <f>IFERROR(Y106/H106,"0")+IFERROR(Y107/H107,"0")+IFERROR(Y108/H108,"0")+IFERROR(Y109/H109,"0")+IFERROR(Y110/H110,"0")+IFERROR(Y111/H111,"0")+IFERROR(Y112/H112,"0")</f>
        <v>33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0.46698000000000001</v>
      </c>
      <c r="AA113" s="636"/>
      <c r="AB113" s="636"/>
      <c r="AC113" s="636"/>
    </row>
    <row r="114" spans="1:68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1" t="s">
        <v>69</v>
      </c>
      <c r="Q114" s="652"/>
      <c r="R114" s="652"/>
      <c r="S114" s="652"/>
      <c r="T114" s="652"/>
      <c r="U114" s="652"/>
      <c r="V114" s="653"/>
      <c r="W114" s="37" t="s">
        <v>67</v>
      </c>
      <c r="X114" s="635">
        <f>IFERROR(SUM(X106:X112),"0")</f>
        <v>249</v>
      </c>
      <c r="Y114" s="635">
        <f>IFERROR(SUM(Y106:Y112),"0")</f>
        <v>255.60000000000002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9"/>
      <c r="AB115" s="629"/>
      <c r="AC115" s="629"/>
    </row>
    <row r="116" spans="1:68" ht="27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38</v>
      </c>
      <c r="Y116" s="634">
        <f>IFERROR(IF(X116="",0,CEILING((X116/$H116),1)*$H116),"")</f>
        <v>43.2</v>
      </c>
      <c r="Z116" s="36">
        <f>IFERROR(IF(Y116=0,"",ROUNDUP(Y116/H116,0)*0.01898),"")</f>
        <v>7.5920000000000001E-2</v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39.44259259259259</v>
      </c>
      <c r="BN116" s="64">
        <f>IFERROR(Y116*I116/H116,"0")</f>
        <v>44.84</v>
      </c>
      <c r="BO116" s="64">
        <f>IFERROR(1/J116*(X116/H116),"0")</f>
        <v>5.4976851851851846E-2</v>
      </c>
      <c r="BP116" s="64">
        <f>IFERROR(1/J116*(Y116/H116),"0")</f>
        <v>6.25E-2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31</v>
      </c>
      <c r="Y119" s="634">
        <f>IFERROR(IF(X119="",0,CEILING((X119/$H119),1)*$H119),"")</f>
        <v>31.2</v>
      </c>
      <c r="Z119" s="36">
        <f>IFERROR(IF(Y119=0,"",ROUNDUP(Y119/H119,0)*0.00651),"")</f>
        <v>8.4629999999999997E-2</v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33.325000000000003</v>
      </c>
      <c r="BN119" s="64">
        <f>IFERROR(Y119*I119/H119,"0")</f>
        <v>33.54</v>
      </c>
      <c r="BO119" s="64">
        <f>IFERROR(1/J119*(X119/H119),"0")</f>
        <v>7.0970695970695982E-2</v>
      </c>
      <c r="BP119" s="64">
        <f>IFERROR(1/J119*(Y119/H119),"0")</f>
        <v>7.1428571428571438E-2</v>
      </c>
    </row>
    <row r="120" spans="1:68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1" t="s">
        <v>69</v>
      </c>
      <c r="Q120" s="652"/>
      <c r="R120" s="652"/>
      <c r="S120" s="652"/>
      <c r="T120" s="652"/>
      <c r="U120" s="652"/>
      <c r="V120" s="653"/>
      <c r="W120" s="37" t="s">
        <v>70</v>
      </c>
      <c r="X120" s="635">
        <f>IFERROR(X116/H116,"0")+IFERROR(X117/H117,"0")+IFERROR(X118/H118,"0")+IFERROR(X119/H119,"0")</f>
        <v>16.435185185185187</v>
      </c>
      <c r="Y120" s="635">
        <f>IFERROR(Y116/H116,"0")+IFERROR(Y117/H117,"0")+IFERROR(Y118/H118,"0")+IFERROR(Y119/H119,"0")</f>
        <v>17</v>
      </c>
      <c r="Z120" s="635">
        <f>IFERROR(IF(Z116="",0,Z116),"0")+IFERROR(IF(Z117="",0,Z117),"0")+IFERROR(IF(Z118="",0,Z118),"0")+IFERROR(IF(Z119="",0,Z119),"0")</f>
        <v>0.16055</v>
      </c>
      <c r="AA120" s="636"/>
      <c r="AB120" s="636"/>
      <c r="AC120" s="636"/>
    </row>
    <row r="121" spans="1:68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1" t="s">
        <v>69</v>
      </c>
      <c r="Q121" s="652"/>
      <c r="R121" s="652"/>
      <c r="S121" s="652"/>
      <c r="T121" s="652"/>
      <c r="U121" s="652"/>
      <c r="V121" s="653"/>
      <c r="W121" s="37" t="s">
        <v>67</v>
      </c>
      <c r="X121" s="635">
        <f>IFERROR(SUM(X116:X119),"0")</f>
        <v>69</v>
      </c>
      <c r="Y121" s="635">
        <f>IFERROR(SUM(Y116:Y119),"0")</f>
        <v>74.400000000000006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9"/>
      <c r="AB122" s="629"/>
      <c r="AC122" s="629"/>
    </row>
    <row r="123" spans="1:68" ht="27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7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283</v>
      </c>
      <c r="Y123" s="634">
        <f>IFERROR(IF(X123="",0,CEILING((X123/$H123),1)*$H123),"")</f>
        <v>283.5</v>
      </c>
      <c r="Z123" s="36">
        <f>IFERROR(IF(Y123=0,"",ROUNDUP(Y123/H123,0)*0.01898),"")</f>
        <v>0.6643</v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300.0498765432099</v>
      </c>
      <c r="BN123" s="64">
        <f>IFERROR(Y123*I123/H123,"0")</f>
        <v>300.58</v>
      </c>
      <c r="BO123" s="64">
        <f>IFERROR(1/J123*(X123/H123),"0")</f>
        <v>0.5459104938271605</v>
      </c>
      <c r="BP123" s="64">
        <f>IFERROR(1/J123*(Y123/H123),"0")</f>
        <v>0.546875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110</v>
      </c>
      <c r="Y125" s="634">
        <f>IFERROR(IF(X125="",0,CEILING((X125/$H125),1)*$H125),"")</f>
        <v>110.7</v>
      </c>
      <c r="Z125" s="36">
        <f>IFERROR(IF(Y125=0,"",ROUNDUP(Y125/H125,0)*0.00651),"")</f>
        <v>0.26690999999999998</v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120.26666666666665</v>
      </c>
      <c r="BN125" s="64">
        <f>IFERROR(Y125*I125/H125,"0")</f>
        <v>121.032</v>
      </c>
      <c r="BO125" s="64">
        <f>IFERROR(1/J125*(X125/H125),"0")</f>
        <v>0.22385022385022388</v>
      </c>
      <c r="BP125" s="64">
        <f>IFERROR(1/J125*(Y125/H125),"0")</f>
        <v>0.22527472527472528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1" t="s">
        <v>69</v>
      </c>
      <c r="Q127" s="652"/>
      <c r="R127" s="652"/>
      <c r="S127" s="652"/>
      <c r="T127" s="652"/>
      <c r="U127" s="652"/>
      <c r="V127" s="653"/>
      <c r="W127" s="37" t="s">
        <v>70</v>
      </c>
      <c r="X127" s="635">
        <f>IFERROR(X123/H123,"0")+IFERROR(X124/H124,"0")+IFERROR(X125/H125,"0")+IFERROR(X126/H126,"0")</f>
        <v>75.679012345679013</v>
      </c>
      <c r="Y127" s="635">
        <f>IFERROR(Y123/H123,"0")+IFERROR(Y124/H124,"0")+IFERROR(Y125/H125,"0")+IFERROR(Y126/H126,"0")</f>
        <v>76</v>
      </c>
      <c r="Z127" s="635">
        <f>IFERROR(IF(Z123="",0,Z123),"0")+IFERROR(IF(Z124="",0,Z124),"0")+IFERROR(IF(Z125="",0,Z125),"0")+IFERROR(IF(Z126="",0,Z126),"0")</f>
        <v>0.93120999999999998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1" t="s">
        <v>69</v>
      </c>
      <c r="Q128" s="652"/>
      <c r="R128" s="652"/>
      <c r="S128" s="652"/>
      <c r="T128" s="652"/>
      <c r="U128" s="652"/>
      <c r="V128" s="653"/>
      <c r="W128" s="37" t="s">
        <v>67</v>
      </c>
      <c r="X128" s="635">
        <f>IFERROR(SUM(X123:X126),"0")</f>
        <v>393</v>
      </c>
      <c r="Y128" s="635">
        <f>IFERROR(SUM(Y123:Y126),"0")</f>
        <v>394.2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9"/>
      <c r="AB129" s="629"/>
      <c r="AC129" s="629"/>
    </row>
    <row r="130" spans="1:68" ht="16.5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1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2</v>
      </c>
      <c r="Y130" s="634">
        <f>IFERROR(IF(X130="",0,CEILING((X130/$H130),1)*$H130),"")</f>
        <v>3.96</v>
      </c>
      <c r="Z130" s="36">
        <f>IFERROR(IF(Y130=0,"",ROUNDUP(Y130/H130,0)*0.00651),"")</f>
        <v>1.302E-2</v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2.2606060606060607</v>
      </c>
      <c r="BN130" s="64">
        <f>IFERROR(Y130*I130/H130,"0")</f>
        <v>4.476</v>
      </c>
      <c r="BO130" s="64">
        <f>IFERROR(1/J130*(X130/H130),"0")</f>
        <v>5.5500055500055509E-3</v>
      </c>
      <c r="BP130" s="64">
        <f>IFERROR(1/J130*(Y130/H130),"0")</f>
        <v>1.098901098901099E-2</v>
      </c>
    </row>
    <row r="131" spans="1:68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1" t="s">
        <v>69</v>
      </c>
      <c r="Q131" s="652"/>
      <c r="R131" s="652"/>
      <c r="S131" s="652"/>
      <c r="T131" s="652"/>
      <c r="U131" s="652"/>
      <c r="V131" s="653"/>
      <c r="W131" s="37" t="s">
        <v>70</v>
      </c>
      <c r="X131" s="635">
        <f>IFERROR(X130/H130,"0")</f>
        <v>1.0101010101010102</v>
      </c>
      <c r="Y131" s="635">
        <f>IFERROR(Y130/H130,"0")</f>
        <v>2</v>
      </c>
      <c r="Z131" s="635">
        <f>IFERROR(IF(Z130="",0,Z130),"0")</f>
        <v>1.302E-2</v>
      </c>
      <c r="AA131" s="636"/>
      <c r="AB131" s="636"/>
      <c r="AC131" s="636"/>
    </row>
    <row r="132" spans="1:68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1" t="s">
        <v>69</v>
      </c>
      <c r="Q132" s="652"/>
      <c r="R132" s="652"/>
      <c r="S132" s="652"/>
      <c r="T132" s="652"/>
      <c r="U132" s="652"/>
      <c r="V132" s="653"/>
      <c r="W132" s="37" t="s">
        <v>67</v>
      </c>
      <c r="X132" s="635">
        <f>IFERROR(SUM(X130:X130),"0")</f>
        <v>2</v>
      </c>
      <c r="Y132" s="635">
        <f>IFERROR(SUM(Y130:Y130),"0")</f>
        <v>3.96</v>
      </c>
      <c r="Z132" s="37"/>
      <c r="AA132" s="636"/>
      <c r="AB132" s="636"/>
      <c r="AC132" s="636"/>
    </row>
    <row r="133" spans="1:68" ht="16.5" hidden="1" customHeight="1" x14ac:dyDescent="0.25">
      <c r="A133" s="654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8"/>
      <c r="AB133" s="628"/>
      <c r="AC133" s="628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9"/>
      <c r="AB134" s="629"/>
      <c r="AC134" s="629"/>
    </row>
    <row r="135" spans="1:68" ht="27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17</v>
      </c>
      <c r="Y135" s="634">
        <f>IFERROR(IF(X135="",0,CEILING((X135/$H135),1)*$H135),"")</f>
        <v>19.200000000000003</v>
      </c>
      <c r="Z135" s="36">
        <f>IFERROR(IF(Y135=0,"",ROUNDUP(Y135/H135,0)*0.00651),"")</f>
        <v>3.9059999999999997E-2</v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17.956250000000001</v>
      </c>
      <c r="BN135" s="64">
        <f>IFERROR(Y135*I135/H135,"0")</f>
        <v>20.279999999999998</v>
      </c>
      <c r="BO135" s="64">
        <f>IFERROR(1/J135*(X135/H135),"0")</f>
        <v>2.9189560439560443E-2</v>
      </c>
      <c r="BP135" s="64">
        <f>IFERROR(1/J135*(Y135/H135),"0")</f>
        <v>3.2967032967032975E-2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1" t="s">
        <v>69</v>
      </c>
      <c r="Q137" s="652"/>
      <c r="R137" s="652"/>
      <c r="S137" s="652"/>
      <c r="T137" s="652"/>
      <c r="U137" s="652"/>
      <c r="V137" s="653"/>
      <c r="W137" s="37" t="s">
        <v>70</v>
      </c>
      <c r="X137" s="635">
        <f>IFERROR(X135/H135,"0")+IFERROR(X136/H136,"0")</f>
        <v>5.3125</v>
      </c>
      <c r="Y137" s="635">
        <f>IFERROR(Y135/H135,"0")+IFERROR(Y136/H136,"0")</f>
        <v>6.0000000000000009</v>
      </c>
      <c r="Z137" s="635">
        <f>IFERROR(IF(Z135="",0,Z135),"0")+IFERROR(IF(Z136="",0,Z136),"0")</f>
        <v>3.9059999999999997E-2</v>
      </c>
      <c r="AA137" s="636"/>
      <c r="AB137" s="636"/>
      <c r="AC137" s="636"/>
    </row>
    <row r="138" spans="1:68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1" t="s">
        <v>69</v>
      </c>
      <c r="Q138" s="652"/>
      <c r="R138" s="652"/>
      <c r="S138" s="652"/>
      <c r="T138" s="652"/>
      <c r="U138" s="652"/>
      <c r="V138" s="653"/>
      <c r="W138" s="37" t="s">
        <v>67</v>
      </c>
      <c r="X138" s="635">
        <f>IFERROR(SUM(X135:X136),"0")</f>
        <v>17</v>
      </c>
      <c r="Y138" s="635">
        <f>IFERROR(SUM(Y135:Y136),"0")</f>
        <v>19.200000000000003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9"/>
      <c r="AB139" s="629"/>
      <c r="AC139" s="629"/>
    </row>
    <row r="140" spans="1:68" ht="27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21</v>
      </c>
      <c r="Y140" s="634">
        <f>IFERROR(IF(X140="",0,CEILING((X140/$H140),1)*$H140),"")</f>
        <v>22.4</v>
      </c>
      <c r="Z140" s="36">
        <f>IFERROR(IF(Y140=0,"",ROUNDUP(Y140/H140,0)*0.00651),"")</f>
        <v>5.2080000000000001E-2</v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23.01</v>
      </c>
      <c r="BN140" s="64">
        <f>IFERROR(Y140*I140/H140,"0")</f>
        <v>24.543999999999997</v>
      </c>
      <c r="BO140" s="64">
        <f>IFERROR(1/J140*(X140/H140),"0")</f>
        <v>4.1208791208791215E-2</v>
      </c>
      <c r="BP140" s="64">
        <f>IFERROR(1/J140*(Y140/H140),"0")</f>
        <v>4.3956043956043959E-2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1" t="s">
        <v>69</v>
      </c>
      <c r="Q142" s="652"/>
      <c r="R142" s="652"/>
      <c r="S142" s="652"/>
      <c r="T142" s="652"/>
      <c r="U142" s="652"/>
      <c r="V142" s="653"/>
      <c r="W142" s="37" t="s">
        <v>70</v>
      </c>
      <c r="X142" s="635">
        <f>IFERROR(X140/H140,"0")+IFERROR(X141/H141,"0")</f>
        <v>7.5000000000000009</v>
      </c>
      <c r="Y142" s="635">
        <f>IFERROR(Y140/H140,"0")+IFERROR(Y141/H141,"0")</f>
        <v>8</v>
      </c>
      <c r="Z142" s="635">
        <f>IFERROR(IF(Z140="",0,Z140),"0")+IFERROR(IF(Z141="",0,Z141),"0")</f>
        <v>5.2080000000000001E-2</v>
      </c>
      <c r="AA142" s="636"/>
      <c r="AB142" s="636"/>
      <c r="AC142" s="636"/>
    </row>
    <row r="143" spans="1:68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1" t="s">
        <v>69</v>
      </c>
      <c r="Q143" s="652"/>
      <c r="R143" s="652"/>
      <c r="S143" s="652"/>
      <c r="T143" s="652"/>
      <c r="U143" s="652"/>
      <c r="V143" s="653"/>
      <c r="W143" s="37" t="s">
        <v>67</v>
      </c>
      <c r="X143" s="635">
        <f>IFERROR(SUM(X140:X141),"0")</f>
        <v>21</v>
      </c>
      <c r="Y143" s="635">
        <f>IFERROR(SUM(Y140:Y141),"0")</f>
        <v>22.4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9"/>
      <c r="AB144" s="629"/>
      <c r="AC144" s="629"/>
    </row>
    <row r="145" spans="1:68" ht="16.5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69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14</v>
      </c>
      <c r="Y145" s="634">
        <f>IFERROR(IF(X145="",0,CEILING((X145/$H145),1)*$H145),"")</f>
        <v>15.84</v>
      </c>
      <c r="Z145" s="36">
        <f>IFERROR(IF(Y145=0,"",ROUNDUP(Y145/H145,0)*0.00651),"")</f>
        <v>3.9059999999999997E-2</v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15.421212121212118</v>
      </c>
      <c r="BN145" s="64">
        <f>IFERROR(Y145*I145/H145,"0")</f>
        <v>17.448</v>
      </c>
      <c r="BO145" s="64">
        <f>IFERROR(1/J145*(X145/H145),"0")</f>
        <v>2.913752913752914E-2</v>
      </c>
      <c r="BP145" s="64">
        <f>IFERROR(1/J145*(Y145/H145),"0")</f>
        <v>3.2967032967032968E-2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1" t="s">
        <v>69</v>
      </c>
      <c r="Q147" s="652"/>
      <c r="R147" s="652"/>
      <c r="S147" s="652"/>
      <c r="T147" s="652"/>
      <c r="U147" s="652"/>
      <c r="V147" s="653"/>
      <c r="W147" s="37" t="s">
        <v>70</v>
      </c>
      <c r="X147" s="635">
        <f>IFERROR(X145/H145,"0")+IFERROR(X146/H146,"0")</f>
        <v>5.3030303030303028</v>
      </c>
      <c r="Y147" s="635">
        <f>IFERROR(Y145/H145,"0")+IFERROR(Y146/H146,"0")</f>
        <v>6</v>
      </c>
      <c r="Z147" s="635">
        <f>IFERROR(IF(Z145="",0,Z145),"0")+IFERROR(IF(Z146="",0,Z146),"0")</f>
        <v>3.9059999999999997E-2</v>
      </c>
      <c r="AA147" s="636"/>
      <c r="AB147" s="636"/>
      <c r="AC147" s="636"/>
    </row>
    <row r="148" spans="1:68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1" t="s">
        <v>69</v>
      </c>
      <c r="Q148" s="652"/>
      <c r="R148" s="652"/>
      <c r="S148" s="652"/>
      <c r="T148" s="652"/>
      <c r="U148" s="652"/>
      <c r="V148" s="653"/>
      <c r="W148" s="37" t="s">
        <v>67</v>
      </c>
      <c r="X148" s="635">
        <f>IFERROR(SUM(X145:X146),"0")</f>
        <v>14</v>
      </c>
      <c r="Y148" s="635">
        <f>IFERROR(SUM(Y145:Y146),"0")</f>
        <v>15.84</v>
      </c>
      <c r="Z148" s="37"/>
      <c r="AA148" s="636"/>
      <c r="AB148" s="636"/>
      <c r="AC148" s="636"/>
    </row>
    <row r="149" spans="1:68" ht="16.5" hidden="1" customHeight="1" x14ac:dyDescent="0.25">
      <c r="A149" s="654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8"/>
      <c r="AB149" s="628"/>
      <c r="AC149" s="628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9"/>
      <c r="AB150" s="629"/>
      <c r="AC150" s="629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1" t="s">
        <v>69</v>
      </c>
      <c r="Q155" s="652"/>
      <c r="R155" s="652"/>
      <c r="S155" s="652"/>
      <c r="T155" s="652"/>
      <c r="U155" s="652"/>
      <c r="V155" s="653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1" t="s">
        <v>69</v>
      </c>
      <c r="Q156" s="652"/>
      <c r="R156" s="652"/>
      <c r="S156" s="652"/>
      <c r="T156" s="652"/>
      <c r="U156" s="652"/>
      <c r="V156" s="653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9"/>
      <c r="AB157" s="629"/>
      <c r="AC157" s="629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1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1" t="s">
        <v>69</v>
      </c>
      <c r="Q159" s="652"/>
      <c r="R159" s="652"/>
      <c r="S159" s="652"/>
      <c r="T159" s="652"/>
      <c r="U159" s="652"/>
      <c r="V159" s="653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1" t="s">
        <v>69</v>
      </c>
      <c r="Q160" s="652"/>
      <c r="R160" s="652"/>
      <c r="S160" s="652"/>
      <c r="T160" s="652"/>
      <c r="U160" s="652"/>
      <c r="V160" s="653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4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8"/>
      <c r="AB161" s="628"/>
      <c r="AC161" s="628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9"/>
      <c r="AB162" s="629"/>
      <c r="AC162" s="629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0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73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1" t="s">
        <v>69</v>
      </c>
      <c r="Q167" s="652"/>
      <c r="R167" s="652"/>
      <c r="S167" s="652"/>
      <c r="T167" s="652"/>
      <c r="U167" s="652"/>
      <c r="V167" s="653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1" t="s">
        <v>69</v>
      </c>
      <c r="Q168" s="652"/>
      <c r="R168" s="652"/>
      <c r="S168" s="652"/>
      <c r="T168" s="652"/>
      <c r="U168" s="652"/>
      <c r="V168" s="653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9"/>
      <c r="AB169" s="629"/>
      <c r="AC169" s="629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2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1" t="s">
        <v>69</v>
      </c>
      <c r="Q172" s="652"/>
      <c r="R172" s="652"/>
      <c r="S172" s="652"/>
      <c r="T172" s="652"/>
      <c r="U172" s="652"/>
      <c r="V172" s="653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1" t="s">
        <v>69</v>
      </c>
      <c r="Q173" s="652"/>
      <c r="R173" s="652"/>
      <c r="S173" s="652"/>
      <c r="T173" s="652"/>
      <c r="U173" s="652"/>
      <c r="V173" s="65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9"/>
      <c r="AB174" s="629"/>
      <c r="AC174" s="629"/>
    </row>
    <row r="175" spans="1:68" ht="27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9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219</v>
      </c>
      <c r="Y175" s="634">
        <f t="shared" ref="Y175:Y184" si="15">IFERROR(IF(X175="",0,CEILING((X175/$H175),1)*$H175),"")</f>
        <v>220.5</v>
      </c>
      <c r="Z175" s="36">
        <f>IFERROR(IF(Y175=0,"",ROUNDUP(Y175/H175,0)*0.00902),"")</f>
        <v>0.56825999999999999</v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230.88857142857142</v>
      </c>
      <c r="BN175" s="64">
        <f t="shared" ref="BN175:BN184" si="17">IFERROR(Y175*I175/H175,"0")</f>
        <v>232.47</v>
      </c>
      <c r="BO175" s="64">
        <f t="shared" ref="BO175:BO184" si="18">IFERROR(1/J175*(X175/H175),"0")</f>
        <v>0.47402597402597402</v>
      </c>
      <c r="BP175" s="64">
        <f t="shared" ref="BP175:BP184" si="19">IFERROR(1/J175*(Y175/H175),"0")</f>
        <v>0.47727272727272729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428</v>
      </c>
      <c r="Y177" s="634">
        <f t="shared" si="15"/>
        <v>430.5</v>
      </c>
      <c r="Z177" s="36">
        <f>IFERROR(IF(Y177=0,"",ROUNDUP(Y177/H177,0)*0.00902),"")</f>
        <v>1.1094600000000001</v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451.2342857142857</v>
      </c>
      <c r="BN177" s="64">
        <f t="shared" si="17"/>
        <v>453.87</v>
      </c>
      <c r="BO177" s="64">
        <f t="shared" si="18"/>
        <v>0.92640692640692646</v>
      </c>
      <c r="BP177" s="64">
        <f t="shared" si="19"/>
        <v>0.93181818181818188</v>
      </c>
    </row>
    <row r="178" spans="1:68" ht="27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3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180</v>
      </c>
      <c r="Y178" s="634">
        <f t="shared" si="15"/>
        <v>182</v>
      </c>
      <c r="Z178" s="36">
        <f>IFERROR(IF(Y178=0,"",ROUNDUP(Y178/H178,0)*0.00902),"")</f>
        <v>0.46904000000000001</v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189.77142857142857</v>
      </c>
      <c r="BN178" s="64">
        <f t="shared" si="17"/>
        <v>191.88000000000002</v>
      </c>
      <c r="BO178" s="64">
        <f t="shared" si="18"/>
        <v>0.38961038961038963</v>
      </c>
      <c r="BP178" s="64">
        <f t="shared" si="19"/>
        <v>0.39393939393939392</v>
      </c>
    </row>
    <row r="179" spans="1:68" ht="16.5" hidden="1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4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0</v>
      </c>
      <c r="Y179" s="634">
        <f t="shared" si="15"/>
        <v>0</v>
      </c>
      <c r="Z179" s="36" t="str">
        <f>IFERROR(IF(Y179=0,"",ROUNDUP(Y179/H179,0)*0.00726),"")</f>
        <v/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31</v>
      </c>
      <c r="Y180" s="634">
        <f t="shared" si="15"/>
        <v>31.919999999999998</v>
      </c>
      <c r="Z180" s="36">
        <f>IFERROR(IF(Y180=0,"",ROUNDUP(Y180/H180,0)*0.00502),"")</f>
        <v>9.5380000000000006E-2</v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32.845238095238095</v>
      </c>
      <c r="BN180" s="64">
        <f t="shared" si="17"/>
        <v>33.82</v>
      </c>
      <c r="BO180" s="64">
        <f t="shared" si="18"/>
        <v>7.8856328856328858E-2</v>
      </c>
      <c r="BP180" s="64">
        <f t="shared" si="19"/>
        <v>8.11965811965812E-2</v>
      </c>
    </row>
    <row r="181" spans="1:68" ht="27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6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2</v>
      </c>
      <c r="Y181" s="634">
        <f t="shared" si="15"/>
        <v>2.7</v>
      </c>
      <c r="Z181" s="36">
        <f>IFERROR(IF(Y181=0,"",ROUNDUP(Y181/H181,0)*0.00417),"")</f>
        <v>1.251E-2</v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2.4666666666666668</v>
      </c>
      <c r="BN181" s="64">
        <f t="shared" si="17"/>
        <v>3.33</v>
      </c>
      <c r="BO181" s="64">
        <f t="shared" si="18"/>
        <v>7.1225071225071226E-3</v>
      </c>
      <c r="BP181" s="64">
        <f t="shared" si="19"/>
        <v>9.6153846153846159E-3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67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0</v>
      </c>
      <c r="Y182" s="634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24</v>
      </c>
      <c r="Y184" s="634">
        <f t="shared" si="15"/>
        <v>25.2</v>
      </c>
      <c r="Z184" s="36">
        <f>IFERROR(IF(Y184=0,"",ROUNDUP(Y184/H184,0)*0.00502),"")</f>
        <v>7.5300000000000006E-2</v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25.428571428571431</v>
      </c>
      <c r="BN184" s="64">
        <f t="shared" si="17"/>
        <v>26.700000000000003</v>
      </c>
      <c r="BO184" s="64">
        <f t="shared" si="18"/>
        <v>6.1050061050061062E-2</v>
      </c>
      <c r="BP184" s="64">
        <f t="shared" si="19"/>
        <v>6.4102564102564111E-2</v>
      </c>
    </row>
    <row r="185" spans="1:68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1" t="s">
        <v>69</v>
      </c>
      <c r="Q185" s="652"/>
      <c r="R185" s="652"/>
      <c r="S185" s="652"/>
      <c r="T185" s="652"/>
      <c r="U185" s="652"/>
      <c r="V185" s="653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271.24603174603175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275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2.3299499999999997</v>
      </c>
      <c r="AA185" s="636"/>
      <c r="AB185" s="636"/>
      <c r="AC185" s="636"/>
    </row>
    <row r="186" spans="1:68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1" t="s">
        <v>69</v>
      </c>
      <c r="Q186" s="652"/>
      <c r="R186" s="652"/>
      <c r="S186" s="652"/>
      <c r="T186" s="652"/>
      <c r="U186" s="652"/>
      <c r="V186" s="653"/>
      <c r="W186" s="37" t="s">
        <v>67</v>
      </c>
      <c r="X186" s="635">
        <f>IFERROR(SUM(X175:X184),"0")</f>
        <v>884</v>
      </c>
      <c r="Y186" s="635">
        <f>IFERROR(SUM(Y175:Y184),"0")</f>
        <v>892.82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9"/>
      <c r="AB187" s="629"/>
      <c r="AC187" s="629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1" t="s">
        <v>69</v>
      </c>
      <c r="Q190" s="652"/>
      <c r="R190" s="652"/>
      <c r="S190" s="652"/>
      <c r="T190" s="652"/>
      <c r="U190" s="652"/>
      <c r="V190" s="653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1" t="s">
        <v>69</v>
      </c>
      <c r="Q191" s="652"/>
      <c r="R191" s="652"/>
      <c r="S191" s="652"/>
      <c r="T191" s="652"/>
      <c r="U191" s="652"/>
      <c r="V191" s="653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9"/>
      <c r="AB192" s="629"/>
      <c r="AC192" s="629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1" t="s">
        <v>69</v>
      </c>
      <c r="Q194" s="652"/>
      <c r="R194" s="652"/>
      <c r="S194" s="652"/>
      <c r="T194" s="652"/>
      <c r="U194" s="652"/>
      <c r="V194" s="653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1" t="s">
        <v>69</v>
      </c>
      <c r="Q195" s="652"/>
      <c r="R195" s="652"/>
      <c r="S195" s="652"/>
      <c r="T195" s="652"/>
      <c r="U195" s="652"/>
      <c r="V195" s="653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9"/>
      <c r="AB196" s="629"/>
      <c r="AC196" s="629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8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1" t="s">
        <v>69</v>
      </c>
      <c r="Q198" s="652"/>
      <c r="R198" s="652"/>
      <c r="S198" s="652"/>
      <c r="T198" s="652"/>
      <c r="U198" s="652"/>
      <c r="V198" s="653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1" t="s">
        <v>69</v>
      </c>
      <c r="Q199" s="652"/>
      <c r="R199" s="652"/>
      <c r="S199" s="652"/>
      <c r="T199" s="652"/>
      <c r="U199" s="652"/>
      <c r="V199" s="653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74" t="s">
        <v>332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48"/>
      <c r="AB200" s="48"/>
      <c r="AC200" s="48"/>
    </row>
    <row r="201" spans="1:68" ht="16.5" hidden="1" customHeight="1" x14ac:dyDescent="0.25">
      <c r="A201" s="654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8"/>
      <c r="AB201" s="628"/>
      <c r="AC201" s="628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9"/>
      <c r="AB202" s="629"/>
      <c r="AC202" s="629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1" t="s">
        <v>69</v>
      </c>
      <c r="Q210" s="652"/>
      <c r="R210" s="652"/>
      <c r="S210" s="652"/>
      <c r="T210" s="652"/>
      <c r="U210" s="652"/>
      <c r="V210" s="653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1" t="s">
        <v>69</v>
      </c>
      <c r="Q211" s="652"/>
      <c r="R211" s="652"/>
      <c r="S211" s="652"/>
      <c r="T211" s="652"/>
      <c r="U211" s="652"/>
      <c r="V211" s="653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4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8"/>
      <c r="AB212" s="628"/>
      <c r="AC212" s="628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9"/>
      <c r="AB213" s="629"/>
      <c r="AC213" s="629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1" t="s">
        <v>69</v>
      </c>
      <c r="Q215" s="652"/>
      <c r="R215" s="652"/>
      <c r="S215" s="652"/>
      <c r="T215" s="652"/>
      <c r="U215" s="652"/>
      <c r="V215" s="653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1" t="s">
        <v>69</v>
      </c>
      <c r="Q216" s="652"/>
      <c r="R216" s="652"/>
      <c r="S216" s="652"/>
      <c r="T216" s="652"/>
      <c r="U216" s="652"/>
      <c r="V216" s="653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9"/>
      <c r="AB217" s="629"/>
      <c r="AC217" s="629"/>
    </row>
    <row r="218" spans="1:68" ht="27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36</v>
      </c>
      <c r="Y218" s="634">
        <f t="shared" ref="Y218:Y231" si="26">IFERROR(IF(X218="",0,CEILING((X218/$H218),1)*$H218),"")</f>
        <v>37.800000000000004</v>
      </c>
      <c r="Z218" s="36">
        <f>IFERROR(IF(Y218=0,"",ROUNDUP(Y218/H218,0)*0.00902),"")</f>
        <v>8.1180000000000002E-2</v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38.142857142857146</v>
      </c>
      <c r="BN218" s="64">
        <f t="shared" ref="BN218:BN231" si="28">IFERROR(Y218*I218/H218,"0")</f>
        <v>40.050000000000004</v>
      </c>
      <c r="BO218" s="64">
        <f t="shared" ref="BO218:BO231" si="29">IFERROR(1/J218*(X218/H218),"0")</f>
        <v>6.4935064935064929E-2</v>
      </c>
      <c r="BP218" s="64">
        <f t="shared" ref="BP218:BP231" si="30">IFERROR(1/J218*(Y218/H218),"0")</f>
        <v>6.8181818181818177E-2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85</v>
      </c>
      <c r="Y220" s="634">
        <f t="shared" si="26"/>
        <v>88.2</v>
      </c>
      <c r="Z220" s="36">
        <f>IFERROR(IF(Y220=0,"",ROUNDUP(Y220/H220,0)*0.00902),"")</f>
        <v>0.18942000000000001</v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88.845238095238088</v>
      </c>
      <c r="BN220" s="64">
        <f t="shared" si="28"/>
        <v>92.19</v>
      </c>
      <c r="BO220" s="64">
        <f t="shared" si="29"/>
        <v>0.15331890331890333</v>
      </c>
      <c r="BP220" s="64">
        <f t="shared" si="30"/>
        <v>0.15909090909090909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6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6</v>
      </c>
      <c r="Y222" s="634">
        <f t="shared" si="26"/>
        <v>6.4</v>
      </c>
      <c r="Z222" s="36">
        <f>IFERROR(IF(Y222=0,"",ROUNDUP(Y222/H222,0)*0.00556),"")</f>
        <v>4.4479999999999999E-2</v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6.9749999999999996</v>
      </c>
      <c r="BN222" s="64">
        <f t="shared" si="28"/>
        <v>7.44</v>
      </c>
      <c r="BO222" s="64">
        <f t="shared" si="29"/>
        <v>3.2051282051282055E-2</v>
      </c>
      <c r="BP222" s="64">
        <f t="shared" si="30"/>
        <v>3.4188034188034191E-2</v>
      </c>
    </row>
    <row r="223" spans="1:68" ht="27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62</v>
      </c>
      <c r="Y223" s="634">
        <f t="shared" si="26"/>
        <v>63</v>
      </c>
      <c r="Z223" s="36">
        <f>IFERROR(IF(Y223=0,"",ROUNDUP(Y223/H223,0)*0.00502),"")</f>
        <v>0.15060000000000001</v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65.838095238095235</v>
      </c>
      <c r="BN223" s="64">
        <f t="shared" si="28"/>
        <v>66.900000000000006</v>
      </c>
      <c r="BO223" s="64">
        <f t="shared" si="29"/>
        <v>0.12617012617012618</v>
      </c>
      <c r="BP223" s="64">
        <f t="shared" si="30"/>
        <v>0.12820512820512822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18</v>
      </c>
      <c r="Y227" s="634">
        <f t="shared" si="26"/>
        <v>18</v>
      </c>
      <c r="Z227" s="36">
        <f>IFERROR(IF(Y227=0,"",ROUNDUP(Y227/H227,0)*0.00502),"")</f>
        <v>5.0200000000000002E-2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19.3</v>
      </c>
      <c r="BN227" s="64">
        <f t="shared" si="28"/>
        <v>19.3</v>
      </c>
      <c r="BO227" s="64">
        <f t="shared" si="29"/>
        <v>4.2735042735042736E-2</v>
      </c>
      <c r="BP227" s="64">
        <f t="shared" si="30"/>
        <v>4.2735042735042736E-2</v>
      </c>
    </row>
    <row r="228" spans="1:68" ht="27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4</v>
      </c>
      <c r="Y228" s="634">
        <f t="shared" si="26"/>
        <v>4</v>
      </c>
      <c r="Z228" s="36">
        <f>IFERROR(IF(Y228=0,"",ROUNDUP(Y228/H228,0)*0.00417),"")</f>
        <v>2.085E-2</v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5.05</v>
      </c>
      <c r="BN228" s="64">
        <f t="shared" si="28"/>
        <v>5.05</v>
      </c>
      <c r="BO228" s="64">
        <f t="shared" si="29"/>
        <v>1.6025641025641024E-2</v>
      </c>
      <c r="BP228" s="64">
        <f t="shared" si="30"/>
        <v>1.6025641025641024E-2</v>
      </c>
    </row>
    <row r="229" spans="1:68" ht="37.5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221</v>
      </c>
      <c r="Y229" s="634">
        <f t="shared" si="26"/>
        <v>222.60000000000002</v>
      </c>
      <c r="Z229" s="36">
        <f>IFERROR(IF(Y229=0,"",ROUNDUP(Y229/H229,0)*0.00502),"")</f>
        <v>0.53212000000000004</v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231.52380952380955</v>
      </c>
      <c r="BN229" s="64">
        <f t="shared" si="28"/>
        <v>233.20000000000002</v>
      </c>
      <c r="BO229" s="64">
        <f t="shared" si="29"/>
        <v>0.44973544973544971</v>
      </c>
      <c r="BP229" s="64">
        <f t="shared" si="30"/>
        <v>0.45299145299145305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1" t="s">
        <v>69</v>
      </c>
      <c r="Q232" s="652"/>
      <c r="R232" s="652"/>
      <c r="S232" s="652"/>
      <c r="T232" s="652"/>
      <c r="U232" s="652"/>
      <c r="V232" s="653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186.07142857142856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189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1.0688500000000001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1" t="s">
        <v>69</v>
      </c>
      <c r="Q233" s="652"/>
      <c r="R233" s="652"/>
      <c r="S233" s="652"/>
      <c r="T233" s="652"/>
      <c r="U233" s="652"/>
      <c r="V233" s="653"/>
      <c r="W233" s="37" t="s">
        <v>67</v>
      </c>
      <c r="X233" s="635">
        <f>IFERROR(SUM(X218:X231),"0")</f>
        <v>432</v>
      </c>
      <c r="Y233" s="635">
        <f>IFERROR(SUM(Y218:Y231),"0")</f>
        <v>440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9"/>
      <c r="AB234" s="629"/>
      <c r="AC234" s="629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1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3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8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1" t="s">
        <v>69</v>
      </c>
      <c r="Q240" s="652"/>
      <c r="R240" s="652"/>
      <c r="S240" s="652"/>
      <c r="T240" s="652"/>
      <c r="U240" s="652"/>
      <c r="V240" s="653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1" t="s">
        <v>69</v>
      </c>
      <c r="Q241" s="652"/>
      <c r="R241" s="652"/>
      <c r="S241" s="652"/>
      <c r="T241" s="652"/>
      <c r="U241" s="652"/>
      <c r="V241" s="653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9"/>
      <c r="AB242" s="629"/>
      <c r="AC242" s="629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0</v>
      </c>
      <c r="Y244" s="634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8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6</v>
      </c>
      <c r="Y245" s="634">
        <f>IFERROR(IF(X245="",0,CEILING((X245/$H245),1)*$H245),"")</f>
        <v>6.3</v>
      </c>
      <c r="Z245" s="36">
        <f>IFERROR(IF(Y245=0,"",ROUNDUP(Y245/H245,0)*0.0059),"")</f>
        <v>2.9499999999999998E-2</v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6.9047619047619042</v>
      </c>
      <c r="BN245" s="64">
        <f>IFERROR(Y245*I245/H245,"0")</f>
        <v>7.25</v>
      </c>
      <c r="BO245" s="64">
        <f>IFERROR(1/J245*(X245/H245),"0")</f>
        <v>2.2045855379188711E-2</v>
      </c>
      <c r="BP245" s="64">
        <f>IFERROR(1/J245*(Y245/H245),"0")</f>
        <v>2.3148148148148147E-2</v>
      </c>
    </row>
    <row r="246" spans="1:68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1" t="s">
        <v>69</v>
      </c>
      <c r="Q246" s="652"/>
      <c r="R246" s="652"/>
      <c r="S246" s="652"/>
      <c r="T246" s="652"/>
      <c r="U246" s="652"/>
      <c r="V246" s="653"/>
      <c r="W246" s="37" t="s">
        <v>70</v>
      </c>
      <c r="X246" s="635">
        <f>IFERROR(X243/H243,"0")+IFERROR(X244/H244,"0")+IFERROR(X245/H245,"0")</f>
        <v>4.7619047619047619</v>
      </c>
      <c r="Y246" s="635">
        <f>IFERROR(Y243/H243,"0")+IFERROR(Y244/H244,"0")+IFERROR(Y245/H245,"0")</f>
        <v>5</v>
      </c>
      <c r="Z246" s="635">
        <f>IFERROR(IF(Z243="",0,Z243),"0")+IFERROR(IF(Z244="",0,Z244),"0")+IFERROR(IF(Z245="",0,Z245),"0")</f>
        <v>2.9499999999999998E-2</v>
      </c>
      <c r="AA246" s="636"/>
      <c r="AB246" s="636"/>
      <c r="AC246" s="636"/>
    </row>
    <row r="247" spans="1:68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1" t="s">
        <v>69</v>
      </c>
      <c r="Q247" s="652"/>
      <c r="R247" s="652"/>
      <c r="S247" s="652"/>
      <c r="T247" s="652"/>
      <c r="U247" s="652"/>
      <c r="V247" s="653"/>
      <c r="W247" s="37" t="s">
        <v>67</v>
      </c>
      <c r="X247" s="635">
        <f>IFERROR(SUM(X243:X245),"0")</f>
        <v>6</v>
      </c>
      <c r="Y247" s="635">
        <f>IFERROR(SUM(Y243:Y245),"0")</f>
        <v>6.3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9"/>
      <c r="AB248" s="629"/>
      <c r="AC248" s="629"/>
    </row>
    <row r="249" spans="1:68" ht="27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6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4</v>
      </c>
      <c r="Y249" s="634">
        <f>IFERROR(IF(X249="",0,CEILING((X249/$H249),1)*$H249),"")</f>
        <v>5.04</v>
      </c>
      <c r="Z249" s="36">
        <f>IFERROR(IF(Y249=0,"",ROUNDUP(Y249/H249,0)*0.0059),"")</f>
        <v>2.3599999999999999E-2</v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4.6031746031746028</v>
      </c>
      <c r="BN249" s="64">
        <f>IFERROR(Y249*I249/H249,"0")</f>
        <v>5.8</v>
      </c>
      <c r="BO249" s="64">
        <f>IFERROR(1/J249*(X249/H249),"0")</f>
        <v>1.469723691945914E-2</v>
      </c>
      <c r="BP249" s="64">
        <f>IFERROR(1/J249*(Y249/H249),"0")</f>
        <v>1.8518518518518517E-2</v>
      </c>
    </row>
    <row r="250" spans="1:68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1" t="s">
        <v>69</v>
      </c>
      <c r="Q250" s="652"/>
      <c r="R250" s="652"/>
      <c r="S250" s="652"/>
      <c r="T250" s="652"/>
      <c r="U250" s="652"/>
      <c r="V250" s="653"/>
      <c r="W250" s="37" t="s">
        <v>70</v>
      </c>
      <c r="X250" s="635">
        <f>IFERROR(X249/H249,"0")</f>
        <v>3.1746031746031744</v>
      </c>
      <c r="Y250" s="635">
        <f>IFERROR(Y249/H249,"0")</f>
        <v>4</v>
      </c>
      <c r="Z250" s="635">
        <f>IFERROR(IF(Z249="",0,Z249),"0")</f>
        <v>2.3599999999999999E-2</v>
      </c>
      <c r="AA250" s="636"/>
      <c r="AB250" s="636"/>
      <c r="AC250" s="636"/>
    </row>
    <row r="251" spans="1:68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1" t="s">
        <v>69</v>
      </c>
      <c r="Q251" s="652"/>
      <c r="R251" s="652"/>
      <c r="S251" s="652"/>
      <c r="T251" s="652"/>
      <c r="U251" s="652"/>
      <c r="V251" s="653"/>
      <c r="W251" s="37" t="s">
        <v>67</v>
      </c>
      <c r="X251" s="635">
        <f>IFERROR(SUM(X249:X249),"0")</f>
        <v>4</v>
      </c>
      <c r="Y251" s="635">
        <f>IFERROR(SUM(Y249:Y249),"0")</f>
        <v>5.04</v>
      </c>
      <c r="Z251" s="37"/>
      <c r="AA251" s="636"/>
      <c r="AB251" s="636"/>
      <c r="AC251" s="636"/>
    </row>
    <row r="252" spans="1:68" ht="16.5" hidden="1" customHeight="1" x14ac:dyDescent="0.25">
      <c r="A252" s="654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8"/>
      <c r="AB252" s="628"/>
      <c r="AC252" s="628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9"/>
      <c r="AB253" s="629"/>
      <c r="AC253" s="629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3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1" t="s">
        <v>69</v>
      </c>
      <c r="Q256" s="652"/>
      <c r="R256" s="652"/>
      <c r="S256" s="652"/>
      <c r="T256" s="652"/>
      <c r="U256" s="652"/>
      <c r="V256" s="653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1" t="s">
        <v>69</v>
      </c>
      <c r="Q257" s="652"/>
      <c r="R257" s="652"/>
      <c r="S257" s="652"/>
      <c r="T257" s="652"/>
      <c r="U257" s="652"/>
      <c r="V257" s="653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9"/>
      <c r="AB258" s="629"/>
      <c r="AC258" s="629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8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1" t="s">
        <v>69</v>
      </c>
      <c r="Q261" s="652"/>
      <c r="R261" s="652"/>
      <c r="S261" s="652"/>
      <c r="T261" s="652"/>
      <c r="U261" s="652"/>
      <c r="V261" s="653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1" t="s">
        <v>69</v>
      </c>
      <c r="Q262" s="652"/>
      <c r="R262" s="652"/>
      <c r="S262" s="652"/>
      <c r="T262" s="652"/>
      <c r="U262" s="652"/>
      <c r="V262" s="653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9"/>
      <c r="AB263" s="629"/>
      <c r="AC263" s="629"/>
    </row>
    <row r="264" spans="1:68" ht="27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7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244</v>
      </c>
      <c r="Y264" s="634">
        <f t="shared" ref="Y264:Y271" si="31">IFERROR(IF(X264="",0,CEILING((X264/$H264),1)*$H264),"")</f>
        <v>248.4</v>
      </c>
      <c r="Z264" s="36">
        <f>IFERROR(IF(Y264=0,"",ROUNDUP(Y264/H264,0)*0.00902),"")</f>
        <v>0.41492000000000001</v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252.58518518518517</v>
      </c>
      <c r="BN264" s="64">
        <f t="shared" ref="BN264:BN271" si="33">IFERROR(Y264*I264/H264,"0")</f>
        <v>257.14</v>
      </c>
      <c r="BO264" s="64">
        <f t="shared" ref="BO264:BO271" si="34">IFERROR(1/J264*(X264/H264),"0")</f>
        <v>0.34231200897867564</v>
      </c>
      <c r="BP264" s="64">
        <f t="shared" ref="BP264:BP271" si="35">IFERROR(1/J264*(Y264/H264),"0")</f>
        <v>0.34848484848484851</v>
      </c>
    </row>
    <row r="265" spans="1:68" ht="27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100</v>
      </c>
      <c r="Y265" s="634">
        <f t="shared" si="31"/>
        <v>102.60000000000001</v>
      </c>
      <c r="Z265" s="36">
        <f>IFERROR(IF(Y265=0,"",ROUNDUP(Y265/H265,0)*0.00902),"")</f>
        <v>0.17138</v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103.5185185185185</v>
      </c>
      <c r="BN265" s="64">
        <f t="shared" si="33"/>
        <v>106.21</v>
      </c>
      <c r="BO265" s="64">
        <f t="shared" si="34"/>
        <v>0.14029180695847362</v>
      </c>
      <c r="BP265" s="64">
        <f t="shared" si="35"/>
        <v>0.14393939393939395</v>
      </c>
    </row>
    <row r="266" spans="1:68" ht="27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160</v>
      </c>
      <c r="Y266" s="634">
        <f t="shared" si="31"/>
        <v>162</v>
      </c>
      <c r="Z266" s="36">
        <f>IFERROR(IF(Y266=0,"",ROUNDUP(Y266/H266,0)*0.00902),"")</f>
        <v>0.27060000000000001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165.62962962962962</v>
      </c>
      <c r="BN266" s="64">
        <f t="shared" si="33"/>
        <v>167.7</v>
      </c>
      <c r="BO266" s="64">
        <f t="shared" si="34"/>
        <v>0.22446689113355778</v>
      </c>
      <c r="BP266" s="64">
        <f t="shared" si="35"/>
        <v>0.22727272727272727</v>
      </c>
    </row>
    <row r="267" spans="1:68" ht="27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64</v>
      </c>
      <c r="Y267" s="634">
        <f t="shared" si="31"/>
        <v>64.800000000000011</v>
      </c>
      <c r="Z267" s="36">
        <f>IFERROR(IF(Y267=0,"",ROUNDUP(Y267/H267,0)*0.00902),"")</f>
        <v>0.10824</v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66.251851851851839</v>
      </c>
      <c r="BN267" s="64">
        <f t="shared" si="33"/>
        <v>67.08</v>
      </c>
      <c r="BO267" s="64">
        <f t="shared" si="34"/>
        <v>8.9786756453423114E-2</v>
      </c>
      <c r="BP267" s="64">
        <f t="shared" si="35"/>
        <v>9.0909090909090925E-2</v>
      </c>
    </row>
    <row r="268" spans="1:68" ht="27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7</v>
      </c>
      <c r="Y268" s="634">
        <f t="shared" si="31"/>
        <v>7.2</v>
      </c>
      <c r="Z268" s="36">
        <f>IFERROR(IF(Y268=0,"",ROUNDUP(Y268/H268,0)*0.00502),"")</f>
        <v>2.0080000000000001E-2</v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7.5055555555555555</v>
      </c>
      <c r="BN268" s="64">
        <f t="shared" si="33"/>
        <v>7.7199999999999989</v>
      </c>
      <c r="BO268" s="64">
        <f t="shared" si="34"/>
        <v>1.6619183285849954E-2</v>
      </c>
      <c r="BP268" s="64">
        <f t="shared" si="35"/>
        <v>1.7094017094017096E-2</v>
      </c>
    </row>
    <row r="269" spans="1:68" ht="27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16</v>
      </c>
      <c r="Y269" s="634">
        <f t="shared" si="31"/>
        <v>16.2</v>
      </c>
      <c r="Z269" s="36">
        <f>IFERROR(IF(Y269=0,"",ROUNDUP(Y269/H269,0)*0.00502),"")</f>
        <v>4.5179999999999998E-2</v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16.888888888888889</v>
      </c>
      <c r="BN269" s="64">
        <f t="shared" si="33"/>
        <v>17.099999999999998</v>
      </c>
      <c r="BO269" s="64">
        <f t="shared" si="34"/>
        <v>3.7986704653371325E-2</v>
      </c>
      <c r="BP269" s="64">
        <f t="shared" si="35"/>
        <v>3.8461538461538464E-2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24</v>
      </c>
      <c r="Y271" s="634">
        <f t="shared" si="31"/>
        <v>25.2</v>
      </c>
      <c r="Z271" s="36">
        <f>IFERROR(IF(Y271=0,"",ROUNDUP(Y271/H271,0)*0.00502),"")</f>
        <v>7.0280000000000009E-2</v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25.333333333333329</v>
      </c>
      <c r="BN271" s="64">
        <f t="shared" si="33"/>
        <v>26.599999999999998</v>
      </c>
      <c r="BO271" s="64">
        <f t="shared" si="34"/>
        <v>5.6980056980056981E-2</v>
      </c>
      <c r="BP271" s="64">
        <f t="shared" si="35"/>
        <v>5.9829059829059839E-2</v>
      </c>
    </row>
    <row r="272" spans="1:68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1" t="s">
        <v>69</v>
      </c>
      <c r="Q272" s="652"/>
      <c r="R272" s="652"/>
      <c r="S272" s="652"/>
      <c r="T272" s="652"/>
      <c r="U272" s="652"/>
      <c r="V272" s="653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131.29629629629628</v>
      </c>
      <c r="Y272" s="635">
        <f>IFERROR(Y264/H264,"0")+IFERROR(Y265/H265,"0")+IFERROR(Y266/H266,"0")+IFERROR(Y267/H267,"0")+IFERROR(Y268/H268,"0")+IFERROR(Y269/H269,"0")+IFERROR(Y270/H270,"0")+IFERROR(Y271/H271,"0")</f>
        <v>134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1.1006800000000001</v>
      </c>
      <c r="AA272" s="636"/>
      <c r="AB272" s="636"/>
      <c r="AC272" s="636"/>
    </row>
    <row r="273" spans="1:68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1" t="s">
        <v>69</v>
      </c>
      <c r="Q273" s="652"/>
      <c r="R273" s="652"/>
      <c r="S273" s="652"/>
      <c r="T273" s="652"/>
      <c r="U273" s="652"/>
      <c r="V273" s="653"/>
      <c r="W273" s="37" t="s">
        <v>67</v>
      </c>
      <c r="X273" s="635">
        <f>IFERROR(SUM(X264:X271),"0")</f>
        <v>615</v>
      </c>
      <c r="Y273" s="635">
        <f>IFERROR(SUM(Y264:Y271),"0")</f>
        <v>626.40000000000009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9"/>
      <c r="AB274" s="629"/>
      <c r="AC274" s="629"/>
    </row>
    <row r="275" spans="1:68" ht="27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44</v>
      </c>
      <c r="Y275" s="634">
        <f t="shared" ref="Y275:Y285" si="36">IFERROR(IF(X275="",0,CEILING((X275/$H275),1)*$H275),"")</f>
        <v>48.599999999999994</v>
      </c>
      <c r="Z275" s="36">
        <f>IFERROR(IF(Y275=0,"",ROUNDUP(Y275/H275,0)*0.01898),"")</f>
        <v>0.11388000000000001</v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46.683456790123458</v>
      </c>
      <c r="BN275" s="64">
        <f t="shared" ref="BN275:BN285" si="38">IFERROR(Y275*I275/H275,"0")</f>
        <v>51.563999999999993</v>
      </c>
      <c r="BO275" s="64">
        <f t="shared" ref="BO275:BO285" si="39">IFERROR(1/J275*(X275/H275),"0")</f>
        <v>8.4876543209876545E-2</v>
      </c>
      <c r="BP275" s="64">
        <f t="shared" ref="BP275:BP285" si="40">IFERROR(1/J275*(Y275/H275),"0")</f>
        <v>9.375E-2</v>
      </c>
    </row>
    <row r="276" spans="1:68" ht="27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124</v>
      </c>
      <c r="Y276" s="634">
        <f t="shared" si="36"/>
        <v>129.6</v>
      </c>
      <c r="Z276" s="36">
        <f>IFERROR(IF(Y276=0,"",ROUNDUP(Y276/H276,0)*0.01898),"")</f>
        <v>0.30368000000000001</v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131.2869135802469</v>
      </c>
      <c r="BN276" s="64">
        <f t="shared" si="38"/>
        <v>137.21600000000001</v>
      </c>
      <c r="BO276" s="64">
        <f t="shared" si="39"/>
        <v>0.23919753086419754</v>
      </c>
      <c r="BP276" s="64">
        <f t="shared" si="40"/>
        <v>0.25</v>
      </c>
    </row>
    <row r="277" spans="1:68" ht="27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55</v>
      </c>
      <c r="Y277" s="634">
        <f t="shared" si="36"/>
        <v>60.899999999999991</v>
      </c>
      <c r="Z277" s="36">
        <f>IFERROR(IF(Y277=0,"",ROUNDUP(Y277/H277,0)*0.01898),"")</f>
        <v>0.13286000000000001</v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58.122988505747138</v>
      </c>
      <c r="BN277" s="64">
        <f t="shared" si="38"/>
        <v>64.358000000000004</v>
      </c>
      <c r="BO277" s="64">
        <f t="shared" si="39"/>
        <v>9.8778735632183923E-2</v>
      </c>
      <c r="BP277" s="64">
        <f t="shared" si="40"/>
        <v>0.109375</v>
      </c>
    </row>
    <row r="278" spans="1:68" ht="27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4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71</v>
      </c>
      <c r="Y278" s="634">
        <f t="shared" si="36"/>
        <v>72</v>
      </c>
      <c r="Z278" s="36">
        <f>IFERROR(IF(Y278=0,"",ROUNDUP(Y278/H278,0)*0.00651),"")</f>
        <v>0.1953</v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78.987499999999997</v>
      </c>
      <c r="BN278" s="64">
        <f t="shared" si="38"/>
        <v>80.100000000000009</v>
      </c>
      <c r="BO278" s="64">
        <f t="shared" si="39"/>
        <v>0.16254578754578758</v>
      </c>
      <c r="BP278" s="64">
        <f t="shared" si="40"/>
        <v>0.16483516483516486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7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6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530</v>
      </c>
      <c r="Y280" s="634">
        <f t="shared" si="36"/>
        <v>530.4</v>
      </c>
      <c r="Z280" s="36">
        <f>IFERROR(IF(Y280=0,"",ROUNDUP(Y280/H280,0)*0.00651),"")</f>
        <v>1.4387099999999999</v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585.65000000000009</v>
      </c>
      <c r="BN280" s="64">
        <f t="shared" si="38"/>
        <v>586.09199999999998</v>
      </c>
      <c r="BO280" s="64">
        <f t="shared" si="39"/>
        <v>1.2133699633699635</v>
      </c>
      <c r="BP280" s="64">
        <f t="shared" si="40"/>
        <v>1.2142857142857144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5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105</v>
      </c>
      <c r="Y282" s="634">
        <f t="shared" si="36"/>
        <v>105.6</v>
      </c>
      <c r="Z282" s="36">
        <f>IFERROR(IF(Y282=0,"",ROUNDUP(Y282/H282,0)*0.00651),"")</f>
        <v>0.28644000000000003</v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116.02500000000002</v>
      </c>
      <c r="BN282" s="64">
        <f t="shared" si="38"/>
        <v>116.688</v>
      </c>
      <c r="BO282" s="64">
        <f t="shared" si="39"/>
        <v>0.24038461538461539</v>
      </c>
      <c r="BP282" s="64">
        <f t="shared" si="40"/>
        <v>0.24175824175824179</v>
      </c>
    </row>
    <row r="283" spans="1:68" ht="27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74</v>
      </c>
      <c r="Y283" s="634">
        <f t="shared" si="36"/>
        <v>74.399999999999991</v>
      </c>
      <c r="Z283" s="36">
        <f>IFERROR(IF(Y283=0,"",ROUNDUP(Y283/H283,0)*0.00651),"")</f>
        <v>0.20181000000000002</v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81.77000000000001</v>
      </c>
      <c r="BN283" s="64">
        <f t="shared" si="38"/>
        <v>82.212000000000003</v>
      </c>
      <c r="BO283" s="64">
        <f t="shared" si="39"/>
        <v>0.16941391941391945</v>
      </c>
      <c r="BP283" s="64">
        <f t="shared" si="40"/>
        <v>0.17032967032967034</v>
      </c>
    </row>
    <row r="284" spans="1:68" ht="27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70</v>
      </c>
      <c r="Y284" s="634">
        <f t="shared" si="36"/>
        <v>72</v>
      </c>
      <c r="Z284" s="36">
        <f>IFERROR(IF(Y284=0,"",ROUNDUP(Y284/H284,0)*0.00651),"")</f>
        <v>0.1953</v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77.525000000000006</v>
      </c>
      <c r="BN284" s="64">
        <f t="shared" si="38"/>
        <v>79.740000000000009</v>
      </c>
      <c r="BO284" s="64">
        <f t="shared" si="39"/>
        <v>0.16025641025641027</v>
      </c>
      <c r="BP284" s="64">
        <f t="shared" si="40"/>
        <v>0.16483516483516486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1" t="s">
        <v>69</v>
      </c>
      <c r="Q286" s="652"/>
      <c r="R286" s="652"/>
      <c r="S286" s="652"/>
      <c r="T286" s="652"/>
      <c r="U286" s="652"/>
      <c r="V286" s="653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381.22924648786716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385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2.8679799999999998</v>
      </c>
      <c r="AA286" s="636"/>
      <c r="AB286" s="636"/>
      <c r="AC286" s="636"/>
    </row>
    <row r="287" spans="1:68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1" t="s">
        <v>69</v>
      </c>
      <c r="Q287" s="652"/>
      <c r="R287" s="652"/>
      <c r="S287" s="652"/>
      <c r="T287" s="652"/>
      <c r="U287" s="652"/>
      <c r="V287" s="653"/>
      <c r="W287" s="37" t="s">
        <v>67</v>
      </c>
      <c r="X287" s="635">
        <f>IFERROR(SUM(X275:X285),"0")</f>
        <v>1073</v>
      </c>
      <c r="Y287" s="635">
        <f>IFERROR(SUM(Y275:Y285),"0")</f>
        <v>1093.5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9"/>
      <c r="AB288" s="629"/>
      <c r="AC288" s="629"/>
    </row>
    <row r="289" spans="1:68" ht="27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5</v>
      </c>
      <c r="Y289" s="634">
        <f>IFERROR(IF(X289="",0,CEILING((X289/$H289),1)*$H289),"")</f>
        <v>7.1999999999999993</v>
      </c>
      <c r="Z289" s="36">
        <f>IFERROR(IF(Y289=0,"",ROUNDUP(Y289/H289,0)*0.00651),"")</f>
        <v>1.9529999999999999E-2</v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5.5250000000000012</v>
      </c>
      <c r="BN289" s="64">
        <f>IFERROR(Y289*I289/H289,"0")</f>
        <v>7.9560000000000004</v>
      </c>
      <c r="BO289" s="64">
        <f>IFERROR(1/J289*(X289/H289),"0")</f>
        <v>1.1446886446886448E-2</v>
      </c>
      <c r="BP289" s="64">
        <f>IFERROR(1/J289*(Y289/H289),"0")</f>
        <v>1.6483516483516484E-2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0</v>
      </c>
      <c r="Y290" s="634">
        <f>IFERROR(IF(X290="",0,CEILING((X290/$H290),1)*$H290),"")</f>
        <v>0</v>
      </c>
      <c r="Z290" s="36" t="str">
        <f>IFERROR(IF(Y290=0,"",ROUNDUP(Y290/H290,0)*0.00651),"")</f>
        <v/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1" t="s">
        <v>69</v>
      </c>
      <c r="Q291" s="652"/>
      <c r="R291" s="652"/>
      <c r="S291" s="652"/>
      <c r="T291" s="652"/>
      <c r="U291" s="652"/>
      <c r="V291" s="653"/>
      <c r="W291" s="37" t="s">
        <v>70</v>
      </c>
      <c r="X291" s="635">
        <f>IFERROR(X289/H289,"0")+IFERROR(X290/H290,"0")</f>
        <v>2.0833333333333335</v>
      </c>
      <c r="Y291" s="635">
        <f>IFERROR(Y289/H289,"0")+IFERROR(Y290/H290,"0")</f>
        <v>3</v>
      </c>
      <c r="Z291" s="635">
        <f>IFERROR(IF(Z289="",0,Z289),"0")+IFERROR(IF(Z290="",0,Z290),"0")</f>
        <v>1.9529999999999999E-2</v>
      </c>
      <c r="AA291" s="636"/>
      <c r="AB291" s="636"/>
      <c r="AC291" s="636"/>
    </row>
    <row r="292" spans="1:68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1" t="s">
        <v>69</v>
      </c>
      <c r="Q292" s="652"/>
      <c r="R292" s="652"/>
      <c r="S292" s="652"/>
      <c r="T292" s="652"/>
      <c r="U292" s="652"/>
      <c r="V292" s="653"/>
      <c r="W292" s="37" t="s">
        <v>67</v>
      </c>
      <c r="X292" s="635">
        <f>IFERROR(SUM(X289:X290),"0")</f>
        <v>5</v>
      </c>
      <c r="Y292" s="635">
        <f>IFERROR(SUM(Y289:Y290),"0")</f>
        <v>7.1999999999999993</v>
      </c>
      <c r="Z292" s="37"/>
      <c r="AA292" s="636"/>
      <c r="AB292" s="636"/>
      <c r="AC292" s="636"/>
    </row>
    <row r="293" spans="1:68" ht="16.5" hidden="1" customHeight="1" x14ac:dyDescent="0.25">
      <c r="A293" s="654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8"/>
      <c r="AB293" s="628"/>
      <c r="AC293" s="628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9"/>
      <c r="AB294" s="629"/>
      <c r="AC294" s="629"/>
    </row>
    <row r="295" spans="1:68" ht="27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40</v>
      </c>
      <c r="Y295" s="634">
        <f t="shared" ref="Y295:Y301" si="41">IFERROR(IF(X295="",0,CEILING((X295/$H295),1)*$H295),"")</f>
        <v>46.4</v>
      </c>
      <c r="Z295" s="36">
        <f>IFERROR(IF(Y295=0,"",ROUNDUP(Y295/H295,0)*0.01898),"")</f>
        <v>7.5920000000000001E-2</v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41.413793103448278</v>
      </c>
      <c r="BN295" s="64">
        <f t="shared" ref="BN295:BN301" si="43">IFERROR(Y295*I295/H295,"0")</f>
        <v>48.04</v>
      </c>
      <c r="BO295" s="64">
        <f t="shared" ref="BO295:BO301" si="44">IFERROR(1/J295*(X295/H295),"0")</f>
        <v>5.387931034482759E-2</v>
      </c>
      <c r="BP295" s="64">
        <f t="shared" ref="BP295:BP301" si="45">IFERROR(1/J295*(Y295/H295),"0")</f>
        <v>6.25E-2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1" t="s">
        <v>69</v>
      </c>
      <c r="Q302" s="652"/>
      <c r="R302" s="652"/>
      <c r="S302" s="652"/>
      <c r="T302" s="652"/>
      <c r="U302" s="652"/>
      <c r="V302" s="653"/>
      <c r="W302" s="37" t="s">
        <v>70</v>
      </c>
      <c r="X302" s="635">
        <f>IFERROR(X295/H295,"0")+IFERROR(X296/H296,"0")+IFERROR(X297/H297,"0")+IFERROR(X298/H298,"0")+IFERROR(X299/H299,"0")+IFERROR(X300/H300,"0")+IFERROR(X301/H301,"0")</f>
        <v>3.4482758620689657</v>
      </c>
      <c r="Y302" s="635">
        <f>IFERROR(Y295/H295,"0")+IFERROR(Y296/H296,"0")+IFERROR(Y297/H297,"0")+IFERROR(Y298/H298,"0")+IFERROR(Y299/H299,"0")+IFERROR(Y300/H300,"0")+IFERROR(Y301/H301,"0")</f>
        <v>4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7.5920000000000001E-2</v>
      </c>
      <c r="AA302" s="636"/>
      <c r="AB302" s="636"/>
      <c r="AC302" s="636"/>
    </row>
    <row r="303" spans="1:68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1" t="s">
        <v>69</v>
      </c>
      <c r="Q303" s="652"/>
      <c r="R303" s="652"/>
      <c r="S303" s="652"/>
      <c r="T303" s="652"/>
      <c r="U303" s="652"/>
      <c r="V303" s="653"/>
      <c r="W303" s="37" t="s">
        <v>67</v>
      </c>
      <c r="X303" s="635">
        <f>IFERROR(SUM(X295:X301),"0")</f>
        <v>40</v>
      </c>
      <c r="Y303" s="635">
        <f>IFERROR(SUM(Y295:Y301),"0")</f>
        <v>46.4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9"/>
      <c r="AB304" s="629"/>
      <c r="AC304" s="629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1" t="s">
        <v>69</v>
      </c>
      <c r="Q306" s="652"/>
      <c r="R306" s="652"/>
      <c r="S306" s="652"/>
      <c r="T306" s="652"/>
      <c r="U306" s="652"/>
      <c r="V306" s="653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1" t="s">
        <v>69</v>
      </c>
      <c r="Q307" s="652"/>
      <c r="R307" s="652"/>
      <c r="S307" s="652"/>
      <c r="T307" s="652"/>
      <c r="U307" s="652"/>
      <c r="V307" s="653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9"/>
      <c r="AB308" s="629"/>
      <c r="AC308" s="629"/>
    </row>
    <row r="309" spans="1:68" ht="27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5</v>
      </c>
      <c r="Y309" s="634">
        <f>IFERROR(IF(X309="",0,CEILING((X309/$H309),1)*$H309),"")</f>
        <v>5.4</v>
      </c>
      <c r="Z309" s="36">
        <f>IFERROR(IF(Y309=0,"",ROUNDUP(Y309/H309,0)*0.0059),"")</f>
        <v>1.77E-2</v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5.4861111111111107</v>
      </c>
      <c r="BN309" s="64">
        <f>IFERROR(Y309*I309/H309,"0")</f>
        <v>5.9250000000000007</v>
      </c>
      <c r="BO309" s="64">
        <f>IFERROR(1/J309*(X309/H309),"0")</f>
        <v>1.2860082304526748E-2</v>
      </c>
      <c r="BP309" s="64">
        <f>IFERROR(1/J309*(Y309/H309),"0")</f>
        <v>1.3888888888888888E-2</v>
      </c>
    </row>
    <row r="310" spans="1:68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1" t="s">
        <v>69</v>
      </c>
      <c r="Q310" s="652"/>
      <c r="R310" s="652"/>
      <c r="S310" s="652"/>
      <c r="T310" s="652"/>
      <c r="U310" s="652"/>
      <c r="V310" s="653"/>
      <c r="W310" s="37" t="s">
        <v>70</v>
      </c>
      <c r="X310" s="635">
        <f>IFERROR(X309/H309,"0")</f>
        <v>2.7777777777777777</v>
      </c>
      <c r="Y310" s="635">
        <f>IFERROR(Y309/H309,"0")</f>
        <v>3</v>
      </c>
      <c r="Z310" s="635">
        <f>IFERROR(IF(Z309="",0,Z309),"0")</f>
        <v>1.77E-2</v>
      </c>
      <c r="AA310" s="636"/>
      <c r="AB310" s="636"/>
      <c r="AC310" s="636"/>
    </row>
    <row r="311" spans="1:68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1" t="s">
        <v>69</v>
      </c>
      <c r="Q311" s="652"/>
      <c r="R311" s="652"/>
      <c r="S311" s="652"/>
      <c r="T311" s="652"/>
      <c r="U311" s="652"/>
      <c r="V311" s="653"/>
      <c r="W311" s="37" t="s">
        <v>67</v>
      </c>
      <c r="X311" s="635">
        <f>IFERROR(SUM(X309:X309),"0")</f>
        <v>5</v>
      </c>
      <c r="Y311" s="635">
        <f>IFERROR(SUM(Y309:Y309),"0")</f>
        <v>5.4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9"/>
      <c r="AB312" s="629"/>
      <c r="AC312" s="629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69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1" t="s">
        <v>69</v>
      </c>
      <c r="Q317" s="652"/>
      <c r="R317" s="652"/>
      <c r="S317" s="652"/>
      <c r="T317" s="652"/>
      <c r="U317" s="652"/>
      <c r="V317" s="653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1" t="s">
        <v>69</v>
      </c>
      <c r="Q318" s="652"/>
      <c r="R318" s="652"/>
      <c r="S318" s="652"/>
      <c r="T318" s="652"/>
      <c r="U318" s="652"/>
      <c r="V318" s="653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4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8"/>
      <c r="AB319" s="628"/>
      <c r="AC319" s="628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9"/>
      <c r="AB320" s="629"/>
      <c r="AC320" s="629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82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1" t="s">
        <v>69</v>
      </c>
      <c r="Q328" s="652"/>
      <c r="R328" s="652"/>
      <c r="S328" s="652"/>
      <c r="T328" s="652"/>
      <c r="U328" s="652"/>
      <c r="V328" s="653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1" t="s">
        <v>69</v>
      </c>
      <c r="Q329" s="652"/>
      <c r="R329" s="652"/>
      <c r="S329" s="652"/>
      <c r="T329" s="652"/>
      <c r="U329" s="652"/>
      <c r="V329" s="653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4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8"/>
      <c r="AB330" s="628"/>
      <c r="AC330" s="628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9"/>
      <c r="AB331" s="629"/>
      <c r="AC331" s="629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8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9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28</v>
      </c>
      <c r="Y333" s="634">
        <f>IFERROR(IF(X333="",0,CEILING((X333/$H333),1)*$H333),"")</f>
        <v>28.799999999999997</v>
      </c>
      <c r="Z333" s="36">
        <f>IFERROR(IF(Y333=0,"",ROUNDUP(Y333/H333,0)*0.00651),"")</f>
        <v>7.8119999999999995E-2</v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30.94</v>
      </c>
      <c r="BN333" s="64">
        <f>IFERROR(Y333*I333/H333,"0")</f>
        <v>31.824000000000002</v>
      </c>
      <c r="BO333" s="64">
        <f>IFERROR(1/J333*(X333/H333),"0")</f>
        <v>6.4102564102564111E-2</v>
      </c>
      <c r="BP333" s="64">
        <f>IFERROR(1/J333*(Y333/H333),"0")</f>
        <v>6.5934065934065936E-2</v>
      </c>
    </row>
    <row r="334" spans="1:68" ht="27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30</v>
      </c>
      <c r="Y334" s="634">
        <f>IFERROR(IF(X334="",0,CEILING((X334/$H334),1)*$H334),"")</f>
        <v>31.2</v>
      </c>
      <c r="Z334" s="36">
        <f>IFERROR(IF(Y334=0,"",ROUNDUP(Y334/H334,0)*0.00651),"")</f>
        <v>8.4629999999999997E-2</v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32.250000000000007</v>
      </c>
      <c r="BN334" s="64">
        <f>IFERROR(Y334*I334/H334,"0")</f>
        <v>33.54</v>
      </c>
      <c r="BO334" s="64">
        <f>IFERROR(1/J334*(X334/H334),"0")</f>
        <v>6.8681318681318687E-2</v>
      </c>
      <c r="BP334" s="64">
        <f>IFERROR(1/J334*(Y334/H334),"0")</f>
        <v>7.1428571428571438E-2</v>
      </c>
    </row>
    <row r="335" spans="1:68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1" t="s">
        <v>69</v>
      </c>
      <c r="Q335" s="652"/>
      <c r="R335" s="652"/>
      <c r="S335" s="652"/>
      <c r="T335" s="652"/>
      <c r="U335" s="652"/>
      <c r="V335" s="653"/>
      <c r="W335" s="37" t="s">
        <v>70</v>
      </c>
      <c r="X335" s="635">
        <f>IFERROR(X332/H332,"0")+IFERROR(X333/H333,"0")+IFERROR(X334/H334,"0")</f>
        <v>24.166666666666668</v>
      </c>
      <c r="Y335" s="635">
        <f>IFERROR(Y332/H332,"0")+IFERROR(Y333/H333,"0")+IFERROR(Y334/H334,"0")</f>
        <v>25</v>
      </c>
      <c r="Z335" s="635">
        <f>IFERROR(IF(Z332="",0,Z332),"0")+IFERROR(IF(Z333="",0,Z333),"0")+IFERROR(IF(Z334="",0,Z334),"0")</f>
        <v>0.16275000000000001</v>
      </c>
      <c r="AA335" s="636"/>
      <c r="AB335" s="636"/>
      <c r="AC335" s="636"/>
    </row>
    <row r="336" spans="1:68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1" t="s">
        <v>69</v>
      </c>
      <c r="Q336" s="652"/>
      <c r="R336" s="652"/>
      <c r="S336" s="652"/>
      <c r="T336" s="652"/>
      <c r="U336" s="652"/>
      <c r="V336" s="653"/>
      <c r="W336" s="37" t="s">
        <v>67</v>
      </c>
      <c r="X336" s="635">
        <f>IFERROR(SUM(X332:X334),"0")</f>
        <v>58</v>
      </c>
      <c r="Y336" s="635">
        <f>IFERROR(SUM(Y332:Y334),"0")</f>
        <v>60</v>
      </c>
      <c r="Z336" s="37"/>
      <c r="AA336" s="636"/>
      <c r="AB336" s="636"/>
      <c r="AC336" s="636"/>
    </row>
    <row r="337" spans="1:68" ht="16.5" hidden="1" customHeight="1" x14ac:dyDescent="0.25">
      <c r="A337" s="654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8"/>
      <c r="AB337" s="628"/>
      <c r="AC337" s="628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9"/>
      <c r="AB338" s="629"/>
      <c r="AC338" s="629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3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1" t="s">
        <v>69</v>
      </c>
      <c r="Q343" s="652"/>
      <c r="R343" s="652"/>
      <c r="S343" s="652"/>
      <c r="T343" s="652"/>
      <c r="U343" s="652"/>
      <c r="V343" s="653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1" t="s">
        <v>69</v>
      </c>
      <c r="Q344" s="652"/>
      <c r="R344" s="652"/>
      <c r="S344" s="652"/>
      <c r="T344" s="652"/>
      <c r="U344" s="652"/>
      <c r="V344" s="653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9"/>
      <c r="AB345" s="629"/>
      <c r="AC345" s="629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2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1" t="s">
        <v>69</v>
      </c>
      <c r="Q349" s="652"/>
      <c r="R349" s="652"/>
      <c r="S349" s="652"/>
      <c r="T349" s="652"/>
      <c r="U349" s="652"/>
      <c r="V349" s="653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1" t="s">
        <v>69</v>
      </c>
      <c r="Q350" s="652"/>
      <c r="R350" s="652"/>
      <c r="S350" s="652"/>
      <c r="T350" s="652"/>
      <c r="U350" s="652"/>
      <c r="V350" s="653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4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8"/>
      <c r="AB351" s="628"/>
      <c r="AC351" s="628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9"/>
      <c r="AB352" s="629"/>
      <c r="AC352" s="629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1" t="s">
        <v>69</v>
      </c>
      <c r="Q354" s="652"/>
      <c r="R354" s="652"/>
      <c r="S354" s="652"/>
      <c r="T354" s="652"/>
      <c r="U354" s="652"/>
      <c r="V354" s="653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1" t="s">
        <v>69</v>
      </c>
      <c r="Q355" s="652"/>
      <c r="R355" s="652"/>
      <c r="S355" s="652"/>
      <c r="T355" s="652"/>
      <c r="U355" s="652"/>
      <c r="V355" s="653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9"/>
      <c r="AB356" s="629"/>
      <c r="AC356" s="629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6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1" t="s">
        <v>69</v>
      </c>
      <c r="Q358" s="652"/>
      <c r="R358" s="652"/>
      <c r="S358" s="652"/>
      <c r="T358" s="652"/>
      <c r="U358" s="652"/>
      <c r="V358" s="653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1" t="s">
        <v>69</v>
      </c>
      <c r="Q359" s="652"/>
      <c r="R359" s="652"/>
      <c r="S359" s="652"/>
      <c r="T359" s="652"/>
      <c r="U359" s="652"/>
      <c r="V359" s="653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4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8"/>
      <c r="AB360" s="628"/>
      <c r="AC360" s="628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9"/>
      <c r="AB361" s="629"/>
      <c r="AC361" s="629"/>
    </row>
    <row r="362" spans="1:68" ht="27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160</v>
      </c>
      <c r="Y362" s="634">
        <f>IFERROR(IF(X362="",0,CEILING((X362/$H362),1)*$H362),"")</f>
        <v>163.79999999999998</v>
      </c>
      <c r="Z362" s="36">
        <f>IFERROR(IF(Y362=0,"",ROUNDUP(Y362/H362,0)*0.01898),"")</f>
        <v>0.39857999999999999</v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168.41025641025644</v>
      </c>
      <c r="BN362" s="64">
        <f>IFERROR(Y362*I362/H362,"0")</f>
        <v>172.41</v>
      </c>
      <c r="BO362" s="64">
        <f>IFERROR(1/J362*(X362/H362),"0")</f>
        <v>0.32051282051282054</v>
      </c>
      <c r="BP362" s="64">
        <f>IFERROR(1/J362*(Y362/H362),"0")</f>
        <v>0.328125</v>
      </c>
    </row>
    <row r="363" spans="1:68" ht="27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204</v>
      </c>
      <c r="Y363" s="634">
        <f>IFERROR(IF(X363="",0,CEILING((X363/$H363),1)*$H363),"")</f>
        <v>210.6</v>
      </c>
      <c r="Z363" s="36">
        <f>IFERROR(IF(Y363=0,"",ROUNDUP(Y363/H363,0)*0.01898),"")</f>
        <v>0.51246000000000003</v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214.72307692307695</v>
      </c>
      <c r="BN363" s="64">
        <f>IFERROR(Y363*I363/H363,"0")</f>
        <v>221.67000000000002</v>
      </c>
      <c r="BO363" s="64">
        <f>IFERROR(1/J363*(X363/H363),"0")</f>
        <v>0.40865384615384615</v>
      </c>
      <c r="BP363" s="64">
        <f>IFERROR(1/J363*(Y363/H363),"0")</f>
        <v>0.421875</v>
      </c>
    </row>
    <row r="364" spans="1:68" ht="27" hidden="1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1" t="s">
        <v>69</v>
      </c>
      <c r="Q365" s="652"/>
      <c r="R365" s="652"/>
      <c r="S365" s="652"/>
      <c r="T365" s="652"/>
      <c r="U365" s="652"/>
      <c r="V365" s="653"/>
      <c r="W365" s="37" t="s">
        <v>70</v>
      </c>
      <c r="X365" s="635">
        <f>IFERROR(X362/H362,"0")+IFERROR(X363/H363,"0")+IFERROR(X364/H364,"0")</f>
        <v>46.666666666666671</v>
      </c>
      <c r="Y365" s="635">
        <f>IFERROR(Y362/H362,"0")+IFERROR(Y363/H363,"0")+IFERROR(Y364/H364,"0")</f>
        <v>48</v>
      </c>
      <c r="Z365" s="635">
        <f>IFERROR(IF(Z362="",0,Z362),"0")+IFERROR(IF(Z363="",0,Z363),"0")+IFERROR(IF(Z364="",0,Z364),"0")</f>
        <v>0.91104000000000007</v>
      </c>
      <c r="AA365" s="636"/>
      <c r="AB365" s="636"/>
      <c r="AC365" s="636"/>
    </row>
    <row r="366" spans="1:68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1" t="s">
        <v>69</v>
      </c>
      <c r="Q366" s="652"/>
      <c r="R366" s="652"/>
      <c r="S366" s="652"/>
      <c r="T366" s="652"/>
      <c r="U366" s="652"/>
      <c r="V366" s="653"/>
      <c r="W366" s="37" t="s">
        <v>67</v>
      </c>
      <c r="X366" s="635">
        <f>IFERROR(SUM(X362:X364),"0")</f>
        <v>364</v>
      </c>
      <c r="Y366" s="635">
        <f>IFERROR(SUM(Y362:Y364),"0")</f>
        <v>374.4</v>
      </c>
      <c r="Z366" s="37"/>
      <c r="AA366" s="636"/>
      <c r="AB366" s="636"/>
      <c r="AC366" s="636"/>
    </row>
    <row r="367" spans="1:68" ht="16.5" hidden="1" customHeight="1" x14ac:dyDescent="0.25">
      <c r="A367" s="654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8"/>
      <c r="AB367" s="628"/>
      <c r="AC367" s="628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9"/>
      <c r="AB368" s="629"/>
      <c r="AC368" s="629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7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idden="1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1" t="s">
        <v>69</v>
      </c>
      <c r="Q376" s="652"/>
      <c r="R376" s="652"/>
      <c r="S376" s="652"/>
      <c r="T376" s="652"/>
      <c r="U376" s="652"/>
      <c r="V376" s="653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1" t="s">
        <v>69</v>
      </c>
      <c r="Q377" s="652"/>
      <c r="R377" s="652"/>
      <c r="S377" s="652"/>
      <c r="T377" s="652"/>
      <c r="U377" s="652"/>
      <c r="V377" s="65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9"/>
      <c r="AB378" s="629"/>
      <c r="AC378" s="629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28</v>
      </c>
      <c r="Y380" s="634">
        <f t="shared" si="56"/>
        <v>29.400000000000002</v>
      </c>
      <c r="Z380" s="36">
        <f>IFERROR(IF(Y380=0,"",ROUNDUP(Y380/H380,0)*0.00902),"")</f>
        <v>6.3140000000000002E-2</v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29.666666666666668</v>
      </c>
      <c r="BN380" s="64">
        <f t="shared" si="58"/>
        <v>31.150000000000002</v>
      </c>
      <c r="BO380" s="64">
        <f t="shared" si="59"/>
        <v>5.0505050505050504E-2</v>
      </c>
      <c r="BP380" s="64">
        <f t="shared" si="60"/>
        <v>5.3030303030303032E-2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69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12</v>
      </c>
      <c r="Y385" s="634">
        <f t="shared" si="56"/>
        <v>12.6</v>
      </c>
      <c r="Z385" s="36">
        <f>IFERROR(IF(Y385=0,"",ROUNDUP(Y385/H385,0)*0.00651),"")</f>
        <v>4.5569999999999999E-2</v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13.52</v>
      </c>
      <c r="BN385" s="64">
        <f t="shared" si="58"/>
        <v>14.196</v>
      </c>
      <c r="BO385" s="64">
        <f t="shared" si="59"/>
        <v>3.6630036630036632E-2</v>
      </c>
      <c r="BP385" s="64">
        <f t="shared" si="60"/>
        <v>3.8461538461538464E-2</v>
      </c>
    </row>
    <row r="386" spans="1:68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1" t="s">
        <v>69</v>
      </c>
      <c r="Q386" s="652"/>
      <c r="R386" s="652"/>
      <c r="S386" s="652"/>
      <c r="T386" s="652"/>
      <c r="U386" s="652"/>
      <c r="V386" s="653"/>
      <c r="W386" s="37" t="s">
        <v>70</v>
      </c>
      <c r="X386" s="635">
        <f>IFERROR(X379/H379,"0")+IFERROR(X380/H380,"0")+IFERROR(X381/H381,"0")+IFERROR(X382/H382,"0")+IFERROR(X383/H383,"0")+IFERROR(X384/H384,"0")+IFERROR(X385/H385,"0")</f>
        <v>13.333333333333332</v>
      </c>
      <c r="Y386" s="635">
        <f>IFERROR(Y379/H379,"0")+IFERROR(Y380/H380,"0")+IFERROR(Y381/H381,"0")+IFERROR(Y382/H382,"0")+IFERROR(Y383/H383,"0")+IFERROR(Y384/H384,"0")+IFERROR(Y385/H385,"0")</f>
        <v>14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0.10871</v>
      </c>
      <c r="AA386" s="636"/>
      <c r="AB386" s="636"/>
      <c r="AC386" s="636"/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1" t="s">
        <v>69</v>
      </c>
      <c r="Q387" s="652"/>
      <c r="R387" s="652"/>
      <c r="S387" s="652"/>
      <c r="T387" s="652"/>
      <c r="U387" s="652"/>
      <c r="V387" s="653"/>
      <c r="W387" s="37" t="s">
        <v>67</v>
      </c>
      <c r="X387" s="635">
        <f>IFERROR(SUM(X379:X385),"0")</f>
        <v>40</v>
      </c>
      <c r="Y387" s="635">
        <f>IFERROR(SUM(Y379:Y385),"0")</f>
        <v>42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9"/>
      <c r="AB388" s="629"/>
      <c r="AC388" s="629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5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6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1" t="s">
        <v>69</v>
      </c>
      <c r="Q393" s="652"/>
      <c r="R393" s="652"/>
      <c r="S393" s="652"/>
      <c r="T393" s="652"/>
      <c r="U393" s="652"/>
      <c r="V393" s="653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1" t="s">
        <v>69</v>
      </c>
      <c r="Q394" s="652"/>
      <c r="R394" s="652"/>
      <c r="S394" s="652"/>
      <c r="T394" s="652"/>
      <c r="U394" s="652"/>
      <c r="V394" s="653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9"/>
      <c r="AB395" s="629"/>
      <c r="AC395" s="629"/>
    </row>
    <row r="396" spans="1:68" ht="27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45</v>
      </c>
      <c r="Y396" s="634">
        <f>IFERROR(IF(X396="",0,CEILING((X396/$H396),1)*$H396),"")</f>
        <v>50.400000000000006</v>
      </c>
      <c r="Z396" s="36">
        <f>IFERROR(IF(Y396=0,"",ROUNDUP(Y396/H396,0)*0.01898),"")</f>
        <v>0.11388000000000001</v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47.646428571428572</v>
      </c>
      <c r="BN396" s="64">
        <f>IFERROR(Y396*I396/H396,"0")</f>
        <v>53.364000000000004</v>
      </c>
      <c r="BO396" s="64">
        <f>IFERROR(1/J396*(X396/H396),"0")</f>
        <v>8.3705357142857137E-2</v>
      </c>
      <c r="BP396" s="64">
        <f>IFERROR(1/J396*(Y396/H396),"0")</f>
        <v>9.375E-2</v>
      </c>
    </row>
    <row r="397" spans="1:68" ht="27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0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345</v>
      </c>
      <c r="Y397" s="634">
        <f>IFERROR(IF(X397="",0,CEILING((X397/$H397),1)*$H397),"")</f>
        <v>351</v>
      </c>
      <c r="Z397" s="36">
        <f>IFERROR(IF(Y397=0,"",ROUNDUP(Y397/H397,0)*0.01898),"")</f>
        <v>0.85409999999999997</v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366.85</v>
      </c>
      <c r="BN397" s="64">
        <f>IFERROR(Y397*I397/H397,"0")</f>
        <v>373.23</v>
      </c>
      <c r="BO397" s="64">
        <f>IFERROR(1/J397*(X397/H397),"0")</f>
        <v>0.69110576923076927</v>
      </c>
      <c r="BP397" s="64">
        <f>IFERROR(1/J397*(Y397/H397),"0")</f>
        <v>0.703125</v>
      </c>
    </row>
    <row r="398" spans="1:68" ht="27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91</v>
      </c>
      <c r="Y398" s="634">
        <f>IFERROR(IF(X398="",0,CEILING((X398/$H398),1)*$H398),"")</f>
        <v>92.4</v>
      </c>
      <c r="Z398" s="36">
        <f>IFERROR(IF(Y398=0,"",ROUNDUP(Y398/H398,0)*0.01898),"")</f>
        <v>0.20877999999999999</v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96.351666666666674</v>
      </c>
      <c r="BN398" s="64">
        <f>IFERROR(Y398*I398/H398,"0")</f>
        <v>97.834000000000003</v>
      </c>
      <c r="BO398" s="64">
        <f>IFERROR(1/J398*(X398/H398),"0")</f>
        <v>0.16927083333333331</v>
      </c>
      <c r="BP398" s="64">
        <f>IFERROR(1/J398*(Y398/H398),"0")</f>
        <v>0.171875</v>
      </c>
    </row>
    <row r="399" spans="1:68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1" t="s">
        <v>69</v>
      </c>
      <c r="Q399" s="652"/>
      <c r="R399" s="652"/>
      <c r="S399" s="652"/>
      <c r="T399" s="652"/>
      <c r="U399" s="652"/>
      <c r="V399" s="653"/>
      <c r="W399" s="37" t="s">
        <v>70</v>
      </c>
      <c r="X399" s="635">
        <f>IFERROR(X396/H396,"0")+IFERROR(X397/H397,"0")+IFERROR(X398/H398,"0")</f>
        <v>60.421245421245416</v>
      </c>
      <c r="Y399" s="635">
        <f>IFERROR(Y396/H396,"0")+IFERROR(Y397/H397,"0")+IFERROR(Y398/H398,"0")</f>
        <v>62</v>
      </c>
      <c r="Z399" s="635">
        <f>IFERROR(IF(Z396="",0,Z396),"0")+IFERROR(IF(Z397="",0,Z397),"0")+IFERROR(IF(Z398="",0,Z398),"0")</f>
        <v>1.17676</v>
      </c>
      <c r="AA399" s="636"/>
      <c r="AB399" s="636"/>
      <c r="AC399" s="636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1" t="s">
        <v>69</v>
      </c>
      <c r="Q400" s="652"/>
      <c r="R400" s="652"/>
      <c r="S400" s="652"/>
      <c r="T400" s="652"/>
      <c r="U400" s="652"/>
      <c r="V400" s="653"/>
      <c r="W400" s="37" t="s">
        <v>67</v>
      </c>
      <c r="X400" s="635">
        <f>IFERROR(SUM(X396:X398),"0")</f>
        <v>481</v>
      </c>
      <c r="Y400" s="635">
        <f>IFERROR(SUM(Y396:Y398),"0")</f>
        <v>493.79999999999995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9"/>
      <c r="AB401" s="629"/>
      <c r="AC401" s="629"/>
    </row>
    <row r="402" spans="1:68" ht="27" hidden="1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0</v>
      </c>
      <c r="Y402" s="63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6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0</v>
      </c>
      <c r="Y403" s="634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8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12</v>
      </c>
      <c r="Y404" s="634">
        <f>IFERROR(IF(X404="",0,CEILING((X404/$H404),1)*$H404),"")</f>
        <v>12.75</v>
      </c>
      <c r="Z404" s="36">
        <f>IFERROR(IF(Y404=0,"",ROUNDUP(Y404/H404,0)*0.00651),"")</f>
        <v>3.2550000000000003E-2</v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13.905882352941179</v>
      </c>
      <c r="BN404" s="64">
        <f>IFERROR(Y404*I404/H404,"0")</f>
        <v>14.775000000000002</v>
      </c>
      <c r="BO404" s="64">
        <f>IFERROR(1/J404*(X404/H404),"0")</f>
        <v>2.5856496444731741E-2</v>
      </c>
      <c r="BP404" s="64">
        <f>IFERROR(1/J404*(Y404/H404),"0")</f>
        <v>2.7472527472527476E-2</v>
      </c>
    </row>
    <row r="405" spans="1:68" ht="27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11</v>
      </c>
      <c r="Y405" s="634">
        <f>IFERROR(IF(X405="",0,CEILING((X405/$H405),1)*$H405),"")</f>
        <v>12.75</v>
      </c>
      <c r="Z405" s="36">
        <f>IFERROR(IF(Y405=0,"",ROUNDUP(Y405/H405,0)*0.00651),"")</f>
        <v>3.2550000000000003E-2</v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12.423529411764706</v>
      </c>
      <c r="BN405" s="64">
        <f>IFERROR(Y405*I405/H405,"0")</f>
        <v>14.4</v>
      </c>
      <c r="BO405" s="64">
        <f>IFERROR(1/J405*(X405/H405),"0")</f>
        <v>2.3701788407670767E-2</v>
      </c>
      <c r="BP405" s="64">
        <f>IFERROR(1/J405*(Y405/H405),"0")</f>
        <v>2.7472527472527476E-2</v>
      </c>
    </row>
    <row r="406" spans="1:68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1" t="s">
        <v>69</v>
      </c>
      <c r="Q406" s="652"/>
      <c r="R406" s="652"/>
      <c r="S406" s="652"/>
      <c r="T406" s="652"/>
      <c r="U406" s="652"/>
      <c r="V406" s="653"/>
      <c r="W406" s="37" t="s">
        <v>70</v>
      </c>
      <c r="X406" s="635">
        <f>IFERROR(X402/H402,"0")+IFERROR(X403/H403,"0")+IFERROR(X404/H404,"0")+IFERROR(X405/H405,"0")</f>
        <v>9.0196078431372548</v>
      </c>
      <c r="Y406" s="635">
        <f>IFERROR(Y402/H402,"0")+IFERROR(Y403/H403,"0")+IFERROR(Y404/H404,"0")+IFERROR(Y405/H405,"0")</f>
        <v>10</v>
      </c>
      <c r="Z406" s="635">
        <f>IFERROR(IF(Z402="",0,Z402),"0")+IFERROR(IF(Z403="",0,Z403),"0")+IFERROR(IF(Z404="",0,Z404),"0")+IFERROR(IF(Z405="",0,Z405),"0")</f>
        <v>6.5100000000000005E-2</v>
      </c>
      <c r="AA406" s="636"/>
      <c r="AB406" s="636"/>
      <c r="AC406" s="636"/>
    </row>
    <row r="407" spans="1:68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1" t="s">
        <v>69</v>
      </c>
      <c r="Q407" s="652"/>
      <c r="R407" s="652"/>
      <c r="S407" s="652"/>
      <c r="T407" s="652"/>
      <c r="U407" s="652"/>
      <c r="V407" s="653"/>
      <c r="W407" s="37" t="s">
        <v>67</v>
      </c>
      <c r="X407" s="635">
        <f>IFERROR(SUM(X402:X405),"0")</f>
        <v>23</v>
      </c>
      <c r="Y407" s="635">
        <f>IFERROR(SUM(Y402:Y405),"0")</f>
        <v>25.5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9"/>
      <c r="AB408" s="629"/>
      <c r="AC408" s="629"/>
    </row>
    <row r="409" spans="1:68" ht="16.5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11</v>
      </c>
      <c r="Y409" s="634">
        <f>IFERROR(IF(X409="",0,CEILING((X409/$H409),1)*$H409),"")</f>
        <v>12</v>
      </c>
      <c r="Z409" s="36">
        <f>IFERROR(IF(Y409=0,"",ROUNDUP(Y409/H409,0)*0.00474),"")</f>
        <v>2.844E-2</v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12.32</v>
      </c>
      <c r="BN409" s="64">
        <f>IFERROR(Y409*I409/H409,"0")</f>
        <v>13.440000000000001</v>
      </c>
      <c r="BO409" s="64">
        <f>IFERROR(1/J409*(X409/H409),"0")</f>
        <v>2.3109243697478989E-2</v>
      </c>
      <c r="BP409" s="64">
        <f>IFERROR(1/J409*(Y409/H409),"0")</f>
        <v>2.5210084033613446E-2</v>
      </c>
    </row>
    <row r="410" spans="1:68" ht="27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5</v>
      </c>
      <c r="Y410" s="634">
        <f>IFERROR(IF(X410="",0,CEILING((X410/$H410),1)*$H410),"")</f>
        <v>6</v>
      </c>
      <c r="Z410" s="36">
        <f>IFERROR(IF(Y410=0,"",ROUNDUP(Y410/H410,0)*0.00474),"")</f>
        <v>1.422E-2</v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5.6000000000000005</v>
      </c>
      <c r="BN410" s="64">
        <f>IFERROR(Y410*I410/H410,"0")</f>
        <v>6.7200000000000006</v>
      </c>
      <c r="BO410" s="64">
        <f>IFERROR(1/J410*(X410/H410),"0")</f>
        <v>1.0504201680672268E-2</v>
      </c>
      <c r="BP410" s="64">
        <f>IFERROR(1/J410*(Y410/H410),"0")</f>
        <v>1.2605042016806723E-2</v>
      </c>
    </row>
    <row r="411" spans="1:68" ht="27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12</v>
      </c>
      <c r="Y411" s="634">
        <f>IFERROR(IF(X411="",0,CEILING((X411/$H411),1)*$H411),"")</f>
        <v>12</v>
      </c>
      <c r="Z411" s="36">
        <f>IFERROR(IF(Y411=0,"",ROUNDUP(Y411/H411,0)*0.00474),"")</f>
        <v>2.844E-2</v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13.440000000000001</v>
      </c>
      <c r="BN411" s="64">
        <f>IFERROR(Y411*I411/H411,"0")</f>
        <v>13.440000000000001</v>
      </c>
      <c r="BO411" s="64">
        <f>IFERROR(1/J411*(X411/H411),"0")</f>
        <v>2.5210084033613446E-2</v>
      </c>
      <c r="BP411" s="64">
        <f>IFERROR(1/J411*(Y411/H411),"0")</f>
        <v>2.5210084033613446E-2</v>
      </c>
    </row>
    <row r="412" spans="1:68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1" t="s">
        <v>69</v>
      </c>
      <c r="Q412" s="652"/>
      <c r="R412" s="652"/>
      <c r="S412" s="652"/>
      <c r="T412" s="652"/>
      <c r="U412" s="652"/>
      <c r="V412" s="653"/>
      <c r="W412" s="37" t="s">
        <v>70</v>
      </c>
      <c r="X412" s="635">
        <f>IFERROR(X409/H409,"0")+IFERROR(X410/H410,"0")+IFERROR(X411/H411,"0")</f>
        <v>14</v>
      </c>
      <c r="Y412" s="635">
        <f>IFERROR(Y409/H409,"0")+IFERROR(Y410/H410,"0")+IFERROR(Y411/H411,"0")</f>
        <v>15</v>
      </c>
      <c r="Z412" s="635">
        <f>IFERROR(IF(Z409="",0,Z409),"0")+IFERROR(IF(Z410="",0,Z410),"0")+IFERROR(IF(Z411="",0,Z411),"0")</f>
        <v>7.1099999999999997E-2</v>
      </c>
      <c r="AA412" s="636"/>
      <c r="AB412" s="636"/>
      <c r="AC412" s="636"/>
    </row>
    <row r="413" spans="1:68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1" t="s">
        <v>69</v>
      </c>
      <c r="Q413" s="652"/>
      <c r="R413" s="652"/>
      <c r="S413" s="652"/>
      <c r="T413" s="652"/>
      <c r="U413" s="652"/>
      <c r="V413" s="653"/>
      <c r="W413" s="37" t="s">
        <v>67</v>
      </c>
      <c r="X413" s="635">
        <f>IFERROR(SUM(X409:X411),"0")</f>
        <v>28</v>
      </c>
      <c r="Y413" s="635">
        <f>IFERROR(SUM(Y409:Y411),"0")</f>
        <v>30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9"/>
      <c r="AB414" s="629"/>
      <c r="AC414" s="629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1" t="s">
        <v>69</v>
      </c>
      <c r="Q418" s="652"/>
      <c r="R418" s="652"/>
      <c r="S418" s="652"/>
      <c r="T418" s="652"/>
      <c r="U418" s="652"/>
      <c r="V418" s="653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1" t="s">
        <v>69</v>
      </c>
      <c r="Q419" s="652"/>
      <c r="R419" s="652"/>
      <c r="S419" s="652"/>
      <c r="T419" s="652"/>
      <c r="U419" s="652"/>
      <c r="V419" s="653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4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8"/>
      <c r="AB420" s="628"/>
      <c r="AC420" s="628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9"/>
      <c r="AB421" s="629"/>
      <c r="AC421" s="629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47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0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1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1" t="s">
        <v>69</v>
      </c>
      <c r="Q426" s="652"/>
      <c r="R426" s="652"/>
      <c r="S426" s="652"/>
      <c r="T426" s="652"/>
      <c r="U426" s="652"/>
      <c r="V426" s="653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1" t="s">
        <v>69</v>
      </c>
      <c r="Q427" s="652"/>
      <c r="R427" s="652"/>
      <c r="S427" s="652"/>
      <c r="T427" s="652"/>
      <c r="U427" s="652"/>
      <c r="V427" s="653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4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8"/>
      <c r="AB428" s="628"/>
      <c r="AC428" s="628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9"/>
      <c r="AB429" s="629"/>
      <c r="AC429" s="629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7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16</v>
      </c>
      <c r="Y431" s="634">
        <f>IFERROR(IF(X431="",0,CEILING((X431/$H431),1)*$H431),"")</f>
        <v>16.8</v>
      </c>
      <c r="Z431" s="36">
        <f>IFERROR(IF(Y431=0,"",ROUNDUP(Y431/H431,0)*0.00651),"")</f>
        <v>5.2080000000000001E-2</v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17.919999999999998</v>
      </c>
      <c r="BN431" s="64">
        <f>IFERROR(Y431*I431/H431,"0")</f>
        <v>18.815999999999999</v>
      </c>
      <c r="BO431" s="64">
        <f>IFERROR(1/J431*(X431/H431),"0")</f>
        <v>4.1862899005756148E-2</v>
      </c>
      <c r="BP431" s="64">
        <f>IFERROR(1/J431*(Y431/H431),"0")</f>
        <v>4.3956043956043959E-2</v>
      </c>
    </row>
    <row r="432" spans="1:68" ht="27" hidden="1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7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0</v>
      </c>
      <c r="Y432" s="634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1" t="s">
        <v>69</v>
      </c>
      <c r="Q433" s="652"/>
      <c r="R433" s="652"/>
      <c r="S433" s="652"/>
      <c r="T433" s="652"/>
      <c r="U433" s="652"/>
      <c r="V433" s="653"/>
      <c r="W433" s="37" t="s">
        <v>70</v>
      </c>
      <c r="X433" s="635">
        <f>IFERROR(X430/H430,"0")+IFERROR(X431/H431,"0")+IFERROR(X432/H432,"0")</f>
        <v>7.6190476190476186</v>
      </c>
      <c r="Y433" s="635">
        <f>IFERROR(Y430/H430,"0")+IFERROR(Y431/H431,"0")+IFERROR(Y432/H432,"0")</f>
        <v>8</v>
      </c>
      <c r="Z433" s="635">
        <f>IFERROR(IF(Z430="",0,Z430),"0")+IFERROR(IF(Z431="",0,Z431),"0")+IFERROR(IF(Z432="",0,Z432),"0")</f>
        <v>5.2080000000000001E-2</v>
      </c>
      <c r="AA433" s="636"/>
      <c r="AB433" s="636"/>
      <c r="AC433" s="636"/>
    </row>
    <row r="434" spans="1:68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1" t="s">
        <v>69</v>
      </c>
      <c r="Q434" s="652"/>
      <c r="R434" s="652"/>
      <c r="S434" s="652"/>
      <c r="T434" s="652"/>
      <c r="U434" s="652"/>
      <c r="V434" s="653"/>
      <c r="W434" s="37" t="s">
        <v>67</v>
      </c>
      <c r="X434" s="635">
        <f>IFERROR(SUM(X430:X432),"0")</f>
        <v>16</v>
      </c>
      <c r="Y434" s="635">
        <f>IFERROR(SUM(Y430:Y432),"0")</f>
        <v>16.8</v>
      </c>
      <c r="Z434" s="37"/>
      <c r="AA434" s="636"/>
      <c r="AB434" s="636"/>
      <c r="AC434" s="636"/>
    </row>
    <row r="435" spans="1:68" ht="27.75" hidden="1" customHeight="1" x14ac:dyDescent="0.2">
      <c r="A435" s="674" t="s">
        <v>696</v>
      </c>
      <c r="B435" s="675"/>
      <c r="C435" s="675"/>
      <c r="D435" s="675"/>
      <c r="E435" s="675"/>
      <c r="F435" s="675"/>
      <c r="G435" s="675"/>
      <c r="H435" s="675"/>
      <c r="I435" s="675"/>
      <c r="J435" s="675"/>
      <c r="K435" s="675"/>
      <c r="L435" s="675"/>
      <c r="M435" s="675"/>
      <c r="N435" s="675"/>
      <c r="O435" s="675"/>
      <c r="P435" s="675"/>
      <c r="Q435" s="675"/>
      <c r="R435" s="675"/>
      <c r="S435" s="675"/>
      <c r="T435" s="675"/>
      <c r="U435" s="675"/>
      <c r="V435" s="675"/>
      <c r="W435" s="675"/>
      <c r="X435" s="675"/>
      <c r="Y435" s="675"/>
      <c r="Z435" s="675"/>
      <c r="AA435" s="48"/>
      <c r="AB435" s="48"/>
      <c r="AC435" s="48"/>
    </row>
    <row r="436" spans="1:68" ht="16.5" hidden="1" customHeight="1" x14ac:dyDescent="0.25">
      <c r="A436" s="654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8"/>
      <c r="AB436" s="628"/>
      <c r="AC436" s="628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9"/>
      <c r="AB437" s="629"/>
      <c r="AC437" s="629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9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630</v>
      </c>
      <c r="Y439" s="634">
        <f t="shared" si="61"/>
        <v>630</v>
      </c>
      <c r="Z439" s="36">
        <f>IFERROR(IF(Y439=0,"",ROUNDUP(Y439/H439,0)*0.02175),"")</f>
        <v>0.91349999999999998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649.74</v>
      </c>
      <c r="BN439" s="64">
        <f t="shared" si="63"/>
        <v>649.74</v>
      </c>
      <c r="BO439" s="64">
        <f t="shared" si="64"/>
        <v>0.875</v>
      </c>
      <c r="BP439" s="64">
        <f t="shared" si="65"/>
        <v>0.875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747</v>
      </c>
      <c r="Y440" s="634">
        <f t="shared" si="61"/>
        <v>750</v>
      </c>
      <c r="Z440" s="36">
        <f>IFERROR(IF(Y440=0,"",ROUNDUP(Y440/H440,0)*0.02175),"")</f>
        <v>1.0874999999999999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770.40600000000006</v>
      </c>
      <c r="BN440" s="64">
        <f t="shared" si="63"/>
        <v>773.5</v>
      </c>
      <c r="BO440" s="64">
        <f t="shared" si="64"/>
        <v>1.0374999999999999</v>
      </c>
      <c r="BP440" s="64">
        <f t="shared" si="65"/>
        <v>1.0416666666666665</v>
      </c>
    </row>
    <row r="441" spans="1:68" ht="27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398</v>
      </c>
      <c r="Y441" s="634">
        <f t="shared" si="61"/>
        <v>405</v>
      </c>
      <c r="Z441" s="36">
        <f>IFERROR(IF(Y441=0,"",ROUNDUP(Y441/H441,0)*0.02175),"")</f>
        <v>0.58724999999999994</v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410.47066666666672</v>
      </c>
      <c r="BN441" s="64">
        <f t="shared" si="63"/>
        <v>417.69</v>
      </c>
      <c r="BO441" s="64">
        <f t="shared" si="64"/>
        <v>0.55277777777777781</v>
      </c>
      <c r="BP441" s="64">
        <f t="shared" si="65"/>
        <v>0.5625</v>
      </c>
    </row>
    <row r="442" spans="1:68" ht="27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607</v>
      </c>
      <c r="Y442" s="634">
        <f t="shared" si="61"/>
        <v>615</v>
      </c>
      <c r="Z442" s="36">
        <f>IFERROR(IF(Y442=0,"",ROUNDUP(Y442/H442,0)*0.02175),"")</f>
        <v>0.89174999999999993</v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626.01933333333341</v>
      </c>
      <c r="BN442" s="64">
        <f t="shared" si="63"/>
        <v>634.2700000000001</v>
      </c>
      <c r="BO442" s="64">
        <f t="shared" si="64"/>
        <v>0.84305555555555556</v>
      </c>
      <c r="BP442" s="64">
        <f t="shared" si="65"/>
        <v>0.85416666666666663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6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1" t="s">
        <v>69</v>
      </c>
      <c r="Q446" s="652"/>
      <c r="R446" s="652"/>
      <c r="S446" s="652"/>
      <c r="T446" s="652"/>
      <c r="U446" s="652"/>
      <c r="V446" s="653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158.80000000000001</v>
      </c>
      <c r="Y446" s="635">
        <f>IFERROR(Y438/H438,"0")+IFERROR(Y439/H439,"0")+IFERROR(Y440/H440,"0")+IFERROR(Y441/H441,"0")+IFERROR(Y442/H442,"0")+IFERROR(Y443/H443,"0")+IFERROR(Y444/H444,"0")+IFERROR(Y445/H445,"0")</f>
        <v>160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3.48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1" t="s">
        <v>69</v>
      </c>
      <c r="Q447" s="652"/>
      <c r="R447" s="652"/>
      <c r="S447" s="652"/>
      <c r="T447" s="652"/>
      <c r="U447" s="652"/>
      <c r="V447" s="653"/>
      <c r="W447" s="37" t="s">
        <v>67</v>
      </c>
      <c r="X447" s="635">
        <f>IFERROR(SUM(X438:X445),"0")</f>
        <v>2382</v>
      </c>
      <c r="Y447" s="635">
        <f>IFERROR(SUM(Y438:Y445),"0")</f>
        <v>2400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9"/>
      <c r="AB448" s="629"/>
      <c r="AC448" s="629"/>
    </row>
    <row r="449" spans="1:68" ht="27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1037</v>
      </c>
      <c r="Y449" s="634">
        <f>IFERROR(IF(X449="",0,CEILING((X449/$H449),1)*$H449),"")</f>
        <v>1050</v>
      </c>
      <c r="Z449" s="36">
        <f>IFERROR(IF(Y449=0,"",ROUNDUP(Y449/H449,0)*0.02175),"")</f>
        <v>1.5225</v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1069.4926666666668</v>
      </c>
      <c r="BN449" s="64">
        <f>IFERROR(Y449*I449/H449,"0")</f>
        <v>1082.9000000000001</v>
      </c>
      <c r="BO449" s="64">
        <f>IFERROR(1/J449*(X449/H449),"0")</f>
        <v>1.4402777777777778</v>
      </c>
      <c r="BP449" s="64">
        <f>IFERROR(1/J449*(Y449/H449),"0")</f>
        <v>1.4583333333333333</v>
      </c>
    </row>
    <row r="450" spans="1:68" ht="27" hidden="1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1" t="s">
        <v>69</v>
      </c>
      <c r="Q452" s="652"/>
      <c r="R452" s="652"/>
      <c r="S452" s="652"/>
      <c r="T452" s="652"/>
      <c r="U452" s="652"/>
      <c r="V452" s="653"/>
      <c r="W452" s="37" t="s">
        <v>70</v>
      </c>
      <c r="X452" s="635">
        <f>IFERROR(X449/H449,"0")+IFERROR(X450/H450,"0")+IFERROR(X451/H451,"0")</f>
        <v>69.13333333333334</v>
      </c>
      <c r="Y452" s="635">
        <f>IFERROR(Y449/H449,"0")+IFERROR(Y450/H450,"0")+IFERROR(Y451/H451,"0")</f>
        <v>70</v>
      </c>
      <c r="Z452" s="635">
        <f>IFERROR(IF(Z449="",0,Z449),"0")+IFERROR(IF(Z450="",0,Z450),"0")+IFERROR(IF(Z451="",0,Z451),"0")</f>
        <v>1.5225</v>
      </c>
      <c r="AA452" s="636"/>
      <c r="AB452" s="636"/>
      <c r="AC452" s="636"/>
    </row>
    <row r="453" spans="1:68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1" t="s">
        <v>69</v>
      </c>
      <c r="Q453" s="652"/>
      <c r="R453" s="652"/>
      <c r="S453" s="652"/>
      <c r="T453" s="652"/>
      <c r="U453" s="652"/>
      <c r="V453" s="653"/>
      <c r="W453" s="37" t="s">
        <v>67</v>
      </c>
      <c r="X453" s="635">
        <f>IFERROR(SUM(X449:X451),"0")</f>
        <v>1037</v>
      </c>
      <c r="Y453" s="635">
        <f>IFERROR(SUM(Y449:Y451),"0")</f>
        <v>1050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9"/>
      <c r="AB454" s="629"/>
      <c r="AC454" s="629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6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1" t="s">
        <v>69</v>
      </c>
      <c r="Q458" s="652"/>
      <c r="R458" s="652"/>
      <c r="S458" s="652"/>
      <c r="T458" s="652"/>
      <c r="U458" s="652"/>
      <c r="V458" s="653"/>
      <c r="W458" s="37" t="s">
        <v>70</v>
      </c>
      <c r="X458" s="635">
        <f>IFERROR(X455/H455,"0")+IFERROR(X456/H456,"0")+IFERROR(X457/H457,"0")</f>
        <v>0</v>
      </c>
      <c r="Y458" s="635">
        <f>IFERROR(Y455/H455,"0")+IFERROR(Y456/H456,"0")+IFERROR(Y457/H457,"0")</f>
        <v>0</v>
      </c>
      <c r="Z458" s="635">
        <f>IFERROR(IF(Z455="",0,Z455),"0")+IFERROR(IF(Z456="",0,Z456),"0")+IFERROR(IF(Z457="",0,Z457),"0")</f>
        <v>0</v>
      </c>
      <c r="AA458" s="636"/>
      <c r="AB458" s="636"/>
      <c r="AC458" s="636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1" t="s">
        <v>69</v>
      </c>
      <c r="Q459" s="652"/>
      <c r="R459" s="652"/>
      <c r="S459" s="652"/>
      <c r="T459" s="652"/>
      <c r="U459" s="652"/>
      <c r="V459" s="653"/>
      <c r="W459" s="37" t="s">
        <v>67</v>
      </c>
      <c r="X459" s="635">
        <f>IFERROR(SUM(X455:X457),"0")</f>
        <v>0</v>
      </c>
      <c r="Y459" s="635">
        <f>IFERROR(SUM(Y455:Y457),"0")</f>
        <v>0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9"/>
      <c r="AB460" s="629"/>
      <c r="AC460" s="629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61</v>
      </c>
      <c r="Y462" s="634">
        <f>IFERROR(IF(X462="",0,CEILING((X462/$H462),1)*$H462),"")</f>
        <v>63</v>
      </c>
      <c r="Z462" s="36">
        <f>IFERROR(IF(Y462=0,"",ROUNDUP(Y462/H462,0)*0.01898),"")</f>
        <v>0.13286000000000001</v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64.348222222222219</v>
      </c>
      <c r="BN462" s="64">
        <f>IFERROR(Y462*I462/H462,"0")</f>
        <v>66.457999999999998</v>
      </c>
      <c r="BO462" s="64">
        <f>IFERROR(1/J462*(X462/H462),"0")</f>
        <v>0.10590277777777778</v>
      </c>
      <c r="BP462" s="64">
        <f>IFERROR(1/J462*(Y462/H462),"0")</f>
        <v>0.109375</v>
      </c>
    </row>
    <row r="463" spans="1:68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1" t="s">
        <v>69</v>
      </c>
      <c r="Q463" s="652"/>
      <c r="R463" s="652"/>
      <c r="S463" s="652"/>
      <c r="T463" s="652"/>
      <c r="U463" s="652"/>
      <c r="V463" s="653"/>
      <c r="W463" s="37" t="s">
        <v>70</v>
      </c>
      <c r="X463" s="635">
        <f>IFERROR(X461/H461,"0")+IFERROR(X462/H462,"0")</f>
        <v>6.7777777777777777</v>
      </c>
      <c r="Y463" s="635">
        <f>IFERROR(Y461/H461,"0")+IFERROR(Y462/H462,"0")</f>
        <v>7</v>
      </c>
      <c r="Z463" s="635">
        <f>IFERROR(IF(Z461="",0,Z461),"0")+IFERROR(IF(Z462="",0,Z462),"0")</f>
        <v>0.13286000000000001</v>
      </c>
      <c r="AA463" s="636"/>
      <c r="AB463" s="636"/>
      <c r="AC463" s="636"/>
    </row>
    <row r="464" spans="1:68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1" t="s">
        <v>69</v>
      </c>
      <c r="Q464" s="652"/>
      <c r="R464" s="652"/>
      <c r="S464" s="652"/>
      <c r="T464" s="652"/>
      <c r="U464" s="652"/>
      <c r="V464" s="653"/>
      <c r="W464" s="37" t="s">
        <v>67</v>
      </c>
      <c r="X464" s="635">
        <f>IFERROR(SUM(X461:X462),"0")</f>
        <v>61</v>
      </c>
      <c r="Y464" s="635">
        <f>IFERROR(SUM(Y461:Y462),"0")</f>
        <v>63</v>
      </c>
      <c r="Z464" s="37"/>
      <c r="AA464" s="636"/>
      <c r="AB464" s="636"/>
      <c r="AC464" s="636"/>
    </row>
    <row r="465" spans="1:68" ht="16.5" hidden="1" customHeight="1" x14ac:dyDescent="0.25">
      <c r="A465" s="654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8"/>
      <c r="AB465" s="628"/>
      <c r="AC465" s="628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9"/>
      <c r="AB466" s="629"/>
      <c r="AC466" s="629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1" t="s">
        <v>69</v>
      </c>
      <c r="Q469" s="652"/>
      <c r="R469" s="652"/>
      <c r="S469" s="652"/>
      <c r="T469" s="652"/>
      <c r="U469" s="652"/>
      <c r="V469" s="653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1" t="s">
        <v>69</v>
      </c>
      <c r="Q470" s="652"/>
      <c r="R470" s="652"/>
      <c r="S470" s="652"/>
      <c r="T470" s="652"/>
      <c r="U470" s="652"/>
      <c r="V470" s="653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9"/>
      <c r="AB471" s="629"/>
      <c r="AC471" s="629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1" t="s">
        <v>69</v>
      </c>
      <c r="Q473" s="652"/>
      <c r="R473" s="652"/>
      <c r="S473" s="652"/>
      <c r="T473" s="652"/>
      <c r="U473" s="652"/>
      <c r="V473" s="653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1" t="s">
        <v>69</v>
      </c>
      <c r="Q474" s="652"/>
      <c r="R474" s="652"/>
      <c r="S474" s="652"/>
      <c r="T474" s="652"/>
      <c r="U474" s="652"/>
      <c r="V474" s="653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9"/>
      <c r="AB475" s="629"/>
      <c r="AC475" s="629"/>
    </row>
    <row r="476" spans="1:68" ht="27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560</v>
      </c>
      <c r="Y476" s="634">
        <f>IFERROR(IF(X476="",0,CEILING((X476/$H476),1)*$H476),"")</f>
        <v>567</v>
      </c>
      <c r="Z476" s="36">
        <f>IFERROR(IF(Y476=0,"",ROUNDUP(Y476/H476,0)*0.01898),"")</f>
        <v>1.19574</v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590.73777777777775</v>
      </c>
      <c r="BN476" s="64">
        <f>IFERROR(Y476*I476/H476,"0")</f>
        <v>598.12199999999996</v>
      </c>
      <c r="BO476" s="64">
        <f>IFERROR(1/J476*(X476/H476),"0")</f>
        <v>0.97222222222222221</v>
      </c>
      <c r="BP476" s="64">
        <f>IFERROR(1/J476*(Y476/H476),"0")</f>
        <v>0.984375</v>
      </c>
    </row>
    <row r="477" spans="1:68" ht="27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4</v>
      </c>
      <c r="Y477" s="634">
        <f>IFERROR(IF(X477="",0,CEILING((X477/$H477),1)*$H477),"")</f>
        <v>4.8</v>
      </c>
      <c r="Z477" s="36">
        <f>IFERROR(IF(Y477=0,"",ROUNDUP(Y477/H477,0)*0.00651),"")</f>
        <v>1.302E-2</v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4.4400000000000004</v>
      </c>
      <c r="BN477" s="64">
        <f>IFERROR(Y477*I477/H477,"0")</f>
        <v>5.3280000000000003</v>
      </c>
      <c r="BO477" s="64">
        <f>IFERROR(1/J477*(X477/H477),"0")</f>
        <v>9.1575091575091579E-3</v>
      </c>
      <c r="BP477" s="64">
        <f>IFERROR(1/J477*(Y477/H477),"0")</f>
        <v>1.098901098901099E-2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1" t="s">
        <v>69</v>
      </c>
      <c r="Q479" s="652"/>
      <c r="R479" s="652"/>
      <c r="S479" s="652"/>
      <c r="T479" s="652"/>
      <c r="U479" s="652"/>
      <c r="V479" s="653"/>
      <c r="W479" s="37" t="s">
        <v>70</v>
      </c>
      <c r="X479" s="635">
        <f>IFERROR(X476/H476,"0")+IFERROR(X477/H477,"0")+IFERROR(X478/H478,"0")</f>
        <v>63.888888888888886</v>
      </c>
      <c r="Y479" s="635">
        <f>IFERROR(Y476/H476,"0")+IFERROR(Y477/H477,"0")+IFERROR(Y478/H478,"0")</f>
        <v>65</v>
      </c>
      <c r="Z479" s="635">
        <f>IFERROR(IF(Z476="",0,Z476),"0")+IFERROR(IF(Z477="",0,Z477),"0")+IFERROR(IF(Z478="",0,Z478),"0")</f>
        <v>1.2087600000000001</v>
      </c>
      <c r="AA479" s="636"/>
      <c r="AB479" s="636"/>
      <c r="AC479" s="636"/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1" t="s">
        <v>69</v>
      </c>
      <c r="Q480" s="652"/>
      <c r="R480" s="652"/>
      <c r="S480" s="652"/>
      <c r="T480" s="652"/>
      <c r="U480" s="652"/>
      <c r="V480" s="653"/>
      <c r="W480" s="37" t="s">
        <v>67</v>
      </c>
      <c r="X480" s="635">
        <f>IFERROR(SUM(X476:X478),"0")</f>
        <v>564</v>
      </c>
      <c r="Y480" s="635">
        <f>IFERROR(SUM(Y476:Y478),"0")</f>
        <v>571.79999999999995</v>
      </c>
      <c r="Z480" s="37"/>
      <c r="AA480" s="636"/>
      <c r="AB480" s="636"/>
      <c r="AC480" s="636"/>
    </row>
    <row r="481" spans="1:68" ht="27.75" hidden="1" customHeight="1" x14ac:dyDescent="0.2">
      <c r="A481" s="674" t="s">
        <v>762</v>
      </c>
      <c r="B481" s="675"/>
      <c r="C481" s="675"/>
      <c r="D481" s="675"/>
      <c r="E481" s="675"/>
      <c r="F481" s="675"/>
      <c r="G481" s="675"/>
      <c r="H481" s="675"/>
      <c r="I481" s="675"/>
      <c r="J481" s="675"/>
      <c r="K481" s="675"/>
      <c r="L481" s="675"/>
      <c r="M481" s="675"/>
      <c r="N481" s="675"/>
      <c r="O481" s="675"/>
      <c r="P481" s="675"/>
      <c r="Q481" s="675"/>
      <c r="R481" s="675"/>
      <c r="S481" s="675"/>
      <c r="T481" s="675"/>
      <c r="U481" s="675"/>
      <c r="V481" s="675"/>
      <c r="W481" s="675"/>
      <c r="X481" s="675"/>
      <c r="Y481" s="675"/>
      <c r="Z481" s="675"/>
      <c r="AA481" s="48"/>
      <c r="AB481" s="48"/>
      <c r="AC481" s="48"/>
    </row>
    <row r="482" spans="1:68" ht="16.5" hidden="1" customHeight="1" x14ac:dyDescent="0.25">
      <c r="A482" s="654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8"/>
      <c r="AB482" s="628"/>
      <c r="AC482" s="628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9"/>
      <c r="AB483" s="629"/>
      <c r="AC483" s="629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1" t="s">
        <v>69</v>
      </c>
      <c r="Q490" s="652"/>
      <c r="R490" s="652"/>
      <c r="S490" s="652"/>
      <c r="T490" s="652"/>
      <c r="U490" s="652"/>
      <c r="V490" s="653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1" t="s">
        <v>69</v>
      </c>
      <c r="Q491" s="652"/>
      <c r="R491" s="652"/>
      <c r="S491" s="652"/>
      <c r="T491" s="652"/>
      <c r="U491" s="652"/>
      <c r="V491" s="653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9"/>
      <c r="AB492" s="629"/>
      <c r="AC492" s="629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1" t="s">
        <v>69</v>
      </c>
      <c r="Q494" s="652"/>
      <c r="R494" s="652"/>
      <c r="S494" s="652"/>
      <c r="T494" s="652"/>
      <c r="U494" s="652"/>
      <c r="V494" s="653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1" t="s">
        <v>69</v>
      </c>
      <c r="Q495" s="652"/>
      <c r="R495" s="652"/>
      <c r="S495" s="652"/>
      <c r="T495" s="652"/>
      <c r="U495" s="652"/>
      <c r="V495" s="653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4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8"/>
      <c r="AB496" s="628"/>
      <c r="AC496" s="628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9"/>
      <c r="AB497" s="629"/>
      <c r="AC497" s="629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5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1" t="s">
        <v>69</v>
      </c>
      <c r="Q499" s="652"/>
      <c r="R499" s="652"/>
      <c r="S499" s="652"/>
      <c r="T499" s="652"/>
      <c r="U499" s="652"/>
      <c r="V499" s="653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1" t="s">
        <v>69</v>
      </c>
      <c r="Q500" s="652"/>
      <c r="R500" s="652"/>
      <c r="S500" s="652"/>
      <c r="T500" s="652"/>
      <c r="U500" s="652"/>
      <c r="V500" s="653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9"/>
      <c r="AB501" s="629"/>
      <c r="AC501" s="629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85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1" t="s">
        <v>69</v>
      </c>
      <c r="Q505" s="652"/>
      <c r="R505" s="652"/>
      <c r="S505" s="652"/>
      <c r="T505" s="652"/>
      <c r="U505" s="652"/>
      <c r="V505" s="653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1" t="s">
        <v>69</v>
      </c>
      <c r="Q506" s="652"/>
      <c r="R506" s="652"/>
      <c r="S506" s="652"/>
      <c r="T506" s="652"/>
      <c r="U506" s="652"/>
      <c r="V506" s="653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74" t="s">
        <v>795</v>
      </c>
      <c r="B507" s="675"/>
      <c r="C507" s="675"/>
      <c r="D507" s="675"/>
      <c r="E507" s="675"/>
      <c r="F507" s="675"/>
      <c r="G507" s="675"/>
      <c r="H507" s="675"/>
      <c r="I507" s="675"/>
      <c r="J507" s="675"/>
      <c r="K507" s="675"/>
      <c r="L507" s="675"/>
      <c r="M507" s="675"/>
      <c r="N507" s="675"/>
      <c r="O507" s="675"/>
      <c r="P507" s="675"/>
      <c r="Q507" s="675"/>
      <c r="R507" s="675"/>
      <c r="S507" s="675"/>
      <c r="T507" s="675"/>
      <c r="U507" s="675"/>
      <c r="V507" s="675"/>
      <c r="W507" s="675"/>
      <c r="X507" s="675"/>
      <c r="Y507" s="675"/>
      <c r="Z507" s="675"/>
      <c r="AA507" s="48"/>
      <c r="AB507" s="48"/>
      <c r="AC507" s="48"/>
    </row>
    <row r="508" spans="1:68" ht="16.5" hidden="1" customHeight="1" x14ac:dyDescent="0.25">
      <c r="A508" s="654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8"/>
      <c r="AB508" s="628"/>
      <c r="AC508" s="628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9"/>
      <c r="AB509" s="629"/>
      <c r="AC509" s="629"/>
    </row>
    <row r="510" spans="1:68" ht="27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8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27</v>
      </c>
      <c r="Y510" s="634">
        <f t="shared" ref="Y510:Y517" si="71">IFERROR(IF(X510="",0,CEILING((X510/$H510),1)*$H510),"")</f>
        <v>31.68</v>
      </c>
      <c r="Z510" s="36">
        <f>IFERROR(IF(Y510=0,"",ROUNDUP(Y510/H510,0)*0.01196),"")</f>
        <v>7.1760000000000004E-2</v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28.789772727272723</v>
      </c>
      <c r="BN510" s="64">
        <f t="shared" ref="BN510:BN517" si="73">IFERROR(Y510*I510/H510,"0")</f>
        <v>33.779999999999994</v>
      </c>
      <c r="BO510" s="64">
        <f t="shared" ref="BO510:BO517" si="74">IFERROR(1/J510*(X510/H510),"0")</f>
        <v>4.9169580419580416E-2</v>
      </c>
      <c r="BP510" s="64">
        <f t="shared" ref="BP510:BP517" si="75">IFERROR(1/J510*(Y510/H510),"0")</f>
        <v>5.7692307692307696E-2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50</v>
      </c>
      <c r="Y512" s="634">
        <f t="shared" si="71"/>
        <v>52.800000000000004</v>
      </c>
      <c r="Z512" s="36">
        <f>IFERROR(IF(Y512=0,"",ROUNDUP(Y512/H512,0)*0.01196),"")</f>
        <v>0.1196</v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53.314393939393938</v>
      </c>
      <c r="BN512" s="64">
        <f t="shared" si="73"/>
        <v>56.3</v>
      </c>
      <c r="BO512" s="64">
        <f t="shared" si="74"/>
        <v>9.1054778554778545E-2</v>
      </c>
      <c r="BP512" s="64">
        <f t="shared" si="75"/>
        <v>9.6153846153846159E-2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138</v>
      </c>
      <c r="Y513" s="634">
        <f t="shared" si="71"/>
        <v>142.56</v>
      </c>
      <c r="Z513" s="36">
        <f>IFERROR(IF(Y513=0,"",ROUNDUP(Y513/H513,0)*0.01196),"")</f>
        <v>0.32291999999999998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147.14772727272725</v>
      </c>
      <c r="BN513" s="64">
        <f t="shared" si="73"/>
        <v>152.01</v>
      </c>
      <c r="BO513" s="64">
        <f t="shared" si="74"/>
        <v>0.2513111888111888</v>
      </c>
      <c r="BP513" s="64">
        <f t="shared" si="75"/>
        <v>0.25961538461538464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320</v>
      </c>
      <c r="Y514" s="634">
        <f t="shared" si="71"/>
        <v>322.08000000000004</v>
      </c>
      <c r="Z514" s="36">
        <f>IFERROR(IF(Y514=0,"",ROUNDUP(Y514/H514,0)*0.01196),"")</f>
        <v>0.72955999999999999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341.21212121212119</v>
      </c>
      <c r="BN514" s="64">
        <f t="shared" si="73"/>
        <v>343.43000000000006</v>
      </c>
      <c r="BO514" s="64">
        <f t="shared" si="74"/>
        <v>0.58275058275058278</v>
      </c>
      <c r="BP514" s="64">
        <f t="shared" si="75"/>
        <v>0.58653846153846168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82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7</v>
      </c>
      <c r="Y516" s="634">
        <f t="shared" si="71"/>
        <v>9.6</v>
      </c>
      <c r="Z516" s="36">
        <f>IFERROR(IF(Y516=0,"",ROUNDUP(Y516/H516,0)*0.00902),"")</f>
        <v>1.804E-2</v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10.077083333333334</v>
      </c>
      <c r="BN516" s="64">
        <f t="shared" si="73"/>
        <v>13.82</v>
      </c>
      <c r="BO516" s="64">
        <f t="shared" si="74"/>
        <v>1.10479797979798E-2</v>
      </c>
      <c r="BP516" s="64">
        <f t="shared" si="75"/>
        <v>1.5151515151515152E-2</v>
      </c>
    </row>
    <row r="517" spans="1:68" ht="27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2</v>
      </c>
      <c r="Y517" s="634">
        <f t="shared" si="71"/>
        <v>4.8</v>
      </c>
      <c r="Z517" s="36">
        <f>IFERROR(IF(Y517=0,"",ROUNDUP(Y517/H517,0)*0.00902),"")</f>
        <v>9.0200000000000002E-3</v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2.8791666666666669</v>
      </c>
      <c r="BN517" s="64">
        <f t="shared" si="73"/>
        <v>6.91</v>
      </c>
      <c r="BO517" s="64">
        <f t="shared" si="74"/>
        <v>3.1565656565656569E-3</v>
      </c>
      <c r="BP517" s="64">
        <f t="shared" si="75"/>
        <v>7.575757575757576E-3</v>
      </c>
    </row>
    <row r="518" spans="1:68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1" t="s">
        <v>69</v>
      </c>
      <c r="Q518" s="652"/>
      <c r="R518" s="652"/>
      <c r="S518" s="652"/>
      <c r="T518" s="652"/>
      <c r="U518" s="652"/>
      <c r="V518" s="653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103.20075757575756</v>
      </c>
      <c r="Y518" s="635">
        <f>IFERROR(Y510/H510,"0")+IFERROR(Y511/H511,"0")+IFERROR(Y512/H512,"0")+IFERROR(Y513/H513,"0")+IFERROR(Y514/H514,"0")+IFERROR(Y515/H515,"0")+IFERROR(Y516/H516,"0")+IFERROR(Y517/H517,"0")</f>
        <v>107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1.2709000000000001</v>
      </c>
      <c r="AA518" s="636"/>
      <c r="AB518" s="636"/>
      <c r="AC518" s="636"/>
    </row>
    <row r="519" spans="1:68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1" t="s">
        <v>69</v>
      </c>
      <c r="Q519" s="652"/>
      <c r="R519" s="652"/>
      <c r="S519" s="652"/>
      <c r="T519" s="652"/>
      <c r="U519" s="652"/>
      <c r="V519" s="653"/>
      <c r="W519" s="37" t="s">
        <v>67</v>
      </c>
      <c r="X519" s="635">
        <f>IFERROR(SUM(X510:X517),"0")</f>
        <v>544</v>
      </c>
      <c r="Y519" s="635">
        <f>IFERROR(SUM(Y510:Y517),"0")</f>
        <v>563.5200000000001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9"/>
      <c r="AB520" s="629"/>
      <c r="AC520" s="629"/>
    </row>
    <row r="521" spans="1:68" ht="16.5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0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190</v>
      </c>
      <c r="Y521" s="634">
        <f>IFERROR(IF(X521="",0,CEILING((X521/$H521),1)*$H521),"")</f>
        <v>190.08</v>
      </c>
      <c r="Z521" s="36">
        <f>IFERROR(IF(Y521=0,"",ROUNDUP(Y521/H521,0)*0.01196),"")</f>
        <v>0.43056</v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202.59469696969697</v>
      </c>
      <c r="BN521" s="64">
        <f>IFERROR(Y521*I521/H521,"0")</f>
        <v>202.67999999999998</v>
      </c>
      <c r="BO521" s="64">
        <f>IFERROR(1/J521*(X521/H521),"0")</f>
        <v>0.34600815850815853</v>
      </c>
      <c r="BP521" s="64">
        <f>IFERROR(1/J521*(Y521/H521),"0")</f>
        <v>0.34615384615384615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46</v>
      </c>
      <c r="Y523" s="634">
        <f>IFERROR(IF(X523="",0,CEILING((X523/$H523),1)*$H523),"")</f>
        <v>48</v>
      </c>
      <c r="Z523" s="36">
        <f>IFERROR(IF(Y523=0,"",ROUNDUP(Y523/H523,0)*0.00902),"")</f>
        <v>9.0200000000000002E-2</v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66.220833333333346</v>
      </c>
      <c r="BN523" s="64">
        <f>IFERROR(Y523*I523/H523,"0")</f>
        <v>69.100000000000009</v>
      </c>
      <c r="BO523" s="64">
        <f>IFERROR(1/J523*(X523/H523),"0")</f>
        <v>7.2601010101010111E-2</v>
      </c>
      <c r="BP523" s="64">
        <f>IFERROR(1/J523*(Y523/H523),"0")</f>
        <v>7.575757575757576E-2</v>
      </c>
    </row>
    <row r="524" spans="1:68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1" t="s">
        <v>69</v>
      </c>
      <c r="Q524" s="652"/>
      <c r="R524" s="652"/>
      <c r="S524" s="652"/>
      <c r="T524" s="652"/>
      <c r="U524" s="652"/>
      <c r="V524" s="653"/>
      <c r="W524" s="37" t="s">
        <v>70</v>
      </c>
      <c r="X524" s="635">
        <f>IFERROR(X521/H521,"0")+IFERROR(X522/H522,"0")+IFERROR(X523/H523,"0")</f>
        <v>45.56818181818182</v>
      </c>
      <c r="Y524" s="635">
        <f>IFERROR(Y521/H521,"0")+IFERROR(Y522/H522,"0")+IFERROR(Y523/H523,"0")</f>
        <v>46</v>
      </c>
      <c r="Z524" s="635">
        <f>IFERROR(IF(Z521="",0,Z521),"0")+IFERROR(IF(Z522="",0,Z522),"0")+IFERROR(IF(Z523="",0,Z523),"0")</f>
        <v>0.52076</v>
      </c>
      <c r="AA524" s="636"/>
      <c r="AB524" s="636"/>
      <c r="AC524" s="636"/>
    </row>
    <row r="525" spans="1:68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1" t="s">
        <v>69</v>
      </c>
      <c r="Q525" s="652"/>
      <c r="R525" s="652"/>
      <c r="S525" s="652"/>
      <c r="T525" s="652"/>
      <c r="U525" s="652"/>
      <c r="V525" s="653"/>
      <c r="W525" s="37" t="s">
        <v>67</v>
      </c>
      <c r="X525" s="635">
        <f>IFERROR(SUM(X521:X523),"0")</f>
        <v>236</v>
      </c>
      <c r="Y525" s="635">
        <f>IFERROR(SUM(Y521:Y523),"0")</f>
        <v>238.08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9"/>
      <c r="AB526" s="629"/>
      <c r="AC526" s="629"/>
    </row>
    <row r="527" spans="1:68" ht="27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56</v>
      </c>
      <c r="Y527" s="634">
        <f t="shared" ref="Y527:Y533" si="76">IFERROR(IF(X527="",0,CEILING((X527/$H527),1)*$H527),"")</f>
        <v>58.080000000000005</v>
      </c>
      <c r="Z527" s="36">
        <f>IFERROR(IF(Y527=0,"",ROUNDUP(Y527/H527,0)*0.01196),"")</f>
        <v>0.13156000000000001</v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59.712121212121204</v>
      </c>
      <c r="BN527" s="64">
        <f t="shared" ref="BN527:BN533" si="78">IFERROR(Y527*I527/H527,"0")</f>
        <v>61.93</v>
      </c>
      <c r="BO527" s="64">
        <f t="shared" ref="BO527:BO533" si="79">IFERROR(1/J527*(X527/H527),"0")</f>
        <v>0.10198135198135198</v>
      </c>
      <c r="BP527" s="64">
        <f t="shared" ref="BP527:BP533" si="80">IFERROR(1/J527*(Y527/H527),"0")</f>
        <v>0.10576923076923078</v>
      </c>
    </row>
    <row r="528" spans="1:68" ht="27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160</v>
      </c>
      <c r="Y528" s="634">
        <f t="shared" si="76"/>
        <v>163.68</v>
      </c>
      <c r="Z528" s="36">
        <f>IFERROR(IF(Y528=0,"",ROUNDUP(Y528/H528,0)*0.01196),"")</f>
        <v>0.37075999999999998</v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170.60606060606059</v>
      </c>
      <c r="BN528" s="64">
        <f t="shared" si="78"/>
        <v>174.53</v>
      </c>
      <c r="BO528" s="64">
        <f t="shared" si="79"/>
        <v>0.29137529137529139</v>
      </c>
      <c r="BP528" s="64">
        <f t="shared" si="80"/>
        <v>0.29807692307692307</v>
      </c>
    </row>
    <row r="529" spans="1:68" ht="27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168</v>
      </c>
      <c r="Y529" s="634">
        <f t="shared" si="76"/>
        <v>168.96</v>
      </c>
      <c r="Z529" s="36">
        <f>IFERROR(IF(Y529=0,"",ROUNDUP(Y529/H529,0)*0.01196),"")</f>
        <v>0.38272</v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179.13636363636363</v>
      </c>
      <c r="BN529" s="64">
        <f t="shared" si="78"/>
        <v>180.16</v>
      </c>
      <c r="BO529" s="64">
        <f t="shared" si="79"/>
        <v>0.30594405594405594</v>
      </c>
      <c r="BP529" s="64">
        <f t="shared" si="80"/>
        <v>0.30769230769230771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7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5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18</v>
      </c>
      <c r="Y533" s="634">
        <f t="shared" si="76"/>
        <v>19.2</v>
      </c>
      <c r="Z533" s="36">
        <f>IFERROR(IF(Y533=0,"",ROUNDUP(Y533/H533,0)*0.00902),"")</f>
        <v>3.6080000000000001E-2</v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25.012500000000003</v>
      </c>
      <c r="BN533" s="64">
        <f t="shared" si="78"/>
        <v>26.68</v>
      </c>
      <c r="BO533" s="64">
        <f t="shared" si="79"/>
        <v>2.8409090909090912E-2</v>
      </c>
      <c r="BP533" s="64">
        <f t="shared" si="80"/>
        <v>3.0303030303030304E-2</v>
      </c>
    </row>
    <row r="534" spans="1:68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1" t="s">
        <v>69</v>
      </c>
      <c r="Q534" s="652"/>
      <c r="R534" s="652"/>
      <c r="S534" s="652"/>
      <c r="T534" s="652"/>
      <c r="U534" s="652"/>
      <c r="V534" s="653"/>
      <c r="W534" s="37" t="s">
        <v>70</v>
      </c>
      <c r="X534" s="635">
        <f>IFERROR(X527/H527,"0")+IFERROR(X528/H528,"0")+IFERROR(X529/H529,"0")+IFERROR(X530/H530,"0")+IFERROR(X531/H531,"0")+IFERROR(X532/H532,"0")+IFERROR(X533/H533,"0")</f>
        <v>76.47727272727272</v>
      </c>
      <c r="Y534" s="635">
        <f>IFERROR(Y527/H527,"0")+IFERROR(Y528/H528,"0")+IFERROR(Y529/H529,"0")+IFERROR(Y530/H530,"0")+IFERROR(Y531/H531,"0")+IFERROR(Y532/H532,"0")+IFERROR(Y533/H533,"0")</f>
        <v>78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0.92112000000000005</v>
      </c>
      <c r="AA534" s="636"/>
      <c r="AB534" s="636"/>
      <c r="AC534" s="636"/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1" t="s">
        <v>69</v>
      </c>
      <c r="Q535" s="652"/>
      <c r="R535" s="652"/>
      <c r="S535" s="652"/>
      <c r="T535" s="652"/>
      <c r="U535" s="652"/>
      <c r="V535" s="653"/>
      <c r="W535" s="37" t="s">
        <v>67</v>
      </c>
      <c r="X535" s="635">
        <f>IFERROR(SUM(X527:X533),"0")</f>
        <v>402</v>
      </c>
      <c r="Y535" s="635">
        <f>IFERROR(SUM(Y527:Y533),"0")</f>
        <v>409.92</v>
      </c>
      <c r="Z535" s="37"/>
      <c r="AA535" s="636"/>
      <c r="AB535" s="636"/>
      <c r="AC535" s="636"/>
    </row>
    <row r="536" spans="1:68" ht="27.75" hidden="1" customHeight="1" x14ac:dyDescent="0.2">
      <c r="A536" s="674" t="s">
        <v>839</v>
      </c>
      <c r="B536" s="675"/>
      <c r="C536" s="675"/>
      <c r="D536" s="675"/>
      <c r="E536" s="675"/>
      <c r="F536" s="675"/>
      <c r="G536" s="675"/>
      <c r="H536" s="675"/>
      <c r="I536" s="675"/>
      <c r="J536" s="675"/>
      <c r="K536" s="675"/>
      <c r="L536" s="675"/>
      <c r="M536" s="675"/>
      <c r="N536" s="675"/>
      <c r="O536" s="675"/>
      <c r="P536" s="675"/>
      <c r="Q536" s="675"/>
      <c r="R536" s="675"/>
      <c r="S536" s="675"/>
      <c r="T536" s="675"/>
      <c r="U536" s="675"/>
      <c r="V536" s="675"/>
      <c r="W536" s="675"/>
      <c r="X536" s="675"/>
      <c r="Y536" s="675"/>
      <c r="Z536" s="675"/>
      <c r="AA536" s="48"/>
      <c r="AB536" s="48"/>
      <c r="AC536" s="48"/>
    </row>
    <row r="537" spans="1:68" ht="16.5" hidden="1" customHeight="1" x14ac:dyDescent="0.25">
      <c r="A537" s="654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8"/>
      <c r="AB537" s="628"/>
      <c r="AC537" s="628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9"/>
      <c r="AB538" s="629"/>
      <c r="AC538" s="629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2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1" t="s">
        <v>69</v>
      </c>
      <c r="Q540" s="652"/>
      <c r="R540" s="652"/>
      <c r="S540" s="652"/>
      <c r="T540" s="652"/>
      <c r="U540" s="652"/>
      <c r="V540" s="653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1" t="s">
        <v>69</v>
      </c>
      <c r="Q541" s="652"/>
      <c r="R541" s="652"/>
      <c r="S541" s="652"/>
      <c r="T541" s="652"/>
      <c r="U541" s="652"/>
      <c r="V541" s="653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9"/>
      <c r="AB542" s="629"/>
      <c r="AC542" s="629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82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1" t="s">
        <v>69</v>
      </c>
      <c r="Q544" s="652"/>
      <c r="R544" s="652"/>
      <c r="S544" s="652"/>
      <c r="T544" s="652"/>
      <c r="U544" s="652"/>
      <c r="V544" s="653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1" t="s">
        <v>69</v>
      </c>
      <c r="Q545" s="652"/>
      <c r="R545" s="652"/>
      <c r="S545" s="652"/>
      <c r="T545" s="652"/>
      <c r="U545" s="652"/>
      <c r="V545" s="653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9"/>
      <c r="AB546" s="629"/>
      <c r="AC546" s="629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1" t="s">
        <v>69</v>
      </c>
      <c r="Q548" s="652"/>
      <c r="R548" s="652"/>
      <c r="S548" s="652"/>
      <c r="T548" s="652"/>
      <c r="U548" s="652"/>
      <c r="V548" s="653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1" t="s">
        <v>69</v>
      </c>
      <c r="Q549" s="652"/>
      <c r="R549" s="652"/>
      <c r="S549" s="652"/>
      <c r="T549" s="652"/>
      <c r="U549" s="652"/>
      <c r="V549" s="653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9"/>
      <c r="AB550" s="629"/>
      <c r="AC550" s="629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1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1" t="s">
        <v>69</v>
      </c>
      <c r="Q552" s="652"/>
      <c r="R552" s="652"/>
      <c r="S552" s="652"/>
      <c r="T552" s="652"/>
      <c r="U552" s="652"/>
      <c r="V552" s="653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1" t="s">
        <v>69</v>
      </c>
      <c r="Q553" s="652"/>
      <c r="R553" s="652"/>
      <c r="S553" s="652"/>
      <c r="T553" s="652"/>
      <c r="U553" s="652"/>
      <c r="V553" s="65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9"/>
      <c r="AB554" s="629"/>
      <c r="AC554" s="629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4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1" t="s">
        <v>69</v>
      </c>
      <c r="Q557" s="652"/>
      <c r="R557" s="652"/>
      <c r="S557" s="652"/>
      <c r="T557" s="652"/>
      <c r="U557" s="652"/>
      <c r="V557" s="653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1" t="s">
        <v>69</v>
      </c>
      <c r="Q558" s="652"/>
      <c r="R558" s="652"/>
      <c r="S558" s="652"/>
      <c r="T558" s="652"/>
      <c r="U558" s="652"/>
      <c r="V558" s="653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54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8"/>
      <c r="AB559" s="628"/>
      <c r="AC559" s="628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9"/>
      <c r="AB560" s="629"/>
      <c r="AC560" s="629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6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1" t="s">
        <v>69</v>
      </c>
      <c r="Q562" s="652"/>
      <c r="R562" s="652"/>
      <c r="S562" s="652"/>
      <c r="T562" s="652"/>
      <c r="U562" s="652"/>
      <c r="V562" s="653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1" t="s">
        <v>69</v>
      </c>
      <c r="Q563" s="652"/>
      <c r="R563" s="652"/>
      <c r="S563" s="652"/>
      <c r="T563" s="652"/>
      <c r="U563" s="652"/>
      <c r="V563" s="653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798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799"/>
      <c r="P564" s="690" t="s">
        <v>861</v>
      </c>
      <c r="Q564" s="691"/>
      <c r="R564" s="691"/>
      <c r="S564" s="691"/>
      <c r="T564" s="691"/>
      <c r="U564" s="691"/>
      <c r="V564" s="692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11901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12140.419999999998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799"/>
      <c r="P565" s="690" t="s">
        <v>862</v>
      </c>
      <c r="Q565" s="691"/>
      <c r="R565" s="691"/>
      <c r="S565" s="691"/>
      <c r="T565" s="691"/>
      <c r="U565" s="691"/>
      <c r="V565" s="692"/>
      <c r="W565" s="37" t="s">
        <v>67</v>
      </c>
      <c r="X565" s="635">
        <f>IFERROR(SUM(BM22:BM561),"0")</f>
        <v>12570.875937449768</v>
      </c>
      <c r="Y565" s="635">
        <f>IFERROR(SUM(BN22:BN561),"0")</f>
        <v>12828.262000000002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799"/>
      <c r="P566" s="690" t="s">
        <v>863</v>
      </c>
      <c r="Q566" s="691"/>
      <c r="R566" s="691"/>
      <c r="S566" s="691"/>
      <c r="T566" s="691"/>
      <c r="U566" s="691"/>
      <c r="V566" s="692"/>
      <c r="W566" s="37" t="s">
        <v>864</v>
      </c>
      <c r="X566" s="38">
        <f>ROUNDUP(SUM(BO22:BO561),0)</f>
        <v>21</v>
      </c>
      <c r="Y566" s="38">
        <f>ROUNDUP(SUM(BP22:BP561),0)</f>
        <v>22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799"/>
      <c r="P567" s="690" t="s">
        <v>865</v>
      </c>
      <c r="Q567" s="691"/>
      <c r="R567" s="691"/>
      <c r="S567" s="691"/>
      <c r="T567" s="691"/>
      <c r="U567" s="691"/>
      <c r="V567" s="692"/>
      <c r="W567" s="37" t="s">
        <v>67</v>
      </c>
      <c r="X567" s="635">
        <f>GrossWeightTotal+PalletQtyTotal*25</f>
        <v>13095.875937449768</v>
      </c>
      <c r="Y567" s="635">
        <f>GrossWeightTotalR+PalletQtyTotalR*25</f>
        <v>13378.262000000002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799"/>
      <c r="P568" s="690" t="s">
        <v>866</v>
      </c>
      <c r="Q568" s="691"/>
      <c r="R568" s="691"/>
      <c r="S568" s="691"/>
      <c r="T568" s="691"/>
      <c r="U568" s="691"/>
      <c r="V568" s="692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2079.3248439450517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2125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799"/>
      <c r="P569" s="690" t="s">
        <v>867</v>
      </c>
      <c r="Q569" s="691"/>
      <c r="R569" s="691"/>
      <c r="S569" s="691"/>
      <c r="T569" s="691"/>
      <c r="U569" s="691"/>
      <c r="V569" s="692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24.61374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30" t="s">
        <v>61</v>
      </c>
      <c r="C571" s="630" t="s">
        <v>100</v>
      </c>
      <c r="D571" s="667" t="s">
        <v>117</v>
      </c>
      <c r="E571" s="983"/>
      <c r="F571" s="983"/>
      <c r="G571" s="983"/>
      <c r="H571" s="983"/>
      <c r="I571" s="983"/>
      <c r="J571" s="802"/>
      <c r="K571" s="667" t="s">
        <v>332</v>
      </c>
      <c r="L571" s="983"/>
      <c r="M571" s="983"/>
      <c r="N571" s="983"/>
      <c r="O571" s="983"/>
      <c r="P571" s="983"/>
      <c r="Q571" s="983"/>
      <c r="R571" s="983"/>
      <c r="S571" s="983"/>
      <c r="T571" s="983"/>
      <c r="U571" s="983"/>
      <c r="V571" s="983"/>
      <c r="W571" s="802"/>
      <c r="X571" s="667" t="s">
        <v>696</v>
      </c>
      <c r="Y571" s="802"/>
      <c r="Z571" s="667" t="s">
        <v>762</v>
      </c>
      <c r="AA571" s="802"/>
      <c r="AB571" s="630" t="s">
        <v>795</v>
      </c>
      <c r="AC571" s="667" t="s">
        <v>839</v>
      </c>
      <c r="AD571" s="802"/>
      <c r="AF571" s="631"/>
    </row>
    <row r="572" spans="1:68" ht="14.25" customHeight="1" thickTop="1" x14ac:dyDescent="0.2">
      <c r="A572" s="681" t="s">
        <v>870</v>
      </c>
      <c r="B572" s="667" t="s">
        <v>61</v>
      </c>
      <c r="C572" s="667" t="s">
        <v>101</v>
      </c>
      <c r="D572" s="667" t="s">
        <v>118</v>
      </c>
      <c r="E572" s="667" t="s">
        <v>134</v>
      </c>
      <c r="F572" s="667" t="s">
        <v>180</v>
      </c>
      <c r="G572" s="667" t="s">
        <v>204</v>
      </c>
      <c r="H572" s="667" t="s">
        <v>246</v>
      </c>
      <c r="I572" s="667" t="s">
        <v>259</v>
      </c>
      <c r="J572" s="667" t="s">
        <v>117</v>
      </c>
      <c r="K572" s="667" t="s">
        <v>333</v>
      </c>
      <c r="L572" s="667" t="s">
        <v>354</v>
      </c>
      <c r="M572" s="667" t="s">
        <v>418</v>
      </c>
      <c r="N572" s="631"/>
      <c r="O572" s="667" t="s">
        <v>484</v>
      </c>
      <c r="P572" s="667" t="s">
        <v>519</v>
      </c>
      <c r="Q572" s="667" t="s">
        <v>541</v>
      </c>
      <c r="R572" s="667" t="s">
        <v>550</v>
      </c>
      <c r="S572" s="667" t="s">
        <v>572</v>
      </c>
      <c r="T572" s="667" t="s">
        <v>579</v>
      </c>
      <c r="U572" s="667" t="s">
        <v>588</v>
      </c>
      <c r="V572" s="667" t="s">
        <v>674</v>
      </c>
      <c r="W572" s="667" t="s">
        <v>686</v>
      </c>
      <c r="X572" s="667" t="s">
        <v>697</v>
      </c>
      <c r="Y572" s="667" t="s">
        <v>746</v>
      </c>
      <c r="Z572" s="667" t="s">
        <v>763</v>
      </c>
      <c r="AA572" s="667" t="s">
        <v>783</v>
      </c>
      <c r="AB572" s="667" t="s">
        <v>795</v>
      </c>
      <c r="AC572" s="667" t="s">
        <v>839</v>
      </c>
      <c r="AD572" s="667" t="s">
        <v>857</v>
      </c>
      <c r="AF572" s="631"/>
    </row>
    <row r="573" spans="1:68" ht="13.5" customHeight="1" thickBot="1" x14ac:dyDescent="0.25">
      <c r="A573" s="682"/>
      <c r="B573" s="668"/>
      <c r="C573" s="668"/>
      <c r="D573" s="668"/>
      <c r="E573" s="668"/>
      <c r="F573" s="668"/>
      <c r="G573" s="668"/>
      <c r="H573" s="668"/>
      <c r="I573" s="668"/>
      <c r="J573" s="668"/>
      <c r="K573" s="668"/>
      <c r="L573" s="668"/>
      <c r="M573" s="668"/>
      <c r="N573" s="631"/>
      <c r="O573" s="668"/>
      <c r="P573" s="668"/>
      <c r="Q573" s="668"/>
      <c r="R573" s="668"/>
      <c r="S573" s="668"/>
      <c r="T573" s="668"/>
      <c r="U573" s="668"/>
      <c r="V573" s="668"/>
      <c r="W573" s="668"/>
      <c r="X573" s="668"/>
      <c r="Y573" s="668"/>
      <c r="Z573" s="668"/>
      <c r="AA573" s="668"/>
      <c r="AB573" s="668"/>
      <c r="AC573" s="668"/>
      <c r="AD573" s="668"/>
      <c r="AF573" s="631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36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562.20000000000005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696.2</v>
      </c>
      <c r="F574" s="46">
        <f>IFERROR(Y89*1,"0")+IFERROR(Y90*1,"0")+IFERROR(Y91*1,"0")+IFERROR(Y92*1,"0")+IFERROR(Y93*1,"0")+IFERROR(Y94*1,"0")+IFERROR(Y98*1,"0")+IFERROR(Y99*1,"0")+IFERROR(Y100*1,"0")+IFERROR(Y101*1,"0")</f>
        <v>598.54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728.16000000000008</v>
      </c>
      <c r="H574" s="46">
        <f>IFERROR(Y135*1,"0")+IFERROR(Y136*1,"0")+IFERROR(Y140*1,"0")+IFERROR(Y141*1,"0")+IFERROR(Y145*1,"0")+IFERROR(Y146*1,"0")</f>
        <v>57.44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892.82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451.34000000000003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1727.1000000000001</v>
      </c>
      <c r="N574" s="631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51.8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60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374.4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591.29999999999995</v>
      </c>
      <c r="V574" s="46">
        <f>IFERROR(Y422*1,"0")+IFERROR(Y423*1,"0")+IFERROR(Y424*1,"0")+IFERROR(Y425*1,"0")</f>
        <v>0</v>
      </c>
      <c r="W574" s="46">
        <f>IFERROR(Y430*1,"0")+IFERROR(Y431*1,"0")+IFERROR(Y432*1,"0")</f>
        <v>16.8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3513</v>
      </c>
      <c r="Y574" s="46">
        <f>IFERROR(Y467*1,"0")+IFERROR(Y468*1,"0")+IFERROR(Y472*1,"0")+IFERROR(Y476*1,"0")+IFERROR(Y477*1,"0")+IFERROR(Y478*1,"0")</f>
        <v>571.79999999999995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1211.5200000000002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3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7,00"/>
        <filter val="1 073,00"/>
        <filter val="1,01"/>
        <filter val="100,00"/>
        <filter val="103,20"/>
        <filter val="105,00"/>
        <filter val="109,00"/>
        <filter val="11 901,00"/>
        <filter val="11,00"/>
        <filter val="11,41"/>
        <filter val="110,00"/>
        <filter val="114,00"/>
        <filter val="12 570,88"/>
        <filter val="12,00"/>
        <filter val="124,00"/>
        <filter val="13 095,88"/>
        <filter val="13,33"/>
        <filter val="131,30"/>
        <filter val="138,00"/>
        <filter val="14,00"/>
        <filter val="158,80"/>
        <filter val="16,00"/>
        <filter val="16,44"/>
        <filter val="160,00"/>
        <filter val="168,00"/>
        <filter val="169,00"/>
        <filter val="17,00"/>
        <filter val="18,00"/>
        <filter val="18,89"/>
        <filter val="180,00"/>
        <filter val="186,07"/>
        <filter val="190,00"/>
        <filter val="2 079,32"/>
        <filter val="2 382,00"/>
        <filter val="2,00"/>
        <filter val="2,08"/>
        <filter val="2,78"/>
        <filter val="20,00"/>
        <filter val="204,00"/>
        <filter val="21"/>
        <filter val="21,00"/>
        <filter val="219,00"/>
        <filter val="221,00"/>
        <filter val="23,00"/>
        <filter val="236,00"/>
        <filter val="24,00"/>
        <filter val="24,17"/>
        <filter val="244,00"/>
        <filter val="249,00"/>
        <filter val="25,99"/>
        <filter val="27,00"/>
        <filter val="271,25"/>
        <filter val="28,00"/>
        <filter val="283,00"/>
        <filter val="29,00"/>
        <filter val="293,00"/>
        <filter val="3,17"/>
        <filter val="3,45"/>
        <filter val="30,00"/>
        <filter val="31,00"/>
        <filter val="32,00"/>
        <filter val="320,00"/>
        <filter val="34,00"/>
        <filter val="345,00"/>
        <filter val="36,00"/>
        <filter val="364,00"/>
        <filter val="379,00"/>
        <filter val="38,00"/>
        <filter val="381,23"/>
        <filter val="393,00"/>
        <filter val="398,00"/>
        <filter val="4,00"/>
        <filter val="4,54"/>
        <filter val="4,76"/>
        <filter val="40,00"/>
        <filter val="402,00"/>
        <filter val="407,00"/>
        <filter val="428,00"/>
        <filter val="432,00"/>
        <filter val="44,00"/>
        <filter val="45,00"/>
        <filter val="45,57"/>
        <filter val="46,00"/>
        <filter val="46,67"/>
        <filter val="481,00"/>
        <filter val="49,00"/>
        <filter val="5,00"/>
        <filter val="5,30"/>
        <filter val="5,31"/>
        <filter val="50,00"/>
        <filter val="527,00"/>
        <filter val="530,00"/>
        <filter val="540,00"/>
        <filter val="544,00"/>
        <filter val="55,00"/>
        <filter val="55,68"/>
        <filter val="56,00"/>
        <filter val="56,03"/>
        <filter val="560,00"/>
        <filter val="561,00"/>
        <filter val="564,00"/>
        <filter val="58,00"/>
        <filter val="6,00"/>
        <filter val="6,78"/>
        <filter val="60,42"/>
        <filter val="607,00"/>
        <filter val="61,00"/>
        <filter val="615,00"/>
        <filter val="62,00"/>
        <filter val="63,89"/>
        <filter val="630,00"/>
        <filter val="64,00"/>
        <filter val="69,00"/>
        <filter val="69,13"/>
        <filter val="7,00"/>
        <filter val="7,50"/>
        <filter val="7,62"/>
        <filter val="70,00"/>
        <filter val="71,00"/>
        <filter val="74,00"/>
        <filter val="747,00"/>
        <filter val="75,68"/>
        <filter val="76,48"/>
        <filter val="78,40"/>
        <filter val="85,00"/>
        <filter val="884,00"/>
        <filter val="89,00"/>
        <filter val="9,02"/>
        <filter val="91,00"/>
        <filter val="96,00"/>
      </filters>
    </filterColumn>
    <filterColumn colId="29" showButton="0"/>
    <filterColumn colId="30" showButton="0"/>
  </autoFilter>
  <mergeCells count="1007">
    <mergeCell ref="A8:C8"/>
    <mergeCell ref="D268:E268"/>
    <mergeCell ref="P151:T151"/>
    <mergeCell ref="A137:O138"/>
    <mergeCell ref="P138:V138"/>
    <mergeCell ref="P449:T449"/>
    <mergeCell ref="A10:C10"/>
    <mergeCell ref="A497:Z497"/>
    <mergeCell ref="P126:T126"/>
    <mergeCell ref="A217:Z217"/>
    <mergeCell ref="P218:T218"/>
    <mergeCell ref="P311:V311"/>
    <mergeCell ref="A335:O336"/>
    <mergeCell ref="A192:Z192"/>
    <mergeCell ref="A21:Z21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P373:T373"/>
    <mergeCell ref="D123:E123"/>
    <mergeCell ref="P444:T444"/>
    <mergeCell ref="X17:X18"/>
    <mergeCell ref="D110:E110"/>
    <mergeCell ref="D44:E44"/>
    <mergeCell ref="P387:V387"/>
    <mergeCell ref="L572:L573"/>
    <mergeCell ref="V12:W12"/>
    <mergeCell ref="D237:E237"/>
    <mergeCell ref="A39:Z39"/>
    <mergeCell ref="A337:Z337"/>
    <mergeCell ref="A215:O216"/>
    <mergeCell ref="P383:T383"/>
    <mergeCell ref="D522:E522"/>
    <mergeCell ref="A142:O143"/>
    <mergeCell ref="P60:T60"/>
    <mergeCell ref="D239:E239"/>
    <mergeCell ref="D266:E266"/>
    <mergeCell ref="P74:V74"/>
    <mergeCell ref="U17:V17"/>
    <mergeCell ref="P410:T410"/>
    <mergeCell ref="P385:T385"/>
    <mergeCell ref="P310:V310"/>
    <mergeCell ref="Y17:Y18"/>
    <mergeCell ref="P124:T124"/>
    <mergeCell ref="D515:E515"/>
    <mergeCell ref="K571:W571"/>
    <mergeCell ref="AC572:AC573"/>
    <mergeCell ref="P303:V303"/>
    <mergeCell ref="P132:V132"/>
    <mergeCell ref="P72:T72"/>
    <mergeCell ref="A31:O32"/>
    <mergeCell ref="P370:T370"/>
    <mergeCell ref="F17:F18"/>
    <mergeCell ref="N17:N18"/>
    <mergeCell ref="Q5:R5"/>
    <mergeCell ref="P297:T297"/>
    <mergeCell ref="D478:E478"/>
    <mergeCell ref="D278:E278"/>
    <mergeCell ref="D163:E163"/>
    <mergeCell ref="D107:E107"/>
    <mergeCell ref="P484:T484"/>
    <mergeCell ref="M572:M573"/>
    <mergeCell ref="A552:O553"/>
    <mergeCell ref="D405:E405"/>
    <mergeCell ref="P65:T65"/>
    <mergeCell ref="P136:T136"/>
    <mergeCell ref="P70:T70"/>
    <mergeCell ref="D244:E244"/>
    <mergeCell ref="A358:O359"/>
    <mergeCell ref="P228:T228"/>
    <mergeCell ref="D342:E342"/>
    <mergeCell ref="D571:J571"/>
    <mergeCell ref="D204:E204"/>
    <mergeCell ref="D171:E171"/>
    <mergeCell ref="Q6:R6"/>
    <mergeCell ref="P243:T243"/>
    <mergeCell ref="P528:T528"/>
    <mergeCell ref="A33:Z33"/>
    <mergeCell ref="X571:Y571"/>
    <mergeCell ref="P123:T123"/>
    <mergeCell ref="A554:Z554"/>
    <mergeCell ref="P358:V358"/>
    <mergeCell ref="P110:T110"/>
    <mergeCell ref="D218:E218"/>
    <mergeCell ref="P137:V137"/>
    <mergeCell ref="P495:V495"/>
    <mergeCell ref="A320:Z320"/>
    <mergeCell ref="A494:O495"/>
    <mergeCell ref="P68:V68"/>
    <mergeCell ref="P439:T439"/>
    <mergeCell ref="D249:E249"/>
    <mergeCell ref="D276:E276"/>
    <mergeCell ref="D547:E547"/>
    <mergeCell ref="P524:V524"/>
    <mergeCell ref="D341:E341"/>
    <mergeCell ref="D170:E170"/>
    <mergeCell ref="A536:Z536"/>
    <mergeCell ref="D468:E468"/>
    <mergeCell ref="P419:V419"/>
    <mergeCell ref="P272:V272"/>
    <mergeCell ref="P210:V210"/>
    <mergeCell ref="P510:T510"/>
    <mergeCell ref="P185:V185"/>
    <mergeCell ref="P544:V544"/>
    <mergeCell ref="P427:V427"/>
    <mergeCell ref="P216:V216"/>
    <mergeCell ref="P160:V160"/>
    <mergeCell ref="P83:T83"/>
    <mergeCell ref="D271:E271"/>
    <mergeCell ref="P519:V519"/>
    <mergeCell ref="S572:S573"/>
    <mergeCell ref="D503:E503"/>
    <mergeCell ref="AD17:AF18"/>
    <mergeCell ref="U572:U573"/>
    <mergeCell ref="A310:O311"/>
    <mergeCell ref="P167:V167"/>
    <mergeCell ref="W572:W573"/>
    <mergeCell ref="P142:V142"/>
    <mergeCell ref="D101:E101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392:E392"/>
    <mergeCell ref="P469:V469"/>
    <mergeCell ref="A465:Z465"/>
    <mergeCell ref="A294:Z294"/>
    <mergeCell ref="D221:E221"/>
    <mergeCell ref="D457:E457"/>
    <mergeCell ref="V11:W11"/>
    <mergeCell ref="D165:E165"/>
    <mergeCell ref="P486:T486"/>
    <mergeCell ref="P406:V406"/>
    <mergeCell ref="P342:T342"/>
    <mergeCell ref="D323:E323"/>
    <mergeCell ref="P146:T146"/>
    <mergeCell ref="P2:W3"/>
    <mergeCell ref="P298:T298"/>
    <mergeCell ref="P369:T369"/>
    <mergeCell ref="P347:T347"/>
    <mergeCell ref="D539:E539"/>
    <mergeCell ref="P54:T54"/>
    <mergeCell ref="D35:E35"/>
    <mergeCell ref="D228:E228"/>
    <mergeCell ref="D333:E333"/>
    <mergeCell ref="D404:E404"/>
    <mergeCell ref="A23:O24"/>
    <mergeCell ref="P64:T64"/>
    <mergeCell ref="D10:E10"/>
    <mergeCell ref="P135:T135"/>
    <mergeCell ref="P362:T362"/>
    <mergeCell ref="D34:E34"/>
    <mergeCell ref="D305:E305"/>
    <mergeCell ref="F10:G10"/>
    <mergeCell ref="D243:E243"/>
    <mergeCell ref="A479:O480"/>
    <mergeCell ref="D270:E270"/>
    <mergeCell ref="D99:E99"/>
    <mergeCell ref="D397:E397"/>
    <mergeCell ref="P376:V376"/>
    <mergeCell ref="A201:Z201"/>
    <mergeCell ref="D528:E528"/>
    <mergeCell ref="P364:T364"/>
    <mergeCell ref="D223:E223"/>
    <mergeCell ref="D450:E450"/>
    <mergeCell ref="D279:E279"/>
    <mergeCell ref="D521:E521"/>
    <mergeCell ref="D152:E152"/>
    <mergeCell ref="M17:M18"/>
    <mergeCell ref="O17:O18"/>
    <mergeCell ref="P131:V131"/>
    <mergeCell ref="A248:Z248"/>
    <mergeCell ref="P494:V494"/>
    <mergeCell ref="P430:T430"/>
    <mergeCell ref="P350:V350"/>
    <mergeCell ref="A104:Z104"/>
    <mergeCell ref="P417:T417"/>
    <mergeCell ref="D531:E531"/>
    <mergeCell ref="A508:Z508"/>
    <mergeCell ref="A483:Z483"/>
    <mergeCell ref="A312:Z312"/>
    <mergeCell ref="P287:V287"/>
    <mergeCell ref="D177:E177"/>
    <mergeCell ref="D226:E226"/>
    <mergeCell ref="P183:T183"/>
    <mergeCell ref="D164:E164"/>
    <mergeCell ref="D462:E462"/>
    <mergeCell ref="P62:T62"/>
    <mergeCell ref="A499:O500"/>
    <mergeCell ref="P181:T181"/>
    <mergeCell ref="P357:T357"/>
    <mergeCell ref="D29:E29"/>
    <mergeCell ref="P515:T515"/>
    <mergeCell ref="D265:E265"/>
    <mergeCell ref="P195:V195"/>
    <mergeCell ref="A20:Z20"/>
    <mergeCell ref="A194:O195"/>
    <mergeCell ref="A55:O56"/>
    <mergeCell ref="P23:V23"/>
    <mergeCell ref="D54:E54"/>
    <mergeCell ref="D385:E385"/>
    <mergeCell ref="P301:T301"/>
    <mergeCell ref="P295:T295"/>
    <mergeCell ref="P178:T178"/>
    <mergeCell ref="P34:T34"/>
    <mergeCell ref="A102:O103"/>
    <mergeCell ref="P276:T276"/>
    <mergeCell ref="P547:T547"/>
    <mergeCell ref="P214:T214"/>
    <mergeCell ref="P270:T270"/>
    <mergeCell ref="D384:E384"/>
    <mergeCell ref="P341:T341"/>
    <mergeCell ref="D151:E151"/>
    <mergeCell ref="D449:E449"/>
    <mergeCell ref="P478:T478"/>
    <mergeCell ref="D321:E321"/>
    <mergeCell ref="P278:T278"/>
    <mergeCell ref="P107:T107"/>
    <mergeCell ref="P101:T101"/>
    <mergeCell ref="A426:O427"/>
    <mergeCell ref="D513:E513"/>
    <mergeCell ref="P250:V250"/>
    <mergeCell ref="P194:V194"/>
    <mergeCell ref="P415:T415"/>
    <mergeCell ref="P286:V286"/>
    <mergeCell ref="P479:V479"/>
    <mergeCell ref="A544:O545"/>
    <mergeCell ref="P555:T555"/>
    <mergeCell ref="P346:T346"/>
    <mergeCell ref="D227:E227"/>
    <mergeCell ref="A463:O464"/>
    <mergeCell ref="P262:V262"/>
    <mergeCell ref="P321:T321"/>
    <mergeCell ref="P125:T125"/>
    <mergeCell ref="A9:C9"/>
    <mergeCell ref="D373:E373"/>
    <mergeCell ref="P112:T112"/>
    <mergeCell ref="C572:C573"/>
    <mergeCell ref="P348:T348"/>
    <mergeCell ref="E572:E573"/>
    <mergeCell ref="P273:V2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D84:E84"/>
    <mergeCell ref="P41:T41"/>
    <mergeCell ref="G17:G18"/>
    <mergeCell ref="D314:E314"/>
    <mergeCell ref="P413:V413"/>
    <mergeCell ref="P407:V407"/>
    <mergeCell ref="P121:V121"/>
    <mergeCell ref="P553:V553"/>
    <mergeCell ref="P188:T188"/>
    <mergeCell ref="A452:O453"/>
    <mergeCell ref="P551:T551"/>
    <mergeCell ref="A169:Z169"/>
    <mergeCell ref="P148:V148"/>
    <mergeCell ref="P59:T59"/>
    <mergeCell ref="P130:T130"/>
    <mergeCell ref="D136:E136"/>
    <mergeCell ref="P240:V240"/>
    <mergeCell ref="P488:T488"/>
    <mergeCell ref="A507:Z507"/>
    <mergeCell ref="A412:O413"/>
    <mergeCell ref="P282:T282"/>
    <mergeCell ref="D154:E154"/>
    <mergeCell ref="D225:E225"/>
    <mergeCell ref="P409:T409"/>
    <mergeCell ref="P111:T111"/>
    <mergeCell ref="A399:O400"/>
    <mergeCell ref="A481:Z481"/>
    <mergeCell ref="D461:E461"/>
    <mergeCell ref="P61:T61"/>
    <mergeCell ref="A157:Z157"/>
    <mergeCell ref="D22:E22"/>
    <mergeCell ref="A127:O128"/>
    <mergeCell ref="A520:Z520"/>
    <mergeCell ref="P426:V426"/>
    <mergeCell ref="H5:M5"/>
    <mergeCell ref="P31:V31"/>
    <mergeCell ref="P473:V473"/>
    <mergeCell ref="P329:V329"/>
    <mergeCell ref="P98:T98"/>
    <mergeCell ref="D439:E439"/>
    <mergeCell ref="P565:V565"/>
    <mergeCell ref="D510:E510"/>
    <mergeCell ref="P396:T396"/>
    <mergeCell ref="P225:T225"/>
    <mergeCell ref="P461:T461"/>
    <mergeCell ref="A317:O318"/>
    <mergeCell ref="D146:E146"/>
    <mergeCell ref="D6:M6"/>
    <mergeCell ref="P175:T175"/>
    <mergeCell ref="P95:V95"/>
    <mergeCell ref="D83:E83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D207:E207"/>
    <mergeCell ref="P269:T269"/>
    <mergeCell ref="P164:T164"/>
    <mergeCell ref="P462:T462"/>
    <mergeCell ref="D383:E383"/>
    <mergeCell ref="P120:V120"/>
    <mergeCell ref="A386:O387"/>
    <mergeCell ref="F572:F573"/>
    <mergeCell ref="A435:Z435"/>
    <mergeCell ref="P45:T45"/>
    <mergeCell ref="A288:Z288"/>
    <mergeCell ref="D153:E153"/>
    <mergeCell ref="P530:T530"/>
    <mergeCell ref="V6:W9"/>
    <mergeCell ref="D364:E364"/>
    <mergeCell ref="P109:T109"/>
    <mergeCell ref="A155:O156"/>
    <mergeCell ref="D484:E484"/>
    <mergeCell ref="P84:T84"/>
    <mergeCell ref="P222:T222"/>
    <mergeCell ref="P193:T193"/>
    <mergeCell ref="D65:E65"/>
    <mergeCell ref="P22:T22"/>
    <mergeCell ref="P314:T314"/>
    <mergeCell ref="A88:Z88"/>
    <mergeCell ref="D415:E415"/>
    <mergeCell ref="P394:V394"/>
    <mergeCell ref="Z17:Z18"/>
    <mergeCell ref="P173:V173"/>
    <mergeCell ref="A172:O173"/>
    <mergeCell ref="A212:Z212"/>
    <mergeCell ref="P458:V458"/>
    <mergeCell ref="P563:V563"/>
    <mergeCell ref="A388:Z388"/>
    <mergeCell ref="Y572:Y573"/>
    <mergeCell ref="A448:Z448"/>
    <mergeCell ref="D299:E299"/>
    <mergeCell ref="D370:E370"/>
    <mergeCell ref="A401:Z401"/>
    <mergeCell ref="P561:T561"/>
    <mergeCell ref="P390:T390"/>
    <mergeCell ref="D504:E504"/>
    <mergeCell ref="P241:V241"/>
    <mergeCell ref="D206:E206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AA17:AA18"/>
    <mergeCell ref="P552:V552"/>
    <mergeCell ref="H10:M10"/>
    <mergeCell ref="AC17:AC18"/>
    <mergeCell ref="P485:T485"/>
    <mergeCell ref="A122:Z122"/>
    <mergeCell ref="P279:T279"/>
    <mergeCell ref="A420:Z420"/>
    <mergeCell ref="P472:T472"/>
    <mergeCell ref="P108:T108"/>
    <mergeCell ref="D89:E89"/>
    <mergeCell ref="P254:T254"/>
    <mergeCell ref="P147:V147"/>
    <mergeCell ref="P512:T512"/>
    <mergeCell ref="P487:T487"/>
    <mergeCell ref="AB17:AB18"/>
    <mergeCell ref="D222:E222"/>
    <mergeCell ref="P35:T35"/>
    <mergeCell ref="A466:Z466"/>
    <mergeCell ref="P562:V562"/>
    <mergeCell ref="P518:V518"/>
    <mergeCell ref="D64:E64"/>
    <mergeCell ref="P441:T441"/>
    <mergeCell ref="D362:E362"/>
    <mergeCell ref="A365:O366"/>
    <mergeCell ref="P235:T235"/>
    <mergeCell ref="D51:E51"/>
    <mergeCell ref="P477:T477"/>
    <mergeCell ref="P533:T533"/>
    <mergeCell ref="P328:V328"/>
    <mergeCell ref="D476:E476"/>
    <mergeCell ref="P86:V86"/>
    <mergeCell ref="A38:Z38"/>
    <mergeCell ref="A274:Z274"/>
    <mergeCell ref="P207:T207"/>
    <mergeCell ref="A302:O303"/>
    <mergeCell ref="A131:O132"/>
    <mergeCell ref="P299:T299"/>
    <mergeCell ref="P172:V172"/>
    <mergeCell ref="P386:V386"/>
    <mergeCell ref="P215:V215"/>
    <mergeCell ref="A40:Z40"/>
    <mergeCell ref="A509:Z509"/>
    <mergeCell ref="D374:E374"/>
    <mergeCell ref="A338:Z338"/>
    <mergeCell ref="D203:E203"/>
    <mergeCell ref="P549:V549"/>
    <mergeCell ref="D140:E140"/>
    <mergeCell ref="P517:T517"/>
    <mergeCell ref="D438:E438"/>
    <mergeCell ref="D267:E267"/>
    <mergeCell ref="A559:Z559"/>
    <mergeCell ref="P534:V534"/>
    <mergeCell ref="A546:Z546"/>
    <mergeCell ref="P525:V525"/>
    <mergeCell ref="P307:V307"/>
    <mergeCell ref="P380:T380"/>
    <mergeCell ref="P500:V500"/>
    <mergeCell ref="A496:Z496"/>
    <mergeCell ref="A13:M13"/>
    <mergeCell ref="P79:V79"/>
    <mergeCell ref="A69:Z69"/>
    <mergeCell ref="A367:Z367"/>
    <mergeCell ref="A196:Z196"/>
    <mergeCell ref="A560:Z560"/>
    <mergeCell ref="D254:E254"/>
    <mergeCell ref="P302:V302"/>
    <mergeCell ref="Z571:AA571"/>
    <mergeCell ref="P238:T238"/>
    <mergeCell ref="A232:O233"/>
    <mergeCell ref="D61:E61"/>
    <mergeCell ref="D346:E346"/>
    <mergeCell ref="P229:T229"/>
    <mergeCell ref="A15:M15"/>
    <mergeCell ref="D477:E477"/>
    <mergeCell ref="A133:Z133"/>
    <mergeCell ref="P77:T77"/>
    <mergeCell ref="P375:T375"/>
    <mergeCell ref="P204:T204"/>
    <mergeCell ref="P179:T179"/>
    <mergeCell ref="D125:E125"/>
    <mergeCell ref="P440:T440"/>
    <mergeCell ref="D283:E283"/>
    <mergeCell ref="P543:T543"/>
    <mergeCell ref="D424:E424"/>
    <mergeCell ref="P224:T224"/>
    <mergeCell ref="P322:T322"/>
    <mergeCell ref="P260:T260"/>
    <mergeCell ref="P89:T89"/>
    <mergeCell ref="P309:T309"/>
    <mergeCell ref="D59:E59"/>
    <mergeCell ref="P505:V505"/>
    <mergeCell ref="D295:E295"/>
    <mergeCell ref="D178:E178"/>
    <mergeCell ref="P51:T51"/>
    <mergeCell ref="P26:T26"/>
    <mergeCell ref="P324:T324"/>
    <mergeCell ref="P153:T153"/>
    <mergeCell ref="P511:T511"/>
    <mergeCell ref="D555:E555"/>
    <mergeCell ref="D112:E112"/>
    <mergeCell ref="A356:Z356"/>
    <mergeCell ref="D348:E348"/>
    <mergeCell ref="P141:T141"/>
    <mergeCell ref="D62:E62"/>
    <mergeCell ref="D193:E193"/>
    <mergeCell ref="P206:T206"/>
    <mergeCell ref="P504:T504"/>
    <mergeCell ref="D347:E347"/>
    <mergeCell ref="D176:E176"/>
    <mergeCell ref="D285:E285"/>
    <mergeCell ref="P155:V155"/>
    <mergeCell ref="D425:E425"/>
    <mergeCell ref="P90:T90"/>
    <mergeCell ref="P532:T532"/>
    <mergeCell ref="T5:U5"/>
    <mergeCell ref="D119:E119"/>
    <mergeCell ref="V5:W5"/>
    <mergeCell ref="P374:T374"/>
    <mergeCell ref="P203:T203"/>
    <mergeCell ref="D488:E488"/>
    <mergeCell ref="A319:Z319"/>
    <mergeCell ref="X572:X573"/>
    <mergeCell ref="A48:Z48"/>
    <mergeCell ref="D282:E282"/>
    <mergeCell ref="Z572:Z573"/>
    <mergeCell ref="D111:E111"/>
    <mergeCell ref="D409:E409"/>
    <mergeCell ref="Q8:R8"/>
    <mergeCell ref="D183:E183"/>
    <mergeCell ref="P140:T140"/>
    <mergeCell ref="P438:T438"/>
    <mergeCell ref="D444:E444"/>
    <mergeCell ref="P267:T267"/>
    <mergeCell ref="D219:E219"/>
    <mergeCell ref="D275:E275"/>
    <mergeCell ref="P425:T425"/>
    <mergeCell ref="A349:O350"/>
    <mergeCell ref="D340:E340"/>
    <mergeCell ref="D533:E533"/>
    <mergeCell ref="T6:U9"/>
    <mergeCell ref="Q10:R10"/>
    <mergeCell ref="D41:E41"/>
    <mergeCell ref="A429:Z429"/>
    <mergeCell ref="P296:T296"/>
    <mergeCell ref="P318:V318"/>
    <mergeCell ref="A557:O558"/>
    <mergeCell ref="AC571:AD571"/>
    <mergeCell ref="P291:V291"/>
    <mergeCell ref="P43:T43"/>
    <mergeCell ref="P285:T285"/>
    <mergeCell ref="P434:V434"/>
    <mergeCell ref="A433:O434"/>
    <mergeCell ref="A253:Z253"/>
    <mergeCell ref="P499:V499"/>
    <mergeCell ref="A12:M12"/>
    <mergeCell ref="P355:V355"/>
    <mergeCell ref="D487:E487"/>
    <mergeCell ref="A482:Z482"/>
    <mergeCell ref="A538:Z538"/>
    <mergeCell ref="P397:T397"/>
    <mergeCell ref="A19:Z19"/>
    <mergeCell ref="P372:T372"/>
    <mergeCell ref="P292:V292"/>
    <mergeCell ref="D182:E182"/>
    <mergeCell ref="A14:M14"/>
    <mergeCell ref="D280:E280"/>
    <mergeCell ref="D551:E551"/>
    <mergeCell ref="P163:T163"/>
    <mergeCell ref="D109:E109"/>
    <mergeCell ref="D467:E467"/>
    <mergeCell ref="P424:T424"/>
    <mergeCell ref="D277:E277"/>
    <mergeCell ref="P256:V256"/>
    <mergeCell ref="P85:V85"/>
    <mergeCell ref="D371:E371"/>
    <mergeCell ref="D43:E43"/>
    <mergeCell ref="D485:E485"/>
    <mergeCell ref="P447:V447"/>
    <mergeCell ref="G572:G573"/>
    <mergeCell ref="I572:I573"/>
    <mergeCell ref="P306:V306"/>
    <mergeCell ref="P513:T513"/>
    <mergeCell ref="D52:E52"/>
    <mergeCell ref="A162:Z162"/>
    <mergeCell ref="D27:E27"/>
    <mergeCell ref="A67:O68"/>
    <mergeCell ref="D325:E325"/>
    <mergeCell ref="P208:T208"/>
    <mergeCell ref="D396:E396"/>
    <mergeCell ref="P450:T450"/>
    <mergeCell ref="D456:E456"/>
    <mergeCell ref="P15:T16"/>
    <mergeCell ref="D116:E116"/>
    <mergeCell ref="P219:T219"/>
    <mergeCell ref="D91:E91"/>
    <mergeCell ref="D327:E327"/>
    <mergeCell ref="D398:E398"/>
    <mergeCell ref="A564:O569"/>
    <mergeCell ref="P433:V433"/>
    <mergeCell ref="D106:E106"/>
    <mergeCell ref="D416:E416"/>
    <mergeCell ref="P283:T283"/>
    <mergeCell ref="D264:E264"/>
    <mergeCell ref="P277:T277"/>
    <mergeCell ref="D93:E93"/>
    <mergeCell ref="D391:E391"/>
    <mergeCell ref="D220:E220"/>
    <mergeCell ref="P199:V199"/>
    <mergeCell ref="A198:O199"/>
    <mergeCell ref="A139:Z139"/>
    <mergeCell ref="D530:E530"/>
    <mergeCell ref="A406:O407"/>
    <mergeCell ref="A263:Z263"/>
    <mergeCell ref="P264:T264"/>
    <mergeCell ref="P239:T239"/>
    <mergeCell ref="A210:O211"/>
    <mergeCell ref="P67:V67"/>
    <mergeCell ref="A418:O419"/>
    <mergeCell ref="P186:V186"/>
    <mergeCell ref="A185:O186"/>
    <mergeCell ref="P353:T353"/>
    <mergeCell ref="A134:Z134"/>
    <mergeCell ref="D532:E532"/>
    <mergeCell ref="P75:V75"/>
    <mergeCell ref="P317:V317"/>
    <mergeCell ref="D63:E63"/>
    <mergeCell ref="P540:V540"/>
    <mergeCell ref="P305:T305"/>
    <mergeCell ref="A421:Z421"/>
    <mergeCell ref="A304:Z304"/>
    <mergeCell ref="P344:V344"/>
    <mergeCell ref="P514:T514"/>
    <mergeCell ref="D422:E422"/>
    <mergeCell ref="P489:T489"/>
    <mergeCell ref="P80:V80"/>
    <mergeCell ref="D130:E130"/>
    <mergeCell ref="P451:T451"/>
    <mergeCell ref="D372:E372"/>
    <mergeCell ref="P245:T245"/>
    <mergeCell ref="P516:T516"/>
    <mergeCell ref="D188:E188"/>
    <mergeCell ref="A518:O519"/>
    <mergeCell ref="A5:C5"/>
    <mergeCell ref="A492:Z492"/>
    <mergeCell ref="P418:V418"/>
    <mergeCell ref="P412:V412"/>
    <mergeCell ref="A408:Z408"/>
    <mergeCell ref="P340:T340"/>
    <mergeCell ref="P191:V191"/>
    <mergeCell ref="A187:Z187"/>
    <mergeCell ref="D179:E179"/>
    <mergeCell ref="P349:V349"/>
    <mergeCell ref="AA572:AA573"/>
    <mergeCell ref="A174:Z174"/>
    <mergeCell ref="D166:E166"/>
    <mergeCell ref="A537:Z537"/>
    <mergeCell ref="D402:E402"/>
    <mergeCell ref="P128:V128"/>
    <mergeCell ref="A17:A18"/>
    <mergeCell ref="P300:T300"/>
    <mergeCell ref="K17:K18"/>
    <mergeCell ref="P493:T493"/>
    <mergeCell ref="P371:T371"/>
    <mergeCell ref="P431:T431"/>
    <mergeCell ref="C17:C18"/>
    <mergeCell ref="P529:T529"/>
    <mergeCell ref="A548:O549"/>
    <mergeCell ref="D339:E339"/>
    <mergeCell ref="D230:E230"/>
    <mergeCell ref="P66:T66"/>
    <mergeCell ref="D180:E180"/>
    <mergeCell ref="D9:E9"/>
    <mergeCell ref="P197:T197"/>
    <mergeCell ref="A354:O355"/>
    <mergeCell ref="A6:C6"/>
    <mergeCell ref="D309:E309"/>
    <mergeCell ref="P180:T180"/>
    <mergeCell ref="P118:T118"/>
    <mergeCell ref="P416:T416"/>
    <mergeCell ref="P336:V336"/>
    <mergeCell ref="A161:Z161"/>
    <mergeCell ref="D26:E26"/>
    <mergeCell ref="P403:T403"/>
    <mergeCell ref="D324:E324"/>
    <mergeCell ref="D517:E517"/>
    <mergeCell ref="P117:T117"/>
    <mergeCell ref="P182:T182"/>
    <mergeCell ref="P102:V102"/>
    <mergeCell ref="P280:T280"/>
    <mergeCell ref="Q12:R12"/>
    <mergeCell ref="D90:E90"/>
    <mergeCell ref="P411:T411"/>
    <mergeCell ref="P467:T467"/>
    <mergeCell ref="P442:T442"/>
    <mergeCell ref="A261:O262"/>
    <mergeCell ref="P119:T119"/>
    <mergeCell ref="P354:V354"/>
    <mergeCell ref="A328:O329"/>
    <mergeCell ref="D390:E390"/>
    <mergeCell ref="P491:V491"/>
    <mergeCell ref="P198:V198"/>
    <mergeCell ref="P127:V127"/>
    <mergeCell ref="D118:E118"/>
    <mergeCell ref="P53:T53"/>
    <mergeCell ref="F9:G9"/>
    <mergeCell ref="P422:T422"/>
    <mergeCell ref="A540:O541"/>
    <mergeCell ref="I17:I18"/>
    <mergeCell ref="D141:E141"/>
    <mergeCell ref="D135:E135"/>
    <mergeCell ref="P189:T189"/>
    <mergeCell ref="P456:T456"/>
    <mergeCell ref="P114:V114"/>
    <mergeCell ref="A246:O247"/>
    <mergeCell ref="P572:P573"/>
    <mergeCell ref="H572:H573"/>
    <mergeCell ref="R572:R573"/>
    <mergeCell ref="P523:T523"/>
    <mergeCell ref="J572:J573"/>
    <mergeCell ref="P281:T281"/>
    <mergeCell ref="P470:V470"/>
    <mergeCell ref="D72:E72"/>
    <mergeCell ref="P498:T498"/>
    <mergeCell ref="D235:E235"/>
    <mergeCell ref="P463:V463"/>
    <mergeCell ref="D451:E451"/>
    <mergeCell ref="A331:Z331"/>
    <mergeCell ref="D255:E255"/>
    <mergeCell ref="P36:V36"/>
    <mergeCell ref="P78:T78"/>
    <mergeCell ref="A97:Z97"/>
    <mergeCell ref="D322:E322"/>
    <mergeCell ref="A395:Z395"/>
    <mergeCell ref="D260:E260"/>
    <mergeCell ref="P205:T205"/>
    <mergeCell ref="A534:O535"/>
    <mergeCell ref="D561:E561"/>
    <mergeCell ref="P289:T289"/>
    <mergeCell ref="D1:F1"/>
    <mergeCell ref="A234:Z234"/>
    <mergeCell ref="J17:J18"/>
    <mergeCell ref="D82:E82"/>
    <mergeCell ref="L17:L18"/>
    <mergeCell ref="A85:O86"/>
    <mergeCell ref="P359:V359"/>
    <mergeCell ref="D511:E511"/>
    <mergeCell ref="P490:V490"/>
    <mergeCell ref="P255:T255"/>
    <mergeCell ref="A542:Z542"/>
    <mergeCell ref="D334:E334"/>
    <mergeCell ref="P557:V557"/>
    <mergeCell ref="A115:Z115"/>
    <mergeCell ref="A308:Z308"/>
    <mergeCell ref="D100:E100"/>
    <mergeCell ref="P284:T284"/>
    <mergeCell ref="P17:T18"/>
    <mergeCell ref="A471:Z471"/>
    <mergeCell ref="D523:E523"/>
    <mergeCell ref="P63:T63"/>
    <mergeCell ref="A167:O168"/>
    <mergeCell ref="D158:E158"/>
    <mergeCell ref="D229:E229"/>
    <mergeCell ref="D77:E77"/>
    <mergeCell ref="D108:E108"/>
    <mergeCell ref="D375:E375"/>
    <mergeCell ref="D369:E369"/>
    <mergeCell ref="P556:T556"/>
    <mergeCell ref="P423:T423"/>
    <mergeCell ref="P223:T223"/>
    <mergeCell ref="P52:T52"/>
    <mergeCell ref="D514:E514"/>
    <mergeCell ref="D381:E381"/>
    <mergeCell ref="A345:Z345"/>
    <mergeCell ref="A250:O251"/>
    <mergeCell ref="D380:E380"/>
    <mergeCell ref="D209:E209"/>
    <mergeCell ref="P166:T166"/>
    <mergeCell ref="D445:E445"/>
    <mergeCell ref="P402:T402"/>
    <mergeCell ref="D516:E516"/>
    <mergeCell ref="D301:E301"/>
    <mergeCell ref="D245:E245"/>
    <mergeCell ref="P116:T116"/>
    <mergeCell ref="A105:Z105"/>
    <mergeCell ref="D224:E224"/>
    <mergeCell ref="P268:T268"/>
    <mergeCell ref="A469:O470"/>
    <mergeCell ref="D382:E382"/>
    <mergeCell ref="P339:T339"/>
    <mergeCell ref="P230:T230"/>
    <mergeCell ref="P190:V190"/>
    <mergeCell ref="A242:Z242"/>
    <mergeCell ref="D403:E403"/>
    <mergeCell ref="A272:O273"/>
    <mergeCell ref="P503:T503"/>
    <mergeCell ref="P452:V452"/>
    <mergeCell ref="P332:T332"/>
    <mergeCell ref="A291:O292"/>
    <mergeCell ref="D440:E440"/>
    <mergeCell ref="A505:O506"/>
    <mergeCell ref="D296:E296"/>
    <mergeCell ref="D269:E269"/>
    <mergeCell ref="H1:Q1"/>
    <mergeCell ref="A501:Z501"/>
    <mergeCell ref="P480:V480"/>
    <mergeCell ref="A330:Z330"/>
    <mergeCell ref="P541:V541"/>
    <mergeCell ref="D214:E214"/>
    <mergeCell ref="D284:E284"/>
    <mergeCell ref="P539:T539"/>
    <mergeCell ref="P246:V246"/>
    <mergeCell ref="D259:E259"/>
    <mergeCell ref="D28:E28"/>
    <mergeCell ref="P405:T405"/>
    <mergeCell ref="D326:E326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P171:T171"/>
    <mergeCell ref="A361:Z361"/>
    <mergeCell ref="D92:E92"/>
    <mergeCell ref="A95:O96"/>
    <mergeCell ref="D353:E353"/>
    <mergeCell ref="D30:E30"/>
    <mergeCell ref="A393:O394"/>
    <mergeCell ref="A524:O525"/>
    <mergeCell ref="D5:E5"/>
    <mergeCell ref="P382:T382"/>
    <mergeCell ref="P42:T42"/>
    <mergeCell ref="D7:M7"/>
    <mergeCell ref="P548:V548"/>
    <mergeCell ref="P236:T236"/>
    <mergeCell ref="A81:Z81"/>
    <mergeCell ref="P156:V156"/>
    <mergeCell ref="P92:T92"/>
    <mergeCell ref="P334:T334"/>
    <mergeCell ref="D315:E315"/>
    <mergeCell ref="P521:T521"/>
    <mergeCell ref="D442:E442"/>
    <mergeCell ref="D502:E502"/>
    <mergeCell ref="A159:O160"/>
    <mergeCell ref="P29:T29"/>
    <mergeCell ref="P271:T271"/>
    <mergeCell ref="P535:V535"/>
    <mergeCell ref="P100:T100"/>
    <mergeCell ref="P265:T265"/>
    <mergeCell ref="P94:T94"/>
    <mergeCell ref="D379:E379"/>
    <mergeCell ref="D208:E208"/>
    <mergeCell ref="D8:M8"/>
    <mergeCell ref="D300:E300"/>
    <mergeCell ref="P44:T44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A50:Z50"/>
    <mergeCell ref="W17:W18"/>
    <mergeCell ref="P96:V96"/>
    <mergeCell ref="A562:O563"/>
    <mergeCell ref="P261:V261"/>
    <mergeCell ref="AB572:AB573"/>
    <mergeCell ref="A213:Z213"/>
    <mergeCell ref="AD572:AD573"/>
    <mergeCell ref="T572:T573"/>
    <mergeCell ref="P459:V459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493:E493"/>
    <mergeCell ref="D189:E189"/>
    <mergeCell ref="D431:E431"/>
    <mergeCell ref="P99:T99"/>
    <mergeCell ref="P170:T170"/>
    <mergeCell ref="A360:Z360"/>
    <mergeCell ref="P468:T468"/>
    <mergeCell ref="P564:V564"/>
    <mergeCell ref="A458:O459"/>
    <mergeCell ref="P393:V393"/>
    <mergeCell ref="P316:T316"/>
    <mergeCell ref="P145:T145"/>
    <mergeCell ref="D126:E126"/>
    <mergeCell ref="P443:T443"/>
    <mergeCell ref="D197:E197"/>
    <mergeCell ref="P381:T381"/>
    <mergeCell ref="P113:V113"/>
    <mergeCell ref="P232:V232"/>
    <mergeCell ref="D66:E66"/>
    <mergeCell ref="D53:E53"/>
    <mergeCell ref="A473:O474"/>
    <mergeCell ref="D411:E411"/>
    <mergeCell ref="D289:E289"/>
    <mergeCell ref="P159:V159"/>
    <mergeCell ref="A149:Z149"/>
    <mergeCell ref="R1:T1"/>
    <mergeCell ref="D71:E71"/>
    <mergeCell ref="P28:T28"/>
    <mergeCell ref="P392:T392"/>
    <mergeCell ref="P326:T326"/>
    <mergeCell ref="D332:E332"/>
    <mergeCell ref="P221:T221"/>
    <mergeCell ref="A74:O75"/>
    <mergeCell ref="K572:K573"/>
    <mergeCell ref="P457:T457"/>
    <mergeCell ref="P165:T165"/>
    <mergeCell ref="P432:T432"/>
    <mergeCell ref="P400:V400"/>
    <mergeCell ref="A46:O47"/>
    <mergeCell ref="D98:E98"/>
    <mergeCell ref="P152:T152"/>
    <mergeCell ref="D73:E73"/>
    <mergeCell ref="P30:T30"/>
    <mergeCell ref="A200:Z200"/>
    <mergeCell ref="P446:V446"/>
    <mergeCell ref="A147:O148"/>
    <mergeCell ref="A436:Z436"/>
    <mergeCell ref="P464:V464"/>
    <mergeCell ref="P290:T290"/>
    <mergeCell ref="P531:T531"/>
    <mergeCell ref="A550:Z550"/>
    <mergeCell ref="P377:V377"/>
    <mergeCell ref="A202:Z202"/>
    <mergeCell ref="A258:Z258"/>
    <mergeCell ref="P233:V233"/>
    <mergeCell ref="A58:Z58"/>
    <mergeCell ref="P37:V37"/>
    <mergeCell ref="P558:V558"/>
    <mergeCell ref="P389:T389"/>
    <mergeCell ref="D297:E297"/>
    <mergeCell ref="P545:V545"/>
    <mergeCell ref="A256:O257"/>
    <mergeCell ref="A79:O80"/>
    <mergeCell ref="D70:E70"/>
    <mergeCell ref="P391:T391"/>
    <mergeCell ref="P220:T220"/>
    <mergeCell ref="D238:E238"/>
    <mergeCell ref="D486:E486"/>
    <mergeCell ref="A343:O344"/>
    <mergeCell ref="P384:T384"/>
    <mergeCell ref="D78:E78"/>
    <mergeCell ref="P455:T455"/>
    <mergeCell ref="A378:Z378"/>
    <mergeCell ref="D205:E205"/>
    <mergeCell ref="P249:T249"/>
    <mergeCell ref="D363:E363"/>
    <mergeCell ref="D357:E357"/>
    <mergeCell ref="P275:T275"/>
    <mergeCell ref="P168:V168"/>
    <mergeCell ref="P143:V143"/>
    <mergeCell ref="A437:Z437"/>
    <mergeCell ref="P506:V506"/>
    <mergeCell ref="D527:E527"/>
    <mergeCell ref="P335:V335"/>
    <mergeCell ref="P399:V399"/>
    <mergeCell ref="A87:Z87"/>
    <mergeCell ref="D316:E316"/>
    <mergeCell ref="D145:E145"/>
    <mergeCell ref="D443:E443"/>
    <mergeCell ref="D60:E60"/>
    <mergeCell ref="P244:T244"/>
    <mergeCell ref="P73:T73"/>
    <mergeCell ref="P315:T315"/>
    <mergeCell ref="A190:O191"/>
    <mergeCell ref="P231:T231"/>
    <mergeCell ref="D423:E423"/>
    <mergeCell ref="D472:E472"/>
    <mergeCell ref="A352:Z352"/>
    <mergeCell ref="D410:E410"/>
    <mergeCell ref="A368:Z368"/>
    <mergeCell ref="H9:I9"/>
    <mergeCell ref="D45:E45"/>
    <mergeCell ref="P24:V24"/>
    <mergeCell ref="A49:Z49"/>
    <mergeCell ref="A490:O491"/>
    <mergeCell ref="D281:E281"/>
    <mergeCell ref="P211:V211"/>
    <mergeCell ref="P453:V453"/>
    <mergeCell ref="B17:B18"/>
    <mergeCell ref="P46:V46"/>
    <mergeCell ref="Q9:R9"/>
    <mergeCell ref="Q11:R11"/>
    <mergeCell ref="J9:M9"/>
    <mergeCell ref="H17:H18"/>
    <mergeCell ref="D489:E489"/>
    <mergeCell ref="A252:Z252"/>
    <mergeCell ref="P27:T27"/>
    <mergeCell ref="P325:T325"/>
    <mergeCell ref="P154:T154"/>
    <mergeCell ref="P247:V247"/>
    <mergeCell ref="P333:T33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2026-10-16T10:13:49Z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