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49E0CF31-BB67-4274-81C4-AF5F66B0A40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Y392" i="1" s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Y378" i="1" s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Y323" i="1" s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Y252" i="1" s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X199" i="1"/>
  <c r="BP198" i="1"/>
  <c r="BO198" i="1"/>
  <c r="BN198" i="1"/>
  <c r="BM198" i="1"/>
  <c r="Z198" i="1"/>
  <c r="Y198" i="1"/>
  <c r="P198" i="1"/>
  <c r="BO197" i="1"/>
  <c r="BM197" i="1"/>
  <c r="Y197" i="1"/>
  <c r="Y199" i="1" s="1"/>
  <c r="P197" i="1"/>
  <c r="X195" i="1"/>
  <c r="X194" i="1"/>
  <c r="BO193" i="1"/>
  <c r="BM193" i="1"/>
  <c r="Y193" i="1"/>
  <c r="P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Y189" i="1" s="1"/>
  <c r="P177" i="1"/>
  <c r="X175" i="1"/>
  <c r="X174" i="1"/>
  <c r="BO173" i="1"/>
  <c r="BM173" i="1"/>
  <c r="Y173" i="1"/>
  <c r="P173" i="1"/>
  <c r="BP172" i="1"/>
  <c r="BO172" i="1"/>
  <c r="BN172" i="1"/>
  <c r="BM172" i="1"/>
  <c r="Z172" i="1"/>
  <c r="Y172" i="1"/>
  <c r="X170" i="1"/>
  <c r="X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Y159" i="1" s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P139" i="1"/>
  <c r="BO139" i="1"/>
  <c r="BN139" i="1"/>
  <c r="BM139" i="1"/>
  <c r="Z139" i="1"/>
  <c r="Y139" i="1"/>
  <c r="Y143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BP134" i="1" s="1"/>
  <c r="P134" i="1"/>
  <c r="BP133" i="1"/>
  <c r="BO133" i="1"/>
  <c r="BN133" i="1"/>
  <c r="BM133" i="1"/>
  <c r="Z133" i="1"/>
  <c r="Y133" i="1"/>
  <c r="P133" i="1"/>
  <c r="BO132" i="1"/>
  <c r="BM132" i="1"/>
  <c r="Y132" i="1"/>
  <c r="BP132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Y125" i="1" s="1"/>
  <c r="P121" i="1"/>
  <c r="BP120" i="1"/>
  <c r="BO120" i="1"/>
  <c r="BN120" i="1"/>
  <c r="BM120" i="1"/>
  <c r="Z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60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Y100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60" i="1" s="1"/>
  <c r="P88" i="1"/>
  <c r="X85" i="1"/>
  <c r="X84" i="1"/>
  <c r="BO83" i="1"/>
  <c r="BM83" i="1"/>
  <c r="Y83" i="1"/>
  <c r="Y85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5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60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6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Y46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550" i="1" s="1"/>
  <c r="X24" i="1"/>
  <c r="BP23" i="1"/>
  <c r="BO23" i="1"/>
  <c r="BN23" i="1"/>
  <c r="BM23" i="1"/>
  <c r="Z23" i="1"/>
  <c r="Y23" i="1"/>
  <c r="P23" i="1"/>
  <c r="BO22" i="1"/>
  <c r="X552" i="1" s="1"/>
  <c r="BM22" i="1"/>
  <c r="X551" i="1" s="1"/>
  <c r="X553" i="1" s="1"/>
  <c r="Y22" i="1"/>
  <c r="B560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X554" i="1"/>
  <c r="Y25" i="1"/>
  <c r="Z28" i="1"/>
  <c r="Z32" i="1" s="1"/>
  <c r="BN28" i="1"/>
  <c r="BP28" i="1"/>
  <c r="Z30" i="1"/>
  <c r="BN30" i="1"/>
  <c r="C560" i="1"/>
  <c r="Z42" i="1"/>
  <c r="BN42" i="1"/>
  <c r="BP42" i="1"/>
  <c r="Z44" i="1"/>
  <c r="Z46" i="1" s="1"/>
  <c r="BN44" i="1"/>
  <c r="Y47" i="1"/>
  <c r="D560" i="1"/>
  <c r="Z52" i="1"/>
  <c r="Z55" i="1" s="1"/>
  <c r="BN52" i="1"/>
  <c r="BP52" i="1"/>
  <c r="Z54" i="1"/>
  <c r="BN54" i="1"/>
  <c r="Y55" i="1"/>
  <c r="Z59" i="1"/>
  <c r="Z67" i="1" s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BP83" i="1"/>
  <c r="Z88" i="1"/>
  <c r="Z92" i="1" s="1"/>
  <c r="BN88" i="1"/>
  <c r="BP88" i="1"/>
  <c r="Z90" i="1"/>
  <c r="BN90" i="1"/>
  <c r="Y93" i="1"/>
  <c r="Z96" i="1"/>
  <c r="Z99" i="1" s="1"/>
  <c r="BN96" i="1"/>
  <c r="BP96" i="1"/>
  <c r="Z98" i="1"/>
  <c r="BN98" i="1"/>
  <c r="Z103" i="1"/>
  <c r="BN103" i="1"/>
  <c r="BP103" i="1"/>
  <c r="Z105" i="1"/>
  <c r="BN105" i="1"/>
  <c r="Z107" i="1"/>
  <c r="BN107" i="1"/>
  <c r="Y110" i="1"/>
  <c r="Z113" i="1"/>
  <c r="BN113" i="1"/>
  <c r="BP113" i="1"/>
  <c r="Z115" i="1"/>
  <c r="Z117" i="1" s="1"/>
  <c r="BN115" i="1"/>
  <c r="Z121" i="1"/>
  <c r="Z124" i="1" s="1"/>
  <c r="BN121" i="1"/>
  <c r="BP121" i="1"/>
  <c r="Z123" i="1"/>
  <c r="BN123" i="1"/>
  <c r="Z127" i="1"/>
  <c r="Z128" i="1" s="1"/>
  <c r="BN127" i="1"/>
  <c r="BP127" i="1"/>
  <c r="Y128" i="1"/>
  <c r="Z132" i="1"/>
  <c r="BN132" i="1"/>
  <c r="Z134" i="1"/>
  <c r="BN134" i="1"/>
  <c r="BP140" i="1"/>
  <c r="BN140" i="1"/>
  <c r="Z140" i="1"/>
  <c r="BP148" i="1"/>
  <c r="BN148" i="1"/>
  <c r="Z148" i="1"/>
  <c r="BP157" i="1"/>
  <c r="BN157" i="1"/>
  <c r="Z157" i="1"/>
  <c r="Y162" i="1"/>
  <c r="BP161" i="1"/>
  <c r="BN161" i="1"/>
  <c r="Z161" i="1"/>
  <c r="Z162" i="1" s="1"/>
  <c r="Y163" i="1"/>
  <c r="J560" i="1"/>
  <c r="Y169" i="1"/>
  <c r="BP166" i="1"/>
  <c r="BN166" i="1"/>
  <c r="Z166" i="1"/>
  <c r="Y174" i="1"/>
  <c r="BP179" i="1"/>
  <c r="BN179" i="1"/>
  <c r="Z179" i="1"/>
  <c r="BP183" i="1"/>
  <c r="BN183" i="1"/>
  <c r="Z183" i="1"/>
  <c r="BP187" i="1"/>
  <c r="BN187" i="1"/>
  <c r="Z187" i="1"/>
  <c r="Y194" i="1"/>
  <c r="BP191" i="1"/>
  <c r="BN191" i="1"/>
  <c r="Z191" i="1"/>
  <c r="BP209" i="1"/>
  <c r="BN209" i="1"/>
  <c r="Z209" i="1"/>
  <c r="BP213" i="1"/>
  <c r="BN213" i="1"/>
  <c r="Z213" i="1"/>
  <c r="Z215" i="1" s="1"/>
  <c r="Y237" i="1"/>
  <c r="BP226" i="1"/>
  <c r="BN226" i="1"/>
  <c r="Z226" i="1"/>
  <c r="Z237" i="1" s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Z447" i="1"/>
  <c r="H9" i="1"/>
  <c r="Y24" i="1"/>
  <c r="Y67" i="1"/>
  <c r="Y92" i="1"/>
  <c r="Y109" i="1"/>
  <c r="H560" i="1"/>
  <c r="Y137" i="1"/>
  <c r="Y136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Z158" i="1" s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Y215" i="1"/>
  <c r="BP224" i="1"/>
  <c r="BN224" i="1"/>
  <c r="Z224" i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BP244" i="1"/>
  <c r="BN244" i="1"/>
  <c r="Z244" i="1"/>
  <c r="Y246" i="1"/>
  <c r="Y251" i="1"/>
  <c r="BP248" i="1"/>
  <c r="BN248" i="1"/>
  <c r="Z248" i="1"/>
  <c r="BP270" i="1"/>
  <c r="BN270" i="1"/>
  <c r="Z270" i="1"/>
  <c r="Y278" i="1"/>
  <c r="BP274" i="1"/>
  <c r="BN274" i="1"/>
  <c r="Z274" i="1"/>
  <c r="Z297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Z277" i="1" s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Z359" i="1"/>
  <c r="BP357" i="1"/>
  <c r="BN357" i="1"/>
  <c r="Z357" i="1"/>
  <c r="BP366" i="1"/>
  <c r="BN366" i="1"/>
  <c r="Z366" i="1"/>
  <c r="Y379" i="1"/>
  <c r="BP374" i="1"/>
  <c r="BN374" i="1"/>
  <c r="Z374" i="1"/>
  <c r="BP382" i="1"/>
  <c r="BN382" i="1"/>
  <c r="Z382" i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Z436" i="1"/>
  <c r="BP434" i="1"/>
  <c r="BN434" i="1"/>
  <c r="Z434" i="1"/>
  <c r="Y436" i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O560" i="1"/>
  <c r="BP282" i="1"/>
  <c r="BN282" i="1"/>
  <c r="Z282" i="1"/>
  <c r="BP286" i="1"/>
  <c r="BN286" i="1"/>
  <c r="Z286" i="1"/>
  <c r="BP290" i="1"/>
  <c r="BN290" i="1"/>
  <c r="Z290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Z368" i="1"/>
  <c r="BP364" i="1"/>
  <c r="BN364" i="1"/>
  <c r="Z364" i="1"/>
  <c r="Y368" i="1"/>
  <c r="BP372" i="1"/>
  <c r="BN372" i="1"/>
  <c r="Z372" i="1"/>
  <c r="Z378" i="1" s="1"/>
  <c r="BP376" i="1"/>
  <c r="BN376" i="1"/>
  <c r="Z376" i="1"/>
  <c r="BP384" i="1"/>
  <c r="BN384" i="1"/>
  <c r="Z384" i="1"/>
  <c r="Y386" i="1"/>
  <c r="Y391" i="1"/>
  <c r="BP388" i="1"/>
  <c r="BN388" i="1"/>
  <c r="Z388" i="1"/>
  <c r="BP396" i="1"/>
  <c r="BN396" i="1"/>
  <c r="Z396" i="1"/>
  <c r="BP446" i="1"/>
  <c r="BN446" i="1"/>
  <c r="Z446" i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Z463" i="1"/>
  <c r="BP461" i="1"/>
  <c r="BN461" i="1"/>
  <c r="Z461" i="1"/>
  <c r="BP496" i="1"/>
  <c r="BN496" i="1"/>
  <c r="Z496" i="1"/>
  <c r="BP500" i="1"/>
  <c r="BN500" i="1"/>
  <c r="Z500" i="1"/>
  <c r="Z504" i="1" s="1"/>
  <c r="Y504" i="1"/>
  <c r="Z510" i="1"/>
  <c r="BP508" i="1"/>
  <c r="BN508" i="1"/>
  <c r="Z508" i="1"/>
  <c r="Y510" i="1"/>
  <c r="X560" i="1"/>
  <c r="Y474" i="1"/>
  <c r="BP471" i="1"/>
  <c r="BN471" i="1"/>
  <c r="Z471" i="1"/>
  <c r="Z490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Z520" i="1" s="1"/>
  <c r="Y543" i="1"/>
  <c r="Y560" i="1"/>
  <c r="Y505" i="1"/>
  <c r="Z308" i="1" l="1"/>
  <c r="Z188" i="1"/>
  <c r="Y554" i="1"/>
  <c r="Y550" i="1"/>
  <c r="Y552" i="1"/>
  <c r="Z404" i="1"/>
  <c r="Z391" i="1"/>
  <c r="Z347" i="1"/>
  <c r="Z322" i="1"/>
  <c r="Z430" i="1"/>
  <c r="Z410" i="1"/>
  <c r="Z398" i="1"/>
  <c r="Z385" i="1"/>
  <c r="Z331" i="1"/>
  <c r="Z292" i="1"/>
  <c r="Z251" i="1"/>
  <c r="Z245" i="1"/>
  <c r="Z194" i="1"/>
  <c r="Z169" i="1"/>
  <c r="Z143" i="1"/>
  <c r="Z136" i="1"/>
  <c r="Z109" i="1"/>
  <c r="Z555" i="1" s="1"/>
  <c r="Y551" i="1"/>
  <c r="Y553" i="1" l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<sst xmlns="http://schemas.openxmlformats.org/spreadsheetml/2006/main" count="2500" uniqueCount="907">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</sst>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33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84</v>
      </c>
      <c r="Y29" s="628">
        <f>IFERROR(IF(X29="",0,CEILING((X29/$H29),1)*$H29),"")</f>
        <v>84.600000000000009</v>
      </c>
      <c r="Z29" s="36">
        <f>IFERROR(IF(Y29=0,"",ROUNDUP(Y29/H29,0)*0.00651),"")</f>
        <v>0.30597000000000002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148.4</v>
      </c>
      <c r="BN29" s="64">
        <f>IFERROR(Y29*I29/H29,"0")</f>
        <v>149.46</v>
      </c>
      <c r="BO29" s="64">
        <f>IFERROR(1/J29*(X29/H29),"0")</f>
        <v>0.25641025641025644</v>
      </c>
      <c r="BP29" s="64">
        <f>IFERROR(1/J29*(Y29/H29),"0")</f>
        <v>0.25824175824175832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60</v>
      </c>
      <c r="Y30" s="628">
        <f>IFERROR(IF(X30="",0,CEILING((X30/$H30),1)*$H30),"")</f>
        <v>61.2</v>
      </c>
      <c r="Z30" s="36">
        <f>IFERROR(IF(Y30=0,"",ROUNDUP(Y30/H30,0)*0.00651),"")</f>
        <v>0.22134000000000001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106</v>
      </c>
      <c r="BN30" s="64">
        <f>IFERROR(Y30*I30/H30,"0")</f>
        <v>108.12</v>
      </c>
      <c r="BO30" s="64">
        <f>IFERROR(1/J30*(X30/H30),"0")</f>
        <v>0.18315018315018317</v>
      </c>
      <c r="BP30" s="64">
        <f>IFERROR(1/J30*(Y30/H30),"0")</f>
        <v>0.18681318681318682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80</v>
      </c>
      <c r="Y32" s="629">
        <f>IFERROR(Y27/H27,"0")+IFERROR(Y28/H28,"0")+IFERROR(Y29/H29,"0")+IFERROR(Y30/H30,"0")+IFERROR(Y31/H31,"0")</f>
        <v>81</v>
      </c>
      <c r="Z32" s="629">
        <f>IFERROR(IF(Z27="",0,Z27),"0")+IFERROR(IF(Z28="",0,Z28),"0")+IFERROR(IF(Z29="",0,Z29),"0")+IFERROR(IF(Z30="",0,Z30),"0")+IFERROR(IF(Z31="",0,Z31),"0")</f>
        <v>0.52731000000000006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144</v>
      </c>
      <c r="Y33" s="629">
        <f>IFERROR(SUM(Y27:Y31),"0")</f>
        <v>145.80000000000001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78</v>
      </c>
      <c r="Y54" s="628">
        <f>IFERROR(IF(X54="",0,CEILING((X54/$H54),1)*$H54),"")</f>
        <v>81.400000000000006</v>
      </c>
      <c r="Z54" s="36">
        <f>IFERROR(IF(Y54=0,"",ROUNDUP(Y54/H54,0)*0.00902),"")</f>
        <v>0.19844000000000001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82.005405405405412</v>
      </c>
      <c r="BN54" s="64">
        <f>IFERROR(Y54*I54/H54,"0")</f>
        <v>85.58</v>
      </c>
      <c r="BO54" s="64">
        <f>IFERROR(1/J54*(X54/H54),"0")</f>
        <v>0.15970515970515969</v>
      </c>
      <c r="BP54" s="64">
        <f>IFERROR(1/J54*(Y54/H54),"0")</f>
        <v>0.16666666666666669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21.081081081081081</v>
      </c>
      <c r="Y55" s="629">
        <f>IFERROR(Y51/H51,"0")+IFERROR(Y52/H52,"0")+IFERROR(Y53/H53,"0")+IFERROR(Y54/H54,"0")</f>
        <v>22</v>
      </c>
      <c r="Z55" s="629">
        <f>IFERROR(IF(Z51="",0,Z51),"0")+IFERROR(IF(Z52="",0,Z52),"0")+IFERROR(IF(Z53="",0,Z53),"0")+IFERROR(IF(Z54="",0,Z54),"0")</f>
        <v>0.19844000000000001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78</v>
      </c>
      <c r="Y56" s="629">
        <f>IFERROR(SUM(Y51:Y54),"0")</f>
        <v>81.400000000000006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290</v>
      </c>
      <c r="Y59" s="628">
        <f t="shared" ref="Y59:Y66" si="0">IFERROR(IF(X59="",0,CEILING((X59/$H59),1)*$H59),"")</f>
        <v>291.2</v>
      </c>
      <c r="Z59" s="36">
        <f>IFERROR(IF(Y59=0,"",ROUNDUP(Y59/H59,0)*0.01898),"")</f>
        <v>0.49348000000000003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300.61607142857139</v>
      </c>
      <c r="BN59" s="64">
        <f t="shared" ref="BN59:BN66" si="2">IFERROR(Y59*I59/H59,"0")</f>
        <v>301.86</v>
      </c>
      <c r="BO59" s="64">
        <f t="shared" ref="BO59:BO66" si="3">IFERROR(1/J59*(X59/H59),"0")</f>
        <v>0.4045758928571429</v>
      </c>
      <c r="BP59" s="64">
        <f t="shared" ref="BP59:BP66" si="4">IFERROR(1/J59*(Y59/H59),"0")</f>
        <v>0.40625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511</v>
      </c>
      <c r="Y61" s="628">
        <f t="shared" si="0"/>
        <v>518.40000000000009</v>
      </c>
      <c r="Z61" s="36">
        <f>IFERROR(IF(Y61=0,"",ROUNDUP(Y61/H61,0)*0.01898),"")</f>
        <v>0.91104000000000007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530.39907407407406</v>
      </c>
      <c r="BN61" s="64">
        <f t="shared" si="2"/>
        <v>538.08000000000004</v>
      </c>
      <c r="BO61" s="64">
        <f t="shared" si="3"/>
        <v>0.7392939814814814</v>
      </c>
      <c r="BP61" s="64">
        <f t="shared" si="4"/>
        <v>0.75000000000000011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73.207671957671948</v>
      </c>
      <c r="Y67" s="629">
        <f>IFERROR(Y59/H59,"0")+IFERROR(Y60/H60,"0")+IFERROR(Y61/H61,"0")+IFERROR(Y62/H62,"0")+IFERROR(Y63/H63,"0")+IFERROR(Y64/H64,"0")+IFERROR(Y65/H65,"0")+IFERROR(Y66/H66,"0")</f>
        <v>74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1.4045200000000002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801</v>
      </c>
      <c r="Y68" s="629">
        <f>IFERROR(SUM(Y59:Y66),"0")</f>
        <v>809.60000000000014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292</v>
      </c>
      <c r="Y70" s="628">
        <f>IFERROR(IF(X70="",0,CEILING((X70/$H70),1)*$H70),"")</f>
        <v>302.40000000000003</v>
      </c>
      <c r="Z70" s="36">
        <f>IFERROR(IF(Y70=0,"",ROUNDUP(Y70/H70,0)*0.01898),"")</f>
        <v>0.53144000000000002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303.0851851851852</v>
      </c>
      <c r="BN70" s="64">
        <f>IFERROR(Y70*I70/H70,"0")</f>
        <v>313.88</v>
      </c>
      <c r="BO70" s="64">
        <f>IFERROR(1/J70*(X70/H70),"0")</f>
        <v>0.42245370370370366</v>
      </c>
      <c r="BP70" s="64">
        <f>IFERROR(1/J70*(Y70/H70),"0")</f>
        <v>0.4375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27.037037037037035</v>
      </c>
      <c r="Y74" s="629">
        <f>IFERROR(Y70/H70,"0")+IFERROR(Y71/H71,"0")+IFERROR(Y72/H72,"0")+IFERROR(Y73/H73,"0")</f>
        <v>28</v>
      </c>
      <c r="Z74" s="629">
        <f>IFERROR(IF(Z70="",0,Z70),"0")+IFERROR(IF(Z71="",0,Z71),"0")+IFERROR(IF(Z72="",0,Z72),"0")+IFERROR(IF(Z73="",0,Z73),"0")</f>
        <v>0.53144000000000002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292</v>
      </c>
      <c r="Y75" s="629">
        <f>IFERROR(SUM(Y70:Y73),"0")</f>
        <v>302.40000000000003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719</v>
      </c>
      <c r="Y82" s="628">
        <f>IFERROR(IF(X82="",0,CEILING((X82/$H82),1)*$H82),"")</f>
        <v>725.4</v>
      </c>
      <c r="Z82" s="36">
        <f>IFERROR(IF(Y82=0,"",ROUNDUP(Y82/H82,0)*0.01898),"")</f>
        <v>1.7651399999999999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756.79358974358991</v>
      </c>
      <c r="BN82" s="64">
        <f>IFERROR(Y82*I82/H82,"0")</f>
        <v>763.53000000000009</v>
      </c>
      <c r="BO82" s="64">
        <f>IFERROR(1/J82*(X82/H82),"0")</f>
        <v>1.4403044871794872</v>
      </c>
      <c r="BP82" s="64">
        <f>IFERROR(1/J82*(Y82/H82),"0")</f>
        <v>1.453125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92.179487179487182</v>
      </c>
      <c r="Y84" s="629">
        <f>IFERROR(Y82/H82,"0")+IFERROR(Y83/H83,"0")</f>
        <v>93</v>
      </c>
      <c r="Z84" s="629">
        <f>IFERROR(IF(Z82="",0,Z82),"0")+IFERROR(IF(Z83="",0,Z83),"0")</f>
        <v>1.7651399999999999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719</v>
      </c>
      <c r="Y85" s="629">
        <f>IFERROR(SUM(Y82:Y83),"0")</f>
        <v>725.4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311</v>
      </c>
      <c r="Y88" s="628">
        <f>IFERROR(IF(X88="",0,CEILING((X88/$H88),1)*$H88),"")</f>
        <v>313.20000000000005</v>
      </c>
      <c r="Z88" s="36">
        <f>IFERROR(IF(Y88=0,"",ROUNDUP(Y88/H88,0)*0.01898),"")</f>
        <v>0.55042000000000002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322.80648148148151</v>
      </c>
      <c r="BN88" s="64">
        <f>IFERROR(Y88*I88/H88,"0")</f>
        <v>325.09000000000003</v>
      </c>
      <c r="BO88" s="64">
        <f>IFERROR(1/J88*(X88/H88),"0")</f>
        <v>0.44994212962962959</v>
      </c>
      <c r="BP88" s="64">
        <f>IFERROR(1/J88*(Y88/H88),"0")</f>
        <v>0.45312500000000006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28.796296296296294</v>
      </c>
      <c r="Y92" s="629">
        <f>IFERROR(Y88/H88,"0")+IFERROR(Y89/H89,"0")+IFERROR(Y90/H90,"0")+IFERROR(Y91/H91,"0")</f>
        <v>29.000000000000004</v>
      </c>
      <c r="Z92" s="629">
        <f>IFERROR(IF(Z88="",0,Z88),"0")+IFERROR(IF(Z89="",0,Z89),"0")+IFERROR(IF(Z90="",0,Z90),"0")+IFERROR(IF(Z91="",0,Z91),"0")</f>
        <v>0.55042000000000002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311</v>
      </c>
      <c r="Y93" s="629">
        <f>IFERROR(SUM(Y88:Y91),"0")</f>
        <v>313.20000000000005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500</v>
      </c>
      <c r="Y95" s="628">
        <f>IFERROR(IF(X95="",0,CEILING((X95/$H95),1)*$H95),"")</f>
        <v>502.2</v>
      </c>
      <c r="Z95" s="36">
        <f>IFERROR(IF(Y95=0,"",ROUNDUP(Y95/H95,0)*0.01898),"")</f>
        <v>1.17676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530.49382716049388</v>
      </c>
      <c r="BN95" s="64">
        <f>IFERROR(Y95*I95/H95,"0")</f>
        <v>532.82799999999997</v>
      </c>
      <c r="BO95" s="64">
        <f>IFERROR(1/J95*(X95/H95),"0")</f>
        <v>0.96450617283950624</v>
      </c>
      <c r="BP95" s="64">
        <f>IFERROR(1/J95*(Y95/H95),"0")</f>
        <v>0.96875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135</v>
      </c>
      <c r="Y97" s="628">
        <f>IFERROR(IF(X97="",0,CEILING((X97/$H97),1)*$H97),"")</f>
        <v>135</v>
      </c>
      <c r="Z97" s="36">
        <f>IFERROR(IF(Y97=0,"",ROUNDUP(Y97/H97,0)*0.00651),"")</f>
        <v>0.32550000000000001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147.6</v>
      </c>
      <c r="BN97" s="64">
        <f>IFERROR(Y97*I97/H97,"0")</f>
        <v>147.6</v>
      </c>
      <c r="BO97" s="64">
        <f>IFERROR(1/J97*(X97/H97),"0")</f>
        <v>0.27472527472527475</v>
      </c>
      <c r="BP97" s="64">
        <f>IFERROR(1/J97*(Y97/H97),"0")</f>
        <v>0.27472527472527475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111.72839506172841</v>
      </c>
      <c r="Y99" s="629">
        <f>IFERROR(Y95/H95,"0")+IFERROR(Y96/H96,"0")+IFERROR(Y97/H97,"0")+IFERROR(Y98/H98,"0")</f>
        <v>112</v>
      </c>
      <c r="Z99" s="629">
        <f>IFERROR(IF(Z95="",0,Z95),"0")+IFERROR(IF(Z96="",0,Z96),"0")+IFERROR(IF(Z97="",0,Z97),"0")+IFERROR(IF(Z98="",0,Z98),"0")</f>
        <v>1.5022600000000002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635</v>
      </c>
      <c r="Y100" s="629">
        <f>IFERROR(SUM(Y95:Y98),"0")</f>
        <v>637.20000000000005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349</v>
      </c>
      <c r="Y103" s="628">
        <f t="shared" ref="Y103:Y108" si="5">IFERROR(IF(X103="",0,CEILING((X103/$H103),1)*$H103),"")</f>
        <v>356.40000000000003</v>
      </c>
      <c r="Z103" s="36">
        <f>IFERROR(IF(Y103=0,"",ROUNDUP(Y103/H103,0)*0.01898),"")</f>
        <v>0.62634000000000001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362.24907407407409</v>
      </c>
      <c r="BN103" s="64">
        <f t="shared" ref="BN103:BN108" si="7">IFERROR(Y103*I103/H103,"0")</f>
        <v>369.93</v>
      </c>
      <c r="BO103" s="64">
        <f t="shared" ref="BO103:BO108" si="8">IFERROR(1/J103*(X103/H103),"0")</f>
        <v>0.5049189814814814</v>
      </c>
      <c r="BP103" s="64">
        <f t="shared" ref="BP103:BP108" si="9">IFERROR(1/J103*(Y103/H103),"0")</f>
        <v>0.515625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32.31481481481481</v>
      </c>
      <c r="Y109" s="629">
        <f>IFERROR(Y103/H103,"0")+IFERROR(Y104/H104,"0")+IFERROR(Y105/H105,"0")+IFERROR(Y106/H106,"0")+IFERROR(Y107/H107,"0")+IFERROR(Y108/H108,"0")</f>
        <v>33</v>
      </c>
      <c r="Z109" s="629">
        <f>IFERROR(IF(Z103="",0,Z103),"0")+IFERROR(IF(Z104="",0,Z104),"0")+IFERROR(IF(Z105="",0,Z105),"0")+IFERROR(IF(Z106="",0,Z106),"0")+IFERROR(IF(Z107="",0,Z107),"0")+IFERROR(IF(Z108="",0,Z108),"0")</f>
        <v>0.62634000000000001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349</v>
      </c>
      <c r="Y110" s="629">
        <f>IFERROR(SUM(Y103:Y108),"0")</f>
        <v>356.40000000000003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53</v>
      </c>
      <c r="Y112" s="628">
        <f>IFERROR(IF(X112="",0,CEILING((X112/$H112),1)*$H112),"")</f>
        <v>54</v>
      </c>
      <c r="Z112" s="36">
        <f>IFERROR(IF(Y112=0,"",ROUNDUP(Y112/H112,0)*0.01898),"")</f>
        <v>9.4899999999999998E-2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55.012037037037032</v>
      </c>
      <c r="BN112" s="64">
        <f>IFERROR(Y112*I112/H112,"0")</f>
        <v>56.05</v>
      </c>
      <c r="BO112" s="64">
        <f>IFERROR(1/J112*(X112/H112),"0")</f>
        <v>7.6678240740740741E-2</v>
      </c>
      <c r="BP112" s="64">
        <f>IFERROR(1/J112*(Y112/H112),"0")</f>
        <v>7.8125E-2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21</v>
      </c>
      <c r="Y116" s="628">
        <f>IFERROR(IF(X116="",0,CEILING((X116/$H116),1)*$H116),"")</f>
        <v>21.599999999999998</v>
      </c>
      <c r="Z116" s="36">
        <f>IFERROR(IF(Y116=0,"",ROUNDUP(Y116/H116,0)*0.00651),"")</f>
        <v>5.8590000000000003E-2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22.574999999999999</v>
      </c>
      <c r="BN116" s="64">
        <f>IFERROR(Y116*I116/H116,"0")</f>
        <v>23.22</v>
      </c>
      <c r="BO116" s="64">
        <f>IFERROR(1/J116*(X116/H116),"0")</f>
        <v>4.807692307692308E-2</v>
      </c>
      <c r="BP116" s="64">
        <f>IFERROR(1/J116*(Y116/H116),"0")</f>
        <v>4.9450549450549455E-2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13.657407407407408</v>
      </c>
      <c r="Y117" s="629">
        <f>IFERROR(Y112/H112,"0")+IFERROR(Y113/H113,"0")+IFERROR(Y114/H114,"0")+IFERROR(Y115/H115,"0")+IFERROR(Y116/H116,"0")</f>
        <v>14</v>
      </c>
      <c r="Z117" s="629">
        <f>IFERROR(IF(Z112="",0,Z112),"0")+IFERROR(IF(Z113="",0,Z113),"0")+IFERROR(IF(Z114="",0,Z114),"0")+IFERROR(IF(Z115="",0,Z115),"0")+IFERROR(IF(Z116="",0,Z116),"0")</f>
        <v>0.15349000000000002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74</v>
      </c>
      <c r="Y118" s="629">
        <f>IFERROR(SUM(Y112:Y116),"0")</f>
        <v>75.599999999999994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400</v>
      </c>
      <c r="Y120" s="628">
        <f>IFERROR(IF(X120="",0,CEILING((X120/$H120),1)*$H120),"")</f>
        <v>405</v>
      </c>
      <c r="Z120" s="36">
        <f>IFERROR(IF(Y120=0,"",ROUNDUP(Y120/H120,0)*0.01898),"")</f>
        <v>0.94900000000000007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424.09876543209879</v>
      </c>
      <c r="BN120" s="64">
        <f>IFERROR(Y120*I120/H120,"0")</f>
        <v>429.4</v>
      </c>
      <c r="BO120" s="64">
        <f>IFERROR(1/J120*(X120/H120),"0")</f>
        <v>0.77160493827160492</v>
      </c>
      <c r="BP120" s="64">
        <f>IFERROR(1/J120*(Y120/H120),"0")</f>
        <v>0.78125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225</v>
      </c>
      <c r="Y122" s="628">
        <f>IFERROR(IF(X122="",0,CEILING((X122/$H122),1)*$H122),"")</f>
        <v>226.8</v>
      </c>
      <c r="Z122" s="36">
        <f>IFERROR(IF(Y122=0,"",ROUNDUP(Y122/H122,0)*0.00651),"")</f>
        <v>0.54683999999999999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246</v>
      </c>
      <c r="BN122" s="64">
        <f>IFERROR(Y122*I122/H122,"0")</f>
        <v>247.96799999999999</v>
      </c>
      <c r="BO122" s="64">
        <f>IFERROR(1/J122*(X122/H122),"0")</f>
        <v>0.45787545787545786</v>
      </c>
      <c r="BP122" s="64">
        <f>IFERROR(1/J122*(Y122/H122),"0")</f>
        <v>0.46153846153846156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132.71604938271605</v>
      </c>
      <c r="Y124" s="629">
        <f>IFERROR(Y120/H120,"0")+IFERROR(Y121/H121,"0")+IFERROR(Y122/H122,"0")+IFERROR(Y123/H123,"0")</f>
        <v>134</v>
      </c>
      <c r="Z124" s="629">
        <f>IFERROR(IF(Z120="",0,Z120),"0")+IFERROR(IF(Z121="",0,Z121),"0")+IFERROR(IF(Z122="",0,Z122),"0")+IFERROR(IF(Z123="",0,Z123),"0")</f>
        <v>1.4958400000000001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625</v>
      </c>
      <c r="Y125" s="629">
        <f>IFERROR(SUM(Y120:Y123),"0")</f>
        <v>631.79999999999995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13</v>
      </c>
      <c r="Y127" s="628">
        <f>IFERROR(IF(X127="",0,CEILING((X127/$H127),1)*$H127),"")</f>
        <v>13.86</v>
      </c>
      <c r="Z127" s="36">
        <f>IFERROR(IF(Y127=0,"",ROUNDUP(Y127/H127,0)*0.00651),"")</f>
        <v>4.5569999999999999E-2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14.693939393939395</v>
      </c>
      <c r="BN127" s="64">
        <f>IFERROR(Y127*I127/H127,"0")</f>
        <v>15.666</v>
      </c>
      <c r="BO127" s="64">
        <f>IFERROR(1/J127*(X127/H127),"0")</f>
        <v>3.6075036075036079E-2</v>
      </c>
      <c r="BP127" s="64">
        <f>IFERROR(1/J127*(Y127/H127),"0")</f>
        <v>3.8461538461538464E-2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6.5656565656565657</v>
      </c>
      <c r="Y128" s="629">
        <f>IFERROR(Y127/H127,"0")</f>
        <v>7</v>
      </c>
      <c r="Z128" s="629">
        <f>IFERROR(IF(Z127="",0,Z127),"0")</f>
        <v>4.5569999999999999E-2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13</v>
      </c>
      <c r="Y129" s="629">
        <f>IFERROR(SUM(Y127:Y127),"0")</f>
        <v>13.86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21</v>
      </c>
      <c r="Y134" s="628">
        <f>IFERROR(IF(X134="",0,CEILING((X134/$H134),1)*$H134),"")</f>
        <v>22.400000000000002</v>
      </c>
      <c r="Z134" s="36">
        <f>IFERROR(IF(Y134=0,"",ROUNDUP(Y134/H134,0)*0.00651),"")</f>
        <v>4.5569999999999999E-2</v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22.181249999999999</v>
      </c>
      <c r="BN134" s="64">
        <f>IFERROR(Y134*I134/H134,"0")</f>
        <v>23.66</v>
      </c>
      <c r="BO134" s="64">
        <f>IFERROR(1/J134*(X134/H134),"0")</f>
        <v>3.6057692307692311E-2</v>
      </c>
      <c r="BP134" s="64">
        <f>IFERROR(1/J134*(Y134/H134),"0")</f>
        <v>3.8461538461538464E-2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6.5625</v>
      </c>
      <c r="Y136" s="629">
        <f>IFERROR(Y132/H132,"0")+IFERROR(Y133/H133,"0")+IFERROR(Y134/H134,"0")+IFERROR(Y135/H135,"0")</f>
        <v>7</v>
      </c>
      <c r="Z136" s="629">
        <f>IFERROR(IF(Z132="",0,Z132),"0")+IFERROR(IF(Z133="",0,Z133),"0")+IFERROR(IF(Z134="",0,Z134),"0")+IFERROR(IF(Z135="",0,Z135),"0")</f>
        <v>4.5569999999999999E-2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21</v>
      </c>
      <c r="Y137" s="629">
        <f>IFERROR(SUM(Y132:Y135),"0")</f>
        <v>22.400000000000002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22</v>
      </c>
      <c r="Y141" s="628">
        <f>IFERROR(IF(X141="",0,CEILING((X141/$H141),1)*$H141),"")</f>
        <v>22.4</v>
      </c>
      <c r="Z141" s="36">
        <f>IFERROR(IF(Y141=0,"",ROUNDUP(Y141/H141,0)*0.00651),"")</f>
        <v>5.2080000000000001E-2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24.105714285714285</v>
      </c>
      <c r="BN141" s="64">
        <f>IFERROR(Y141*I141/H141,"0")</f>
        <v>24.543999999999997</v>
      </c>
      <c r="BO141" s="64">
        <f>IFERROR(1/J141*(X141/H141),"0")</f>
        <v>4.3171114599686033E-2</v>
      </c>
      <c r="BP141" s="64">
        <f>IFERROR(1/J141*(Y141/H141),"0")</f>
        <v>4.3956043956043959E-2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7.8571428571428577</v>
      </c>
      <c r="Y143" s="629">
        <f>IFERROR(Y139/H139,"0")+IFERROR(Y140/H140,"0")+IFERROR(Y141/H141,"0")+IFERROR(Y142/H142,"0")</f>
        <v>8</v>
      </c>
      <c r="Z143" s="629">
        <f>IFERROR(IF(Z139="",0,Z139),"0")+IFERROR(IF(Z140="",0,Z140),"0")+IFERROR(IF(Z141="",0,Z141),"0")+IFERROR(IF(Z142="",0,Z142),"0")</f>
        <v>5.2080000000000001E-2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22</v>
      </c>
      <c r="Y144" s="629">
        <f>IFERROR(SUM(Y139:Y142),"0")</f>
        <v>22.4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29</v>
      </c>
      <c r="Y148" s="628">
        <f>IFERROR(IF(X148="",0,CEILING((X148/$H148),1)*$H148),"")</f>
        <v>29.040000000000003</v>
      </c>
      <c r="Z148" s="36">
        <f>IFERROR(IF(Y148=0,"",ROUNDUP(Y148/H148,0)*0.00651),"")</f>
        <v>7.1610000000000007E-2</v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31.943939393939392</v>
      </c>
      <c r="BN148" s="64">
        <f>IFERROR(Y148*I148/H148,"0")</f>
        <v>31.988000000000003</v>
      </c>
      <c r="BO148" s="64">
        <f>IFERROR(1/J148*(X148/H148),"0")</f>
        <v>6.035631035631036E-2</v>
      </c>
      <c r="BP148" s="64">
        <f>IFERROR(1/J148*(Y148/H148),"0")</f>
        <v>6.0439560439560447E-2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10.984848484848484</v>
      </c>
      <c r="Y150" s="629">
        <f>IFERROR(Y146/H146,"0")+IFERROR(Y147/H147,"0")+IFERROR(Y148/H148,"0")+IFERROR(Y149/H149,"0")</f>
        <v>11</v>
      </c>
      <c r="Z150" s="629">
        <f>IFERROR(IF(Z146="",0,Z146),"0")+IFERROR(IF(Z147="",0,Z147),"0")+IFERROR(IF(Z148="",0,Z148),"0")+IFERROR(IF(Z149="",0,Z149),"0")</f>
        <v>7.1610000000000007E-2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29</v>
      </c>
      <c r="Y151" s="629">
        <f>IFERROR(SUM(Y146:Y149),"0")</f>
        <v>29.040000000000003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381</v>
      </c>
      <c r="Y179" s="628">
        <f t="shared" si="10"/>
        <v>381.5</v>
      </c>
      <c r="Z179" s="36">
        <f>IFERROR(IF(Y179=0,"",ROUNDUP(Y179/H179,0)*0.00902),"")</f>
        <v>0.98318000000000005</v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401.68285714285713</v>
      </c>
      <c r="BN179" s="64">
        <f t="shared" si="12"/>
        <v>402.21</v>
      </c>
      <c r="BO179" s="64">
        <f t="shared" si="13"/>
        <v>0.82467532467532478</v>
      </c>
      <c r="BP179" s="64">
        <f t="shared" si="14"/>
        <v>0.8257575757575758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440</v>
      </c>
      <c r="Y180" s="628">
        <f t="shared" si="10"/>
        <v>441</v>
      </c>
      <c r="Z180" s="36">
        <f>IFERROR(IF(Y180=0,"",ROUNDUP(Y180/H180,0)*0.00902),"")</f>
        <v>1.13652</v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463.88571428571424</v>
      </c>
      <c r="BN180" s="64">
        <f t="shared" si="12"/>
        <v>464.94</v>
      </c>
      <c r="BO180" s="64">
        <f t="shared" si="13"/>
        <v>0.95238095238095233</v>
      </c>
      <c r="BP180" s="64">
        <f t="shared" si="14"/>
        <v>0.95454545454545459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106</v>
      </c>
      <c r="Y182" s="628">
        <f t="shared" si="10"/>
        <v>107.52</v>
      </c>
      <c r="Z182" s="36">
        <f>IFERROR(IF(Y182=0,"",ROUNDUP(Y182/H182,0)*0.00502),"")</f>
        <v>0.32128000000000001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112.30952380952382</v>
      </c>
      <c r="BN182" s="64">
        <f t="shared" si="12"/>
        <v>113.91999999999999</v>
      </c>
      <c r="BO182" s="64">
        <f t="shared" si="13"/>
        <v>0.26963776963776964</v>
      </c>
      <c r="BP182" s="64">
        <f t="shared" si="14"/>
        <v>0.27350427350427353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105</v>
      </c>
      <c r="Y187" s="628">
        <f t="shared" si="10"/>
        <v>105.83999999999999</v>
      </c>
      <c r="Z187" s="36">
        <f>IFERROR(IF(Y187=0,"",ROUNDUP(Y187/H187,0)*0.00502),"")</f>
        <v>0.31625999999999999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111.25000000000001</v>
      </c>
      <c r="BN187" s="64">
        <f t="shared" si="12"/>
        <v>112.14</v>
      </c>
      <c r="BO187" s="64">
        <f t="shared" si="13"/>
        <v>0.26709401709401714</v>
      </c>
      <c r="BP187" s="64">
        <f t="shared" si="14"/>
        <v>0.26923076923076922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360.16666666666663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362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2.7572399999999995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1032</v>
      </c>
      <c r="Y189" s="629">
        <f>IFERROR(SUM(Y177:Y187),"0")</f>
        <v>1035.8599999999999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52</v>
      </c>
      <c r="Y223" s="628">
        <f t="shared" ref="Y223:Y236" si="21">IFERROR(IF(X223="",0,CEILING((X223/$H223),1)*$H223),"")</f>
        <v>54.6</v>
      </c>
      <c r="Z223" s="36">
        <f>IFERROR(IF(Y223=0,"",ROUNDUP(Y223/H223,0)*0.00902),"")</f>
        <v>0.11726</v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55.095238095238095</v>
      </c>
      <c r="BN223" s="64">
        <f t="shared" ref="BN223:BN236" si="23">IFERROR(Y223*I223/H223,"0")</f>
        <v>57.85</v>
      </c>
      <c r="BO223" s="64">
        <f t="shared" ref="BO223:BO236" si="24">IFERROR(1/J223*(X223/H223),"0")</f>
        <v>9.3795093795093792E-2</v>
      </c>
      <c r="BP223" s="64">
        <f t="shared" ref="BP223:BP236" si="25">IFERROR(1/J223*(Y223/H223),"0")</f>
        <v>9.8484848484848481E-2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10</v>
      </c>
      <c r="Y226" s="628">
        <f t="shared" si="21"/>
        <v>10.4</v>
      </c>
      <c r="Z226" s="36">
        <f>IFERROR(IF(Y226=0,"",ROUNDUP(Y226/H226,0)*0.00556),"")</f>
        <v>7.2279999999999997E-2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11.625</v>
      </c>
      <c r="BN226" s="64">
        <f t="shared" si="23"/>
        <v>12.09</v>
      </c>
      <c r="BO226" s="64">
        <f t="shared" si="24"/>
        <v>4.96031746031746E-2</v>
      </c>
      <c r="BP226" s="64">
        <f t="shared" si="25"/>
        <v>5.1587301587301584E-2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87</v>
      </c>
      <c r="Y227" s="628">
        <f t="shared" si="21"/>
        <v>88.2</v>
      </c>
      <c r="Z227" s="36">
        <f t="shared" ref="Z227:Z232" si="26">IFERROR(IF(Y227=0,"",ROUNDUP(Y227/H227,0)*0.00502),"")</f>
        <v>0.21084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92.385714285714272</v>
      </c>
      <c r="BN227" s="64">
        <f t="shared" si="23"/>
        <v>93.66</v>
      </c>
      <c r="BO227" s="64">
        <f t="shared" si="24"/>
        <v>0.17704517704517705</v>
      </c>
      <c r="BP227" s="64">
        <f t="shared" si="25"/>
        <v>0.17948717948717952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81</v>
      </c>
      <c r="Y232" s="628">
        <f t="shared" si="21"/>
        <v>81</v>
      </c>
      <c r="Z232" s="36">
        <f t="shared" si="26"/>
        <v>0.22590000000000002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86.85</v>
      </c>
      <c r="BN232" s="64">
        <f t="shared" si="23"/>
        <v>86.85</v>
      </c>
      <c r="BO232" s="64">
        <f t="shared" si="24"/>
        <v>0.19230769230769232</v>
      </c>
      <c r="BP232" s="64">
        <f t="shared" si="25"/>
        <v>0.19230769230769232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12</v>
      </c>
      <c r="Y233" s="628">
        <f t="shared" si="21"/>
        <v>12</v>
      </c>
      <c r="Z233" s="36">
        <f>IFERROR(IF(Y233=0,"",ROUNDUP(Y233/H233,0)*0.00417),"")</f>
        <v>6.2549999999999994E-2</v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15.15</v>
      </c>
      <c r="BN233" s="64">
        <f t="shared" si="23"/>
        <v>15.15</v>
      </c>
      <c r="BO233" s="64">
        <f t="shared" si="24"/>
        <v>4.4642857142857137E-2</v>
      </c>
      <c r="BP233" s="64">
        <f t="shared" si="25"/>
        <v>4.4642857142857137E-2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126.3095238095238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128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0.68882999999999994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242</v>
      </c>
      <c r="Y238" s="629">
        <f>IFERROR(SUM(Y223:Y236),"0")</f>
        <v>246.2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17</v>
      </c>
      <c r="Y250" s="628">
        <f>IFERROR(IF(X250="",0,CEILING((X250/$H250),1)*$H250),"")</f>
        <v>17.64</v>
      </c>
      <c r="Z250" s="36">
        <f>IFERROR(IF(Y250=0,"",ROUNDUP(Y250/H250,0)*0.0059),"")</f>
        <v>8.2599999999999993E-2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19.563492063492063</v>
      </c>
      <c r="BN250" s="64">
        <f>IFERROR(Y250*I250/H250,"0")</f>
        <v>20.3</v>
      </c>
      <c r="BO250" s="64">
        <f>IFERROR(1/J250*(X250/H250),"0")</f>
        <v>6.2463256907701346E-2</v>
      </c>
      <c r="BP250" s="64">
        <f>IFERROR(1/J250*(Y250/H250),"0")</f>
        <v>6.4814814814814811E-2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13.492063492063492</v>
      </c>
      <c r="Y251" s="629">
        <f>IFERROR(Y248/H248,"0")+IFERROR(Y249/H249,"0")+IFERROR(Y250/H250,"0")</f>
        <v>14</v>
      </c>
      <c r="Z251" s="629">
        <f>IFERROR(IF(Z248="",0,Z248),"0")+IFERROR(IF(Z249="",0,Z249),"0")+IFERROR(IF(Z250="",0,Z250),"0")</f>
        <v>8.2599999999999993E-2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17</v>
      </c>
      <c r="Y252" s="629">
        <f>IFERROR(SUM(Y248:Y250),"0")</f>
        <v>17.64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6</v>
      </c>
      <c r="Y254" s="628">
        <f>IFERROR(IF(X254="",0,CEILING((X254/$H254),1)*$H254),"")</f>
        <v>6.3</v>
      </c>
      <c r="Z254" s="36">
        <f>IFERROR(IF(Y254=0,"",ROUNDUP(Y254/H254,0)*0.0059),"")</f>
        <v>2.9499999999999998E-2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6.9047619047619042</v>
      </c>
      <c r="BN254" s="64">
        <f>IFERROR(Y254*I254/H254,"0")</f>
        <v>7.25</v>
      </c>
      <c r="BO254" s="64">
        <f>IFERROR(1/J254*(X254/H254),"0")</f>
        <v>2.2045855379188711E-2</v>
      </c>
      <c r="BP254" s="64">
        <f>IFERROR(1/J254*(Y254/H254),"0")</f>
        <v>2.3148148148148147E-2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4.7619047619047619</v>
      </c>
      <c r="Y255" s="629">
        <f>IFERROR(Y254/H254,"0")</f>
        <v>5</v>
      </c>
      <c r="Z255" s="629">
        <f>IFERROR(IF(Z254="",0,Z254),"0")</f>
        <v>2.9499999999999998E-2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6</v>
      </c>
      <c r="Y256" s="629">
        <f>IFERROR(SUM(Y254:Y254),"0")</f>
        <v>6.3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138</v>
      </c>
      <c r="Y269" s="628">
        <f t="shared" ref="Y269:Y276" si="27">IFERROR(IF(X269="",0,CEILING((X269/$H269),1)*$H269),"")</f>
        <v>140.4</v>
      </c>
      <c r="Z269" s="36">
        <f>IFERROR(IF(Y269=0,"",ROUNDUP(Y269/H269,0)*0.00902),"")</f>
        <v>0.23452000000000001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142.85555555555553</v>
      </c>
      <c r="BN269" s="64">
        <f t="shared" ref="BN269:BN276" si="29">IFERROR(Y269*I269/H269,"0")</f>
        <v>145.34</v>
      </c>
      <c r="BO269" s="64">
        <f t="shared" ref="BO269:BO276" si="30">IFERROR(1/J269*(X269/H269),"0")</f>
        <v>0.19360269360269358</v>
      </c>
      <c r="BP269" s="64">
        <f t="shared" ref="BP269:BP276" si="31">IFERROR(1/J269*(Y269/H269),"0")</f>
        <v>0.19696969696969696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363</v>
      </c>
      <c r="Y270" s="628">
        <f t="shared" si="27"/>
        <v>367.20000000000005</v>
      </c>
      <c r="Z270" s="36">
        <f>IFERROR(IF(Y270=0,"",ROUNDUP(Y270/H270,0)*0.00902),"")</f>
        <v>0.61336000000000002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375.77222222222218</v>
      </c>
      <c r="BN270" s="64">
        <f t="shared" si="29"/>
        <v>380.12</v>
      </c>
      <c r="BO270" s="64">
        <f t="shared" si="30"/>
        <v>0.50925925925925919</v>
      </c>
      <c r="BP270" s="64">
        <f t="shared" si="31"/>
        <v>0.51515151515151514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597</v>
      </c>
      <c r="Y271" s="628">
        <f t="shared" si="27"/>
        <v>599.40000000000009</v>
      </c>
      <c r="Z271" s="36">
        <f>IFERROR(IF(Y271=0,"",ROUNDUP(Y271/H271,0)*0.00902),"")</f>
        <v>1.00122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618.00555555555547</v>
      </c>
      <c r="BN271" s="64">
        <f t="shared" si="29"/>
        <v>620.49000000000012</v>
      </c>
      <c r="BO271" s="64">
        <f t="shared" si="30"/>
        <v>0.83754208754208748</v>
      </c>
      <c r="BP271" s="64">
        <f t="shared" si="31"/>
        <v>0.84090909090909105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111</v>
      </c>
      <c r="Y272" s="628">
        <f t="shared" si="27"/>
        <v>113.4</v>
      </c>
      <c r="Z272" s="36">
        <f>IFERROR(IF(Y272=0,"",ROUNDUP(Y272/H272,0)*0.00902),"")</f>
        <v>0.18942000000000001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114.90555555555555</v>
      </c>
      <c r="BN272" s="64">
        <f t="shared" si="29"/>
        <v>117.39</v>
      </c>
      <c r="BO272" s="64">
        <f t="shared" si="30"/>
        <v>0.15572390572390571</v>
      </c>
      <c r="BP272" s="64">
        <f t="shared" si="31"/>
        <v>0.15909090909090909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183</v>
      </c>
      <c r="Y273" s="628">
        <f t="shared" si="27"/>
        <v>183.6</v>
      </c>
      <c r="Z273" s="36">
        <f>IFERROR(IF(Y273=0,"",ROUNDUP(Y273/H273,0)*0.00502),"")</f>
        <v>0.51204000000000005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196.21666666666667</v>
      </c>
      <c r="BN273" s="64">
        <f t="shared" si="29"/>
        <v>196.85999999999996</v>
      </c>
      <c r="BO273" s="64">
        <f t="shared" si="30"/>
        <v>0.4344729344729345</v>
      </c>
      <c r="BP273" s="64">
        <f t="shared" si="31"/>
        <v>0.43589743589743596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129</v>
      </c>
      <c r="Y274" s="628">
        <f t="shared" si="27"/>
        <v>129.6</v>
      </c>
      <c r="Z274" s="36">
        <f>IFERROR(IF(Y274=0,"",ROUNDUP(Y274/H274,0)*0.00502),"")</f>
        <v>0.36143999999999998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136.16666666666666</v>
      </c>
      <c r="BN274" s="64">
        <f t="shared" si="29"/>
        <v>136.79999999999998</v>
      </c>
      <c r="BO274" s="64">
        <f t="shared" si="30"/>
        <v>0.30626780626780631</v>
      </c>
      <c r="BP274" s="64">
        <f t="shared" si="31"/>
        <v>0.30769230769230771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60</v>
      </c>
      <c r="Y276" s="628">
        <f t="shared" si="27"/>
        <v>61.2</v>
      </c>
      <c r="Z276" s="36">
        <f>IFERROR(IF(Y276=0,"",ROUNDUP(Y276/H276,0)*0.00502),"")</f>
        <v>0.17068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63.333333333333329</v>
      </c>
      <c r="BN276" s="64">
        <f t="shared" si="29"/>
        <v>64.599999999999994</v>
      </c>
      <c r="BO276" s="64">
        <f t="shared" si="30"/>
        <v>0.14245014245014248</v>
      </c>
      <c r="BP276" s="64">
        <f t="shared" si="31"/>
        <v>0.14529914529914531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430.55555555555554</v>
      </c>
      <c r="Y277" s="629">
        <f>IFERROR(Y269/H269,"0")+IFERROR(Y270/H270,"0")+IFERROR(Y271/H271,"0")+IFERROR(Y272/H272,"0")+IFERROR(Y273/H273,"0")+IFERROR(Y274/H274,"0")+IFERROR(Y275/H275,"0")+IFERROR(Y276/H276,"0")</f>
        <v>434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3.0826799999999999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1581</v>
      </c>
      <c r="Y278" s="629">
        <f>IFERROR(SUM(Y269:Y276),"0")</f>
        <v>1594.8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120</v>
      </c>
      <c r="Y280" s="628">
        <f t="shared" ref="Y280:Y291" si="32">IFERROR(IF(X280="",0,CEILING((X280/$H280),1)*$H280),"")</f>
        <v>121.5</v>
      </c>
      <c r="Z280" s="36">
        <f>IFERROR(IF(Y280=0,"",ROUNDUP(Y280/H280,0)*0.01898),"")</f>
        <v>0.28470000000000001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127.31851851851852</v>
      </c>
      <c r="BN280" s="64">
        <f t="shared" ref="BN280:BN291" si="34">IFERROR(Y280*I280/H280,"0")</f>
        <v>128.91</v>
      </c>
      <c r="BO280" s="64">
        <f t="shared" ref="BO280:BO291" si="35">IFERROR(1/J280*(X280/H280),"0")</f>
        <v>0.23148148148148148</v>
      </c>
      <c r="BP280" s="64">
        <f t="shared" ref="BP280:BP291" si="36">IFERROR(1/J280*(Y280/H280),"0")</f>
        <v>0.234375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100</v>
      </c>
      <c r="Y281" s="628">
        <f t="shared" si="32"/>
        <v>105.3</v>
      </c>
      <c r="Z281" s="36">
        <f>IFERROR(IF(Y281=0,"",ROUNDUP(Y281/H281,0)*0.01898),"")</f>
        <v>0.24674000000000001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105.87654320987654</v>
      </c>
      <c r="BN281" s="64">
        <f t="shared" si="34"/>
        <v>111.48800000000001</v>
      </c>
      <c r="BO281" s="64">
        <f t="shared" si="35"/>
        <v>0.19290123456790123</v>
      </c>
      <c r="BP281" s="64">
        <f t="shared" si="36"/>
        <v>0.203125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550</v>
      </c>
      <c r="Y282" s="628">
        <f t="shared" si="32"/>
        <v>556.79999999999995</v>
      </c>
      <c r="Z282" s="36">
        <f>IFERROR(IF(Y282=0,"",ROUNDUP(Y282/H282,0)*0.01898),"")</f>
        <v>1.21472</v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581.22988505747139</v>
      </c>
      <c r="BN282" s="64">
        <f t="shared" si="34"/>
        <v>588.41600000000005</v>
      </c>
      <c r="BO282" s="64">
        <f t="shared" si="35"/>
        <v>0.98778735632183912</v>
      </c>
      <c r="BP282" s="64">
        <f t="shared" si="36"/>
        <v>1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281</v>
      </c>
      <c r="Y283" s="628">
        <f t="shared" si="32"/>
        <v>283.2</v>
      </c>
      <c r="Z283" s="36">
        <f>IFERROR(IF(Y283=0,"",ROUNDUP(Y283/H283,0)*0.00651),"")</f>
        <v>0.76817999999999997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312.61250000000001</v>
      </c>
      <c r="BN283" s="64">
        <f t="shared" si="34"/>
        <v>315.06</v>
      </c>
      <c r="BO283" s="64">
        <f t="shared" si="35"/>
        <v>0.64331501831501847</v>
      </c>
      <c r="BP283" s="64">
        <f t="shared" si="36"/>
        <v>0.64835164835164838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800</v>
      </c>
      <c r="Y286" s="628">
        <f t="shared" si="32"/>
        <v>801.6</v>
      </c>
      <c r="Z286" s="36">
        <f>IFERROR(IF(Y286=0,"",ROUNDUP(Y286/H286,0)*0.00651),"")</f>
        <v>2.1743399999999999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884</v>
      </c>
      <c r="BN286" s="64">
        <f t="shared" si="34"/>
        <v>885.76800000000014</v>
      </c>
      <c r="BO286" s="64">
        <f t="shared" si="35"/>
        <v>1.8315018315018319</v>
      </c>
      <c r="BP286" s="64">
        <f t="shared" si="36"/>
        <v>1.8351648351648353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200</v>
      </c>
      <c r="Y288" s="628">
        <f t="shared" si="32"/>
        <v>201.6</v>
      </c>
      <c r="Z288" s="36">
        <f>IFERROR(IF(Y288=0,"",ROUNDUP(Y288/H288,0)*0.00651),"")</f>
        <v>0.54683999999999999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221</v>
      </c>
      <c r="BN288" s="64">
        <f t="shared" si="34"/>
        <v>222.768</v>
      </c>
      <c r="BO288" s="64">
        <f t="shared" si="35"/>
        <v>0.45787545787545797</v>
      </c>
      <c r="BP288" s="64">
        <f t="shared" si="36"/>
        <v>0.46153846153846156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120</v>
      </c>
      <c r="Y289" s="628">
        <f t="shared" si="32"/>
        <v>120</v>
      </c>
      <c r="Z289" s="36">
        <f>IFERROR(IF(Y289=0,"",ROUNDUP(Y289/H289,0)*0.00651),"")</f>
        <v>0.32550000000000001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132.60000000000002</v>
      </c>
      <c r="BN289" s="64">
        <f t="shared" si="34"/>
        <v>132.60000000000002</v>
      </c>
      <c r="BO289" s="64">
        <f t="shared" si="35"/>
        <v>0.27472527472527475</v>
      </c>
      <c r="BP289" s="64">
        <f t="shared" si="36"/>
        <v>0.27472527472527475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120</v>
      </c>
      <c r="Y290" s="628">
        <f t="shared" si="32"/>
        <v>120</v>
      </c>
      <c r="Z290" s="36">
        <f>IFERROR(IF(Y290=0,"",ROUNDUP(Y290/H290,0)*0.00651),"")</f>
        <v>0.32550000000000001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132.9</v>
      </c>
      <c r="BN290" s="64">
        <f t="shared" si="34"/>
        <v>132.9</v>
      </c>
      <c r="BO290" s="64">
        <f t="shared" si="35"/>
        <v>0.27472527472527475</v>
      </c>
      <c r="BP290" s="64">
        <f t="shared" si="36"/>
        <v>0.27472527472527475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724.1288846317583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728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5.8865199999999991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2291</v>
      </c>
      <c r="Y293" s="629">
        <f>IFERROR(SUM(Y280:Y291),"0")</f>
        <v>2310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3</v>
      </c>
      <c r="Y295" s="628">
        <f>IFERROR(IF(X295="",0,CEILING((X295/$H295),1)*$H295),"")</f>
        <v>4.8</v>
      </c>
      <c r="Z295" s="36">
        <f>IFERROR(IF(Y295=0,"",ROUNDUP(Y295/H295,0)*0.00651),"")</f>
        <v>1.302E-2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3.3150000000000004</v>
      </c>
      <c r="BN295" s="64">
        <f>IFERROR(Y295*I295/H295,"0")</f>
        <v>5.3040000000000003</v>
      </c>
      <c r="BO295" s="64">
        <f>IFERROR(1/J295*(X295/H295),"0")</f>
        <v>6.8681318681318689E-3</v>
      </c>
      <c r="BP295" s="64">
        <f>IFERROR(1/J295*(Y295/H295),"0")</f>
        <v>1.098901098901099E-2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58</v>
      </c>
      <c r="Y296" s="628">
        <f>IFERROR(IF(X296="",0,CEILING((X296/$H296),1)*$H296),"")</f>
        <v>60</v>
      </c>
      <c r="Z296" s="36">
        <f>IFERROR(IF(Y296=0,"",ROUNDUP(Y296/H296,0)*0.00651),"")</f>
        <v>0.16275000000000001</v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64.09</v>
      </c>
      <c r="BN296" s="64">
        <f>IFERROR(Y296*I296/H296,"0")</f>
        <v>66.300000000000011</v>
      </c>
      <c r="BO296" s="64">
        <f>IFERROR(1/J296*(X296/H296),"0")</f>
        <v>0.13278388278388281</v>
      </c>
      <c r="BP296" s="64">
        <f>IFERROR(1/J296*(Y296/H296),"0")</f>
        <v>0.13736263736263737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25.416666666666668</v>
      </c>
      <c r="Y297" s="629">
        <f>IFERROR(Y295/H295,"0")+IFERROR(Y296/H296,"0")</f>
        <v>27</v>
      </c>
      <c r="Z297" s="629">
        <f>IFERROR(IF(Z295="",0,Z295),"0")+IFERROR(IF(Z296="",0,Z296),"0")</f>
        <v>0.17577000000000001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61</v>
      </c>
      <c r="Y298" s="629">
        <f>IFERROR(SUM(Y295:Y296),"0")</f>
        <v>64.8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13</v>
      </c>
      <c r="Y301" s="628">
        <f t="shared" ref="Y301:Y307" si="37">IFERROR(IF(X301="",0,CEILING((X301/$H301),1)*$H301),"")</f>
        <v>23.2</v>
      </c>
      <c r="Z301" s="36">
        <f>IFERROR(IF(Y301=0,"",ROUNDUP(Y301/H301,0)*0.01898),"")</f>
        <v>3.7960000000000001E-2</v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13.459482758620689</v>
      </c>
      <c r="BN301" s="64">
        <f t="shared" ref="BN301:BN307" si="39">IFERROR(Y301*I301/H301,"0")</f>
        <v>24.02</v>
      </c>
      <c r="BO301" s="64">
        <f t="shared" ref="BO301:BO307" si="40">IFERROR(1/J301*(X301/H301),"0")</f>
        <v>1.7510775862068968E-2</v>
      </c>
      <c r="BP301" s="64">
        <f t="shared" ref="BP301:BP307" si="41">IFERROR(1/J301*(Y301/H301),"0")</f>
        <v>3.125E-2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57</v>
      </c>
      <c r="Y302" s="628">
        <f t="shared" si="37"/>
        <v>58</v>
      </c>
      <c r="Z302" s="36">
        <f>IFERROR(IF(Y302=0,"",ROUNDUP(Y302/H302,0)*0.01898),"")</f>
        <v>9.4899999999999998E-2</v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59.014655172413789</v>
      </c>
      <c r="BN302" s="64">
        <f t="shared" si="39"/>
        <v>60.050000000000004</v>
      </c>
      <c r="BO302" s="64">
        <f t="shared" si="40"/>
        <v>7.6778017241379309E-2</v>
      </c>
      <c r="BP302" s="64">
        <f t="shared" si="41"/>
        <v>7.8125E-2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6.0344827586206895</v>
      </c>
      <c r="Y308" s="629">
        <f>IFERROR(Y301/H301,"0")+IFERROR(Y302/H302,"0")+IFERROR(Y303/H303,"0")+IFERROR(Y304/H304,"0")+IFERROR(Y305/H305,"0")+IFERROR(Y306/H306,"0")+IFERROR(Y307/H307,"0")</f>
        <v>7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0.13286000000000001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70</v>
      </c>
      <c r="Y309" s="629">
        <f>IFERROR(SUM(Y301:Y307),"0")</f>
        <v>81.2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1</v>
      </c>
      <c r="Y315" s="628">
        <f>IFERROR(IF(X315="",0,CEILING((X315/$H315),1)*$H315),"")</f>
        <v>1.8</v>
      </c>
      <c r="Z315" s="36">
        <f>IFERROR(IF(Y315=0,"",ROUNDUP(Y315/H315,0)*0.0059),"")</f>
        <v>5.8999999999999999E-3</v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1.0972222222222223</v>
      </c>
      <c r="BN315" s="64">
        <f>IFERROR(Y315*I315/H315,"0")</f>
        <v>1.9750000000000001</v>
      </c>
      <c r="BO315" s="64">
        <f>IFERROR(1/J315*(X315/H315),"0")</f>
        <v>2.5720164609053498E-3</v>
      </c>
      <c r="BP315" s="64">
        <f>IFERROR(1/J315*(Y315/H315),"0")</f>
        <v>4.6296296296296294E-3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0.55555555555555558</v>
      </c>
      <c r="Y316" s="629">
        <f>IFERROR(Y315/H315,"0")</f>
        <v>1</v>
      </c>
      <c r="Z316" s="629">
        <f>IFERROR(IF(Z315="",0,Z315),"0")</f>
        <v>5.8999999999999999E-3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1</v>
      </c>
      <c r="Y317" s="629">
        <f>IFERROR(SUM(Y315:Y315),"0")</f>
        <v>1.8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60</v>
      </c>
      <c r="Y336" s="628">
        <f>IFERROR(IF(X336="",0,CEILING((X336/$H336),1)*$H336),"")</f>
        <v>60</v>
      </c>
      <c r="Z336" s="36">
        <f>IFERROR(IF(Y336=0,"",ROUNDUP(Y336/H336,0)*0.00651),"")</f>
        <v>0.16275000000000001</v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66.300000000000011</v>
      </c>
      <c r="BN336" s="64">
        <f>IFERROR(Y336*I336/H336,"0")</f>
        <v>66.300000000000011</v>
      </c>
      <c r="BO336" s="64">
        <f>IFERROR(1/J336*(X336/H336),"0")</f>
        <v>0.13736263736263737</v>
      </c>
      <c r="BP336" s="64">
        <f>IFERROR(1/J336*(Y336/H336),"0")</f>
        <v>0.13736263736263737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100</v>
      </c>
      <c r="Y337" s="628">
        <f>IFERROR(IF(X337="",0,CEILING((X337/$H337),1)*$H337),"")</f>
        <v>100.8</v>
      </c>
      <c r="Z337" s="36">
        <f>IFERROR(IF(Y337=0,"",ROUNDUP(Y337/H337,0)*0.00651),"")</f>
        <v>0.27342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107.5</v>
      </c>
      <c r="BN337" s="64">
        <f>IFERROR(Y337*I337/H337,"0")</f>
        <v>108.36000000000001</v>
      </c>
      <c r="BO337" s="64">
        <f>IFERROR(1/J337*(X337/H337),"0")</f>
        <v>0.22893772893772898</v>
      </c>
      <c r="BP337" s="64">
        <f>IFERROR(1/J337*(Y337/H337),"0")</f>
        <v>0.23076923076923078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66.666666666666671</v>
      </c>
      <c r="Y338" s="629">
        <f>IFERROR(Y335/H335,"0")+IFERROR(Y336/H336,"0")+IFERROR(Y337/H337,"0")</f>
        <v>67</v>
      </c>
      <c r="Z338" s="629">
        <f>IFERROR(IF(Z335="",0,Z335),"0")+IFERROR(IF(Z336="",0,Z336),"0")+IFERROR(IF(Z337="",0,Z337),"0")</f>
        <v>0.43617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160</v>
      </c>
      <c r="Y339" s="629">
        <f>IFERROR(SUM(Y335:Y337),"0")</f>
        <v>160.80000000000001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325</v>
      </c>
      <c r="Y356" s="628">
        <f>IFERROR(IF(X356="",0,CEILING((X356/$H356),1)*$H356),"")</f>
        <v>327.59999999999997</v>
      </c>
      <c r="Z356" s="36">
        <f>IFERROR(IF(Y356=0,"",ROUNDUP(Y356/H356,0)*0.01898),"")</f>
        <v>0.79715999999999998</v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342.08333333333337</v>
      </c>
      <c r="BN356" s="64">
        <f>IFERROR(Y356*I356/H356,"0")</f>
        <v>344.82</v>
      </c>
      <c r="BO356" s="64">
        <f>IFERROR(1/J356*(X356/H356),"0")</f>
        <v>0.65104166666666663</v>
      </c>
      <c r="BP356" s="64">
        <f>IFERROR(1/J356*(Y356/H356),"0")</f>
        <v>0.65625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511</v>
      </c>
      <c r="Y357" s="628">
        <f>IFERROR(IF(X357="",0,CEILING((X357/$H357),1)*$H357),"")</f>
        <v>514.79999999999995</v>
      </c>
      <c r="Z357" s="36">
        <f>IFERROR(IF(Y357=0,"",ROUNDUP(Y357/H357,0)*0.01898),"")</f>
        <v>1.25268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537.86025641025651</v>
      </c>
      <c r="BN357" s="64">
        <f>IFERROR(Y357*I357/H357,"0")</f>
        <v>541.86</v>
      </c>
      <c r="BO357" s="64">
        <f>IFERROR(1/J357*(X357/H357),"0")</f>
        <v>1.0236378205128205</v>
      </c>
      <c r="BP357" s="64">
        <f>IFERROR(1/J357*(Y357/H357),"0")</f>
        <v>1.03125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191</v>
      </c>
      <c r="Y358" s="628">
        <f>IFERROR(IF(X358="",0,CEILING((X358/$H358),1)*$H358),"")</f>
        <v>195</v>
      </c>
      <c r="Z358" s="36">
        <f>IFERROR(IF(Y358=0,"",ROUNDUP(Y358/H358,0)*0.01898),"")</f>
        <v>0.47450000000000003</v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201.03974358974361</v>
      </c>
      <c r="BN358" s="64">
        <f>IFERROR(Y358*I358/H358,"0")</f>
        <v>205.25000000000003</v>
      </c>
      <c r="BO358" s="64">
        <f>IFERROR(1/J358*(X358/H358),"0")</f>
        <v>0.38261217948717952</v>
      </c>
      <c r="BP358" s="64">
        <f>IFERROR(1/J358*(Y358/H358),"0")</f>
        <v>0.390625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131.66666666666669</v>
      </c>
      <c r="Y359" s="629">
        <f>IFERROR(Y356/H356,"0")+IFERROR(Y357/H357,"0")+IFERROR(Y358/H358,"0")</f>
        <v>133</v>
      </c>
      <c r="Z359" s="629">
        <f>IFERROR(IF(Z356="",0,Z356),"0")+IFERROR(IF(Z357="",0,Z357),"0")+IFERROR(IF(Z358="",0,Z358),"0")</f>
        <v>2.52434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1027</v>
      </c>
      <c r="Y360" s="629">
        <f>IFERROR(SUM(Y356:Y358),"0")</f>
        <v>1037.3999999999999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8</v>
      </c>
      <c r="Y365" s="628">
        <f>IFERROR(IF(X365="",0,CEILING((X365/$H365),1)*$H365),"")</f>
        <v>10.8</v>
      </c>
      <c r="Z365" s="36">
        <f>IFERROR(IF(Y365=0,"",ROUNDUP(Y365/H365,0)*0.01898),"")</f>
        <v>1.898E-2</v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8.3037037037037038</v>
      </c>
      <c r="BN365" s="64">
        <f>IFERROR(Y365*I365/H365,"0")</f>
        <v>11.21</v>
      </c>
      <c r="BO365" s="64">
        <f>IFERROR(1/J365*(X365/H365),"0")</f>
        <v>1.1574074074074073E-2</v>
      </c>
      <c r="BP365" s="64">
        <f>IFERROR(1/J365*(Y365/H365),"0")</f>
        <v>1.5625E-2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0.7407407407407407</v>
      </c>
      <c r="Y368" s="629">
        <f>IFERROR(Y363/H363,"0")+IFERROR(Y364/H364,"0")+IFERROR(Y365/H365,"0")+IFERROR(Y366/H366,"0")+IFERROR(Y367/H367,"0")</f>
        <v>1</v>
      </c>
      <c r="Z368" s="629">
        <f>IFERROR(IF(Z363="",0,Z363),"0")+IFERROR(IF(Z364="",0,Z364),"0")+IFERROR(IF(Z365="",0,Z365),"0")+IFERROR(IF(Z366="",0,Z366),"0")+IFERROR(IF(Z367="",0,Z367),"0")</f>
        <v>1.898E-2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8</v>
      </c>
      <c r="Y369" s="629">
        <f>IFERROR(SUM(Y363:Y367),"0")</f>
        <v>10.8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20</v>
      </c>
      <c r="Y377" s="628">
        <f t="shared" si="42"/>
        <v>21.6</v>
      </c>
      <c r="Z377" s="36">
        <f>IFERROR(IF(Y377=0,"",ROUNDUP(Y377/H377,0)*0.00651),"")</f>
        <v>7.8119999999999995E-2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22.533333333333335</v>
      </c>
      <c r="BN377" s="64">
        <f t="shared" si="44"/>
        <v>24.335999999999999</v>
      </c>
      <c r="BO377" s="64">
        <f t="shared" si="45"/>
        <v>6.1050061050061055E-2</v>
      </c>
      <c r="BP377" s="64">
        <f t="shared" si="46"/>
        <v>6.5934065934065936E-2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11.111111111111111</v>
      </c>
      <c r="Y378" s="629">
        <f>IFERROR(Y371/H371,"0")+IFERROR(Y372/H372,"0")+IFERROR(Y373/H373,"0")+IFERROR(Y374/H374,"0")+IFERROR(Y375/H375,"0")+IFERROR(Y376/H376,"0")+IFERROR(Y377/H377,"0")</f>
        <v>12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7.8119999999999995E-2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20</v>
      </c>
      <c r="Y379" s="629">
        <f>IFERROR(SUM(Y371:Y377),"0")</f>
        <v>21.6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435</v>
      </c>
      <c r="Y388" s="628">
        <f>IFERROR(IF(X388="",0,CEILING((X388/$H388),1)*$H388),"")</f>
        <v>436.8</v>
      </c>
      <c r="Z388" s="36">
        <f>IFERROR(IF(Y388=0,"",ROUNDUP(Y388/H388,0)*0.01898),"")</f>
        <v>0.98696000000000006</v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460.5821428571428</v>
      </c>
      <c r="BN388" s="64">
        <f>IFERROR(Y388*I388/H388,"0")</f>
        <v>462.488</v>
      </c>
      <c r="BO388" s="64">
        <f>IFERROR(1/J388*(X388/H388),"0")</f>
        <v>0.8091517857142857</v>
      </c>
      <c r="BP388" s="64">
        <f>IFERROR(1/J388*(Y388/H388),"0")</f>
        <v>0.8125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190</v>
      </c>
      <c r="Y390" s="628">
        <f>IFERROR(IF(X390="",0,CEILING((X390/$H390),1)*$H390),"")</f>
        <v>193.20000000000002</v>
      </c>
      <c r="Z390" s="36">
        <f>IFERROR(IF(Y390=0,"",ROUNDUP(Y390/H390,0)*0.01898),"")</f>
        <v>0.43653999999999998</v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201.17380952380952</v>
      </c>
      <c r="BN390" s="64">
        <f>IFERROR(Y390*I390/H390,"0")</f>
        <v>204.56200000000001</v>
      </c>
      <c r="BO390" s="64">
        <f>IFERROR(1/J390*(X390/H390),"0")</f>
        <v>0.35342261904761901</v>
      </c>
      <c r="BP390" s="64">
        <f>IFERROR(1/J390*(Y390/H390),"0")</f>
        <v>0.359375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74.404761904761898</v>
      </c>
      <c r="Y391" s="629">
        <f>IFERROR(Y388/H388,"0")+IFERROR(Y389/H389,"0")+IFERROR(Y390/H390,"0")</f>
        <v>75</v>
      </c>
      <c r="Z391" s="629">
        <f>IFERROR(IF(Z388="",0,Z388),"0")+IFERROR(IF(Z389="",0,Z389),"0")+IFERROR(IF(Z390="",0,Z390),"0")</f>
        <v>1.4235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625</v>
      </c>
      <c r="Y392" s="629">
        <f>IFERROR(SUM(Y388:Y390),"0")</f>
        <v>630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7</v>
      </c>
      <c r="Y395" s="628">
        <f>IFERROR(IF(X395="",0,CEILING((X395/$H395),1)*$H395),"")</f>
        <v>9.120000000000001</v>
      </c>
      <c r="Z395" s="36">
        <f>IFERROR(IF(Y395=0,"",ROUNDUP(Y395/H395,0)*0.00902),"")</f>
        <v>2.7060000000000001E-2</v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7.5296052631578947</v>
      </c>
      <c r="BN395" s="64">
        <f>IFERROR(Y395*I395/H395,"0")</f>
        <v>9.81</v>
      </c>
      <c r="BO395" s="64">
        <f>IFERROR(1/J395*(X395/H395),"0")</f>
        <v>1.7444178628389158E-2</v>
      </c>
      <c r="BP395" s="64">
        <f>IFERROR(1/J395*(Y395/H395),"0")</f>
        <v>2.2727272727272731E-2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2.3026315789473686</v>
      </c>
      <c r="Y398" s="629">
        <f>IFERROR(Y394/H394,"0")+IFERROR(Y395/H395,"0")+IFERROR(Y396/H396,"0")+IFERROR(Y397/H397,"0")</f>
        <v>3.0000000000000004</v>
      </c>
      <c r="Z398" s="629">
        <f>IFERROR(IF(Z394="",0,Z394),"0")+IFERROR(IF(Z395="",0,Z395),"0")+IFERROR(IF(Z396="",0,Z396),"0")+IFERROR(IF(Z397="",0,Z397),"0")</f>
        <v>2.7060000000000001E-2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7</v>
      </c>
      <c r="Y399" s="629">
        <f>IFERROR(SUM(Y394:Y397),"0")</f>
        <v>9.120000000000001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21</v>
      </c>
      <c r="Y401" s="628">
        <f>IFERROR(IF(X401="",0,CEILING((X401/$H401),1)*$H401),"")</f>
        <v>22</v>
      </c>
      <c r="Z401" s="36">
        <f>IFERROR(IF(Y401=0,"",ROUNDUP(Y401/H401,0)*0.00474),"")</f>
        <v>5.2140000000000006E-2</v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23.520000000000003</v>
      </c>
      <c r="BN401" s="64">
        <f>IFERROR(Y401*I401/H401,"0")</f>
        <v>24.64</v>
      </c>
      <c r="BO401" s="64">
        <f>IFERROR(1/J401*(X401/H401),"0")</f>
        <v>4.4117647058823525E-2</v>
      </c>
      <c r="BP401" s="64">
        <f>IFERROR(1/J401*(Y401/H401),"0")</f>
        <v>4.6218487394957979E-2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3</v>
      </c>
      <c r="Y402" s="628">
        <f>IFERROR(IF(X402="",0,CEILING((X402/$H402),1)*$H402),"")</f>
        <v>4</v>
      </c>
      <c r="Z402" s="36">
        <f>IFERROR(IF(Y402=0,"",ROUNDUP(Y402/H402,0)*0.00474),"")</f>
        <v>9.4800000000000006E-3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3.3600000000000003</v>
      </c>
      <c r="BN402" s="64">
        <f>IFERROR(Y402*I402/H402,"0")</f>
        <v>4.4800000000000004</v>
      </c>
      <c r="BO402" s="64">
        <f>IFERROR(1/J402*(X402/H402),"0")</f>
        <v>6.3025210084033615E-3</v>
      </c>
      <c r="BP402" s="64">
        <f>IFERROR(1/J402*(Y402/H402),"0")</f>
        <v>8.4033613445378148E-3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20</v>
      </c>
      <c r="Y403" s="628">
        <f>IFERROR(IF(X403="",0,CEILING((X403/$H403),1)*$H403),"")</f>
        <v>20</v>
      </c>
      <c r="Z403" s="36">
        <f>IFERROR(IF(Y403=0,"",ROUNDUP(Y403/H403,0)*0.00474),"")</f>
        <v>4.7400000000000005E-2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22.400000000000002</v>
      </c>
      <c r="BN403" s="64">
        <f>IFERROR(Y403*I403/H403,"0")</f>
        <v>22.400000000000002</v>
      </c>
      <c r="BO403" s="64">
        <f>IFERROR(1/J403*(X403/H403),"0")</f>
        <v>4.2016806722689072E-2</v>
      </c>
      <c r="BP403" s="64">
        <f>IFERROR(1/J403*(Y403/H403),"0")</f>
        <v>4.2016806722689072E-2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22</v>
      </c>
      <c r="Y404" s="629">
        <f>IFERROR(Y401/H401,"0")+IFERROR(Y402/H402,"0")+IFERROR(Y403/H403,"0")</f>
        <v>23</v>
      </c>
      <c r="Z404" s="629">
        <f>IFERROR(IF(Z401="",0,Z401),"0")+IFERROR(IF(Z402="",0,Z402),"0")+IFERROR(IF(Z403="",0,Z403),"0")</f>
        <v>0.10902000000000001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44</v>
      </c>
      <c r="Y405" s="629">
        <f>IFERROR(SUM(Y401:Y403),"0")</f>
        <v>46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31</v>
      </c>
      <c r="Y407" s="628">
        <f>IFERROR(IF(X407="",0,CEILING((X407/$H407),1)*$H407),"")</f>
        <v>33</v>
      </c>
      <c r="Z407" s="36">
        <f>IFERROR(IF(Y407=0,"",ROUNDUP(Y407/H407,0)*0.0045),"")</f>
        <v>4.9499999999999995E-2</v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33.273333333333333</v>
      </c>
      <c r="BN407" s="64">
        <f>IFERROR(Y407*I407/H407,"0")</f>
        <v>35.42</v>
      </c>
      <c r="BO407" s="64">
        <f>IFERROR(1/J407*(X407/H407),"0")</f>
        <v>4.6130952380952384E-2</v>
      </c>
      <c r="BP407" s="64">
        <f>IFERROR(1/J407*(Y407/H407),"0")</f>
        <v>4.9107142857142856E-2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33</v>
      </c>
      <c r="Y408" s="628">
        <f>IFERROR(IF(X408="",0,CEILING((X408/$H408),1)*$H408),"")</f>
        <v>35.1</v>
      </c>
      <c r="Z408" s="36">
        <f>IFERROR(IF(Y408=0,"",ROUNDUP(Y408/H408,0)*0.006),"")</f>
        <v>5.3999999999999999E-2</v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35.284615384615378</v>
      </c>
      <c r="BN408" s="64">
        <f>IFERROR(Y408*I408/H408,"0")</f>
        <v>37.53</v>
      </c>
      <c r="BO408" s="64">
        <f>IFERROR(1/J408*(X408/H408),"0")</f>
        <v>5.876068376068376E-2</v>
      </c>
      <c r="BP408" s="64">
        <f>IFERROR(1/J408*(Y408/H408),"0")</f>
        <v>6.25E-2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18.794871794871796</v>
      </c>
      <c r="Y410" s="629">
        <f>IFERROR(Y407/H407,"0")+IFERROR(Y408/H408,"0")+IFERROR(Y409/H409,"0")</f>
        <v>20</v>
      </c>
      <c r="Z410" s="629">
        <f>IFERROR(IF(Z407="",0,Z407),"0")+IFERROR(IF(Z408="",0,Z408),"0")+IFERROR(IF(Z409="",0,Z409),"0")</f>
        <v>0.10349999999999999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64</v>
      </c>
      <c r="Y411" s="629">
        <f>IFERROR(SUM(Y407:Y409),"0")</f>
        <v>68.099999999999994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164</v>
      </c>
      <c r="Y415" s="628">
        <f>IFERROR(IF(X415="",0,CEILING((X415/$H415),1)*$H415),"")</f>
        <v>165.9</v>
      </c>
      <c r="Z415" s="36">
        <f>IFERROR(IF(Y415=0,"",ROUNDUP(Y415/H415,0)*0.00651),"")</f>
        <v>0.51429000000000002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183.67999999999998</v>
      </c>
      <c r="BN415" s="64">
        <f>IFERROR(Y415*I415/H415,"0")</f>
        <v>185.80799999999999</v>
      </c>
      <c r="BO415" s="64">
        <f>IFERROR(1/J415*(X415/H415),"0")</f>
        <v>0.42909471480900052</v>
      </c>
      <c r="BP415" s="64">
        <f>IFERROR(1/J415*(Y415/H415),"0")</f>
        <v>0.43406593406593408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15</v>
      </c>
      <c r="Y416" s="628">
        <f>IFERROR(IF(X416="",0,CEILING((X416/$H416),1)*$H416),"")</f>
        <v>16.8</v>
      </c>
      <c r="Z416" s="36">
        <f>IFERROR(IF(Y416=0,"",ROUNDUP(Y416/H416,0)*0.00651),"")</f>
        <v>5.2080000000000001E-2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16.714285714285712</v>
      </c>
      <c r="BN416" s="64">
        <f>IFERROR(Y416*I416/H416,"0")</f>
        <v>18.72</v>
      </c>
      <c r="BO416" s="64">
        <f>IFERROR(1/J416*(X416/H416),"0")</f>
        <v>3.924646781789639E-2</v>
      </c>
      <c r="BP416" s="64">
        <f>IFERROR(1/J416*(Y416/H416),"0")</f>
        <v>4.3956043956043959E-2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85.238095238095227</v>
      </c>
      <c r="Y417" s="629">
        <f>IFERROR(Y414/H414,"0")+IFERROR(Y415/H415,"0")+IFERROR(Y416/H416,"0")</f>
        <v>87</v>
      </c>
      <c r="Z417" s="629">
        <f>IFERROR(IF(Z414="",0,Z414),"0")+IFERROR(IF(Z415="",0,Z415),"0")+IFERROR(IF(Z416="",0,Z416),"0")</f>
        <v>0.56637000000000004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179</v>
      </c>
      <c r="Y418" s="629">
        <f>IFERROR(SUM(Y414:Y416),"0")</f>
        <v>182.70000000000002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0</v>
      </c>
      <c r="Y430" s="629">
        <f>IFERROR(Y422/H422,"0")+IFERROR(Y423/H423,"0")+IFERROR(Y424/H424,"0")+IFERROR(Y425/H425,"0")+IFERROR(Y426/H426,"0")+IFERROR(Y427/H427,"0")+IFERROR(Y428/H428,"0")+IFERROR(Y429/H429,"0")</f>
        <v>0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0</v>
      </c>
      <c r="Y431" s="629">
        <f>IFERROR(SUM(Y422:Y429),"0")</f>
        <v>0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1000</v>
      </c>
      <c r="Y433" s="628">
        <f>IFERROR(IF(X433="",0,CEILING((X433/$H433),1)*$H433),"")</f>
        <v>1005</v>
      </c>
      <c r="Z433" s="36">
        <f>IFERROR(IF(Y433=0,"",ROUNDUP(Y433/H433,0)*0.02175),"")</f>
        <v>1.4572499999999999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1031.3333333333333</v>
      </c>
      <c r="BN433" s="64">
        <f>IFERROR(Y433*I433/H433,"0")</f>
        <v>1036.49</v>
      </c>
      <c r="BO433" s="64">
        <f>IFERROR(1/J433*(X433/H433),"0")</f>
        <v>1.3888888888888888</v>
      </c>
      <c r="BP433" s="64">
        <f>IFERROR(1/J433*(Y433/H433),"0")</f>
        <v>1.3958333333333333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66.666666666666671</v>
      </c>
      <c r="Y436" s="629">
        <f>IFERROR(Y433/H433,"0")+IFERROR(Y434/H434,"0")+IFERROR(Y435/H435,"0")</f>
        <v>67</v>
      </c>
      <c r="Z436" s="629">
        <f>IFERROR(IF(Z433="",0,Z433),"0")+IFERROR(IF(Z434="",0,Z434),"0")+IFERROR(IF(Z435="",0,Z435),"0")</f>
        <v>1.4572499999999999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1000</v>
      </c>
      <c r="Y437" s="629">
        <f>IFERROR(SUM(Y433:Y435),"0")</f>
        <v>1005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89</v>
      </c>
      <c r="Y446" s="628">
        <f>IFERROR(IF(X446="",0,CEILING((X446/$H446),1)*$H446),"")</f>
        <v>90</v>
      </c>
      <c r="Z446" s="36">
        <f>IFERROR(IF(Y446=0,"",ROUNDUP(Y446/H446,0)*0.01898),"")</f>
        <v>0.1898</v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93.885111111111115</v>
      </c>
      <c r="BN446" s="64">
        <f>IFERROR(Y446*I446/H446,"0")</f>
        <v>94.94</v>
      </c>
      <c r="BO446" s="64">
        <f>IFERROR(1/J446*(X446/H446),"0")</f>
        <v>0.1545138888888889</v>
      </c>
      <c r="BP446" s="64">
        <f>IFERROR(1/J446*(Y446/H446),"0")</f>
        <v>0.15625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9.8888888888888893</v>
      </c>
      <c r="Y447" s="629">
        <f>IFERROR(Y445/H445,"0")+IFERROR(Y446/H446,"0")</f>
        <v>10</v>
      </c>
      <c r="Z447" s="629">
        <f>IFERROR(IF(Z445="",0,Z445),"0")+IFERROR(IF(Z446="",0,Z446),"0")</f>
        <v>0.1898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89</v>
      </c>
      <c r="Y448" s="629">
        <f>IFERROR(SUM(Y445:Y446),"0")</f>
        <v>90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500</v>
      </c>
      <c r="Y460" s="628">
        <f>IFERROR(IF(X460="",0,CEILING((X460/$H460),1)*$H460),"")</f>
        <v>504</v>
      </c>
      <c r="Z460" s="36">
        <f>IFERROR(IF(Y460=0,"",ROUNDUP(Y460/H460,0)*0.01898),"")</f>
        <v>1.06288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527.44444444444446</v>
      </c>
      <c r="BN460" s="64">
        <f>IFERROR(Y460*I460/H460,"0")</f>
        <v>531.66399999999999</v>
      </c>
      <c r="BO460" s="64">
        <f>IFERROR(1/J460*(X460/H460),"0")</f>
        <v>0.86805555555555558</v>
      </c>
      <c r="BP460" s="64">
        <f>IFERROR(1/J460*(Y460/H460),"0")</f>
        <v>0.875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55.555555555555557</v>
      </c>
      <c r="Y463" s="629">
        <f>IFERROR(Y460/H460,"0")+IFERROR(Y461/H461,"0")+IFERROR(Y462/H462,"0")</f>
        <v>56</v>
      </c>
      <c r="Z463" s="629">
        <f>IFERROR(IF(Z460="",0,Z460),"0")+IFERROR(IF(Z461="",0,Z461),"0")+IFERROR(IF(Z462="",0,Z462),"0")</f>
        <v>1.06288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500</v>
      </c>
      <c r="Y464" s="629">
        <f>IFERROR(SUM(Y460:Y462),"0")</f>
        <v>504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59</v>
      </c>
      <c r="Y495" s="628">
        <f t="shared" ref="Y495:Y503" si="57">IFERROR(IF(X495="",0,CEILING((X495/$H495),1)*$H495),"")</f>
        <v>63.36</v>
      </c>
      <c r="Z495" s="36">
        <f t="shared" ref="Z495:Z500" si="58">IFERROR(IF(Y495=0,"",ROUNDUP(Y495/H495,0)*0.01196),"")</f>
        <v>0.14352000000000001</v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62.910984848484851</v>
      </c>
      <c r="BN495" s="64">
        <f t="shared" ref="BN495:BN503" si="60">IFERROR(Y495*I495/H495,"0")</f>
        <v>67.559999999999988</v>
      </c>
      <c r="BO495" s="64">
        <f t="shared" ref="BO495:BO503" si="61">IFERROR(1/J495*(X495/H495),"0")</f>
        <v>0.1074446386946387</v>
      </c>
      <c r="BP495" s="64">
        <f t="shared" ref="BP495:BP503" si="62">IFERROR(1/J495*(Y495/H495),"0")</f>
        <v>0.11538461538461539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113</v>
      </c>
      <c r="Y497" s="628">
        <f t="shared" si="57"/>
        <v>116.16000000000001</v>
      </c>
      <c r="Z497" s="36">
        <f t="shared" si="58"/>
        <v>0.26312000000000002</v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120.49053030303028</v>
      </c>
      <c r="BN497" s="64">
        <f t="shared" si="60"/>
        <v>123.86</v>
      </c>
      <c r="BO497" s="64">
        <f t="shared" si="61"/>
        <v>0.20578379953379955</v>
      </c>
      <c r="BP497" s="64">
        <f t="shared" si="62"/>
        <v>0.21153846153846156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626</v>
      </c>
      <c r="Y498" s="628">
        <f t="shared" si="57"/>
        <v>628.32000000000005</v>
      </c>
      <c r="Z498" s="36">
        <f t="shared" si="58"/>
        <v>1.4232400000000001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667.49621212121212</v>
      </c>
      <c r="BN498" s="64">
        <f t="shared" si="60"/>
        <v>669.97</v>
      </c>
      <c r="BO498" s="64">
        <f t="shared" si="61"/>
        <v>1.1400058275058274</v>
      </c>
      <c r="BP498" s="64">
        <f t="shared" si="62"/>
        <v>1.1442307692307694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931</v>
      </c>
      <c r="Y500" s="628">
        <f t="shared" si="57"/>
        <v>934.56000000000006</v>
      </c>
      <c r="Z500" s="36">
        <f t="shared" si="58"/>
        <v>2.1169199999999999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992.71401515151501</v>
      </c>
      <c r="BN500" s="64">
        <f t="shared" si="60"/>
        <v>996.51</v>
      </c>
      <c r="BO500" s="64">
        <f t="shared" si="61"/>
        <v>1.6954399766899766</v>
      </c>
      <c r="BP500" s="64">
        <f t="shared" si="62"/>
        <v>1.7019230769230771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327.46212121212119</v>
      </c>
      <c r="Y504" s="629">
        <f>IFERROR(Y495/H495,"0")+IFERROR(Y496/H496,"0")+IFERROR(Y497/H497,"0")+IFERROR(Y498/H498,"0")+IFERROR(Y499/H499,"0")+IFERROR(Y500/H500,"0")+IFERROR(Y501/H501,"0")+IFERROR(Y502/H502,"0")+IFERROR(Y503/H503,"0")</f>
        <v>330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3.9468000000000001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1729</v>
      </c>
      <c r="Y505" s="629">
        <f>IFERROR(SUM(Y495:Y503),"0")</f>
        <v>1742.4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879</v>
      </c>
      <c r="Y507" s="628">
        <f>IFERROR(IF(X507="",0,CEILING((X507/$H507),1)*$H507),"")</f>
        <v>881.76</v>
      </c>
      <c r="Z507" s="36">
        <f>IFERROR(IF(Y507=0,"",ROUNDUP(Y507/H507,0)*0.01196),"")</f>
        <v>1.99732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937.26704545454527</v>
      </c>
      <c r="BN507" s="64">
        <f>IFERROR(Y507*I507/H507,"0")</f>
        <v>940.20999999999992</v>
      </c>
      <c r="BO507" s="64">
        <f>IFERROR(1/J507*(X507/H507),"0")</f>
        <v>1.6007430069930071</v>
      </c>
      <c r="BP507" s="64">
        <f>IFERROR(1/J507*(Y507/H507),"0")</f>
        <v>1.6057692307692308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10</v>
      </c>
      <c r="Y509" s="628">
        <f>IFERROR(IF(X509="",0,CEILING((X509/$H509),1)*$H509),"")</f>
        <v>14.399999999999999</v>
      </c>
      <c r="Z509" s="36">
        <f>IFERROR(IF(Y509=0,"",ROUNDUP(Y509/H509,0)*0.00902),"")</f>
        <v>2.7060000000000001E-2</v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14.395833333333332</v>
      </c>
      <c r="BN509" s="64">
        <f>IFERROR(Y509*I509/H509,"0")</f>
        <v>20.73</v>
      </c>
      <c r="BO509" s="64">
        <f>IFERROR(1/J509*(X509/H509),"0")</f>
        <v>1.5782828282828284E-2</v>
      </c>
      <c r="BP509" s="64">
        <f>IFERROR(1/J509*(Y509/H509),"0")</f>
        <v>2.2727272727272728E-2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168.56060606060606</v>
      </c>
      <c r="Y510" s="629">
        <f>IFERROR(Y507/H507,"0")+IFERROR(Y508/H508,"0")+IFERROR(Y509/H509,"0")</f>
        <v>170</v>
      </c>
      <c r="Z510" s="629">
        <f>IFERROR(IF(Z507="",0,Z507),"0")+IFERROR(IF(Z508="",0,Z508),"0")+IFERROR(IF(Z509="",0,Z509),"0")</f>
        <v>2.0243799999999998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889</v>
      </c>
      <c r="Y511" s="629">
        <f>IFERROR(SUM(Y507:Y509),"0")</f>
        <v>896.16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537</v>
      </c>
      <c r="Y514" s="628">
        <f t="shared" si="63"/>
        <v>538.56000000000006</v>
      </c>
      <c r="Z514" s="36">
        <f>IFERROR(IF(Y514=0,"",ROUNDUP(Y514/H514,0)*0.01196),"")</f>
        <v>1.2199200000000001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572.59659090909088</v>
      </c>
      <c r="BN514" s="64">
        <f t="shared" si="65"/>
        <v>574.26</v>
      </c>
      <c r="BO514" s="64">
        <f t="shared" si="66"/>
        <v>0.97792832167832167</v>
      </c>
      <c r="BP514" s="64">
        <f t="shared" si="67"/>
        <v>0.98076923076923084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298</v>
      </c>
      <c r="Y515" s="628">
        <f t="shared" si="63"/>
        <v>300.96000000000004</v>
      </c>
      <c r="Z515" s="36">
        <f>IFERROR(IF(Y515=0,"",ROUNDUP(Y515/H515,0)*0.01196),"")</f>
        <v>0.68171999999999999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317.75378787878788</v>
      </c>
      <c r="BN515" s="64">
        <f t="shared" si="65"/>
        <v>320.91000000000003</v>
      </c>
      <c r="BO515" s="64">
        <f t="shared" si="66"/>
        <v>0.54268648018648025</v>
      </c>
      <c r="BP515" s="64">
        <f t="shared" si="67"/>
        <v>0.54807692307692313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158.14393939393938</v>
      </c>
      <c r="Y520" s="629">
        <f>IFERROR(Y513/H513,"0")+IFERROR(Y514/H514,"0")+IFERROR(Y515/H515,"0")+IFERROR(Y516/H516,"0")+IFERROR(Y517/H517,"0")+IFERROR(Y518/H518,"0")+IFERROR(Y519/H519,"0")</f>
        <v>159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1.90164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835</v>
      </c>
      <c r="Y521" s="629">
        <f>IFERROR(SUM(Y513:Y519),"0")</f>
        <v>839.5200000000001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113</v>
      </c>
      <c r="Y537" s="628">
        <f>IFERROR(IF(X537="",0,CEILING((X537/$H537),1)*$H537),"")</f>
        <v>117</v>
      </c>
      <c r="Z537" s="36">
        <f>IFERROR(IF(Y537=0,"",ROUNDUP(Y537/H537,0)*0.01898),"")</f>
        <v>0.24674000000000001</v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119.20244444444444</v>
      </c>
      <c r="BN537" s="64">
        <f>IFERROR(Y537*I537/H537,"0")</f>
        <v>123.422</v>
      </c>
      <c r="BO537" s="64">
        <f>IFERROR(1/J537*(X537/H537),"0")</f>
        <v>0.19618055555555555</v>
      </c>
      <c r="BP537" s="64">
        <f>IFERROR(1/J537*(Y537/H537),"0")</f>
        <v>0.203125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12.555555555555555</v>
      </c>
      <c r="Y538" s="629">
        <f>IFERROR(Y537/H537,"0")</f>
        <v>13</v>
      </c>
      <c r="Z538" s="629">
        <f>IFERROR(IF(Z537="",0,Z537),"0")</f>
        <v>0.24674000000000001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113</v>
      </c>
      <c r="Y539" s="629">
        <f>IFERROR(SUM(Y537:Y537),"0")</f>
        <v>117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16703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16885.699999999997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17824.159513957627</v>
      </c>
      <c r="Y551" s="629">
        <f>IFERROR(SUM(BN22:BN547),"0")</f>
        <v>18020.492999999991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32</v>
      </c>
      <c r="Y552" s="38">
        <f>ROUNDUP(SUM(BP22:BP547),0)</f>
        <v>32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18624.159513957627</v>
      </c>
      <c r="Y553" s="629">
        <f>GrossWeightTotalR+PalletQtyTotalR*25</f>
        <v>18820.492999999991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3547.8685710593982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3585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37.92848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145.80000000000001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81.400000000000006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1837.4</v>
      </c>
      <c r="F560" s="46">
        <f>IFERROR(Y88*1,"0")+IFERROR(Y89*1,"0")+IFERROR(Y90*1,"0")+IFERROR(Y91*1,"0")+IFERROR(Y95*1,"0")+IFERROR(Y96*1,"0")+IFERROR(Y97*1,"0")+IFERROR(Y98*1,"0")</f>
        <v>950.40000000000009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1077.6599999999999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73.84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1035.8599999999999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270.14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3969.5999999999995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83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160.80000000000001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1037.3999999999999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785.62000000000012</v>
      </c>
      <c r="U560" s="46">
        <f>IFERROR(Y414*1,"0")+IFERROR(Y415*1,"0")+IFERROR(Y416*1,"0")</f>
        <v>182.70000000000002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1095</v>
      </c>
      <c r="W560" s="46">
        <f>IFERROR(Y451*1,"0")+IFERROR(Y452*1,"0")+IFERROR(Y456*1,"0")+IFERROR(Y460*1,"0")+IFERROR(Y461*1,"0")+IFERROR(Y462*1,"0")</f>
        <v>504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3478.08</v>
      </c>
      <c r="AA560" s="46">
        <f>IFERROR(Y525*1,"0")+IFERROR(Y529*1,"0")+IFERROR(Y533*1,"0")+IFERROR(Y537*1,"0")+IFERROR(Y541*1,"0")+IFERROR(Y542*1,"0")</f>
        <v>117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2026-07-31T09:52:24Z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