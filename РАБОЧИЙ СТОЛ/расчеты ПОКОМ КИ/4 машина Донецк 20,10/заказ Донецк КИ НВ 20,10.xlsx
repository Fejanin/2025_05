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1ED861E5-CCAB-43F3-88AB-6F52BB34742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P555" i="1"/>
  <c r="BO555" i="1"/>
  <c r="BN555" i="1"/>
  <c r="BM555" i="1"/>
  <c r="Z555" i="1"/>
  <c r="Y555" i="1"/>
  <c r="P555" i="1"/>
  <c r="X553" i="1"/>
  <c r="Y552" i="1"/>
  <c r="X552" i="1"/>
  <c r="BP551" i="1"/>
  <c r="BO551" i="1"/>
  <c r="BN551" i="1"/>
  <c r="BM551" i="1"/>
  <c r="Z551" i="1"/>
  <c r="Z552" i="1" s="1"/>
  <c r="Y551" i="1"/>
  <c r="Y553" i="1" s="1"/>
  <c r="P551" i="1"/>
  <c r="X549" i="1"/>
  <c r="Y548" i="1"/>
  <c r="X548" i="1"/>
  <c r="BP547" i="1"/>
  <c r="BO547" i="1"/>
  <c r="BN547" i="1"/>
  <c r="BM547" i="1"/>
  <c r="Z547" i="1"/>
  <c r="Z548" i="1" s="1"/>
  <c r="Y547" i="1"/>
  <c r="Y549" i="1" s="1"/>
  <c r="P547" i="1"/>
  <c r="X545" i="1"/>
  <c r="Y544" i="1"/>
  <c r="X544" i="1"/>
  <c r="BP543" i="1"/>
  <c r="BO543" i="1"/>
  <c r="BN543" i="1"/>
  <c r="BM543" i="1"/>
  <c r="Z543" i="1"/>
  <c r="Z544" i="1" s="1"/>
  <c r="Y543" i="1"/>
  <c r="Y545" i="1" s="1"/>
  <c r="P543" i="1"/>
  <c r="X541" i="1"/>
  <c r="Y540" i="1"/>
  <c r="X540" i="1"/>
  <c r="BP539" i="1"/>
  <c r="BO539" i="1"/>
  <c r="BN539" i="1"/>
  <c r="BM539" i="1"/>
  <c r="Z539" i="1"/>
  <c r="Z540" i="1" s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9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P357" i="1"/>
  <c r="BO357" i="1"/>
  <c r="BN357" i="1"/>
  <c r="BM357" i="1"/>
  <c r="Z357" i="1"/>
  <c r="Z358" i="1" s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S574" i="1" s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Z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Y160" i="1" s="1"/>
  <c r="P158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246" i="1" l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Y173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37" i="1"/>
  <c r="Y47" i="1"/>
  <c r="Y74" i="1"/>
  <c r="Y80" i="1"/>
  <c r="Y86" i="1"/>
  <c r="Y95" i="1"/>
  <c r="Y103" i="1"/>
  <c r="Y114" i="1"/>
  <c r="Y120" i="1"/>
  <c r="Y137" i="1"/>
  <c r="Y143" i="1"/>
  <c r="BP154" i="1"/>
  <c r="BN154" i="1"/>
  <c r="Z154" i="1"/>
  <c r="Y156" i="1"/>
  <c r="BP183" i="1"/>
  <c r="BN183" i="1"/>
  <c r="Z183" i="1"/>
  <c r="BP209" i="1"/>
  <c r="BN209" i="1"/>
  <c r="Z209" i="1"/>
  <c r="L574" i="1"/>
  <c r="Y215" i="1"/>
  <c r="BP214" i="1"/>
  <c r="BN214" i="1"/>
  <c r="Z214" i="1"/>
  <c r="Z215" i="1" s="1"/>
  <c r="Y233" i="1"/>
  <c r="BP218" i="1"/>
  <c r="BN218" i="1"/>
  <c r="Z218" i="1"/>
  <c r="BP222" i="1"/>
  <c r="BN222" i="1"/>
  <c r="Z222" i="1"/>
  <c r="BP255" i="1"/>
  <c r="BN255" i="1"/>
  <c r="Z255" i="1"/>
  <c r="Z256" i="1" s="1"/>
  <c r="Y262" i="1"/>
  <c r="BP259" i="1"/>
  <c r="BN259" i="1"/>
  <c r="Z259" i="1"/>
  <c r="Z261" i="1" s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Z418" i="1" s="1"/>
  <c r="Y418" i="1"/>
  <c r="BP462" i="1"/>
  <c r="BN462" i="1"/>
  <c r="Z462" i="1"/>
  <c r="Z463" i="1" s="1"/>
  <c r="Y464" i="1"/>
  <c r="Y470" i="1"/>
  <c r="BP467" i="1"/>
  <c r="BN467" i="1"/>
  <c r="Z467" i="1"/>
  <c r="Y469" i="1"/>
  <c r="Y574" i="1"/>
  <c r="Q574" i="1"/>
  <c r="Y55" i="1"/>
  <c r="Y68" i="1"/>
  <c r="Y128" i="1"/>
  <c r="Y132" i="1"/>
  <c r="Y148" i="1"/>
  <c r="BP145" i="1"/>
  <c r="Y159" i="1"/>
  <c r="BP158" i="1"/>
  <c r="BN158" i="1"/>
  <c r="Z158" i="1"/>
  <c r="Z159" i="1" s="1"/>
  <c r="J574" i="1"/>
  <c r="Y168" i="1"/>
  <c r="BP163" i="1"/>
  <c r="BN163" i="1"/>
  <c r="Z163" i="1"/>
  <c r="Y167" i="1"/>
  <c r="BP171" i="1"/>
  <c r="BN171" i="1"/>
  <c r="Z171" i="1"/>
  <c r="Z172" i="1" s="1"/>
  <c r="Y186" i="1"/>
  <c r="BP175" i="1"/>
  <c r="BN175" i="1"/>
  <c r="Z175" i="1"/>
  <c r="BP179" i="1"/>
  <c r="BN179" i="1"/>
  <c r="Z179" i="1"/>
  <c r="BP205" i="1"/>
  <c r="BN205" i="1"/>
  <c r="Z205" i="1"/>
  <c r="Y211" i="1"/>
  <c r="Y216" i="1"/>
  <c r="BP226" i="1"/>
  <c r="BN226" i="1"/>
  <c r="Z226" i="1"/>
  <c r="BP230" i="1"/>
  <c r="BN230" i="1"/>
  <c r="Z230" i="1"/>
  <c r="BP238" i="1"/>
  <c r="BN238" i="1"/>
  <c r="Z238" i="1"/>
  <c r="Y257" i="1"/>
  <c r="BP267" i="1"/>
  <c r="BN267" i="1"/>
  <c r="Z267" i="1"/>
  <c r="H9" i="1"/>
  <c r="B574" i="1"/>
  <c r="X565" i="1"/>
  <c r="X566" i="1"/>
  <c r="X568" i="1"/>
  <c r="Y24" i="1"/>
  <c r="Z27" i="1"/>
  <c r="BN27" i="1"/>
  <c r="Z29" i="1"/>
  <c r="BN29" i="1"/>
  <c r="Z35" i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BN141" i="1"/>
  <c r="Z145" i="1"/>
  <c r="Z147" i="1" s="1"/>
  <c r="BN145" i="1"/>
  <c r="Y147" i="1"/>
  <c r="BP152" i="1"/>
  <c r="BN152" i="1"/>
  <c r="Z152" i="1"/>
  <c r="Z155" i="1" s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Z246" i="1"/>
  <c r="BP244" i="1"/>
  <c r="BN244" i="1"/>
  <c r="Z244" i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Z291" i="1" s="1"/>
  <c r="Y291" i="1"/>
  <c r="BP363" i="1"/>
  <c r="BN363" i="1"/>
  <c r="Z363" i="1"/>
  <c r="Z365" i="1" s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Z302" i="1" s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Z343" i="1" s="1"/>
  <c r="Y343" i="1"/>
  <c r="Z349" i="1"/>
  <c r="BP347" i="1"/>
  <c r="BN347" i="1"/>
  <c r="Z347" i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Z393" i="1" s="1"/>
  <c r="BP398" i="1"/>
  <c r="BN398" i="1"/>
  <c r="Z398" i="1"/>
  <c r="Y407" i="1"/>
  <c r="BP402" i="1"/>
  <c r="BN402" i="1"/>
  <c r="Z402" i="1"/>
  <c r="Y406" i="1"/>
  <c r="BP410" i="1"/>
  <c r="BN410" i="1"/>
  <c r="Z410" i="1"/>
  <c r="Z412" i="1" s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Z433" i="1" s="1"/>
  <c r="BP440" i="1"/>
  <c r="BN440" i="1"/>
  <c r="Z440" i="1"/>
  <c r="BP444" i="1"/>
  <c r="BN444" i="1"/>
  <c r="Z444" i="1"/>
  <c r="Y453" i="1"/>
  <c r="Z458" i="1"/>
  <c r="BP456" i="1"/>
  <c r="BN456" i="1"/>
  <c r="Z456" i="1"/>
  <c r="Y463" i="1"/>
  <c r="BP477" i="1"/>
  <c r="BN477" i="1"/>
  <c r="Z477" i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Z518" i="1" s="1"/>
  <c r="BP514" i="1"/>
  <c r="BN514" i="1"/>
  <c r="Z514" i="1"/>
  <c r="Y518" i="1"/>
  <c r="BP522" i="1"/>
  <c r="BN522" i="1"/>
  <c r="Z522" i="1"/>
  <c r="Y535" i="1"/>
  <c r="BP530" i="1"/>
  <c r="BN530" i="1"/>
  <c r="Z530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490" i="1" l="1"/>
  <c r="Z127" i="1"/>
  <c r="Z67" i="1"/>
  <c r="Y568" i="1"/>
  <c r="Y565" i="1"/>
  <c r="Z317" i="1"/>
  <c r="Z534" i="1"/>
  <c r="Z524" i="1"/>
  <c r="Z479" i="1"/>
  <c r="Z406" i="1"/>
  <c r="Z376" i="1"/>
  <c r="Z272" i="1"/>
  <c r="Z142" i="1"/>
  <c r="Z120" i="1"/>
  <c r="Z113" i="1"/>
  <c r="Z102" i="1"/>
  <c r="Z95" i="1"/>
  <c r="Z74" i="1"/>
  <c r="Z55" i="1"/>
  <c r="Y566" i="1"/>
  <c r="Y567" i="1" s="1"/>
  <c r="Z46" i="1"/>
  <c r="Z36" i="1"/>
  <c r="Z31" i="1"/>
  <c r="X567" i="1"/>
  <c r="Z469" i="1"/>
  <c r="Z386" i="1"/>
  <c r="Z426" i="1"/>
  <c r="Z505" i="1"/>
  <c r="Z328" i="1"/>
  <c r="Z286" i="1"/>
  <c r="Z399" i="1"/>
  <c r="Z210" i="1"/>
  <c r="Z85" i="1"/>
  <c r="Y564" i="1"/>
  <c r="Z335" i="1"/>
  <c r="Z232" i="1"/>
  <c r="Z446" i="1"/>
  <c r="Z185" i="1"/>
  <c r="Z167" i="1"/>
  <c r="Z569" i="1" l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<sst xmlns="http://schemas.openxmlformats.org/spreadsheetml/2006/main" count="2536" uniqueCount="916">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</sst>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6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27" customFormat="1" ht="24" customHeight="1" x14ac:dyDescent="0.2">
      <c r="A6" s="761" t="s">
        <v>13</v>
      </c>
      <c r="B6" s="691"/>
      <c r="C6" s="692"/>
      <c r="D6" s="898"/>
      <c r="E6" s="899"/>
      <c r="F6" s="899"/>
      <c r="G6" s="899"/>
      <c r="H6" s="899"/>
      <c r="I6" s="899"/>
      <c r="J6" s="899"/>
      <c r="K6" s="899"/>
      <c r="L6" s="899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27" customFormat="1" ht="25.5" customHeight="1" x14ac:dyDescent="0.2">
      <c r="A8" s="997" t="s">
        <v>17</v>
      </c>
      <c r="B8" s="652"/>
      <c r="C8" s="653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9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27" customFormat="1" ht="39.950000000000003" customHeight="1" x14ac:dyDescent="0.2">
      <c r="A9" s="7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70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9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27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1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5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6"/>
      <c r="Q16" s="796"/>
      <c r="R16" s="796"/>
      <c r="S16" s="796"/>
      <c r="T16" s="7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9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4" t="s">
        <v>52</v>
      </c>
      <c r="Z17" s="891" t="s">
        <v>53</v>
      </c>
      <c r="AA17" s="868" t="s">
        <v>54</v>
      </c>
      <c r="AB17" s="868" t="s">
        <v>55</v>
      </c>
      <c r="AC17" s="868" t="s">
        <v>56</v>
      </c>
      <c r="AD17" s="868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5"/>
      <c r="Z18" s="892"/>
      <c r="AA18" s="869"/>
      <c r="AB18" s="869"/>
      <c r="AC18" s="869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128</v>
      </c>
      <c r="Y51" s="634">
        <f>IFERROR(IF(X51="",0,CEILING((X51/$H51),1)*$H51),"")</f>
        <v>129.60000000000002</v>
      </c>
      <c r="Z51" s="36">
        <f>IFERROR(IF(Y51=0,"",ROUNDUP(Y51/H51,0)*0.01898),"")</f>
        <v>0.22776000000000002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132.85925925925926</v>
      </c>
      <c r="BN51" s="64">
        <f>IFERROR(Y51*I51/H51,"0")</f>
        <v>134.52000000000001</v>
      </c>
      <c r="BO51" s="64">
        <f>IFERROR(1/J51*(X51/H51),"0")</f>
        <v>0.18518518518518517</v>
      </c>
      <c r="BP51" s="64">
        <f>IFERROR(1/J51*(Y51/H51),"0")</f>
        <v>0.18750000000000003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20</v>
      </c>
      <c r="Y54" s="634">
        <f>IFERROR(IF(X54="",0,CEILING((X54/$H54),1)*$H54),"")</f>
        <v>22.200000000000003</v>
      </c>
      <c r="Z54" s="36">
        <f>IFERROR(IF(Y54=0,"",ROUNDUP(Y54/H54,0)*0.00902),"")</f>
        <v>5.4120000000000001E-2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21.027027027027025</v>
      </c>
      <c r="BN54" s="64">
        <f>IFERROR(Y54*I54/H54,"0")</f>
        <v>23.340000000000003</v>
      </c>
      <c r="BO54" s="64">
        <f>IFERROR(1/J54*(X54/H54),"0")</f>
        <v>4.0950040950040949E-2</v>
      </c>
      <c r="BP54" s="64">
        <f>IFERROR(1/J54*(Y54/H54),"0")</f>
        <v>4.5454545454545463E-2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17.257257257257258</v>
      </c>
      <c r="Y55" s="635">
        <f>IFERROR(Y51/H51,"0")+IFERROR(Y52/H52,"0")+IFERROR(Y53/H53,"0")+IFERROR(Y54/H54,"0")</f>
        <v>18.000000000000004</v>
      </c>
      <c r="Z55" s="635">
        <f>IFERROR(IF(Z51="",0,Z51),"0")+IFERROR(IF(Z52="",0,Z52),"0")+IFERROR(IF(Z53="",0,Z53),"0")+IFERROR(IF(Z54="",0,Z54),"0")</f>
        <v>0.28188000000000002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148</v>
      </c>
      <c r="Y56" s="635">
        <f>IFERROR(SUM(Y51:Y54),"0")</f>
        <v>151.80000000000001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26</v>
      </c>
      <c r="Y66" s="634">
        <f t="shared" si="0"/>
        <v>27</v>
      </c>
      <c r="Z66" s="36">
        <f>IFERROR(IF(Y66=0,"",ROUNDUP(Y66/H66,0)*0.00902),"")</f>
        <v>5.4120000000000001E-2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27.097777777777779</v>
      </c>
      <c r="BN66" s="64">
        <f t="shared" si="2"/>
        <v>28.14</v>
      </c>
      <c r="BO66" s="64">
        <f t="shared" si="3"/>
        <v>4.3771043771043773E-2</v>
      </c>
      <c r="BP66" s="64">
        <f t="shared" si="4"/>
        <v>4.5454545454545456E-2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5.7777777777777777</v>
      </c>
      <c r="Y67" s="635">
        <f>IFERROR(Y59/H59,"0")+IFERROR(Y60/H60,"0")+IFERROR(Y61/H61,"0")+IFERROR(Y62/H62,"0")+IFERROR(Y63/H63,"0")+IFERROR(Y64/H64,"0")+IFERROR(Y65/H65,"0")+IFERROR(Y66/H66,"0")</f>
        <v>6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5.4120000000000001E-2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26</v>
      </c>
      <c r="Y68" s="635">
        <f>IFERROR(SUM(Y59:Y66),"0")</f>
        <v>27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hidden="1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0</v>
      </c>
      <c r="Y70" s="63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0</v>
      </c>
      <c r="Y74" s="635">
        <f>IFERROR(Y70/H70,"0")+IFERROR(Y71/H71,"0")+IFERROR(Y72/H72,"0")+IFERROR(Y73/H73,"0")</f>
        <v>0</v>
      </c>
      <c r="Z74" s="635">
        <f>IFERROR(IF(Z70="",0,Z70),"0")+IFERROR(IF(Z71="",0,Z71),"0")+IFERROR(IF(Z72="",0,Z72),"0")+IFERROR(IF(Z73="",0,Z73),"0")</f>
        <v>0</v>
      </c>
      <c r="AA74" s="636"/>
      <c r="AB74" s="636"/>
      <c r="AC74" s="636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0</v>
      </c>
      <c r="Y75" s="635">
        <f>IFERROR(SUM(Y70:Y73),"0")</f>
        <v>0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329</v>
      </c>
      <c r="Y89" s="634">
        <f t="shared" ref="Y89:Y94" si="5">IFERROR(IF(X89="",0,CEILING((X89/$H89),1)*$H89),"")</f>
        <v>334.8</v>
      </c>
      <c r="Z89" s="36">
        <f>IFERROR(IF(Y89=0,"",ROUNDUP(Y89/H89,0)*0.01898),"")</f>
        <v>0.58838000000000001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341.48981481481479</v>
      </c>
      <c r="BN89" s="64">
        <f t="shared" ref="BN89:BN94" si="7">IFERROR(Y89*I89/H89,"0")</f>
        <v>347.51000000000005</v>
      </c>
      <c r="BO89" s="64">
        <f t="shared" ref="BO89:BO94" si="8">IFERROR(1/J89*(X89/H89),"0")</f>
        <v>0.47598379629629628</v>
      </c>
      <c r="BP89" s="64">
        <f t="shared" ref="BP89:BP94" si="9">IFERROR(1/J89*(Y89/H89),"0")</f>
        <v>0.484375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97</v>
      </c>
      <c r="Y94" s="634">
        <f t="shared" si="5"/>
        <v>99</v>
      </c>
      <c r="Z94" s="36">
        <f>IFERROR(IF(Y94=0,"",ROUNDUP(Y94/H94,0)*0.00902),"")</f>
        <v>0.19844000000000001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101.09555555555556</v>
      </c>
      <c r="BN94" s="64">
        <f t="shared" si="7"/>
        <v>103.18</v>
      </c>
      <c r="BO94" s="64">
        <f t="shared" si="8"/>
        <v>0.16329966329966331</v>
      </c>
      <c r="BP94" s="64">
        <f t="shared" si="9"/>
        <v>0.16666666666666669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52.018518518518519</v>
      </c>
      <c r="Y95" s="635">
        <f>IFERROR(Y89/H89,"0")+IFERROR(Y90/H90,"0")+IFERROR(Y91/H91,"0")+IFERROR(Y92/H92,"0")+IFERROR(Y93/H93,"0")+IFERROR(Y94/H94,"0")</f>
        <v>53</v>
      </c>
      <c r="Z95" s="635">
        <f>IFERROR(IF(Z89="",0,Z89),"0")+IFERROR(IF(Z90="",0,Z90),"0")+IFERROR(IF(Z91="",0,Z91),"0")+IFERROR(IF(Z92="",0,Z92),"0")+IFERROR(IF(Z93="",0,Z93),"0")+IFERROR(IF(Z94="",0,Z94),"0")</f>
        <v>0.78682000000000007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426</v>
      </c>
      <c r="Y96" s="635">
        <f>IFERROR(SUM(Y89:Y94),"0")</f>
        <v>433.8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205</v>
      </c>
      <c r="Y98" s="634">
        <f>IFERROR(IF(X98="",0,CEILING((X98/$H98),1)*$H98),"")</f>
        <v>210.6</v>
      </c>
      <c r="Z98" s="36">
        <f>IFERROR(IF(Y98=0,"",ROUNDUP(Y98/H98,0)*0.01898),"")</f>
        <v>0.49348000000000003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217.50246913580247</v>
      </c>
      <c r="BN98" s="64">
        <f>IFERROR(Y98*I98/H98,"0")</f>
        <v>223.44399999999999</v>
      </c>
      <c r="BO98" s="64">
        <f>IFERROR(1/J98*(X98/H98),"0")</f>
        <v>0.39544753086419754</v>
      </c>
      <c r="BP98" s="64">
        <f>IFERROR(1/J98*(Y98/H98),"0")</f>
        <v>0.40625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265</v>
      </c>
      <c r="Y100" s="634">
        <f>IFERROR(IF(X100="",0,CEILING((X100/$H100),1)*$H100),"")</f>
        <v>267.3</v>
      </c>
      <c r="Z100" s="36">
        <f>IFERROR(IF(Y100=0,"",ROUNDUP(Y100/H100,0)*0.00651),"")</f>
        <v>0.64449000000000001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289.73333333333329</v>
      </c>
      <c r="BN100" s="64">
        <f>IFERROR(Y100*I100/H100,"0")</f>
        <v>292.24799999999999</v>
      </c>
      <c r="BO100" s="64">
        <f>IFERROR(1/J100*(X100/H100),"0")</f>
        <v>0.53927553927553928</v>
      </c>
      <c r="BP100" s="64">
        <f>IFERROR(1/J100*(Y100/H100),"0")</f>
        <v>0.54395604395604402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123.45679012345678</v>
      </c>
      <c r="Y102" s="635">
        <f>IFERROR(Y98/H98,"0")+IFERROR(Y99/H99,"0")+IFERROR(Y100/H100,"0")+IFERROR(Y101/H101,"0")</f>
        <v>125</v>
      </c>
      <c r="Z102" s="635">
        <f>IFERROR(IF(Z98="",0,Z98),"0")+IFERROR(IF(Z99="",0,Z99),"0")+IFERROR(IF(Z100="",0,Z100),"0")+IFERROR(IF(Z101="",0,Z101),"0")</f>
        <v>1.1379700000000001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470</v>
      </c>
      <c r="Y103" s="635">
        <f>IFERROR(SUM(Y98:Y101),"0")</f>
        <v>477.9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93</v>
      </c>
      <c r="Y106" s="634">
        <f t="shared" ref="Y106:Y112" si="10">IFERROR(IF(X106="",0,CEILING((X106/$H106),1)*$H106),"")</f>
        <v>97.2</v>
      </c>
      <c r="Z106" s="36">
        <f>IFERROR(IF(Y106=0,"",ROUNDUP(Y106/H106,0)*0.01898),"")</f>
        <v>0.17082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96.530555555555551</v>
      </c>
      <c r="BN106" s="64">
        <f t="shared" ref="BN106:BN112" si="12">IFERROR(Y106*I106/H106,"0")</f>
        <v>100.89</v>
      </c>
      <c r="BO106" s="64">
        <f t="shared" ref="BO106:BO112" si="13">IFERROR(1/J106*(X106/H106),"0")</f>
        <v>0.1345486111111111</v>
      </c>
      <c r="BP106" s="64">
        <f t="shared" ref="BP106:BP112" si="14">IFERROR(1/J106*(Y106/H106),"0")</f>
        <v>0.140625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139</v>
      </c>
      <c r="Y110" s="634">
        <f t="shared" si="10"/>
        <v>139.5</v>
      </c>
      <c r="Z110" s="36">
        <f>IFERROR(IF(Y110=0,"",ROUNDUP(Y110/H110,0)*0.00902),"")</f>
        <v>0.27961999999999998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144.8688888888889</v>
      </c>
      <c r="BN110" s="64">
        <f t="shared" si="12"/>
        <v>145.39000000000001</v>
      </c>
      <c r="BO110" s="64">
        <f t="shared" si="13"/>
        <v>0.23400673400673402</v>
      </c>
      <c r="BP110" s="64">
        <f t="shared" si="14"/>
        <v>0.23484848484848486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39.5</v>
      </c>
      <c r="Y113" s="635">
        <f>IFERROR(Y106/H106,"0")+IFERROR(Y107/H107,"0")+IFERROR(Y108/H108,"0")+IFERROR(Y109/H109,"0")+IFERROR(Y110/H110,"0")+IFERROR(Y111/H111,"0")+IFERROR(Y112/H112,"0")</f>
        <v>40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0.45043999999999995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232</v>
      </c>
      <c r="Y114" s="635">
        <f>IFERROR(SUM(Y106:Y112),"0")</f>
        <v>236.7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1744</v>
      </c>
      <c r="Y123" s="634">
        <f>IFERROR(IF(X123="",0,CEILING((X123/$H123),1)*$H123),"")</f>
        <v>1749.6</v>
      </c>
      <c r="Z123" s="36">
        <f>IFERROR(IF(Y123=0,"",ROUNDUP(Y123/H123,0)*0.01898),"")</f>
        <v>4.0996800000000002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1849.0706172839505</v>
      </c>
      <c r="BN123" s="64">
        <f>IFERROR(Y123*I123/H123,"0")</f>
        <v>1855.0079999999998</v>
      </c>
      <c r="BO123" s="64">
        <f>IFERROR(1/J123*(X123/H123),"0")</f>
        <v>3.3641975308641978</v>
      </c>
      <c r="BP123" s="64">
        <f>IFERROR(1/J123*(Y123/H123),"0")</f>
        <v>3.375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554</v>
      </c>
      <c r="Y125" s="634">
        <f>IFERROR(IF(X125="",0,CEILING((X125/$H125),1)*$H125),"")</f>
        <v>556.20000000000005</v>
      </c>
      <c r="Z125" s="36">
        <f>IFERROR(IF(Y125=0,"",ROUNDUP(Y125/H125,0)*0.00651),"")</f>
        <v>1.3410600000000001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605.70666666666659</v>
      </c>
      <c r="BN125" s="64">
        <f>IFERROR(Y125*I125/H125,"0")</f>
        <v>608.11200000000008</v>
      </c>
      <c r="BO125" s="64">
        <f>IFERROR(1/J125*(X125/H125),"0")</f>
        <v>1.1273911273911275</v>
      </c>
      <c r="BP125" s="64">
        <f>IFERROR(1/J125*(Y125/H125),"0")</f>
        <v>1.1318681318681321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420.49382716049382</v>
      </c>
      <c r="Y127" s="635">
        <f>IFERROR(Y123/H123,"0")+IFERROR(Y124/H124,"0")+IFERROR(Y125/H125,"0")+IFERROR(Y126/H126,"0")</f>
        <v>422</v>
      </c>
      <c r="Z127" s="635">
        <f>IFERROR(IF(Z123="",0,Z123),"0")+IFERROR(IF(Z124="",0,Z124),"0")+IFERROR(IF(Z125="",0,Z125),"0")+IFERROR(IF(Z126="",0,Z126),"0")</f>
        <v>5.4407399999999999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2298</v>
      </c>
      <c r="Y128" s="635">
        <f>IFERROR(SUM(Y123:Y126),"0")</f>
        <v>2305.8000000000002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23</v>
      </c>
      <c r="Y135" s="634">
        <f>IFERROR(IF(X135="",0,CEILING((X135/$H135),1)*$H135),"")</f>
        <v>25.6</v>
      </c>
      <c r="Z135" s="36">
        <f>IFERROR(IF(Y135=0,"",ROUNDUP(Y135/H135,0)*0.00651),"")</f>
        <v>5.2080000000000001E-2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24.293749999999996</v>
      </c>
      <c r="BN135" s="64">
        <f>IFERROR(Y135*I135/H135,"0")</f>
        <v>27.04</v>
      </c>
      <c r="BO135" s="64">
        <f>IFERROR(1/J135*(X135/H135),"0")</f>
        <v>3.9491758241758247E-2</v>
      </c>
      <c r="BP135" s="64">
        <f>IFERROR(1/J135*(Y135/H135),"0")</f>
        <v>4.3956043956043959E-2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7.1875</v>
      </c>
      <c r="Y137" s="635">
        <f>IFERROR(Y135/H135,"0")+IFERROR(Y136/H136,"0")</f>
        <v>8</v>
      </c>
      <c r="Z137" s="635">
        <f>IFERROR(IF(Z135="",0,Z135),"0")+IFERROR(IF(Z136="",0,Z136),"0")</f>
        <v>5.2080000000000001E-2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23</v>
      </c>
      <c r="Y138" s="635">
        <f>IFERROR(SUM(Y135:Y136),"0")</f>
        <v>25.6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hidden="1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0</v>
      </c>
      <c r="Y140" s="63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0</v>
      </c>
      <c r="Y142" s="635">
        <f>IFERROR(Y140/H140,"0")+IFERROR(Y141/H141,"0")</f>
        <v>0</v>
      </c>
      <c r="Z142" s="635">
        <f>IFERROR(IF(Z140="",0,Z140),"0")+IFERROR(IF(Z141="",0,Z141),"0")</f>
        <v>0</v>
      </c>
      <c r="AA142" s="636"/>
      <c r="AB142" s="636"/>
      <c r="AC142" s="636"/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0</v>
      </c>
      <c r="Y143" s="635">
        <f>IFERROR(SUM(Y140:Y141),"0")</f>
        <v>0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hidden="1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0</v>
      </c>
      <c r="Y175" s="634">
        <f t="shared" ref="Y175:Y184" si="15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0</v>
      </c>
      <c r="BN175" s="64">
        <f t="shared" ref="BN175:BN184" si="17">IFERROR(Y175*I175/H175,"0")</f>
        <v>0</v>
      </c>
      <c r="BO175" s="64">
        <f t="shared" ref="BO175:BO184" si="18">IFERROR(1/J175*(X175/H175),"0")</f>
        <v>0</v>
      </c>
      <c r="BP175" s="64">
        <f t="shared" ref="BP175:BP184" si="19">IFERROR(1/J175*(Y175/H175),"0")</f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0</v>
      </c>
      <c r="Y177" s="634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45</v>
      </c>
      <c r="Y180" s="634">
        <f t="shared" si="15"/>
        <v>45.36</v>
      </c>
      <c r="Z180" s="36">
        <f>IFERROR(IF(Y180=0,"",ROUNDUP(Y180/H180,0)*0.00502),"")</f>
        <v>0.13553999999999999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47.678571428571423</v>
      </c>
      <c r="BN180" s="64">
        <f t="shared" si="17"/>
        <v>48.060000000000009</v>
      </c>
      <c r="BO180" s="64">
        <f t="shared" si="18"/>
        <v>0.11446886446886449</v>
      </c>
      <c r="BP180" s="64">
        <f t="shared" si="19"/>
        <v>0.11538461538461539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129</v>
      </c>
      <c r="Y182" s="634">
        <f t="shared" si="15"/>
        <v>129.35999999999999</v>
      </c>
      <c r="Z182" s="36">
        <f>IFERROR(IF(Y182=0,"",ROUNDUP(Y182/H182,0)*0.00502),"")</f>
        <v>0.38653999999999999</v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136.67857142857144</v>
      </c>
      <c r="BN182" s="64">
        <f t="shared" si="17"/>
        <v>137.06</v>
      </c>
      <c r="BO182" s="64">
        <f t="shared" si="18"/>
        <v>0.3281440781440782</v>
      </c>
      <c r="BP182" s="64">
        <f t="shared" si="19"/>
        <v>0.32905982905982911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103.57142857142858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104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0.52207999999999999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174</v>
      </c>
      <c r="Y186" s="635">
        <f>IFERROR(SUM(Y175:Y184),"0")</f>
        <v>174.71999999999997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0</v>
      </c>
      <c r="Y220" s="634">
        <f t="shared" si="26"/>
        <v>0</v>
      </c>
      <c r="Z220" s="36" t="str">
        <f>IFERROR(IF(Y220=0,"",ROUNDUP(Y220/H220,0)*0.00902),"")</f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0</v>
      </c>
      <c r="Y223" s="634">
        <f t="shared" si="26"/>
        <v>0</v>
      </c>
      <c r="Z223" s="36" t="str">
        <f>IFERROR(IF(Y223=0,"",ROUNDUP(Y223/H223,0)*0.00502),"")</f>
        <v/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63</v>
      </c>
      <c r="Y229" s="634">
        <f t="shared" si="26"/>
        <v>63</v>
      </c>
      <c r="Z229" s="36">
        <f>IFERROR(IF(Y229=0,"",ROUNDUP(Y229/H229,0)*0.00502),"")</f>
        <v>0.15060000000000001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66.000000000000014</v>
      </c>
      <c r="BN229" s="64">
        <f t="shared" si="28"/>
        <v>66.000000000000014</v>
      </c>
      <c r="BO229" s="64">
        <f t="shared" si="29"/>
        <v>0.12820512820512822</v>
      </c>
      <c r="BP229" s="64">
        <f t="shared" si="30"/>
        <v>0.12820512820512822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30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30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0.15060000000000001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63</v>
      </c>
      <c r="Y233" s="635">
        <f>IFERROR(SUM(Y218:Y231),"0")</f>
        <v>63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96</v>
      </c>
      <c r="Y264" s="634">
        <f t="shared" ref="Y264:Y271" si="31">IFERROR(IF(X264="",0,CEILING((X264/$H264),1)*$H264),"")</f>
        <v>97.2</v>
      </c>
      <c r="Z264" s="36">
        <f>IFERROR(IF(Y264=0,"",ROUNDUP(Y264/H264,0)*0.00902),"")</f>
        <v>0.16236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99.377777777777766</v>
      </c>
      <c r="BN264" s="64">
        <f t="shared" ref="BN264:BN271" si="33">IFERROR(Y264*I264/H264,"0")</f>
        <v>100.61999999999999</v>
      </c>
      <c r="BO264" s="64">
        <f t="shared" ref="BO264:BO271" si="34">IFERROR(1/J264*(X264/H264),"0")</f>
        <v>0.13468013468013465</v>
      </c>
      <c r="BP264" s="64">
        <f t="shared" ref="BP264:BP271" si="35">IFERROR(1/J264*(Y264/H264),"0")</f>
        <v>0.13636363636363635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123</v>
      </c>
      <c r="Y265" s="634">
        <f t="shared" si="31"/>
        <v>124.2</v>
      </c>
      <c r="Z265" s="36">
        <f>IFERROR(IF(Y265=0,"",ROUNDUP(Y265/H265,0)*0.00902),"")</f>
        <v>0.20746000000000001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127.32777777777775</v>
      </c>
      <c r="BN265" s="64">
        <f t="shared" si="33"/>
        <v>128.57</v>
      </c>
      <c r="BO265" s="64">
        <f t="shared" si="34"/>
        <v>0.17255892255892255</v>
      </c>
      <c r="BP265" s="64">
        <f t="shared" si="35"/>
        <v>0.17424242424242425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83</v>
      </c>
      <c r="Y266" s="634">
        <f t="shared" si="31"/>
        <v>86.4</v>
      </c>
      <c r="Z266" s="36">
        <f>IFERROR(IF(Y266=0,"",ROUNDUP(Y266/H266,0)*0.00902),"")</f>
        <v>0.14432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85.920370370370364</v>
      </c>
      <c r="BN266" s="64">
        <f t="shared" si="33"/>
        <v>89.44</v>
      </c>
      <c r="BO266" s="64">
        <f t="shared" si="34"/>
        <v>0.11644219977553311</v>
      </c>
      <c r="BP266" s="64">
        <f t="shared" si="35"/>
        <v>0.12121212121212122</v>
      </c>
    </row>
    <row r="267" spans="1:68" ht="27" hidden="1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0</v>
      </c>
      <c r="Y267" s="634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0</v>
      </c>
      <c r="Y268" s="634">
        <f t="shared" si="31"/>
        <v>0</v>
      </c>
      <c r="Z268" s="36" t="str">
        <f>IFERROR(IF(Y268=0,"",ROUNDUP(Y268/H268,0)*0.00502),"")</f>
        <v/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0</v>
      </c>
      <c r="Y269" s="634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0</v>
      </c>
      <c r="Y271" s="634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55.925925925925924</v>
      </c>
      <c r="Y272" s="635">
        <f>IFERROR(Y264/H264,"0")+IFERROR(Y265/H265,"0")+IFERROR(Y266/H266,"0")+IFERROR(Y267/H267,"0")+IFERROR(Y268/H268,"0")+IFERROR(Y269/H269,"0")+IFERROR(Y270/H270,"0")+IFERROR(Y271/H271,"0")</f>
        <v>57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0.51414000000000004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302</v>
      </c>
      <c r="Y273" s="635">
        <f>IFERROR(SUM(Y264:Y271),"0")</f>
        <v>307.8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626</v>
      </c>
      <c r="Y275" s="634">
        <f t="shared" ref="Y275:Y285" si="36">IFERROR(IF(X275="",0,CEILING((X275/$H275),1)*$H275),"")</f>
        <v>631.79999999999995</v>
      </c>
      <c r="Z275" s="36">
        <f>IFERROR(IF(Y275=0,"",ROUNDUP(Y275/H275,0)*0.01898),"")</f>
        <v>1.48044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664.17827160493835</v>
      </c>
      <c r="BN275" s="64">
        <f t="shared" ref="BN275:BN285" si="38">IFERROR(Y275*I275/H275,"0")</f>
        <v>670.33199999999988</v>
      </c>
      <c r="BO275" s="64">
        <f t="shared" ref="BO275:BO285" si="39">IFERROR(1/J275*(X275/H275),"0")</f>
        <v>1.2075617283950617</v>
      </c>
      <c r="BP275" s="64">
        <f t="shared" ref="BP275:BP285" si="40">IFERROR(1/J275*(Y275/H275),"0")</f>
        <v>1.21875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75</v>
      </c>
      <c r="Y276" s="634">
        <f t="shared" si="36"/>
        <v>81</v>
      </c>
      <c r="Z276" s="36">
        <f>IFERROR(IF(Y276=0,"",ROUNDUP(Y276/H276,0)*0.01898),"")</f>
        <v>0.1898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79.407407407407419</v>
      </c>
      <c r="BN276" s="64">
        <f t="shared" si="38"/>
        <v>85.76</v>
      </c>
      <c r="BO276" s="64">
        <f t="shared" si="39"/>
        <v>0.14467592592592593</v>
      </c>
      <c r="BP276" s="64">
        <f t="shared" si="40"/>
        <v>0.15625</v>
      </c>
    </row>
    <row r="277" spans="1:68" ht="27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154</v>
      </c>
      <c r="Y277" s="634">
        <f t="shared" si="36"/>
        <v>156.6</v>
      </c>
      <c r="Z277" s="36">
        <f>IFERROR(IF(Y277=0,"",ROUNDUP(Y277/H277,0)*0.01898),"")</f>
        <v>0.34164</v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162.74436781609199</v>
      </c>
      <c r="BN277" s="64">
        <f t="shared" si="38"/>
        <v>165.49200000000002</v>
      </c>
      <c r="BO277" s="64">
        <f t="shared" si="39"/>
        <v>0.27658045977011497</v>
      </c>
      <c r="BP277" s="64">
        <f t="shared" si="40"/>
        <v>0.28125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119</v>
      </c>
      <c r="Y278" s="634">
        <f t="shared" si="36"/>
        <v>120</v>
      </c>
      <c r="Z278" s="36">
        <f>IFERROR(IF(Y278=0,"",ROUNDUP(Y278/H278,0)*0.00651),"")</f>
        <v>0.32550000000000001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132.38750000000002</v>
      </c>
      <c r="BN278" s="64">
        <f t="shared" si="38"/>
        <v>133.5</v>
      </c>
      <c r="BO278" s="64">
        <f t="shared" si="39"/>
        <v>0.27243589743589747</v>
      </c>
      <c r="BP278" s="64">
        <f t="shared" si="40"/>
        <v>0.27472527472527475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698</v>
      </c>
      <c r="Y280" s="634">
        <f t="shared" si="36"/>
        <v>698.4</v>
      </c>
      <c r="Z280" s="36">
        <f>IFERROR(IF(Y280=0,"",ROUNDUP(Y280/H280,0)*0.00651),"")</f>
        <v>1.8944100000000001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771.29000000000008</v>
      </c>
      <c r="BN280" s="64">
        <f t="shared" si="38"/>
        <v>771.73199999999997</v>
      </c>
      <c r="BO280" s="64">
        <f t="shared" si="39"/>
        <v>1.5979853479853483</v>
      </c>
      <c r="BP280" s="64">
        <f t="shared" si="40"/>
        <v>1.598901098901099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165</v>
      </c>
      <c r="Y282" s="634">
        <f t="shared" si="36"/>
        <v>165.6</v>
      </c>
      <c r="Z282" s="36">
        <f>IFERROR(IF(Y282=0,"",ROUNDUP(Y282/H282,0)*0.00651),"")</f>
        <v>0.44919000000000003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182.32500000000002</v>
      </c>
      <c r="BN282" s="64">
        <f t="shared" si="38"/>
        <v>182.988</v>
      </c>
      <c r="BO282" s="64">
        <f t="shared" si="39"/>
        <v>0.37774725274725279</v>
      </c>
      <c r="BP282" s="64">
        <f t="shared" si="40"/>
        <v>0.37912087912087916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115</v>
      </c>
      <c r="Y283" s="634">
        <f t="shared" si="36"/>
        <v>115.19999999999999</v>
      </c>
      <c r="Z283" s="36">
        <f>IFERROR(IF(Y283=0,"",ROUNDUP(Y283/H283,0)*0.00651),"")</f>
        <v>0.31247999999999998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127.07500000000002</v>
      </c>
      <c r="BN283" s="64">
        <f t="shared" si="38"/>
        <v>127.29600000000001</v>
      </c>
      <c r="BO283" s="64">
        <f t="shared" si="39"/>
        <v>0.26327838827838834</v>
      </c>
      <c r="BP283" s="64">
        <f t="shared" si="40"/>
        <v>0.26373626373626374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0</v>
      </c>
      <c r="Y284" s="634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561.32769263516388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564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4.9934599999999998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1952</v>
      </c>
      <c r="Y287" s="635">
        <f>IFERROR(SUM(Y275:Y285),"0")</f>
        <v>1968.6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81</v>
      </c>
      <c r="Y334" s="634">
        <f>IFERROR(IF(X334="",0,CEILING((X334/$H334),1)*$H334),"")</f>
        <v>81.599999999999994</v>
      </c>
      <c r="Z334" s="36">
        <f>IFERROR(IF(Y334=0,"",ROUNDUP(Y334/H334,0)*0.00651),"")</f>
        <v>0.22134000000000001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87.075000000000017</v>
      </c>
      <c r="BN334" s="64">
        <f>IFERROR(Y334*I334/H334,"0")</f>
        <v>87.72</v>
      </c>
      <c r="BO334" s="64">
        <f>IFERROR(1/J334*(X334/H334),"0")</f>
        <v>0.18543956043956045</v>
      </c>
      <c r="BP334" s="64">
        <f>IFERROR(1/J334*(Y334/H334),"0")</f>
        <v>0.18681318681318682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33.75</v>
      </c>
      <c r="Y335" s="635">
        <f>IFERROR(Y332/H332,"0")+IFERROR(Y333/H333,"0")+IFERROR(Y334/H334,"0")</f>
        <v>34</v>
      </c>
      <c r="Z335" s="635">
        <f>IFERROR(IF(Z332="",0,Z332),"0")+IFERROR(IF(Z333="",0,Z333),"0")+IFERROR(IF(Z334="",0,Z334),"0")</f>
        <v>0.22134000000000001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81</v>
      </c>
      <c r="Y336" s="635">
        <f>IFERROR(SUM(Y332:Y334),"0")</f>
        <v>81.599999999999994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hidden="1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308</v>
      </c>
      <c r="Y363" s="634">
        <f>IFERROR(IF(X363="",0,CEILING((X363/$H363),1)*$H363),"")</f>
        <v>312</v>
      </c>
      <c r="Z363" s="36">
        <f>IFERROR(IF(Y363=0,"",ROUNDUP(Y363/H363,0)*0.01898),"")</f>
        <v>0.75919999999999999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324.18974358974361</v>
      </c>
      <c r="BN363" s="64">
        <f>IFERROR(Y363*I363/H363,"0")</f>
        <v>328.40000000000009</v>
      </c>
      <c r="BO363" s="64">
        <f>IFERROR(1/J363*(X363/H363),"0")</f>
        <v>0.61698717948717952</v>
      </c>
      <c r="BP363" s="64">
        <f>IFERROR(1/J363*(Y363/H363),"0")</f>
        <v>0.625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39.487179487179489</v>
      </c>
      <c r="Y365" s="635">
        <f>IFERROR(Y362/H362,"0")+IFERROR(Y363/H363,"0")+IFERROR(Y364/H364,"0")</f>
        <v>40</v>
      </c>
      <c r="Z365" s="635">
        <f>IFERROR(IF(Z362="",0,Z362),"0")+IFERROR(IF(Z363="",0,Z363),"0")+IFERROR(IF(Z364="",0,Z364),"0")</f>
        <v>0.75919999999999999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308</v>
      </c>
      <c r="Y366" s="635">
        <f>IFERROR(SUM(Y362:Y364),"0")</f>
        <v>312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0</v>
      </c>
      <c r="Y385" s="634">
        <f t="shared" si="56"/>
        <v>0</v>
      </c>
      <c r="Z385" s="36" t="str">
        <f>IFERROR(IF(Y385=0,"",ROUNDUP(Y385/H385,0)*0.00651),"")</f>
        <v/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idden="1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0</v>
      </c>
      <c r="Y386" s="635">
        <f>IFERROR(Y379/H379,"0")+IFERROR(Y380/H380,"0")+IFERROR(Y381/H381,"0")+IFERROR(Y382/H382,"0")+IFERROR(Y383/H383,"0")+IFERROR(Y384/H384,"0")+IFERROR(Y385/H385,"0")</f>
        <v>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36"/>
      <c r="AB386" s="636"/>
      <c r="AC386" s="636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0</v>
      </c>
      <c r="Y387" s="635">
        <f>IFERROR(SUM(Y379:Y385),"0")</f>
        <v>0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421</v>
      </c>
      <c r="Y397" s="634">
        <f>IFERROR(IF(X397="",0,CEILING((X397/$H397),1)*$H397),"")</f>
        <v>421.2</v>
      </c>
      <c r="Z397" s="36">
        <f>IFERROR(IF(Y397=0,"",ROUNDUP(Y397/H397,0)*0.01898),"")</f>
        <v>1.0249200000000001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447.66333333333341</v>
      </c>
      <c r="BN397" s="64">
        <f>IFERROR(Y397*I397/H397,"0")</f>
        <v>447.87600000000003</v>
      </c>
      <c r="BO397" s="64">
        <f>IFERROR(1/J397*(X397/H397),"0")</f>
        <v>0.84334935897435903</v>
      </c>
      <c r="BP397" s="64">
        <f>IFERROR(1/J397*(Y397/H397),"0")</f>
        <v>0.84375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53.974358974358978</v>
      </c>
      <c r="Y399" s="635">
        <f>IFERROR(Y396/H396,"0")+IFERROR(Y397/H397,"0")+IFERROR(Y398/H398,"0")</f>
        <v>54</v>
      </c>
      <c r="Z399" s="635">
        <f>IFERROR(IF(Z396="",0,Z396),"0")+IFERROR(IF(Z397="",0,Z397),"0")+IFERROR(IF(Z398="",0,Z398),"0")</f>
        <v>1.0249200000000001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421</v>
      </c>
      <c r="Y400" s="635">
        <f>IFERROR(SUM(Y396:Y398),"0")</f>
        <v>421.2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16</v>
      </c>
      <c r="Y404" s="634">
        <f>IFERROR(IF(X404="",0,CEILING((X404/$H404),1)*$H404),"")</f>
        <v>17.849999999999998</v>
      </c>
      <c r="Z404" s="36">
        <f>IFERROR(IF(Y404=0,"",ROUNDUP(Y404/H404,0)*0.00651),"")</f>
        <v>4.5569999999999999E-2</v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18.541176470588237</v>
      </c>
      <c r="BN404" s="64">
        <f>IFERROR(Y404*I404/H404,"0")</f>
        <v>20.684999999999999</v>
      </c>
      <c r="BO404" s="64">
        <f>IFERROR(1/J404*(X404/H404),"0")</f>
        <v>3.4475328592975661E-2</v>
      </c>
      <c r="BP404" s="64">
        <f>IFERROR(1/J404*(Y404/H404),"0")</f>
        <v>3.8461538461538464E-2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6.2745098039215694</v>
      </c>
      <c r="Y406" s="635">
        <f>IFERROR(Y402/H402,"0")+IFERROR(Y403/H403,"0")+IFERROR(Y404/H404,"0")+IFERROR(Y405/H405,"0")</f>
        <v>7</v>
      </c>
      <c r="Z406" s="635">
        <f>IFERROR(IF(Z402="",0,Z402),"0")+IFERROR(IF(Z403="",0,Z403),"0")+IFERROR(IF(Z404="",0,Z404),"0")+IFERROR(IF(Z405="",0,Z405),"0")</f>
        <v>4.5569999999999999E-2</v>
      </c>
      <c r="AA406" s="636"/>
      <c r="AB406" s="636"/>
      <c r="AC406" s="636"/>
    </row>
    <row r="407" spans="1:68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16</v>
      </c>
      <c r="Y407" s="635">
        <f>IFERROR(SUM(Y402:Y405),"0")</f>
        <v>17.849999999999998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hidden="1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0</v>
      </c>
      <c r="Y409" s="634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0</v>
      </c>
      <c r="Y410" s="634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0</v>
      </c>
      <c r="Y411" s="634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0</v>
      </c>
      <c r="Y412" s="635">
        <f>IFERROR(Y409/H409,"0")+IFERROR(Y410/H410,"0")+IFERROR(Y411/H411,"0")</f>
        <v>0</v>
      </c>
      <c r="Z412" s="635">
        <f>IFERROR(IF(Z409="",0,Z409),"0")+IFERROR(IF(Z410="",0,Z410),"0")+IFERROR(IF(Z411="",0,Z411),"0")</f>
        <v>0</v>
      </c>
      <c r="AA412" s="636"/>
      <c r="AB412" s="636"/>
      <c r="AC412" s="636"/>
    </row>
    <row r="413" spans="1:68" hidden="1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0</v>
      </c>
      <c r="Y413" s="635">
        <f>IFERROR(SUM(Y409:Y411),"0")</f>
        <v>0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7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30</v>
      </c>
      <c r="Y432" s="634">
        <f>IFERROR(IF(X432="",0,CEILING((X432/$H432),1)*$H432),"")</f>
        <v>31.5</v>
      </c>
      <c r="Z432" s="36">
        <f>IFERROR(IF(Y432=0,"",ROUNDUP(Y432/H432,0)*0.00651),"")</f>
        <v>9.7650000000000001E-2</v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33.428571428571423</v>
      </c>
      <c r="BN432" s="64">
        <f>IFERROR(Y432*I432/H432,"0")</f>
        <v>35.099999999999994</v>
      </c>
      <c r="BO432" s="64">
        <f>IFERROR(1/J432*(X432/H432),"0")</f>
        <v>7.8492935635792779E-2</v>
      </c>
      <c r="BP432" s="64">
        <f>IFERROR(1/J432*(Y432/H432),"0")</f>
        <v>8.241758241758243E-2</v>
      </c>
    </row>
    <row r="433" spans="1:68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14.285714285714285</v>
      </c>
      <c r="Y433" s="635">
        <f>IFERROR(Y430/H430,"0")+IFERROR(Y431/H431,"0")+IFERROR(Y432/H432,"0")</f>
        <v>15</v>
      </c>
      <c r="Z433" s="635">
        <f>IFERROR(IF(Z430="",0,Z430),"0")+IFERROR(IF(Z431="",0,Z431),"0")+IFERROR(IF(Z432="",0,Z432),"0")</f>
        <v>9.7650000000000001E-2</v>
      </c>
      <c r="AA433" s="636"/>
      <c r="AB433" s="636"/>
      <c r="AC433" s="636"/>
    </row>
    <row r="434" spans="1:68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30</v>
      </c>
      <c r="Y434" s="635">
        <f>IFERROR(SUM(Y430:Y432),"0")</f>
        <v>31.5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1744</v>
      </c>
      <c r="Y439" s="634">
        <f t="shared" si="61"/>
        <v>1755</v>
      </c>
      <c r="Z439" s="36">
        <f>IFERROR(IF(Y439=0,"",ROUNDUP(Y439/H439,0)*0.02175),"")</f>
        <v>2.5447499999999996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1798.6453333333334</v>
      </c>
      <c r="BN439" s="64">
        <f t="shared" si="63"/>
        <v>1809.9900000000002</v>
      </c>
      <c r="BO439" s="64">
        <f t="shared" si="64"/>
        <v>2.4222222222222221</v>
      </c>
      <c r="BP439" s="64">
        <f t="shared" si="65"/>
        <v>2.4375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410</v>
      </c>
      <c r="Y440" s="634">
        <f t="shared" si="61"/>
        <v>420</v>
      </c>
      <c r="Z440" s="36">
        <f>IFERROR(IF(Y440=0,"",ROUNDUP(Y440/H440,0)*0.02175),"")</f>
        <v>0.60899999999999999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422.84666666666664</v>
      </c>
      <c r="BN440" s="64">
        <f t="shared" si="63"/>
        <v>433.16</v>
      </c>
      <c r="BO440" s="64">
        <f t="shared" si="64"/>
        <v>0.56944444444444442</v>
      </c>
      <c r="BP440" s="64">
        <f t="shared" si="65"/>
        <v>0.58333333333333326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1642</v>
      </c>
      <c r="Y441" s="634">
        <f t="shared" si="61"/>
        <v>1650</v>
      </c>
      <c r="Z441" s="36">
        <f>IFERROR(IF(Y441=0,"",ROUNDUP(Y441/H441,0)*0.02175),"")</f>
        <v>2.3924999999999996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1693.4493333333335</v>
      </c>
      <c r="BN441" s="64">
        <f t="shared" si="63"/>
        <v>1701.7</v>
      </c>
      <c r="BO441" s="64">
        <f t="shared" si="64"/>
        <v>2.2805555555555554</v>
      </c>
      <c r="BP441" s="64">
        <f t="shared" si="65"/>
        <v>2.2916666666666665</v>
      </c>
    </row>
    <row r="442" spans="1:68" ht="27" hidden="1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0</v>
      </c>
      <c r="Y442" s="634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253.06666666666666</v>
      </c>
      <c r="Y446" s="635">
        <f>IFERROR(Y438/H438,"0")+IFERROR(Y439/H439,"0")+IFERROR(Y440/H440,"0")+IFERROR(Y441/H441,"0")+IFERROR(Y442/H442,"0")+IFERROR(Y443/H443,"0")+IFERROR(Y444/H444,"0")+IFERROR(Y445/H445,"0")</f>
        <v>255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5.5462499999999988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3796</v>
      </c>
      <c r="Y447" s="635">
        <f>IFERROR(SUM(Y438:Y445),"0")</f>
        <v>3825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950</v>
      </c>
      <c r="Y449" s="634">
        <f>IFERROR(IF(X449="",0,CEILING((X449/$H449),1)*$H449),"")</f>
        <v>960</v>
      </c>
      <c r="Z449" s="36">
        <f>IFERROR(IF(Y449=0,"",ROUNDUP(Y449/H449,0)*0.02175),"")</f>
        <v>1.3919999999999999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979.76666666666665</v>
      </c>
      <c r="BN449" s="64">
        <f>IFERROR(Y449*I449/H449,"0")</f>
        <v>990.08</v>
      </c>
      <c r="BO449" s="64">
        <f>IFERROR(1/J449*(X449/H449),"0")</f>
        <v>1.3194444444444444</v>
      </c>
      <c r="BP449" s="64">
        <f>IFERROR(1/J449*(Y449/H449),"0")</f>
        <v>1.3333333333333333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63.333333333333336</v>
      </c>
      <c r="Y452" s="635">
        <f>IFERROR(Y449/H449,"0")+IFERROR(Y450/H450,"0")+IFERROR(Y451/H451,"0")</f>
        <v>64</v>
      </c>
      <c r="Z452" s="635">
        <f>IFERROR(IF(Z449="",0,Z449),"0")+IFERROR(IF(Z450="",0,Z450),"0")+IFERROR(IF(Z451="",0,Z451),"0")</f>
        <v>1.3919999999999999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950</v>
      </c>
      <c r="Y453" s="635">
        <f>IFERROR(SUM(Y449:Y451),"0")</f>
        <v>960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771</v>
      </c>
      <c r="Y476" s="634">
        <f>IFERROR(IF(X476="",0,CEILING((X476/$H476),1)*$H476),"")</f>
        <v>774</v>
      </c>
      <c r="Z476" s="36">
        <f>IFERROR(IF(Y476=0,"",ROUNDUP(Y476/H476,0)*0.01898),"")</f>
        <v>1.63228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813.31933333333336</v>
      </c>
      <c r="BN476" s="64">
        <f>IFERROR(Y476*I476/H476,"0")</f>
        <v>816.48399999999992</v>
      </c>
      <c r="BO476" s="64">
        <f>IFERROR(1/J476*(X476/H476),"0")</f>
        <v>1.3385416666666667</v>
      </c>
      <c r="BP476" s="64">
        <f>IFERROR(1/J476*(Y476/H476),"0")</f>
        <v>1.34375</v>
      </c>
    </row>
    <row r="477" spans="1:68" ht="27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108</v>
      </c>
      <c r="Y477" s="634">
        <f>IFERROR(IF(X477="",0,CEILING((X477/$H477),1)*$H477),"")</f>
        <v>108</v>
      </c>
      <c r="Z477" s="36">
        <f>IFERROR(IF(Y477=0,"",ROUNDUP(Y477/H477,0)*0.00651),"")</f>
        <v>0.29294999999999999</v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119.88</v>
      </c>
      <c r="BN477" s="64">
        <f>IFERROR(Y477*I477/H477,"0")</f>
        <v>119.88</v>
      </c>
      <c r="BO477" s="64">
        <f>IFERROR(1/J477*(X477/H477),"0")</f>
        <v>0.24725274725274726</v>
      </c>
      <c r="BP477" s="64">
        <f>IFERROR(1/J477*(Y477/H477),"0")</f>
        <v>0.24725274725274726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130.66666666666669</v>
      </c>
      <c r="Y479" s="635">
        <f>IFERROR(Y476/H476,"0")+IFERROR(Y477/H477,"0")+IFERROR(Y478/H478,"0")</f>
        <v>131</v>
      </c>
      <c r="Z479" s="635">
        <f>IFERROR(IF(Z476="",0,Z476),"0")+IFERROR(IF(Z477="",0,Z477),"0")+IFERROR(IF(Z478="",0,Z478),"0")</f>
        <v>1.92523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879</v>
      </c>
      <c r="Y480" s="635">
        <f>IFERROR(SUM(Y476:Y478),"0")</f>
        <v>882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5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423</v>
      </c>
      <c r="Y513" s="634">
        <f t="shared" si="71"/>
        <v>427.68</v>
      </c>
      <c r="Z513" s="36">
        <f>IFERROR(IF(Y513=0,"",ROUNDUP(Y513/H513,0)*0.01196),"")</f>
        <v>0.96876000000000007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451.03977272727269</v>
      </c>
      <c r="BN513" s="64">
        <f t="shared" si="73"/>
        <v>456.03</v>
      </c>
      <c r="BO513" s="64">
        <f t="shared" si="74"/>
        <v>0.77032342657342656</v>
      </c>
      <c r="BP513" s="64">
        <f t="shared" si="75"/>
        <v>0.77884615384615385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1924</v>
      </c>
      <c r="Y514" s="634">
        <f t="shared" si="71"/>
        <v>1927.2</v>
      </c>
      <c r="Z514" s="36">
        <f>IFERROR(IF(Y514=0,"",ROUNDUP(Y514/H514,0)*0.01196),"")</f>
        <v>4.3654000000000002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2051.5378787878785</v>
      </c>
      <c r="BN514" s="64">
        <f t="shared" si="73"/>
        <v>2054.9499999999998</v>
      </c>
      <c r="BO514" s="64">
        <f t="shared" si="74"/>
        <v>3.5037878787878789</v>
      </c>
      <c r="BP514" s="64">
        <f t="shared" si="75"/>
        <v>3.509615384615385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246</v>
      </c>
      <c r="Y516" s="634">
        <f t="shared" si="71"/>
        <v>249.6</v>
      </c>
      <c r="Z516" s="36">
        <f>IFERROR(IF(Y516=0,"",ROUNDUP(Y516/H516,0)*0.00902),"")</f>
        <v>0.46904000000000001</v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354.13750000000005</v>
      </c>
      <c r="BN516" s="64">
        <f t="shared" si="73"/>
        <v>359.32000000000005</v>
      </c>
      <c r="BO516" s="64">
        <f t="shared" si="74"/>
        <v>0.38825757575757575</v>
      </c>
      <c r="BP516" s="64">
        <f t="shared" si="75"/>
        <v>0.39393939393939392</v>
      </c>
    </row>
    <row r="517" spans="1:68" ht="27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277</v>
      </c>
      <c r="Y517" s="634">
        <f t="shared" si="71"/>
        <v>278.39999999999998</v>
      </c>
      <c r="Z517" s="36">
        <f>IFERROR(IF(Y517=0,"",ROUNDUP(Y517/H517,0)*0.00902),"")</f>
        <v>0.52316000000000007</v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398.76458333333335</v>
      </c>
      <c r="BN517" s="64">
        <f t="shared" si="73"/>
        <v>400.78</v>
      </c>
      <c r="BO517" s="64">
        <f t="shared" si="74"/>
        <v>0.43718434343434348</v>
      </c>
      <c r="BP517" s="64">
        <f t="shared" si="75"/>
        <v>0.43939393939393939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553.46590909090912</v>
      </c>
      <c r="Y518" s="635">
        <f>IFERROR(Y510/H510,"0")+IFERROR(Y511/H511,"0")+IFERROR(Y512/H512,"0")+IFERROR(Y513/H513,"0")+IFERROR(Y514/H514,"0")+IFERROR(Y515/H515,"0")+IFERROR(Y516/H516,"0")+IFERROR(Y517/H517,"0")</f>
        <v>556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6.3263600000000002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2870</v>
      </c>
      <c r="Y519" s="635">
        <f>IFERROR(SUM(Y510:Y517),"0")</f>
        <v>2882.88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923</v>
      </c>
      <c r="Y521" s="634">
        <f>IFERROR(IF(X521="",0,CEILING((X521/$H521),1)*$H521),"")</f>
        <v>924</v>
      </c>
      <c r="Z521" s="36">
        <f>IFERROR(IF(Y521=0,"",ROUNDUP(Y521/H521,0)*0.01196),"")</f>
        <v>2.093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984.18371212121201</v>
      </c>
      <c r="BN521" s="64">
        <f>IFERROR(Y521*I521/H521,"0")</f>
        <v>985.24999999999989</v>
      </c>
      <c r="BO521" s="64">
        <f>IFERROR(1/J521*(X521/H521),"0")</f>
        <v>1.6808712121212122</v>
      </c>
      <c r="BP521" s="64">
        <f>IFERROR(1/J521*(Y521/H521),"0")</f>
        <v>1.6826923076923077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121</v>
      </c>
      <c r="Y523" s="634">
        <f>IFERROR(IF(X523="",0,CEILING((X523/$H523),1)*$H523),"")</f>
        <v>124.8</v>
      </c>
      <c r="Z523" s="36">
        <f>IFERROR(IF(Y523=0,"",ROUNDUP(Y523/H523,0)*0.00902),"")</f>
        <v>0.23452000000000001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174.18958333333333</v>
      </c>
      <c r="BN523" s="64">
        <f>IFERROR(Y523*I523/H523,"0")</f>
        <v>179.66000000000003</v>
      </c>
      <c r="BO523" s="64">
        <f>IFERROR(1/J523*(X523/H523),"0")</f>
        <v>0.19097222222222224</v>
      </c>
      <c r="BP523" s="64">
        <f>IFERROR(1/J523*(Y523/H523),"0")</f>
        <v>0.19696969696969696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200.01893939393941</v>
      </c>
      <c r="Y524" s="635">
        <f>IFERROR(Y521/H521,"0")+IFERROR(Y522/H522,"0")+IFERROR(Y523/H523,"0")</f>
        <v>201</v>
      </c>
      <c r="Z524" s="635">
        <f>IFERROR(IF(Z521="",0,Z521),"0")+IFERROR(IF(Z522="",0,Z522),"0")+IFERROR(IF(Z523="",0,Z523),"0")</f>
        <v>2.3275199999999998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1044</v>
      </c>
      <c r="Y525" s="635">
        <f>IFERROR(SUM(Y521:Y523),"0")</f>
        <v>1048.8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254</v>
      </c>
      <c r="Y527" s="634">
        <f t="shared" ref="Y527:Y533" si="76">IFERROR(IF(X527="",0,CEILING((X527/$H527),1)*$H527),"")</f>
        <v>258.72000000000003</v>
      </c>
      <c r="Z527" s="36">
        <f>IFERROR(IF(Y527=0,"",ROUNDUP(Y527/H527,0)*0.01196),"")</f>
        <v>0.58604000000000001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270.83712121212119</v>
      </c>
      <c r="BN527" s="64">
        <f t="shared" ref="BN527:BN533" si="78">IFERROR(Y527*I527/H527,"0")</f>
        <v>275.87</v>
      </c>
      <c r="BO527" s="64">
        <f t="shared" ref="BO527:BO533" si="79">IFERROR(1/J527*(X527/H527),"0")</f>
        <v>0.46255827505827507</v>
      </c>
      <c r="BP527" s="64">
        <f t="shared" ref="BP527:BP533" si="80">IFERROR(1/J527*(Y527/H527),"0")</f>
        <v>0.4711538461538462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96</v>
      </c>
      <c r="Y528" s="634">
        <f t="shared" si="76"/>
        <v>100.32000000000001</v>
      </c>
      <c r="Z528" s="36">
        <f>IFERROR(IF(Y528=0,"",ROUNDUP(Y528/H528,0)*0.01196),"")</f>
        <v>0.22724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102.36363636363636</v>
      </c>
      <c r="BN528" s="64">
        <f t="shared" si="78"/>
        <v>106.97</v>
      </c>
      <c r="BO528" s="64">
        <f t="shared" si="79"/>
        <v>0.17482517482517482</v>
      </c>
      <c r="BP528" s="64">
        <f t="shared" si="80"/>
        <v>0.18269230769230771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770</v>
      </c>
      <c r="Y529" s="634">
        <f t="shared" si="76"/>
        <v>770.88</v>
      </c>
      <c r="Z529" s="36">
        <f>IFERROR(IF(Y529=0,"",ROUNDUP(Y529/H529,0)*0.01196),"")</f>
        <v>1.7461599999999999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821.04166666666674</v>
      </c>
      <c r="BN529" s="64">
        <f t="shared" si="78"/>
        <v>821.9799999999999</v>
      </c>
      <c r="BO529" s="64">
        <f t="shared" si="79"/>
        <v>1.4022435897435896</v>
      </c>
      <c r="BP529" s="64">
        <f t="shared" si="80"/>
        <v>1.403846153846154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212.1212121212121</v>
      </c>
      <c r="Y534" s="635">
        <f>IFERROR(Y527/H527,"0")+IFERROR(Y528/H528,"0")+IFERROR(Y529/H529,"0")+IFERROR(Y530/H530,"0")+IFERROR(Y531/H531,"0")+IFERROR(Y532/H532,"0")+IFERROR(Y533/H533,"0")</f>
        <v>214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2.5594399999999999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1120</v>
      </c>
      <c r="Y535" s="635">
        <f>IFERROR(SUM(Y527:Y533),"0")</f>
        <v>1129.92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17629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17765.47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18880.56694361116</v>
      </c>
      <c r="Y565" s="635">
        <f>IFERROR(SUM(BN22:BN561),"0")</f>
        <v>19027.557000000001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31</v>
      </c>
      <c r="Y566" s="38">
        <f>ROUNDUP(SUM(BP22:BP561),0)</f>
        <v>32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19655.56694361116</v>
      </c>
      <c r="Y567" s="635">
        <f>GrossWeightTotalR+PalletQtyTotalR*25</f>
        <v>19827.557000000001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2976.9612077939237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2998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36.609810000000003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67" t="s">
        <v>117</v>
      </c>
      <c r="E571" s="983"/>
      <c r="F571" s="983"/>
      <c r="G571" s="983"/>
      <c r="H571" s="983"/>
      <c r="I571" s="983"/>
      <c r="J571" s="802"/>
      <c r="K571" s="667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7" t="s">
        <v>696</v>
      </c>
      <c r="Y571" s="802"/>
      <c r="Z571" s="667" t="s">
        <v>762</v>
      </c>
      <c r="AA571" s="802"/>
      <c r="AB571" s="630" t="s">
        <v>795</v>
      </c>
      <c r="AC571" s="667" t="s">
        <v>839</v>
      </c>
      <c r="AD571" s="802"/>
      <c r="AF571" s="631"/>
    </row>
    <row r="572" spans="1:68" ht="14.25" customHeight="1" thickTop="1" x14ac:dyDescent="0.2">
      <c r="A572" s="681" t="s">
        <v>870</v>
      </c>
      <c r="B572" s="667" t="s">
        <v>61</v>
      </c>
      <c r="C572" s="667" t="s">
        <v>101</v>
      </c>
      <c r="D572" s="667" t="s">
        <v>118</v>
      </c>
      <c r="E572" s="667" t="s">
        <v>134</v>
      </c>
      <c r="F572" s="667" t="s">
        <v>180</v>
      </c>
      <c r="G572" s="667" t="s">
        <v>204</v>
      </c>
      <c r="H572" s="667" t="s">
        <v>246</v>
      </c>
      <c r="I572" s="667" t="s">
        <v>259</v>
      </c>
      <c r="J572" s="667" t="s">
        <v>117</v>
      </c>
      <c r="K572" s="667" t="s">
        <v>333</v>
      </c>
      <c r="L572" s="667" t="s">
        <v>354</v>
      </c>
      <c r="M572" s="667" t="s">
        <v>418</v>
      </c>
      <c r="N572" s="631"/>
      <c r="O572" s="667" t="s">
        <v>484</v>
      </c>
      <c r="P572" s="667" t="s">
        <v>519</v>
      </c>
      <c r="Q572" s="667" t="s">
        <v>541</v>
      </c>
      <c r="R572" s="667" t="s">
        <v>550</v>
      </c>
      <c r="S572" s="667" t="s">
        <v>572</v>
      </c>
      <c r="T572" s="667" t="s">
        <v>579</v>
      </c>
      <c r="U572" s="667" t="s">
        <v>588</v>
      </c>
      <c r="V572" s="667" t="s">
        <v>674</v>
      </c>
      <c r="W572" s="667" t="s">
        <v>686</v>
      </c>
      <c r="X572" s="667" t="s">
        <v>697</v>
      </c>
      <c r="Y572" s="667" t="s">
        <v>746</v>
      </c>
      <c r="Z572" s="667" t="s">
        <v>763</v>
      </c>
      <c r="AA572" s="667" t="s">
        <v>783</v>
      </c>
      <c r="AB572" s="667" t="s">
        <v>795</v>
      </c>
      <c r="AC572" s="667" t="s">
        <v>839</v>
      </c>
      <c r="AD572" s="667" t="s">
        <v>857</v>
      </c>
      <c r="AF572" s="631"/>
    </row>
    <row r="573" spans="1:68" ht="13.5" customHeight="1" thickBot="1" x14ac:dyDescent="0.25">
      <c r="A573" s="682"/>
      <c r="B573" s="668"/>
      <c r="C573" s="668"/>
      <c r="D573" s="668"/>
      <c r="E573" s="668"/>
      <c r="F573" s="668"/>
      <c r="G573" s="668"/>
      <c r="H573" s="668"/>
      <c r="I573" s="668"/>
      <c r="J573" s="668"/>
      <c r="K573" s="668"/>
      <c r="L573" s="668"/>
      <c r="M573" s="668"/>
      <c r="N573" s="631"/>
      <c r="O573" s="668"/>
      <c r="P573" s="668"/>
      <c r="Q573" s="668"/>
      <c r="R573" s="668"/>
      <c r="S573" s="668"/>
      <c r="T573" s="668"/>
      <c r="U573" s="668"/>
      <c r="V573" s="668"/>
      <c r="W573" s="668"/>
      <c r="X573" s="668"/>
      <c r="Y573" s="668"/>
      <c r="Z573" s="668"/>
      <c r="AA573" s="668"/>
      <c r="AB573" s="668"/>
      <c r="AC573" s="668"/>
      <c r="AD573" s="668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151.80000000000001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27</v>
      </c>
      <c r="F574" s="46">
        <f>IFERROR(Y89*1,"0")+IFERROR(Y90*1,"0")+IFERROR(Y91*1,"0")+IFERROR(Y92*1,"0")+IFERROR(Y93*1,"0")+IFERROR(Y94*1,"0")+IFERROR(Y98*1,"0")+IFERROR(Y99*1,"0")+IFERROR(Y100*1,"0")+IFERROR(Y101*1,"0")</f>
        <v>911.7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2542.5</v>
      </c>
      <c r="H574" s="46">
        <f>IFERROR(Y135*1,"0")+IFERROR(Y136*1,"0")+IFERROR(Y140*1,"0")+IFERROR(Y141*1,"0")+IFERROR(Y145*1,"0")+IFERROR(Y146*1,"0")</f>
        <v>25.6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174.71999999999997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63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2276.3999999999996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81.599999999999994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312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439.05</v>
      </c>
      <c r="V574" s="46">
        <f>IFERROR(Y422*1,"0")+IFERROR(Y423*1,"0")+IFERROR(Y424*1,"0")+IFERROR(Y425*1,"0")</f>
        <v>0</v>
      </c>
      <c r="W574" s="46">
        <f>IFERROR(Y430*1,"0")+IFERROR(Y431*1,"0")+IFERROR(Y432*1,"0")</f>
        <v>31.5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4785</v>
      </c>
      <c r="Y574" s="46">
        <f>IFERROR(Y467*1,"0")+IFERROR(Y468*1,"0")+IFERROR(Y472*1,"0")+IFERROR(Y476*1,"0")+IFERROR(Y477*1,"0")+IFERROR(Y478*1,"0")</f>
        <v>882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5061.6000000000004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4,00"/>
        <filter val="1 120,00"/>
        <filter val="1 642,00"/>
        <filter val="1 744,00"/>
        <filter val="1 924,00"/>
        <filter val="1 952,00"/>
        <filter val="103,57"/>
        <filter val="108,00"/>
        <filter val="115,00"/>
        <filter val="119,00"/>
        <filter val="121,00"/>
        <filter val="123,00"/>
        <filter val="123,46"/>
        <filter val="128,00"/>
        <filter val="129,00"/>
        <filter val="130,67"/>
        <filter val="139,00"/>
        <filter val="14,29"/>
        <filter val="148,00"/>
        <filter val="154,00"/>
        <filter val="16,00"/>
        <filter val="165,00"/>
        <filter val="17 629,00"/>
        <filter val="17,26"/>
        <filter val="174,00"/>
        <filter val="18 880,57"/>
        <filter val="19 655,57"/>
        <filter val="2 298,00"/>
        <filter val="2 870,00"/>
        <filter val="2 976,96"/>
        <filter val="20,00"/>
        <filter val="200,02"/>
        <filter val="205,00"/>
        <filter val="212,12"/>
        <filter val="23,00"/>
        <filter val="232,00"/>
        <filter val="246,00"/>
        <filter val="253,07"/>
        <filter val="254,00"/>
        <filter val="26,00"/>
        <filter val="265,00"/>
        <filter val="277,00"/>
        <filter val="3 796,00"/>
        <filter val="30,00"/>
        <filter val="302,00"/>
        <filter val="308,00"/>
        <filter val="31"/>
        <filter val="329,00"/>
        <filter val="33,75"/>
        <filter val="39,49"/>
        <filter val="39,50"/>
        <filter val="410,00"/>
        <filter val="420,49"/>
        <filter val="421,00"/>
        <filter val="423,00"/>
        <filter val="426,00"/>
        <filter val="45,00"/>
        <filter val="470,00"/>
        <filter val="5,78"/>
        <filter val="52,02"/>
        <filter val="53,97"/>
        <filter val="55,93"/>
        <filter val="553,47"/>
        <filter val="554,00"/>
        <filter val="561,33"/>
        <filter val="6,27"/>
        <filter val="626,00"/>
        <filter val="63,00"/>
        <filter val="63,33"/>
        <filter val="698,00"/>
        <filter val="7,19"/>
        <filter val="75,00"/>
        <filter val="770,00"/>
        <filter val="771,00"/>
        <filter val="81,00"/>
        <filter val="83,00"/>
        <filter val="879,00"/>
        <filter val="923,00"/>
        <filter val="93,00"/>
        <filter val="950,00"/>
        <filter val="96,00"/>
        <filter val="97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P439:T439"/>
    <mergeCell ref="D249:E249"/>
    <mergeCell ref="D276:E276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83:T83"/>
    <mergeCell ref="D271:E271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P342:T342"/>
    <mergeCell ref="D323:E323"/>
    <mergeCell ref="P146:T14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D152:E152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543:T543"/>
    <mergeCell ref="D424:E424"/>
    <mergeCell ref="P224:T224"/>
    <mergeCell ref="P322:T322"/>
    <mergeCell ref="P260:T260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D530:E530"/>
    <mergeCell ref="A406:O407"/>
    <mergeCell ref="A263:Z263"/>
    <mergeCell ref="P264:T264"/>
    <mergeCell ref="P239:T239"/>
    <mergeCell ref="A210:O211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A540:O541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D514:E514"/>
    <mergeCell ref="D381:E381"/>
    <mergeCell ref="A345:Z345"/>
    <mergeCell ref="A250:O251"/>
    <mergeCell ref="D380:E380"/>
    <mergeCell ref="D209:E209"/>
    <mergeCell ref="P166:T166"/>
    <mergeCell ref="D445:E445"/>
    <mergeCell ref="P402:T402"/>
    <mergeCell ref="D516:E516"/>
    <mergeCell ref="D301:E301"/>
    <mergeCell ref="D245:E245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A505:O506"/>
    <mergeCell ref="D296:E296"/>
    <mergeCell ref="D269:E269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2026-10-16T10:18:02Z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