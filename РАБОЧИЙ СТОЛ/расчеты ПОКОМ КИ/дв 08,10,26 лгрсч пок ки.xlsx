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E886212E-3F41-4FA3-9D78-8BCEACF850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Sheet!$A$3:$AF$129</definedName>
  </definedNames>
  <calcPr calcId="191029"/>
</workbook>
</file>

<file path=xl/calcChain.xml><?xml version="1.0" encoding="utf-8"?>
<calcChain xmlns="http://schemas.openxmlformats.org/spreadsheetml/2006/main">
  <c r="AF106" i="1" l="1"/>
  <c r="Q129" i="1"/>
  <c r="T129" i="1" s="1"/>
  <c r="L129" i="1"/>
  <c r="Q128" i="1"/>
  <c r="T128" i="1" s="1"/>
  <c r="L128" i="1"/>
  <c r="Q127" i="1"/>
  <c r="T127" i="1" s="1"/>
  <c r="L127" i="1"/>
  <c r="Q126" i="1"/>
  <c r="T126" i="1" s="1"/>
  <c r="L126" i="1"/>
  <c r="Q125" i="1"/>
  <c r="T125" i="1" s="1"/>
  <c r="L125" i="1"/>
  <c r="Q124" i="1"/>
  <c r="T124" i="1" s="1"/>
  <c r="L124" i="1"/>
  <c r="Q123" i="1"/>
  <c r="T123" i="1" s="1"/>
  <c r="L123" i="1"/>
  <c r="Q122" i="1"/>
  <c r="S122" i="1" s="1"/>
  <c r="L122" i="1"/>
  <c r="Q121" i="1"/>
  <c r="T121" i="1" s="1"/>
  <c r="L121" i="1"/>
  <c r="Q120" i="1"/>
  <c r="T120" i="1" s="1"/>
  <c r="L120" i="1"/>
  <c r="Q119" i="1"/>
  <c r="T119" i="1" s="1"/>
  <c r="L119" i="1"/>
  <c r="Q118" i="1"/>
  <c r="L118" i="1"/>
  <c r="Q117" i="1"/>
  <c r="R117" i="1" s="1"/>
  <c r="L117" i="1"/>
  <c r="Q116" i="1"/>
  <c r="T116" i="1" s="1"/>
  <c r="L116" i="1"/>
  <c r="Q115" i="1"/>
  <c r="T115" i="1" s="1"/>
  <c r="L115" i="1"/>
  <c r="Q114" i="1"/>
  <c r="T114" i="1" s="1"/>
  <c r="L114" i="1"/>
  <c r="Q113" i="1"/>
  <c r="R113" i="1" s="1"/>
  <c r="AF113" i="1" s="1"/>
  <c r="L113" i="1"/>
  <c r="Q112" i="1"/>
  <c r="T112" i="1" s="1"/>
  <c r="L112" i="1"/>
  <c r="Q111" i="1"/>
  <c r="T111" i="1" s="1"/>
  <c r="L111" i="1"/>
  <c r="Q110" i="1"/>
  <c r="T110" i="1" s="1"/>
  <c r="L110" i="1"/>
  <c r="Q109" i="1"/>
  <c r="T109" i="1" s="1"/>
  <c r="L109" i="1"/>
  <c r="Q108" i="1"/>
  <c r="S108" i="1" s="1"/>
  <c r="L108" i="1"/>
  <c r="Q107" i="1"/>
  <c r="T107" i="1" s="1"/>
  <c r="L107" i="1"/>
  <c r="Q106" i="1"/>
  <c r="T106" i="1" s="1"/>
  <c r="L106" i="1"/>
  <c r="Q105" i="1"/>
  <c r="T105" i="1" s="1"/>
  <c r="L105" i="1"/>
  <c r="Q104" i="1"/>
  <c r="T104" i="1" s="1"/>
  <c r="L104" i="1"/>
  <c r="Q103" i="1"/>
  <c r="T103" i="1" s="1"/>
  <c r="L103" i="1"/>
  <c r="Q102" i="1"/>
  <c r="R102" i="1" s="1"/>
  <c r="L102" i="1"/>
  <c r="Q101" i="1"/>
  <c r="T101" i="1" s="1"/>
  <c r="L101" i="1"/>
  <c r="Q100" i="1"/>
  <c r="T100" i="1" s="1"/>
  <c r="L100" i="1"/>
  <c r="Q99" i="1"/>
  <c r="T99" i="1" s="1"/>
  <c r="L99" i="1"/>
  <c r="Q98" i="1"/>
  <c r="T98" i="1" s="1"/>
  <c r="L98" i="1"/>
  <c r="Q97" i="1"/>
  <c r="T97" i="1" s="1"/>
  <c r="L97" i="1"/>
  <c r="F96" i="1"/>
  <c r="E96" i="1"/>
  <c r="Q96" i="1" s="1"/>
  <c r="AF96" i="1" s="1"/>
  <c r="Q95" i="1"/>
  <c r="L95" i="1"/>
  <c r="Q94" i="1"/>
  <c r="T94" i="1" s="1"/>
  <c r="L94" i="1"/>
  <c r="Q93" i="1"/>
  <c r="T93" i="1" s="1"/>
  <c r="L93" i="1"/>
  <c r="Q92" i="1"/>
  <c r="T92" i="1" s="1"/>
  <c r="L92" i="1"/>
  <c r="Q91" i="1"/>
  <c r="T91" i="1" s="1"/>
  <c r="L91" i="1"/>
  <c r="Q90" i="1"/>
  <c r="T90" i="1" s="1"/>
  <c r="L90" i="1"/>
  <c r="Q89" i="1"/>
  <c r="T89" i="1" s="1"/>
  <c r="L89" i="1"/>
  <c r="Q88" i="1"/>
  <c r="T88" i="1" s="1"/>
  <c r="L88" i="1"/>
  <c r="Q87" i="1"/>
  <c r="T87" i="1" s="1"/>
  <c r="L87" i="1"/>
  <c r="Q86" i="1"/>
  <c r="T86" i="1" s="1"/>
  <c r="L86" i="1"/>
  <c r="Q85" i="1"/>
  <c r="T85" i="1" s="1"/>
  <c r="L85" i="1"/>
  <c r="Q84" i="1"/>
  <c r="R84" i="1" s="1"/>
  <c r="AF84" i="1" s="1"/>
  <c r="L84" i="1"/>
  <c r="Q83" i="1"/>
  <c r="AF83" i="1" s="1"/>
  <c r="L83" i="1"/>
  <c r="Q82" i="1"/>
  <c r="T82" i="1" s="1"/>
  <c r="L82" i="1"/>
  <c r="Q81" i="1"/>
  <c r="T81" i="1" s="1"/>
  <c r="L81" i="1"/>
  <c r="Q80" i="1"/>
  <c r="L80" i="1"/>
  <c r="Q79" i="1"/>
  <c r="L79" i="1"/>
  <c r="Q78" i="1"/>
  <c r="T78" i="1" s="1"/>
  <c r="L78" i="1"/>
  <c r="Q77" i="1"/>
  <c r="T77" i="1" s="1"/>
  <c r="L77" i="1"/>
  <c r="Q76" i="1"/>
  <c r="L76" i="1"/>
  <c r="Q75" i="1"/>
  <c r="L75" i="1"/>
  <c r="Q74" i="1"/>
  <c r="T74" i="1" s="1"/>
  <c r="L74" i="1"/>
  <c r="Q73" i="1"/>
  <c r="T73" i="1" s="1"/>
  <c r="L73" i="1"/>
  <c r="Q72" i="1"/>
  <c r="R72" i="1" s="1"/>
  <c r="AF72" i="1" s="1"/>
  <c r="L72" i="1"/>
  <c r="Q71" i="1"/>
  <c r="R71" i="1" s="1"/>
  <c r="AF71" i="1" s="1"/>
  <c r="L71" i="1"/>
  <c r="Q70" i="1"/>
  <c r="T70" i="1" s="1"/>
  <c r="L70" i="1"/>
  <c r="Q69" i="1"/>
  <c r="T69" i="1" s="1"/>
  <c r="L69" i="1"/>
  <c r="Q68" i="1"/>
  <c r="AF68" i="1" s="1"/>
  <c r="L68" i="1"/>
  <c r="Q67" i="1"/>
  <c r="R67" i="1" s="1"/>
  <c r="AF67" i="1" s="1"/>
  <c r="L67" i="1"/>
  <c r="Q66" i="1"/>
  <c r="T66" i="1" s="1"/>
  <c r="L66" i="1"/>
  <c r="Q65" i="1"/>
  <c r="T65" i="1" s="1"/>
  <c r="L65" i="1"/>
  <c r="Q64" i="1"/>
  <c r="AF64" i="1" s="1"/>
  <c r="L64" i="1"/>
  <c r="Q63" i="1"/>
  <c r="R63" i="1" s="1"/>
  <c r="AF63" i="1" s="1"/>
  <c r="L63" i="1"/>
  <c r="Q62" i="1"/>
  <c r="R62" i="1" s="1"/>
  <c r="L62" i="1"/>
  <c r="Q61" i="1"/>
  <c r="T61" i="1" s="1"/>
  <c r="L61" i="1"/>
  <c r="Q60" i="1"/>
  <c r="L60" i="1"/>
  <c r="Q59" i="1"/>
  <c r="L59" i="1"/>
  <c r="Q58" i="1"/>
  <c r="R58" i="1" s="1"/>
  <c r="L58" i="1"/>
  <c r="Q57" i="1"/>
  <c r="T57" i="1" s="1"/>
  <c r="L57" i="1"/>
  <c r="Q56" i="1"/>
  <c r="L56" i="1"/>
  <c r="F55" i="1"/>
  <c r="E55" i="1"/>
  <c r="L55" i="1" s="1"/>
  <c r="Q54" i="1"/>
  <c r="T54" i="1" s="1"/>
  <c r="L54" i="1"/>
  <c r="Q53" i="1"/>
  <c r="T53" i="1" s="1"/>
  <c r="L53" i="1"/>
  <c r="Q52" i="1"/>
  <c r="T52" i="1" s="1"/>
  <c r="L52" i="1"/>
  <c r="Q51" i="1"/>
  <c r="T51" i="1" s="1"/>
  <c r="L51" i="1"/>
  <c r="Q50" i="1"/>
  <c r="T50" i="1" s="1"/>
  <c r="L50" i="1"/>
  <c r="Q49" i="1"/>
  <c r="T49" i="1" s="1"/>
  <c r="L49" i="1"/>
  <c r="Q48" i="1"/>
  <c r="T48" i="1" s="1"/>
  <c r="L48" i="1"/>
  <c r="Q47" i="1"/>
  <c r="T47" i="1" s="1"/>
  <c r="L47" i="1"/>
  <c r="Q46" i="1"/>
  <c r="T46" i="1" s="1"/>
  <c r="L46" i="1"/>
  <c r="Q45" i="1"/>
  <c r="T45" i="1" s="1"/>
  <c r="L45" i="1"/>
  <c r="Q44" i="1"/>
  <c r="R44" i="1" s="1"/>
  <c r="AF44" i="1" s="1"/>
  <c r="L44" i="1"/>
  <c r="Q43" i="1"/>
  <c r="L43" i="1"/>
  <c r="Q42" i="1"/>
  <c r="T42" i="1" s="1"/>
  <c r="L42" i="1"/>
  <c r="Q41" i="1"/>
  <c r="T41" i="1" s="1"/>
  <c r="L41" i="1"/>
  <c r="Q40" i="1"/>
  <c r="T40" i="1" s="1"/>
  <c r="L40" i="1"/>
  <c r="Q39" i="1"/>
  <c r="T39" i="1" s="1"/>
  <c r="L39" i="1"/>
  <c r="Q38" i="1"/>
  <c r="T38" i="1" s="1"/>
  <c r="L38" i="1"/>
  <c r="Q37" i="1"/>
  <c r="T37" i="1" s="1"/>
  <c r="L37" i="1"/>
  <c r="Q36" i="1"/>
  <c r="L36" i="1"/>
  <c r="Q35" i="1"/>
  <c r="R35" i="1" s="1"/>
  <c r="AF35" i="1" s="1"/>
  <c r="L35" i="1"/>
  <c r="Q34" i="1"/>
  <c r="T34" i="1" s="1"/>
  <c r="L34" i="1"/>
  <c r="Q33" i="1"/>
  <c r="T33" i="1" s="1"/>
  <c r="L33" i="1"/>
  <c r="Q32" i="1"/>
  <c r="S32" i="1" s="1"/>
  <c r="L32" i="1"/>
  <c r="Q31" i="1"/>
  <c r="T31" i="1" s="1"/>
  <c r="L31" i="1"/>
  <c r="Q30" i="1"/>
  <c r="T30" i="1" s="1"/>
  <c r="L30" i="1"/>
  <c r="Q29" i="1"/>
  <c r="T29" i="1" s="1"/>
  <c r="L29" i="1"/>
  <c r="Q28" i="1"/>
  <c r="R28" i="1" s="1"/>
  <c r="AF28" i="1" s="1"/>
  <c r="L28" i="1"/>
  <c r="Q27" i="1"/>
  <c r="T27" i="1" s="1"/>
  <c r="L27" i="1"/>
  <c r="Q26" i="1"/>
  <c r="T26" i="1" s="1"/>
  <c r="L26" i="1"/>
  <c r="Q25" i="1"/>
  <c r="AF25" i="1" s="1"/>
  <c r="L25" i="1"/>
  <c r="Q24" i="1"/>
  <c r="R24" i="1" s="1"/>
  <c r="L24" i="1"/>
  <c r="Q23" i="1"/>
  <c r="T23" i="1" s="1"/>
  <c r="L23" i="1"/>
  <c r="Q22" i="1"/>
  <c r="R22" i="1" s="1"/>
  <c r="AF22" i="1" s="1"/>
  <c r="L22" i="1"/>
  <c r="Q21" i="1"/>
  <c r="T21" i="1" s="1"/>
  <c r="L21" i="1"/>
  <c r="Q20" i="1"/>
  <c r="R20" i="1" s="1"/>
  <c r="AF20" i="1" s="1"/>
  <c r="L20" i="1"/>
  <c r="Q19" i="1"/>
  <c r="T19" i="1" s="1"/>
  <c r="L19" i="1"/>
  <c r="Q18" i="1"/>
  <c r="R18" i="1" s="1"/>
  <c r="AF18" i="1" s="1"/>
  <c r="L18" i="1"/>
  <c r="Q17" i="1"/>
  <c r="T17" i="1" s="1"/>
  <c r="L17" i="1"/>
  <c r="Q16" i="1"/>
  <c r="L16" i="1"/>
  <c r="Q15" i="1"/>
  <c r="T15" i="1" s="1"/>
  <c r="L15" i="1"/>
  <c r="Q14" i="1"/>
  <c r="T14" i="1" s="1"/>
  <c r="L14" i="1"/>
  <c r="Q13" i="1"/>
  <c r="T13" i="1" s="1"/>
  <c r="L13" i="1"/>
  <c r="Q12" i="1"/>
  <c r="L12" i="1"/>
  <c r="Q11" i="1"/>
  <c r="T11" i="1" s="1"/>
  <c r="L11" i="1"/>
  <c r="Q10" i="1"/>
  <c r="T10" i="1" s="1"/>
  <c r="L10" i="1"/>
  <c r="Q9" i="1"/>
  <c r="T9" i="1" s="1"/>
  <c r="L9" i="1"/>
  <c r="Q8" i="1"/>
  <c r="T8" i="1" s="1"/>
  <c r="L8" i="1"/>
  <c r="Q7" i="1"/>
  <c r="T7" i="1" s="1"/>
  <c r="L7" i="1"/>
  <c r="Q6" i="1"/>
  <c r="R6" i="1" s="1"/>
  <c r="AF6" i="1" s="1"/>
  <c r="L6" i="1"/>
  <c r="AD5" i="1"/>
  <c r="AC5" i="1"/>
  <c r="AB5" i="1"/>
  <c r="AA5" i="1"/>
  <c r="Z5" i="1"/>
  <c r="Y5" i="1"/>
  <c r="X5" i="1"/>
  <c r="W5" i="1"/>
  <c r="V5" i="1"/>
  <c r="U5" i="1"/>
  <c r="P5" i="1"/>
  <c r="O5" i="1"/>
  <c r="N5" i="1"/>
  <c r="M5" i="1"/>
  <c r="K5" i="1"/>
  <c r="R107" i="1" l="1"/>
  <c r="AF107" i="1" s="1"/>
  <c r="AF62" i="1"/>
  <c r="S62" i="1"/>
  <c r="T108" i="1"/>
  <c r="T32" i="1"/>
  <c r="T25" i="1"/>
  <c r="T62" i="1"/>
  <c r="R17" i="1"/>
  <c r="AF17" i="1" s="1"/>
  <c r="R41" i="1"/>
  <c r="AF41" i="1" s="1"/>
  <c r="T44" i="1"/>
  <c r="R42" i="1"/>
  <c r="AF42" i="1" s="1"/>
  <c r="AF61" i="1"/>
  <c r="R81" i="1"/>
  <c r="AF81" i="1" s="1"/>
  <c r="R86" i="1"/>
  <c r="AF86" i="1" s="1"/>
  <c r="R104" i="1"/>
  <c r="AF104" i="1" s="1"/>
  <c r="R115" i="1"/>
  <c r="AF115" i="1" s="1"/>
  <c r="R65" i="1"/>
  <c r="S65" i="1" s="1"/>
  <c r="S78" i="1"/>
  <c r="AF78" i="1"/>
  <c r="AF24" i="1"/>
  <c r="S24" i="1"/>
  <c r="AF117" i="1"/>
  <c r="S117" i="1"/>
  <c r="AF58" i="1"/>
  <c r="S58" i="1"/>
  <c r="T68" i="1"/>
  <c r="R19" i="1"/>
  <c r="AF19" i="1" s="1"/>
  <c r="R43" i="1"/>
  <c r="AF43" i="1" s="1"/>
  <c r="AF109" i="1"/>
  <c r="S63" i="1"/>
  <c r="R21" i="1"/>
  <c r="AF45" i="1"/>
  <c r="R110" i="1"/>
  <c r="AF110" i="1" s="1"/>
  <c r="S18" i="1"/>
  <c r="T24" i="1"/>
  <c r="S44" i="1"/>
  <c r="T63" i="1"/>
  <c r="T122" i="1"/>
  <c r="R46" i="1"/>
  <c r="AF46" i="1" s="1"/>
  <c r="R87" i="1"/>
  <c r="AF87" i="1" s="1"/>
  <c r="AF111" i="1"/>
  <c r="F5" i="1"/>
  <c r="R47" i="1"/>
  <c r="AF47" i="1" s="1"/>
  <c r="R88" i="1"/>
  <c r="AF88" i="1" s="1"/>
  <c r="AF112" i="1"/>
  <c r="R48" i="1"/>
  <c r="AF48" i="1" s="1"/>
  <c r="R89" i="1"/>
  <c r="AF89" i="1" s="1"/>
  <c r="S25" i="1"/>
  <c r="T58" i="1"/>
  <c r="S64" i="1"/>
  <c r="S83" i="1"/>
  <c r="T117" i="1"/>
  <c r="S123" i="1"/>
  <c r="R26" i="1"/>
  <c r="AF26" i="1" s="1"/>
  <c r="AF49" i="1"/>
  <c r="R69" i="1"/>
  <c r="AF69" i="1" s="1"/>
  <c r="AF90" i="1"/>
  <c r="T83" i="1"/>
  <c r="R27" i="1"/>
  <c r="AF27" i="1" s="1"/>
  <c r="AF50" i="1"/>
  <c r="R70" i="1"/>
  <c r="AF91" i="1"/>
  <c r="R116" i="1"/>
  <c r="R51" i="1"/>
  <c r="AF51" i="1" s="1"/>
  <c r="AF93" i="1"/>
  <c r="S20" i="1"/>
  <c r="S71" i="1"/>
  <c r="R7" i="1"/>
  <c r="AF7" i="1" s="1"/>
  <c r="R29" i="1"/>
  <c r="AF29" i="1" s="1"/>
  <c r="R52" i="1"/>
  <c r="AF52" i="1" s="1"/>
  <c r="R94" i="1"/>
  <c r="AF94" i="1" s="1"/>
  <c r="R118" i="1"/>
  <c r="AF118" i="1" s="1"/>
  <c r="S84" i="1"/>
  <c r="R8" i="1"/>
  <c r="AF8" i="1" s="1"/>
  <c r="R31" i="1"/>
  <c r="AF31" i="1" s="1"/>
  <c r="R53" i="1"/>
  <c r="AF53" i="1" s="1"/>
  <c r="R73" i="1"/>
  <c r="AF73" i="1" s="1"/>
  <c r="R95" i="1"/>
  <c r="AF95" i="1" s="1"/>
  <c r="AF119" i="1"/>
  <c r="S68" i="1"/>
  <c r="S40" i="1"/>
  <c r="S113" i="1"/>
  <c r="R10" i="1"/>
  <c r="AF10" i="1" s="1"/>
  <c r="R34" i="1"/>
  <c r="AF34" i="1" s="1"/>
  <c r="R54" i="1"/>
  <c r="AF54" i="1" s="1"/>
  <c r="R74" i="1"/>
  <c r="AF74" i="1" s="1"/>
  <c r="AF120" i="1"/>
  <c r="R11" i="1"/>
  <c r="AF11" i="1" s="1"/>
  <c r="R75" i="1"/>
  <c r="AF75" i="1" s="1"/>
  <c r="R98" i="1"/>
  <c r="AF98" i="1" s="1"/>
  <c r="S35" i="1"/>
  <c r="S72" i="1"/>
  <c r="R12" i="1"/>
  <c r="AF12" i="1" s="1"/>
  <c r="R36" i="1"/>
  <c r="AF36" i="1" s="1"/>
  <c r="R56" i="1"/>
  <c r="AF56" i="1" s="1"/>
  <c r="R76" i="1"/>
  <c r="AF76" i="1" s="1"/>
  <c r="R99" i="1"/>
  <c r="AF99" i="1" s="1"/>
  <c r="AF124" i="1"/>
  <c r="R13" i="1"/>
  <c r="AF13" i="1" s="1"/>
  <c r="AF37" i="1"/>
  <c r="R57" i="1"/>
  <c r="AF57" i="1" s="1"/>
  <c r="R77" i="1"/>
  <c r="AF77" i="1" s="1"/>
  <c r="R100" i="1"/>
  <c r="AF100" i="1" s="1"/>
  <c r="AF125" i="1"/>
  <c r="S114" i="1"/>
  <c r="R14" i="1"/>
  <c r="AF14" i="1" s="1"/>
  <c r="R38" i="1"/>
  <c r="AF38" i="1" s="1"/>
  <c r="AF101" i="1"/>
  <c r="R126" i="1"/>
  <c r="S22" i="1"/>
  <c r="S28" i="1"/>
  <c r="S67" i="1"/>
  <c r="S80" i="1"/>
  <c r="R15" i="1"/>
  <c r="AF15" i="1" s="1"/>
  <c r="R39" i="1"/>
  <c r="AF39" i="1" s="1"/>
  <c r="AF59" i="1"/>
  <c r="AF79" i="1"/>
  <c r="AF102" i="1"/>
  <c r="AF127" i="1"/>
  <c r="T28" i="1"/>
  <c r="R16" i="1"/>
  <c r="AF16" i="1" s="1"/>
  <c r="AF40" i="1"/>
  <c r="R60" i="1"/>
  <c r="AF60" i="1" s="1"/>
  <c r="AF80" i="1"/>
  <c r="AF103" i="1"/>
  <c r="R128" i="1"/>
  <c r="AF128" i="1" s="1"/>
  <c r="T36" i="1"/>
  <c r="T102" i="1"/>
  <c r="S120" i="1"/>
  <c r="S48" i="1"/>
  <c r="T59" i="1"/>
  <c r="T64" i="1"/>
  <c r="T79" i="1"/>
  <c r="T84" i="1"/>
  <c r="S90" i="1"/>
  <c r="T60" i="1"/>
  <c r="T75" i="1"/>
  <c r="T80" i="1"/>
  <c r="T56" i="1"/>
  <c r="T71" i="1"/>
  <c r="T76" i="1"/>
  <c r="E5" i="1"/>
  <c r="T67" i="1"/>
  <c r="T72" i="1"/>
  <c r="T118" i="1"/>
  <c r="S128" i="1"/>
  <c r="S96" i="1"/>
  <c r="T96" i="1"/>
  <c r="S30" i="1"/>
  <c r="T12" i="1"/>
  <c r="T16" i="1"/>
  <c r="T20" i="1"/>
  <c r="S45" i="1"/>
  <c r="S49" i="1"/>
  <c r="S93" i="1"/>
  <c r="T113" i="1"/>
  <c r="S33" i="1"/>
  <c r="S89" i="1"/>
  <c r="S101" i="1"/>
  <c r="S105" i="1"/>
  <c r="S61" i="1"/>
  <c r="S85" i="1"/>
  <c r="S97" i="1"/>
  <c r="S9" i="1"/>
  <c r="S42" i="1"/>
  <c r="S50" i="1"/>
  <c r="S106" i="1"/>
  <c r="S6" i="1"/>
  <c r="T18" i="1"/>
  <c r="S107" i="1"/>
  <c r="T6" i="1"/>
  <c r="T35" i="1"/>
  <c r="T43" i="1"/>
  <c r="Q55" i="1"/>
  <c r="T95" i="1"/>
  <c r="S103" i="1"/>
  <c r="S111" i="1"/>
  <c r="T22" i="1"/>
  <c r="S19" i="1"/>
  <c r="S23" i="1"/>
  <c r="L96" i="1"/>
  <c r="L5" i="1" s="1"/>
  <c r="S92" i="1"/>
  <c r="S125" i="1"/>
  <c r="S129" i="1"/>
  <c r="S60" i="1" l="1"/>
  <c r="S54" i="1"/>
  <c r="S100" i="1"/>
  <c r="S34" i="1"/>
  <c r="S52" i="1"/>
  <c r="S77" i="1"/>
  <c r="S10" i="1"/>
  <c r="S17" i="1"/>
  <c r="S74" i="1"/>
  <c r="S11" i="1"/>
  <c r="S46" i="1"/>
  <c r="S87" i="1"/>
  <c r="S27" i="1"/>
  <c r="AF65" i="1"/>
  <c r="S95" i="1"/>
  <c r="S86" i="1"/>
  <c r="S41" i="1"/>
  <c r="S57" i="1"/>
  <c r="S104" i="1"/>
  <c r="S14" i="1"/>
  <c r="S53" i="1"/>
  <c r="S37" i="1"/>
  <c r="S94" i="1"/>
  <c r="S75" i="1"/>
  <c r="S36" i="1"/>
  <c r="S26" i="1"/>
  <c r="S29" i="1"/>
  <c r="S15" i="1"/>
  <c r="S98" i="1"/>
  <c r="S110" i="1"/>
  <c r="S115" i="1"/>
  <c r="S38" i="1"/>
  <c r="S81" i="1"/>
  <c r="S124" i="1"/>
  <c r="S76" i="1"/>
  <c r="S102" i="1"/>
  <c r="S79" i="1"/>
  <c r="S43" i="1"/>
  <c r="AF66" i="1"/>
  <c r="S66" i="1"/>
  <c r="AF82" i="1"/>
  <c r="S82" i="1"/>
  <c r="AF116" i="1"/>
  <c r="S116" i="1"/>
  <c r="S13" i="1"/>
  <c r="AF121" i="1"/>
  <c r="S121" i="1"/>
  <c r="S56" i="1"/>
  <c r="S99" i="1"/>
  <c r="S91" i="1"/>
  <c r="S127" i="1"/>
  <c r="T55" i="1"/>
  <c r="R55" i="1"/>
  <c r="AF55" i="1" s="1"/>
  <c r="S109" i="1"/>
  <c r="S118" i="1"/>
  <c r="AF70" i="1"/>
  <c r="S70" i="1"/>
  <c r="AF126" i="1"/>
  <c r="S126" i="1"/>
  <c r="S8" i="1"/>
  <c r="S51" i="1"/>
  <c r="S88" i="1"/>
  <c r="S59" i="1"/>
  <c r="S31" i="1"/>
  <c r="S69" i="1"/>
  <c r="S112" i="1"/>
  <c r="S39" i="1"/>
  <c r="AF21" i="1"/>
  <c r="S21" i="1"/>
  <c r="S73" i="1"/>
  <c r="S119" i="1"/>
  <c r="S47" i="1"/>
  <c r="S7" i="1"/>
  <c r="S16" i="1"/>
  <c r="S12" i="1"/>
  <c r="Q5" i="1"/>
  <c r="S55" i="1" l="1"/>
  <c r="R5" i="1"/>
  <c r="AF5" i="1"/>
</calcChain>
</file>

<file path=xl/sharedStrings.xml><?xml version="1.0" encoding="utf-8"?>
<sst xmlns="http://schemas.openxmlformats.org/spreadsheetml/2006/main" count="453" uniqueCount="183">
  <si>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</si>
  <si>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</si>
  <si>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</si>
  <si>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</si>
  <si>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</si>
  <si>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</si>
  <si>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</si>
  <si>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</si>
  <si>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</si>
  <si>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</si>
  <si>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</si>
  <si>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</si>
  <si>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</si>
  <si>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</si>
  <si>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</si>
  <si>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</si>
  <si>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</si>
  <si>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</si>
  <si>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</si>
  <si>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</si>
  <si>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</si>
  <si>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</si>
  <si>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03,10,</t>
  </si>
  <si>
    <t>10,10,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</si>
  <si>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</si>
  <si>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</si>
  <si>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</si>
  <si>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</si>
  <si>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</si>
  <si>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</si>
  <si>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</si>
  <si>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</si>
  <si>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</si>
  <si>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</si>
  <si>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</si>
  <si>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</si>
  <si>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</si>
  <si>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</si>
  <si>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</si>
  <si>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</si>
  <si>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</si>
  <si>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</si>
  <si>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</si>
  <si>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</si>
  <si>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</si>
  <si>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</si>
  <si>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</si>
  <si>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</si>
  <si>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</si>
  <si>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</si>
  <si>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</si>
  <si>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</si>
  <si>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</si>
  <si>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</si>
  <si>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</si>
  <si>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</si>
  <si>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</si>
  <si>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</si>
  <si>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</si>
  <si>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</si>
  <si>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</si>
  <si>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</si>
  <si>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</si>
  <si>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</si>
  <si>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</si>
  <si>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</si>
  <si>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</si>
  <si>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</si>
  <si>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</si>
  <si>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</si>
  <si>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</si>
  <si>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</si>
  <si>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</si>
  <si>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</si>
  <si>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</si>
  <si>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</si>
  <si>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350 заказ под спар (07,10,26)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</si>
  <si>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</si>
  <si>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</si>
  <si>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</si>
  <si>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</si>
  <si>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</si>
  <si>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</si>
  <si>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</si>
  <si>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</si>
  <si>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</si>
  <si>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!!! / НЕДОГРУЗ / матрица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</si>
  <si>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</si>
  <si>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</si>
  <si>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</si>
  <si>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</si>
  <si>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</si>
  <si>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</si>
  <si>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</si>
  <si>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</si>
  <si>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</si>
  <si>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</si>
  <si>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ВНИМАНИЕ / матрица</t>
  </si>
  <si>
    <t>180 заказ под спар (07,10,26)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</si>
  <si>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</si>
  <si>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</si>
  <si>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</si>
  <si>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</si>
  <si>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</si>
  <si>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</si>
  <si>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</si>
  <si>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</si>
  <si>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</si>
  <si>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</si>
  <si>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</si>
  <si>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</si>
  <si>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</si>
  <si>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</si>
  <si>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</si>
  <si>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</si>
  <si>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</si>
  <si>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</si>
  <si>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</si>
  <si>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100 заказ под спар (07,10,26)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</si>
  <si>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</si>
  <si>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</si>
  <si>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</si>
  <si>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</si>
  <si>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</si>
  <si>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</si>
  <si>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</si>
  <si>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</si>
  <si>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</si>
  <si>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</si>
  <si>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</si>
  <si>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</si>
  <si>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</si>
  <si>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</si>
  <si>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</si>
  <si>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</si>
  <si>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</si>
  <si>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</si>
  <si>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</si>
  <si>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нужно увеличить продажи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</si>
  <si>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</si>
  <si>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</si>
  <si>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нет в бланке / 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</si>
  <si>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</si>
  <si>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</si>
  <si>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</si>
  <si>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</si>
  <si>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</si>
  <si>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</si>
  <si>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</si>
  <si>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</si>
  <si>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</si>
  <si>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</si>
  <si>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</si>
  <si>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</si>
  <si>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</si>
  <si>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</si>
  <si>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</si>
  <si>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</si>
  <si>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</si>
  <si>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</si>
  <si>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</si>
  <si>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</si>
  <si>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</si>
  <si>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</si>
  <si>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</si>
  <si>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</si>
  <si>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нужно увеличить продажи / 200 заказ под спар (07,10,26) / 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</si>
  <si>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</si>
  <si>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</si>
  <si>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</si>
  <si>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</si>
  <si>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</si>
  <si>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</si>
  <si>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</si>
  <si>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</si>
  <si>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</si>
  <si>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</si>
  <si>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</si>
  <si>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</si>
  <si>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60 заказ под спар (07,10,26) / 33кг списаны (29,08,26)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</si>
  <si>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21 шт в уценку 04,09,26 / 21 шт в уценку 30,06,26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</si>
  <si>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57кг в уценку (30,06,26)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</si>
  <si>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150 заказ под спар (07,10,26)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</si>
</sst>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0" borderId="1" xfId="1" applyNumberFormat="1" applyFill="1"/>
    <xf numFmtId="164" fontId="5" fillId="7" borderId="1" xfId="1" applyNumberFormat="1" applyFont="1" applyFill="1"/>
    <xf numFmtId="164" fontId="1" fillId="8" borderId="1" xfId="1" applyNumberFormat="1" applyFill="1"/>
    <xf numFmtId="164" fontId="1" fillId="8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20" width="5" customWidth="1"/>
    <col min="21" max="22" width="6" customWidth="1"/>
    <col min="23" max="29" width="6.42578125" customWidth="1"/>
    <col min="30" max="30" width="6" customWidth="1"/>
    <col min="31" max="31" width="50" customWidth="1"/>
    <col min="32" max="32" width="7" customWidth="1"/>
    <col min="33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/>
      <c r="U4" s="1" t="s">
        <v>25</v>
      </c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50392.639999999999</v>
      </c>
      <c r="F5" s="4">
        <f>SUM(F6:F500)</f>
        <v>51605.396999999997</v>
      </c>
      <c r="G5" s="7"/>
      <c r="H5" s="1"/>
      <c r="I5" s="1"/>
      <c r="J5" s="1"/>
      <c r="K5" s="4">
        <f t="shared" ref="K5:R5" si="0">SUM(K6:K500)</f>
        <v>53146.829999999987</v>
      </c>
      <c r="L5" s="4">
        <f t="shared" si="0"/>
        <v>-2754.19</v>
      </c>
      <c r="M5" s="4">
        <f t="shared" si="0"/>
        <v>0</v>
      </c>
      <c r="N5" s="4">
        <f t="shared" si="0"/>
        <v>0</v>
      </c>
      <c r="O5" s="4">
        <f t="shared" si="0"/>
        <v>12619.924876532839</v>
      </c>
      <c r="P5" s="4">
        <f t="shared" si="0"/>
        <v>15379.574112216742</v>
      </c>
      <c r="Q5" s="4">
        <f t="shared" si="0"/>
        <v>10078.527999999997</v>
      </c>
      <c r="R5" s="4">
        <f t="shared" si="0"/>
        <v>40973.197664750413</v>
      </c>
      <c r="S5" s="1"/>
      <c r="T5" s="1"/>
      <c r="U5" s="4">
        <f t="shared" ref="U5:AD5" si="1">SUM(U6:U500)</f>
        <v>9816.7540000000026</v>
      </c>
      <c r="V5" s="4">
        <f t="shared" si="1"/>
        <v>9688.5272000000023</v>
      </c>
      <c r="W5" s="4">
        <f t="shared" si="1"/>
        <v>10274.442600000009</v>
      </c>
      <c r="X5" s="4">
        <f t="shared" si="1"/>
        <v>10906.315000000001</v>
      </c>
      <c r="Y5" s="4">
        <f t="shared" si="1"/>
        <v>10747.732599999996</v>
      </c>
      <c r="Z5" s="4">
        <f t="shared" si="1"/>
        <v>10833.357999999998</v>
      </c>
      <c r="AA5" s="4">
        <f t="shared" si="1"/>
        <v>11492.782400000011</v>
      </c>
      <c r="AB5" s="4">
        <f t="shared" si="1"/>
        <v>11039.104400000004</v>
      </c>
      <c r="AC5" s="4">
        <f t="shared" si="1"/>
        <v>10515.967599999998</v>
      </c>
      <c r="AD5" s="4">
        <f t="shared" si="1"/>
        <v>8445.5477999999985</v>
      </c>
      <c r="AE5" s="1"/>
      <c r="AF5" s="4">
        <f>SUM(AF6:AF500)</f>
        <v>33826.183267200409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35</v>
      </c>
      <c r="B6" s="1" t="s">
        <v>36</v>
      </c>
      <c r="C6" s="1">
        <v>2708.326</v>
      </c>
      <c r="D6" s="1">
        <v>3190.1979999999999</v>
      </c>
      <c r="E6" s="1">
        <v>2332.5039999999999</v>
      </c>
      <c r="F6" s="1">
        <v>2731.4639999999999</v>
      </c>
      <c r="G6" s="7">
        <v>1</v>
      </c>
      <c r="H6" s="1">
        <v>50</v>
      </c>
      <c r="I6" s="1" t="s">
        <v>37</v>
      </c>
      <c r="J6" s="1"/>
      <c r="K6" s="1">
        <v>2311.1</v>
      </c>
      <c r="L6" s="1">
        <f t="shared" ref="L6:L37" si="2">E6-K6</f>
        <v>21.403999999999996</v>
      </c>
      <c r="M6" s="1"/>
      <c r="N6" s="1"/>
      <c r="O6" s="1">
        <v>651.06713399999967</v>
      </c>
      <c r="P6" s="1">
        <v>94.926123498201491</v>
      </c>
      <c r="Q6" s="1">
        <f t="shared" ref="Q6:Q37" si="3">E6/5</f>
        <v>466.50079999999997</v>
      </c>
      <c r="R6" s="5">
        <f>11.5*Q6-P6-O6-F6</f>
        <v>1887.3019425017983</v>
      </c>
      <c r="S6" s="1">
        <f t="shared" ref="S6:S37" si="4">(F6+O6+P6+R6)/Q6</f>
        <v>11.5</v>
      </c>
      <c r="T6" s="1">
        <f t="shared" ref="T6:T37" si="5">(F6+O6+P6)/Q6</f>
        <v>7.4543436099106399</v>
      </c>
      <c r="U6" s="1">
        <v>492.22899999999998</v>
      </c>
      <c r="V6" s="1">
        <v>529.75339999999994</v>
      </c>
      <c r="W6" s="1">
        <v>513.3356</v>
      </c>
      <c r="X6" s="1">
        <v>551.42700000000002</v>
      </c>
      <c r="Y6" s="1">
        <v>517.61120000000005</v>
      </c>
      <c r="Z6" s="1">
        <v>560.27980000000002</v>
      </c>
      <c r="AA6" s="1">
        <v>683.02780000000007</v>
      </c>
      <c r="AB6" s="1">
        <v>629.77780000000007</v>
      </c>
      <c r="AC6" s="1">
        <v>485.76420000000002</v>
      </c>
      <c r="AD6" s="1">
        <v>331.30880000000002</v>
      </c>
      <c r="AE6" s="1"/>
      <c r="AF6" s="1">
        <f>G6*R6</f>
        <v>1887.3019425017983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38</v>
      </c>
      <c r="B7" s="1" t="s">
        <v>36</v>
      </c>
      <c r="C7" s="1">
        <v>1133.287</v>
      </c>
      <c r="D7" s="1">
        <v>835.54</v>
      </c>
      <c r="E7" s="1">
        <v>924.49599999999998</v>
      </c>
      <c r="F7" s="1">
        <v>799.66</v>
      </c>
      <c r="G7" s="7">
        <v>1</v>
      </c>
      <c r="H7" s="1">
        <v>45</v>
      </c>
      <c r="I7" s="1" t="s">
        <v>37</v>
      </c>
      <c r="J7" s="1"/>
      <c r="K7" s="1">
        <v>906.6</v>
      </c>
      <c r="L7" s="1">
        <f t="shared" si="2"/>
        <v>17.895999999999958</v>
      </c>
      <c r="M7" s="1"/>
      <c r="N7" s="1"/>
      <c r="O7" s="1">
        <v>628.53033200000061</v>
      </c>
      <c r="P7" s="1"/>
      <c r="Q7" s="1">
        <f t="shared" si="3"/>
        <v>184.89920000000001</v>
      </c>
      <c r="R7" s="5">
        <f t="shared" ref="R7:R8" si="6">11.5*Q7-P7-O7-F7</f>
        <v>698.15046799999925</v>
      </c>
      <c r="S7" s="1">
        <f t="shared" si="4"/>
        <v>11.5</v>
      </c>
      <c r="T7" s="1">
        <f t="shared" si="5"/>
        <v>7.7241563619528941</v>
      </c>
      <c r="U7" s="1">
        <v>182.24600000000001</v>
      </c>
      <c r="V7" s="1">
        <v>212.876</v>
      </c>
      <c r="W7" s="1">
        <v>220.70779999999999</v>
      </c>
      <c r="X7" s="1">
        <v>207.75020000000001</v>
      </c>
      <c r="Y7" s="1">
        <v>215.72300000000001</v>
      </c>
      <c r="Z7" s="1">
        <v>234.3954</v>
      </c>
      <c r="AA7" s="1">
        <v>230.3776</v>
      </c>
      <c r="AB7" s="1">
        <v>285.33019999999999</v>
      </c>
      <c r="AC7" s="1">
        <v>305.41860000000003</v>
      </c>
      <c r="AD7" s="1">
        <v>214.02080000000001</v>
      </c>
      <c r="AE7" s="1"/>
      <c r="AF7" s="1">
        <f>G7*R7</f>
        <v>698.15046799999925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36</v>
      </c>
      <c r="C8" s="1">
        <v>1090.9570000000001</v>
      </c>
      <c r="D8" s="1">
        <v>1161.5640000000001</v>
      </c>
      <c r="E8" s="1">
        <v>954.61699999999996</v>
      </c>
      <c r="F8" s="1">
        <v>1070.96</v>
      </c>
      <c r="G8" s="7">
        <v>1</v>
      </c>
      <c r="H8" s="1">
        <v>45</v>
      </c>
      <c r="I8" s="9" t="s">
        <v>40</v>
      </c>
      <c r="J8" s="1"/>
      <c r="K8" s="1">
        <v>948.45</v>
      </c>
      <c r="L8" s="1">
        <f t="shared" si="2"/>
        <v>6.1669999999999163</v>
      </c>
      <c r="M8" s="1"/>
      <c r="N8" s="1"/>
      <c r="O8" s="1">
        <v>491.97502999999978</v>
      </c>
      <c r="P8" s="1">
        <v>13.637441551000711</v>
      </c>
      <c r="Q8" s="1">
        <f t="shared" si="3"/>
        <v>190.92339999999999</v>
      </c>
      <c r="R8" s="5">
        <f t="shared" si="6"/>
        <v>619.04662844899917</v>
      </c>
      <c r="S8" s="1">
        <f t="shared" si="4"/>
        <v>11.5</v>
      </c>
      <c r="T8" s="1">
        <f t="shared" si="5"/>
        <v>8.2576178276261611</v>
      </c>
      <c r="U8" s="1">
        <v>198.07759999999999</v>
      </c>
      <c r="V8" s="1">
        <v>222.83099999999999</v>
      </c>
      <c r="W8" s="1">
        <v>217.4478</v>
      </c>
      <c r="X8" s="1">
        <v>214.1678</v>
      </c>
      <c r="Y8" s="1">
        <v>218.27119999999999</v>
      </c>
      <c r="Z8" s="1">
        <v>225.20240000000001</v>
      </c>
      <c r="AA8" s="1">
        <v>269.71019999999999</v>
      </c>
      <c r="AB8" s="1">
        <v>293.387</v>
      </c>
      <c r="AC8" s="1">
        <v>257.86320000000001</v>
      </c>
      <c r="AD8" s="1">
        <v>178.08920000000001</v>
      </c>
      <c r="AE8" s="1"/>
      <c r="AF8" s="1">
        <f>G8*R8</f>
        <v>619.04662844899917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2"/>
        <v>0</v>
      </c>
      <c r="M9" s="10"/>
      <c r="N9" s="10"/>
      <c r="O9" s="10">
        <v>0</v>
      </c>
      <c r="P9" s="10">
        <v>0</v>
      </c>
      <c r="Q9" s="10">
        <f t="shared" si="3"/>
        <v>0</v>
      </c>
      <c r="R9" s="12"/>
      <c r="S9" s="10" t="e">
        <f t="shared" si="4"/>
        <v>#DIV/0!</v>
      </c>
      <c r="T9" s="10" t="e">
        <f t="shared" si="5"/>
        <v>#DIV/0!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 t="s">
        <v>43</v>
      </c>
      <c r="AF9" s="10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44</v>
      </c>
      <c r="B10" s="1" t="s">
        <v>42</v>
      </c>
      <c r="C10" s="1">
        <v>814</v>
      </c>
      <c r="D10" s="1">
        <v>989</v>
      </c>
      <c r="E10" s="1">
        <v>678</v>
      </c>
      <c r="F10" s="1">
        <v>768</v>
      </c>
      <c r="G10" s="7">
        <v>0.45</v>
      </c>
      <c r="H10" s="1">
        <v>45</v>
      </c>
      <c r="I10" s="1" t="s">
        <v>37</v>
      </c>
      <c r="J10" s="1"/>
      <c r="K10" s="1">
        <v>705</v>
      </c>
      <c r="L10" s="1">
        <f t="shared" si="2"/>
        <v>-27</v>
      </c>
      <c r="M10" s="1"/>
      <c r="N10" s="1"/>
      <c r="O10" s="1">
        <v>162.46444799999969</v>
      </c>
      <c r="P10" s="1">
        <v>272.47555200000022</v>
      </c>
      <c r="Q10" s="1">
        <f t="shared" si="3"/>
        <v>135.6</v>
      </c>
      <c r="R10" s="5">
        <f t="shared" ref="R10:R22" si="7">11.5*Q10-P10-O10-F10</f>
        <v>356.46000000000004</v>
      </c>
      <c r="S10" s="1">
        <f t="shared" si="4"/>
        <v>11.500000000000002</v>
      </c>
      <c r="T10" s="1">
        <f t="shared" si="5"/>
        <v>8.8712389380530983</v>
      </c>
      <c r="U10" s="1">
        <v>150.19999999999999</v>
      </c>
      <c r="V10" s="1">
        <v>141.80000000000001</v>
      </c>
      <c r="W10" s="1">
        <v>138.80000000000001</v>
      </c>
      <c r="X10" s="1">
        <v>146</v>
      </c>
      <c r="Y10" s="1">
        <v>145.4</v>
      </c>
      <c r="Z10" s="1">
        <v>163.19999999999999</v>
      </c>
      <c r="AA10" s="1">
        <v>166.4</v>
      </c>
      <c r="AB10" s="1">
        <v>157.4</v>
      </c>
      <c r="AC10" s="1">
        <v>159.4</v>
      </c>
      <c r="AD10" s="1">
        <v>129.6</v>
      </c>
      <c r="AE10" s="1"/>
      <c r="AF10" s="1">
        <f t="shared" ref="AF10:AF22" si="8">G10*R10</f>
        <v>160.40700000000001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45</v>
      </c>
      <c r="B11" s="1" t="s">
        <v>42</v>
      </c>
      <c r="C11" s="1">
        <v>870</v>
      </c>
      <c r="D11" s="1">
        <v>1352</v>
      </c>
      <c r="E11" s="1">
        <v>922</v>
      </c>
      <c r="F11" s="1">
        <v>1059</v>
      </c>
      <c r="G11" s="7">
        <v>0.45</v>
      </c>
      <c r="H11" s="1">
        <v>45</v>
      </c>
      <c r="I11" s="1" t="s">
        <v>37</v>
      </c>
      <c r="J11" s="1"/>
      <c r="K11" s="1">
        <v>962</v>
      </c>
      <c r="L11" s="1">
        <f t="shared" si="2"/>
        <v>-40</v>
      </c>
      <c r="M11" s="1"/>
      <c r="N11" s="1"/>
      <c r="O11" s="1">
        <v>407.5189999999991</v>
      </c>
      <c r="P11" s="1">
        <v>153.42705900000001</v>
      </c>
      <c r="Q11" s="1">
        <f t="shared" si="3"/>
        <v>184.4</v>
      </c>
      <c r="R11" s="5">
        <f t="shared" si="7"/>
        <v>500.65394100000071</v>
      </c>
      <c r="S11" s="1">
        <f t="shared" si="4"/>
        <v>11.5</v>
      </c>
      <c r="T11" s="1">
        <f t="shared" si="5"/>
        <v>8.7849569360086726</v>
      </c>
      <c r="U11" s="1">
        <v>201.2</v>
      </c>
      <c r="V11" s="1">
        <v>207.4</v>
      </c>
      <c r="W11" s="1">
        <v>199.2</v>
      </c>
      <c r="X11" s="1">
        <v>198.6</v>
      </c>
      <c r="Y11" s="1">
        <v>206</v>
      </c>
      <c r="Z11" s="1">
        <v>206.2</v>
      </c>
      <c r="AA11" s="1">
        <v>205.4</v>
      </c>
      <c r="AB11" s="1">
        <v>250.2</v>
      </c>
      <c r="AC11" s="1">
        <v>262.2</v>
      </c>
      <c r="AD11" s="1">
        <v>226.6</v>
      </c>
      <c r="AE11" s="1"/>
      <c r="AF11" s="1">
        <f t="shared" si="8"/>
        <v>225.29427345000033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46</v>
      </c>
      <c r="B12" s="1" t="s">
        <v>42</v>
      </c>
      <c r="C12" s="1">
        <v>97</v>
      </c>
      <c r="D12" s="1">
        <v>60</v>
      </c>
      <c r="E12" s="1">
        <v>68</v>
      </c>
      <c r="F12" s="1">
        <v>60</v>
      </c>
      <c r="G12" s="7">
        <v>0.17</v>
      </c>
      <c r="H12" s="1">
        <v>180</v>
      </c>
      <c r="I12" s="1" t="s">
        <v>37</v>
      </c>
      <c r="J12" s="1"/>
      <c r="K12" s="1">
        <v>68</v>
      </c>
      <c r="L12" s="1">
        <f t="shared" si="2"/>
        <v>0</v>
      </c>
      <c r="M12" s="1"/>
      <c r="N12" s="1"/>
      <c r="O12" s="1">
        <v>48.800000000000011</v>
      </c>
      <c r="P12" s="1">
        <v>7.4000000000000057</v>
      </c>
      <c r="Q12" s="1">
        <f t="shared" si="3"/>
        <v>13.6</v>
      </c>
      <c r="R12" s="5">
        <f t="shared" si="7"/>
        <v>40.199999999999989</v>
      </c>
      <c r="S12" s="1">
        <f t="shared" si="4"/>
        <v>11.5</v>
      </c>
      <c r="T12" s="1">
        <f t="shared" si="5"/>
        <v>8.5441176470588243</v>
      </c>
      <c r="U12" s="1">
        <v>13</v>
      </c>
      <c r="V12" s="1">
        <v>14.4</v>
      </c>
      <c r="W12" s="1">
        <v>14.8</v>
      </c>
      <c r="X12" s="1">
        <v>11.8</v>
      </c>
      <c r="Y12" s="1">
        <v>11</v>
      </c>
      <c r="Z12" s="1">
        <v>15.8</v>
      </c>
      <c r="AA12" s="1">
        <v>20.399999999999999</v>
      </c>
      <c r="AB12" s="1">
        <v>21.4</v>
      </c>
      <c r="AC12" s="1">
        <v>18.600000000000001</v>
      </c>
      <c r="AD12" s="1">
        <v>14.2</v>
      </c>
      <c r="AE12" s="1"/>
      <c r="AF12" s="1">
        <f t="shared" si="8"/>
        <v>6.8339999999999987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47</v>
      </c>
      <c r="B13" s="1" t="s">
        <v>42</v>
      </c>
      <c r="C13" s="1">
        <v>120</v>
      </c>
      <c r="D13" s="1">
        <v>245</v>
      </c>
      <c r="E13" s="1">
        <v>144</v>
      </c>
      <c r="F13" s="1">
        <v>162</v>
      </c>
      <c r="G13" s="7">
        <v>0.3</v>
      </c>
      <c r="H13" s="1">
        <v>40</v>
      </c>
      <c r="I13" s="1" t="s">
        <v>37</v>
      </c>
      <c r="J13" s="1"/>
      <c r="K13" s="1">
        <v>146</v>
      </c>
      <c r="L13" s="1">
        <f t="shared" si="2"/>
        <v>-2</v>
      </c>
      <c r="M13" s="1"/>
      <c r="N13" s="1"/>
      <c r="O13" s="1">
        <v>10</v>
      </c>
      <c r="P13" s="1">
        <v>148.44</v>
      </c>
      <c r="Q13" s="1">
        <f t="shared" si="3"/>
        <v>28.8</v>
      </c>
      <c r="R13" s="5">
        <f t="shared" si="7"/>
        <v>10.759999999999991</v>
      </c>
      <c r="S13" s="1">
        <f t="shared" si="4"/>
        <v>11.5</v>
      </c>
      <c r="T13" s="1">
        <f t="shared" si="5"/>
        <v>11.126388888888888</v>
      </c>
      <c r="U13" s="1">
        <v>34.799999999999997</v>
      </c>
      <c r="V13" s="1">
        <v>24.4</v>
      </c>
      <c r="W13" s="1">
        <v>28.4</v>
      </c>
      <c r="X13" s="1">
        <v>36</v>
      </c>
      <c r="Y13" s="1">
        <v>39.4</v>
      </c>
      <c r="Z13" s="1">
        <v>26</v>
      </c>
      <c r="AA13" s="1">
        <v>10.8</v>
      </c>
      <c r="AB13" s="1">
        <v>12.4</v>
      </c>
      <c r="AC13" s="1">
        <v>11.2</v>
      </c>
      <c r="AD13" s="1">
        <v>3.4</v>
      </c>
      <c r="AE13" s="1"/>
      <c r="AF13" s="1">
        <f t="shared" si="8"/>
        <v>3.2279999999999971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48</v>
      </c>
      <c r="B14" s="1" t="s">
        <v>42</v>
      </c>
      <c r="C14" s="1">
        <v>304</v>
      </c>
      <c r="D14" s="1">
        <v>270</v>
      </c>
      <c r="E14" s="1">
        <v>269</v>
      </c>
      <c r="F14" s="1">
        <v>228</v>
      </c>
      <c r="G14" s="7">
        <v>0.17</v>
      </c>
      <c r="H14" s="1">
        <v>180</v>
      </c>
      <c r="I14" s="1" t="s">
        <v>37</v>
      </c>
      <c r="J14" s="1"/>
      <c r="K14" s="1">
        <v>269</v>
      </c>
      <c r="L14" s="1">
        <f t="shared" si="2"/>
        <v>0</v>
      </c>
      <c r="M14" s="1"/>
      <c r="N14" s="1"/>
      <c r="O14" s="1">
        <v>28.69400000000007</v>
      </c>
      <c r="P14" s="1">
        <v>152.70599999999999</v>
      </c>
      <c r="Q14" s="1">
        <f t="shared" si="3"/>
        <v>53.8</v>
      </c>
      <c r="R14" s="5">
        <f t="shared" si="7"/>
        <v>209.29999999999984</v>
      </c>
      <c r="S14" s="1">
        <f t="shared" si="4"/>
        <v>11.5</v>
      </c>
      <c r="T14" s="1">
        <f t="shared" si="5"/>
        <v>7.6096654275092961</v>
      </c>
      <c r="U14" s="1">
        <v>51</v>
      </c>
      <c r="V14" s="1">
        <v>41</v>
      </c>
      <c r="W14" s="1">
        <v>42.6</v>
      </c>
      <c r="X14" s="1">
        <v>45.8</v>
      </c>
      <c r="Y14" s="1">
        <v>48.6</v>
      </c>
      <c r="Z14" s="1">
        <v>53.8</v>
      </c>
      <c r="AA14" s="1">
        <v>56.6</v>
      </c>
      <c r="AB14" s="1">
        <v>54.4</v>
      </c>
      <c r="AC14" s="1">
        <v>61.4</v>
      </c>
      <c r="AD14" s="1">
        <v>53.8</v>
      </c>
      <c r="AE14" s="1"/>
      <c r="AF14" s="1">
        <f t="shared" si="8"/>
        <v>35.580999999999975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49</v>
      </c>
      <c r="B15" s="1" t="s">
        <v>36</v>
      </c>
      <c r="C15" s="1">
        <v>1172.5540000000001</v>
      </c>
      <c r="D15" s="1">
        <v>1760.048</v>
      </c>
      <c r="E15" s="1">
        <v>1140.2470000000001</v>
      </c>
      <c r="F15" s="1">
        <v>1537.423</v>
      </c>
      <c r="G15" s="7">
        <v>1</v>
      </c>
      <c r="H15" s="1">
        <v>70</v>
      </c>
      <c r="I15" s="1" t="s">
        <v>37</v>
      </c>
      <c r="J15" s="1"/>
      <c r="K15" s="1">
        <v>1148.8050000000001</v>
      </c>
      <c r="L15" s="1">
        <f t="shared" si="2"/>
        <v>-8.5579999999999927</v>
      </c>
      <c r="M15" s="1"/>
      <c r="N15" s="1"/>
      <c r="O15" s="1">
        <v>124.7298878000002</v>
      </c>
      <c r="P15" s="1">
        <v>96.36103999999969</v>
      </c>
      <c r="Q15" s="1">
        <f t="shared" si="3"/>
        <v>228.04940000000002</v>
      </c>
      <c r="R15" s="5">
        <f t="shared" si="7"/>
        <v>864.05417220000049</v>
      </c>
      <c r="S15" s="1">
        <f t="shared" si="4"/>
        <v>11.5</v>
      </c>
      <c r="T15" s="1">
        <f t="shared" si="5"/>
        <v>7.7111096446647078</v>
      </c>
      <c r="U15" s="1">
        <v>224.29179999999999</v>
      </c>
      <c r="V15" s="1">
        <v>230.38239999999999</v>
      </c>
      <c r="W15" s="1">
        <v>239.61060000000001</v>
      </c>
      <c r="X15" s="1">
        <v>266.99099999999999</v>
      </c>
      <c r="Y15" s="1">
        <v>267.36419999999998</v>
      </c>
      <c r="Z15" s="1">
        <v>230.82159999999999</v>
      </c>
      <c r="AA15" s="1">
        <v>233.12559999999999</v>
      </c>
      <c r="AB15" s="1">
        <v>259.81060000000002</v>
      </c>
      <c r="AC15" s="1">
        <v>267.96080000000001</v>
      </c>
      <c r="AD15" s="1">
        <v>195.66640000000001</v>
      </c>
      <c r="AE15" s="1"/>
      <c r="AF15" s="1">
        <f t="shared" si="8"/>
        <v>864.05417220000049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50</v>
      </c>
      <c r="B16" s="1" t="s">
        <v>36</v>
      </c>
      <c r="C16" s="1">
        <v>5020.0079999999998</v>
      </c>
      <c r="D16" s="1">
        <v>3040.2440000000001</v>
      </c>
      <c r="E16" s="1">
        <v>3900.3670000000002</v>
      </c>
      <c r="F16" s="1">
        <v>3227.7</v>
      </c>
      <c r="G16" s="7">
        <v>1</v>
      </c>
      <c r="H16" s="1">
        <v>50</v>
      </c>
      <c r="I16" s="1" t="s">
        <v>37</v>
      </c>
      <c r="J16" s="1"/>
      <c r="K16" s="1">
        <v>3928</v>
      </c>
      <c r="L16" s="1">
        <f t="shared" si="2"/>
        <v>-27.632999999999811</v>
      </c>
      <c r="M16" s="1"/>
      <c r="N16" s="1"/>
      <c r="O16" s="1">
        <v>51.11650081299814</v>
      </c>
      <c r="P16" s="1">
        <v>1300</v>
      </c>
      <c r="Q16" s="1">
        <f t="shared" si="3"/>
        <v>780.07339999999999</v>
      </c>
      <c r="R16" s="5">
        <f t="shared" si="7"/>
        <v>4392.0275991870021</v>
      </c>
      <c r="S16" s="1">
        <f t="shared" si="4"/>
        <v>11.5</v>
      </c>
      <c r="T16" s="1">
        <f t="shared" si="5"/>
        <v>5.8697252089521292</v>
      </c>
      <c r="U16" s="1">
        <v>675.8442</v>
      </c>
      <c r="V16" s="1">
        <v>640.81600000000003</v>
      </c>
      <c r="W16" s="1">
        <v>767.41360000000009</v>
      </c>
      <c r="X16" s="1">
        <v>828.15359999999998</v>
      </c>
      <c r="Y16" s="1">
        <v>790.303</v>
      </c>
      <c r="Z16" s="1">
        <v>764.45860000000005</v>
      </c>
      <c r="AA16" s="1">
        <v>816.20259999999996</v>
      </c>
      <c r="AB16" s="1">
        <v>828.27839999999992</v>
      </c>
      <c r="AC16" s="1">
        <v>796.69399999999996</v>
      </c>
      <c r="AD16" s="1">
        <v>602.02499999999998</v>
      </c>
      <c r="AE16" s="1"/>
      <c r="AF16" s="1">
        <f t="shared" si="8"/>
        <v>4392.0275991870021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51</v>
      </c>
      <c r="B17" s="1" t="s">
        <v>36</v>
      </c>
      <c r="C17" s="1">
        <v>32.728000000000002</v>
      </c>
      <c r="D17" s="1">
        <v>180.042</v>
      </c>
      <c r="E17" s="1">
        <v>74.820999999999998</v>
      </c>
      <c r="F17" s="1">
        <v>130.86600000000001</v>
      </c>
      <c r="G17" s="7">
        <v>1</v>
      </c>
      <c r="H17" s="1">
        <v>60</v>
      </c>
      <c r="I17" s="1" t="s">
        <v>37</v>
      </c>
      <c r="J17" s="1"/>
      <c r="K17" s="1">
        <v>72.56</v>
      </c>
      <c r="L17" s="1">
        <f t="shared" si="2"/>
        <v>2.2609999999999957</v>
      </c>
      <c r="M17" s="1"/>
      <c r="N17" s="1"/>
      <c r="O17" s="1">
        <v>0</v>
      </c>
      <c r="P17" s="1">
        <v>0</v>
      </c>
      <c r="Q17" s="1">
        <f t="shared" si="3"/>
        <v>14.9642</v>
      </c>
      <c r="R17" s="5">
        <f t="shared" si="7"/>
        <v>41.22229999999999</v>
      </c>
      <c r="S17" s="1">
        <f t="shared" si="4"/>
        <v>11.5</v>
      </c>
      <c r="T17" s="1">
        <f t="shared" si="5"/>
        <v>8.7452720492909748</v>
      </c>
      <c r="U17" s="1">
        <v>13.9262</v>
      </c>
      <c r="V17" s="1">
        <v>16.6556</v>
      </c>
      <c r="W17" s="1">
        <v>20.724799999999998</v>
      </c>
      <c r="X17" s="1">
        <v>23.348199999999999</v>
      </c>
      <c r="Y17" s="1">
        <v>19.873799999999999</v>
      </c>
      <c r="Z17" s="1">
        <v>16.658200000000001</v>
      </c>
      <c r="AA17" s="1">
        <v>19.036799999999999</v>
      </c>
      <c r="AB17" s="1">
        <v>21.176200000000001</v>
      </c>
      <c r="AC17" s="1">
        <v>19.1052</v>
      </c>
      <c r="AD17" s="1">
        <v>13.417199999999999</v>
      </c>
      <c r="AE17" s="1"/>
      <c r="AF17" s="1">
        <f t="shared" si="8"/>
        <v>41.22229999999999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52</v>
      </c>
      <c r="B18" s="1" t="s">
        <v>36</v>
      </c>
      <c r="C18" s="1">
        <v>34.963999999999999</v>
      </c>
      <c r="D18" s="1">
        <v>131.74199999999999</v>
      </c>
      <c r="E18" s="1">
        <v>64.932000000000002</v>
      </c>
      <c r="F18" s="1">
        <v>80.635999999999996</v>
      </c>
      <c r="G18" s="7">
        <v>1</v>
      </c>
      <c r="H18" s="1">
        <v>60</v>
      </c>
      <c r="I18" s="1" t="s">
        <v>37</v>
      </c>
      <c r="J18" s="1"/>
      <c r="K18" s="1">
        <v>63.854999999999997</v>
      </c>
      <c r="L18" s="1">
        <f t="shared" si="2"/>
        <v>1.0770000000000053</v>
      </c>
      <c r="M18" s="1"/>
      <c r="N18" s="1"/>
      <c r="O18" s="1">
        <v>0</v>
      </c>
      <c r="P18" s="1">
        <v>40.259899999999988</v>
      </c>
      <c r="Q18" s="1">
        <f t="shared" si="3"/>
        <v>12.9864</v>
      </c>
      <c r="R18" s="5">
        <f t="shared" si="7"/>
        <v>28.447700000000026</v>
      </c>
      <c r="S18" s="1">
        <f t="shared" si="4"/>
        <v>11.500000000000002</v>
      </c>
      <c r="T18" s="1">
        <f t="shared" si="5"/>
        <v>9.3094237047988653</v>
      </c>
      <c r="U18" s="1">
        <v>14.903</v>
      </c>
      <c r="V18" s="1">
        <v>10.818</v>
      </c>
      <c r="W18" s="1">
        <v>13.6614</v>
      </c>
      <c r="X18" s="1">
        <v>18.693000000000001</v>
      </c>
      <c r="Y18" s="1">
        <v>17.530200000000001</v>
      </c>
      <c r="Z18" s="1">
        <v>12.1244</v>
      </c>
      <c r="AA18" s="1">
        <v>14.151199999999999</v>
      </c>
      <c r="AB18" s="1">
        <v>20.768999999999998</v>
      </c>
      <c r="AC18" s="1">
        <v>18.800599999999999</v>
      </c>
      <c r="AD18" s="1">
        <v>14.020799999999999</v>
      </c>
      <c r="AE18" s="1"/>
      <c r="AF18" s="1">
        <f t="shared" si="8"/>
        <v>28.447700000000026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53</v>
      </c>
      <c r="B19" s="1" t="s">
        <v>36</v>
      </c>
      <c r="C19" s="1">
        <v>8.8480000000000008</v>
      </c>
      <c r="D19" s="1">
        <v>7.8940000000000001</v>
      </c>
      <c r="E19" s="1">
        <v>18.302</v>
      </c>
      <c r="F19" s="1">
        <v>-2.9340000000000002</v>
      </c>
      <c r="G19" s="7">
        <v>1</v>
      </c>
      <c r="H19" s="1">
        <v>180</v>
      </c>
      <c r="I19" s="1" t="s">
        <v>37</v>
      </c>
      <c r="J19" s="1"/>
      <c r="K19" s="1">
        <v>19.29</v>
      </c>
      <c r="L19" s="1">
        <f t="shared" si="2"/>
        <v>-0.98799999999999955</v>
      </c>
      <c r="M19" s="1"/>
      <c r="N19" s="1"/>
      <c r="O19" s="1">
        <v>6.6306000000000029</v>
      </c>
      <c r="P19" s="1">
        <v>28.059799999999999</v>
      </c>
      <c r="Q19" s="1">
        <f t="shared" si="3"/>
        <v>3.6604000000000001</v>
      </c>
      <c r="R19" s="5">
        <f t="shared" si="7"/>
        <v>10.338199999999997</v>
      </c>
      <c r="S19" s="1">
        <f t="shared" si="4"/>
        <v>11.5</v>
      </c>
      <c r="T19" s="1">
        <f t="shared" si="5"/>
        <v>8.6756638618730193</v>
      </c>
      <c r="U19" s="1">
        <v>3.3679999999999999</v>
      </c>
      <c r="V19" s="1">
        <v>1.5246</v>
      </c>
      <c r="W19" s="1">
        <v>1.8056000000000001</v>
      </c>
      <c r="X19" s="1">
        <v>1.9366000000000001</v>
      </c>
      <c r="Y19" s="1">
        <v>1.5718000000000001</v>
      </c>
      <c r="Z19" s="1">
        <v>1.7906</v>
      </c>
      <c r="AA19" s="1">
        <v>2.5901999999999998</v>
      </c>
      <c r="AB19" s="1">
        <v>1.7988</v>
      </c>
      <c r="AC19" s="1">
        <v>1.4292</v>
      </c>
      <c r="AD19" s="1">
        <v>2.8586</v>
      </c>
      <c r="AE19" s="1"/>
      <c r="AF19" s="1">
        <f t="shared" si="8"/>
        <v>10.338199999999997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54</v>
      </c>
      <c r="B20" s="1" t="s">
        <v>36</v>
      </c>
      <c r="C20" s="1">
        <v>1594.5719999999999</v>
      </c>
      <c r="D20" s="1">
        <v>1275.5150000000001</v>
      </c>
      <c r="E20" s="1">
        <v>1305.1869999999999</v>
      </c>
      <c r="F20" s="1">
        <v>1271.1949999999999</v>
      </c>
      <c r="G20" s="7">
        <v>1</v>
      </c>
      <c r="H20" s="1">
        <v>60</v>
      </c>
      <c r="I20" s="1" t="s">
        <v>37</v>
      </c>
      <c r="J20" s="1"/>
      <c r="K20" s="1">
        <v>1271.125</v>
      </c>
      <c r="L20" s="1">
        <f t="shared" si="2"/>
        <v>34.061999999999898</v>
      </c>
      <c r="M20" s="1"/>
      <c r="N20" s="1"/>
      <c r="O20" s="1">
        <v>83.316710141199536</v>
      </c>
      <c r="P20" s="1">
        <v>340.58877022429601</v>
      </c>
      <c r="Q20" s="1">
        <f t="shared" si="3"/>
        <v>261.03739999999999</v>
      </c>
      <c r="R20" s="5">
        <f t="shared" si="7"/>
        <v>1306.8296196345048</v>
      </c>
      <c r="S20" s="1">
        <f t="shared" si="4"/>
        <v>11.500000000000002</v>
      </c>
      <c r="T20" s="1">
        <f t="shared" si="5"/>
        <v>6.493707339888827</v>
      </c>
      <c r="U20" s="1">
        <v>231.03299999999999</v>
      </c>
      <c r="V20" s="1">
        <v>231.0196</v>
      </c>
      <c r="W20" s="1">
        <v>266.68880000000001</v>
      </c>
      <c r="X20" s="1">
        <v>289.93419999999998</v>
      </c>
      <c r="Y20" s="1">
        <v>292.35160000000002</v>
      </c>
      <c r="Z20" s="1">
        <v>267.48160000000001</v>
      </c>
      <c r="AA20" s="1">
        <v>272.67099999999999</v>
      </c>
      <c r="AB20" s="1">
        <v>299.54820000000001</v>
      </c>
      <c r="AC20" s="1">
        <v>310.22800000000001</v>
      </c>
      <c r="AD20" s="1">
        <v>239.51920000000001</v>
      </c>
      <c r="AE20" s="1"/>
      <c r="AF20" s="1">
        <f t="shared" si="8"/>
        <v>1306.8296196345048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55</v>
      </c>
      <c r="B21" s="1" t="s">
        <v>36</v>
      </c>
      <c r="C21" s="1">
        <v>207.697</v>
      </c>
      <c r="D21" s="1">
        <v>296.63200000000001</v>
      </c>
      <c r="E21" s="1">
        <v>193.928</v>
      </c>
      <c r="F21" s="1">
        <v>267.98099999999999</v>
      </c>
      <c r="G21" s="7">
        <v>1</v>
      </c>
      <c r="H21" s="1">
        <v>70</v>
      </c>
      <c r="I21" s="1" t="s">
        <v>37</v>
      </c>
      <c r="J21" s="1"/>
      <c r="K21" s="1">
        <v>202.685</v>
      </c>
      <c r="L21" s="1">
        <f t="shared" si="2"/>
        <v>-8.757000000000005</v>
      </c>
      <c r="M21" s="1"/>
      <c r="N21" s="1"/>
      <c r="O21" s="1">
        <v>34.60337899999989</v>
      </c>
      <c r="P21" s="1">
        <v>18.840400000000219</v>
      </c>
      <c r="Q21" s="1">
        <f t="shared" si="3"/>
        <v>38.785600000000002</v>
      </c>
      <c r="R21" s="5">
        <f t="shared" si="7"/>
        <v>124.60962099999989</v>
      </c>
      <c r="S21" s="1">
        <f t="shared" si="4"/>
        <v>11.5</v>
      </c>
      <c r="T21" s="1">
        <f t="shared" si="5"/>
        <v>8.2872194577368941</v>
      </c>
      <c r="U21" s="1">
        <v>36.6614</v>
      </c>
      <c r="V21" s="1">
        <v>41.685199999999988</v>
      </c>
      <c r="W21" s="1">
        <v>47.904600000000002</v>
      </c>
      <c r="X21" s="1">
        <v>59.2864</v>
      </c>
      <c r="Y21" s="1">
        <v>56.157799999999988</v>
      </c>
      <c r="Z21" s="1">
        <v>44.815800000000003</v>
      </c>
      <c r="AA21" s="1">
        <v>46.234999999999999</v>
      </c>
      <c r="AB21" s="1">
        <v>51.521799999999999</v>
      </c>
      <c r="AC21" s="1">
        <v>51.721600000000002</v>
      </c>
      <c r="AD21" s="1">
        <v>37.593200000000003</v>
      </c>
      <c r="AE21" s="1"/>
      <c r="AF21" s="1">
        <f t="shared" si="8"/>
        <v>124.60962099999989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56</v>
      </c>
      <c r="B22" s="1" t="s">
        <v>36</v>
      </c>
      <c r="C22" s="1">
        <v>539.82399999999996</v>
      </c>
      <c r="D22" s="1">
        <v>501.55</v>
      </c>
      <c r="E22" s="1">
        <v>454.12700000000001</v>
      </c>
      <c r="F22" s="1">
        <v>481.83300000000003</v>
      </c>
      <c r="G22" s="7">
        <v>1</v>
      </c>
      <c r="H22" s="1">
        <v>70</v>
      </c>
      <c r="I22" s="1" t="s">
        <v>37</v>
      </c>
      <c r="J22" s="1"/>
      <c r="K22" s="1">
        <v>436.56</v>
      </c>
      <c r="L22" s="1">
        <f t="shared" si="2"/>
        <v>17.567000000000007</v>
      </c>
      <c r="M22" s="1"/>
      <c r="N22" s="1"/>
      <c r="O22" s="1">
        <v>57.95089999999994</v>
      </c>
      <c r="P22" s="1">
        <v>23.826720000000218</v>
      </c>
      <c r="Q22" s="1">
        <f t="shared" si="3"/>
        <v>90.825400000000002</v>
      </c>
      <c r="R22" s="5">
        <f t="shared" si="7"/>
        <v>480.88147999999973</v>
      </c>
      <c r="S22" s="1">
        <f t="shared" si="4"/>
        <v>11.499999999999998</v>
      </c>
      <c r="T22" s="1">
        <f t="shared" si="5"/>
        <v>6.2054295384330844</v>
      </c>
      <c r="U22" s="1">
        <v>80.068399999999997</v>
      </c>
      <c r="V22" s="1">
        <v>83.840599999999995</v>
      </c>
      <c r="W22" s="1">
        <v>97.186000000000007</v>
      </c>
      <c r="X22" s="1">
        <v>100.78400000000001</v>
      </c>
      <c r="Y22" s="1">
        <v>98.3446</v>
      </c>
      <c r="Z22" s="1">
        <v>86.057199999999995</v>
      </c>
      <c r="AA22" s="1">
        <v>89.749800000000008</v>
      </c>
      <c r="AB22" s="1">
        <v>107.6352</v>
      </c>
      <c r="AC22" s="1">
        <v>111.0834</v>
      </c>
      <c r="AD22" s="1">
        <v>83.725200000000001</v>
      </c>
      <c r="AE22" s="1" t="s">
        <v>57</v>
      </c>
      <c r="AF22" s="1">
        <f t="shared" si="8"/>
        <v>480.88147999999973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2"/>
        <v>0</v>
      </c>
      <c r="M23" s="10"/>
      <c r="N23" s="10"/>
      <c r="O23" s="10">
        <v>0</v>
      </c>
      <c r="P23" s="10">
        <v>0</v>
      </c>
      <c r="Q23" s="10">
        <f t="shared" si="3"/>
        <v>0</v>
      </c>
      <c r="R23" s="12"/>
      <c r="S23" s="10" t="e">
        <f t="shared" si="4"/>
        <v>#DIV/0!</v>
      </c>
      <c r="T23" s="10" t="e">
        <f t="shared" si="5"/>
        <v>#DIV/0!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 t="s">
        <v>43</v>
      </c>
      <c r="AF23" s="10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59</v>
      </c>
      <c r="B24" s="1" t="s">
        <v>36</v>
      </c>
      <c r="C24" s="1">
        <v>615.57299999999998</v>
      </c>
      <c r="D24" s="1">
        <v>795.93799999999999</v>
      </c>
      <c r="E24" s="1">
        <v>672.42499999999995</v>
      </c>
      <c r="F24" s="1">
        <v>563.86099999999999</v>
      </c>
      <c r="G24" s="7">
        <v>1</v>
      </c>
      <c r="H24" s="1">
        <v>70</v>
      </c>
      <c r="I24" s="1" t="s">
        <v>37</v>
      </c>
      <c r="J24" s="1"/>
      <c r="K24" s="1">
        <v>662.69500000000005</v>
      </c>
      <c r="L24" s="1">
        <f t="shared" si="2"/>
        <v>9.7299999999999045</v>
      </c>
      <c r="M24" s="1"/>
      <c r="N24" s="1"/>
      <c r="O24" s="1">
        <v>222.42899000000011</v>
      </c>
      <c r="P24" s="1">
        <v>8.7569599999997223</v>
      </c>
      <c r="Q24" s="1">
        <f t="shared" si="3"/>
        <v>134.48499999999999</v>
      </c>
      <c r="R24" s="5">
        <f t="shared" ref="R24:R29" si="9">11.5*Q24-P24-O24-F24</f>
        <v>751.53055000000006</v>
      </c>
      <c r="S24" s="1">
        <f t="shared" si="4"/>
        <v>11.5</v>
      </c>
      <c r="T24" s="1">
        <f t="shared" si="5"/>
        <v>5.911789047105624</v>
      </c>
      <c r="U24" s="1">
        <v>114.6332</v>
      </c>
      <c r="V24" s="1">
        <v>122.8556</v>
      </c>
      <c r="W24" s="1">
        <v>154.4462</v>
      </c>
      <c r="X24" s="1">
        <v>156.86439999999999</v>
      </c>
      <c r="Y24" s="1">
        <v>146.11439999999999</v>
      </c>
      <c r="Z24" s="1">
        <v>137.9374</v>
      </c>
      <c r="AA24" s="1">
        <v>140.28139999999999</v>
      </c>
      <c r="AB24" s="1">
        <v>155.126</v>
      </c>
      <c r="AC24" s="1">
        <v>164.63640000000001</v>
      </c>
      <c r="AD24" s="1">
        <v>125.02379999999999</v>
      </c>
      <c r="AE24" s="1" t="s">
        <v>57</v>
      </c>
      <c r="AF24" s="1">
        <f t="shared" ref="AF24:AF29" si="10">G24*R24</f>
        <v>751.53055000000006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60</v>
      </c>
      <c r="B25" s="1" t="s">
        <v>36</v>
      </c>
      <c r="C25" s="1">
        <v>103.831</v>
      </c>
      <c r="D25" s="1">
        <v>168.447</v>
      </c>
      <c r="E25" s="1">
        <v>104.455</v>
      </c>
      <c r="F25" s="1">
        <v>136.08500000000001</v>
      </c>
      <c r="G25" s="7">
        <v>1</v>
      </c>
      <c r="H25" s="1">
        <v>40</v>
      </c>
      <c r="I25" s="1" t="s">
        <v>37</v>
      </c>
      <c r="J25" s="1"/>
      <c r="K25" s="1">
        <v>161.05000000000001</v>
      </c>
      <c r="L25" s="1">
        <f t="shared" si="2"/>
        <v>-56.595000000000013</v>
      </c>
      <c r="M25" s="1"/>
      <c r="N25" s="1"/>
      <c r="O25" s="1">
        <v>141.15835999999999</v>
      </c>
      <c r="P25" s="1">
        <v>0</v>
      </c>
      <c r="Q25" s="1">
        <f t="shared" si="3"/>
        <v>20.890999999999998</v>
      </c>
      <c r="R25" s="5"/>
      <c r="S25" s="1">
        <f t="shared" si="4"/>
        <v>13.27094729787947</v>
      </c>
      <c r="T25" s="1">
        <f t="shared" si="5"/>
        <v>13.27094729787947</v>
      </c>
      <c r="U25" s="1">
        <v>21.743400000000001</v>
      </c>
      <c r="V25" s="1">
        <v>31.498799999999999</v>
      </c>
      <c r="W25" s="1">
        <v>36.451999999999998</v>
      </c>
      <c r="X25" s="1">
        <v>28.552800000000001</v>
      </c>
      <c r="Y25" s="1">
        <v>25.166799999999999</v>
      </c>
      <c r="Z25" s="1">
        <v>29.244199999999999</v>
      </c>
      <c r="AA25" s="1">
        <v>30.193000000000001</v>
      </c>
      <c r="AB25" s="1">
        <v>20.341200000000001</v>
      </c>
      <c r="AC25" s="1">
        <v>17.2774</v>
      </c>
      <c r="AD25" s="1">
        <v>12.4376</v>
      </c>
      <c r="AE25" s="1"/>
      <c r="AF25" s="1">
        <f t="shared" si="10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61</v>
      </c>
      <c r="B26" s="1" t="s">
        <v>36</v>
      </c>
      <c r="C26" s="1">
        <v>255.678</v>
      </c>
      <c r="D26" s="1">
        <v>190.48400000000001</v>
      </c>
      <c r="E26" s="1">
        <v>268.41699999999997</v>
      </c>
      <c r="F26" s="1">
        <v>102.172</v>
      </c>
      <c r="G26" s="7">
        <v>1</v>
      </c>
      <c r="H26" s="1">
        <v>30</v>
      </c>
      <c r="I26" s="1" t="s">
        <v>37</v>
      </c>
      <c r="J26" s="1"/>
      <c r="K26" s="1">
        <v>275.60000000000002</v>
      </c>
      <c r="L26" s="1">
        <f t="shared" si="2"/>
        <v>-7.1830000000000496</v>
      </c>
      <c r="M26" s="1"/>
      <c r="N26" s="1"/>
      <c r="O26" s="1">
        <v>30</v>
      </c>
      <c r="P26" s="1">
        <v>305.43617999999992</v>
      </c>
      <c r="Q26" s="1">
        <f t="shared" si="3"/>
        <v>53.683399999999992</v>
      </c>
      <c r="R26" s="5">
        <f t="shared" si="9"/>
        <v>179.75091999999998</v>
      </c>
      <c r="S26" s="1">
        <f t="shared" si="4"/>
        <v>11.5</v>
      </c>
      <c r="T26" s="1">
        <f t="shared" si="5"/>
        <v>8.1516479954697356</v>
      </c>
      <c r="U26" s="1">
        <v>55.056600000000003</v>
      </c>
      <c r="V26" s="1">
        <v>34.062199999999997</v>
      </c>
      <c r="W26" s="1">
        <v>31.221399999999999</v>
      </c>
      <c r="X26" s="1">
        <v>46.425600000000003</v>
      </c>
      <c r="Y26" s="1">
        <v>48.891800000000003</v>
      </c>
      <c r="Z26" s="1">
        <v>43.962200000000003</v>
      </c>
      <c r="AA26" s="1">
        <v>33.269799999999996</v>
      </c>
      <c r="AB26" s="1">
        <v>13.7828</v>
      </c>
      <c r="AC26" s="1">
        <v>31.713999999999999</v>
      </c>
      <c r="AD26" s="1">
        <v>56.964200000000012</v>
      </c>
      <c r="AE26" s="1"/>
      <c r="AF26" s="1">
        <f t="shared" si="10"/>
        <v>179.75091999999998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62</v>
      </c>
      <c r="B27" s="1" t="s">
        <v>36</v>
      </c>
      <c r="C27" s="1">
        <v>184.15299999999999</v>
      </c>
      <c r="D27" s="1">
        <v>221.91300000000001</v>
      </c>
      <c r="E27" s="1">
        <v>195.30199999999999</v>
      </c>
      <c r="F27" s="1">
        <v>150.52000000000001</v>
      </c>
      <c r="G27" s="7">
        <v>1</v>
      </c>
      <c r="H27" s="1">
        <v>40</v>
      </c>
      <c r="I27" s="9" t="s">
        <v>40</v>
      </c>
      <c r="J27" s="1"/>
      <c r="K27" s="1">
        <v>188.6</v>
      </c>
      <c r="L27" s="1">
        <f t="shared" si="2"/>
        <v>6.7019999999999982</v>
      </c>
      <c r="M27" s="1"/>
      <c r="N27" s="1"/>
      <c r="O27" s="1">
        <v>10</v>
      </c>
      <c r="P27" s="1">
        <v>190.88716000000011</v>
      </c>
      <c r="Q27" s="1">
        <f t="shared" si="3"/>
        <v>39.060400000000001</v>
      </c>
      <c r="R27" s="5">
        <f t="shared" si="9"/>
        <v>97.787439999999918</v>
      </c>
      <c r="S27" s="1">
        <f t="shared" si="4"/>
        <v>11.5</v>
      </c>
      <c r="T27" s="1">
        <f t="shared" si="5"/>
        <v>8.996506948213538</v>
      </c>
      <c r="U27" s="1">
        <v>40.458199999999998</v>
      </c>
      <c r="V27" s="1">
        <v>28.9742</v>
      </c>
      <c r="W27" s="1">
        <v>29.550999999999998</v>
      </c>
      <c r="X27" s="1">
        <v>35.141000000000012</v>
      </c>
      <c r="Y27" s="1">
        <v>39.5794</v>
      </c>
      <c r="Z27" s="1">
        <v>32.5458</v>
      </c>
      <c r="AA27" s="1">
        <v>22.7224</v>
      </c>
      <c r="AB27" s="1">
        <v>6.7043999999999997</v>
      </c>
      <c r="AC27" s="1">
        <v>-0.26340000000000002</v>
      </c>
      <c r="AD27" s="1">
        <v>-0.60759999999999992</v>
      </c>
      <c r="AE27" s="1"/>
      <c r="AF27" s="1">
        <f t="shared" si="10"/>
        <v>97.787439999999918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63</v>
      </c>
      <c r="B28" s="1" t="s">
        <v>36</v>
      </c>
      <c r="C28" s="1">
        <v>1517.741</v>
      </c>
      <c r="D28" s="1">
        <v>1796.4590000000001</v>
      </c>
      <c r="E28" s="1">
        <v>1221.604</v>
      </c>
      <c r="F28" s="1">
        <v>1683.91</v>
      </c>
      <c r="G28" s="7">
        <v>1</v>
      </c>
      <c r="H28" s="1">
        <v>30</v>
      </c>
      <c r="I28" s="9" t="s">
        <v>40</v>
      </c>
      <c r="J28" s="1"/>
      <c r="K28" s="1">
        <v>1276.8</v>
      </c>
      <c r="L28" s="1">
        <f t="shared" si="2"/>
        <v>-55.195999999999913</v>
      </c>
      <c r="M28" s="1"/>
      <c r="N28" s="1"/>
      <c r="O28" s="1">
        <v>257.47134000000011</v>
      </c>
      <c r="P28" s="1"/>
      <c r="Q28" s="1">
        <f t="shared" si="3"/>
        <v>244.32080000000002</v>
      </c>
      <c r="R28" s="5">
        <f t="shared" si="9"/>
        <v>868.30786000000012</v>
      </c>
      <c r="S28" s="1">
        <f t="shared" si="4"/>
        <v>11.5</v>
      </c>
      <c r="T28" s="1">
        <f t="shared" si="5"/>
        <v>7.9460338211073314</v>
      </c>
      <c r="U28" s="1">
        <v>256.52339999999998</v>
      </c>
      <c r="V28" s="1">
        <v>270.452</v>
      </c>
      <c r="W28" s="1">
        <v>280.71120000000002</v>
      </c>
      <c r="X28" s="1">
        <v>310.25920000000002</v>
      </c>
      <c r="Y28" s="1">
        <v>314.48059999999998</v>
      </c>
      <c r="Z28" s="1">
        <v>320.68</v>
      </c>
      <c r="AA28" s="1">
        <v>316.95460000000003</v>
      </c>
      <c r="AB28" s="1">
        <v>308.58339999999998</v>
      </c>
      <c r="AC28" s="1">
        <v>309.00920000000002</v>
      </c>
      <c r="AD28" s="1">
        <v>309.85000000000002</v>
      </c>
      <c r="AE28" s="1"/>
      <c r="AF28" s="1">
        <f t="shared" si="10"/>
        <v>868.30786000000012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64</v>
      </c>
      <c r="B29" s="1" t="s">
        <v>36</v>
      </c>
      <c r="C29" s="1">
        <v>1798.952</v>
      </c>
      <c r="D29" s="1">
        <v>2195.0509999999999</v>
      </c>
      <c r="E29" s="1">
        <v>1804.848</v>
      </c>
      <c r="F29" s="1">
        <v>1788.905</v>
      </c>
      <c r="G29" s="7">
        <v>1</v>
      </c>
      <c r="H29" s="1">
        <v>40</v>
      </c>
      <c r="I29" s="1" t="s">
        <v>37</v>
      </c>
      <c r="J29" s="1"/>
      <c r="K29" s="1">
        <v>1672.03</v>
      </c>
      <c r="L29" s="1">
        <f t="shared" si="2"/>
        <v>132.81799999999998</v>
      </c>
      <c r="M29" s="1"/>
      <c r="N29" s="1"/>
      <c r="O29" s="1">
        <v>651.45325000000128</v>
      </c>
      <c r="P29" s="1">
        <v>290.36589999999978</v>
      </c>
      <c r="Q29" s="1">
        <f t="shared" si="3"/>
        <v>360.96960000000001</v>
      </c>
      <c r="R29" s="5">
        <f t="shared" si="9"/>
        <v>1420.4262499999993</v>
      </c>
      <c r="S29" s="1">
        <f t="shared" si="4"/>
        <v>11.5</v>
      </c>
      <c r="T29" s="1">
        <f t="shared" si="5"/>
        <v>7.5649698755795525</v>
      </c>
      <c r="U29" s="1">
        <v>349.10199999999998</v>
      </c>
      <c r="V29" s="1">
        <v>355.59320000000002</v>
      </c>
      <c r="W29" s="1">
        <v>382.23180000000002</v>
      </c>
      <c r="X29" s="1">
        <v>388.74599999999998</v>
      </c>
      <c r="Y29" s="1">
        <v>399.38979999999998</v>
      </c>
      <c r="Z29" s="1">
        <v>362.9348</v>
      </c>
      <c r="AA29" s="1">
        <v>381.44900000000001</v>
      </c>
      <c r="AB29" s="1">
        <v>488.75020000000012</v>
      </c>
      <c r="AC29" s="1">
        <v>422.90960000000001</v>
      </c>
      <c r="AD29" s="1">
        <v>262.32420000000002</v>
      </c>
      <c r="AE29" s="1"/>
      <c r="AF29" s="1">
        <f t="shared" si="10"/>
        <v>1420.4262499999993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0" t="s">
        <v>65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2"/>
        <v>0</v>
      </c>
      <c r="M30" s="10"/>
      <c r="N30" s="10"/>
      <c r="O30" s="10">
        <v>0</v>
      </c>
      <c r="P30" s="10">
        <v>0</v>
      </c>
      <c r="Q30" s="10">
        <f t="shared" si="3"/>
        <v>0</v>
      </c>
      <c r="R30" s="12"/>
      <c r="S30" s="10" t="e">
        <f t="shared" si="4"/>
        <v>#DIV/0!</v>
      </c>
      <c r="T30" s="10" t="e">
        <f t="shared" si="5"/>
        <v>#DIV/0!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 t="s">
        <v>43</v>
      </c>
      <c r="AF30" s="10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66</v>
      </c>
      <c r="B31" s="1" t="s">
        <v>36</v>
      </c>
      <c r="C31" s="1">
        <v>101.467</v>
      </c>
      <c r="D31" s="1">
        <v>310.56200000000001</v>
      </c>
      <c r="E31" s="1">
        <v>199.88499999999999</v>
      </c>
      <c r="F31" s="1">
        <v>152.27000000000001</v>
      </c>
      <c r="G31" s="7">
        <v>1</v>
      </c>
      <c r="H31" s="1">
        <v>30</v>
      </c>
      <c r="I31" s="9" t="s">
        <v>40</v>
      </c>
      <c r="J31" s="1"/>
      <c r="K31" s="1">
        <v>195.3</v>
      </c>
      <c r="L31" s="1">
        <f t="shared" si="2"/>
        <v>4.5849999999999795</v>
      </c>
      <c r="M31" s="1"/>
      <c r="N31" s="1"/>
      <c r="O31" s="1">
        <v>10.437469000000281</v>
      </c>
      <c r="P31" s="1">
        <v>121.2742199999999</v>
      </c>
      <c r="Q31" s="1">
        <f t="shared" si="3"/>
        <v>39.976999999999997</v>
      </c>
      <c r="R31" s="5">
        <f>11.5*Q31-P31-O31-F31</f>
        <v>175.75381099999973</v>
      </c>
      <c r="S31" s="1">
        <f t="shared" si="4"/>
        <v>11.499999999999998</v>
      </c>
      <c r="T31" s="1">
        <f t="shared" si="5"/>
        <v>7.1036268104159941</v>
      </c>
      <c r="U31" s="1">
        <v>38.119399999999999</v>
      </c>
      <c r="V31" s="1">
        <v>30.584399999999999</v>
      </c>
      <c r="W31" s="1">
        <v>31.743400000000001</v>
      </c>
      <c r="X31" s="1">
        <v>43.1676</v>
      </c>
      <c r="Y31" s="1">
        <v>41.247399999999999</v>
      </c>
      <c r="Z31" s="1">
        <v>33.716799999999999</v>
      </c>
      <c r="AA31" s="1">
        <v>37.151000000000003</v>
      </c>
      <c r="AB31" s="1">
        <v>40.635000000000012</v>
      </c>
      <c r="AC31" s="1">
        <v>42.814599999999999</v>
      </c>
      <c r="AD31" s="1">
        <v>37.282200000000003</v>
      </c>
      <c r="AE31" s="1"/>
      <c r="AF31" s="1">
        <f>G31*R31</f>
        <v>175.75381099999973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0" t="s">
        <v>67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/>
      <c r="L32" s="10">
        <f t="shared" si="2"/>
        <v>0</v>
      </c>
      <c r="M32" s="10"/>
      <c r="N32" s="10"/>
      <c r="O32" s="10">
        <v>0</v>
      </c>
      <c r="P32" s="10">
        <v>0</v>
      </c>
      <c r="Q32" s="10">
        <f t="shared" si="3"/>
        <v>0</v>
      </c>
      <c r="R32" s="12"/>
      <c r="S32" s="10" t="e">
        <f t="shared" si="4"/>
        <v>#DIV/0!</v>
      </c>
      <c r="T32" s="10" t="e">
        <f t="shared" si="5"/>
        <v>#DIV/0!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 t="s">
        <v>43</v>
      </c>
      <c r="AF32" s="10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0" t="s">
        <v>68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2"/>
        <v>0</v>
      </c>
      <c r="M33" s="10"/>
      <c r="N33" s="10"/>
      <c r="O33" s="10">
        <v>0</v>
      </c>
      <c r="P33" s="10">
        <v>0</v>
      </c>
      <c r="Q33" s="10">
        <f t="shared" si="3"/>
        <v>0</v>
      </c>
      <c r="R33" s="12"/>
      <c r="S33" s="10" t="e">
        <f t="shared" si="4"/>
        <v>#DIV/0!</v>
      </c>
      <c r="T33" s="10" t="e">
        <f t="shared" si="5"/>
        <v>#DIV/0!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 t="s">
        <v>43</v>
      </c>
      <c r="AF33" s="10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69</v>
      </c>
      <c r="B34" s="1" t="s">
        <v>42</v>
      </c>
      <c r="C34" s="1">
        <v>2902</v>
      </c>
      <c r="D34" s="1">
        <v>8781</v>
      </c>
      <c r="E34" s="1">
        <v>4657</v>
      </c>
      <c r="F34" s="1">
        <v>5863</v>
      </c>
      <c r="G34" s="7">
        <v>0.4</v>
      </c>
      <c r="H34" s="1">
        <v>45</v>
      </c>
      <c r="I34" s="9" t="s">
        <v>40</v>
      </c>
      <c r="J34" s="1"/>
      <c r="K34" s="1">
        <v>4754</v>
      </c>
      <c r="L34" s="1">
        <f t="shared" si="2"/>
        <v>-97</v>
      </c>
      <c r="M34" s="1"/>
      <c r="N34" s="1"/>
      <c r="O34" s="1">
        <v>1239.041999999999</v>
      </c>
      <c r="P34" s="1"/>
      <c r="Q34" s="1">
        <f t="shared" si="3"/>
        <v>931.4</v>
      </c>
      <c r="R34" s="5">
        <f t="shared" ref="R34:R84" si="11">11.5*Q34-P34-O34-F34</f>
        <v>3609.0580000000009</v>
      </c>
      <c r="S34" s="1">
        <f t="shared" si="4"/>
        <v>11.5</v>
      </c>
      <c r="T34" s="1">
        <f t="shared" si="5"/>
        <v>7.6251256173502249</v>
      </c>
      <c r="U34" s="1">
        <v>904.4</v>
      </c>
      <c r="V34" s="1">
        <v>986.06000000000006</v>
      </c>
      <c r="W34" s="1">
        <v>1036.6600000000001</v>
      </c>
      <c r="X34" s="1">
        <v>1083.5999999999999</v>
      </c>
      <c r="Y34" s="1">
        <v>1082</v>
      </c>
      <c r="Z34" s="1">
        <v>1122.8</v>
      </c>
      <c r="AA34" s="1">
        <v>1122</v>
      </c>
      <c r="AB34" s="1">
        <v>775</v>
      </c>
      <c r="AC34" s="1">
        <v>836.2</v>
      </c>
      <c r="AD34" s="1">
        <v>969.8</v>
      </c>
      <c r="AE34" s="1"/>
      <c r="AF34" s="1">
        <f t="shared" ref="AF34:AF65" si="12">G34*R34</f>
        <v>1443.6232000000005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70</v>
      </c>
      <c r="B35" s="1" t="s">
        <v>42</v>
      </c>
      <c r="C35" s="1">
        <v>618</v>
      </c>
      <c r="D35" s="1">
        <v>632</v>
      </c>
      <c r="E35" s="1">
        <v>386</v>
      </c>
      <c r="F35" s="1">
        <v>717</v>
      </c>
      <c r="G35" s="7">
        <v>0.45</v>
      </c>
      <c r="H35" s="1">
        <v>50</v>
      </c>
      <c r="I35" s="1" t="s">
        <v>37</v>
      </c>
      <c r="J35" s="1"/>
      <c r="K35" s="1">
        <v>403</v>
      </c>
      <c r="L35" s="1">
        <f t="shared" si="2"/>
        <v>-17</v>
      </c>
      <c r="M35" s="1"/>
      <c r="N35" s="1"/>
      <c r="O35" s="1">
        <v>161.8850000000001</v>
      </c>
      <c r="P35" s="1">
        <v>0</v>
      </c>
      <c r="Q35" s="1">
        <f t="shared" si="3"/>
        <v>77.2</v>
      </c>
      <c r="R35" s="5">
        <f t="shared" si="11"/>
        <v>8.9149999999999636</v>
      </c>
      <c r="S35" s="1">
        <f t="shared" si="4"/>
        <v>11.5</v>
      </c>
      <c r="T35" s="1">
        <f t="shared" si="5"/>
        <v>11.384520725388603</v>
      </c>
      <c r="U35" s="1">
        <v>88.4</v>
      </c>
      <c r="V35" s="1">
        <v>113.2</v>
      </c>
      <c r="W35" s="1">
        <v>104.8</v>
      </c>
      <c r="X35" s="1">
        <v>113.8</v>
      </c>
      <c r="Y35" s="1">
        <v>116.6</v>
      </c>
      <c r="Z35" s="1">
        <v>125.4</v>
      </c>
      <c r="AA35" s="1">
        <v>125.8</v>
      </c>
      <c r="AB35" s="1">
        <v>125.6</v>
      </c>
      <c r="AC35" s="1">
        <v>116.8</v>
      </c>
      <c r="AD35" s="1">
        <v>77</v>
      </c>
      <c r="AE35" s="1"/>
      <c r="AF35" s="1">
        <f t="shared" si="12"/>
        <v>4.0117499999999842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71</v>
      </c>
      <c r="B36" s="1" t="s">
        <v>42</v>
      </c>
      <c r="C36" s="1">
        <v>625</v>
      </c>
      <c r="D36" s="1">
        <v>1564</v>
      </c>
      <c r="E36" s="1">
        <v>886</v>
      </c>
      <c r="F36" s="1">
        <v>1182</v>
      </c>
      <c r="G36" s="7">
        <v>0.4</v>
      </c>
      <c r="H36" s="1">
        <v>45</v>
      </c>
      <c r="I36" s="1" t="s">
        <v>37</v>
      </c>
      <c r="J36" s="1"/>
      <c r="K36" s="1">
        <v>898</v>
      </c>
      <c r="L36" s="1">
        <f t="shared" si="2"/>
        <v>-12</v>
      </c>
      <c r="M36" s="1"/>
      <c r="N36" s="1"/>
      <c r="O36" s="1">
        <v>404.39</v>
      </c>
      <c r="P36" s="1"/>
      <c r="Q36" s="1">
        <f t="shared" si="3"/>
        <v>177.2</v>
      </c>
      <c r="R36" s="5">
        <f t="shared" si="11"/>
        <v>451.40999999999985</v>
      </c>
      <c r="S36" s="1">
        <f t="shared" si="4"/>
        <v>11.5</v>
      </c>
      <c r="T36" s="1">
        <f t="shared" si="5"/>
        <v>8.9525395033860047</v>
      </c>
      <c r="U36" s="1">
        <v>188</v>
      </c>
      <c r="V36" s="1">
        <v>197.4</v>
      </c>
      <c r="W36" s="1">
        <v>174.8</v>
      </c>
      <c r="X36" s="1">
        <v>159.4</v>
      </c>
      <c r="Y36" s="1">
        <v>167.6</v>
      </c>
      <c r="Z36" s="1">
        <v>160.4</v>
      </c>
      <c r="AA36" s="1">
        <v>185.2</v>
      </c>
      <c r="AB36" s="1">
        <v>146</v>
      </c>
      <c r="AC36" s="1">
        <v>110.2</v>
      </c>
      <c r="AD36" s="1">
        <v>93.4</v>
      </c>
      <c r="AE36" s="1"/>
      <c r="AF36" s="1">
        <f t="shared" si="12"/>
        <v>180.56399999999996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72</v>
      </c>
      <c r="B37" s="1" t="s">
        <v>42</v>
      </c>
      <c r="C37" s="1">
        <v>34</v>
      </c>
      <c r="D37" s="1">
        <v>12</v>
      </c>
      <c r="E37" s="1">
        <v>14</v>
      </c>
      <c r="F37" s="1">
        <v>32</v>
      </c>
      <c r="G37" s="7">
        <v>0.4</v>
      </c>
      <c r="H37" s="1">
        <v>40</v>
      </c>
      <c r="I37" s="1" t="s">
        <v>37</v>
      </c>
      <c r="J37" s="1"/>
      <c r="K37" s="1">
        <v>28</v>
      </c>
      <c r="L37" s="1">
        <f t="shared" si="2"/>
        <v>-14</v>
      </c>
      <c r="M37" s="1"/>
      <c r="N37" s="1"/>
      <c r="O37" s="1">
        <v>0</v>
      </c>
      <c r="P37" s="1">
        <v>0</v>
      </c>
      <c r="Q37" s="1">
        <f t="shared" si="3"/>
        <v>2.8</v>
      </c>
      <c r="R37" s="5">
        <v>8</v>
      </c>
      <c r="S37" s="1">
        <f t="shared" si="4"/>
        <v>14.285714285714286</v>
      </c>
      <c r="T37" s="1">
        <f t="shared" si="5"/>
        <v>11.428571428571429</v>
      </c>
      <c r="U37" s="1">
        <v>3.4</v>
      </c>
      <c r="V37" s="1">
        <v>3.6</v>
      </c>
      <c r="W37" s="1">
        <v>2.6</v>
      </c>
      <c r="X37" s="1">
        <v>1.6</v>
      </c>
      <c r="Y37" s="1">
        <v>0.6</v>
      </c>
      <c r="Z37" s="1">
        <v>2</v>
      </c>
      <c r="AA37" s="1">
        <v>2.8</v>
      </c>
      <c r="AB37" s="1">
        <v>1.4</v>
      </c>
      <c r="AC37" s="1">
        <v>0</v>
      </c>
      <c r="AD37" s="1">
        <v>0</v>
      </c>
      <c r="AE37" s="1"/>
      <c r="AF37" s="1">
        <f t="shared" si="12"/>
        <v>3.2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73</v>
      </c>
      <c r="B38" s="1" t="s">
        <v>36</v>
      </c>
      <c r="C38" s="1">
        <v>109.8</v>
      </c>
      <c r="D38" s="1">
        <v>109.809</v>
      </c>
      <c r="E38" s="1">
        <v>123.255</v>
      </c>
      <c r="F38" s="1">
        <v>84.495999999999995</v>
      </c>
      <c r="G38" s="7">
        <v>1</v>
      </c>
      <c r="H38" s="1">
        <v>45</v>
      </c>
      <c r="I38" s="9" t="s">
        <v>40</v>
      </c>
      <c r="J38" s="1"/>
      <c r="K38" s="1">
        <v>148.69999999999999</v>
      </c>
      <c r="L38" s="1">
        <f t="shared" ref="L38:L69" si="13">E38-K38</f>
        <v>-25.444999999999993</v>
      </c>
      <c r="M38" s="1"/>
      <c r="N38" s="1"/>
      <c r="O38" s="1">
        <v>44.013900000000064</v>
      </c>
      <c r="P38" s="1">
        <v>150</v>
      </c>
      <c r="Q38" s="1">
        <f t="shared" ref="Q38:Q69" si="14">E38/5</f>
        <v>24.651</v>
      </c>
      <c r="R38" s="5">
        <f t="shared" si="11"/>
        <v>4.9765999999999195</v>
      </c>
      <c r="S38" s="1">
        <f t="shared" ref="S38:S69" si="15">(F38+O38+P38+R38)/Q38</f>
        <v>11.5</v>
      </c>
      <c r="T38" s="1">
        <f t="shared" ref="T38:T69" si="16">(F38+O38+P38)/Q38</f>
        <v>11.298117723418931</v>
      </c>
      <c r="U38" s="1">
        <v>30.5916</v>
      </c>
      <c r="V38" s="1">
        <v>23.4132</v>
      </c>
      <c r="W38" s="1">
        <v>27.113600000000002</v>
      </c>
      <c r="X38" s="1">
        <v>26.136800000000001</v>
      </c>
      <c r="Y38" s="1">
        <v>25.5244</v>
      </c>
      <c r="Z38" s="1">
        <v>32.070399999999999</v>
      </c>
      <c r="AA38" s="1">
        <v>33.582999999999998</v>
      </c>
      <c r="AB38" s="1">
        <v>38.2774</v>
      </c>
      <c r="AC38" s="1">
        <v>46.067599999999999</v>
      </c>
      <c r="AD38" s="1">
        <v>41.764200000000002</v>
      </c>
      <c r="AE38" s="1"/>
      <c r="AF38" s="1">
        <f t="shared" si="12"/>
        <v>4.9765999999999195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74</v>
      </c>
      <c r="B39" s="1" t="s">
        <v>42</v>
      </c>
      <c r="C39" s="1">
        <v>496</v>
      </c>
      <c r="D39" s="1">
        <v>343</v>
      </c>
      <c r="E39" s="1">
        <v>395</v>
      </c>
      <c r="F39" s="1">
        <v>311</v>
      </c>
      <c r="G39" s="7">
        <v>0.1</v>
      </c>
      <c r="H39" s="1">
        <v>731</v>
      </c>
      <c r="I39" s="1" t="s">
        <v>37</v>
      </c>
      <c r="J39" s="1"/>
      <c r="K39" s="1">
        <v>423</v>
      </c>
      <c r="L39" s="1">
        <f t="shared" si="13"/>
        <v>-28</v>
      </c>
      <c r="M39" s="1"/>
      <c r="N39" s="1"/>
      <c r="O39" s="1">
        <v>155.07500000000019</v>
      </c>
      <c r="P39" s="1">
        <v>76.245000000000005</v>
      </c>
      <c r="Q39" s="1">
        <f t="shared" si="14"/>
        <v>79</v>
      </c>
      <c r="R39" s="5">
        <f t="shared" si="11"/>
        <v>366.17999999999984</v>
      </c>
      <c r="S39" s="1">
        <f t="shared" si="15"/>
        <v>11.5</v>
      </c>
      <c r="T39" s="1">
        <f t="shared" si="16"/>
        <v>6.864810126582281</v>
      </c>
      <c r="U39" s="1">
        <v>73.400000000000006</v>
      </c>
      <c r="V39" s="1">
        <v>76.599999999999994</v>
      </c>
      <c r="W39" s="1">
        <v>83.2</v>
      </c>
      <c r="X39" s="1">
        <v>87.4</v>
      </c>
      <c r="Y39" s="1">
        <v>84.4</v>
      </c>
      <c r="Z39" s="1">
        <v>92.8</v>
      </c>
      <c r="AA39" s="1">
        <v>98.6</v>
      </c>
      <c r="AB39" s="1">
        <v>79.8</v>
      </c>
      <c r="AC39" s="1">
        <v>76.2</v>
      </c>
      <c r="AD39" s="1">
        <v>56.2</v>
      </c>
      <c r="AE39" s="1"/>
      <c r="AF39" s="1">
        <f t="shared" si="12"/>
        <v>36.617999999999988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75</v>
      </c>
      <c r="B40" s="1" t="s">
        <v>42</v>
      </c>
      <c r="C40" s="1">
        <v>90</v>
      </c>
      <c r="D40" s="1">
        <v>264</v>
      </c>
      <c r="E40" s="1">
        <v>141</v>
      </c>
      <c r="F40" s="1">
        <v>213</v>
      </c>
      <c r="G40" s="7">
        <v>0.35</v>
      </c>
      <c r="H40" s="1">
        <v>40</v>
      </c>
      <c r="I40" s="9" t="s">
        <v>86</v>
      </c>
      <c r="J40" s="1"/>
      <c r="K40" s="1">
        <v>275</v>
      </c>
      <c r="L40" s="1">
        <f t="shared" si="13"/>
        <v>-134</v>
      </c>
      <c r="M40" s="1"/>
      <c r="N40" s="1"/>
      <c r="O40" s="1">
        <v>50</v>
      </c>
      <c r="P40" s="1">
        <v>350</v>
      </c>
      <c r="Q40" s="1">
        <f t="shared" si="14"/>
        <v>28.2</v>
      </c>
      <c r="R40" s="5">
        <v>50</v>
      </c>
      <c r="S40" s="1">
        <f t="shared" si="15"/>
        <v>23.51063829787234</v>
      </c>
      <c r="T40" s="1">
        <f t="shared" si="16"/>
        <v>21.73758865248227</v>
      </c>
      <c r="U40" s="1">
        <v>59.2</v>
      </c>
      <c r="V40" s="1">
        <v>32.200000000000003</v>
      </c>
      <c r="W40" s="1">
        <v>1.2</v>
      </c>
      <c r="X40" s="1">
        <v>-0.2</v>
      </c>
      <c r="Y40" s="1">
        <v>-0.4</v>
      </c>
      <c r="Z40" s="1">
        <v>13.8</v>
      </c>
      <c r="AA40" s="1">
        <v>24</v>
      </c>
      <c r="AB40" s="1">
        <v>8.8000000000000007</v>
      </c>
      <c r="AC40" s="1">
        <v>-1.8</v>
      </c>
      <c r="AD40" s="1">
        <v>-2</v>
      </c>
      <c r="AE40" s="1" t="s">
        <v>76</v>
      </c>
      <c r="AF40" s="1">
        <f t="shared" si="12"/>
        <v>17.5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77</v>
      </c>
      <c r="B41" s="1" t="s">
        <v>36</v>
      </c>
      <c r="C41" s="1">
        <v>23.178999999999998</v>
      </c>
      <c r="D41" s="1">
        <v>167.107</v>
      </c>
      <c r="E41" s="1">
        <v>132.30699999999999</v>
      </c>
      <c r="F41" s="1">
        <v>27.431999999999999</v>
      </c>
      <c r="G41" s="7">
        <v>1</v>
      </c>
      <c r="H41" s="1">
        <v>40</v>
      </c>
      <c r="I41" s="1" t="s">
        <v>37</v>
      </c>
      <c r="J41" s="1"/>
      <c r="K41" s="1">
        <v>160.1</v>
      </c>
      <c r="L41" s="1">
        <f t="shared" si="13"/>
        <v>-27.793000000000006</v>
      </c>
      <c r="M41" s="1"/>
      <c r="N41" s="1"/>
      <c r="O41" s="1">
        <v>0</v>
      </c>
      <c r="P41" s="1">
        <v>153.74870000000001</v>
      </c>
      <c r="Q41" s="1">
        <f t="shared" si="14"/>
        <v>26.461399999999998</v>
      </c>
      <c r="R41" s="5">
        <f t="shared" si="11"/>
        <v>123.12539999999994</v>
      </c>
      <c r="S41" s="1">
        <f t="shared" si="15"/>
        <v>11.5</v>
      </c>
      <c r="T41" s="1">
        <f t="shared" si="16"/>
        <v>6.8469808853650989</v>
      </c>
      <c r="U41" s="1">
        <v>25.2514</v>
      </c>
      <c r="V41" s="1">
        <v>12.7476</v>
      </c>
      <c r="W41" s="1">
        <v>5.3621999999999996</v>
      </c>
      <c r="X41" s="1">
        <v>18.358599999999999</v>
      </c>
      <c r="Y41" s="1">
        <v>30.653400000000001</v>
      </c>
      <c r="Z41" s="1">
        <v>17.975200000000001</v>
      </c>
      <c r="AA41" s="1">
        <v>13.5848</v>
      </c>
      <c r="AB41" s="1">
        <v>8.2422000000000004</v>
      </c>
      <c r="AC41" s="1">
        <v>4.5888</v>
      </c>
      <c r="AD41" s="1">
        <v>5.1204000000000001</v>
      </c>
      <c r="AE41" s="1"/>
      <c r="AF41" s="1">
        <f t="shared" si="12"/>
        <v>123.12539999999994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78</v>
      </c>
      <c r="B42" s="1" t="s">
        <v>42</v>
      </c>
      <c r="C42" s="1">
        <v>287</v>
      </c>
      <c r="D42" s="1">
        <v>54</v>
      </c>
      <c r="E42" s="1">
        <v>334</v>
      </c>
      <c r="F42" s="1">
        <v>-6</v>
      </c>
      <c r="G42" s="7">
        <v>0.4</v>
      </c>
      <c r="H42" s="1">
        <v>40</v>
      </c>
      <c r="I42" s="9" t="s">
        <v>40</v>
      </c>
      <c r="J42" s="1"/>
      <c r="K42" s="1">
        <v>370</v>
      </c>
      <c r="L42" s="1">
        <f t="shared" si="13"/>
        <v>-36</v>
      </c>
      <c r="M42" s="1"/>
      <c r="N42" s="1"/>
      <c r="O42" s="1">
        <v>80.709999999999965</v>
      </c>
      <c r="P42" s="1">
        <v>400</v>
      </c>
      <c r="Q42" s="1">
        <f t="shared" si="14"/>
        <v>66.8</v>
      </c>
      <c r="R42" s="5">
        <f t="shared" si="11"/>
        <v>293.48999999999995</v>
      </c>
      <c r="S42" s="1">
        <f t="shared" si="15"/>
        <v>11.5</v>
      </c>
      <c r="T42" s="1">
        <f t="shared" si="16"/>
        <v>7.1064371257485028</v>
      </c>
      <c r="U42" s="1">
        <v>81.8</v>
      </c>
      <c r="V42" s="1">
        <v>99.6</v>
      </c>
      <c r="W42" s="1">
        <v>112</v>
      </c>
      <c r="X42" s="1">
        <v>121.8</v>
      </c>
      <c r="Y42" s="1">
        <v>74</v>
      </c>
      <c r="Z42" s="1">
        <v>58.2</v>
      </c>
      <c r="AA42" s="1">
        <v>100</v>
      </c>
      <c r="AB42" s="1">
        <v>68.400000000000006</v>
      </c>
      <c r="AC42" s="1">
        <v>43.4</v>
      </c>
      <c r="AD42" s="1">
        <v>44.4</v>
      </c>
      <c r="AE42" s="1"/>
      <c r="AF42" s="1">
        <f t="shared" si="12"/>
        <v>117.39599999999999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79</v>
      </c>
      <c r="B43" s="1" t="s">
        <v>42</v>
      </c>
      <c r="C43" s="1">
        <v>154</v>
      </c>
      <c r="D43" s="1">
        <v>460</v>
      </c>
      <c r="E43" s="1">
        <v>302</v>
      </c>
      <c r="F43" s="1">
        <v>232</v>
      </c>
      <c r="G43" s="7">
        <v>0.4</v>
      </c>
      <c r="H43" s="1">
        <v>45</v>
      </c>
      <c r="I43" s="9" t="s">
        <v>40</v>
      </c>
      <c r="J43" s="1"/>
      <c r="K43" s="1">
        <v>313</v>
      </c>
      <c r="L43" s="1">
        <f t="shared" si="13"/>
        <v>-11</v>
      </c>
      <c r="M43" s="1"/>
      <c r="N43" s="1"/>
      <c r="O43" s="1">
        <v>50</v>
      </c>
      <c r="P43" s="1">
        <v>32.5</v>
      </c>
      <c r="Q43" s="1">
        <f t="shared" si="14"/>
        <v>60.4</v>
      </c>
      <c r="R43" s="5">
        <f t="shared" si="11"/>
        <v>380.1</v>
      </c>
      <c r="S43" s="1">
        <f t="shared" si="15"/>
        <v>11.5</v>
      </c>
      <c r="T43" s="1">
        <f t="shared" si="16"/>
        <v>5.2069536423841063</v>
      </c>
      <c r="U43" s="1">
        <v>45</v>
      </c>
      <c r="V43" s="1">
        <v>33.799999999999997</v>
      </c>
      <c r="W43" s="1">
        <v>43.2</v>
      </c>
      <c r="X43" s="1">
        <v>55.2</v>
      </c>
      <c r="Y43" s="1">
        <v>56.8</v>
      </c>
      <c r="Z43" s="1">
        <v>32.799999999999997</v>
      </c>
      <c r="AA43" s="1">
        <v>43</v>
      </c>
      <c r="AB43" s="1">
        <v>54.2</v>
      </c>
      <c r="AC43" s="1">
        <v>52</v>
      </c>
      <c r="AD43" s="1">
        <v>47.6</v>
      </c>
      <c r="AE43" s="1"/>
      <c r="AF43" s="1">
        <f t="shared" si="12"/>
        <v>152.04000000000002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80</v>
      </c>
      <c r="B44" s="1" t="s">
        <v>36</v>
      </c>
      <c r="C44" s="1">
        <v>356.36099999999999</v>
      </c>
      <c r="D44" s="1">
        <v>325.62599999999998</v>
      </c>
      <c r="E44" s="1">
        <v>318.30099999999999</v>
      </c>
      <c r="F44" s="1">
        <v>274.976</v>
      </c>
      <c r="G44" s="7">
        <v>1</v>
      </c>
      <c r="H44" s="1">
        <v>40</v>
      </c>
      <c r="I44" s="9" t="s">
        <v>40</v>
      </c>
      <c r="J44" s="1"/>
      <c r="K44" s="1">
        <v>329.4</v>
      </c>
      <c r="L44" s="1">
        <f t="shared" si="13"/>
        <v>-11.09899999999999</v>
      </c>
      <c r="M44" s="1"/>
      <c r="N44" s="1"/>
      <c r="O44" s="1">
        <v>0</v>
      </c>
      <c r="P44" s="1">
        <v>387.79837999999978</v>
      </c>
      <c r="Q44" s="1">
        <f t="shared" si="14"/>
        <v>63.660199999999996</v>
      </c>
      <c r="R44" s="5">
        <f t="shared" si="11"/>
        <v>69.317920000000129</v>
      </c>
      <c r="S44" s="1">
        <f t="shared" si="15"/>
        <v>11.500000000000002</v>
      </c>
      <c r="T44" s="1">
        <f t="shared" si="16"/>
        <v>10.411126260991953</v>
      </c>
      <c r="U44" s="1">
        <v>81.626599999999996</v>
      </c>
      <c r="V44" s="1">
        <v>49.550800000000002</v>
      </c>
      <c r="W44" s="1">
        <v>8.9260000000000002</v>
      </c>
      <c r="X44" s="1">
        <v>-0.46539999999999998</v>
      </c>
      <c r="Y44" s="1">
        <v>37.095999999999997</v>
      </c>
      <c r="Z44" s="1">
        <v>60.197799999999987</v>
      </c>
      <c r="AA44" s="1">
        <v>34.119799999999998</v>
      </c>
      <c r="AB44" s="1">
        <v>15.690799999999999</v>
      </c>
      <c r="AC44" s="1">
        <v>19.270199999999999</v>
      </c>
      <c r="AD44" s="1">
        <v>22.2332</v>
      </c>
      <c r="AE44" s="1"/>
      <c r="AF44" s="1">
        <f t="shared" si="12"/>
        <v>69.317920000000129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81</v>
      </c>
      <c r="B45" s="1" t="s">
        <v>42</v>
      </c>
      <c r="C45" s="1">
        <v>411</v>
      </c>
      <c r="D45" s="1">
        <v>1135</v>
      </c>
      <c r="E45" s="1">
        <v>688</v>
      </c>
      <c r="F45" s="1">
        <v>795</v>
      </c>
      <c r="G45" s="7">
        <v>0.35</v>
      </c>
      <c r="H45" s="1">
        <v>40</v>
      </c>
      <c r="I45" s="9" t="s">
        <v>40</v>
      </c>
      <c r="J45" s="1"/>
      <c r="K45" s="1">
        <v>988</v>
      </c>
      <c r="L45" s="1">
        <f t="shared" si="13"/>
        <v>-300</v>
      </c>
      <c r="M45" s="1"/>
      <c r="N45" s="1"/>
      <c r="O45" s="1">
        <v>0</v>
      </c>
      <c r="P45" s="1">
        <v>1000</v>
      </c>
      <c r="Q45" s="1">
        <f t="shared" si="14"/>
        <v>137.6</v>
      </c>
      <c r="R45" s="5"/>
      <c r="S45" s="1">
        <f t="shared" si="15"/>
        <v>13.045058139534884</v>
      </c>
      <c r="T45" s="1">
        <f t="shared" si="16"/>
        <v>13.045058139534884</v>
      </c>
      <c r="U45" s="1">
        <v>203.4</v>
      </c>
      <c r="V45" s="1">
        <v>106.6</v>
      </c>
      <c r="W45" s="1">
        <v>39.4</v>
      </c>
      <c r="X45" s="1">
        <v>32</v>
      </c>
      <c r="Y45" s="1">
        <v>167.4</v>
      </c>
      <c r="Z45" s="1">
        <v>255.8</v>
      </c>
      <c r="AA45" s="1">
        <v>270</v>
      </c>
      <c r="AB45" s="1">
        <v>263.60000000000002</v>
      </c>
      <c r="AC45" s="1">
        <v>224.4</v>
      </c>
      <c r="AD45" s="1">
        <v>103.4</v>
      </c>
      <c r="AE45" s="1"/>
      <c r="AF45" s="1">
        <f t="shared" si="12"/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82</v>
      </c>
      <c r="B46" s="1" t="s">
        <v>42</v>
      </c>
      <c r="C46" s="1">
        <v>450</v>
      </c>
      <c r="D46" s="1">
        <v>936</v>
      </c>
      <c r="E46" s="1">
        <v>613</v>
      </c>
      <c r="F46" s="1">
        <v>553</v>
      </c>
      <c r="G46" s="7">
        <v>0.4</v>
      </c>
      <c r="H46" s="1">
        <v>40</v>
      </c>
      <c r="I46" s="1" t="s">
        <v>37</v>
      </c>
      <c r="J46" s="1"/>
      <c r="K46" s="1">
        <v>646</v>
      </c>
      <c r="L46" s="1">
        <f t="shared" si="13"/>
        <v>-33</v>
      </c>
      <c r="M46" s="1"/>
      <c r="N46" s="1"/>
      <c r="O46" s="1">
        <v>84</v>
      </c>
      <c r="P46" s="1">
        <v>82.26000000000019</v>
      </c>
      <c r="Q46" s="1">
        <f t="shared" si="14"/>
        <v>122.6</v>
      </c>
      <c r="R46" s="5">
        <f t="shared" si="11"/>
        <v>690.63999999999965</v>
      </c>
      <c r="S46" s="1">
        <f t="shared" si="15"/>
        <v>11.5</v>
      </c>
      <c r="T46" s="1">
        <f t="shared" si="16"/>
        <v>5.8667210440456792</v>
      </c>
      <c r="U46" s="1">
        <v>107.2</v>
      </c>
      <c r="V46" s="1">
        <v>108</v>
      </c>
      <c r="W46" s="1">
        <v>131.80000000000001</v>
      </c>
      <c r="X46" s="1">
        <v>146.19999999999999</v>
      </c>
      <c r="Y46" s="1">
        <v>130.19999999999999</v>
      </c>
      <c r="Z46" s="1">
        <v>140.4</v>
      </c>
      <c r="AA46" s="1">
        <v>153.6</v>
      </c>
      <c r="AB46" s="1">
        <v>183.2</v>
      </c>
      <c r="AC46" s="1">
        <v>176.6</v>
      </c>
      <c r="AD46" s="1">
        <v>127.8</v>
      </c>
      <c r="AE46" s="1"/>
      <c r="AF46" s="1">
        <f t="shared" si="12"/>
        <v>276.25599999999986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83</v>
      </c>
      <c r="B47" s="1" t="s">
        <v>36</v>
      </c>
      <c r="C47" s="1">
        <v>246.548</v>
      </c>
      <c r="D47" s="1">
        <v>515.95799999999997</v>
      </c>
      <c r="E47" s="1">
        <v>606.29200000000003</v>
      </c>
      <c r="F47" s="1">
        <v>101.643</v>
      </c>
      <c r="G47" s="7">
        <v>1</v>
      </c>
      <c r="H47" s="1">
        <v>50</v>
      </c>
      <c r="I47" s="1" t="s">
        <v>37</v>
      </c>
      <c r="J47" s="1"/>
      <c r="K47" s="1">
        <v>610.70000000000005</v>
      </c>
      <c r="L47" s="1">
        <f t="shared" si="13"/>
        <v>-4.4080000000000155</v>
      </c>
      <c r="M47" s="1"/>
      <c r="N47" s="1"/>
      <c r="O47" s="1">
        <v>323.74856339999991</v>
      </c>
      <c r="P47" s="1">
        <v>399.60006580700002</v>
      </c>
      <c r="Q47" s="1">
        <f t="shared" si="14"/>
        <v>121.25840000000001</v>
      </c>
      <c r="R47" s="5">
        <f t="shared" si="11"/>
        <v>569.47997079300012</v>
      </c>
      <c r="S47" s="1">
        <f t="shared" si="15"/>
        <v>11.5</v>
      </c>
      <c r="T47" s="1">
        <f t="shared" si="16"/>
        <v>6.8035833328412707</v>
      </c>
      <c r="U47" s="1">
        <v>100.7212</v>
      </c>
      <c r="V47" s="1">
        <v>84.682000000000002</v>
      </c>
      <c r="W47" s="1">
        <v>101.071</v>
      </c>
      <c r="X47" s="1">
        <v>105.2124</v>
      </c>
      <c r="Y47" s="1">
        <v>95.491600000000005</v>
      </c>
      <c r="Z47" s="1">
        <v>93.509</v>
      </c>
      <c r="AA47" s="1">
        <v>94.5214</v>
      </c>
      <c r="AB47" s="1">
        <v>94.858399999999989</v>
      </c>
      <c r="AC47" s="1">
        <v>83.390799999999999</v>
      </c>
      <c r="AD47" s="1">
        <v>63.038800000000002</v>
      </c>
      <c r="AE47" s="1"/>
      <c r="AF47" s="1">
        <f t="shared" si="12"/>
        <v>569.47997079300012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84</v>
      </c>
      <c r="B48" s="1" t="s">
        <v>36</v>
      </c>
      <c r="C48" s="1">
        <v>716.89300000000003</v>
      </c>
      <c r="D48" s="1">
        <v>734.13</v>
      </c>
      <c r="E48" s="1">
        <v>746.74699999999996</v>
      </c>
      <c r="F48" s="1">
        <v>532.44200000000001</v>
      </c>
      <c r="G48" s="7">
        <v>1</v>
      </c>
      <c r="H48" s="1">
        <v>50</v>
      </c>
      <c r="I48" s="1" t="s">
        <v>37</v>
      </c>
      <c r="J48" s="1"/>
      <c r="K48" s="1">
        <v>751.1</v>
      </c>
      <c r="L48" s="1">
        <f t="shared" si="13"/>
        <v>-4.3530000000000655</v>
      </c>
      <c r="M48" s="1"/>
      <c r="N48" s="1"/>
      <c r="O48" s="1">
        <v>45.255030999999803</v>
      </c>
      <c r="P48" s="1">
        <v>399.74149168299988</v>
      </c>
      <c r="Q48" s="1">
        <f t="shared" si="14"/>
        <v>149.3494</v>
      </c>
      <c r="R48" s="5">
        <f t="shared" si="11"/>
        <v>740.07957731700026</v>
      </c>
      <c r="S48" s="1">
        <f t="shared" si="15"/>
        <v>11.5</v>
      </c>
      <c r="T48" s="1">
        <f t="shared" si="16"/>
        <v>6.5446431166311996</v>
      </c>
      <c r="U48" s="1">
        <v>132.19200000000001</v>
      </c>
      <c r="V48" s="1">
        <v>116.61360000000001</v>
      </c>
      <c r="W48" s="1">
        <v>124.0046</v>
      </c>
      <c r="X48" s="1">
        <v>146.42580000000001</v>
      </c>
      <c r="Y48" s="1">
        <v>147.56039999999999</v>
      </c>
      <c r="Z48" s="1">
        <v>129.40299999999999</v>
      </c>
      <c r="AA48" s="1">
        <v>132.53659999999999</v>
      </c>
      <c r="AB48" s="1">
        <v>146.15979999999999</v>
      </c>
      <c r="AC48" s="1">
        <v>135.85380000000001</v>
      </c>
      <c r="AD48" s="1">
        <v>91.289000000000001</v>
      </c>
      <c r="AE48" s="1"/>
      <c r="AF48" s="1">
        <f t="shared" si="12"/>
        <v>740.07957731700026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85</v>
      </c>
      <c r="B49" s="1" t="s">
        <v>36</v>
      </c>
      <c r="C49" s="1">
        <v>34.406999999999996</v>
      </c>
      <c r="D49" s="1"/>
      <c r="E49" s="1"/>
      <c r="F49" s="1">
        <v>34.406999999999996</v>
      </c>
      <c r="G49" s="7">
        <v>1</v>
      </c>
      <c r="H49" s="1">
        <v>45</v>
      </c>
      <c r="I49" s="9" t="s">
        <v>86</v>
      </c>
      <c r="J49" s="1"/>
      <c r="K49" s="1"/>
      <c r="L49" s="1">
        <f t="shared" si="13"/>
        <v>0</v>
      </c>
      <c r="M49" s="1"/>
      <c r="N49" s="1"/>
      <c r="O49" s="1">
        <v>0</v>
      </c>
      <c r="P49" s="1">
        <v>60</v>
      </c>
      <c r="Q49" s="1">
        <f t="shared" si="14"/>
        <v>0</v>
      </c>
      <c r="R49" s="5"/>
      <c r="S49" s="1" t="e">
        <f t="shared" si="15"/>
        <v>#DIV/0!</v>
      </c>
      <c r="T49" s="1" t="e">
        <f t="shared" si="16"/>
        <v>#DIV/0!</v>
      </c>
      <c r="U49" s="1">
        <v>0</v>
      </c>
      <c r="V49" s="1">
        <v>0.29899999999999999</v>
      </c>
      <c r="W49" s="1">
        <v>0.29899999999999999</v>
      </c>
      <c r="X49" s="1">
        <v>0</v>
      </c>
      <c r="Y49" s="1">
        <v>-0.30520000000000003</v>
      </c>
      <c r="Z49" s="1">
        <v>-0.30520000000000003</v>
      </c>
      <c r="AA49" s="1">
        <v>0</v>
      </c>
      <c r="AB49" s="1">
        <v>0</v>
      </c>
      <c r="AC49" s="1">
        <v>0</v>
      </c>
      <c r="AD49" s="1">
        <v>-0.28960000000000002</v>
      </c>
      <c r="AE49" s="15" t="s">
        <v>179</v>
      </c>
      <c r="AF49" s="1">
        <f t="shared" si="12"/>
        <v>0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87</v>
      </c>
      <c r="B50" s="1" t="s">
        <v>42</v>
      </c>
      <c r="C50" s="1">
        <v>261</v>
      </c>
      <c r="D50" s="1">
        <v>202</v>
      </c>
      <c r="E50" s="1">
        <v>115</v>
      </c>
      <c r="F50" s="1">
        <v>310</v>
      </c>
      <c r="G50" s="7">
        <v>0.45</v>
      </c>
      <c r="H50" s="1">
        <v>50</v>
      </c>
      <c r="I50" s="1" t="s">
        <v>37</v>
      </c>
      <c r="J50" s="1"/>
      <c r="K50" s="1">
        <v>132</v>
      </c>
      <c r="L50" s="1">
        <f t="shared" si="13"/>
        <v>-17</v>
      </c>
      <c r="M50" s="1"/>
      <c r="N50" s="1"/>
      <c r="O50" s="1">
        <v>0</v>
      </c>
      <c r="P50" s="1">
        <v>9.5</v>
      </c>
      <c r="Q50" s="1">
        <f t="shared" si="14"/>
        <v>23</v>
      </c>
      <c r="R50" s="5"/>
      <c r="S50" s="1">
        <f t="shared" si="15"/>
        <v>13.891304347826088</v>
      </c>
      <c r="T50" s="1">
        <f t="shared" si="16"/>
        <v>13.891304347826088</v>
      </c>
      <c r="U50" s="1">
        <v>34</v>
      </c>
      <c r="V50" s="1">
        <v>37</v>
      </c>
      <c r="W50" s="1">
        <v>29</v>
      </c>
      <c r="X50" s="1">
        <v>39.200000000000003</v>
      </c>
      <c r="Y50" s="1">
        <v>49.8</v>
      </c>
      <c r="Z50" s="1">
        <v>39</v>
      </c>
      <c r="AA50" s="1">
        <v>34.4</v>
      </c>
      <c r="AB50" s="1">
        <v>39.4</v>
      </c>
      <c r="AC50" s="1">
        <v>44.6</v>
      </c>
      <c r="AD50" s="1">
        <v>40</v>
      </c>
      <c r="AE50" s="1"/>
      <c r="AF50" s="1">
        <f t="shared" si="12"/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88</v>
      </c>
      <c r="B51" s="1" t="s">
        <v>42</v>
      </c>
      <c r="C51" s="1">
        <v>417</v>
      </c>
      <c r="D51" s="1">
        <v>752</v>
      </c>
      <c r="E51" s="1">
        <v>480</v>
      </c>
      <c r="F51" s="1">
        <v>527</v>
      </c>
      <c r="G51" s="7">
        <v>0.45</v>
      </c>
      <c r="H51" s="1">
        <v>50</v>
      </c>
      <c r="I51" s="1" t="s">
        <v>37</v>
      </c>
      <c r="J51" s="1"/>
      <c r="K51" s="1">
        <v>499</v>
      </c>
      <c r="L51" s="1">
        <f t="shared" si="13"/>
        <v>-19</v>
      </c>
      <c r="M51" s="1"/>
      <c r="N51" s="1"/>
      <c r="O51" s="1">
        <v>94.045999999999822</v>
      </c>
      <c r="P51" s="1">
        <v>133.88000000000019</v>
      </c>
      <c r="Q51" s="1">
        <f t="shared" si="14"/>
        <v>96</v>
      </c>
      <c r="R51" s="5">
        <f t="shared" si="11"/>
        <v>349.07399999999996</v>
      </c>
      <c r="S51" s="1">
        <f t="shared" si="15"/>
        <v>11.5</v>
      </c>
      <c r="T51" s="1">
        <f t="shared" si="16"/>
        <v>7.8638125000000008</v>
      </c>
      <c r="U51" s="1">
        <v>100.6</v>
      </c>
      <c r="V51" s="1">
        <v>99.2</v>
      </c>
      <c r="W51" s="1">
        <v>100</v>
      </c>
      <c r="X51" s="1">
        <v>113.4</v>
      </c>
      <c r="Y51" s="1">
        <v>107.6</v>
      </c>
      <c r="Z51" s="1">
        <v>84.2</v>
      </c>
      <c r="AA51" s="1">
        <v>90.2</v>
      </c>
      <c r="AB51" s="1">
        <v>119.8</v>
      </c>
      <c r="AC51" s="1">
        <v>126</v>
      </c>
      <c r="AD51" s="1">
        <v>96.6</v>
      </c>
      <c r="AE51" s="1"/>
      <c r="AF51" s="1">
        <f t="shared" si="12"/>
        <v>157.08329999999998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89</v>
      </c>
      <c r="B52" s="1" t="s">
        <v>42</v>
      </c>
      <c r="C52" s="1">
        <v>76</v>
      </c>
      <c r="D52" s="1"/>
      <c r="E52" s="1">
        <v>48</v>
      </c>
      <c r="F52" s="1">
        <v>23</v>
      </c>
      <c r="G52" s="7">
        <v>0.4</v>
      </c>
      <c r="H52" s="1">
        <v>40</v>
      </c>
      <c r="I52" s="1" t="s">
        <v>37</v>
      </c>
      <c r="J52" s="1"/>
      <c r="K52" s="1">
        <v>50</v>
      </c>
      <c r="L52" s="1">
        <f t="shared" si="13"/>
        <v>-2</v>
      </c>
      <c r="M52" s="1"/>
      <c r="N52" s="1"/>
      <c r="O52" s="1">
        <v>15.19999999999999</v>
      </c>
      <c r="P52" s="1">
        <v>21.140000000000011</v>
      </c>
      <c r="Q52" s="1">
        <f t="shared" si="14"/>
        <v>9.6</v>
      </c>
      <c r="R52" s="5">
        <f t="shared" si="11"/>
        <v>51.059999999999988</v>
      </c>
      <c r="S52" s="1">
        <f t="shared" si="15"/>
        <v>11.5</v>
      </c>
      <c r="T52" s="1">
        <f t="shared" si="16"/>
        <v>6.1812500000000004</v>
      </c>
      <c r="U52" s="1">
        <v>7.8</v>
      </c>
      <c r="V52" s="1">
        <v>6.2</v>
      </c>
      <c r="W52" s="1">
        <v>9.1999999999999993</v>
      </c>
      <c r="X52" s="1">
        <v>9.1999999999999993</v>
      </c>
      <c r="Y52" s="1">
        <v>9.1999999999999993</v>
      </c>
      <c r="Z52" s="1">
        <v>7.2</v>
      </c>
      <c r="AA52" s="1">
        <v>1.2</v>
      </c>
      <c r="AB52" s="1">
        <v>-0.8</v>
      </c>
      <c r="AC52" s="1">
        <v>-0.2</v>
      </c>
      <c r="AD52" s="1">
        <v>-0.6</v>
      </c>
      <c r="AE52" s="1"/>
      <c r="AF52" s="1">
        <f t="shared" si="12"/>
        <v>20.423999999999996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90</v>
      </c>
      <c r="B53" s="1" t="s">
        <v>42</v>
      </c>
      <c r="C53" s="1">
        <v>2</v>
      </c>
      <c r="D53" s="1">
        <v>174</v>
      </c>
      <c r="E53" s="1">
        <v>56</v>
      </c>
      <c r="F53" s="1">
        <v>94</v>
      </c>
      <c r="G53" s="7">
        <v>0.4</v>
      </c>
      <c r="H53" s="1">
        <v>40</v>
      </c>
      <c r="I53" s="1" t="s">
        <v>37</v>
      </c>
      <c r="J53" s="1"/>
      <c r="K53" s="1">
        <v>56</v>
      </c>
      <c r="L53" s="1">
        <f t="shared" si="13"/>
        <v>0</v>
      </c>
      <c r="M53" s="1"/>
      <c r="N53" s="1"/>
      <c r="O53" s="1">
        <v>0</v>
      </c>
      <c r="P53" s="1">
        <v>25.879999999999988</v>
      </c>
      <c r="Q53" s="1">
        <f t="shared" si="14"/>
        <v>11.2</v>
      </c>
      <c r="R53" s="5">
        <f t="shared" si="11"/>
        <v>8.9199999999999875</v>
      </c>
      <c r="S53" s="1">
        <f t="shared" si="15"/>
        <v>11.5</v>
      </c>
      <c r="T53" s="1">
        <f t="shared" si="16"/>
        <v>10.703571428571429</v>
      </c>
      <c r="U53" s="1">
        <v>17.600000000000001</v>
      </c>
      <c r="V53" s="1">
        <v>15.8</v>
      </c>
      <c r="W53" s="1">
        <v>17.399999999999999</v>
      </c>
      <c r="X53" s="1">
        <v>22.4</v>
      </c>
      <c r="Y53" s="1">
        <v>14.4</v>
      </c>
      <c r="Z53" s="1">
        <v>10.4</v>
      </c>
      <c r="AA53" s="1">
        <v>13</v>
      </c>
      <c r="AB53" s="1">
        <v>16.600000000000001</v>
      </c>
      <c r="AC53" s="1">
        <v>22.8</v>
      </c>
      <c r="AD53" s="1">
        <v>16.600000000000001</v>
      </c>
      <c r="AE53" s="1"/>
      <c r="AF53" s="1">
        <f t="shared" si="12"/>
        <v>3.5679999999999952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91</v>
      </c>
      <c r="B54" s="1" t="s">
        <v>36</v>
      </c>
      <c r="C54" s="1">
        <v>808.24599999999998</v>
      </c>
      <c r="D54" s="1">
        <v>567.29700000000003</v>
      </c>
      <c r="E54" s="1">
        <v>763.34</v>
      </c>
      <c r="F54" s="1">
        <v>364.43799999999999</v>
      </c>
      <c r="G54" s="7">
        <v>1</v>
      </c>
      <c r="H54" s="1">
        <v>50</v>
      </c>
      <c r="I54" s="1" t="s">
        <v>37</v>
      </c>
      <c r="J54" s="1"/>
      <c r="K54" s="1">
        <v>753</v>
      </c>
      <c r="L54" s="1">
        <f t="shared" si="13"/>
        <v>10.340000000000032</v>
      </c>
      <c r="M54" s="1"/>
      <c r="N54" s="1"/>
      <c r="O54" s="1">
        <v>184.94293799999991</v>
      </c>
      <c r="P54" s="1">
        <v>319.25543999999991</v>
      </c>
      <c r="Q54" s="1">
        <f t="shared" si="14"/>
        <v>152.66800000000001</v>
      </c>
      <c r="R54" s="5">
        <f t="shared" si="11"/>
        <v>887.04562200000021</v>
      </c>
      <c r="S54" s="1">
        <f t="shared" si="15"/>
        <v>11.5</v>
      </c>
      <c r="T54" s="1">
        <f t="shared" si="16"/>
        <v>5.6897082427227694</v>
      </c>
      <c r="U54" s="1">
        <v>130.7808</v>
      </c>
      <c r="V54" s="1">
        <v>123.7856</v>
      </c>
      <c r="W54" s="1">
        <v>130.64519999999999</v>
      </c>
      <c r="X54" s="1">
        <v>141.1628</v>
      </c>
      <c r="Y54" s="1">
        <v>146.07660000000001</v>
      </c>
      <c r="Z54" s="1">
        <v>118.6026</v>
      </c>
      <c r="AA54" s="1">
        <v>123.30800000000001</v>
      </c>
      <c r="AB54" s="1">
        <v>169.84139999999999</v>
      </c>
      <c r="AC54" s="1">
        <v>161.1634</v>
      </c>
      <c r="AD54" s="1">
        <v>109.1048</v>
      </c>
      <c r="AE54" s="1"/>
      <c r="AF54" s="1">
        <f t="shared" si="12"/>
        <v>887.04562200000021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92</v>
      </c>
      <c r="B55" s="1" t="s">
        <v>42</v>
      </c>
      <c r="C55" s="1">
        <v>409</v>
      </c>
      <c r="D55" s="1">
        <v>228</v>
      </c>
      <c r="E55" s="13">
        <f>271+E129</f>
        <v>390</v>
      </c>
      <c r="F55" s="13">
        <f>166+F129</f>
        <v>220</v>
      </c>
      <c r="G55" s="7">
        <v>0.1</v>
      </c>
      <c r="H55" s="1">
        <v>731</v>
      </c>
      <c r="I55" s="1" t="s">
        <v>37</v>
      </c>
      <c r="J55" s="1"/>
      <c r="K55" s="1">
        <v>274</v>
      </c>
      <c r="L55" s="1">
        <f t="shared" si="13"/>
        <v>116</v>
      </c>
      <c r="M55" s="1"/>
      <c r="N55" s="1"/>
      <c r="O55" s="1">
        <v>128.76599999999999</v>
      </c>
      <c r="P55" s="1">
        <v>104.8940000000001</v>
      </c>
      <c r="Q55" s="1">
        <f t="shared" si="14"/>
        <v>78</v>
      </c>
      <c r="R55" s="5">
        <f t="shared" si="11"/>
        <v>443.33999999999992</v>
      </c>
      <c r="S55" s="1">
        <f t="shared" si="15"/>
        <v>11.5</v>
      </c>
      <c r="T55" s="1">
        <f t="shared" si="16"/>
        <v>5.8161538461538473</v>
      </c>
      <c r="U55" s="1">
        <v>65.2</v>
      </c>
      <c r="V55" s="1">
        <v>67.8</v>
      </c>
      <c r="W55" s="1">
        <v>70.8</v>
      </c>
      <c r="X55" s="1">
        <v>73.599999999999994</v>
      </c>
      <c r="Y55" s="1">
        <v>77.2</v>
      </c>
      <c r="Z55" s="1">
        <v>84.4</v>
      </c>
      <c r="AA55" s="1">
        <v>84.4</v>
      </c>
      <c r="AB55" s="1">
        <v>66.400000000000006</v>
      </c>
      <c r="AC55" s="1">
        <v>53.4</v>
      </c>
      <c r="AD55" s="1">
        <v>31.6</v>
      </c>
      <c r="AE55" s="1"/>
      <c r="AF55" s="1">
        <f t="shared" si="12"/>
        <v>44.333999999999996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93</v>
      </c>
      <c r="B56" s="1" t="s">
        <v>36</v>
      </c>
      <c r="C56" s="1">
        <v>833.19799999999998</v>
      </c>
      <c r="D56" s="1">
        <v>1174.2439999999999</v>
      </c>
      <c r="E56" s="1">
        <v>1024.8810000000001</v>
      </c>
      <c r="F56" s="1">
        <v>732.11599999999999</v>
      </c>
      <c r="G56" s="7">
        <v>1</v>
      </c>
      <c r="H56" s="1">
        <v>50</v>
      </c>
      <c r="I56" s="1" t="s">
        <v>37</v>
      </c>
      <c r="J56" s="1"/>
      <c r="K56" s="1">
        <v>1068.1500000000001</v>
      </c>
      <c r="L56" s="1">
        <f t="shared" si="13"/>
        <v>-43.269000000000005</v>
      </c>
      <c r="M56" s="1"/>
      <c r="N56" s="1"/>
      <c r="O56" s="1">
        <v>307.34785539999979</v>
      </c>
      <c r="P56" s="1">
        <v>605.88961549020019</v>
      </c>
      <c r="Q56" s="1">
        <f t="shared" si="14"/>
        <v>204.97620000000001</v>
      </c>
      <c r="R56" s="5">
        <f t="shared" si="11"/>
        <v>711.87282910980025</v>
      </c>
      <c r="S56" s="1">
        <f t="shared" si="15"/>
        <v>11.500000000000002</v>
      </c>
      <c r="T56" s="1">
        <f t="shared" si="16"/>
        <v>8.0270464126576648</v>
      </c>
      <c r="U56" s="1">
        <v>199.73179999999999</v>
      </c>
      <c r="V56" s="1">
        <v>182.82060000000001</v>
      </c>
      <c r="W56" s="1">
        <v>186.57300000000001</v>
      </c>
      <c r="X56" s="1">
        <v>194.43940000000001</v>
      </c>
      <c r="Y56" s="1">
        <v>195.25960000000001</v>
      </c>
      <c r="Z56" s="1">
        <v>175.315</v>
      </c>
      <c r="AA56" s="1">
        <v>180.76220000000001</v>
      </c>
      <c r="AB56" s="1">
        <v>194.12440000000001</v>
      </c>
      <c r="AC56" s="1">
        <v>183.68260000000001</v>
      </c>
      <c r="AD56" s="1">
        <v>117.99379999999999</v>
      </c>
      <c r="AE56" s="1"/>
      <c r="AF56" s="1">
        <f t="shared" si="12"/>
        <v>711.87282910980025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94</v>
      </c>
      <c r="B57" s="1" t="s">
        <v>36</v>
      </c>
      <c r="C57" s="1">
        <v>175.06800000000001</v>
      </c>
      <c r="D57" s="1">
        <v>11.053000000000001</v>
      </c>
      <c r="E57" s="1">
        <v>102.714</v>
      </c>
      <c r="F57" s="1">
        <v>62.042000000000002</v>
      </c>
      <c r="G57" s="7">
        <v>1</v>
      </c>
      <c r="H57" s="1">
        <v>55</v>
      </c>
      <c r="I57" s="1" t="s">
        <v>37</v>
      </c>
      <c r="J57" s="1"/>
      <c r="K57" s="1">
        <v>103.25</v>
      </c>
      <c r="L57" s="1">
        <f t="shared" si="13"/>
        <v>-0.53600000000000136</v>
      </c>
      <c r="M57" s="1"/>
      <c r="N57" s="1"/>
      <c r="O57" s="1">
        <v>0</v>
      </c>
      <c r="P57" s="1">
        <v>97.239760000000032</v>
      </c>
      <c r="Q57" s="1">
        <f t="shared" si="14"/>
        <v>20.5428</v>
      </c>
      <c r="R57" s="5">
        <f t="shared" si="11"/>
        <v>76.960439999999977</v>
      </c>
      <c r="S57" s="1">
        <f t="shared" si="15"/>
        <v>11.5</v>
      </c>
      <c r="T57" s="1">
        <f t="shared" si="16"/>
        <v>7.7536538349202653</v>
      </c>
      <c r="U57" s="1">
        <v>19.153199999999998</v>
      </c>
      <c r="V57" s="1">
        <v>13.6248</v>
      </c>
      <c r="W57" s="1">
        <v>14.4322</v>
      </c>
      <c r="X57" s="1">
        <v>14.9146</v>
      </c>
      <c r="Y57" s="1">
        <v>20.043399999999998</v>
      </c>
      <c r="Z57" s="1">
        <v>21.0244</v>
      </c>
      <c r="AA57" s="1">
        <v>18.474</v>
      </c>
      <c r="AB57" s="1">
        <v>16.654399999999999</v>
      </c>
      <c r="AC57" s="1">
        <v>12.705399999999999</v>
      </c>
      <c r="AD57" s="1">
        <v>10.586</v>
      </c>
      <c r="AE57" s="1"/>
      <c r="AF57" s="1">
        <f t="shared" si="12"/>
        <v>76.960439999999977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95</v>
      </c>
      <c r="B58" s="1" t="s">
        <v>42</v>
      </c>
      <c r="C58" s="1">
        <v>287</v>
      </c>
      <c r="D58" s="1">
        <v>123</v>
      </c>
      <c r="E58" s="1">
        <v>240</v>
      </c>
      <c r="F58" s="1">
        <v>121</v>
      </c>
      <c r="G58" s="7">
        <v>0.1</v>
      </c>
      <c r="H58" s="1">
        <v>731</v>
      </c>
      <c r="I58" s="1" t="s">
        <v>37</v>
      </c>
      <c r="J58" s="1"/>
      <c r="K58" s="1">
        <v>244</v>
      </c>
      <c r="L58" s="1">
        <f t="shared" si="13"/>
        <v>-4</v>
      </c>
      <c r="M58" s="1"/>
      <c r="N58" s="1"/>
      <c r="O58" s="1">
        <v>71.600000000000023</v>
      </c>
      <c r="P58" s="1">
        <v>209.52</v>
      </c>
      <c r="Q58" s="1">
        <f t="shared" si="14"/>
        <v>48</v>
      </c>
      <c r="R58" s="5">
        <f t="shared" si="11"/>
        <v>149.88</v>
      </c>
      <c r="S58" s="1">
        <f t="shared" si="15"/>
        <v>11.5</v>
      </c>
      <c r="T58" s="1">
        <f t="shared" si="16"/>
        <v>8.3774999999999995</v>
      </c>
      <c r="U58" s="1">
        <v>49.4</v>
      </c>
      <c r="V58" s="1">
        <v>40.200000000000003</v>
      </c>
      <c r="W58" s="1">
        <v>36.6</v>
      </c>
      <c r="X58" s="1">
        <v>38</v>
      </c>
      <c r="Y58" s="1">
        <v>36.6</v>
      </c>
      <c r="Z58" s="1">
        <v>45.8</v>
      </c>
      <c r="AA58" s="1">
        <v>49.2</v>
      </c>
      <c r="AB58" s="1">
        <v>39.4</v>
      </c>
      <c r="AC58" s="1">
        <v>37.4</v>
      </c>
      <c r="AD58" s="1">
        <v>34.200000000000003</v>
      </c>
      <c r="AE58" s="1"/>
      <c r="AF58" s="1">
        <f t="shared" si="12"/>
        <v>14.988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96</v>
      </c>
      <c r="B59" s="1" t="s">
        <v>42</v>
      </c>
      <c r="C59" s="1">
        <v>23</v>
      </c>
      <c r="D59" s="1">
        <v>260</v>
      </c>
      <c r="E59" s="1">
        <v>91</v>
      </c>
      <c r="F59" s="1">
        <v>152</v>
      </c>
      <c r="G59" s="7">
        <v>0.4</v>
      </c>
      <c r="H59" s="1">
        <v>50</v>
      </c>
      <c r="I59" s="18" t="s">
        <v>97</v>
      </c>
      <c r="J59" s="1"/>
      <c r="K59" s="1">
        <v>160</v>
      </c>
      <c r="L59" s="1">
        <f t="shared" si="13"/>
        <v>-69</v>
      </c>
      <c r="M59" s="1"/>
      <c r="N59" s="1"/>
      <c r="O59" s="1">
        <v>308.21800000000002</v>
      </c>
      <c r="P59" s="1">
        <v>180</v>
      </c>
      <c r="Q59" s="1">
        <f t="shared" si="14"/>
        <v>18.2</v>
      </c>
      <c r="R59" s="5"/>
      <c r="S59" s="1">
        <f t="shared" si="15"/>
        <v>35.176813186813192</v>
      </c>
      <c r="T59" s="1">
        <f t="shared" si="16"/>
        <v>35.176813186813192</v>
      </c>
      <c r="U59" s="1">
        <v>25.8</v>
      </c>
      <c r="V59" s="1">
        <v>47</v>
      </c>
      <c r="W59" s="1">
        <v>52.6</v>
      </c>
      <c r="X59" s="1">
        <v>40</v>
      </c>
      <c r="Y59" s="1">
        <v>40.6</v>
      </c>
      <c r="Z59" s="1">
        <v>41.6</v>
      </c>
      <c r="AA59" s="1">
        <v>40.799999999999997</v>
      </c>
      <c r="AB59" s="1">
        <v>54.8</v>
      </c>
      <c r="AC59" s="1">
        <v>47.4</v>
      </c>
      <c r="AD59" s="1">
        <v>43</v>
      </c>
      <c r="AE59" s="1" t="s">
        <v>98</v>
      </c>
      <c r="AF59" s="1">
        <f t="shared" si="12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99</v>
      </c>
      <c r="B60" s="1" t="s">
        <v>36</v>
      </c>
      <c r="C60" s="1">
        <v>393.29300000000001</v>
      </c>
      <c r="D60" s="1">
        <v>628.31899999999996</v>
      </c>
      <c r="E60" s="1">
        <v>420.19299999999998</v>
      </c>
      <c r="F60" s="1">
        <v>440.964</v>
      </c>
      <c r="G60" s="7">
        <v>1</v>
      </c>
      <c r="H60" s="1">
        <v>40</v>
      </c>
      <c r="I60" s="9" t="s">
        <v>40</v>
      </c>
      <c r="J60" s="1"/>
      <c r="K60" s="1">
        <v>441.8</v>
      </c>
      <c r="L60" s="1">
        <f t="shared" si="13"/>
        <v>-21.607000000000028</v>
      </c>
      <c r="M60" s="1"/>
      <c r="N60" s="1"/>
      <c r="O60" s="1">
        <v>179.75691999999989</v>
      </c>
      <c r="P60" s="1"/>
      <c r="Q60" s="1">
        <f t="shared" si="14"/>
        <v>84.038600000000002</v>
      </c>
      <c r="R60" s="5">
        <f t="shared" si="11"/>
        <v>345.72298000000006</v>
      </c>
      <c r="S60" s="1">
        <f t="shared" si="15"/>
        <v>11.5</v>
      </c>
      <c r="T60" s="1">
        <f t="shared" si="16"/>
        <v>7.3861406544135653</v>
      </c>
      <c r="U60" s="1">
        <v>84.491</v>
      </c>
      <c r="V60" s="1">
        <v>92.173400000000001</v>
      </c>
      <c r="W60" s="1">
        <v>104.8788</v>
      </c>
      <c r="X60" s="1">
        <v>105.1588</v>
      </c>
      <c r="Y60" s="1">
        <v>95.004600000000011</v>
      </c>
      <c r="Z60" s="1">
        <v>56.900799999999997</v>
      </c>
      <c r="AA60" s="1">
        <v>72.902999999999992</v>
      </c>
      <c r="AB60" s="1">
        <v>117.24079999999999</v>
      </c>
      <c r="AC60" s="1">
        <v>108.114</v>
      </c>
      <c r="AD60" s="1">
        <v>73.970799999999997</v>
      </c>
      <c r="AE60" s="1"/>
      <c r="AF60" s="1">
        <f t="shared" si="12"/>
        <v>345.72298000000006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100</v>
      </c>
      <c r="B61" s="1" t="s">
        <v>36</v>
      </c>
      <c r="C61" s="1">
        <v>274.44499999999999</v>
      </c>
      <c r="D61" s="1">
        <v>476.69299999999998</v>
      </c>
      <c r="E61" s="1">
        <v>306.51799999999997</v>
      </c>
      <c r="F61" s="1">
        <v>384.96899999999999</v>
      </c>
      <c r="G61" s="7">
        <v>1</v>
      </c>
      <c r="H61" s="1">
        <v>40</v>
      </c>
      <c r="I61" s="1" t="s">
        <v>37</v>
      </c>
      <c r="J61" s="1"/>
      <c r="K61" s="1">
        <v>314.85000000000002</v>
      </c>
      <c r="L61" s="1">
        <f t="shared" si="13"/>
        <v>-8.3320000000000505</v>
      </c>
      <c r="M61" s="1"/>
      <c r="N61" s="1"/>
      <c r="O61" s="1">
        <v>0</v>
      </c>
      <c r="P61" s="1">
        <v>343.06543349999947</v>
      </c>
      <c r="Q61" s="1">
        <f t="shared" si="14"/>
        <v>61.303599999999996</v>
      </c>
      <c r="R61" s="5"/>
      <c r="S61" s="1">
        <f t="shared" si="15"/>
        <v>11.875883855108013</v>
      </c>
      <c r="T61" s="1">
        <f t="shared" si="16"/>
        <v>11.875883855108013</v>
      </c>
      <c r="U61" s="1">
        <v>86.032200000000003</v>
      </c>
      <c r="V61" s="1">
        <v>60.540200000000013</v>
      </c>
      <c r="W61" s="1">
        <v>16.110199999999999</v>
      </c>
      <c r="X61" s="1">
        <v>63.010399999999997</v>
      </c>
      <c r="Y61" s="1">
        <v>100.036</v>
      </c>
      <c r="Z61" s="1">
        <v>103.18680000000001</v>
      </c>
      <c r="AA61" s="1">
        <v>88.636200000000002</v>
      </c>
      <c r="AB61" s="1">
        <v>68.945799999999991</v>
      </c>
      <c r="AC61" s="1">
        <v>82.884799999999998</v>
      </c>
      <c r="AD61" s="1">
        <v>66.700599999999994</v>
      </c>
      <c r="AE61" s="1" t="s">
        <v>57</v>
      </c>
      <c r="AF61" s="1">
        <f t="shared" si="12"/>
        <v>0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101</v>
      </c>
      <c r="B62" s="1" t="s">
        <v>42</v>
      </c>
      <c r="C62" s="1">
        <v>818</v>
      </c>
      <c r="D62" s="1">
        <v>1337</v>
      </c>
      <c r="E62" s="1">
        <v>876</v>
      </c>
      <c r="F62" s="1">
        <v>1038</v>
      </c>
      <c r="G62" s="7">
        <v>0.4</v>
      </c>
      <c r="H62" s="1">
        <v>40</v>
      </c>
      <c r="I62" s="1" t="s">
        <v>37</v>
      </c>
      <c r="J62" s="1"/>
      <c r="K62" s="1">
        <v>939</v>
      </c>
      <c r="L62" s="1">
        <f t="shared" si="13"/>
        <v>-63</v>
      </c>
      <c r="M62" s="1"/>
      <c r="N62" s="1"/>
      <c r="O62" s="1">
        <v>240.45</v>
      </c>
      <c r="P62" s="1">
        <v>80.239999999999824</v>
      </c>
      <c r="Q62" s="1">
        <f t="shared" si="14"/>
        <v>175.2</v>
      </c>
      <c r="R62" s="5">
        <f t="shared" si="11"/>
        <v>656.11000000000013</v>
      </c>
      <c r="S62" s="1">
        <f t="shared" si="15"/>
        <v>11.5</v>
      </c>
      <c r="T62" s="1">
        <f t="shared" si="16"/>
        <v>7.7550799086757989</v>
      </c>
      <c r="U62" s="1">
        <v>177.8</v>
      </c>
      <c r="V62" s="1">
        <v>184.4</v>
      </c>
      <c r="W62" s="1">
        <v>182.6</v>
      </c>
      <c r="X62" s="1">
        <v>193.4</v>
      </c>
      <c r="Y62" s="1">
        <v>188.4</v>
      </c>
      <c r="Z62" s="1">
        <v>196.8</v>
      </c>
      <c r="AA62" s="1">
        <v>233</v>
      </c>
      <c r="AB62" s="1">
        <v>274.2</v>
      </c>
      <c r="AC62" s="1">
        <v>247.6</v>
      </c>
      <c r="AD62" s="1">
        <v>193.2</v>
      </c>
      <c r="AE62" s="1"/>
      <c r="AF62" s="1">
        <f t="shared" si="12"/>
        <v>262.44400000000007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102</v>
      </c>
      <c r="B63" s="1" t="s">
        <v>42</v>
      </c>
      <c r="C63" s="1">
        <v>454</v>
      </c>
      <c r="D63" s="1">
        <v>652</v>
      </c>
      <c r="E63" s="1">
        <v>574</v>
      </c>
      <c r="F63" s="1">
        <v>429</v>
      </c>
      <c r="G63" s="7">
        <v>0.4</v>
      </c>
      <c r="H63" s="1">
        <v>40</v>
      </c>
      <c r="I63" s="9" t="s">
        <v>40</v>
      </c>
      <c r="J63" s="1"/>
      <c r="K63" s="1">
        <v>592</v>
      </c>
      <c r="L63" s="1">
        <f t="shared" si="13"/>
        <v>-18</v>
      </c>
      <c r="M63" s="1"/>
      <c r="N63" s="1"/>
      <c r="O63" s="1">
        <v>477.30999999999977</v>
      </c>
      <c r="P63" s="1">
        <v>2.6399999999998158</v>
      </c>
      <c r="Q63" s="1">
        <f t="shared" si="14"/>
        <v>114.8</v>
      </c>
      <c r="R63" s="5">
        <f t="shared" si="11"/>
        <v>411.25000000000045</v>
      </c>
      <c r="S63" s="1">
        <f t="shared" si="15"/>
        <v>11.5</v>
      </c>
      <c r="T63" s="1">
        <f t="shared" si="16"/>
        <v>7.917682926829265</v>
      </c>
      <c r="U63" s="1">
        <v>116.8</v>
      </c>
      <c r="V63" s="1">
        <v>127.4</v>
      </c>
      <c r="W63" s="1">
        <v>128.6</v>
      </c>
      <c r="X63" s="1">
        <v>101.8</v>
      </c>
      <c r="Y63" s="1">
        <v>61.8</v>
      </c>
      <c r="Z63" s="1">
        <v>99.6</v>
      </c>
      <c r="AA63" s="1">
        <v>148.4</v>
      </c>
      <c r="AB63" s="1">
        <v>73.599999999999994</v>
      </c>
      <c r="AC63" s="1">
        <v>47.8</v>
      </c>
      <c r="AD63" s="1">
        <v>89.4</v>
      </c>
      <c r="AE63" s="1"/>
      <c r="AF63" s="1">
        <f t="shared" si="12"/>
        <v>164.5000000000002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103</v>
      </c>
      <c r="B64" s="1" t="s">
        <v>36</v>
      </c>
      <c r="C64" s="1">
        <v>78.152000000000001</v>
      </c>
      <c r="D64" s="1">
        <v>556.44100000000003</v>
      </c>
      <c r="E64" s="1">
        <v>75.655000000000001</v>
      </c>
      <c r="F64" s="1">
        <v>538.81399999999996</v>
      </c>
      <c r="G64" s="7">
        <v>1</v>
      </c>
      <c r="H64" s="1">
        <v>40</v>
      </c>
      <c r="I64" s="9" t="s">
        <v>40</v>
      </c>
      <c r="J64" s="1"/>
      <c r="K64" s="1">
        <v>215.55</v>
      </c>
      <c r="L64" s="1">
        <f t="shared" si="13"/>
        <v>-139.89500000000001</v>
      </c>
      <c r="M64" s="1"/>
      <c r="N64" s="1"/>
      <c r="O64" s="1">
        <v>350</v>
      </c>
      <c r="P64" s="1"/>
      <c r="Q64" s="1">
        <f t="shared" si="14"/>
        <v>15.131</v>
      </c>
      <c r="R64" s="5"/>
      <c r="S64" s="1">
        <f t="shared" si="15"/>
        <v>58.741259665587201</v>
      </c>
      <c r="T64" s="1">
        <f t="shared" si="16"/>
        <v>58.741259665587201</v>
      </c>
      <c r="U64" s="1">
        <v>61.583000000000013</v>
      </c>
      <c r="V64" s="1">
        <v>96.852400000000003</v>
      </c>
      <c r="W64" s="1">
        <v>77.294000000000011</v>
      </c>
      <c r="X64" s="1">
        <v>25.259599999999999</v>
      </c>
      <c r="Y64" s="1">
        <v>18.2072</v>
      </c>
      <c r="Z64" s="1">
        <v>61.124800000000008</v>
      </c>
      <c r="AA64" s="1">
        <v>70.778999999999996</v>
      </c>
      <c r="AB64" s="1">
        <v>27.305800000000001</v>
      </c>
      <c r="AC64" s="1">
        <v>-1.0952</v>
      </c>
      <c r="AD64" s="1">
        <v>-0.55000000000000004</v>
      </c>
      <c r="AE64" s="1"/>
      <c r="AF64" s="1">
        <f t="shared" si="12"/>
        <v>0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104</v>
      </c>
      <c r="B65" s="1" t="s">
        <v>36</v>
      </c>
      <c r="C65" s="1"/>
      <c r="D65" s="1">
        <v>205.87299999999999</v>
      </c>
      <c r="E65" s="1">
        <v>148.226</v>
      </c>
      <c r="F65" s="1">
        <v>-2.8159999999999998</v>
      </c>
      <c r="G65" s="7">
        <v>1</v>
      </c>
      <c r="H65" s="1">
        <v>40</v>
      </c>
      <c r="I65" s="9" t="s">
        <v>40</v>
      </c>
      <c r="J65" s="1"/>
      <c r="K65" s="1">
        <v>144.69999999999999</v>
      </c>
      <c r="L65" s="1">
        <f t="shared" si="13"/>
        <v>3.5260000000000105</v>
      </c>
      <c r="M65" s="1"/>
      <c r="N65" s="1"/>
      <c r="O65" s="1">
        <v>23.038199999999989</v>
      </c>
      <c r="P65" s="1">
        <v>0</v>
      </c>
      <c r="Q65" s="1">
        <f t="shared" si="14"/>
        <v>29.645199999999999</v>
      </c>
      <c r="R65" s="5">
        <f>8*Q65-P65-O65-F65</f>
        <v>216.93940000000001</v>
      </c>
      <c r="S65" s="1">
        <f t="shared" si="15"/>
        <v>8</v>
      </c>
      <c r="T65" s="1">
        <f t="shared" si="16"/>
        <v>0.68214078501747299</v>
      </c>
      <c r="U65" s="1">
        <v>0</v>
      </c>
      <c r="V65" s="1">
        <v>2.3567999999999998</v>
      </c>
      <c r="W65" s="1">
        <v>20.276199999999999</v>
      </c>
      <c r="X65" s="1">
        <v>17.383400000000002</v>
      </c>
      <c r="Y65" s="1">
        <v>-0.53600000000000003</v>
      </c>
      <c r="Z65" s="1">
        <v>1.5669999999999999</v>
      </c>
      <c r="AA65" s="1">
        <v>1.5669999999999999</v>
      </c>
      <c r="AB65" s="1">
        <v>-0.7268</v>
      </c>
      <c r="AC65" s="1">
        <v>-0.90999999999999992</v>
      </c>
      <c r="AD65" s="1">
        <v>-0.45700000000000002</v>
      </c>
      <c r="AE65" s="1"/>
      <c r="AF65" s="1">
        <f t="shared" si="12"/>
        <v>216.93940000000001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105</v>
      </c>
      <c r="B66" s="1" t="s">
        <v>36</v>
      </c>
      <c r="C66" s="1"/>
      <c r="D66" s="1">
        <v>102.956</v>
      </c>
      <c r="E66" s="1">
        <v>-0.45</v>
      </c>
      <c r="F66" s="1">
        <v>102.956</v>
      </c>
      <c r="G66" s="7">
        <v>1</v>
      </c>
      <c r="H66" s="1">
        <v>40</v>
      </c>
      <c r="I66" s="9" t="s">
        <v>40</v>
      </c>
      <c r="J66" s="1"/>
      <c r="K66" s="1">
        <v>9.4</v>
      </c>
      <c r="L66" s="1">
        <f t="shared" si="13"/>
        <v>-9.85</v>
      </c>
      <c r="M66" s="1"/>
      <c r="N66" s="1"/>
      <c r="O66" s="1">
        <v>105</v>
      </c>
      <c r="P66" s="1">
        <v>40</v>
      </c>
      <c r="Q66" s="1">
        <f t="shared" si="14"/>
        <v>-0.09</v>
      </c>
      <c r="R66" s="5"/>
      <c r="S66" s="1">
        <f t="shared" si="15"/>
        <v>-2755.0666666666671</v>
      </c>
      <c r="T66" s="1">
        <f t="shared" si="16"/>
        <v>-2755.0666666666671</v>
      </c>
      <c r="U66" s="1">
        <v>-0.09</v>
      </c>
      <c r="V66" s="1">
        <v>-0.1812</v>
      </c>
      <c r="W66" s="1">
        <v>-0.36499999999999999</v>
      </c>
      <c r="X66" s="1">
        <v>59.523000000000003</v>
      </c>
      <c r="Y66" s="1">
        <v>61.708000000000013</v>
      </c>
      <c r="Z66" s="1">
        <v>37.239999999999988</v>
      </c>
      <c r="AA66" s="1">
        <v>34.334000000000003</v>
      </c>
      <c r="AB66" s="1">
        <v>-2.6212</v>
      </c>
      <c r="AC66" s="1">
        <v>-3.4367999999999999</v>
      </c>
      <c r="AD66" s="1">
        <v>-2.5032000000000001</v>
      </c>
      <c r="AE66" s="1"/>
      <c r="AF66" s="1">
        <f t="shared" ref="AF66:AF84" si="17">G66*R66</f>
        <v>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106</v>
      </c>
      <c r="B67" s="1" t="s">
        <v>36</v>
      </c>
      <c r="C67" s="1"/>
      <c r="D67" s="1">
        <v>87.067999999999998</v>
      </c>
      <c r="E67" s="1">
        <v>52.801000000000002</v>
      </c>
      <c r="F67" s="1">
        <v>32.57</v>
      </c>
      <c r="G67" s="7">
        <v>1</v>
      </c>
      <c r="H67" s="1">
        <v>40</v>
      </c>
      <c r="I67" s="9" t="s">
        <v>40</v>
      </c>
      <c r="J67" s="1"/>
      <c r="K67" s="1">
        <v>105.55</v>
      </c>
      <c r="L67" s="1">
        <f t="shared" si="13"/>
        <v>-52.748999999999995</v>
      </c>
      <c r="M67" s="1"/>
      <c r="N67" s="1"/>
      <c r="O67" s="1">
        <v>50</v>
      </c>
      <c r="P67" s="1">
        <v>26.88034</v>
      </c>
      <c r="Q67" s="1">
        <f t="shared" si="14"/>
        <v>10.5602</v>
      </c>
      <c r="R67" s="5">
        <f t="shared" si="11"/>
        <v>11.991959999999999</v>
      </c>
      <c r="S67" s="1">
        <f t="shared" si="15"/>
        <v>11.499999999999998</v>
      </c>
      <c r="T67" s="1">
        <f t="shared" si="16"/>
        <v>10.364419234484195</v>
      </c>
      <c r="U67" s="1">
        <v>10.377800000000001</v>
      </c>
      <c r="V67" s="1">
        <v>-0.18240000000000001</v>
      </c>
      <c r="W67" s="1">
        <v>-0.54620000000000002</v>
      </c>
      <c r="X67" s="1">
        <v>-0.90079999999999993</v>
      </c>
      <c r="Y67" s="1">
        <v>-0.53520000000000001</v>
      </c>
      <c r="Z67" s="1">
        <v>16.866399999999999</v>
      </c>
      <c r="AA67" s="1">
        <v>33.512999999999998</v>
      </c>
      <c r="AB67" s="1">
        <v>40.464799999999997</v>
      </c>
      <c r="AC67" s="1">
        <v>40.846600000000002</v>
      </c>
      <c r="AD67" s="1">
        <v>16.485800000000001</v>
      </c>
      <c r="AE67" s="1"/>
      <c r="AF67" s="1">
        <f t="shared" si="17"/>
        <v>11.991959999999999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107</v>
      </c>
      <c r="B68" s="1" t="s">
        <v>42</v>
      </c>
      <c r="C68" s="1">
        <v>7</v>
      </c>
      <c r="D68" s="1">
        <v>16</v>
      </c>
      <c r="E68" s="1">
        <v>7</v>
      </c>
      <c r="F68" s="1">
        <v>14</v>
      </c>
      <c r="G68" s="7">
        <v>0.6</v>
      </c>
      <c r="H68" s="1">
        <v>70</v>
      </c>
      <c r="I68" s="1" t="s">
        <v>37</v>
      </c>
      <c r="J68" s="1"/>
      <c r="K68" s="1">
        <v>10</v>
      </c>
      <c r="L68" s="1">
        <f t="shared" si="13"/>
        <v>-3</v>
      </c>
      <c r="M68" s="1"/>
      <c r="N68" s="1"/>
      <c r="O68" s="1">
        <v>0</v>
      </c>
      <c r="P68" s="1">
        <v>0</v>
      </c>
      <c r="Q68" s="1">
        <f t="shared" si="14"/>
        <v>1.4</v>
      </c>
      <c r="R68" s="5">
        <v>5</v>
      </c>
      <c r="S68" s="1">
        <f t="shared" si="15"/>
        <v>13.571428571428573</v>
      </c>
      <c r="T68" s="1">
        <f t="shared" si="16"/>
        <v>10</v>
      </c>
      <c r="U68" s="1">
        <v>1.8</v>
      </c>
      <c r="V68" s="1">
        <v>1.4</v>
      </c>
      <c r="W68" s="1">
        <v>1.2</v>
      </c>
      <c r="X68" s="1">
        <v>1.6</v>
      </c>
      <c r="Y68" s="1">
        <v>0.6</v>
      </c>
      <c r="Z68" s="1">
        <v>1.2</v>
      </c>
      <c r="AA68" s="1">
        <v>1.2</v>
      </c>
      <c r="AB68" s="1">
        <v>0</v>
      </c>
      <c r="AC68" s="1">
        <v>1.2</v>
      </c>
      <c r="AD68" s="1">
        <v>1.2</v>
      </c>
      <c r="AE68" s="1"/>
      <c r="AF68" s="1">
        <f t="shared" si="17"/>
        <v>3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108</v>
      </c>
      <c r="B69" s="1" t="s">
        <v>36</v>
      </c>
      <c r="C69" s="1">
        <v>136.03200000000001</v>
      </c>
      <c r="D69" s="1">
        <v>270.90600000000001</v>
      </c>
      <c r="E69" s="1">
        <v>139.18899999999999</v>
      </c>
      <c r="F69" s="1">
        <v>214.67</v>
      </c>
      <c r="G69" s="7">
        <v>1</v>
      </c>
      <c r="H69" s="1">
        <v>30</v>
      </c>
      <c r="I69" s="1" t="s">
        <v>37</v>
      </c>
      <c r="J69" s="1"/>
      <c r="K69" s="1">
        <v>165.85</v>
      </c>
      <c r="L69" s="1">
        <f t="shared" si="13"/>
        <v>-26.661000000000001</v>
      </c>
      <c r="M69" s="1"/>
      <c r="N69" s="1"/>
      <c r="O69" s="1">
        <v>70</v>
      </c>
      <c r="P69" s="1">
        <v>0</v>
      </c>
      <c r="Q69" s="1">
        <f t="shared" si="14"/>
        <v>27.837799999999998</v>
      </c>
      <c r="R69" s="5">
        <f t="shared" si="11"/>
        <v>35.464699999999965</v>
      </c>
      <c r="S69" s="1">
        <f t="shared" si="15"/>
        <v>11.5</v>
      </c>
      <c r="T69" s="1">
        <f t="shared" si="16"/>
        <v>10.226023608187427</v>
      </c>
      <c r="U69" s="1">
        <v>28.1508</v>
      </c>
      <c r="V69" s="1">
        <v>34.746000000000002</v>
      </c>
      <c r="W69" s="1">
        <v>35.825400000000002</v>
      </c>
      <c r="X69" s="1">
        <v>37.188800000000001</v>
      </c>
      <c r="Y69" s="1">
        <v>38.170999999999999</v>
      </c>
      <c r="Z69" s="1">
        <v>39.023200000000003</v>
      </c>
      <c r="AA69" s="1">
        <v>41.531599999999997</v>
      </c>
      <c r="AB69" s="1">
        <v>38.9026</v>
      </c>
      <c r="AC69" s="1">
        <v>42.365200000000002</v>
      </c>
      <c r="AD69" s="1">
        <v>40.881999999999998</v>
      </c>
      <c r="AE69" s="1"/>
      <c r="AF69" s="1">
        <f t="shared" si="17"/>
        <v>35.464699999999965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109</v>
      </c>
      <c r="B70" s="1" t="s">
        <v>42</v>
      </c>
      <c r="C70" s="1">
        <v>120</v>
      </c>
      <c r="D70" s="1">
        <v>120</v>
      </c>
      <c r="E70" s="1">
        <v>120</v>
      </c>
      <c r="F70" s="1">
        <v>81</v>
      </c>
      <c r="G70" s="7">
        <v>0.6</v>
      </c>
      <c r="H70" s="1">
        <v>60</v>
      </c>
      <c r="I70" s="1" t="s">
        <v>37</v>
      </c>
      <c r="J70" s="1"/>
      <c r="K70" s="1">
        <v>120</v>
      </c>
      <c r="L70" s="1">
        <f t="shared" ref="L70:L101" si="18">E70-K70</f>
        <v>0</v>
      </c>
      <c r="M70" s="1"/>
      <c r="N70" s="1"/>
      <c r="O70" s="1">
        <v>103.05800000000001</v>
      </c>
      <c r="P70" s="1">
        <v>0</v>
      </c>
      <c r="Q70" s="1">
        <f t="shared" ref="Q70:Q101" si="19">E70/5</f>
        <v>24</v>
      </c>
      <c r="R70" s="5">
        <f t="shared" si="11"/>
        <v>91.942000000000007</v>
      </c>
      <c r="S70" s="1">
        <f t="shared" ref="S70:S101" si="20">(F70+O70+P70+R70)/Q70</f>
        <v>11.5</v>
      </c>
      <c r="T70" s="1">
        <f t="shared" ref="T70:T101" si="21">(F70+O70+P70)/Q70</f>
        <v>7.669083333333333</v>
      </c>
      <c r="U70" s="1">
        <v>20.399999999999999</v>
      </c>
      <c r="V70" s="1">
        <v>26.2</v>
      </c>
      <c r="W70" s="1">
        <v>30.2</v>
      </c>
      <c r="X70" s="1">
        <v>26</v>
      </c>
      <c r="Y70" s="1">
        <v>31.2</v>
      </c>
      <c r="Z70" s="1">
        <v>26.6</v>
      </c>
      <c r="AA70" s="1">
        <v>23.6</v>
      </c>
      <c r="AB70" s="1">
        <v>26.2</v>
      </c>
      <c r="AC70" s="1">
        <v>25.8</v>
      </c>
      <c r="AD70" s="1">
        <v>24.4</v>
      </c>
      <c r="AE70" s="1"/>
      <c r="AF70" s="1">
        <f t="shared" si="17"/>
        <v>55.165200000000006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110</v>
      </c>
      <c r="B71" s="1" t="s">
        <v>42</v>
      </c>
      <c r="C71" s="1">
        <v>46</v>
      </c>
      <c r="D71" s="1">
        <v>80</v>
      </c>
      <c r="E71" s="1">
        <v>42</v>
      </c>
      <c r="F71" s="1">
        <v>72</v>
      </c>
      <c r="G71" s="7">
        <v>0.6</v>
      </c>
      <c r="H71" s="1">
        <v>60</v>
      </c>
      <c r="I71" s="1" t="s">
        <v>37</v>
      </c>
      <c r="J71" s="1"/>
      <c r="K71" s="1">
        <v>59</v>
      </c>
      <c r="L71" s="1">
        <f t="shared" si="18"/>
        <v>-17</v>
      </c>
      <c r="M71" s="1"/>
      <c r="N71" s="1"/>
      <c r="O71" s="1">
        <v>0</v>
      </c>
      <c r="P71" s="1">
        <v>0</v>
      </c>
      <c r="Q71" s="1">
        <f t="shared" si="19"/>
        <v>8.4</v>
      </c>
      <c r="R71" s="5">
        <f t="shared" si="11"/>
        <v>24.600000000000009</v>
      </c>
      <c r="S71" s="1">
        <f t="shared" si="20"/>
        <v>11.5</v>
      </c>
      <c r="T71" s="1">
        <f t="shared" si="21"/>
        <v>8.5714285714285712</v>
      </c>
      <c r="U71" s="1">
        <v>8</v>
      </c>
      <c r="V71" s="1">
        <v>7</v>
      </c>
      <c r="W71" s="1">
        <v>8.1999999999999993</v>
      </c>
      <c r="X71" s="1">
        <v>12.6</v>
      </c>
      <c r="Y71" s="1">
        <v>13.2</v>
      </c>
      <c r="Z71" s="1">
        <v>11</v>
      </c>
      <c r="AA71" s="1">
        <v>8.8000000000000007</v>
      </c>
      <c r="AB71" s="1">
        <v>6.4</v>
      </c>
      <c r="AC71" s="1">
        <v>9.6</v>
      </c>
      <c r="AD71" s="1">
        <v>10.4</v>
      </c>
      <c r="AE71" s="1"/>
      <c r="AF71" s="1">
        <f t="shared" si="17"/>
        <v>14.760000000000005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111</v>
      </c>
      <c r="B72" s="1" t="s">
        <v>42</v>
      </c>
      <c r="C72" s="1">
        <v>87</v>
      </c>
      <c r="D72" s="1">
        <v>194</v>
      </c>
      <c r="E72" s="1">
        <v>126</v>
      </c>
      <c r="F72" s="1">
        <v>135</v>
      </c>
      <c r="G72" s="7">
        <v>0.4</v>
      </c>
      <c r="H72" s="1">
        <v>90</v>
      </c>
      <c r="I72" s="1" t="s">
        <v>37</v>
      </c>
      <c r="J72" s="1"/>
      <c r="K72" s="1">
        <v>142</v>
      </c>
      <c r="L72" s="1">
        <f t="shared" si="18"/>
        <v>-16</v>
      </c>
      <c r="M72" s="1"/>
      <c r="N72" s="1"/>
      <c r="O72" s="1">
        <v>15.69999999999999</v>
      </c>
      <c r="P72" s="1">
        <v>38.140000000000022</v>
      </c>
      <c r="Q72" s="1">
        <f t="shared" si="19"/>
        <v>25.2</v>
      </c>
      <c r="R72" s="5">
        <f t="shared" si="11"/>
        <v>100.96000000000001</v>
      </c>
      <c r="S72" s="1">
        <f t="shared" si="20"/>
        <v>11.5</v>
      </c>
      <c r="T72" s="1">
        <f t="shared" si="21"/>
        <v>7.4936507936507937</v>
      </c>
      <c r="U72" s="1">
        <v>22.8</v>
      </c>
      <c r="V72" s="1">
        <v>19.399999999999999</v>
      </c>
      <c r="W72" s="1">
        <v>28.2</v>
      </c>
      <c r="X72" s="1">
        <v>31</v>
      </c>
      <c r="Y72" s="1">
        <v>25.8</v>
      </c>
      <c r="Z72" s="1">
        <v>28</v>
      </c>
      <c r="AA72" s="1">
        <v>30</v>
      </c>
      <c r="AB72" s="1">
        <v>36.799999999999997</v>
      </c>
      <c r="AC72" s="1">
        <v>39.6</v>
      </c>
      <c r="AD72" s="1">
        <v>30.6</v>
      </c>
      <c r="AE72" s="1"/>
      <c r="AF72" s="1">
        <f t="shared" si="17"/>
        <v>40.384000000000007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112</v>
      </c>
      <c r="B73" s="1" t="s">
        <v>42</v>
      </c>
      <c r="C73" s="1">
        <v>184</v>
      </c>
      <c r="D73" s="1">
        <v>208</v>
      </c>
      <c r="E73" s="1">
        <v>165</v>
      </c>
      <c r="F73" s="1">
        <v>216</v>
      </c>
      <c r="G73" s="7">
        <v>0.33</v>
      </c>
      <c r="H73" s="1">
        <v>60</v>
      </c>
      <c r="I73" s="9" t="s">
        <v>40</v>
      </c>
      <c r="J73" s="1"/>
      <c r="K73" s="1">
        <v>165</v>
      </c>
      <c r="L73" s="1">
        <f t="shared" si="18"/>
        <v>0</v>
      </c>
      <c r="M73" s="1"/>
      <c r="N73" s="1"/>
      <c r="O73" s="1">
        <v>0</v>
      </c>
      <c r="P73" s="1">
        <v>70.479999999999976</v>
      </c>
      <c r="Q73" s="1">
        <f t="shared" si="19"/>
        <v>33</v>
      </c>
      <c r="R73" s="5">
        <f t="shared" si="11"/>
        <v>93.020000000000039</v>
      </c>
      <c r="S73" s="1">
        <f t="shared" si="20"/>
        <v>11.5</v>
      </c>
      <c r="T73" s="1">
        <f t="shared" si="21"/>
        <v>8.6812121212121198</v>
      </c>
      <c r="U73" s="1">
        <v>35.6</v>
      </c>
      <c r="V73" s="1">
        <v>30.6</v>
      </c>
      <c r="W73" s="1">
        <v>23.6</v>
      </c>
      <c r="X73" s="1">
        <v>33.6</v>
      </c>
      <c r="Y73" s="1">
        <v>41.4</v>
      </c>
      <c r="Z73" s="1">
        <v>40.799999999999997</v>
      </c>
      <c r="AA73" s="1">
        <v>37.6</v>
      </c>
      <c r="AB73" s="1">
        <v>24</v>
      </c>
      <c r="AC73" s="1">
        <v>30</v>
      </c>
      <c r="AD73" s="1">
        <v>37.799999999999997</v>
      </c>
      <c r="AE73" s="1"/>
      <c r="AF73" s="1">
        <f t="shared" si="17"/>
        <v>30.696600000000014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113</v>
      </c>
      <c r="B74" s="1" t="s">
        <v>42</v>
      </c>
      <c r="C74" s="1">
        <v>142</v>
      </c>
      <c r="D74" s="1">
        <v>68</v>
      </c>
      <c r="E74" s="1">
        <v>118</v>
      </c>
      <c r="F74" s="1">
        <v>72</v>
      </c>
      <c r="G74" s="7">
        <v>0.35</v>
      </c>
      <c r="H74" s="1">
        <v>90</v>
      </c>
      <c r="I74" s="1" t="s">
        <v>37</v>
      </c>
      <c r="J74" s="1"/>
      <c r="K74" s="1">
        <v>131</v>
      </c>
      <c r="L74" s="1">
        <f t="shared" si="18"/>
        <v>-13</v>
      </c>
      <c r="M74" s="1"/>
      <c r="N74" s="1"/>
      <c r="O74" s="1">
        <v>30</v>
      </c>
      <c r="P74" s="1">
        <v>42.580000000000027</v>
      </c>
      <c r="Q74" s="1">
        <f t="shared" si="19"/>
        <v>23.6</v>
      </c>
      <c r="R74" s="5">
        <f t="shared" si="11"/>
        <v>126.82</v>
      </c>
      <c r="S74" s="1">
        <f t="shared" si="20"/>
        <v>11.5</v>
      </c>
      <c r="T74" s="1">
        <f t="shared" si="21"/>
        <v>6.1262711864406789</v>
      </c>
      <c r="U74" s="1">
        <v>18.600000000000001</v>
      </c>
      <c r="V74" s="1">
        <v>17</v>
      </c>
      <c r="W74" s="1">
        <v>14.8</v>
      </c>
      <c r="X74" s="1">
        <v>5.4</v>
      </c>
      <c r="Y74" s="1">
        <v>9</v>
      </c>
      <c r="Z74" s="1">
        <v>27.8</v>
      </c>
      <c r="AA74" s="1">
        <v>31</v>
      </c>
      <c r="AB74" s="1">
        <v>23.2</v>
      </c>
      <c r="AC74" s="1">
        <v>17</v>
      </c>
      <c r="AD74" s="1">
        <v>15.4</v>
      </c>
      <c r="AE74" s="1"/>
      <c r="AF74" s="1">
        <f t="shared" si="17"/>
        <v>44.386999999999993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114</v>
      </c>
      <c r="B75" s="1" t="s">
        <v>42</v>
      </c>
      <c r="C75" s="1">
        <v>567</v>
      </c>
      <c r="D75" s="1">
        <v>494</v>
      </c>
      <c r="E75" s="1">
        <v>386</v>
      </c>
      <c r="F75" s="1">
        <v>578</v>
      </c>
      <c r="G75" s="7">
        <v>0.37</v>
      </c>
      <c r="H75" s="1">
        <v>50</v>
      </c>
      <c r="I75" s="1" t="s">
        <v>37</v>
      </c>
      <c r="J75" s="1"/>
      <c r="K75" s="1">
        <v>403</v>
      </c>
      <c r="L75" s="1">
        <f t="shared" si="18"/>
        <v>-17</v>
      </c>
      <c r="M75" s="1"/>
      <c r="N75" s="1"/>
      <c r="O75" s="1">
        <v>40.759999999999764</v>
      </c>
      <c r="P75" s="1"/>
      <c r="Q75" s="1">
        <f t="shared" si="19"/>
        <v>77.2</v>
      </c>
      <c r="R75" s="5">
        <f t="shared" si="11"/>
        <v>269.0400000000003</v>
      </c>
      <c r="S75" s="1">
        <f t="shared" si="20"/>
        <v>11.5</v>
      </c>
      <c r="T75" s="1">
        <f t="shared" si="21"/>
        <v>8.0150259067357474</v>
      </c>
      <c r="U75" s="1">
        <v>80.2</v>
      </c>
      <c r="V75" s="1">
        <v>85.6</v>
      </c>
      <c r="W75" s="1">
        <v>87.8</v>
      </c>
      <c r="X75" s="1">
        <v>104.4</v>
      </c>
      <c r="Y75" s="1">
        <v>100.2</v>
      </c>
      <c r="Z75" s="1">
        <v>113.2</v>
      </c>
      <c r="AA75" s="1">
        <v>114.4</v>
      </c>
      <c r="AB75" s="1">
        <v>101.2</v>
      </c>
      <c r="AC75" s="1">
        <v>91.8</v>
      </c>
      <c r="AD75" s="1">
        <v>81.400000000000006</v>
      </c>
      <c r="AE75" s="1"/>
      <c r="AF75" s="1">
        <f t="shared" si="17"/>
        <v>99.544800000000109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115</v>
      </c>
      <c r="B76" s="1" t="s">
        <v>42</v>
      </c>
      <c r="C76" s="1">
        <v>234</v>
      </c>
      <c r="D76" s="1">
        <v>112</v>
      </c>
      <c r="E76" s="1">
        <v>128</v>
      </c>
      <c r="F76" s="1">
        <v>162</v>
      </c>
      <c r="G76" s="7">
        <v>0.6</v>
      </c>
      <c r="H76" s="1">
        <v>70</v>
      </c>
      <c r="I76" s="1" t="s">
        <v>37</v>
      </c>
      <c r="J76" s="1"/>
      <c r="K76" s="1">
        <v>128</v>
      </c>
      <c r="L76" s="1">
        <f t="shared" si="18"/>
        <v>0</v>
      </c>
      <c r="M76" s="1"/>
      <c r="N76" s="1"/>
      <c r="O76" s="1">
        <v>121.15</v>
      </c>
      <c r="P76" s="1">
        <v>0</v>
      </c>
      <c r="Q76" s="1">
        <f t="shared" si="19"/>
        <v>25.6</v>
      </c>
      <c r="R76" s="5">
        <f t="shared" si="11"/>
        <v>11.250000000000028</v>
      </c>
      <c r="S76" s="1">
        <f t="shared" si="20"/>
        <v>11.499999999999998</v>
      </c>
      <c r="T76" s="1">
        <f t="shared" si="21"/>
        <v>11.060546874999998</v>
      </c>
      <c r="U76" s="1">
        <v>30.6</v>
      </c>
      <c r="V76" s="1">
        <v>36.200000000000003</v>
      </c>
      <c r="W76" s="1">
        <v>37.6</v>
      </c>
      <c r="X76" s="1">
        <v>36.200000000000003</v>
      </c>
      <c r="Y76" s="1">
        <v>30.2</v>
      </c>
      <c r="Z76" s="1">
        <v>45</v>
      </c>
      <c r="AA76" s="1">
        <v>48.6</v>
      </c>
      <c r="AB76" s="1">
        <v>30.2</v>
      </c>
      <c r="AC76" s="1">
        <v>27.8</v>
      </c>
      <c r="AD76" s="1">
        <v>25.6</v>
      </c>
      <c r="AE76" s="1"/>
      <c r="AF76" s="1">
        <f t="shared" si="17"/>
        <v>6.7500000000000169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116</v>
      </c>
      <c r="B77" s="1" t="s">
        <v>42</v>
      </c>
      <c r="C77" s="1">
        <v>62</v>
      </c>
      <c r="D77" s="1">
        <v>48</v>
      </c>
      <c r="E77" s="1">
        <v>52</v>
      </c>
      <c r="F77" s="1">
        <v>52</v>
      </c>
      <c r="G77" s="7">
        <v>0.33</v>
      </c>
      <c r="H77" s="1">
        <v>40</v>
      </c>
      <c r="I77" s="1" t="s">
        <v>37</v>
      </c>
      <c r="J77" s="1"/>
      <c r="K77" s="1">
        <v>54</v>
      </c>
      <c r="L77" s="1">
        <f t="shared" si="18"/>
        <v>-2</v>
      </c>
      <c r="M77" s="1"/>
      <c r="N77" s="1"/>
      <c r="O77" s="1">
        <v>0</v>
      </c>
      <c r="P77" s="1">
        <v>25.820000000000011</v>
      </c>
      <c r="Q77" s="1">
        <f t="shared" si="19"/>
        <v>10.4</v>
      </c>
      <c r="R77" s="5">
        <f t="shared" si="11"/>
        <v>41.78</v>
      </c>
      <c r="S77" s="1">
        <f t="shared" si="20"/>
        <v>11.5</v>
      </c>
      <c r="T77" s="1">
        <f t="shared" si="21"/>
        <v>7.4826923076923082</v>
      </c>
      <c r="U77" s="1">
        <v>9.4</v>
      </c>
      <c r="V77" s="1">
        <v>4.4000000000000004</v>
      </c>
      <c r="W77" s="1">
        <v>8.1999999999999993</v>
      </c>
      <c r="X77" s="1">
        <v>12.2</v>
      </c>
      <c r="Y77" s="1">
        <v>12.2</v>
      </c>
      <c r="Z77" s="1">
        <v>12.8</v>
      </c>
      <c r="AA77" s="1">
        <v>9</v>
      </c>
      <c r="AB77" s="1">
        <v>8.1999999999999993</v>
      </c>
      <c r="AC77" s="1">
        <v>11.4</v>
      </c>
      <c r="AD77" s="1">
        <v>12</v>
      </c>
      <c r="AE77" s="1"/>
      <c r="AF77" s="1">
        <f t="shared" si="17"/>
        <v>13.787400000000002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117</v>
      </c>
      <c r="B78" s="1" t="s">
        <v>42</v>
      </c>
      <c r="C78" s="1">
        <v>160</v>
      </c>
      <c r="D78" s="1">
        <v>296</v>
      </c>
      <c r="E78" s="1">
        <v>207</v>
      </c>
      <c r="F78" s="1">
        <v>157</v>
      </c>
      <c r="G78" s="7">
        <v>0.4</v>
      </c>
      <c r="H78" s="1">
        <v>55</v>
      </c>
      <c r="I78" s="9" t="s">
        <v>40</v>
      </c>
      <c r="J78" s="1"/>
      <c r="K78" s="1">
        <v>209</v>
      </c>
      <c r="L78" s="1">
        <f t="shared" si="18"/>
        <v>-2</v>
      </c>
      <c r="M78" s="1"/>
      <c r="N78" s="1"/>
      <c r="O78" s="1">
        <v>103.1</v>
      </c>
      <c r="P78" s="1">
        <v>100</v>
      </c>
      <c r="Q78" s="1">
        <f t="shared" si="19"/>
        <v>41.4</v>
      </c>
      <c r="R78" s="5">
        <v>150</v>
      </c>
      <c r="S78" s="1">
        <f t="shared" si="20"/>
        <v>12.321256038647343</v>
      </c>
      <c r="T78" s="1">
        <f t="shared" si="21"/>
        <v>8.6980676328502415</v>
      </c>
      <c r="U78" s="1">
        <v>36</v>
      </c>
      <c r="V78" s="1">
        <v>44.4</v>
      </c>
      <c r="W78" s="1">
        <v>49.4</v>
      </c>
      <c r="X78" s="1">
        <v>54.2</v>
      </c>
      <c r="Y78" s="1">
        <v>46</v>
      </c>
      <c r="Z78" s="1">
        <v>49.8</v>
      </c>
      <c r="AA78" s="1">
        <v>56.4</v>
      </c>
      <c r="AB78" s="1">
        <v>55.6</v>
      </c>
      <c r="AC78" s="1">
        <v>60.4</v>
      </c>
      <c r="AD78" s="1">
        <v>55</v>
      </c>
      <c r="AE78" s="1" t="s">
        <v>118</v>
      </c>
      <c r="AF78" s="1">
        <f t="shared" si="17"/>
        <v>60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6" t="s">
        <v>119</v>
      </c>
      <c r="B79" s="1" t="s">
        <v>42</v>
      </c>
      <c r="C79" s="1"/>
      <c r="D79" s="1"/>
      <c r="E79" s="1"/>
      <c r="F79" s="1"/>
      <c r="G79" s="7">
        <v>0.35</v>
      </c>
      <c r="H79" s="1">
        <v>40</v>
      </c>
      <c r="I79" s="9" t="s">
        <v>40</v>
      </c>
      <c r="J79" s="1"/>
      <c r="K79" s="1"/>
      <c r="L79" s="1">
        <f t="shared" si="18"/>
        <v>0</v>
      </c>
      <c r="M79" s="1"/>
      <c r="N79" s="1"/>
      <c r="O79" s="1">
        <v>10</v>
      </c>
      <c r="P79" s="1">
        <v>10</v>
      </c>
      <c r="Q79" s="1">
        <f t="shared" si="19"/>
        <v>0</v>
      </c>
      <c r="R79" s="5">
        <v>10</v>
      </c>
      <c r="S79" s="1" t="e">
        <f t="shared" si="20"/>
        <v>#DIV/0!</v>
      </c>
      <c r="T79" s="1" t="e">
        <f t="shared" si="21"/>
        <v>#DIV/0!</v>
      </c>
      <c r="U79" s="1">
        <v>0</v>
      </c>
      <c r="V79" s="1">
        <v>-0.2</v>
      </c>
      <c r="W79" s="1">
        <v>-0.2</v>
      </c>
      <c r="X79" s="1">
        <v>0</v>
      </c>
      <c r="Y79" s="1">
        <v>0.4</v>
      </c>
      <c r="Z79" s="1">
        <v>10.8</v>
      </c>
      <c r="AA79" s="1">
        <v>10.199999999999999</v>
      </c>
      <c r="AB79" s="1">
        <v>-0.4</v>
      </c>
      <c r="AC79" s="1">
        <v>-0.4</v>
      </c>
      <c r="AD79" s="1">
        <v>-0.2</v>
      </c>
      <c r="AE79" s="1"/>
      <c r="AF79" s="1">
        <f t="shared" si="17"/>
        <v>3.5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120</v>
      </c>
      <c r="B80" s="1" t="s">
        <v>42</v>
      </c>
      <c r="C80" s="1"/>
      <c r="D80" s="1">
        <v>24</v>
      </c>
      <c r="E80" s="1"/>
      <c r="F80" s="1">
        <v>24</v>
      </c>
      <c r="G80" s="7">
        <v>0.35</v>
      </c>
      <c r="H80" s="1">
        <v>45</v>
      </c>
      <c r="I80" s="9" t="s">
        <v>40</v>
      </c>
      <c r="J80" s="1"/>
      <c r="K80" s="1"/>
      <c r="L80" s="1">
        <f t="shared" si="18"/>
        <v>0</v>
      </c>
      <c r="M80" s="1"/>
      <c r="N80" s="1"/>
      <c r="O80" s="1">
        <v>105</v>
      </c>
      <c r="P80" s="1">
        <v>20</v>
      </c>
      <c r="Q80" s="1">
        <f t="shared" si="19"/>
        <v>0</v>
      </c>
      <c r="R80" s="5"/>
      <c r="S80" s="1" t="e">
        <f t="shared" si="20"/>
        <v>#DIV/0!</v>
      </c>
      <c r="T80" s="1" t="e">
        <f t="shared" si="21"/>
        <v>#DIV/0!</v>
      </c>
      <c r="U80" s="1">
        <v>-1.2</v>
      </c>
      <c r="V80" s="1">
        <v>24.6</v>
      </c>
      <c r="W80" s="1">
        <v>39.4</v>
      </c>
      <c r="X80" s="1">
        <v>36</v>
      </c>
      <c r="Y80" s="1">
        <v>24.4</v>
      </c>
      <c r="Z80" s="1">
        <v>1.8</v>
      </c>
      <c r="AA80" s="1">
        <v>0</v>
      </c>
      <c r="AB80" s="1">
        <v>26.4</v>
      </c>
      <c r="AC80" s="1">
        <v>35.6</v>
      </c>
      <c r="AD80" s="1">
        <v>42.2</v>
      </c>
      <c r="AE80" s="1"/>
      <c r="AF80" s="1">
        <f t="shared" si="17"/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121</v>
      </c>
      <c r="B81" s="1" t="s">
        <v>42</v>
      </c>
      <c r="C81" s="1">
        <v>94</v>
      </c>
      <c r="D81" s="1">
        <v>130</v>
      </c>
      <c r="E81" s="1">
        <v>159</v>
      </c>
      <c r="F81" s="1">
        <v>64</v>
      </c>
      <c r="G81" s="7">
        <v>0.4</v>
      </c>
      <c r="H81" s="1">
        <v>55</v>
      </c>
      <c r="I81" s="1" t="s">
        <v>37</v>
      </c>
      <c r="J81" s="1"/>
      <c r="K81" s="1">
        <v>190</v>
      </c>
      <c r="L81" s="1">
        <f t="shared" si="18"/>
        <v>-31</v>
      </c>
      <c r="M81" s="1"/>
      <c r="N81" s="1"/>
      <c r="O81" s="1">
        <v>198.06</v>
      </c>
      <c r="P81" s="1">
        <v>16.100000000000019</v>
      </c>
      <c r="Q81" s="1">
        <f t="shared" si="19"/>
        <v>31.8</v>
      </c>
      <c r="R81" s="5">
        <f t="shared" si="11"/>
        <v>87.539999999999964</v>
      </c>
      <c r="S81" s="1">
        <f t="shared" si="20"/>
        <v>11.5</v>
      </c>
      <c r="T81" s="1">
        <f t="shared" si="21"/>
        <v>8.7471698113207559</v>
      </c>
      <c r="U81" s="1">
        <v>27.2</v>
      </c>
      <c r="V81" s="1">
        <v>35.799999999999997</v>
      </c>
      <c r="W81" s="1">
        <v>35.6</v>
      </c>
      <c r="X81" s="1">
        <v>29.6</v>
      </c>
      <c r="Y81" s="1">
        <v>29.8</v>
      </c>
      <c r="Z81" s="1">
        <v>18.600000000000001</v>
      </c>
      <c r="AA81" s="1">
        <v>19.2</v>
      </c>
      <c r="AB81" s="1">
        <v>36</v>
      </c>
      <c r="AC81" s="1">
        <v>36.200000000000003</v>
      </c>
      <c r="AD81" s="1">
        <v>32.200000000000003</v>
      </c>
      <c r="AE81" s="1"/>
      <c r="AF81" s="1">
        <f t="shared" si="17"/>
        <v>35.015999999999984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122</v>
      </c>
      <c r="B82" s="1" t="s">
        <v>36</v>
      </c>
      <c r="C82" s="1">
        <v>25.161999999999999</v>
      </c>
      <c r="D82" s="1">
        <v>46.040999999999997</v>
      </c>
      <c r="E82" s="1">
        <v>2.8420000000000001</v>
      </c>
      <c r="F82" s="1">
        <v>65.48</v>
      </c>
      <c r="G82" s="7">
        <v>1</v>
      </c>
      <c r="H82" s="1">
        <v>55</v>
      </c>
      <c r="I82" s="1" t="s">
        <v>37</v>
      </c>
      <c r="J82" s="1"/>
      <c r="K82" s="1">
        <v>2.6</v>
      </c>
      <c r="L82" s="1">
        <f t="shared" si="18"/>
        <v>0.24199999999999999</v>
      </c>
      <c r="M82" s="1"/>
      <c r="N82" s="1"/>
      <c r="O82" s="1">
        <v>0</v>
      </c>
      <c r="P82" s="1">
        <v>0</v>
      </c>
      <c r="Q82" s="1">
        <f t="shared" si="19"/>
        <v>0.56840000000000002</v>
      </c>
      <c r="R82" s="5"/>
      <c r="S82" s="1">
        <f t="shared" si="20"/>
        <v>115.20056298381422</v>
      </c>
      <c r="T82" s="1">
        <f t="shared" si="21"/>
        <v>115.20056298381422</v>
      </c>
      <c r="U82" s="1">
        <v>0.56840000000000002</v>
      </c>
      <c r="V82" s="1">
        <v>1.1446000000000001</v>
      </c>
      <c r="W82" s="1">
        <v>1.4156</v>
      </c>
      <c r="X82" s="1">
        <v>1.1512</v>
      </c>
      <c r="Y82" s="1">
        <v>3.4895999999999998</v>
      </c>
      <c r="Z82" s="1">
        <v>3.4748000000000001</v>
      </c>
      <c r="AA82" s="1">
        <v>3.3445999999999998</v>
      </c>
      <c r="AB82" s="1">
        <v>3.0251999999999999</v>
      </c>
      <c r="AC82" s="1">
        <v>1.9418</v>
      </c>
      <c r="AD82" s="1">
        <v>2.1454</v>
      </c>
      <c r="AE82" s="17" t="s">
        <v>123</v>
      </c>
      <c r="AF82" s="1">
        <f t="shared" si="17"/>
        <v>0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124</v>
      </c>
      <c r="B83" s="1" t="s">
        <v>36</v>
      </c>
      <c r="C83" s="1">
        <v>146.93</v>
      </c>
      <c r="D83" s="1">
        <v>161.99700000000001</v>
      </c>
      <c r="E83" s="1">
        <v>108.03400000000001</v>
      </c>
      <c r="F83" s="1">
        <v>189.32599999999999</v>
      </c>
      <c r="G83" s="7">
        <v>1</v>
      </c>
      <c r="H83" s="1">
        <v>55</v>
      </c>
      <c r="I83" s="1" t="s">
        <v>37</v>
      </c>
      <c r="J83" s="1"/>
      <c r="K83" s="1">
        <v>108.5</v>
      </c>
      <c r="L83" s="1">
        <f t="shared" si="18"/>
        <v>-0.46599999999999397</v>
      </c>
      <c r="M83" s="1"/>
      <c r="N83" s="1"/>
      <c r="O83" s="1">
        <v>17.22039999999998</v>
      </c>
      <c r="P83" s="1">
        <v>100</v>
      </c>
      <c r="Q83" s="1">
        <f t="shared" si="19"/>
        <v>21.6068</v>
      </c>
      <c r="R83" s="5"/>
      <c r="S83" s="1">
        <f t="shared" si="20"/>
        <v>14.187496528870538</v>
      </c>
      <c r="T83" s="1">
        <f t="shared" si="21"/>
        <v>14.187496528870538</v>
      </c>
      <c r="U83" s="1">
        <v>28.839600000000001</v>
      </c>
      <c r="V83" s="1">
        <v>25.4146</v>
      </c>
      <c r="W83" s="1">
        <v>20.510200000000001</v>
      </c>
      <c r="X83" s="1">
        <v>20.4178</v>
      </c>
      <c r="Y83" s="1">
        <v>26.796399999999998</v>
      </c>
      <c r="Z83" s="1">
        <v>27.92</v>
      </c>
      <c r="AA83" s="1">
        <v>28.6614</v>
      </c>
      <c r="AB83" s="1">
        <v>27.568000000000001</v>
      </c>
      <c r="AC83" s="1">
        <v>29.284600000000001</v>
      </c>
      <c r="AD83" s="1">
        <v>38.7044</v>
      </c>
      <c r="AE83" s="1" t="s">
        <v>118</v>
      </c>
      <c r="AF83" s="1">
        <f t="shared" si="17"/>
        <v>0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125</v>
      </c>
      <c r="B84" s="1" t="s">
        <v>36</v>
      </c>
      <c r="C84" s="1">
        <v>803.69</v>
      </c>
      <c r="D84" s="1">
        <v>749.84</v>
      </c>
      <c r="E84" s="1">
        <v>807.44200000000001</v>
      </c>
      <c r="F84" s="1">
        <v>601.39</v>
      </c>
      <c r="G84" s="7">
        <v>1</v>
      </c>
      <c r="H84" s="1">
        <v>60</v>
      </c>
      <c r="I84" s="1" t="s">
        <v>37</v>
      </c>
      <c r="J84" s="1"/>
      <c r="K84" s="1">
        <v>810.77</v>
      </c>
      <c r="L84" s="1">
        <f t="shared" si="18"/>
        <v>-3.3279999999999745</v>
      </c>
      <c r="M84" s="1"/>
      <c r="N84" s="1"/>
      <c r="O84" s="1">
        <v>111.78016388319971</v>
      </c>
      <c r="P84" s="1">
        <v>246.1803974630418</v>
      </c>
      <c r="Q84" s="1">
        <f t="shared" si="19"/>
        <v>161.48840000000001</v>
      </c>
      <c r="R84" s="5">
        <f t="shared" si="11"/>
        <v>897.76603865375853</v>
      </c>
      <c r="S84" s="1">
        <f t="shared" si="20"/>
        <v>11.5</v>
      </c>
      <c r="T84" s="1">
        <f t="shared" si="21"/>
        <v>5.9406778526893662</v>
      </c>
      <c r="U84" s="1">
        <v>133.17140000000001</v>
      </c>
      <c r="V84" s="1">
        <v>128.61879999999999</v>
      </c>
      <c r="W84" s="1">
        <v>152.0676</v>
      </c>
      <c r="X84" s="1">
        <v>157.40639999999999</v>
      </c>
      <c r="Y84" s="1">
        <v>149.3056</v>
      </c>
      <c r="Z84" s="1">
        <v>150.80600000000001</v>
      </c>
      <c r="AA84" s="1">
        <v>161.60239999999999</v>
      </c>
      <c r="AB84" s="1">
        <v>168.8852</v>
      </c>
      <c r="AC84" s="1">
        <v>173.46860000000001</v>
      </c>
      <c r="AD84" s="1">
        <v>131.9092</v>
      </c>
      <c r="AE84" s="1"/>
      <c r="AF84" s="1">
        <f t="shared" si="17"/>
        <v>897.76603865375853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0" t="s">
        <v>126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8"/>
        <v>0</v>
      </c>
      <c r="M85" s="10"/>
      <c r="N85" s="10"/>
      <c r="O85" s="10">
        <v>0</v>
      </c>
      <c r="P85" s="10">
        <v>0</v>
      </c>
      <c r="Q85" s="10">
        <f t="shared" si="19"/>
        <v>0</v>
      </c>
      <c r="R85" s="12"/>
      <c r="S85" s="10" t="e">
        <f t="shared" si="20"/>
        <v>#DIV/0!</v>
      </c>
      <c r="T85" s="10" t="e">
        <f t="shared" si="21"/>
        <v>#DIV/0!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 t="s">
        <v>43</v>
      </c>
      <c r="AF85" s="10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127</v>
      </c>
      <c r="B86" s="1" t="s">
        <v>36</v>
      </c>
      <c r="C86" s="1">
        <v>3394.4490000000001</v>
      </c>
      <c r="D86" s="1">
        <v>1729.03</v>
      </c>
      <c r="E86" s="1">
        <v>2296.0360000000001</v>
      </c>
      <c r="F86" s="1">
        <v>2232.328</v>
      </c>
      <c r="G86" s="7">
        <v>1</v>
      </c>
      <c r="H86" s="1">
        <v>60</v>
      </c>
      <c r="I86" s="1" t="s">
        <v>37</v>
      </c>
      <c r="J86" s="1"/>
      <c r="K86" s="1">
        <v>2338.6999999999998</v>
      </c>
      <c r="L86" s="1">
        <f t="shared" si="18"/>
        <v>-42.66399999999976</v>
      </c>
      <c r="M86" s="1"/>
      <c r="N86" s="1"/>
      <c r="O86" s="1">
        <v>320.75844000000029</v>
      </c>
      <c r="P86" s="1">
        <v>112.6064800000005</v>
      </c>
      <c r="Q86" s="1">
        <f t="shared" si="19"/>
        <v>459.2072</v>
      </c>
      <c r="R86" s="5">
        <f t="shared" ref="R86:R91" si="22">11.5*Q86-P86-O86-F86</f>
        <v>2615.1898799999994</v>
      </c>
      <c r="S86" s="1">
        <f t="shared" si="20"/>
        <v>11.499999999999998</v>
      </c>
      <c r="T86" s="1">
        <f t="shared" si="21"/>
        <v>5.804989381699591</v>
      </c>
      <c r="U86" s="1">
        <v>405.00659999999999</v>
      </c>
      <c r="V86" s="1">
        <v>427.90280000000001</v>
      </c>
      <c r="W86" s="1">
        <v>494.89839999999998</v>
      </c>
      <c r="X86" s="1">
        <v>526.31220000000008</v>
      </c>
      <c r="Y86" s="1">
        <v>493.4196</v>
      </c>
      <c r="Z86" s="1">
        <v>505.09059999999999</v>
      </c>
      <c r="AA86" s="1">
        <v>580.20420000000001</v>
      </c>
      <c r="AB86" s="1">
        <v>540.80640000000005</v>
      </c>
      <c r="AC86" s="1">
        <v>482.77339999999998</v>
      </c>
      <c r="AD86" s="1">
        <v>374.46940000000001</v>
      </c>
      <c r="AE86" s="1"/>
      <c r="AF86" s="1">
        <f t="shared" ref="AF86:AF91" si="23">G86*R86</f>
        <v>2615.1898799999994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128</v>
      </c>
      <c r="B87" s="1" t="s">
        <v>36</v>
      </c>
      <c r="C87" s="1">
        <v>4108.482</v>
      </c>
      <c r="D87" s="1">
        <v>1298.712</v>
      </c>
      <c r="E87" s="1">
        <v>1783.2819999999999</v>
      </c>
      <c r="F87" s="1">
        <v>3211.567</v>
      </c>
      <c r="G87" s="7">
        <v>1</v>
      </c>
      <c r="H87" s="1">
        <v>60</v>
      </c>
      <c r="I87" s="1" t="s">
        <v>37</v>
      </c>
      <c r="J87" s="1"/>
      <c r="K87" s="1">
        <v>1792.2</v>
      </c>
      <c r="L87" s="1">
        <f t="shared" si="18"/>
        <v>-8.9180000000001201</v>
      </c>
      <c r="M87" s="1"/>
      <c r="N87" s="1"/>
      <c r="O87" s="1">
        <v>77.056429999999978</v>
      </c>
      <c r="P87" s="1">
        <v>0</v>
      </c>
      <c r="Q87" s="1">
        <f t="shared" si="19"/>
        <v>356.65639999999996</v>
      </c>
      <c r="R87" s="5">
        <f t="shared" si="22"/>
        <v>812.92516999999907</v>
      </c>
      <c r="S87" s="1">
        <f t="shared" si="20"/>
        <v>11.499999999999998</v>
      </c>
      <c r="T87" s="1">
        <f t="shared" si="21"/>
        <v>9.2207049417871101</v>
      </c>
      <c r="U87" s="1">
        <v>370.45139999999998</v>
      </c>
      <c r="V87" s="1">
        <v>435.01280000000003</v>
      </c>
      <c r="W87" s="1">
        <v>454.02980000000002</v>
      </c>
      <c r="X87" s="1">
        <v>464.01760000000002</v>
      </c>
      <c r="Y87" s="1">
        <v>470.22359999999998</v>
      </c>
      <c r="Z87" s="1">
        <v>519.2894</v>
      </c>
      <c r="AA87" s="1">
        <v>564.46319999999992</v>
      </c>
      <c r="AB87" s="1">
        <v>484.53480000000002</v>
      </c>
      <c r="AC87" s="1">
        <v>439.11</v>
      </c>
      <c r="AD87" s="1">
        <v>325.41399999999999</v>
      </c>
      <c r="AE87" s="1"/>
      <c r="AF87" s="1">
        <f t="shared" si="23"/>
        <v>812.92516999999907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129</v>
      </c>
      <c r="B88" s="1" t="s">
        <v>36</v>
      </c>
      <c r="C88" s="1">
        <v>4646.6459999999997</v>
      </c>
      <c r="D88" s="1">
        <v>1071.6769999999999</v>
      </c>
      <c r="E88" s="1">
        <v>2909.2950000000001</v>
      </c>
      <c r="F88" s="1">
        <v>2060.547</v>
      </c>
      <c r="G88" s="7">
        <v>1</v>
      </c>
      <c r="H88" s="1">
        <v>60</v>
      </c>
      <c r="I88" s="1" t="s">
        <v>37</v>
      </c>
      <c r="J88" s="1"/>
      <c r="K88" s="1">
        <v>2956.5</v>
      </c>
      <c r="L88" s="1">
        <f t="shared" si="18"/>
        <v>-47.204999999999927</v>
      </c>
      <c r="M88" s="1"/>
      <c r="N88" s="1"/>
      <c r="O88" s="1">
        <v>110.40345514700221</v>
      </c>
      <c r="P88" s="1">
        <v>1300</v>
      </c>
      <c r="Q88" s="1">
        <f t="shared" si="19"/>
        <v>581.85900000000004</v>
      </c>
      <c r="R88" s="5">
        <f t="shared" si="22"/>
        <v>3220.4280448529985</v>
      </c>
      <c r="S88" s="1">
        <f t="shared" si="20"/>
        <v>11.5</v>
      </c>
      <c r="T88" s="1">
        <f t="shared" si="21"/>
        <v>5.9652775932777562</v>
      </c>
      <c r="U88" s="1">
        <v>521.048</v>
      </c>
      <c r="V88" s="1">
        <v>463.74439999999998</v>
      </c>
      <c r="W88" s="1">
        <v>532.01880000000006</v>
      </c>
      <c r="X88" s="1">
        <v>605.65300000000002</v>
      </c>
      <c r="Y88" s="1">
        <v>579.95619999999997</v>
      </c>
      <c r="Z88" s="1">
        <v>556.60360000000003</v>
      </c>
      <c r="AA88" s="1">
        <v>587.1934</v>
      </c>
      <c r="AB88" s="1">
        <v>598.42560000000003</v>
      </c>
      <c r="AC88" s="1">
        <v>557.10379999999998</v>
      </c>
      <c r="AD88" s="1">
        <v>421.68540000000002</v>
      </c>
      <c r="AE88" s="1"/>
      <c r="AF88" s="1">
        <f t="shared" si="23"/>
        <v>3220.4280448529985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130</v>
      </c>
      <c r="B89" s="1" t="s">
        <v>36</v>
      </c>
      <c r="C89" s="1">
        <v>37.366999999999997</v>
      </c>
      <c r="D89" s="1">
        <v>96.283000000000001</v>
      </c>
      <c r="E89" s="1">
        <v>46.87</v>
      </c>
      <c r="F89" s="1">
        <v>82.77</v>
      </c>
      <c r="G89" s="7">
        <v>1</v>
      </c>
      <c r="H89" s="1">
        <v>55</v>
      </c>
      <c r="I89" s="9" t="s">
        <v>40</v>
      </c>
      <c r="J89" s="1"/>
      <c r="K89" s="1">
        <v>60.055</v>
      </c>
      <c r="L89" s="1">
        <f t="shared" si="18"/>
        <v>-13.185000000000002</v>
      </c>
      <c r="M89" s="1"/>
      <c r="N89" s="1"/>
      <c r="O89" s="1">
        <v>0</v>
      </c>
      <c r="P89" s="1">
        <v>14.33280000000001</v>
      </c>
      <c r="Q89" s="1">
        <f t="shared" si="19"/>
        <v>9.3739999999999988</v>
      </c>
      <c r="R89" s="5">
        <f t="shared" si="22"/>
        <v>10.698199999999986</v>
      </c>
      <c r="S89" s="1">
        <f t="shared" si="20"/>
        <v>11.5</v>
      </c>
      <c r="T89" s="1">
        <f t="shared" si="21"/>
        <v>10.358736931939408</v>
      </c>
      <c r="U89" s="1">
        <v>9.3148</v>
      </c>
      <c r="V89" s="1">
        <v>6.9373999999999993</v>
      </c>
      <c r="W89" s="1">
        <v>6.7266000000000004</v>
      </c>
      <c r="X89" s="1">
        <v>8.3040000000000003</v>
      </c>
      <c r="Y89" s="1">
        <v>8.5742000000000012</v>
      </c>
      <c r="Z89" s="1">
        <v>8.3124000000000002</v>
      </c>
      <c r="AA89" s="1">
        <v>8.0421999999999993</v>
      </c>
      <c r="AB89" s="1">
        <v>5.9122000000000003</v>
      </c>
      <c r="AC89" s="1">
        <v>6.9909999999999997</v>
      </c>
      <c r="AD89" s="1">
        <v>2.9689999999999999</v>
      </c>
      <c r="AE89" s="1"/>
      <c r="AF89" s="1">
        <f t="shared" si="23"/>
        <v>10.698199999999986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131</v>
      </c>
      <c r="B90" s="1" t="s">
        <v>42</v>
      </c>
      <c r="C90" s="1"/>
      <c r="D90" s="1">
        <v>12</v>
      </c>
      <c r="E90" s="1"/>
      <c r="F90" s="1">
        <v>12</v>
      </c>
      <c r="G90" s="7">
        <v>0.3</v>
      </c>
      <c r="H90" s="1">
        <v>40</v>
      </c>
      <c r="I90" s="9" t="s">
        <v>40</v>
      </c>
      <c r="J90" s="1"/>
      <c r="K90" s="1"/>
      <c r="L90" s="1">
        <f t="shared" si="18"/>
        <v>0</v>
      </c>
      <c r="M90" s="1"/>
      <c r="N90" s="1"/>
      <c r="O90" s="1">
        <v>10</v>
      </c>
      <c r="P90" s="1">
        <v>10</v>
      </c>
      <c r="Q90" s="1">
        <f t="shared" si="19"/>
        <v>0</v>
      </c>
      <c r="R90" s="5"/>
      <c r="S90" s="1" t="e">
        <f t="shared" si="20"/>
        <v>#DIV/0!</v>
      </c>
      <c r="T90" s="1" t="e">
        <f t="shared" si="21"/>
        <v>#DIV/0!</v>
      </c>
      <c r="U90" s="1">
        <v>-0.2</v>
      </c>
      <c r="V90" s="1">
        <v>-0.2</v>
      </c>
      <c r="W90" s="1">
        <v>-0.2</v>
      </c>
      <c r="X90" s="1">
        <v>-0.8</v>
      </c>
      <c r="Y90" s="1">
        <v>-0.6</v>
      </c>
      <c r="Z90" s="1">
        <v>-0.4</v>
      </c>
      <c r="AA90" s="1">
        <v>-2</v>
      </c>
      <c r="AB90" s="1">
        <v>-3.2</v>
      </c>
      <c r="AC90" s="1">
        <v>-2.2000000000000002</v>
      </c>
      <c r="AD90" s="1">
        <v>-1.2</v>
      </c>
      <c r="AE90" s="1"/>
      <c r="AF90" s="1">
        <f t="shared" si="23"/>
        <v>0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132</v>
      </c>
      <c r="B91" s="1" t="s">
        <v>42</v>
      </c>
      <c r="C91" s="1">
        <v>511</v>
      </c>
      <c r="D91" s="1">
        <v>4</v>
      </c>
      <c r="E91" s="1">
        <v>72</v>
      </c>
      <c r="F91" s="1">
        <v>379</v>
      </c>
      <c r="G91" s="7">
        <v>0.3</v>
      </c>
      <c r="H91" s="1">
        <v>40</v>
      </c>
      <c r="I91" s="9" t="s">
        <v>40</v>
      </c>
      <c r="J91" s="1"/>
      <c r="K91" s="1">
        <v>72</v>
      </c>
      <c r="L91" s="1">
        <f t="shared" si="18"/>
        <v>0</v>
      </c>
      <c r="M91" s="1"/>
      <c r="N91" s="1"/>
      <c r="O91" s="1">
        <v>0</v>
      </c>
      <c r="P91" s="1">
        <v>0</v>
      </c>
      <c r="Q91" s="1">
        <f t="shared" si="19"/>
        <v>14.4</v>
      </c>
      <c r="R91" s="5"/>
      <c r="S91" s="1">
        <f t="shared" si="20"/>
        <v>26.319444444444443</v>
      </c>
      <c r="T91" s="1">
        <f t="shared" si="21"/>
        <v>26.319444444444443</v>
      </c>
      <c r="U91" s="1">
        <v>12.6</v>
      </c>
      <c r="V91" s="1">
        <v>19.399999999999999</v>
      </c>
      <c r="W91" s="1">
        <v>18.8</v>
      </c>
      <c r="X91" s="1">
        <v>15.6</v>
      </c>
      <c r="Y91" s="1">
        <v>15</v>
      </c>
      <c r="Z91" s="1">
        <v>7.8</v>
      </c>
      <c r="AA91" s="1">
        <v>9.4</v>
      </c>
      <c r="AB91" s="1">
        <v>58.2</v>
      </c>
      <c r="AC91" s="1">
        <v>58.8</v>
      </c>
      <c r="AD91" s="1">
        <v>34.200000000000003</v>
      </c>
      <c r="AE91" s="17" t="s">
        <v>123</v>
      </c>
      <c r="AF91" s="1">
        <f t="shared" si="23"/>
        <v>0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0" t="s">
        <v>133</v>
      </c>
      <c r="B92" s="10" t="s">
        <v>42</v>
      </c>
      <c r="C92" s="10"/>
      <c r="D92" s="10"/>
      <c r="E92" s="10"/>
      <c r="F92" s="10"/>
      <c r="G92" s="11">
        <v>0</v>
      </c>
      <c r="H92" s="10"/>
      <c r="I92" s="10" t="s">
        <v>40</v>
      </c>
      <c r="J92" s="10"/>
      <c r="K92" s="10"/>
      <c r="L92" s="10">
        <f t="shared" si="18"/>
        <v>0</v>
      </c>
      <c r="M92" s="10"/>
      <c r="N92" s="10"/>
      <c r="O92" s="10">
        <v>0</v>
      </c>
      <c r="P92" s="10">
        <v>0</v>
      </c>
      <c r="Q92" s="10">
        <f t="shared" si="19"/>
        <v>0</v>
      </c>
      <c r="R92" s="12"/>
      <c r="S92" s="10" t="e">
        <f t="shared" si="20"/>
        <v>#DIV/0!</v>
      </c>
      <c r="T92" s="10" t="e">
        <f t="shared" si="21"/>
        <v>#DIV/0!</v>
      </c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 t="s">
        <v>43</v>
      </c>
      <c r="AF92" s="10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134</v>
      </c>
      <c r="B93" s="1" t="s">
        <v>42</v>
      </c>
      <c r="C93" s="1">
        <v>13</v>
      </c>
      <c r="D93" s="1">
        <v>1</v>
      </c>
      <c r="E93" s="1">
        <v>14</v>
      </c>
      <c r="F93" s="1"/>
      <c r="G93" s="7">
        <v>7.0000000000000007E-2</v>
      </c>
      <c r="H93" s="1">
        <v>90</v>
      </c>
      <c r="I93" s="9" t="s">
        <v>40</v>
      </c>
      <c r="J93" s="1"/>
      <c r="K93" s="1">
        <v>33</v>
      </c>
      <c r="L93" s="1">
        <f t="shared" si="18"/>
        <v>-19</v>
      </c>
      <c r="M93" s="1"/>
      <c r="N93" s="1"/>
      <c r="O93" s="1">
        <v>126</v>
      </c>
      <c r="P93" s="1">
        <v>50</v>
      </c>
      <c r="Q93" s="1">
        <f t="shared" si="19"/>
        <v>2.8</v>
      </c>
      <c r="R93" s="5"/>
      <c r="S93" s="1">
        <f t="shared" si="20"/>
        <v>62.857142857142861</v>
      </c>
      <c r="T93" s="1">
        <f t="shared" si="21"/>
        <v>62.857142857142861</v>
      </c>
      <c r="U93" s="1">
        <v>9.1999999999999993</v>
      </c>
      <c r="V93" s="1">
        <v>29.4</v>
      </c>
      <c r="W93" s="1">
        <v>32.799999999999997</v>
      </c>
      <c r="X93" s="1">
        <v>32.200000000000003</v>
      </c>
      <c r="Y93" s="1">
        <v>32.6</v>
      </c>
      <c r="Z93" s="1">
        <v>27.2</v>
      </c>
      <c r="AA93" s="1">
        <v>27.8</v>
      </c>
      <c r="AB93" s="1">
        <v>25.6</v>
      </c>
      <c r="AC93" s="1">
        <v>31.8</v>
      </c>
      <c r="AD93" s="1">
        <v>34.799999999999997</v>
      </c>
      <c r="AE93" s="1"/>
      <c r="AF93" s="1">
        <f>G93*R93</f>
        <v>0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135</v>
      </c>
      <c r="B94" s="1" t="s">
        <v>42</v>
      </c>
      <c r="C94" s="1">
        <v>66</v>
      </c>
      <c r="D94" s="1">
        <v>198</v>
      </c>
      <c r="E94" s="1">
        <v>99</v>
      </c>
      <c r="F94" s="1">
        <v>124</v>
      </c>
      <c r="G94" s="7">
        <v>7.0000000000000007E-2</v>
      </c>
      <c r="H94" s="1">
        <v>90</v>
      </c>
      <c r="I94" s="1" t="s">
        <v>37</v>
      </c>
      <c r="J94" s="1"/>
      <c r="K94" s="1">
        <v>103</v>
      </c>
      <c r="L94" s="1">
        <f t="shared" si="18"/>
        <v>-4</v>
      </c>
      <c r="M94" s="1"/>
      <c r="N94" s="1"/>
      <c r="O94" s="1">
        <v>65.449999999999974</v>
      </c>
      <c r="P94" s="1">
        <v>0</v>
      </c>
      <c r="Q94" s="1">
        <f t="shared" si="19"/>
        <v>19.8</v>
      </c>
      <c r="R94" s="5">
        <f t="shared" ref="R93:R96" si="24">11.5*Q94-P94-O94-F94</f>
        <v>38.250000000000057</v>
      </c>
      <c r="S94" s="1">
        <f t="shared" si="20"/>
        <v>11.500000000000002</v>
      </c>
      <c r="T94" s="1">
        <f t="shared" si="21"/>
        <v>9.5681818181818166</v>
      </c>
      <c r="U94" s="1">
        <v>19.600000000000001</v>
      </c>
      <c r="V94" s="1">
        <v>24.2</v>
      </c>
      <c r="W94" s="1">
        <v>23.2</v>
      </c>
      <c r="X94" s="1">
        <v>21.8</v>
      </c>
      <c r="Y94" s="1">
        <v>23.2</v>
      </c>
      <c r="Z94" s="1">
        <v>22.4</v>
      </c>
      <c r="AA94" s="1">
        <v>26.4</v>
      </c>
      <c r="AB94" s="1">
        <v>33.200000000000003</v>
      </c>
      <c r="AC94" s="1">
        <v>32.6</v>
      </c>
      <c r="AD94" s="1">
        <v>29.4</v>
      </c>
      <c r="AE94" s="1"/>
      <c r="AF94" s="1">
        <f>G94*R94</f>
        <v>2.6775000000000042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136</v>
      </c>
      <c r="B95" s="1" t="s">
        <v>42</v>
      </c>
      <c r="C95" s="1">
        <v>102</v>
      </c>
      <c r="D95" s="1">
        <v>231</v>
      </c>
      <c r="E95" s="1">
        <v>109</v>
      </c>
      <c r="F95" s="1">
        <v>204</v>
      </c>
      <c r="G95" s="7">
        <v>0.3</v>
      </c>
      <c r="H95" s="1">
        <v>40</v>
      </c>
      <c r="I95" s="1" t="s">
        <v>37</v>
      </c>
      <c r="J95" s="1"/>
      <c r="K95" s="1">
        <v>137</v>
      </c>
      <c r="L95" s="1">
        <f t="shared" si="18"/>
        <v>-28</v>
      </c>
      <c r="M95" s="1"/>
      <c r="N95" s="1"/>
      <c r="O95" s="1">
        <v>0</v>
      </c>
      <c r="P95" s="1">
        <v>0</v>
      </c>
      <c r="Q95" s="1">
        <f t="shared" si="19"/>
        <v>21.8</v>
      </c>
      <c r="R95" s="5">
        <f t="shared" si="24"/>
        <v>46.700000000000017</v>
      </c>
      <c r="S95" s="1">
        <f t="shared" si="20"/>
        <v>11.5</v>
      </c>
      <c r="T95" s="1">
        <f t="shared" si="21"/>
        <v>9.3577981651376145</v>
      </c>
      <c r="U95" s="1">
        <v>15.4</v>
      </c>
      <c r="V95" s="1">
        <v>20.2</v>
      </c>
      <c r="W95" s="1">
        <v>25.2</v>
      </c>
      <c r="X95" s="1">
        <v>35.799999999999997</v>
      </c>
      <c r="Y95" s="1">
        <v>35.200000000000003</v>
      </c>
      <c r="Z95" s="1">
        <v>21.2</v>
      </c>
      <c r="AA95" s="1">
        <v>23.2</v>
      </c>
      <c r="AB95" s="1">
        <v>33.799999999999997</v>
      </c>
      <c r="AC95" s="1">
        <v>32</v>
      </c>
      <c r="AD95" s="1">
        <v>3.6</v>
      </c>
      <c r="AE95" s="1"/>
      <c r="AF95" s="1">
        <f>G95*R95</f>
        <v>14.010000000000005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137</v>
      </c>
      <c r="B96" s="1" t="s">
        <v>36</v>
      </c>
      <c r="C96" s="1">
        <v>56.076000000000001</v>
      </c>
      <c r="D96" s="1"/>
      <c r="E96" s="13">
        <f>40.012+E123</f>
        <v>43.021999999999998</v>
      </c>
      <c r="F96" s="13">
        <f>6.051+F123</f>
        <v>113.40900000000001</v>
      </c>
      <c r="G96" s="7">
        <v>1</v>
      </c>
      <c r="H96" s="1">
        <v>55</v>
      </c>
      <c r="I96" s="1" t="s">
        <v>37</v>
      </c>
      <c r="J96" s="1"/>
      <c r="K96" s="1">
        <v>44.3</v>
      </c>
      <c r="L96" s="1">
        <f t="shared" si="18"/>
        <v>-1.2779999999999987</v>
      </c>
      <c r="M96" s="1"/>
      <c r="N96" s="1"/>
      <c r="O96" s="1">
        <v>54.961759999999977</v>
      </c>
      <c r="P96" s="1">
        <v>0</v>
      </c>
      <c r="Q96" s="1">
        <f t="shared" si="19"/>
        <v>8.6044</v>
      </c>
      <c r="R96" s="5"/>
      <c r="S96" s="1">
        <f t="shared" si="20"/>
        <v>19.567983822230484</v>
      </c>
      <c r="T96" s="1">
        <f t="shared" si="21"/>
        <v>19.567983822230484</v>
      </c>
      <c r="U96" s="1">
        <v>10.189</v>
      </c>
      <c r="V96" s="1">
        <v>17.175999999999998</v>
      </c>
      <c r="W96" s="1">
        <v>17.811599999999999</v>
      </c>
      <c r="X96" s="1">
        <v>16.019200000000001</v>
      </c>
      <c r="Y96" s="1">
        <v>15.393000000000001</v>
      </c>
      <c r="Z96" s="1">
        <v>14.175000000000001</v>
      </c>
      <c r="AA96" s="1">
        <v>19.166799999999999</v>
      </c>
      <c r="AB96" s="1">
        <v>18.487400000000001</v>
      </c>
      <c r="AC96" s="1">
        <v>14.2752</v>
      </c>
      <c r="AD96" s="1">
        <v>14.007400000000001</v>
      </c>
      <c r="AE96" s="14" t="s">
        <v>138</v>
      </c>
      <c r="AF96" s="1">
        <f>G96*R96</f>
        <v>0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0" t="s">
        <v>139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18"/>
        <v>0</v>
      </c>
      <c r="M97" s="10"/>
      <c r="N97" s="10"/>
      <c r="O97" s="10">
        <v>0</v>
      </c>
      <c r="P97" s="10">
        <v>0</v>
      </c>
      <c r="Q97" s="10">
        <f t="shared" si="19"/>
        <v>0</v>
      </c>
      <c r="R97" s="12"/>
      <c r="S97" s="10" t="e">
        <f t="shared" si="20"/>
        <v>#DIV/0!</v>
      </c>
      <c r="T97" s="10" t="e">
        <f t="shared" si="21"/>
        <v>#DIV/0!</v>
      </c>
      <c r="U97" s="10">
        <v>0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 t="s">
        <v>43</v>
      </c>
      <c r="AF97" s="10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6" t="s">
        <v>140</v>
      </c>
      <c r="B98" s="1" t="s">
        <v>42</v>
      </c>
      <c r="C98" s="1"/>
      <c r="D98" s="1"/>
      <c r="E98" s="1"/>
      <c r="F98" s="1"/>
      <c r="G98" s="7">
        <v>0.1</v>
      </c>
      <c r="H98" s="1">
        <v>30</v>
      </c>
      <c r="I98" s="1" t="s">
        <v>37</v>
      </c>
      <c r="J98" s="1"/>
      <c r="K98" s="1"/>
      <c r="L98" s="1">
        <f t="shared" si="18"/>
        <v>0</v>
      </c>
      <c r="M98" s="1"/>
      <c r="N98" s="1"/>
      <c r="O98" s="1">
        <v>0</v>
      </c>
      <c r="P98" s="1">
        <v>0</v>
      </c>
      <c r="Q98" s="1">
        <f t="shared" si="19"/>
        <v>0</v>
      </c>
      <c r="R98" s="19">
        <f t="shared" ref="R98:R104" si="25">11.5*Q98-P98-O98-F98</f>
        <v>0</v>
      </c>
      <c r="S98" s="1" t="e">
        <f t="shared" si="20"/>
        <v>#DIV/0!</v>
      </c>
      <c r="T98" s="1" t="e">
        <f t="shared" si="21"/>
        <v>#DIV/0!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-0.2</v>
      </c>
      <c r="AD98" s="1">
        <v>-0.4</v>
      </c>
      <c r="AE98" s="18" t="s">
        <v>141</v>
      </c>
      <c r="AF98" s="1">
        <f t="shared" ref="AF98:AF104" si="26">G98*R98</f>
        <v>0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142</v>
      </c>
      <c r="B99" s="1" t="s">
        <v>42</v>
      </c>
      <c r="C99" s="1">
        <v>220</v>
      </c>
      <c r="D99" s="1">
        <v>221</v>
      </c>
      <c r="E99" s="1">
        <v>265</v>
      </c>
      <c r="F99" s="1">
        <v>99</v>
      </c>
      <c r="G99" s="7">
        <v>0.08</v>
      </c>
      <c r="H99" s="1">
        <v>45</v>
      </c>
      <c r="I99" s="1" t="s">
        <v>37</v>
      </c>
      <c r="J99" s="1"/>
      <c r="K99" s="1">
        <v>282</v>
      </c>
      <c r="L99" s="1">
        <f t="shared" si="18"/>
        <v>-17</v>
      </c>
      <c r="M99" s="1"/>
      <c r="N99" s="1"/>
      <c r="O99" s="1">
        <v>96.213999999999999</v>
      </c>
      <c r="P99" s="1">
        <v>102.6</v>
      </c>
      <c r="Q99" s="1">
        <f t="shared" si="19"/>
        <v>53</v>
      </c>
      <c r="R99" s="5">
        <f t="shared" si="25"/>
        <v>311.68599999999998</v>
      </c>
      <c r="S99" s="1">
        <f t="shared" si="20"/>
        <v>11.5</v>
      </c>
      <c r="T99" s="1">
        <f t="shared" si="21"/>
        <v>5.6191320754716978</v>
      </c>
      <c r="U99" s="1">
        <v>45</v>
      </c>
      <c r="V99" s="1">
        <v>43.8</v>
      </c>
      <c r="W99" s="1">
        <v>45.2</v>
      </c>
      <c r="X99" s="1">
        <v>46.8</v>
      </c>
      <c r="Y99" s="1">
        <v>48.4</v>
      </c>
      <c r="Z99" s="1">
        <v>49.6</v>
      </c>
      <c r="AA99" s="1">
        <v>51.6</v>
      </c>
      <c r="AB99" s="1">
        <v>58.6</v>
      </c>
      <c r="AC99" s="1">
        <v>63</v>
      </c>
      <c r="AD99" s="1">
        <v>48</v>
      </c>
      <c r="AE99" s="1"/>
      <c r="AF99" s="1">
        <f t="shared" si="26"/>
        <v>24.93488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143</v>
      </c>
      <c r="B100" s="1" t="s">
        <v>42</v>
      </c>
      <c r="C100" s="1">
        <v>135</v>
      </c>
      <c r="D100" s="1">
        <v>280</v>
      </c>
      <c r="E100" s="1">
        <v>226</v>
      </c>
      <c r="F100" s="1">
        <v>132</v>
      </c>
      <c r="G100" s="7">
        <v>0.08</v>
      </c>
      <c r="H100" s="1">
        <v>45</v>
      </c>
      <c r="I100" s="1" t="s">
        <v>37</v>
      </c>
      <c r="J100" s="1"/>
      <c r="K100" s="1">
        <v>231</v>
      </c>
      <c r="L100" s="1">
        <f t="shared" si="18"/>
        <v>-5</v>
      </c>
      <c r="M100" s="1"/>
      <c r="N100" s="1"/>
      <c r="O100" s="1">
        <v>107.718</v>
      </c>
      <c r="P100" s="1">
        <v>15.76000000000005</v>
      </c>
      <c r="Q100" s="1">
        <f t="shared" si="19"/>
        <v>45.2</v>
      </c>
      <c r="R100" s="5">
        <f t="shared" si="25"/>
        <v>264.322</v>
      </c>
      <c r="S100" s="1">
        <f t="shared" si="20"/>
        <v>11.5</v>
      </c>
      <c r="T100" s="1">
        <f t="shared" si="21"/>
        <v>5.652168141592921</v>
      </c>
      <c r="U100" s="1">
        <v>38.200000000000003</v>
      </c>
      <c r="V100" s="1">
        <v>41</v>
      </c>
      <c r="W100" s="1">
        <v>38.6</v>
      </c>
      <c r="X100" s="1">
        <v>37.6</v>
      </c>
      <c r="Y100" s="1">
        <v>37.6</v>
      </c>
      <c r="Z100" s="1">
        <v>38.6</v>
      </c>
      <c r="AA100" s="1">
        <v>42.2</v>
      </c>
      <c r="AB100" s="1">
        <v>49</v>
      </c>
      <c r="AC100" s="1">
        <v>51.6</v>
      </c>
      <c r="AD100" s="1">
        <v>45.6</v>
      </c>
      <c r="AE100" s="1"/>
      <c r="AF100" s="1">
        <f t="shared" si="26"/>
        <v>21.145759999999999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144</v>
      </c>
      <c r="B101" s="1" t="s">
        <v>42</v>
      </c>
      <c r="C101" s="1">
        <v>9</v>
      </c>
      <c r="D101" s="1">
        <v>40</v>
      </c>
      <c r="E101" s="1">
        <v>1</v>
      </c>
      <c r="F101" s="1">
        <v>18</v>
      </c>
      <c r="G101" s="7">
        <v>0.17</v>
      </c>
      <c r="H101" s="1">
        <v>30</v>
      </c>
      <c r="I101" s="9" t="s">
        <v>40</v>
      </c>
      <c r="J101" s="1"/>
      <c r="K101" s="1">
        <v>8</v>
      </c>
      <c r="L101" s="1">
        <f t="shared" si="18"/>
        <v>-7</v>
      </c>
      <c r="M101" s="1"/>
      <c r="N101" s="1"/>
      <c r="O101" s="1">
        <v>0</v>
      </c>
      <c r="P101" s="1">
        <v>0</v>
      </c>
      <c r="Q101" s="1">
        <f t="shared" si="19"/>
        <v>0.2</v>
      </c>
      <c r="R101" s="5"/>
      <c r="S101" s="1">
        <f t="shared" si="20"/>
        <v>90</v>
      </c>
      <c r="T101" s="1">
        <f t="shared" si="21"/>
        <v>90</v>
      </c>
      <c r="U101" s="1">
        <v>0.8</v>
      </c>
      <c r="V101" s="1">
        <v>-0.6</v>
      </c>
      <c r="W101" s="1">
        <v>-0.2</v>
      </c>
      <c r="X101" s="1">
        <v>3.6</v>
      </c>
      <c r="Y101" s="1">
        <v>5</v>
      </c>
      <c r="Z101" s="1">
        <v>2.2000000000000002</v>
      </c>
      <c r="AA101" s="1">
        <v>1.2</v>
      </c>
      <c r="AB101" s="1">
        <v>2</v>
      </c>
      <c r="AC101" s="1">
        <v>2</v>
      </c>
      <c r="AD101" s="1">
        <v>1.2</v>
      </c>
      <c r="AE101" s="15" t="s">
        <v>180</v>
      </c>
      <c r="AF101" s="1">
        <f t="shared" si="26"/>
        <v>0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145</v>
      </c>
      <c r="B102" s="1" t="s">
        <v>36</v>
      </c>
      <c r="C102" s="1">
        <v>302.584</v>
      </c>
      <c r="D102" s="1">
        <v>668.04300000000001</v>
      </c>
      <c r="E102" s="1">
        <v>902.721</v>
      </c>
      <c r="F102" s="1">
        <v>57.081000000000003</v>
      </c>
      <c r="G102" s="7">
        <v>1</v>
      </c>
      <c r="H102" s="1">
        <v>40</v>
      </c>
      <c r="I102" s="9" t="s">
        <v>40</v>
      </c>
      <c r="J102" s="1"/>
      <c r="K102" s="1">
        <v>948.45</v>
      </c>
      <c r="L102" s="1">
        <f t="shared" ref="L102:L133" si="27">E102-K102</f>
        <v>-45.729000000000042</v>
      </c>
      <c r="M102" s="1"/>
      <c r="N102" s="1"/>
      <c r="O102" s="1">
        <v>45.806999999999938</v>
      </c>
      <c r="P102" s="1">
        <v>650</v>
      </c>
      <c r="Q102" s="1">
        <f t="shared" ref="Q102:Q129" si="28">E102/5</f>
        <v>180.54419999999999</v>
      </c>
      <c r="R102" s="5">
        <f>10*Q102-P102-O102-F102</f>
        <v>1052.5540000000001</v>
      </c>
      <c r="S102" s="1">
        <f t="shared" ref="S102:S133" si="29">(F102+O102+P102+R102)/Q102</f>
        <v>10</v>
      </c>
      <c r="T102" s="1">
        <f t="shared" ref="T102:T129" si="30">(F102+O102+P102)/Q102</f>
        <v>4.1701034982015486</v>
      </c>
      <c r="U102" s="1">
        <v>136.57839999999999</v>
      </c>
      <c r="V102" s="1">
        <v>26.54</v>
      </c>
      <c r="W102" s="1">
        <v>85.914999999999992</v>
      </c>
      <c r="X102" s="1">
        <v>95.000599999999991</v>
      </c>
      <c r="Y102" s="1">
        <v>36.310600000000001</v>
      </c>
      <c r="Z102" s="1">
        <v>67.372</v>
      </c>
      <c r="AA102" s="1">
        <v>87.045000000000002</v>
      </c>
      <c r="AB102" s="1">
        <v>19.298999999999999</v>
      </c>
      <c r="AC102" s="1">
        <v>3.8765999999999998</v>
      </c>
      <c r="AD102" s="1">
        <v>19.322399999999998</v>
      </c>
      <c r="AE102" s="1" t="s">
        <v>57</v>
      </c>
      <c r="AF102" s="1">
        <f t="shared" si="26"/>
        <v>1052.5540000000001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146</v>
      </c>
      <c r="B103" s="1" t="s">
        <v>36</v>
      </c>
      <c r="C103" s="1">
        <v>162.77799999999999</v>
      </c>
      <c r="D103" s="1">
        <v>1248.9680000000001</v>
      </c>
      <c r="E103" s="1">
        <v>397.483</v>
      </c>
      <c r="F103" s="1">
        <v>953.95100000000002</v>
      </c>
      <c r="G103" s="7">
        <v>1</v>
      </c>
      <c r="H103" s="1">
        <v>40</v>
      </c>
      <c r="I103" s="9" t="s">
        <v>40</v>
      </c>
      <c r="J103" s="1"/>
      <c r="K103" s="1">
        <v>593.9</v>
      </c>
      <c r="L103" s="1">
        <f t="shared" si="27"/>
        <v>-196.41699999999997</v>
      </c>
      <c r="M103" s="1"/>
      <c r="N103" s="1"/>
      <c r="O103" s="1">
        <v>700</v>
      </c>
      <c r="P103" s="1">
        <v>0</v>
      </c>
      <c r="Q103" s="1">
        <f t="shared" si="28"/>
        <v>79.496600000000001</v>
      </c>
      <c r="R103" s="5"/>
      <c r="S103" s="1">
        <f t="shared" si="29"/>
        <v>20.805304880963462</v>
      </c>
      <c r="T103" s="1">
        <f t="shared" si="30"/>
        <v>20.805304880963462</v>
      </c>
      <c r="U103" s="1">
        <v>111.6002</v>
      </c>
      <c r="V103" s="1">
        <v>179.07859999999999</v>
      </c>
      <c r="W103" s="1">
        <v>196.54900000000001</v>
      </c>
      <c r="X103" s="1">
        <v>84.728999999999999</v>
      </c>
      <c r="Y103" s="1">
        <v>37.037599999999998</v>
      </c>
      <c r="Z103" s="1">
        <v>99.776600000000002</v>
      </c>
      <c r="AA103" s="1">
        <v>121.7056</v>
      </c>
      <c r="AB103" s="1">
        <v>49.871600000000001</v>
      </c>
      <c r="AC103" s="1">
        <v>59.215599999999988</v>
      </c>
      <c r="AD103" s="1">
        <v>80.884199999999993</v>
      </c>
      <c r="AE103" s="1" t="s">
        <v>57</v>
      </c>
      <c r="AF103" s="1">
        <f t="shared" si="26"/>
        <v>0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147</v>
      </c>
      <c r="B104" s="1" t="s">
        <v>36</v>
      </c>
      <c r="C104" s="1">
        <v>175.18700000000001</v>
      </c>
      <c r="D104" s="1">
        <v>109.69</v>
      </c>
      <c r="E104" s="1">
        <v>172.49600000000001</v>
      </c>
      <c r="F104" s="1">
        <v>109.658</v>
      </c>
      <c r="G104" s="7">
        <v>1</v>
      </c>
      <c r="H104" s="1">
        <v>40</v>
      </c>
      <c r="I104" s="9" t="s">
        <v>40</v>
      </c>
      <c r="J104" s="1"/>
      <c r="K104" s="1">
        <v>392.7</v>
      </c>
      <c r="L104" s="1">
        <f t="shared" si="27"/>
        <v>-220.20399999999998</v>
      </c>
      <c r="M104" s="1"/>
      <c r="N104" s="1"/>
      <c r="O104" s="1">
        <v>0</v>
      </c>
      <c r="P104" s="1">
        <v>200</v>
      </c>
      <c r="Q104" s="1">
        <f t="shared" si="28"/>
        <v>34.499200000000002</v>
      </c>
      <c r="R104" s="5">
        <f t="shared" si="25"/>
        <v>87.082800000000034</v>
      </c>
      <c r="S104" s="1">
        <f t="shared" si="29"/>
        <v>11.5</v>
      </c>
      <c r="T104" s="1">
        <f t="shared" si="30"/>
        <v>8.975802337445506</v>
      </c>
      <c r="U104" s="1">
        <v>34.926200000000001</v>
      </c>
      <c r="V104" s="1">
        <v>10.3934</v>
      </c>
      <c r="W104" s="1">
        <v>9.5038</v>
      </c>
      <c r="X104" s="1">
        <v>-0.74480000000000002</v>
      </c>
      <c r="Y104" s="1">
        <v>-0.85359999999999991</v>
      </c>
      <c r="Z104" s="1">
        <v>-2.0251999999999999</v>
      </c>
      <c r="AA104" s="1">
        <v>-1.8894</v>
      </c>
      <c r="AB104" s="1">
        <v>-2.2866</v>
      </c>
      <c r="AC104" s="1">
        <v>-2.1309999999999998</v>
      </c>
      <c r="AD104" s="1">
        <v>-0.42120000000000002</v>
      </c>
      <c r="AE104" s="1"/>
      <c r="AF104" s="1">
        <f t="shared" si="26"/>
        <v>87.082800000000034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0" t="s">
        <v>148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7"/>
        <v>0</v>
      </c>
      <c r="M105" s="10"/>
      <c r="N105" s="10"/>
      <c r="O105" s="10">
        <v>0</v>
      </c>
      <c r="P105" s="10">
        <v>0</v>
      </c>
      <c r="Q105" s="10">
        <f t="shared" si="28"/>
        <v>0</v>
      </c>
      <c r="R105" s="12"/>
      <c r="S105" s="10" t="e">
        <f t="shared" si="29"/>
        <v>#DIV/0!</v>
      </c>
      <c r="T105" s="10" t="e">
        <f t="shared" si="30"/>
        <v>#DIV/0!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 t="s">
        <v>149</v>
      </c>
      <c r="AF105" s="10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150</v>
      </c>
      <c r="B106" s="1" t="s">
        <v>36</v>
      </c>
      <c r="C106" s="1">
        <v>26.83</v>
      </c>
      <c r="D106" s="1">
        <v>10.731999999999999</v>
      </c>
      <c r="E106" s="1">
        <v>5.4729999999999999</v>
      </c>
      <c r="F106" s="1">
        <v>29.381</v>
      </c>
      <c r="G106" s="7">
        <v>1</v>
      </c>
      <c r="H106" s="1">
        <v>55</v>
      </c>
      <c r="I106" s="9" t="s">
        <v>40</v>
      </c>
      <c r="J106" s="1"/>
      <c r="K106" s="1">
        <v>5.2</v>
      </c>
      <c r="L106" s="1">
        <f t="shared" si="27"/>
        <v>0.27299999999999969</v>
      </c>
      <c r="M106" s="1"/>
      <c r="N106" s="1"/>
      <c r="O106" s="1">
        <v>27.62</v>
      </c>
      <c r="P106" s="1">
        <v>0</v>
      </c>
      <c r="Q106" s="1">
        <f t="shared" si="28"/>
        <v>1.0946</v>
      </c>
      <c r="R106" s="5"/>
      <c r="S106" s="1">
        <f t="shared" si="29"/>
        <v>52.07473049515805</v>
      </c>
      <c r="T106" s="1">
        <f t="shared" si="30"/>
        <v>52.07473049515805</v>
      </c>
      <c r="U106" s="1">
        <v>0.54359999999999997</v>
      </c>
      <c r="V106" s="1">
        <v>4.95</v>
      </c>
      <c r="W106" s="1">
        <v>4.95</v>
      </c>
      <c r="X106" s="1">
        <v>2.1389999999999998</v>
      </c>
      <c r="Y106" s="1">
        <v>2.1389999999999998</v>
      </c>
      <c r="Z106" s="1">
        <v>3.8119999999999998</v>
      </c>
      <c r="AA106" s="1">
        <v>4.6360000000000001</v>
      </c>
      <c r="AB106" s="1">
        <v>0.82400000000000007</v>
      </c>
      <c r="AC106" s="1">
        <v>0.27460000000000001</v>
      </c>
      <c r="AD106" s="1">
        <v>0.27460000000000001</v>
      </c>
      <c r="AE106" s="15" t="s">
        <v>181</v>
      </c>
      <c r="AF106" s="1">
        <f>G106*R106</f>
        <v>0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151</v>
      </c>
      <c r="B107" s="1" t="s">
        <v>42</v>
      </c>
      <c r="C107" s="1">
        <v>278</v>
      </c>
      <c r="D107" s="1">
        <v>132</v>
      </c>
      <c r="E107" s="1">
        <v>250</v>
      </c>
      <c r="F107" s="1">
        <v>146</v>
      </c>
      <c r="G107" s="7">
        <v>0.28000000000000003</v>
      </c>
      <c r="H107" s="1">
        <v>40</v>
      </c>
      <c r="I107" s="9" t="s">
        <v>40</v>
      </c>
      <c r="J107" s="1"/>
      <c r="K107" s="1">
        <v>603</v>
      </c>
      <c r="L107" s="1">
        <f t="shared" si="27"/>
        <v>-353</v>
      </c>
      <c r="M107" s="1"/>
      <c r="N107" s="1"/>
      <c r="O107" s="1">
        <v>0</v>
      </c>
      <c r="P107" s="1">
        <v>350</v>
      </c>
      <c r="Q107" s="1">
        <f t="shared" si="28"/>
        <v>50</v>
      </c>
      <c r="R107" s="5">
        <f t="shared" ref="R106:R107" si="31">11.5*Q107-P107-O107-F107</f>
        <v>79</v>
      </c>
      <c r="S107" s="1">
        <f t="shared" si="29"/>
        <v>11.5</v>
      </c>
      <c r="T107" s="1">
        <f t="shared" si="30"/>
        <v>9.92</v>
      </c>
      <c r="U107" s="1">
        <v>59.4</v>
      </c>
      <c r="V107" s="1">
        <v>7.2</v>
      </c>
      <c r="W107" s="1">
        <v>-1.8</v>
      </c>
      <c r="X107" s="1">
        <v>60.2</v>
      </c>
      <c r="Y107" s="1">
        <v>110.8</v>
      </c>
      <c r="Z107" s="1">
        <v>85.6</v>
      </c>
      <c r="AA107" s="1">
        <v>33</v>
      </c>
      <c r="AB107" s="1">
        <v>-2.8</v>
      </c>
      <c r="AC107" s="1">
        <v>44</v>
      </c>
      <c r="AD107" s="1">
        <v>78.599999999999994</v>
      </c>
      <c r="AE107" s="1"/>
      <c r="AF107" s="1">
        <f>G107*R107</f>
        <v>22.12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0" t="s">
        <v>152</v>
      </c>
      <c r="B108" s="10" t="s">
        <v>42</v>
      </c>
      <c r="C108" s="10"/>
      <c r="D108" s="10"/>
      <c r="E108" s="10"/>
      <c r="F108" s="10"/>
      <c r="G108" s="11">
        <v>0</v>
      </c>
      <c r="H108" s="10"/>
      <c r="I108" s="10" t="s">
        <v>40</v>
      </c>
      <c r="J108" s="10"/>
      <c r="K108" s="10"/>
      <c r="L108" s="10">
        <f t="shared" si="27"/>
        <v>0</v>
      </c>
      <c r="M108" s="10"/>
      <c r="N108" s="10"/>
      <c r="O108" s="10">
        <v>0</v>
      </c>
      <c r="P108" s="10">
        <v>0</v>
      </c>
      <c r="Q108" s="10">
        <f t="shared" si="28"/>
        <v>0</v>
      </c>
      <c r="R108" s="12"/>
      <c r="S108" s="10" t="e">
        <f t="shared" si="29"/>
        <v>#DIV/0!</v>
      </c>
      <c r="T108" s="10" t="e">
        <f t="shared" si="30"/>
        <v>#DIV/0!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 t="s">
        <v>43</v>
      </c>
      <c r="AF108" s="10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153</v>
      </c>
      <c r="B109" s="1" t="s">
        <v>42</v>
      </c>
      <c r="C109" s="1">
        <v>229</v>
      </c>
      <c r="D109" s="1">
        <v>1</v>
      </c>
      <c r="E109" s="1">
        <v>83</v>
      </c>
      <c r="F109" s="1">
        <v>144</v>
      </c>
      <c r="G109" s="7">
        <v>0.28000000000000003</v>
      </c>
      <c r="H109" s="1">
        <v>40</v>
      </c>
      <c r="I109" s="9" t="s">
        <v>40</v>
      </c>
      <c r="J109" s="1"/>
      <c r="K109" s="1">
        <v>616</v>
      </c>
      <c r="L109" s="1">
        <f t="shared" si="27"/>
        <v>-533</v>
      </c>
      <c r="M109" s="1"/>
      <c r="N109" s="1"/>
      <c r="O109" s="1">
        <v>0</v>
      </c>
      <c r="P109" s="1">
        <v>200</v>
      </c>
      <c r="Q109" s="1">
        <f t="shared" si="28"/>
        <v>16.600000000000001</v>
      </c>
      <c r="R109" s="5"/>
      <c r="S109" s="1">
        <f t="shared" si="29"/>
        <v>20.722891566265059</v>
      </c>
      <c r="T109" s="1">
        <f t="shared" si="30"/>
        <v>20.722891566265059</v>
      </c>
      <c r="U109" s="1">
        <v>23.2</v>
      </c>
      <c r="V109" s="1">
        <v>5.2</v>
      </c>
      <c r="W109" s="1">
        <v>-1.4</v>
      </c>
      <c r="X109" s="1">
        <v>38.6</v>
      </c>
      <c r="Y109" s="1">
        <v>63</v>
      </c>
      <c r="Z109" s="1">
        <v>37.6</v>
      </c>
      <c r="AA109" s="1">
        <v>11.4</v>
      </c>
      <c r="AB109" s="1">
        <v>18.600000000000001</v>
      </c>
      <c r="AC109" s="1">
        <v>57.8</v>
      </c>
      <c r="AD109" s="1">
        <v>35.799999999999997</v>
      </c>
      <c r="AE109" s="17" t="s">
        <v>123</v>
      </c>
      <c r="AF109" s="1">
        <f>G109*R109</f>
        <v>0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154</v>
      </c>
      <c r="B110" s="1" t="s">
        <v>42</v>
      </c>
      <c r="C110" s="1">
        <v>55</v>
      </c>
      <c r="D110" s="1">
        <v>180</v>
      </c>
      <c r="E110" s="1">
        <v>109</v>
      </c>
      <c r="F110" s="1">
        <v>99</v>
      </c>
      <c r="G110" s="7">
        <v>0.09</v>
      </c>
      <c r="H110" s="1"/>
      <c r="I110" s="1" t="s">
        <v>37</v>
      </c>
      <c r="J110" s="1"/>
      <c r="K110" s="1">
        <v>116</v>
      </c>
      <c r="L110" s="1">
        <f t="shared" si="27"/>
        <v>-7</v>
      </c>
      <c r="M110" s="1"/>
      <c r="N110" s="1"/>
      <c r="O110" s="1">
        <v>22.148000000000049</v>
      </c>
      <c r="P110" s="1">
        <v>35.599999999999952</v>
      </c>
      <c r="Q110" s="1">
        <f t="shared" si="28"/>
        <v>21.8</v>
      </c>
      <c r="R110" s="5">
        <f t="shared" ref="R109:R113" si="32">11.5*Q110-P110-O110-F110</f>
        <v>93.952000000000027</v>
      </c>
      <c r="S110" s="1">
        <f t="shared" si="29"/>
        <v>11.5</v>
      </c>
      <c r="T110" s="1">
        <f t="shared" si="30"/>
        <v>7.1902752293577974</v>
      </c>
      <c r="U110" s="1">
        <v>21</v>
      </c>
      <c r="V110" s="1">
        <v>21</v>
      </c>
      <c r="W110" s="1">
        <v>21.6</v>
      </c>
      <c r="X110" s="1">
        <v>22.4</v>
      </c>
      <c r="Y110" s="1">
        <v>19.8</v>
      </c>
      <c r="Z110" s="1">
        <v>19.600000000000001</v>
      </c>
      <c r="AA110" s="1">
        <v>24</v>
      </c>
      <c r="AB110" s="1">
        <v>23.2</v>
      </c>
      <c r="AC110" s="1">
        <v>17.8</v>
      </c>
      <c r="AD110" s="1">
        <v>6</v>
      </c>
      <c r="AE110" s="1"/>
      <c r="AF110" s="1">
        <f>G110*R110</f>
        <v>8.4556800000000027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155</v>
      </c>
      <c r="B111" s="1" t="s">
        <v>36</v>
      </c>
      <c r="C111" s="1">
        <v>133.55199999999999</v>
      </c>
      <c r="D111" s="1">
        <v>254.76300000000001</v>
      </c>
      <c r="E111" s="1">
        <v>63.014000000000003</v>
      </c>
      <c r="F111" s="1">
        <v>309.87700000000001</v>
      </c>
      <c r="G111" s="7">
        <v>1</v>
      </c>
      <c r="H111" s="1">
        <v>60</v>
      </c>
      <c r="I111" s="1" t="s">
        <v>37</v>
      </c>
      <c r="J111" s="1"/>
      <c r="K111" s="1">
        <v>62</v>
      </c>
      <c r="L111" s="1">
        <f t="shared" si="27"/>
        <v>1.0140000000000029</v>
      </c>
      <c r="M111" s="1"/>
      <c r="N111" s="1"/>
      <c r="O111" s="1">
        <v>102.4038</v>
      </c>
      <c r="P111" s="1">
        <v>0</v>
      </c>
      <c r="Q111" s="1">
        <f t="shared" si="28"/>
        <v>12.6028</v>
      </c>
      <c r="R111" s="5"/>
      <c r="S111" s="1">
        <f t="shared" si="29"/>
        <v>32.713428761862446</v>
      </c>
      <c r="T111" s="1">
        <f t="shared" si="30"/>
        <v>32.713428761862446</v>
      </c>
      <c r="U111" s="1">
        <v>11.6654</v>
      </c>
      <c r="V111" s="1">
        <v>14.174200000000001</v>
      </c>
      <c r="W111" s="1">
        <v>45.174799999999998</v>
      </c>
      <c r="X111" s="1">
        <v>44.218200000000003</v>
      </c>
      <c r="Y111" s="1">
        <v>10.622999999999999</v>
      </c>
      <c r="Z111" s="1">
        <v>11.144600000000001</v>
      </c>
      <c r="AA111" s="1">
        <v>19.508400000000002</v>
      </c>
      <c r="AB111" s="1">
        <v>24.999600000000001</v>
      </c>
      <c r="AC111" s="1">
        <v>21.991399999999999</v>
      </c>
      <c r="AD111" s="1">
        <v>8.8583999999999996</v>
      </c>
      <c r="AE111" s="17" t="s">
        <v>123</v>
      </c>
      <c r="AF111" s="1">
        <f>G111*R111</f>
        <v>0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156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7</v>
      </c>
      <c r="L112" s="1">
        <f t="shared" si="27"/>
        <v>-7</v>
      </c>
      <c r="M112" s="1"/>
      <c r="N112" s="1"/>
      <c r="O112" s="1">
        <v>0</v>
      </c>
      <c r="P112" s="1">
        <v>0</v>
      </c>
      <c r="Q112" s="1">
        <f t="shared" si="28"/>
        <v>0</v>
      </c>
      <c r="R112" s="5"/>
      <c r="S112" s="1" t="e">
        <f t="shared" si="29"/>
        <v>#DIV/0!</v>
      </c>
      <c r="T112" s="1" t="e">
        <f t="shared" si="30"/>
        <v>#DIV/0!</v>
      </c>
      <c r="U112" s="1">
        <v>0</v>
      </c>
      <c r="V112" s="1">
        <v>0</v>
      </c>
      <c r="W112" s="1">
        <v>0</v>
      </c>
      <c r="X112" s="1">
        <v>0</v>
      </c>
      <c r="Y112" s="1">
        <v>-0.3352</v>
      </c>
      <c r="Z112" s="1">
        <v>-0.3352</v>
      </c>
      <c r="AA112" s="1">
        <v>0</v>
      </c>
      <c r="AB112" s="1">
        <v>0</v>
      </c>
      <c r="AC112" s="1">
        <v>0</v>
      </c>
      <c r="AD112" s="1">
        <v>0</v>
      </c>
      <c r="AE112" s="17" t="s">
        <v>123</v>
      </c>
      <c r="AF112" s="1">
        <f>G112*R112</f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157</v>
      </c>
      <c r="B113" s="1" t="s">
        <v>42</v>
      </c>
      <c r="C113" s="1">
        <v>77</v>
      </c>
      <c r="D113" s="1">
        <v>21</v>
      </c>
      <c r="E113" s="1">
        <v>75</v>
      </c>
      <c r="F113" s="1">
        <v>11</v>
      </c>
      <c r="G113" s="7">
        <v>0.09</v>
      </c>
      <c r="H113" s="1"/>
      <c r="I113" s="9" t="s">
        <v>40</v>
      </c>
      <c r="J113" s="1"/>
      <c r="K113" s="1">
        <v>97</v>
      </c>
      <c r="L113" s="1">
        <f t="shared" si="27"/>
        <v>-22</v>
      </c>
      <c r="M113" s="1"/>
      <c r="N113" s="1"/>
      <c r="O113" s="1">
        <v>58.599999999999987</v>
      </c>
      <c r="P113" s="1">
        <v>23.77999999999999</v>
      </c>
      <c r="Q113" s="1">
        <f t="shared" si="28"/>
        <v>15</v>
      </c>
      <c r="R113" s="5">
        <f t="shared" si="32"/>
        <v>79.12</v>
      </c>
      <c r="S113" s="1">
        <f t="shared" si="29"/>
        <v>11.5</v>
      </c>
      <c r="T113" s="1">
        <f t="shared" si="30"/>
        <v>6.2253333333333325</v>
      </c>
      <c r="U113" s="1">
        <v>11.6</v>
      </c>
      <c r="V113" s="1">
        <v>11.8</v>
      </c>
      <c r="W113" s="1">
        <v>12.6</v>
      </c>
      <c r="X113" s="1">
        <v>8.1999999999999993</v>
      </c>
      <c r="Y113" s="1">
        <v>6.6</v>
      </c>
      <c r="Z113" s="1">
        <v>14.8</v>
      </c>
      <c r="AA113" s="1">
        <v>20.2</v>
      </c>
      <c r="AB113" s="1">
        <v>8.1999999999999993</v>
      </c>
      <c r="AC113" s="1">
        <v>2</v>
      </c>
      <c r="AD113" s="1">
        <v>1.4</v>
      </c>
      <c r="AE113" s="1"/>
      <c r="AF113" s="1">
        <f>G113*R113</f>
        <v>7.1208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0" t="s">
        <v>158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/>
      <c r="L114" s="10">
        <f t="shared" si="27"/>
        <v>0</v>
      </c>
      <c r="M114" s="10"/>
      <c r="N114" s="10"/>
      <c r="O114" s="10">
        <v>0</v>
      </c>
      <c r="P114" s="10">
        <v>0</v>
      </c>
      <c r="Q114" s="10">
        <f t="shared" si="28"/>
        <v>0</v>
      </c>
      <c r="R114" s="12"/>
      <c r="S114" s="10" t="e">
        <f t="shared" si="29"/>
        <v>#DIV/0!</v>
      </c>
      <c r="T114" s="10" t="e">
        <f t="shared" si="30"/>
        <v>#DIV/0!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 t="s">
        <v>43</v>
      </c>
      <c r="AF114" s="10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159</v>
      </c>
      <c r="B115" s="1" t="s">
        <v>36</v>
      </c>
      <c r="C115" s="1">
        <v>555.53</v>
      </c>
      <c r="D115" s="1">
        <v>206.69300000000001</v>
      </c>
      <c r="E115" s="1">
        <v>483.07799999999997</v>
      </c>
      <c r="F115" s="1">
        <v>184.78800000000001</v>
      </c>
      <c r="G115" s="7">
        <v>1</v>
      </c>
      <c r="H115" s="1">
        <v>60</v>
      </c>
      <c r="I115" s="9" t="s">
        <v>40</v>
      </c>
      <c r="J115" s="1"/>
      <c r="K115" s="1">
        <v>466.45</v>
      </c>
      <c r="L115" s="1">
        <f t="shared" si="27"/>
        <v>16.627999999999986</v>
      </c>
      <c r="M115" s="1"/>
      <c r="N115" s="1"/>
      <c r="O115" s="1">
        <v>155.28096199999979</v>
      </c>
      <c r="P115" s="1">
        <v>300.78991800000023</v>
      </c>
      <c r="Q115" s="1">
        <f t="shared" si="28"/>
        <v>96.615600000000001</v>
      </c>
      <c r="R115" s="5">
        <f t="shared" ref="R115:R121" si="33">11.5*Q115-P115-O115-F115</f>
        <v>470.22052000000008</v>
      </c>
      <c r="S115" s="1">
        <f t="shared" si="29"/>
        <v>11.5</v>
      </c>
      <c r="T115" s="1">
        <f t="shared" si="30"/>
        <v>6.6330787160665565</v>
      </c>
      <c r="U115" s="1">
        <v>82.1096</v>
      </c>
      <c r="V115" s="1">
        <v>69.9298</v>
      </c>
      <c r="W115" s="1">
        <v>86.117800000000003</v>
      </c>
      <c r="X115" s="1">
        <v>86.794000000000011</v>
      </c>
      <c r="Y115" s="1">
        <v>73.754199999999997</v>
      </c>
      <c r="Z115" s="1">
        <v>90.467399999999998</v>
      </c>
      <c r="AA115" s="1">
        <v>99.922799999999995</v>
      </c>
      <c r="AB115" s="1">
        <v>94.257800000000003</v>
      </c>
      <c r="AC115" s="1">
        <v>86.013800000000003</v>
      </c>
      <c r="AD115" s="1">
        <v>49.147399999999998</v>
      </c>
      <c r="AE115" s="1"/>
      <c r="AF115" s="1">
        <f t="shared" ref="AF115:AF121" si="34">G115*R115</f>
        <v>470.22052000000008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160</v>
      </c>
      <c r="B116" s="1" t="s">
        <v>36</v>
      </c>
      <c r="C116" s="1">
        <v>741.31100000000004</v>
      </c>
      <c r="D116" s="1">
        <v>396.58100000000002</v>
      </c>
      <c r="E116" s="1">
        <v>628.76499999999999</v>
      </c>
      <c r="F116" s="1">
        <v>385.42700000000002</v>
      </c>
      <c r="G116" s="7">
        <v>1</v>
      </c>
      <c r="H116" s="1">
        <v>60</v>
      </c>
      <c r="I116" s="1" t="s">
        <v>37</v>
      </c>
      <c r="J116" s="1"/>
      <c r="K116" s="1">
        <v>603.65</v>
      </c>
      <c r="L116" s="1">
        <f t="shared" si="27"/>
        <v>25.115000000000009</v>
      </c>
      <c r="M116" s="1"/>
      <c r="N116" s="1"/>
      <c r="O116" s="1">
        <v>13.45441600000049</v>
      </c>
      <c r="P116" s="1">
        <v>401.91538399999968</v>
      </c>
      <c r="Q116" s="1">
        <f t="shared" si="28"/>
        <v>125.753</v>
      </c>
      <c r="R116" s="5">
        <f t="shared" si="33"/>
        <v>645.36269999999979</v>
      </c>
      <c r="S116" s="1">
        <f t="shared" si="29"/>
        <v>11.5</v>
      </c>
      <c r="T116" s="1">
        <f t="shared" si="30"/>
        <v>6.3680134867557845</v>
      </c>
      <c r="U116" s="1">
        <v>106.21599999999999</v>
      </c>
      <c r="V116" s="1">
        <v>88.082799999999992</v>
      </c>
      <c r="W116" s="1">
        <v>110.0094</v>
      </c>
      <c r="X116" s="1">
        <v>126.1358</v>
      </c>
      <c r="Y116" s="1">
        <v>118.1798</v>
      </c>
      <c r="Z116" s="1">
        <v>128.58260000000001</v>
      </c>
      <c r="AA116" s="1">
        <v>126.9572</v>
      </c>
      <c r="AB116" s="1">
        <v>118.0086</v>
      </c>
      <c r="AC116" s="1">
        <v>112.2222</v>
      </c>
      <c r="AD116" s="1">
        <v>68.132000000000005</v>
      </c>
      <c r="AE116" s="1"/>
      <c r="AF116" s="1">
        <f t="shared" si="34"/>
        <v>645.36269999999979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161</v>
      </c>
      <c r="B117" s="1" t="s">
        <v>36</v>
      </c>
      <c r="C117" s="1">
        <v>371.173</v>
      </c>
      <c r="D117" s="1">
        <v>1.367</v>
      </c>
      <c r="E117" s="1">
        <v>232.89500000000001</v>
      </c>
      <c r="F117" s="1">
        <v>110.36499999999999</v>
      </c>
      <c r="G117" s="7">
        <v>1</v>
      </c>
      <c r="H117" s="1">
        <v>60</v>
      </c>
      <c r="I117" s="9" t="s">
        <v>40</v>
      </c>
      <c r="J117" s="1"/>
      <c r="K117" s="1">
        <v>225.15</v>
      </c>
      <c r="L117" s="1">
        <f t="shared" si="27"/>
        <v>7.7450000000000045</v>
      </c>
      <c r="M117" s="1"/>
      <c r="N117" s="1"/>
      <c r="O117" s="1">
        <v>0</v>
      </c>
      <c r="P117" s="1">
        <v>233.30168</v>
      </c>
      <c r="Q117" s="1">
        <f t="shared" si="28"/>
        <v>46.579000000000001</v>
      </c>
      <c r="R117" s="5">
        <f t="shared" si="33"/>
        <v>191.99181999999996</v>
      </c>
      <c r="S117" s="1">
        <f t="shared" si="29"/>
        <v>11.5</v>
      </c>
      <c r="T117" s="1">
        <f t="shared" si="30"/>
        <v>7.3781463749758469</v>
      </c>
      <c r="U117" s="1">
        <v>41.085599999999999</v>
      </c>
      <c r="V117" s="1">
        <v>25.831600000000002</v>
      </c>
      <c r="W117" s="1">
        <v>33.179000000000002</v>
      </c>
      <c r="X117" s="1">
        <v>34.262799999999999</v>
      </c>
      <c r="Y117" s="1">
        <v>34.434399999999997</v>
      </c>
      <c r="Z117" s="1">
        <v>48.102999999999987</v>
      </c>
      <c r="AA117" s="1">
        <v>48.851599999999998</v>
      </c>
      <c r="AB117" s="1">
        <v>46.164200000000001</v>
      </c>
      <c r="AC117" s="1">
        <v>43.4572</v>
      </c>
      <c r="AD117" s="1">
        <v>25.361000000000001</v>
      </c>
      <c r="AE117" s="1"/>
      <c r="AF117" s="1">
        <f t="shared" si="34"/>
        <v>191.99181999999996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162</v>
      </c>
      <c r="B118" s="1" t="s">
        <v>36</v>
      </c>
      <c r="C118" s="1">
        <v>1434.3679999999999</v>
      </c>
      <c r="D118" s="1">
        <v>2305.5650000000001</v>
      </c>
      <c r="E118" s="1">
        <v>2020.654</v>
      </c>
      <c r="F118" s="1">
        <v>1233.364</v>
      </c>
      <c r="G118" s="7">
        <v>1</v>
      </c>
      <c r="H118" s="1">
        <v>60</v>
      </c>
      <c r="I118" s="1" t="s">
        <v>37</v>
      </c>
      <c r="J118" s="1"/>
      <c r="K118" s="1">
        <v>2042.9</v>
      </c>
      <c r="L118" s="1">
        <f t="shared" si="27"/>
        <v>-22.246000000000095</v>
      </c>
      <c r="M118" s="1"/>
      <c r="N118" s="1"/>
      <c r="O118" s="1">
        <v>187.11131594844011</v>
      </c>
      <c r="P118" s="1">
        <v>1030</v>
      </c>
      <c r="Q118" s="1">
        <f t="shared" si="28"/>
        <v>404.13080000000002</v>
      </c>
      <c r="R118" s="5">
        <f t="shared" si="33"/>
        <v>2197.02888405156</v>
      </c>
      <c r="S118" s="1">
        <f t="shared" si="29"/>
        <v>11.499999999999998</v>
      </c>
      <c r="T118" s="1">
        <f t="shared" si="30"/>
        <v>6.0635698045000277</v>
      </c>
      <c r="U118" s="1">
        <v>357.29899999999998</v>
      </c>
      <c r="V118" s="1">
        <v>310.04700000000003</v>
      </c>
      <c r="W118" s="1">
        <v>340.2808</v>
      </c>
      <c r="X118" s="1">
        <v>387.70940000000002</v>
      </c>
      <c r="Y118" s="1">
        <v>346.7552</v>
      </c>
      <c r="Z118" s="1">
        <v>311.18439999999998</v>
      </c>
      <c r="AA118" s="1">
        <v>354.33460000000002</v>
      </c>
      <c r="AB118" s="1">
        <v>335.30160000000001</v>
      </c>
      <c r="AC118" s="1">
        <v>299.90980000000002</v>
      </c>
      <c r="AD118" s="1">
        <v>264.20240000000001</v>
      </c>
      <c r="AE118" s="1"/>
      <c r="AF118" s="1">
        <f t="shared" si="34"/>
        <v>2197.02888405156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163</v>
      </c>
      <c r="B119" s="1" t="s">
        <v>42</v>
      </c>
      <c r="C119" s="1">
        <v>232</v>
      </c>
      <c r="D119" s="1"/>
      <c r="E119" s="1">
        <v>32</v>
      </c>
      <c r="F119" s="1">
        <v>200</v>
      </c>
      <c r="G119" s="7">
        <v>0.25</v>
      </c>
      <c r="H119" s="1">
        <v>1096</v>
      </c>
      <c r="I119" s="18" t="s">
        <v>97</v>
      </c>
      <c r="J119" s="1"/>
      <c r="K119" s="1">
        <v>32</v>
      </c>
      <c r="L119" s="1">
        <f t="shared" si="27"/>
        <v>0</v>
      </c>
      <c r="M119" s="1"/>
      <c r="N119" s="1"/>
      <c r="O119" s="1">
        <v>0</v>
      </c>
      <c r="P119" s="1">
        <v>150</v>
      </c>
      <c r="Q119" s="1">
        <f t="shared" si="28"/>
        <v>6.4</v>
      </c>
      <c r="R119" s="5"/>
      <c r="S119" s="1">
        <f t="shared" si="29"/>
        <v>54.6875</v>
      </c>
      <c r="T119" s="1">
        <f t="shared" si="30"/>
        <v>54.6875</v>
      </c>
      <c r="U119" s="1">
        <v>5.6</v>
      </c>
      <c r="V119" s="1">
        <v>3</v>
      </c>
      <c r="W119" s="1">
        <v>3.4</v>
      </c>
      <c r="X119" s="1">
        <v>7.4</v>
      </c>
      <c r="Y119" s="1">
        <v>11.8</v>
      </c>
      <c r="Z119" s="1">
        <v>14.8</v>
      </c>
      <c r="AA119" s="1">
        <v>15.2</v>
      </c>
      <c r="AB119" s="1">
        <v>11.8</v>
      </c>
      <c r="AC119" s="1">
        <v>7.4</v>
      </c>
      <c r="AD119" s="1">
        <v>3.2</v>
      </c>
      <c r="AE119" s="15" t="s">
        <v>182</v>
      </c>
      <c r="AF119" s="1">
        <f t="shared" si="34"/>
        <v>0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 t="s">
        <v>164</v>
      </c>
      <c r="B120" s="1" t="s">
        <v>42</v>
      </c>
      <c r="C120" s="1">
        <v>326</v>
      </c>
      <c r="D120" s="1"/>
      <c r="E120" s="1">
        <v>12</v>
      </c>
      <c r="F120" s="1">
        <v>312</v>
      </c>
      <c r="G120" s="7">
        <v>0.32500000000000001</v>
      </c>
      <c r="H120" s="1">
        <v>1096</v>
      </c>
      <c r="I120" s="1" t="s">
        <v>37</v>
      </c>
      <c r="J120" s="1"/>
      <c r="K120" s="1">
        <v>12</v>
      </c>
      <c r="L120" s="1">
        <f t="shared" si="27"/>
        <v>0</v>
      </c>
      <c r="M120" s="1"/>
      <c r="N120" s="1"/>
      <c r="O120" s="1">
        <v>0</v>
      </c>
      <c r="P120" s="1">
        <v>0</v>
      </c>
      <c r="Q120" s="1">
        <f t="shared" si="28"/>
        <v>2.4</v>
      </c>
      <c r="R120" s="5"/>
      <c r="S120" s="1">
        <f t="shared" si="29"/>
        <v>130</v>
      </c>
      <c r="T120" s="1">
        <f t="shared" si="30"/>
        <v>130</v>
      </c>
      <c r="U120" s="1">
        <v>1</v>
      </c>
      <c r="V120" s="1">
        <v>1.8</v>
      </c>
      <c r="W120" s="1">
        <v>3.2</v>
      </c>
      <c r="X120" s="1">
        <v>3.4</v>
      </c>
      <c r="Y120" s="1">
        <v>5.6</v>
      </c>
      <c r="Z120" s="1">
        <v>9.4</v>
      </c>
      <c r="AA120" s="1">
        <v>8.1999999999999993</v>
      </c>
      <c r="AB120" s="1">
        <v>8.1999999999999993</v>
      </c>
      <c r="AC120" s="1">
        <v>6.8</v>
      </c>
      <c r="AD120" s="1">
        <v>4.4000000000000004</v>
      </c>
      <c r="AE120" s="17" t="s">
        <v>123</v>
      </c>
      <c r="AF120" s="1">
        <f t="shared" si="34"/>
        <v>0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165</v>
      </c>
      <c r="B121" s="1" t="s">
        <v>42</v>
      </c>
      <c r="C121" s="1">
        <v>97</v>
      </c>
      <c r="D121" s="1">
        <v>36</v>
      </c>
      <c r="E121" s="1">
        <v>24</v>
      </c>
      <c r="F121" s="1">
        <v>107</v>
      </c>
      <c r="G121" s="7">
        <v>0.25</v>
      </c>
      <c r="H121" s="1">
        <v>1096</v>
      </c>
      <c r="I121" s="9" t="s">
        <v>86</v>
      </c>
      <c r="J121" s="1"/>
      <c r="K121" s="1">
        <v>24</v>
      </c>
      <c r="L121" s="1">
        <f t="shared" si="27"/>
        <v>0</v>
      </c>
      <c r="M121" s="1"/>
      <c r="N121" s="1"/>
      <c r="O121" s="1">
        <v>0</v>
      </c>
      <c r="P121" s="1">
        <v>200</v>
      </c>
      <c r="Q121" s="1">
        <f t="shared" si="28"/>
        <v>4.8</v>
      </c>
      <c r="R121" s="5"/>
      <c r="S121" s="1">
        <f t="shared" si="29"/>
        <v>63.958333333333336</v>
      </c>
      <c r="T121" s="1">
        <f t="shared" si="30"/>
        <v>63.958333333333336</v>
      </c>
      <c r="U121" s="1">
        <v>4</v>
      </c>
      <c r="V121" s="1">
        <v>4</v>
      </c>
      <c r="W121" s="1">
        <v>4.4000000000000004</v>
      </c>
      <c r="X121" s="1">
        <v>8.1999999999999993</v>
      </c>
      <c r="Y121" s="1">
        <v>14</v>
      </c>
      <c r="Z121" s="1">
        <v>11.4</v>
      </c>
      <c r="AA121" s="1">
        <v>11.2</v>
      </c>
      <c r="AB121" s="1">
        <v>12.4</v>
      </c>
      <c r="AC121" s="1">
        <v>6.6</v>
      </c>
      <c r="AD121" s="1">
        <v>3.6</v>
      </c>
      <c r="AE121" s="1" t="s">
        <v>166</v>
      </c>
      <c r="AF121" s="1">
        <f t="shared" si="34"/>
        <v>0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0" t="s">
        <v>167</v>
      </c>
      <c r="B122" s="10" t="s">
        <v>36</v>
      </c>
      <c r="C122" s="10">
        <v>92</v>
      </c>
      <c r="D122" s="10"/>
      <c r="E122" s="10">
        <v>35.286000000000001</v>
      </c>
      <c r="F122" s="10">
        <v>41.767000000000003</v>
      </c>
      <c r="G122" s="11">
        <v>0</v>
      </c>
      <c r="H122" s="10"/>
      <c r="I122" s="10" t="s">
        <v>168</v>
      </c>
      <c r="J122" s="10"/>
      <c r="K122" s="10">
        <v>34.700000000000003</v>
      </c>
      <c r="L122" s="10">
        <f t="shared" si="27"/>
        <v>0.58599999999999852</v>
      </c>
      <c r="M122" s="10"/>
      <c r="N122" s="10"/>
      <c r="O122" s="10">
        <v>0</v>
      </c>
      <c r="P122" s="10">
        <v>0</v>
      </c>
      <c r="Q122" s="10">
        <f t="shared" si="28"/>
        <v>7.0571999999999999</v>
      </c>
      <c r="R122" s="12"/>
      <c r="S122" s="10">
        <f t="shared" si="29"/>
        <v>5.918352887830868</v>
      </c>
      <c r="T122" s="10">
        <f t="shared" si="30"/>
        <v>5.918352887830868</v>
      </c>
      <c r="U122" s="10">
        <v>0.27200000000000002</v>
      </c>
      <c r="V122" s="10">
        <v>0.26840000000000003</v>
      </c>
      <c r="W122" s="10">
        <v>0.26840000000000003</v>
      </c>
      <c r="X122" s="10">
        <v>0</v>
      </c>
      <c r="Y122" s="10">
        <v>0.26960000000000001</v>
      </c>
      <c r="Z122" s="10">
        <v>0.54359999999999997</v>
      </c>
      <c r="AA122" s="10">
        <v>0.27400000000000002</v>
      </c>
      <c r="AB122" s="10">
        <v>0</v>
      </c>
      <c r="AC122" s="10">
        <v>0</v>
      </c>
      <c r="AD122" s="10">
        <v>0</v>
      </c>
      <c r="AE122" s="10" t="s">
        <v>169</v>
      </c>
      <c r="AF122" s="10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0" t="s">
        <v>170</v>
      </c>
      <c r="B123" s="10" t="s">
        <v>36</v>
      </c>
      <c r="C123" s="10"/>
      <c r="D123" s="10">
        <v>114.348</v>
      </c>
      <c r="E123" s="13">
        <v>3.01</v>
      </c>
      <c r="F123" s="13">
        <v>107.358</v>
      </c>
      <c r="G123" s="11">
        <v>0</v>
      </c>
      <c r="H123" s="10"/>
      <c r="I123" s="10" t="s">
        <v>171</v>
      </c>
      <c r="J123" s="10" t="s">
        <v>137</v>
      </c>
      <c r="K123" s="10">
        <v>3.6</v>
      </c>
      <c r="L123" s="10">
        <f t="shared" si="27"/>
        <v>-0.5900000000000003</v>
      </c>
      <c r="M123" s="10"/>
      <c r="N123" s="10"/>
      <c r="O123" s="10"/>
      <c r="P123" s="10">
        <v>0</v>
      </c>
      <c r="Q123" s="10">
        <f t="shared" si="28"/>
        <v>0.60199999999999998</v>
      </c>
      <c r="R123" s="12"/>
      <c r="S123" s="10">
        <f t="shared" si="29"/>
        <v>178.33554817275748</v>
      </c>
      <c r="T123" s="10">
        <f t="shared" si="30"/>
        <v>178.33554817275748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/>
      <c r="AF123" s="10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172</v>
      </c>
      <c r="B124" s="1" t="s">
        <v>42</v>
      </c>
      <c r="C124" s="1"/>
      <c r="D124" s="1">
        <v>24</v>
      </c>
      <c r="E124" s="1">
        <v>-2</v>
      </c>
      <c r="F124" s="1">
        <v>24</v>
      </c>
      <c r="G124" s="7">
        <v>0.3</v>
      </c>
      <c r="H124" s="1">
        <v>40</v>
      </c>
      <c r="I124" s="9" t="s">
        <v>40</v>
      </c>
      <c r="J124" s="1"/>
      <c r="K124" s="1"/>
      <c r="L124" s="1">
        <f t="shared" si="27"/>
        <v>-2</v>
      </c>
      <c r="M124" s="1"/>
      <c r="N124" s="1"/>
      <c r="O124" s="1">
        <v>0</v>
      </c>
      <c r="P124" s="1">
        <v>10</v>
      </c>
      <c r="Q124" s="1">
        <f t="shared" si="28"/>
        <v>-0.4</v>
      </c>
      <c r="R124" s="5"/>
      <c r="S124" s="1">
        <f t="shared" si="29"/>
        <v>-85</v>
      </c>
      <c r="T124" s="1">
        <f t="shared" si="30"/>
        <v>-85</v>
      </c>
      <c r="U124" s="1">
        <v>-0.2</v>
      </c>
      <c r="V124" s="1">
        <v>-0.8</v>
      </c>
      <c r="W124" s="1">
        <v>-2.6</v>
      </c>
      <c r="X124" s="1">
        <v>18</v>
      </c>
      <c r="Y124" s="1">
        <v>19</v>
      </c>
      <c r="Z124" s="1">
        <v>-2</v>
      </c>
      <c r="AA124" s="1">
        <v>6.2</v>
      </c>
      <c r="AB124" s="1">
        <v>26</v>
      </c>
      <c r="AC124" s="1">
        <v>17</v>
      </c>
      <c r="AD124" s="1">
        <v>-2.4</v>
      </c>
      <c r="AE124" s="1"/>
      <c r="AF124" s="1">
        <f>G124*R124</f>
        <v>0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173</v>
      </c>
      <c r="B125" s="1" t="s">
        <v>42</v>
      </c>
      <c r="C125" s="1"/>
      <c r="D125" s="1">
        <v>48</v>
      </c>
      <c r="E125" s="1"/>
      <c r="F125" s="1">
        <v>48</v>
      </c>
      <c r="G125" s="7">
        <v>0.3</v>
      </c>
      <c r="H125" s="1">
        <v>40</v>
      </c>
      <c r="I125" s="9" t="s">
        <v>40</v>
      </c>
      <c r="J125" s="1"/>
      <c r="K125" s="1">
        <v>1</v>
      </c>
      <c r="L125" s="1">
        <f t="shared" si="27"/>
        <v>-1</v>
      </c>
      <c r="M125" s="1"/>
      <c r="N125" s="1"/>
      <c r="O125" s="1">
        <v>10</v>
      </c>
      <c r="P125" s="1">
        <v>10</v>
      </c>
      <c r="Q125" s="1">
        <f t="shared" si="28"/>
        <v>0</v>
      </c>
      <c r="R125" s="5"/>
      <c r="S125" s="1" t="e">
        <f t="shared" si="29"/>
        <v>#DIV/0!</v>
      </c>
      <c r="T125" s="1" t="e">
        <f t="shared" si="30"/>
        <v>#DIV/0!</v>
      </c>
      <c r="U125" s="1">
        <v>2.2000000000000002</v>
      </c>
      <c r="V125" s="1">
        <v>4.5999999999999996</v>
      </c>
      <c r="W125" s="1">
        <v>1.2</v>
      </c>
      <c r="X125" s="1">
        <v>-1.8</v>
      </c>
      <c r="Y125" s="1">
        <v>-0.6</v>
      </c>
      <c r="Z125" s="1">
        <v>-1.4</v>
      </c>
      <c r="AA125" s="1">
        <v>-2.8</v>
      </c>
      <c r="AB125" s="1">
        <v>-3.4</v>
      </c>
      <c r="AC125" s="1">
        <v>-4.2</v>
      </c>
      <c r="AD125" s="1">
        <v>-3.2</v>
      </c>
      <c r="AE125" s="1"/>
      <c r="AF125" s="1">
        <f>G125*R125</f>
        <v>0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174</v>
      </c>
      <c r="B126" s="1" t="s">
        <v>36</v>
      </c>
      <c r="C126" s="1">
        <v>278.75200000000001</v>
      </c>
      <c r="D126" s="1">
        <v>432.411</v>
      </c>
      <c r="E126" s="1">
        <v>229.50899999999999</v>
      </c>
      <c r="F126" s="1">
        <v>410.28199999999998</v>
      </c>
      <c r="G126" s="7">
        <v>1</v>
      </c>
      <c r="H126" s="1">
        <v>50</v>
      </c>
      <c r="I126" s="1" t="s">
        <v>37</v>
      </c>
      <c r="J126" s="1"/>
      <c r="K126" s="1">
        <v>222.3</v>
      </c>
      <c r="L126" s="1">
        <f t="shared" si="27"/>
        <v>7.2089999999999748</v>
      </c>
      <c r="M126" s="1"/>
      <c r="N126" s="1"/>
      <c r="O126" s="1">
        <v>71.43599500000002</v>
      </c>
      <c r="P126" s="1">
        <v>0</v>
      </c>
      <c r="Q126" s="1">
        <f t="shared" si="28"/>
        <v>45.901799999999994</v>
      </c>
      <c r="R126" s="5">
        <f t="shared" ref="R124:R128" si="35">11.5*Q126-P126-O126-F126</f>
        <v>46.152704999999912</v>
      </c>
      <c r="S126" s="1">
        <f t="shared" si="29"/>
        <v>11.5</v>
      </c>
      <c r="T126" s="1">
        <f t="shared" si="30"/>
        <v>10.494533874488583</v>
      </c>
      <c r="U126" s="1">
        <v>47.190600000000003</v>
      </c>
      <c r="V126" s="1">
        <v>48.5548</v>
      </c>
      <c r="W126" s="1">
        <v>73.612200000000001</v>
      </c>
      <c r="X126" s="1">
        <v>75.552800000000005</v>
      </c>
      <c r="Y126" s="1">
        <v>57.231399999999987</v>
      </c>
      <c r="Z126" s="1">
        <v>55.252400000000002</v>
      </c>
      <c r="AA126" s="1">
        <v>52.905799999999999</v>
      </c>
      <c r="AB126" s="1">
        <v>54.902999999999999</v>
      </c>
      <c r="AC126" s="1">
        <v>50.931199999999997</v>
      </c>
      <c r="AD126" s="1">
        <v>40.594000000000001</v>
      </c>
      <c r="AE126" s="1"/>
      <c r="AF126" s="1">
        <f>G126*R126</f>
        <v>46.152704999999912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175</v>
      </c>
      <c r="B127" s="1" t="s">
        <v>42</v>
      </c>
      <c r="C127" s="1"/>
      <c r="D127" s="1">
        <v>12</v>
      </c>
      <c r="E127" s="1">
        <v>-1</v>
      </c>
      <c r="F127" s="1">
        <v>12</v>
      </c>
      <c r="G127" s="7">
        <v>0.3</v>
      </c>
      <c r="H127" s="1">
        <v>40</v>
      </c>
      <c r="I127" s="9" t="s">
        <v>40</v>
      </c>
      <c r="J127" s="1"/>
      <c r="K127" s="1"/>
      <c r="L127" s="1">
        <f t="shared" si="27"/>
        <v>-1</v>
      </c>
      <c r="M127" s="1"/>
      <c r="N127" s="1"/>
      <c r="O127" s="1">
        <v>0</v>
      </c>
      <c r="P127" s="1">
        <v>10</v>
      </c>
      <c r="Q127" s="1">
        <f t="shared" si="28"/>
        <v>-0.2</v>
      </c>
      <c r="R127" s="5"/>
      <c r="S127" s="1">
        <f t="shared" si="29"/>
        <v>-110</v>
      </c>
      <c r="T127" s="1">
        <f t="shared" si="30"/>
        <v>-110</v>
      </c>
      <c r="U127" s="1">
        <v>0</v>
      </c>
      <c r="V127" s="1">
        <v>0</v>
      </c>
      <c r="W127" s="1">
        <v>1</v>
      </c>
      <c r="X127" s="1">
        <v>1</v>
      </c>
      <c r="Y127" s="1">
        <v>-0.2</v>
      </c>
      <c r="Z127" s="1">
        <v>-0.2</v>
      </c>
      <c r="AA127" s="1">
        <v>-1</v>
      </c>
      <c r="AB127" s="1">
        <v>-0.6</v>
      </c>
      <c r="AC127" s="1">
        <v>1.6</v>
      </c>
      <c r="AD127" s="1">
        <v>17.2</v>
      </c>
      <c r="AE127" s="1"/>
      <c r="AF127" s="1">
        <f>G127*R127</f>
        <v>0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176</v>
      </c>
      <c r="B128" s="1" t="s">
        <v>42</v>
      </c>
      <c r="C128" s="1">
        <v>5</v>
      </c>
      <c r="D128" s="1">
        <v>180</v>
      </c>
      <c r="E128" s="1">
        <v>67</v>
      </c>
      <c r="F128" s="1">
        <v>90</v>
      </c>
      <c r="G128" s="7">
        <v>0.12</v>
      </c>
      <c r="H128" s="1">
        <v>45</v>
      </c>
      <c r="I128" s="9" t="s">
        <v>40</v>
      </c>
      <c r="J128" s="1"/>
      <c r="K128" s="1">
        <v>70</v>
      </c>
      <c r="L128" s="1">
        <f t="shared" si="27"/>
        <v>-3</v>
      </c>
      <c r="M128" s="1"/>
      <c r="N128" s="1"/>
      <c r="O128" s="1">
        <v>47.53</v>
      </c>
      <c r="P128" s="1">
        <v>0</v>
      </c>
      <c r="Q128" s="1">
        <f t="shared" si="28"/>
        <v>13.4</v>
      </c>
      <c r="R128" s="5">
        <f t="shared" si="35"/>
        <v>16.569999999999993</v>
      </c>
      <c r="S128" s="1">
        <f t="shared" si="29"/>
        <v>11.5</v>
      </c>
      <c r="T128" s="1">
        <f t="shared" si="30"/>
        <v>10.263432835820895</v>
      </c>
      <c r="U128" s="1">
        <v>13.6</v>
      </c>
      <c r="V128" s="1">
        <v>16.8</v>
      </c>
      <c r="W128" s="1">
        <v>16.2</v>
      </c>
      <c r="X128" s="1">
        <v>14.2</v>
      </c>
      <c r="Y128" s="1">
        <v>13.8</v>
      </c>
      <c r="Z128" s="1">
        <v>10</v>
      </c>
      <c r="AA128" s="1">
        <v>9.6</v>
      </c>
      <c r="AB128" s="1">
        <v>11.6</v>
      </c>
      <c r="AC128" s="1">
        <v>10.4</v>
      </c>
      <c r="AD128" s="1">
        <v>9.1999999999999993</v>
      </c>
      <c r="AE128" s="1"/>
      <c r="AF128" s="1">
        <f>G128*R128</f>
        <v>1.9883999999999991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0" t="s">
        <v>177</v>
      </c>
      <c r="B129" s="10" t="s">
        <v>42</v>
      </c>
      <c r="C129" s="10">
        <v>56</v>
      </c>
      <c r="D129" s="10">
        <v>150</v>
      </c>
      <c r="E129" s="13">
        <v>119</v>
      </c>
      <c r="F129" s="13">
        <v>54</v>
      </c>
      <c r="G129" s="11">
        <v>0</v>
      </c>
      <c r="H129" s="10"/>
      <c r="I129" s="10" t="s">
        <v>178</v>
      </c>
      <c r="J129" s="10" t="s">
        <v>92</v>
      </c>
      <c r="K129" s="10">
        <v>120</v>
      </c>
      <c r="L129" s="10">
        <f t="shared" si="27"/>
        <v>-1</v>
      </c>
      <c r="M129" s="10"/>
      <c r="N129" s="10"/>
      <c r="O129" s="10">
        <v>0</v>
      </c>
      <c r="P129" s="10">
        <v>0</v>
      </c>
      <c r="Q129" s="10">
        <f t="shared" si="28"/>
        <v>23.8</v>
      </c>
      <c r="R129" s="12"/>
      <c r="S129" s="10">
        <f t="shared" si="29"/>
        <v>2.26890756302521</v>
      </c>
      <c r="T129" s="10">
        <f t="shared" si="30"/>
        <v>2.26890756302521</v>
      </c>
      <c r="U129" s="10">
        <v>19</v>
      </c>
      <c r="V129" s="10">
        <v>19.399999999999999</v>
      </c>
      <c r="W129" s="10">
        <v>19.2</v>
      </c>
      <c r="X129" s="10">
        <v>21.6</v>
      </c>
      <c r="Y129" s="10">
        <v>26</v>
      </c>
      <c r="Z129" s="10">
        <v>31</v>
      </c>
      <c r="AA129" s="10">
        <v>28.6</v>
      </c>
      <c r="AB129" s="10">
        <v>14.4</v>
      </c>
      <c r="AC129" s="10">
        <v>9.4</v>
      </c>
      <c r="AD129" s="10">
        <v>0.8</v>
      </c>
      <c r="AE129" s="10"/>
      <c r="AF129" s="10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F129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2026-10-08T15:40:45Z</dcterms:created>
  <dcterms:modified xsi:type="dcterms:W3CDTF">2026-10-08T15:57:52Z</dcterms:modified>
</cp:coreProperties>
</file>