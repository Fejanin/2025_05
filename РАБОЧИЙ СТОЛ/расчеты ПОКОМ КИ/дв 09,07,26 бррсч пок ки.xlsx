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DEA4A51A-5B78-4937-81B1-C69D309B729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14" i="1" l="1"/>
  <c r="Q114" i="1" s="1"/>
  <c r="R114" i="1" s="1"/>
  <c r="L114" i="1"/>
  <c r="M113" i="1"/>
  <c r="Q113" i="1" s="1"/>
  <c r="L113" i="1"/>
  <c r="AE112" i="1"/>
  <c r="Q112" i="1"/>
  <c r="S112" i="1" s="1"/>
  <c r="M112" i="1"/>
  <c r="L112" i="1"/>
  <c r="M111" i="1"/>
  <c r="Q111" i="1" s="1"/>
  <c r="R111" i="1" s="1"/>
  <c r="L111" i="1"/>
  <c r="M110" i="1"/>
  <c r="Q110" i="1" s="1"/>
  <c r="L110" i="1"/>
  <c r="AE109" i="1"/>
  <c r="N109" i="1"/>
  <c r="N5" i="1" s="1"/>
  <c r="F109" i="1"/>
  <c r="E109" i="1"/>
  <c r="L109" i="1" s="1"/>
  <c r="AE108" i="1"/>
  <c r="M108" i="1"/>
  <c r="Q108" i="1" s="1"/>
  <c r="L108" i="1"/>
  <c r="AE107" i="1"/>
  <c r="M107" i="1"/>
  <c r="Q107" i="1" s="1"/>
  <c r="L107" i="1"/>
  <c r="AE106" i="1"/>
  <c r="M106" i="1"/>
  <c r="Q106" i="1" s="1"/>
  <c r="L106" i="1"/>
  <c r="AE105" i="1"/>
  <c r="M105" i="1"/>
  <c r="Q105" i="1" s="1"/>
  <c r="L105" i="1"/>
  <c r="AE104" i="1"/>
  <c r="M104" i="1"/>
  <c r="Q104" i="1" s="1"/>
  <c r="L104" i="1"/>
  <c r="AE103" i="1"/>
  <c r="M103" i="1"/>
  <c r="Q103" i="1" s="1"/>
  <c r="L103" i="1"/>
  <c r="AE102" i="1"/>
  <c r="M102" i="1"/>
  <c r="Q102" i="1" s="1"/>
  <c r="L102" i="1"/>
  <c r="AE101" i="1"/>
  <c r="M101" i="1"/>
  <c r="Q101" i="1" s="1"/>
  <c r="L101" i="1"/>
  <c r="AE100" i="1"/>
  <c r="M100" i="1"/>
  <c r="Q100" i="1" s="1"/>
  <c r="L100" i="1"/>
  <c r="AE99" i="1"/>
  <c r="M99" i="1"/>
  <c r="Q99" i="1" s="1"/>
  <c r="L99" i="1"/>
  <c r="AE98" i="1"/>
  <c r="M98" i="1"/>
  <c r="Q98" i="1" s="1"/>
  <c r="L98" i="1"/>
  <c r="Q97" i="1"/>
  <c r="M97" i="1"/>
  <c r="L97" i="1"/>
  <c r="AE96" i="1"/>
  <c r="M96" i="1"/>
  <c r="Q96" i="1" s="1"/>
  <c r="L96" i="1"/>
  <c r="T95" i="1"/>
  <c r="M95" i="1"/>
  <c r="Q95" i="1" s="1"/>
  <c r="R95" i="1" s="1"/>
  <c r="L95" i="1"/>
  <c r="AE94" i="1"/>
  <c r="M94" i="1"/>
  <c r="Q94" i="1" s="1"/>
  <c r="L94" i="1"/>
  <c r="AE93" i="1"/>
  <c r="M93" i="1"/>
  <c r="Q93" i="1" s="1"/>
  <c r="L93" i="1"/>
  <c r="M92" i="1"/>
  <c r="Q92" i="1" s="1"/>
  <c r="L92" i="1"/>
  <c r="AE91" i="1"/>
  <c r="Q91" i="1"/>
  <c r="S91" i="1" s="1"/>
  <c r="M91" i="1"/>
  <c r="L91" i="1"/>
  <c r="AE90" i="1"/>
  <c r="Q90" i="1"/>
  <c r="M90" i="1"/>
  <c r="L90" i="1"/>
  <c r="AE89" i="1"/>
  <c r="M89" i="1"/>
  <c r="Q89" i="1" s="1"/>
  <c r="L89" i="1"/>
  <c r="AE88" i="1"/>
  <c r="M88" i="1"/>
  <c r="Q88" i="1" s="1"/>
  <c r="L88" i="1"/>
  <c r="M87" i="1"/>
  <c r="Q87" i="1" s="1"/>
  <c r="T87" i="1" s="1"/>
  <c r="L87" i="1"/>
  <c r="M86" i="1"/>
  <c r="Q86" i="1" s="1"/>
  <c r="L86" i="1"/>
  <c r="M85" i="1"/>
  <c r="Q85" i="1" s="1"/>
  <c r="R85" i="1" s="1"/>
  <c r="L85" i="1"/>
  <c r="M84" i="1"/>
  <c r="Q84" i="1" s="1"/>
  <c r="L84" i="1"/>
  <c r="M83" i="1"/>
  <c r="Q83" i="1" s="1"/>
  <c r="T83" i="1" s="1"/>
  <c r="L83" i="1"/>
  <c r="M82" i="1"/>
  <c r="Q82" i="1" s="1"/>
  <c r="L82" i="1"/>
  <c r="F82" i="1"/>
  <c r="F5" i="1" s="1"/>
  <c r="AE81" i="1"/>
  <c r="M81" i="1"/>
  <c r="Q81" i="1" s="1"/>
  <c r="T81" i="1" s="1"/>
  <c r="L81" i="1"/>
  <c r="M80" i="1"/>
  <c r="Q80" i="1" s="1"/>
  <c r="L80" i="1"/>
  <c r="AE79" i="1"/>
  <c r="M79" i="1"/>
  <c r="Q79" i="1" s="1"/>
  <c r="L79" i="1"/>
  <c r="AE78" i="1"/>
  <c r="M78" i="1"/>
  <c r="Q78" i="1" s="1"/>
  <c r="L78" i="1"/>
  <c r="AE77" i="1"/>
  <c r="M77" i="1"/>
  <c r="Q77" i="1" s="1"/>
  <c r="L77" i="1"/>
  <c r="M76" i="1"/>
  <c r="Q76" i="1" s="1"/>
  <c r="T76" i="1" s="1"/>
  <c r="L76" i="1"/>
  <c r="M75" i="1"/>
  <c r="Q75" i="1" s="1"/>
  <c r="L75" i="1"/>
  <c r="M74" i="1"/>
  <c r="Q74" i="1" s="1"/>
  <c r="R74" i="1" s="1"/>
  <c r="L74" i="1"/>
  <c r="M73" i="1"/>
  <c r="Q73" i="1" s="1"/>
  <c r="L73" i="1"/>
  <c r="M72" i="1"/>
  <c r="Q72" i="1" s="1"/>
  <c r="T72" i="1" s="1"/>
  <c r="L72" i="1"/>
  <c r="M71" i="1"/>
  <c r="Q71" i="1" s="1"/>
  <c r="L71" i="1"/>
  <c r="M70" i="1"/>
  <c r="Q70" i="1" s="1"/>
  <c r="R70" i="1" s="1"/>
  <c r="L70" i="1"/>
  <c r="M69" i="1"/>
  <c r="Q69" i="1" s="1"/>
  <c r="L69" i="1"/>
  <c r="M68" i="1"/>
  <c r="Q68" i="1" s="1"/>
  <c r="T68" i="1" s="1"/>
  <c r="L68" i="1"/>
  <c r="AE67" i="1"/>
  <c r="M67" i="1"/>
  <c r="Q67" i="1" s="1"/>
  <c r="T67" i="1" s="1"/>
  <c r="L67" i="1"/>
  <c r="M66" i="1"/>
  <c r="Q66" i="1" s="1"/>
  <c r="L66" i="1"/>
  <c r="M65" i="1"/>
  <c r="Q65" i="1" s="1"/>
  <c r="R65" i="1" s="1"/>
  <c r="L65" i="1"/>
  <c r="M64" i="1"/>
  <c r="Q64" i="1" s="1"/>
  <c r="L64" i="1"/>
  <c r="M63" i="1"/>
  <c r="Q63" i="1" s="1"/>
  <c r="T63" i="1" s="1"/>
  <c r="L63" i="1"/>
  <c r="M62" i="1"/>
  <c r="Q62" i="1" s="1"/>
  <c r="L62" i="1"/>
  <c r="M61" i="1"/>
  <c r="Q61" i="1" s="1"/>
  <c r="R61" i="1" s="1"/>
  <c r="L61" i="1"/>
  <c r="M60" i="1"/>
  <c r="Q60" i="1" s="1"/>
  <c r="L60" i="1"/>
  <c r="AE59" i="1"/>
  <c r="M59" i="1"/>
  <c r="Q59" i="1" s="1"/>
  <c r="S59" i="1" s="1"/>
  <c r="L59" i="1"/>
  <c r="AE58" i="1"/>
  <c r="M58" i="1"/>
  <c r="Q58" i="1" s="1"/>
  <c r="S58" i="1" s="1"/>
  <c r="L58" i="1"/>
  <c r="AE57" i="1"/>
  <c r="M57" i="1"/>
  <c r="Q57" i="1" s="1"/>
  <c r="L57" i="1"/>
  <c r="AE56" i="1"/>
  <c r="M56" i="1"/>
  <c r="Q56" i="1" s="1"/>
  <c r="S56" i="1" s="1"/>
  <c r="L56" i="1"/>
  <c r="AE55" i="1"/>
  <c r="M55" i="1"/>
  <c r="Q55" i="1" s="1"/>
  <c r="S55" i="1" s="1"/>
  <c r="L55" i="1"/>
  <c r="AE54" i="1"/>
  <c r="M54" i="1"/>
  <c r="Q54" i="1" s="1"/>
  <c r="S54" i="1" s="1"/>
  <c r="L54" i="1"/>
  <c r="M53" i="1"/>
  <c r="Q53" i="1" s="1"/>
  <c r="T53" i="1" s="1"/>
  <c r="L53" i="1"/>
  <c r="M52" i="1"/>
  <c r="Q52" i="1" s="1"/>
  <c r="L52" i="1"/>
  <c r="M51" i="1"/>
  <c r="Q51" i="1" s="1"/>
  <c r="R51" i="1" s="1"/>
  <c r="L51" i="1"/>
  <c r="M50" i="1"/>
  <c r="Q50" i="1" s="1"/>
  <c r="L50" i="1"/>
  <c r="M49" i="1"/>
  <c r="Q49" i="1" s="1"/>
  <c r="T49" i="1" s="1"/>
  <c r="L49" i="1"/>
  <c r="AE48" i="1"/>
  <c r="M48" i="1"/>
  <c r="Q48" i="1" s="1"/>
  <c r="S48" i="1" s="1"/>
  <c r="L48" i="1"/>
  <c r="M47" i="1"/>
  <c r="Q47" i="1" s="1"/>
  <c r="L47" i="1"/>
  <c r="M46" i="1"/>
  <c r="Q46" i="1" s="1"/>
  <c r="T46" i="1" s="1"/>
  <c r="L46" i="1"/>
  <c r="M45" i="1"/>
  <c r="Q45" i="1" s="1"/>
  <c r="L45" i="1"/>
  <c r="AE44" i="1"/>
  <c r="M44" i="1"/>
  <c r="Q44" i="1" s="1"/>
  <c r="L44" i="1"/>
  <c r="M43" i="1"/>
  <c r="Q43" i="1" s="1"/>
  <c r="T43" i="1" s="1"/>
  <c r="L43" i="1"/>
  <c r="AE42" i="1"/>
  <c r="M42" i="1"/>
  <c r="Q42" i="1" s="1"/>
  <c r="S42" i="1" s="1"/>
  <c r="L42" i="1"/>
  <c r="M41" i="1"/>
  <c r="Q41" i="1" s="1"/>
  <c r="L41" i="1"/>
  <c r="AE40" i="1"/>
  <c r="M40" i="1"/>
  <c r="Q40" i="1" s="1"/>
  <c r="L40" i="1"/>
  <c r="M39" i="1"/>
  <c r="Q39" i="1" s="1"/>
  <c r="T39" i="1" s="1"/>
  <c r="L39" i="1"/>
  <c r="AE38" i="1"/>
  <c r="M38" i="1"/>
  <c r="Q38" i="1" s="1"/>
  <c r="S38" i="1" s="1"/>
  <c r="L38" i="1"/>
  <c r="M37" i="1"/>
  <c r="Q37" i="1" s="1"/>
  <c r="L37" i="1"/>
  <c r="M36" i="1"/>
  <c r="Q36" i="1" s="1"/>
  <c r="L36" i="1"/>
  <c r="M35" i="1"/>
  <c r="Q35" i="1" s="1"/>
  <c r="R35" i="1" s="1"/>
  <c r="L35" i="1"/>
  <c r="M34" i="1"/>
  <c r="Q34" i="1" s="1"/>
  <c r="L34" i="1"/>
  <c r="M33" i="1"/>
  <c r="Q33" i="1" s="1"/>
  <c r="T33" i="1" s="1"/>
  <c r="L33" i="1"/>
  <c r="M32" i="1"/>
  <c r="Q32" i="1" s="1"/>
  <c r="L32" i="1"/>
  <c r="AE31" i="1"/>
  <c r="M31" i="1"/>
  <c r="Q31" i="1" s="1"/>
  <c r="S31" i="1" s="1"/>
  <c r="L31" i="1"/>
  <c r="AE30" i="1"/>
  <c r="M30" i="1"/>
  <c r="Q30" i="1" s="1"/>
  <c r="S30" i="1" s="1"/>
  <c r="L30" i="1"/>
  <c r="AE29" i="1"/>
  <c r="M29" i="1"/>
  <c r="Q29" i="1" s="1"/>
  <c r="S29" i="1" s="1"/>
  <c r="L29" i="1"/>
  <c r="M28" i="1"/>
  <c r="Q28" i="1" s="1"/>
  <c r="T28" i="1" s="1"/>
  <c r="L28" i="1"/>
  <c r="AE27" i="1"/>
  <c r="M27" i="1"/>
  <c r="Q27" i="1" s="1"/>
  <c r="T27" i="1" s="1"/>
  <c r="L27" i="1"/>
  <c r="M26" i="1"/>
  <c r="Q26" i="1" s="1"/>
  <c r="L26" i="1"/>
  <c r="AE25" i="1"/>
  <c r="M25" i="1"/>
  <c r="Q25" i="1" s="1"/>
  <c r="S25" i="1" s="1"/>
  <c r="L25" i="1"/>
  <c r="M24" i="1"/>
  <c r="Q24" i="1" s="1"/>
  <c r="T24" i="1" s="1"/>
  <c r="L24" i="1"/>
  <c r="AE23" i="1"/>
  <c r="M23" i="1"/>
  <c r="Q23" i="1" s="1"/>
  <c r="T23" i="1" s="1"/>
  <c r="L23" i="1"/>
  <c r="M22" i="1"/>
  <c r="Q22" i="1" s="1"/>
  <c r="L22" i="1"/>
  <c r="M21" i="1"/>
  <c r="Q21" i="1" s="1"/>
  <c r="T21" i="1" s="1"/>
  <c r="L21" i="1"/>
  <c r="AE20" i="1"/>
  <c r="M20" i="1"/>
  <c r="Q20" i="1" s="1"/>
  <c r="T20" i="1" s="1"/>
  <c r="L20" i="1"/>
  <c r="M19" i="1"/>
  <c r="Q19" i="1" s="1"/>
  <c r="L19" i="1"/>
  <c r="M18" i="1"/>
  <c r="Q18" i="1" s="1"/>
  <c r="R18" i="1" s="1"/>
  <c r="L18" i="1"/>
  <c r="M17" i="1"/>
  <c r="Q17" i="1" s="1"/>
  <c r="S17" i="1" s="1"/>
  <c r="L17" i="1"/>
  <c r="M16" i="1"/>
  <c r="Q16" i="1" s="1"/>
  <c r="R16" i="1" s="1"/>
  <c r="L16" i="1"/>
  <c r="M15" i="1"/>
  <c r="Q15" i="1" s="1"/>
  <c r="L15" i="1"/>
  <c r="AE14" i="1"/>
  <c r="M14" i="1"/>
  <c r="Q14" i="1" s="1"/>
  <c r="S14" i="1" s="1"/>
  <c r="L14" i="1"/>
  <c r="AE13" i="1"/>
  <c r="M13" i="1"/>
  <c r="Q13" i="1" s="1"/>
  <c r="S13" i="1" s="1"/>
  <c r="L13" i="1"/>
  <c r="M12" i="1"/>
  <c r="Q12" i="1" s="1"/>
  <c r="T12" i="1" s="1"/>
  <c r="L12" i="1"/>
  <c r="AE11" i="1"/>
  <c r="M11" i="1"/>
  <c r="Q11" i="1" s="1"/>
  <c r="T11" i="1" s="1"/>
  <c r="L11" i="1"/>
  <c r="M10" i="1"/>
  <c r="Q10" i="1" s="1"/>
  <c r="L10" i="1"/>
  <c r="M9" i="1"/>
  <c r="Q9" i="1" s="1"/>
  <c r="R9" i="1" s="1"/>
  <c r="L9" i="1"/>
  <c r="M8" i="1"/>
  <c r="Q8" i="1" s="1"/>
  <c r="L8" i="1"/>
  <c r="M7" i="1"/>
  <c r="Q7" i="1" s="1"/>
  <c r="T7" i="1" s="1"/>
  <c r="L7" i="1"/>
  <c r="AE6" i="1"/>
  <c r="M6" i="1"/>
  <c r="L6" i="1"/>
  <c r="AC5" i="1"/>
  <c r="AB5" i="1"/>
  <c r="AA5" i="1"/>
  <c r="Z5" i="1"/>
  <c r="Y5" i="1"/>
  <c r="X5" i="1"/>
  <c r="W5" i="1"/>
  <c r="V5" i="1"/>
  <c r="U5" i="1"/>
  <c r="P5" i="1"/>
  <c r="O5" i="1"/>
  <c r="K5" i="1"/>
  <c r="E5" i="1" l="1"/>
  <c r="R82" i="1"/>
  <c r="AE82" i="1" s="1"/>
  <c r="R76" i="1"/>
  <c r="R7" i="1"/>
  <c r="AE7" i="1" s="1"/>
  <c r="T85" i="1"/>
  <c r="R33" i="1"/>
  <c r="AE33" i="1" s="1"/>
  <c r="S67" i="1"/>
  <c r="R68" i="1"/>
  <c r="S68" i="1" s="1"/>
  <c r="R83" i="1"/>
  <c r="R87" i="1"/>
  <c r="AE87" i="1" s="1"/>
  <c r="S89" i="1"/>
  <c r="T89" i="1"/>
  <c r="S96" i="1"/>
  <c r="T96" i="1"/>
  <c r="S57" i="1"/>
  <c r="T57" i="1"/>
  <c r="S78" i="1"/>
  <c r="T78" i="1"/>
  <c r="M109" i="1"/>
  <c r="Q109" i="1" s="1"/>
  <c r="L5" i="1"/>
  <c r="S11" i="1"/>
  <c r="R12" i="1"/>
  <c r="S12" i="1" s="1"/>
  <c r="T14" i="1"/>
  <c r="T17" i="1"/>
  <c r="S20" i="1"/>
  <c r="S21" i="1"/>
  <c r="S23" i="1"/>
  <c r="R24" i="1"/>
  <c r="S24" i="1" s="1"/>
  <c r="S27" i="1"/>
  <c r="R28" i="1"/>
  <c r="S28" i="1" s="1"/>
  <c r="T30" i="1"/>
  <c r="R53" i="1"/>
  <c r="S53" i="1" s="1"/>
  <c r="T55" i="1"/>
  <c r="T59" i="1"/>
  <c r="R63" i="1"/>
  <c r="R72" i="1"/>
  <c r="AE72" i="1" s="1"/>
  <c r="S81" i="1"/>
  <c r="T82" i="1"/>
  <c r="T91" i="1"/>
  <c r="S109" i="1"/>
  <c r="T112" i="1"/>
  <c r="AE9" i="1"/>
  <c r="S9" i="1"/>
  <c r="AE16" i="1"/>
  <c r="S16" i="1"/>
  <c r="AE18" i="1"/>
  <c r="S18" i="1"/>
  <c r="AE35" i="1"/>
  <c r="S35" i="1"/>
  <c r="T8" i="1"/>
  <c r="R8" i="1"/>
  <c r="T9" i="1"/>
  <c r="T15" i="1"/>
  <c r="R15" i="1"/>
  <c r="T16" i="1"/>
  <c r="T18" i="1"/>
  <c r="S33" i="1"/>
  <c r="T34" i="1"/>
  <c r="R34" i="1"/>
  <c r="T35" i="1"/>
  <c r="T40" i="1"/>
  <c r="S40" i="1"/>
  <c r="T44" i="1"/>
  <c r="S44" i="1"/>
  <c r="T47" i="1"/>
  <c r="R47" i="1"/>
  <c r="AE51" i="1"/>
  <c r="S51" i="1"/>
  <c r="AE61" i="1"/>
  <c r="S61" i="1"/>
  <c r="AE70" i="1"/>
  <c r="S70" i="1"/>
  <c r="Q6" i="1"/>
  <c r="M5" i="1"/>
  <c r="T10" i="1"/>
  <c r="R10" i="1"/>
  <c r="T13" i="1"/>
  <c r="T19" i="1"/>
  <c r="R19" i="1"/>
  <c r="T22" i="1"/>
  <c r="R22" i="1"/>
  <c r="T25" i="1"/>
  <c r="T26" i="1"/>
  <c r="R26" i="1"/>
  <c r="T29" i="1"/>
  <c r="T31" i="1"/>
  <c r="T32" i="1"/>
  <c r="R32" i="1"/>
  <c r="T36" i="1"/>
  <c r="R36" i="1"/>
  <c r="T37" i="1"/>
  <c r="R37" i="1"/>
  <c r="T41" i="1"/>
  <c r="R41" i="1"/>
  <c r="T45" i="1"/>
  <c r="R45" i="1"/>
  <c r="AE65" i="1"/>
  <c r="S65" i="1"/>
  <c r="T38" i="1"/>
  <c r="T42" i="1"/>
  <c r="T48" i="1"/>
  <c r="T50" i="1"/>
  <c r="R50" i="1"/>
  <c r="T51" i="1"/>
  <c r="AE53" i="1"/>
  <c r="T60" i="1"/>
  <c r="R60" i="1"/>
  <c r="T61" i="1"/>
  <c r="AE63" i="1"/>
  <c r="S63" i="1"/>
  <c r="T64" i="1"/>
  <c r="R64" i="1"/>
  <c r="T65" i="1"/>
  <c r="T69" i="1"/>
  <c r="R69" i="1"/>
  <c r="T70" i="1"/>
  <c r="AE74" i="1"/>
  <c r="S74" i="1"/>
  <c r="AE76" i="1"/>
  <c r="S76" i="1"/>
  <c r="S79" i="1"/>
  <c r="T79" i="1"/>
  <c r="T84" i="1"/>
  <c r="R84" i="1"/>
  <c r="S88" i="1"/>
  <c r="T88" i="1"/>
  <c r="T92" i="1"/>
  <c r="R92" i="1"/>
  <c r="T94" i="1"/>
  <c r="S94" i="1"/>
  <c r="T97" i="1"/>
  <c r="R97" i="1"/>
  <c r="T99" i="1"/>
  <c r="S99" i="1"/>
  <c r="T101" i="1"/>
  <c r="S101" i="1"/>
  <c r="T103" i="1"/>
  <c r="S103" i="1"/>
  <c r="T105" i="1"/>
  <c r="S105" i="1"/>
  <c r="T107" i="1"/>
  <c r="S107" i="1"/>
  <c r="AE111" i="1"/>
  <c r="S111" i="1"/>
  <c r="AE114" i="1"/>
  <c r="S114" i="1"/>
  <c r="R39" i="1"/>
  <c r="R43" i="1"/>
  <c r="R46" i="1"/>
  <c r="R49" i="1"/>
  <c r="T52" i="1"/>
  <c r="R52" i="1"/>
  <c r="T54" i="1"/>
  <c r="T56" i="1"/>
  <c r="T58" i="1"/>
  <c r="T62" i="1"/>
  <c r="R62" i="1"/>
  <c r="T66" i="1"/>
  <c r="R66" i="1"/>
  <c r="T71" i="1"/>
  <c r="R71" i="1"/>
  <c r="T73" i="1"/>
  <c r="R73" i="1"/>
  <c r="T74" i="1"/>
  <c r="S77" i="1"/>
  <c r="T77" i="1"/>
  <c r="AE83" i="1"/>
  <c r="S83" i="1"/>
  <c r="AE85" i="1"/>
  <c r="S85" i="1"/>
  <c r="S87" i="1"/>
  <c r="S90" i="1"/>
  <c r="T90" i="1"/>
  <c r="T93" i="1"/>
  <c r="S93" i="1"/>
  <c r="AE95" i="1"/>
  <c r="S95" i="1"/>
  <c r="T98" i="1"/>
  <c r="S98" i="1"/>
  <c r="T100" i="1"/>
  <c r="S100" i="1"/>
  <c r="T102" i="1"/>
  <c r="S102" i="1"/>
  <c r="T104" i="1"/>
  <c r="S104" i="1"/>
  <c r="T106" i="1"/>
  <c r="S106" i="1"/>
  <c r="T108" i="1"/>
  <c r="S108" i="1"/>
  <c r="T109" i="1"/>
  <c r="T110" i="1"/>
  <c r="R110" i="1"/>
  <c r="T111" i="1"/>
  <c r="T113" i="1"/>
  <c r="R113" i="1"/>
  <c r="T114" i="1"/>
  <c r="T75" i="1"/>
  <c r="R75" i="1"/>
  <c r="T80" i="1"/>
  <c r="R80" i="1"/>
  <c r="T86" i="1"/>
  <c r="R86" i="1"/>
  <c r="S82" i="1" l="1"/>
  <c r="AE12" i="1"/>
  <c r="S7" i="1"/>
  <c r="S72" i="1"/>
  <c r="AE68" i="1"/>
  <c r="AE28" i="1"/>
  <c r="AE24" i="1"/>
  <c r="AE86" i="1"/>
  <c r="S86" i="1"/>
  <c r="AE80" i="1"/>
  <c r="S80" i="1"/>
  <c r="AE75" i="1"/>
  <c r="S75" i="1"/>
  <c r="S110" i="1"/>
  <c r="AE110" i="1"/>
  <c r="S73" i="1"/>
  <c r="AE73" i="1"/>
  <c r="AE71" i="1"/>
  <c r="S71" i="1"/>
  <c r="AE66" i="1"/>
  <c r="S66" i="1"/>
  <c r="AE62" i="1"/>
  <c r="S62" i="1"/>
  <c r="AE46" i="1"/>
  <c r="S46" i="1"/>
  <c r="AE39" i="1"/>
  <c r="S39" i="1"/>
  <c r="S69" i="1"/>
  <c r="AE69" i="1"/>
  <c r="S60" i="1"/>
  <c r="AE60" i="1"/>
  <c r="AE45" i="1"/>
  <c r="S45" i="1"/>
  <c r="AE41" i="1"/>
  <c r="S41" i="1"/>
  <c r="AE37" i="1"/>
  <c r="S37" i="1"/>
  <c r="AE36" i="1"/>
  <c r="S36" i="1"/>
  <c r="AE32" i="1"/>
  <c r="S32" i="1"/>
  <c r="AE26" i="1"/>
  <c r="S26" i="1"/>
  <c r="AE10" i="1"/>
  <c r="S10" i="1"/>
  <c r="R5" i="1"/>
  <c r="S34" i="1"/>
  <c r="AE34" i="1"/>
  <c r="S15" i="1"/>
  <c r="AE15" i="1"/>
  <c r="S113" i="1"/>
  <c r="AE113" i="1"/>
  <c r="AE52" i="1"/>
  <c r="S52" i="1"/>
  <c r="AE49" i="1"/>
  <c r="S49" i="1"/>
  <c r="AE43" i="1"/>
  <c r="S43" i="1"/>
  <c r="S97" i="1"/>
  <c r="AE97" i="1"/>
  <c r="S92" i="1"/>
  <c r="AE92" i="1"/>
  <c r="S84" i="1"/>
  <c r="AE84" i="1"/>
  <c r="S64" i="1"/>
  <c r="AE64" i="1"/>
  <c r="S50" i="1"/>
  <c r="AE50" i="1"/>
  <c r="AE22" i="1"/>
  <c r="S22" i="1"/>
  <c r="AE19" i="1"/>
  <c r="S19" i="1"/>
  <c r="T6" i="1"/>
  <c r="Q5" i="1"/>
  <c r="S6" i="1"/>
  <c r="AE47" i="1"/>
  <c r="S47" i="1"/>
  <c r="S8" i="1"/>
  <c r="AE8" i="1"/>
  <c r="AE5" i="1" l="1"/>
</calcChain>
</file>

<file path=xl/sharedStrings.xml><?xml version="1.0" encoding="utf-8"?>
<sst xmlns="http://schemas.openxmlformats.org/spreadsheetml/2006/main" count="395" uniqueCount="261">
  <si>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</si>
  <si>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</si>
  <si>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</si>
  <si>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</si>
  <si>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</si>
  <si>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</si>
  <si>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</si>
  <si>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</si>
  <si>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</si>
  <si>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</si>
  <si>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</si>
  <si>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</si>
  <si>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</si>
  <si>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</si>
  <si>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</si>
  <si>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</si>
  <si>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</si>
  <si>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</si>
  <si>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</si>
  <si>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</si>
  <si>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</si>
  <si>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</si>
  <si>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06,07,</t>
  </si>
  <si>
    <t>12,07,</t>
  </si>
  <si>
    <t>09,07,</t>
  </si>
  <si>
    <t>07,07,</t>
  </si>
  <si>
    <t>02,07,</t>
  </si>
  <si>
    <t>30,06,</t>
  </si>
  <si>
    <t>25,06,</t>
  </si>
  <si>
    <t>23,06,</t>
  </si>
  <si>
    <t>27,01,</t>
  </si>
  <si>
    <t>22,01,</t>
  </si>
  <si>
    <t>20,01,</t>
  </si>
  <si>
    <t>15,01,</t>
  </si>
  <si>
    <t xml:space="preserve"> 005  Колбаса Докторская ГОСТ, Вязанка вектор,ВЕС. ПОКОМ</t>
  </si>
  <si>
    <t>кг</t>
  </si>
  <si>
    <t>P003011</t>
  </si>
  <si>
    <t>нужно увеличить продажи!!!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</si>
  <si>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</si>
  <si>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</si>
  <si>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</si>
  <si>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</si>
  <si>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</si>
  <si>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</si>
  <si>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</si>
  <si>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</si>
  <si>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</si>
  <si>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</si>
  <si>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</si>
  <si>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>нужно увеличить продажи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</si>
  <si>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</si>
  <si>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</si>
  <si>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</si>
  <si>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</si>
  <si>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</si>
  <si>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</si>
  <si>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</si>
  <si>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</si>
  <si>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</si>
  <si>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</si>
  <si>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</si>
  <si>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</si>
  <si>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</si>
  <si>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</si>
  <si>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</si>
  <si>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</si>
  <si>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</si>
  <si>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</si>
  <si>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</si>
  <si>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</si>
  <si>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</si>
  <si>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</si>
  <si>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</si>
  <si>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</si>
  <si>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</si>
  <si>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</si>
  <si>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</si>
  <si>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</si>
  <si>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</si>
  <si>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</si>
  <si>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</si>
  <si>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</si>
  <si>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</si>
  <si>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</si>
  <si>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</si>
  <si>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>на остатках брак 581кг (инфа от Боярко)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</si>
  <si>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</si>
  <si>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</si>
  <si>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</si>
  <si>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</si>
  <si>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</si>
  <si>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</si>
  <si>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</si>
  <si>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</si>
  <si>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</si>
  <si>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</si>
  <si>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</si>
  <si>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</si>
  <si>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</si>
  <si>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</si>
  <si>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</si>
  <si>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</si>
  <si>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</si>
  <si>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</si>
  <si>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</si>
  <si>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Р003959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</si>
  <si>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</si>
  <si>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</si>
  <si>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</si>
  <si>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</si>
  <si>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</si>
  <si>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</si>
  <si>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</si>
  <si>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</si>
  <si>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</si>
  <si>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</si>
  <si>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</si>
  <si>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</si>
  <si>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</si>
  <si>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</si>
  <si>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</si>
  <si>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</si>
  <si>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</si>
  <si>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</si>
  <si>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</si>
  <si>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</si>
  <si>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</si>
  <si>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</si>
  <si>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</si>
  <si>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</si>
  <si>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</si>
  <si>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</si>
  <si>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</si>
  <si>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</si>
  <si>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</si>
  <si>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</si>
  <si>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</si>
  <si>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</si>
  <si>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</si>
  <si>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</si>
  <si>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</si>
  <si>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</si>
  <si>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</si>
  <si>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</si>
  <si>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</si>
  <si>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</si>
  <si>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</si>
  <si>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</si>
  <si>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</si>
  <si>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</si>
  <si>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</si>
  <si>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</si>
  <si>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</si>
  <si>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</si>
  <si>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</si>
  <si>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</si>
  <si>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</si>
  <si>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</si>
  <si>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</si>
  <si>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</si>
  <si>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</si>
  <si>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</si>
  <si>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</si>
  <si>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</si>
  <si>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</si>
  <si>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</si>
  <si>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</si>
  <si>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</si>
  <si>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</si>
  <si>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</si>
  <si>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</si>
  <si>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</si>
  <si>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</si>
  <si>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</si>
  <si>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</si>
  <si>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</si>
  <si>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</si>
  <si>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397  Ветчина Дугушка ТМ Стародворье ТС Дугушка в полиамидной оболочке 0,6 кг. ПОКОМ</t>
  </si>
  <si>
    <t>Р004923</t>
  </si>
  <si>
    <t xml:space="preserve"> 405  Сардельки Сливушки ТМ Вязанка в оболочке айпил 0,33 кг. ПОКОМ</t>
  </si>
  <si>
    <t>Р002644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</si>
  <si>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</si>
  <si>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</si>
  <si>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</si>
  <si>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</si>
  <si>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</si>
  <si>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</si>
  <si>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</si>
  <si>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</si>
  <si>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</si>
  <si>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</si>
  <si>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</si>
  <si>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</si>
  <si>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</si>
  <si>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</si>
  <si>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</si>
  <si>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</si>
  <si>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</si>
  <si>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</si>
  <si>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</si>
  <si>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</si>
  <si>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</si>
  <si>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</si>
  <si>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</si>
  <si>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</si>
  <si>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</si>
  <si>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</si>
  <si>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</si>
  <si>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</si>
  <si>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</si>
  <si>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ВНИМАНИЕ / P005156</t>
  </si>
  <si>
    <t xml:space="preserve"> 551  Колбаса Сливушка ТМ Вязанка в модифицированной газовой среде 0,11 кг нарезка  ПОКОМ</t>
  </si>
  <si>
    <t>Р004758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</si>
  <si>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</si>
  <si>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</si>
  <si>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</si>
  <si>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Р003837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</si>
  <si>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</si>
  <si>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</si>
  <si>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</si>
  <si>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</si>
  <si>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</si>
  <si>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</si>
  <si>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</si>
  <si>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P005156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</si>
  <si>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</si>
  <si>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</si>
  <si>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</si>
  <si>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>P005169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</si>
  <si>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</si>
  <si>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</si>
  <si>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</si>
  <si>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>P004728</t>
  </si>
  <si>
    <t>новинка</t>
  </si>
  <si>
    <t xml:space="preserve"> 579  Колбаса Ветчинно-рубленая ТМ Особый рецепт в оболочке полиамид.ВЕС  ПОКОМ</t>
  </si>
  <si>
    <t>P005358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</si>
  <si>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</si>
  <si>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</si>
  <si>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</si>
  <si>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>P004725</t>
  </si>
  <si>
    <t xml:space="preserve"> 584  Колбаса Сервелат Ореховый ТМ Вязанка в упаковке скин 0,09 кг нарезка  ПОКОМ</t>
  </si>
  <si>
    <t>P005114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</si>
  <si>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</si>
  <si>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</si>
  <si>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</si>
  <si>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</si>
  <si>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</si>
  <si>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</si>
  <si>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</si>
  <si>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</si>
  <si>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</si>
  <si>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</si>
  <si>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</si>
  <si>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</si>
  <si>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</si>
  <si>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</si>
  <si>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</si>
  <si>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</si>
  <si>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</si>
  <si>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P003102</t>
  </si>
  <si>
    <t>P005467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</si>
</sst>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8" width="7" customWidth="1"/>
    <col min="19" max="20" width="5" customWidth="1"/>
    <col min="21" max="29" width="6" customWidth="1"/>
    <col min="30" max="30" width="52" customWidth="1"/>
    <col min="31" max="31" width="7" customWidth="1"/>
  </cols>
  <sheetData>
    <row r="1" spans="1:3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</row>
    <row r="4" spans="1:3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</row>
    <row r="5" spans="1:31" x14ac:dyDescent="0.25">
      <c r="A5" s="1"/>
      <c r="B5" s="1"/>
      <c r="C5" s="1"/>
      <c r="D5" s="1"/>
      <c r="E5" s="4">
        <f>SUM(E6:E497)</f>
        <v>27005.251000000015</v>
      </c>
      <c r="F5" s="4">
        <f>SUM(F6:F497)</f>
        <v>43834.275000000001</v>
      </c>
      <c r="G5" s="7"/>
      <c r="H5" s="1"/>
      <c r="I5" s="1"/>
      <c r="J5" s="1"/>
      <c r="K5" s="4">
        <f t="shared" ref="K5:R5" si="0">SUM(K6:K497)</f>
        <v>27057.219000000005</v>
      </c>
      <c r="L5" s="4">
        <f t="shared" si="0"/>
        <v>-51.967999999999975</v>
      </c>
      <c r="M5" s="4">
        <f t="shared" si="0"/>
        <v>26255.511000000013</v>
      </c>
      <c r="N5" s="4">
        <f t="shared" si="0"/>
        <v>749.74</v>
      </c>
      <c r="O5" s="4">
        <f t="shared" si="0"/>
        <v>4665.9786980000008</v>
      </c>
      <c r="P5" s="4">
        <f t="shared" si="0"/>
        <v>8199.4178000000011</v>
      </c>
      <c r="Q5" s="4">
        <f t="shared" si="0"/>
        <v>5251.1022000000012</v>
      </c>
      <c r="R5" s="4">
        <f t="shared" si="0"/>
        <v>10426.151102</v>
      </c>
      <c r="S5" s="1"/>
      <c r="T5" s="1"/>
      <c r="U5" s="4">
        <f t="shared" ref="U5:AC5" si="1">SUM(U6:U497)</f>
        <v>4882.8654000000024</v>
      </c>
      <c r="V5" s="4">
        <f t="shared" si="1"/>
        <v>4613.4834000000001</v>
      </c>
      <c r="W5" s="4">
        <f t="shared" si="1"/>
        <v>4385.4256000000005</v>
      </c>
      <c r="X5" s="4">
        <f t="shared" si="1"/>
        <v>4806.6853999999994</v>
      </c>
      <c r="Y5" s="4">
        <f t="shared" si="1"/>
        <v>4754.8182000000033</v>
      </c>
      <c r="Z5" s="4">
        <f t="shared" si="1"/>
        <v>3939.7021999999993</v>
      </c>
      <c r="AA5" s="4">
        <f t="shared" si="1"/>
        <v>4478.2339999999995</v>
      </c>
      <c r="AB5" s="4">
        <f t="shared" si="1"/>
        <v>4446.1929999999993</v>
      </c>
      <c r="AC5" s="4">
        <f t="shared" si="1"/>
        <v>4576.6381999999985</v>
      </c>
      <c r="AD5" s="1"/>
      <c r="AE5" s="4">
        <f>SUM(AE6:AE497)</f>
        <v>6357.6545019999994</v>
      </c>
    </row>
    <row r="6" spans="1:31" x14ac:dyDescent="0.25">
      <c r="A6" s="1" t="s">
        <v>34</v>
      </c>
      <c r="B6" s="1" t="s">
        <v>35</v>
      </c>
      <c r="C6" s="1">
        <v>521.47299999999996</v>
      </c>
      <c r="D6" s="1">
        <v>688.98900000000003</v>
      </c>
      <c r="E6" s="1">
        <v>294.80900000000003</v>
      </c>
      <c r="F6" s="1">
        <v>883.71699999999998</v>
      </c>
      <c r="G6" s="7">
        <v>1</v>
      </c>
      <c r="H6" s="1">
        <v>50</v>
      </c>
      <c r="I6" s="1" t="s">
        <v>36</v>
      </c>
      <c r="J6" s="1"/>
      <c r="K6" s="1">
        <v>295.95600000000002</v>
      </c>
      <c r="L6" s="1">
        <f t="shared" ref="L6:L37" si="2">E6-K6</f>
        <v>-1.1469999999999914</v>
      </c>
      <c r="M6" s="1">
        <f t="shared" ref="M6:M37" si="3">E6-N6</f>
        <v>273.45300000000003</v>
      </c>
      <c r="N6" s="1">
        <v>21.356000000000002</v>
      </c>
      <c r="O6" s="1"/>
      <c r="P6" s="1"/>
      <c r="Q6" s="1">
        <f t="shared" ref="Q6:Q37" si="4">M6/5</f>
        <v>54.690600000000003</v>
      </c>
      <c r="R6" s="5"/>
      <c r="S6" s="1">
        <f t="shared" ref="S6:S37" si="5">(F6+O6+P6+R6)/Q6</f>
        <v>16.158480616413058</v>
      </c>
      <c r="T6" s="1">
        <f t="shared" ref="T6:T37" si="6">(F6+O6+P6)/Q6</f>
        <v>16.158480616413058</v>
      </c>
      <c r="U6" s="1">
        <v>46.491</v>
      </c>
      <c r="V6" s="1">
        <v>47.119399999999999</v>
      </c>
      <c r="W6" s="1">
        <v>53.623600000000003</v>
      </c>
      <c r="X6" s="1">
        <v>56.045000000000002</v>
      </c>
      <c r="Y6" s="1">
        <v>46.704799999999999</v>
      </c>
      <c r="Z6" s="1">
        <v>63.439599999999999</v>
      </c>
      <c r="AA6" s="1">
        <v>49.296799999999998</v>
      </c>
      <c r="AB6" s="1">
        <v>54.128</v>
      </c>
      <c r="AC6" s="1">
        <v>53.9236</v>
      </c>
      <c r="AD6" s="17" t="s">
        <v>37</v>
      </c>
      <c r="AE6" s="1">
        <f t="shared" ref="AE6:AE16" si="7">G6*R6</f>
        <v>0</v>
      </c>
    </row>
    <row r="7" spans="1:31" x14ac:dyDescent="0.25">
      <c r="A7" s="1" t="s">
        <v>38</v>
      </c>
      <c r="B7" s="1" t="s">
        <v>35</v>
      </c>
      <c r="C7" s="1">
        <v>631.86800000000005</v>
      </c>
      <c r="D7" s="1">
        <v>319.63099999999997</v>
      </c>
      <c r="E7" s="1">
        <v>285.16500000000002</v>
      </c>
      <c r="F7" s="1">
        <v>665.452</v>
      </c>
      <c r="G7" s="7">
        <v>1</v>
      </c>
      <c r="H7" s="1">
        <v>45</v>
      </c>
      <c r="I7" s="1" t="s">
        <v>39</v>
      </c>
      <c r="J7" s="1"/>
      <c r="K7" s="1">
        <v>273.5</v>
      </c>
      <c r="L7" s="1">
        <f t="shared" si="2"/>
        <v>11.66500000000002</v>
      </c>
      <c r="M7" s="1">
        <f t="shared" si="3"/>
        <v>285.16500000000002</v>
      </c>
      <c r="N7" s="1"/>
      <c r="O7" s="1"/>
      <c r="P7" s="1"/>
      <c r="Q7" s="1">
        <f t="shared" si="4"/>
        <v>57.033000000000001</v>
      </c>
      <c r="R7" s="5">
        <f>12*Q7-P7-O7-F7</f>
        <v>18.94399999999996</v>
      </c>
      <c r="S7" s="1">
        <f t="shared" si="5"/>
        <v>11.999999999999998</v>
      </c>
      <c r="T7" s="1">
        <f t="shared" si="6"/>
        <v>11.667841425139832</v>
      </c>
      <c r="U7" s="1">
        <v>50.988399999999999</v>
      </c>
      <c r="V7" s="1">
        <v>57.305199999999999</v>
      </c>
      <c r="W7" s="1">
        <v>50.251199999999997</v>
      </c>
      <c r="X7" s="1">
        <v>39.101599999999998</v>
      </c>
      <c r="Y7" s="1">
        <v>44.53</v>
      </c>
      <c r="Z7" s="1">
        <v>37.011600000000001</v>
      </c>
      <c r="AA7" s="1">
        <v>45.130600000000001</v>
      </c>
      <c r="AB7" s="1">
        <v>43.219000000000001</v>
      </c>
      <c r="AC7" s="1">
        <v>46.550600000000003</v>
      </c>
      <c r="AD7" s="1"/>
      <c r="AE7" s="1">
        <f t="shared" si="7"/>
        <v>18.94399999999996</v>
      </c>
    </row>
    <row r="8" spans="1:31" x14ac:dyDescent="0.25">
      <c r="A8" s="1" t="s">
        <v>40</v>
      </c>
      <c r="B8" s="1" t="s">
        <v>35</v>
      </c>
      <c r="C8" s="1">
        <v>459.97699999999998</v>
      </c>
      <c r="D8" s="1">
        <v>574.846</v>
      </c>
      <c r="E8" s="1">
        <v>326.476</v>
      </c>
      <c r="F8" s="1">
        <v>703.71</v>
      </c>
      <c r="G8" s="7">
        <v>1</v>
      </c>
      <c r="H8" s="1">
        <v>45</v>
      </c>
      <c r="I8" s="1" t="s">
        <v>41</v>
      </c>
      <c r="J8" s="1"/>
      <c r="K8" s="1">
        <v>315.76</v>
      </c>
      <c r="L8" s="1">
        <f t="shared" si="2"/>
        <v>10.716000000000008</v>
      </c>
      <c r="M8" s="1">
        <f t="shared" si="3"/>
        <v>326.476</v>
      </c>
      <c r="N8" s="1"/>
      <c r="O8" s="1"/>
      <c r="P8" s="1"/>
      <c r="Q8" s="1">
        <f t="shared" si="4"/>
        <v>65.295199999999994</v>
      </c>
      <c r="R8" s="5">
        <f>12*Q8-P8-O8-F8</f>
        <v>79.832399999999893</v>
      </c>
      <c r="S8" s="1">
        <f t="shared" si="5"/>
        <v>12</v>
      </c>
      <c r="T8" s="1">
        <f t="shared" si="6"/>
        <v>10.7773618887759</v>
      </c>
      <c r="U8" s="1">
        <v>58.473199999999999</v>
      </c>
      <c r="V8" s="1">
        <v>43.594799999999999</v>
      </c>
      <c r="W8" s="1">
        <v>39.247</v>
      </c>
      <c r="X8" s="1">
        <v>44.662799999999997</v>
      </c>
      <c r="Y8" s="1">
        <v>47.197400000000002</v>
      </c>
      <c r="Z8" s="1">
        <v>49.338799999999999</v>
      </c>
      <c r="AA8" s="1">
        <v>60.385000000000012</v>
      </c>
      <c r="AB8" s="1">
        <v>53.020799999999987</v>
      </c>
      <c r="AC8" s="1">
        <v>57.033399999999993</v>
      </c>
      <c r="AD8" s="1"/>
      <c r="AE8" s="1">
        <f t="shared" si="7"/>
        <v>79.832399999999893</v>
      </c>
    </row>
    <row r="9" spans="1:31" x14ac:dyDescent="0.25">
      <c r="A9" s="1" t="s">
        <v>42</v>
      </c>
      <c r="B9" s="1" t="s">
        <v>43</v>
      </c>
      <c r="C9" s="1">
        <v>826.60699999999997</v>
      </c>
      <c r="D9" s="1">
        <v>618</v>
      </c>
      <c r="E9" s="1">
        <v>610</v>
      </c>
      <c r="F9" s="1">
        <v>823.60699999999997</v>
      </c>
      <c r="G9" s="7">
        <v>0.45</v>
      </c>
      <c r="H9" s="1">
        <v>45</v>
      </c>
      <c r="I9" s="1" t="s">
        <v>44</v>
      </c>
      <c r="J9" s="1"/>
      <c r="K9" s="1">
        <v>616</v>
      </c>
      <c r="L9" s="1">
        <f t="shared" si="2"/>
        <v>-6</v>
      </c>
      <c r="M9" s="1">
        <f t="shared" si="3"/>
        <v>610</v>
      </c>
      <c r="N9" s="1"/>
      <c r="O9" s="1"/>
      <c r="P9" s="1">
        <v>546.79300000000012</v>
      </c>
      <c r="Q9" s="1">
        <f t="shared" si="4"/>
        <v>122</v>
      </c>
      <c r="R9" s="5">
        <f>12*Q9-P9-O9-F9</f>
        <v>93.599999999999909</v>
      </c>
      <c r="S9" s="1">
        <f t="shared" si="5"/>
        <v>12</v>
      </c>
      <c r="T9" s="1">
        <f t="shared" si="6"/>
        <v>11.232786885245902</v>
      </c>
      <c r="U9" s="1">
        <v>130.80000000000001</v>
      </c>
      <c r="V9" s="1">
        <v>90.8</v>
      </c>
      <c r="W9" s="1">
        <v>18.8</v>
      </c>
      <c r="X9" s="1">
        <v>67</v>
      </c>
      <c r="Y9" s="1">
        <v>159.80000000000001</v>
      </c>
      <c r="Z9" s="1">
        <v>86.2</v>
      </c>
      <c r="AA9" s="1">
        <v>120.6</v>
      </c>
      <c r="AB9" s="1">
        <v>72.8</v>
      </c>
      <c r="AC9" s="1">
        <v>150.19999999999999</v>
      </c>
      <c r="AD9" s="1"/>
      <c r="AE9" s="1">
        <f t="shared" si="7"/>
        <v>42.119999999999962</v>
      </c>
    </row>
    <row r="10" spans="1:31" x14ac:dyDescent="0.25">
      <c r="A10" s="1" t="s">
        <v>45</v>
      </c>
      <c r="B10" s="1" t="s">
        <v>43</v>
      </c>
      <c r="C10" s="1">
        <v>729</v>
      </c>
      <c r="D10" s="1">
        <v>675</v>
      </c>
      <c r="E10" s="1">
        <v>701</v>
      </c>
      <c r="F10" s="1">
        <v>693</v>
      </c>
      <c r="G10" s="7">
        <v>0.45</v>
      </c>
      <c r="H10" s="1">
        <v>45</v>
      </c>
      <c r="I10" s="1" t="s">
        <v>46</v>
      </c>
      <c r="J10" s="1"/>
      <c r="K10" s="1">
        <v>703</v>
      </c>
      <c r="L10" s="1">
        <f t="shared" si="2"/>
        <v>-2</v>
      </c>
      <c r="M10" s="1">
        <f t="shared" si="3"/>
        <v>701</v>
      </c>
      <c r="N10" s="1"/>
      <c r="O10" s="1">
        <v>115</v>
      </c>
      <c r="P10" s="1">
        <v>172</v>
      </c>
      <c r="Q10" s="1">
        <f t="shared" si="4"/>
        <v>140.19999999999999</v>
      </c>
      <c r="R10" s="5">
        <f>12*Q10-P10-O10-F10</f>
        <v>702.39999999999986</v>
      </c>
      <c r="S10" s="1">
        <f t="shared" si="5"/>
        <v>12</v>
      </c>
      <c r="T10" s="1">
        <f t="shared" si="6"/>
        <v>6.990014265335236</v>
      </c>
      <c r="U10" s="1">
        <v>109</v>
      </c>
      <c r="V10" s="1">
        <v>125</v>
      </c>
      <c r="W10" s="1">
        <v>115.6</v>
      </c>
      <c r="X10" s="1">
        <v>125.6</v>
      </c>
      <c r="Y10" s="1">
        <v>126</v>
      </c>
      <c r="Z10" s="1">
        <v>99.2</v>
      </c>
      <c r="AA10" s="1">
        <v>110.2</v>
      </c>
      <c r="AB10" s="1">
        <v>113.8</v>
      </c>
      <c r="AC10" s="1">
        <v>125</v>
      </c>
      <c r="AD10" s="1"/>
      <c r="AE10" s="1">
        <f t="shared" si="7"/>
        <v>316.07999999999993</v>
      </c>
    </row>
    <row r="11" spans="1:31" x14ac:dyDescent="0.25">
      <c r="A11" s="1" t="s">
        <v>47</v>
      </c>
      <c r="B11" s="1" t="s">
        <v>43</v>
      </c>
      <c r="C11" s="1">
        <v>232</v>
      </c>
      <c r="D11" s="1">
        <v>169</v>
      </c>
      <c r="E11" s="1">
        <v>103</v>
      </c>
      <c r="F11" s="1">
        <v>302</v>
      </c>
      <c r="G11" s="7">
        <v>0.17</v>
      </c>
      <c r="H11" s="1">
        <v>180</v>
      </c>
      <c r="I11" s="1" t="s">
        <v>48</v>
      </c>
      <c r="J11" s="1"/>
      <c r="K11" s="1">
        <v>99</v>
      </c>
      <c r="L11" s="1">
        <f t="shared" si="2"/>
        <v>4</v>
      </c>
      <c r="M11" s="1">
        <f t="shared" si="3"/>
        <v>103</v>
      </c>
      <c r="N11" s="1"/>
      <c r="O11" s="1"/>
      <c r="P11" s="1"/>
      <c r="Q11" s="1">
        <f t="shared" si="4"/>
        <v>20.6</v>
      </c>
      <c r="R11" s="5"/>
      <c r="S11" s="1">
        <f t="shared" si="5"/>
        <v>14.660194174757281</v>
      </c>
      <c r="T11" s="1">
        <f t="shared" si="6"/>
        <v>14.660194174757281</v>
      </c>
      <c r="U11" s="1">
        <v>16.399999999999999</v>
      </c>
      <c r="V11" s="1">
        <v>10.199999999999999</v>
      </c>
      <c r="W11" s="1">
        <v>11</v>
      </c>
      <c r="X11" s="1">
        <v>13.6</v>
      </c>
      <c r="Y11" s="1">
        <v>17.2</v>
      </c>
      <c r="Z11" s="1">
        <v>16</v>
      </c>
      <c r="AA11" s="1">
        <v>12.6</v>
      </c>
      <c r="AB11" s="1">
        <v>15</v>
      </c>
      <c r="AC11" s="1">
        <v>18</v>
      </c>
      <c r="AD11" s="18" t="s">
        <v>49</v>
      </c>
      <c r="AE11" s="1">
        <f t="shared" si="7"/>
        <v>0</v>
      </c>
    </row>
    <row r="12" spans="1:31" x14ac:dyDescent="0.25">
      <c r="A12" s="1" t="s">
        <v>50</v>
      </c>
      <c r="B12" s="1" t="s">
        <v>43</v>
      </c>
      <c r="C12" s="1">
        <v>147</v>
      </c>
      <c r="D12" s="1">
        <v>204</v>
      </c>
      <c r="E12" s="1">
        <v>159</v>
      </c>
      <c r="F12" s="1">
        <v>201</v>
      </c>
      <c r="G12" s="7">
        <v>0.3</v>
      </c>
      <c r="H12" s="1">
        <v>40</v>
      </c>
      <c r="I12" s="1" t="s">
        <v>51</v>
      </c>
      <c r="J12" s="1"/>
      <c r="K12" s="1">
        <v>143</v>
      </c>
      <c r="L12" s="1">
        <f t="shared" si="2"/>
        <v>16</v>
      </c>
      <c r="M12" s="1">
        <f t="shared" si="3"/>
        <v>159</v>
      </c>
      <c r="N12" s="1"/>
      <c r="O12" s="1"/>
      <c r="P12" s="1"/>
      <c r="Q12" s="1">
        <f t="shared" si="4"/>
        <v>31.8</v>
      </c>
      <c r="R12" s="5">
        <f>12*Q12-P12-O12-F12</f>
        <v>180.60000000000002</v>
      </c>
      <c r="S12" s="1">
        <f t="shared" si="5"/>
        <v>12</v>
      </c>
      <c r="T12" s="1">
        <f t="shared" si="6"/>
        <v>6.3207547169811322</v>
      </c>
      <c r="U12" s="1">
        <v>25.6</v>
      </c>
      <c r="V12" s="1">
        <v>14.2</v>
      </c>
      <c r="W12" s="1">
        <v>10.199999999999999</v>
      </c>
      <c r="X12" s="1">
        <v>20.8</v>
      </c>
      <c r="Y12" s="1">
        <v>31</v>
      </c>
      <c r="Z12" s="1">
        <v>16.600000000000001</v>
      </c>
      <c r="AA12" s="1">
        <v>28.8</v>
      </c>
      <c r="AB12" s="1">
        <v>5</v>
      </c>
      <c r="AC12" s="1">
        <v>32.4</v>
      </c>
      <c r="AD12" s="1"/>
      <c r="AE12" s="1">
        <f t="shared" si="7"/>
        <v>54.180000000000007</v>
      </c>
    </row>
    <row r="13" spans="1:31" x14ac:dyDescent="0.25">
      <c r="A13" s="1" t="s">
        <v>52</v>
      </c>
      <c r="B13" s="1" t="s">
        <v>43</v>
      </c>
      <c r="C13" s="1">
        <v>328</v>
      </c>
      <c r="D13" s="1">
        <v>339</v>
      </c>
      <c r="E13" s="1">
        <v>128</v>
      </c>
      <c r="F13" s="1">
        <v>545</v>
      </c>
      <c r="G13" s="7">
        <v>0.17</v>
      </c>
      <c r="H13" s="1">
        <v>180</v>
      </c>
      <c r="I13" s="1" t="s">
        <v>53</v>
      </c>
      <c r="J13" s="1"/>
      <c r="K13" s="1">
        <v>149</v>
      </c>
      <c r="L13" s="1">
        <f t="shared" si="2"/>
        <v>-21</v>
      </c>
      <c r="M13" s="1">
        <f t="shared" si="3"/>
        <v>128</v>
      </c>
      <c r="N13" s="1"/>
      <c r="O13" s="1"/>
      <c r="P13" s="1"/>
      <c r="Q13" s="1">
        <f t="shared" si="4"/>
        <v>25.6</v>
      </c>
      <c r="R13" s="5"/>
      <c r="S13" s="1">
        <f t="shared" si="5"/>
        <v>21.2890625</v>
      </c>
      <c r="T13" s="1">
        <f t="shared" si="6"/>
        <v>21.2890625</v>
      </c>
      <c r="U13" s="1">
        <v>24</v>
      </c>
      <c r="V13" s="1">
        <v>16.2</v>
      </c>
      <c r="W13" s="1">
        <v>15</v>
      </c>
      <c r="X13" s="1">
        <v>12.2</v>
      </c>
      <c r="Y13" s="1">
        <v>19.600000000000001</v>
      </c>
      <c r="Z13" s="1">
        <v>22</v>
      </c>
      <c r="AA13" s="1">
        <v>19.8</v>
      </c>
      <c r="AB13" s="1">
        <v>22</v>
      </c>
      <c r="AC13" s="1">
        <v>30.4</v>
      </c>
      <c r="AD13" s="17" t="s">
        <v>37</v>
      </c>
      <c r="AE13" s="1">
        <f t="shared" si="7"/>
        <v>0</v>
      </c>
    </row>
    <row r="14" spans="1:31" x14ac:dyDescent="0.25">
      <c r="A14" s="1" t="s">
        <v>54</v>
      </c>
      <c r="B14" s="1" t="s">
        <v>35</v>
      </c>
      <c r="C14" s="1">
        <v>795.71199999999999</v>
      </c>
      <c r="D14" s="1">
        <v>1145.1420000000001</v>
      </c>
      <c r="E14" s="1">
        <v>507.42500000000001</v>
      </c>
      <c r="F14" s="1">
        <v>1403.655</v>
      </c>
      <c r="G14" s="7">
        <v>1</v>
      </c>
      <c r="H14" s="1">
        <v>70</v>
      </c>
      <c r="I14" s="1" t="s">
        <v>55</v>
      </c>
      <c r="J14" s="1"/>
      <c r="K14" s="1">
        <v>499.83300000000003</v>
      </c>
      <c r="L14" s="1">
        <f t="shared" si="2"/>
        <v>7.5919999999999845</v>
      </c>
      <c r="M14" s="1">
        <f t="shared" si="3"/>
        <v>507.42500000000001</v>
      </c>
      <c r="N14" s="1"/>
      <c r="O14" s="1"/>
      <c r="P14" s="1"/>
      <c r="Q14" s="1">
        <f t="shared" si="4"/>
        <v>101.485</v>
      </c>
      <c r="R14" s="5"/>
      <c r="S14" s="1">
        <f t="shared" si="5"/>
        <v>13.831157313888752</v>
      </c>
      <c r="T14" s="1">
        <f t="shared" si="6"/>
        <v>13.831157313888752</v>
      </c>
      <c r="U14" s="1">
        <v>95.054000000000002</v>
      </c>
      <c r="V14" s="1">
        <v>97.219200000000001</v>
      </c>
      <c r="W14" s="1">
        <v>95.599800000000002</v>
      </c>
      <c r="X14" s="1">
        <v>102.29300000000001</v>
      </c>
      <c r="Y14" s="1">
        <v>68.812399999999997</v>
      </c>
      <c r="Z14" s="1">
        <v>85.433599999999998</v>
      </c>
      <c r="AA14" s="1">
        <v>78.587000000000003</v>
      </c>
      <c r="AB14" s="1">
        <v>103.93380000000001</v>
      </c>
      <c r="AC14" s="1">
        <v>70.223800000000011</v>
      </c>
      <c r="AD14" s="1"/>
      <c r="AE14" s="1">
        <f t="shared" si="7"/>
        <v>0</v>
      </c>
    </row>
    <row r="15" spans="1:31" x14ac:dyDescent="0.25">
      <c r="A15" s="1" t="s">
        <v>56</v>
      </c>
      <c r="B15" s="1" t="s">
        <v>35</v>
      </c>
      <c r="C15" s="1">
        <v>1921.3889999999999</v>
      </c>
      <c r="D15" s="1">
        <v>5437.0739999999996</v>
      </c>
      <c r="E15" s="1">
        <v>2469.4319999999998</v>
      </c>
      <c r="F15" s="1">
        <v>4640.6260000000002</v>
      </c>
      <c r="G15" s="7">
        <v>1</v>
      </c>
      <c r="H15" s="1">
        <v>50</v>
      </c>
      <c r="I15" s="1" t="s">
        <v>57</v>
      </c>
      <c r="J15" s="1"/>
      <c r="K15" s="1">
        <v>2411.4580000000001</v>
      </c>
      <c r="L15" s="1">
        <f t="shared" si="2"/>
        <v>57.973999999999705</v>
      </c>
      <c r="M15" s="1">
        <f t="shared" si="3"/>
        <v>2469.4319999999998</v>
      </c>
      <c r="N15" s="1"/>
      <c r="O15" s="1">
        <v>500</v>
      </c>
      <c r="P15" s="1"/>
      <c r="Q15" s="1">
        <f t="shared" si="4"/>
        <v>493.88639999999998</v>
      </c>
      <c r="R15" s="5">
        <f>12*Q15-P15-O15-F15</f>
        <v>786.01080000000002</v>
      </c>
      <c r="S15" s="1">
        <f t="shared" si="5"/>
        <v>12.000000000000002</v>
      </c>
      <c r="T15" s="1">
        <f t="shared" si="6"/>
        <v>10.408519044055476</v>
      </c>
      <c r="U15" s="1">
        <v>433.84800000000001</v>
      </c>
      <c r="V15" s="1">
        <v>434.37839999999989</v>
      </c>
      <c r="W15" s="1">
        <v>429.15240000000011</v>
      </c>
      <c r="X15" s="1">
        <v>496.16739999999999</v>
      </c>
      <c r="Y15" s="1">
        <v>412.55460000000011</v>
      </c>
      <c r="Z15" s="1">
        <v>402.76819999999998</v>
      </c>
      <c r="AA15" s="1">
        <v>385.99779999999998</v>
      </c>
      <c r="AB15" s="1">
        <v>456.52380000000011</v>
      </c>
      <c r="AC15" s="1">
        <v>356.78899999999999</v>
      </c>
      <c r="AD15" s="1"/>
      <c r="AE15" s="1">
        <f t="shared" si="7"/>
        <v>786.01080000000002</v>
      </c>
    </row>
    <row r="16" spans="1:31" x14ac:dyDescent="0.25">
      <c r="A16" s="1" t="s">
        <v>58</v>
      </c>
      <c r="B16" s="1" t="s">
        <v>35</v>
      </c>
      <c r="C16" s="1">
        <v>94.046000000000006</v>
      </c>
      <c r="D16" s="1">
        <v>70.600999999999999</v>
      </c>
      <c r="E16" s="1">
        <v>73.028000000000006</v>
      </c>
      <c r="F16" s="1">
        <v>89.793999999999997</v>
      </c>
      <c r="G16" s="7">
        <v>1</v>
      </c>
      <c r="H16" s="1">
        <v>60</v>
      </c>
      <c r="I16" s="1" t="s">
        <v>59</v>
      </c>
      <c r="J16" s="1"/>
      <c r="K16" s="1">
        <v>67.8</v>
      </c>
      <c r="L16" s="1">
        <f t="shared" si="2"/>
        <v>5.2280000000000086</v>
      </c>
      <c r="M16" s="1">
        <f t="shared" si="3"/>
        <v>73.028000000000006</v>
      </c>
      <c r="N16" s="1"/>
      <c r="O16" s="1">
        <v>34.839804000000029</v>
      </c>
      <c r="P16" s="1"/>
      <c r="Q16" s="1">
        <f t="shared" si="4"/>
        <v>14.605600000000001</v>
      </c>
      <c r="R16" s="5">
        <f>12*Q16-P16-O16-F16</f>
        <v>50.633395999999991</v>
      </c>
      <c r="S16" s="1">
        <f t="shared" si="5"/>
        <v>12</v>
      </c>
      <c r="T16" s="1">
        <f t="shared" si="6"/>
        <v>8.5332888754998102</v>
      </c>
      <c r="U16" s="1">
        <v>13.058199999999999</v>
      </c>
      <c r="V16" s="1">
        <v>15.687200000000001</v>
      </c>
      <c r="W16" s="1">
        <v>14.436199999999999</v>
      </c>
      <c r="X16" s="1">
        <v>16.920999999999999</v>
      </c>
      <c r="Y16" s="1">
        <v>17.105399999999999</v>
      </c>
      <c r="Z16" s="1">
        <v>7.8916000000000004</v>
      </c>
      <c r="AA16" s="1">
        <v>13.2926</v>
      </c>
      <c r="AB16" s="1">
        <v>6.5541999999999998</v>
      </c>
      <c r="AC16" s="1">
        <v>16.474399999999999</v>
      </c>
      <c r="AD16" s="1"/>
      <c r="AE16" s="1">
        <f t="shared" si="7"/>
        <v>50.633395999999991</v>
      </c>
    </row>
    <row r="17" spans="1:31" x14ac:dyDescent="0.25">
      <c r="A17" s="9" t="s">
        <v>60</v>
      </c>
      <c r="B17" s="9" t="s">
        <v>35</v>
      </c>
      <c r="C17" s="9">
        <v>-237.17400000000001</v>
      </c>
      <c r="D17" s="9">
        <v>136.54400000000001</v>
      </c>
      <c r="E17" s="15">
        <v>139.33600000000001</v>
      </c>
      <c r="F17" s="15">
        <v>-376.17599999999999</v>
      </c>
      <c r="G17" s="10">
        <v>0</v>
      </c>
      <c r="H17" s="9"/>
      <c r="I17" s="9" t="s">
        <v>61</v>
      </c>
      <c r="J17" s="9" t="s">
        <v>62</v>
      </c>
      <c r="K17" s="9">
        <v>156.554</v>
      </c>
      <c r="L17" s="9">
        <f t="shared" si="2"/>
        <v>-17.217999999999989</v>
      </c>
      <c r="M17" s="9">
        <f t="shared" si="3"/>
        <v>20.464000000000013</v>
      </c>
      <c r="N17" s="15">
        <v>118.872</v>
      </c>
      <c r="O17" s="9"/>
      <c r="P17" s="9"/>
      <c r="Q17" s="9">
        <f t="shared" si="4"/>
        <v>4.0928000000000022</v>
      </c>
      <c r="R17" s="11"/>
      <c r="S17" s="9">
        <f t="shared" si="5"/>
        <v>-91.911649726348656</v>
      </c>
      <c r="T17" s="9">
        <f t="shared" si="6"/>
        <v>-91.911649726348656</v>
      </c>
      <c r="U17" s="9">
        <v>38.834000000000003</v>
      </c>
      <c r="V17" s="9">
        <v>76.428399999999996</v>
      </c>
      <c r="W17" s="9">
        <v>138.869</v>
      </c>
      <c r="X17" s="9">
        <v>202.4058</v>
      </c>
      <c r="Y17" s="9">
        <v>226.36940000000001</v>
      </c>
      <c r="Z17" s="9">
        <v>199.435</v>
      </c>
      <c r="AA17" s="9">
        <v>217.35759999999999</v>
      </c>
      <c r="AB17" s="9">
        <v>205.24799999999999</v>
      </c>
      <c r="AC17" s="9">
        <v>223.1756</v>
      </c>
      <c r="AD17" s="9" t="s">
        <v>63</v>
      </c>
      <c r="AE17" s="9"/>
    </row>
    <row r="18" spans="1:31" x14ac:dyDescent="0.25">
      <c r="A18" s="1" t="s">
        <v>64</v>
      </c>
      <c r="B18" s="1" t="s">
        <v>35</v>
      </c>
      <c r="C18" s="1">
        <v>22.952999999999999</v>
      </c>
      <c r="D18" s="1">
        <v>92.272999999999996</v>
      </c>
      <c r="E18" s="1">
        <v>45.14</v>
      </c>
      <c r="F18" s="1">
        <v>70.022999999999996</v>
      </c>
      <c r="G18" s="7">
        <v>1</v>
      </c>
      <c r="H18" s="1">
        <v>60</v>
      </c>
      <c r="I18" s="1" t="s">
        <v>65</v>
      </c>
      <c r="J18" s="1"/>
      <c r="K18" s="1">
        <v>39.5</v>
      </c>
      <c r="L18" s="1">
        <f t="shared" si="2"/>
        <v>5.6400000000000006</v>
      </c>
      <c r="M18" s="1">
        <f t="shared" si="3"/>
        <v>45.14</v>
      </c>
      <c r="N18" s="1"/>
      <c r="O18" s="1">
        <v>3.9520940000000171</v>
      </c>
      <c r="P18" s="1"/>
      <c r="Q18" s="1">
        <f t="shared" si="4"/>
        <v>9.0280000000000005</v>
      </c>
      <c r="R18" s="5">
        <f>12*Q18-P18-O18-F18</f>
        <v>34.360906</v>
      </c>
      <c r="S18" s="1">
        <f t="shared" si="5"/>
        <v>12</v>
      </c>
      <c r="T18" s="1">
        <f t="shared" si="6"/>
        <v>8.1939625609215785</v>
      </c>
      <c r="U18" s="1">
        <v>8.1191999999999993</v>
      </c>
      <c r="V18" s="1">
        <v>9.7012</v>
      </c>
      <c r="W18" s="1">
        <v>9.1652000000000005</v>
      </c>
      <c r="X18" s="1">
        <v>10.414</v>
      </c>
      <c r="Y18" s="1">
        <v>8.4854000000000003</v>
      </c>
      <c r="Z18" s="1">
        <v>9.9833999999999996</v>
      </c>
      <c r="AA18" s="1">
        <v>6.6639999999999997</v>
      </c>
      <c r="AB18" s="1">
        <v>7.9236000000000004</v>
      </c>
      <c r="AC18" s="1">
        <v>7.2666000000000004</v>
      </c>
      <c r="AD18" s="1"/>
      <c r="AE18" s="1">
        <f>G18*R18</f>
        <v>34.360906</v>
      </c>
    </row>
    <row r="19" spans="1:31" x14ac:dyDescent="0.25">
      <c r="A19" s="1" t="s">
        <v>66</v>
      </c>
      <c r="B19" s="1" t="s">
        <v>35</v>
      </c>
      <c r="C19" s="1">
        <v>47.286999999999999</v>
      </c>
      <c r="D19" s="1">
        <v>2.1960000000000002</v>
      </c>
      <c r="E19" s="1">
        <v>21.039000000000001</v>
      </c>
      <c r="F19" s="1">
        <v>27.72</v>
      </c>
      <c r="G19" s="7">
        <v>1</v>
      </c>
      <c r="H19" s="1">
        <v>180</v>
      </c>
      <c r="I19" s="1" t="s">
        <v>67</v>
      </c>
      <c r="J19" s="1"/>
      <c r="K19" s="1">
        <v>23.25</v>
      </c>
      <c r="L19" s="1">
        <f t="shared" si="2"/>
        <v>-2.2109999999999985</v>
      </c>
      <c r="M19" s="1">
        <f t="shared" si="3"/>
        <v>21.039000000000001</v>
      </c>
      <c r="N19" s="1"/>
      <c r="O19" s="1"/>
      <c r="P19" s="1">
        <v>8.6441999999999979</v>
      </c>
      <c r="Q19" s="1">
        <f t="shared" si="4"/>
        <v>4.2078000000000007</v>
      </c>
      <c r="R19" s="5">
        <f>12*Q19-P19-O19-F19</f>
        <v>14.129400000000011</v>
      </c>
      <c r="S19" s="1">
        <f t="shared" si="5"/>
        <v>12</v>
      </c>
      <c r="T19" s="1">
        <f t="shared" si="6"/>
        <v>8.6420932553828589</v>
      </c>
      <c r="U19" s="1">
        <v>4.0621999999999998</v>
      </c>
      <c r="V19" s="1">
        <v>2.8765999999999998</v>
      </c>
      <c r="W19" s="1">
        <v>1.7242</v>
      </c>
      <c r="X19" s="1">
        <v>1.1576</v>
      </c>
      <c r="Y19" s="1">
        <v>1.0666</v>
      </c>
      <c r="Z19" s="1">
        <v>1.5609999999999999</v>
      </c>
      <c r="AA19" s="1">
        <v>2.3315999999999999</v>
      </c>
      <c r="AB19" s="1">
        <v>1.694</v>
      </c>
      <c r="AC19" s="1">
        <v>2.5464000000000002</v>
      </c>
      <c r="AD19" s="1"/>
      <c r="AE19" s="1">
        <f>G19*R19</f>
        <v>14.129400000000011</v>
      </c>
    </row>
    <row r="20" spans="1:31" x14ac:dyDescent="0.25">
      <c r="A20" s="1" t="s">
        <v>68</v>
      </c>
      <c r="B20" s="1" t="s">
        <v>35</v>
      </c>
      <c r="C20" s="1">
        <v>499.97</v>
      </c>
      <c r="D20" s="1">
        <v>1056.9690000000001</v>
      </c>
      <c r="E20" s="1">
        <v>422.488</v>
      </c>
      <c r="F20" s="1">
        <v>1123.7670000000001</v>
      </c>
      <c r="G20" s="7">
        <v>1</v>
      </c>
      <c r="H20" s="1">
        <v>60</v>
      </c>
      <c r="I20" s="1" t="s">
        <v>69</v>
      </c>
      <c r="J20" s="1"/>
      <c r="K20" s="1">
        <v>390.68200000000002</v>
      </c>
      <c r="L20" s="1">
        <f t="shared" si="2"/>
        <v>31.805999999999983</v>
      </c>
      <c r="M20" s="1">
        <f t="shared" si="3"/>
        <v>411.90600000000001</v>
      </c>
      <c r="N20" s="1">
        <v>10.582000000000001</v>
      </c>
      <c r="O20" s="1"/>
      <c r="P20" s="1"/>
      <c r="Q20" s="1">
        <f t="shared" si="4"/>
        <v>82.381200000000007</v>
      </c>
      <c r="R20" s="5"/>
      <c r="S20" s="1">
        <f t="shared" si="5"/>
        <v>13.641061310104732</v>
      </c>
      <c r="T20" s="1">
        <f t="shared" si="6"/>
        <v>13.641061310104732</v>
      </c>
      <c r="U20" s="1">
        <v>76.139800000000008</v>
      </c>
      <c r="V20" s="1">
        <v>91.680800000000005</v>
      </c>
      <c r="W20" s="1">
        <v>92.388800000000003</v>
      </c>
      <c r="X20" s="1">
        <v>96.874600000000001</v>
      </c>
      <c r="Y20" s="1">
        <v>72.781599999999997</v>
      </c>
      <c r="Z20" s="1">
        <v>77.642200000000003</v>
      </c>
      <c r="AA20" s="1">
        <v>62.739400000000003</v>
      </c>
      <c r="AB20" s="1">
        <v>79.265599999999992</v>
      </c>
      <c r="AC20" s="1">
        <v>53.703599999999987</v>
      </c>
      <c r="AD20" s="1"/>
      <c r="AE20" s="1">
        <f>G20*R20</f>
        <v>0</v>
      </c>
    </row>
    <row r="21" spans="1:31" x14ac:dyDescent="0.25">
      <c r="A21" s="9" t="s">
        <v>70</v>
      </c>
      <c r="B21" s="9" t="s">
        <v>35</v>
      </c>
      <c r="C21" s="9">
        <v>-30.382000000000001</v>
      </c>
      <c r="D21" s="9"/>
      <c r="E21" s="9"/>
      <c r="F21" s="15">
        <v>-30.382000000000001</v>
      </c>
      <c r="G21" s="10">
        <v>0</v>
      </c>
      <c r="H21" s="9"/>
      <c r="I21" s="9" t="s">
        <v>71</v>
      </c>
      <c r="J21" s="9" t="s">
        <v>72</v>
      </c>
      <c r="K21" s="9"/>
      <c r="L21" s="9">
        <f t="shared" si="2"/>
        <v>0</v>
      </c>
      <c r="M21" s="9">
        <f t="shared" si="3"/>
        <v>0</v>
      </c>
      <c r="N21" s="9"/>
      <c r="O21" s="9"/>
      <c r="P21" s="9"/>
      <c r="Q21" s="9">
        <f t="shared" si="4"/>
        <v>0</v>
      </c>
      <c r="R21" s="11"/>
      <c r="S21" s="9" t="e">
        <f t="shared" si="5"/>
        <v>#DIV/0!</v>
      </c>
      <c r="T21" s="9" t="e">
        <f t="shared" si="6"/>
        <v>#DIV/0!</v>
      </c>
      <c r="U21" s="9">
        <v>0</v>
      </c>
      <c r="V21" s="9">
        <v>6.0763999999999996</v>
      </c>
      <c r="W21" s="9">
        <v>6.0763999999999996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/>
      <c r="AE21" s="9"/>
    </row>
    <row r="22" spans="1:31" x14ac:dyDescent="0.25">
      <c r="A22" s="1" t="s">
        <v>73</v>
      </c>
      <c r="B22" s="1" t="s">
        <v>35</v>
      </c>
      <c r="C22" s="1">
        <v>146.97900000000001</v>
      </c>
      <c r="D22" s="1">
        <v>109.801</v>
      </c>
      <c r="E22" s="1">
        <v>142.52799999999999</v>
      </c>
      <c r="F22" s="1">
        <v>109.396</v>
      </c>
      <c r="G22" s="7">
        <v>1</v>
      </c>
      <c r="H22" s="1">
        <v>70</v>
      </c>
      <c r="I22" s="1" t="s">
        <v>74</v>
      </c>
      <c r="J22" s="1"/>
      <c r="K22" s="1">
        <v>137</v>
      </c>
      <c r="L22" s="1">
        <f t="shared" si="2"/>
        <v>5.5279999999999916</v>
      </c>
      <c r="M22" s="1">
        <f t="shared" si="3"/>
        <v>142.52799999999999</v>
      </c>
      <c r="N22" s="1"/>
      <c r="O22" s="1">
        <v>37.113200000000063</v>
      </c>
      <c r="P22" s="1">
        <v>78.77759999999995</v>
      </c>
      <c r="Q22" s="1">
        <f t="shared" si="4"/>
        <v>28.505599999999998</v>
      </c>
      <c r="R22" s="5">
        <f>12*Q22-P22-O22-F22</f>
        <v>116.78039999999994</v>
      </c>
      <c r="S22" s="1">
        <f t="shared" si="5"/>
        <v>12</v>
      </c>
      <c r="T22" s="1">
        <f t="shared" si="6"/>
        <v>7.9032470812752598</v>
      </c>
      <c r="U22" s="1">
        <v>26.021799999999999</v>
      </c>
      <c r="V22" s="1">
        <v>23.624600000000001</v>
      </c>
      <c r="W22" s="1">
        <v>19.945599999999999</v>
      </c>
      <c r="X22" s="1">
        <v>26.001000000000001</v>
      </c>
      <c r="Y22" s="1">
        <v>23.799199999999999</v>
      </c>
      <c r="Z22" s="1">
        <v>17.553000000000001</v>
      </c>
      <c r="AA22" s="1">
        <v>20.255400000000002</v>
      </c>
      <c r="AB22" s="1">
        <v>21.950600000000001</v>
      </c>
      <c r="AC22" s="1">
        <v>21.411799999999999</v>
      </c>
      <c r="AD22" s="1"/>
      <c r="AE22" s="1">
        <f t="shared" ref="AE22:AE53" si="8">G22*R22</f>
        <v>116.78039999999994</v>
      </c>
    </row>
    <row r="23" spans="1:31" x14ac:dyDescent="0.25">
      <c r="A23" s="1" t="s">
        <v>75</v>
      </c>
      <c r="B23" s="1" t="s">
        <v>35</v>
      </c>
      <c r="C23" s="1">
        <v>250.60900000000001</v>
      </c>
      <c r="D23" s="1">
        <v>685.95</v>
      </c>
      <c r="E23" s="1">
        <v>246.37799999999999</v>
      </c>
      <c r="F23" s="1">
        <v>683.95</v>
      </c>
      <c r="G23" s="7">
        <v>1</v>
      </c>
      <c r="H23" s="1">
        <v>70</v>
      </c>
      <c r="I23" s="1" t="s">
        <v>76</v>
      </c>
      <c r="J23" s="1"/>
      <c r="K23" s="1">
        <v>226.64400000000001</v>
      </c>
      <c r="L23" s="1">
        <f t="shared" si="2"/>
        <v>19.73399999999998</v>
      </c>
      <c r="M23" s="1">
        <f t="shared" si="3"/>
        <v>246.37799999999999</v>
      </c>
      <c r="N23" s="1"/>
      <c r="O23" s="1"/>
      <c r="P23" s="1"/>
      <c r="Q23" s="1">
        <f t="shared" si="4"/>
        <v>49.275599999999997</v>
      </c>
      <c r="R23" s="5"/>
      <c r="S23" s="1">
        <f t="shared" si="5"/>
        <v>13.880094813660312</v>
      </c>
      <c r="T23" s="1">
        <f t="shared" si="6"/>
        <v>13.880094813660312</v>
      </c>
      <c r="U23" s="1">
        <v>48.636000000000003</v>
      </c>
      <c r="V23" s="1">
        <v>32.852600000000002</v>
      </c>
      <c r="W23" s="1">
        <v>19.3628</v>
      </c>
      <c r="X23" s="1">
        <v>28.8674</v>
      </c>
      <c r="Y23" s="1">
        <v>34.682400000000001</v>
      </c>
      <c r="Z23" s="1">
        <v>32.679199999999987</v>
      </c>
      <c r="AA23" s="1">
        <v>30.837599999999998</v>
      </c>
      <c r="AB23" s="1">
        <v>28.3216</v>
      </c>
      <c r="AC23" s="1">
        <v>37.857199999999999</v>
      </c>
      <c r="AD23" s="1"/>
      <c r="AE23" s="1">
        <f t="shared" si="8"/>
        <v>0</v>
      </c>
    </row>
    <row r="24" spans="1:31" x14ac:dyDescent="0.25">
      <c r="A24" s="1" t="s">
        <v>77</v>
      </c>
      <c r="B24" s="1" t="s">
        <v>35</v>
      </c>
      <c r="C24" s="1">
        <v>35.585999999999999</v>
      </c>
      <c r="D24" s="1">
        <v>2.1859999999999999</v>
      </c>
      <c r="E24" s="1">
        <v>23.218</v>
      </c>
      <c r="F24" s="1">
        <v>15.23</v>
      </c>
      <c r="G24" s="7">
        <v>1</v>
      </c>
      <c r="H24" s="1">
        <v>180</v>
      </c>
      <c r="I24" s="1" t="s">
        <v>78</v>
      </c>
      <c r="J24" s="1"/>
      <c r="K24" s="1">
        <v>21.25</v>
      </c>
      <c r="L24" s="1">
        <f t="shared" si="2"/>
        <v>1.968</v>
      </c>
      <c r="M24" s="1">
        <f t="shared" si="3"/>
        <v>23.218</v>
      </c>
      <c r="N24" s="1"/>
      <c r="O24" s="1"/>
      <c r="P24" s="1">
        <v>28.184799999999999</v>
      </c>
      <c r="Q24" s="1">
        <f t="shared" si="4"/>
        <v>4.6436000000000002</v>
      </c>
      <c r="R24" s="5">
        <f>12*Q24-P24-O24-F24</f>
        <v>12.308400000000006</v>
      </c>
      <c r="S24" s="1">
        <f t="shared" si="5"/>
        <v>12</v>
      </c>
      <c r="T24" s="1">
        <f t="shared" si="6"/>
        <v>9.3493840985442329</v>
      </c>
      <c r="U24" s="1">
        <v>4.6448</v>
      </c>
      <c r="V24" s="1">
        <v>2.6063999999999998</v>
      </c>
      <c r="W24" s="1">
        <v>2.6286</v>
      </c>
      <c r="X24" s="1">
        <v>2.681</v>
      </c>
      <c r="Y24" s="1">
        <v>4.7835999999999999</v>
      </c>
      <c r="Z24" s="1">
        <v>1.4914000000000001</v>
      </c>
      <c r="AA24" s="1">
        <v>2.7326000000000001</v>
      </c>
      <c r="AB24" s="1">
        <v>2.423</v>
      </c>
      <c r="AC24" s="1">
        <v>5.8113999999999999</v>
      </c>
      <c r="AD24" s="1"/>
      <c r="AE24" s="1">
        <f t="shared" si="8"/>
        <v>12.308400000000006</v>
      </c>
    </row>
    <row r="25" spans="1:31" x14ac:dyDescent="0.25">
      <c r="A25" s="1" t="s">
        <v>79</v>
      </c>
      <c r="B25" s="1" t="s">
        <v>35</v>
      </c>
      <c r="C25" s="1">
        <v>605.31200000000001</v>
      </c>
      <c r="D25" s="1">
        <v>703.62300000000005</v>
      </c>
      <c r="E25" s="1">
        <v>249.78200000000001</v>
      </c>
      <c r="F25" s="1">
        <v>1052.0050000000001</v>
      </c>
      <c r="G25" s="7">
        <v>1</v>
      </c>
      <c r="H25" s="1">
        <v>70</v>
      </c>
      <c r="I25" s="1" t="s">
        <v>80</v>
      </c>
      <c r="J25" s="1"/>
      <c r="K25" s="1">
        <v>236.81800000000001</v>
      </c>
      <c r="L25" s="1">
        <f t="shared" si="2"/>
        <v>12.963999999999999</v>
      </c>
      <c r="M25" s="1">
        <f t="shared" si="3"/>
        <v>249.78200000000001</v>
      </c>
      <c r="N25" s="1"/>
      <c r="O25" s="1"/>
      <c r="P25" s="1"/>
      <c r="Q25" s="1">
        <f t="shared" si="4"/>
        <v>49.956400000000002</v>
      </c>
      <c r="R25" s="5"/>
      <c r="S25" s="1">
        <f t="shared" si="5"/>
        <v>21.058462979718314</v>
      </c>
      <c r="T25" s="1">
        <f t="shared" si="6"/>
        <v>21.058462979718314</v>
      </c>
      <c r="U25" s="1">
        <v>44.857199999999999</v>
      </c>
      <c r="V25" s="1">
        <v>48.375</v>
      </c>
      <c r="W25" s="1">
        <v>48.767600000000002</v>
      </c>
      <c r="X25" s="1">
        <v>49.643599999999999</v>
      </c>
      <c r="Y25" s="1">
        <v>36.218200000000003</v>
      </c>
      <c r="Z25" s="1">
        <v>44.4452</v>
      </c>
      <c r="AA25" s="1">
        <v>36.724200000000003</v>
      </c>
      <c r="AB25" s="1">
        <v>44.348399999999998</v>
      </c>
      <c r="AC25" s="1">
        <v>37.685600000000001</v>
      </c>
      <c r="AD25" s="17" t="s">
        <v>37</v>
      </c>
      <c r="AE25" s="1">
        <f t="shared" si="8"/>
        <v>0</v>
      </c>
    </row>
    <row r="26" spans="1:31" x14ac:dyDescent="0.25">
      <c r="A26" s="1" t="s">
        <v>81</v>
      </c>
      <c r="B26" s="1" t="s">
        <v>35</v>
      </c>
      <c r="C26" s="1">
        <v>74.066000000000003</v>
      </c>
      <c r="D26" s="1">
        <v>268.15800000000002</v>
      </c>
      <c r="E26" s="1">
        <v>273.75900000000001</v>
      </c>
      <c r="F26" s="1">
        <v>72.721000000000004</v>
      </c>
      <c r="G26" s="7">
        <v>1</v>
      </c>
      <c r="H26" s="1">
        <v>40</v>
      </c>
      <c r="I26" s="1" t="s">
        <v>82</v>
      </c>
      <c r="J26" s="1"/>
      <c r="K26" s="1">
        <v>232.7</v>
      </c>
      <c r="L26" s="1">
        <f t="shared" si="2"/>
        <v>41.059000000000026</v>
      </c>
      <c r="M26" s="1">
        <f t="shared" si="3"/>
        <v>273.75900000000001</v>
      </c>
      <c r="N26" s="1"/>
      <c r="O26" s="1"/>
      <c r="P26" s="1">
        <v>171.27119999999991</v>
      </c>
      <c r="Q26" s="1">
        <f t="shared" si="4"/>
        <v>54.751800000000003</v>
      </c>
      <c r="R26" s="5">
        <f>11*Q26-P26-O26-F26</f>
        <v>358.27760000000012</v>
      </c>
      <c r="S26" s="1">
        <f t="shared" si="5"/>
        <v>11</v>
      </c>
      <c r="T26" s="1">
        <f t="shared" si="6"/>
        <v>4.4563320292666155</v>
      </c>
      <c r="U26" s="1">
        <v>34.035200000000003</v>
      </c>
      <c r="V26" s="1">
        <v>15.829800000000001</v>
      </c>
      <c r="W26" s="1">
        <v>24.122599999999998</v>
      </c>
      <c r="X26" s="1">
        <v>49.462800000000001</v>
      </c>
      <c r="Y26" s="1">
        <v>52.084400000000002</v>
      </c>
      <c r="Z26" s="1">
        <v>43.297199999999997</v>
      </c>
      <c r="AA26" s="1">
        <v>57.178800000000003</v>
      </c>
      <c r="AB26" s="1">
        <v>35.2318</v>
      </c>
      <c r="AC26" s="1">
        <v>37.769599999999997</v>
      </c>
      <c r="AD26" s="1"/>
      <c r="AE26" s="1">
        <f t="shared" si="8"/>
        <v>358.27760000000012</v>
      </c>
    </row>
    <row r="27" spans="1:31" x14ac:dyDescent="0.25">
      <c r="A27" s="1" t="s">
        <v>83</v>
      </c>
      <c r="B27" s="1" t="s">
        <v>35</v>
      </c>
      <c r="C27" s="1">
        <v>612.61800000000005</v>
      </c>
      <c r="D27" s="1">
        <v>606.62900000000002</v>
      </c>
      <c r="E27" s="1">
        <v>260.87700000000001</v>
      </c>
      <c r="F27" s="1">
        <v>915.26599999999996</v>
      </c>
      <c r="G27" s="7">
        <v>1</v>
      </c>
      <c r="H27" s="1">
        <v>30</v>
      </c>
      <c r="I27" s="1" t="s">
        <v>84</v>
      </c>
      <c r="J27" s="1"/>
      <c r="K27" s="1">
        <v>358.59199999999998</v>
      </c>
      <c r="L27" s="1">
        <f t="shared" si="2"/>
        <v>-97.714999999999975</v>
      </c>
      <c r="M27" s="1">
        <f t="shared" si="3"/>
        <v>260.87700000000001</v>
      </c>
      <c r="N27" s="1"/>
      <c r="O27" s="1"/>
      <c r="P27" s="1">
        <v>50</v>
      </c>
      <c r="Q27" s="1">
        <f t="shared" si="4"/>
        <v>52.175400000000003</v>
      </c>
      <c r="R27" s="5">
        <v>180</v>
      </c>
      <c r="S27" s="1">
        <f t="shared" si="5"/>
        <v>21.950306082943303</v>
      </c>
      <c r="T27" s="1">
        <f t="shared" si="6"/>
        <v>18.500404405141119</v>
      </c>
      <c r="U27" s="1">
        <v>48.465800000000002</v>
      </c>
      <c r="V27" s="1">
        <v>53.796000000000006</v>
      </c>
      <c r="W27" s="1">
        <v>36.897000000000013</v>
      </c>
      <c r="X27" s="1">
        <v>13.9148</v>
      </c>
      <c r="Y27" s="1">
        <v>17.303599999999999</v>
      </c>
      <c r="Z27" s="1">
        <v>-2.7688000000000001</v>
      </c>
      <c r="AA27" s="1">
        <v>-1.2552000000000001</v>
      </c>
      <c r="AB27" s="1">
        <v>73.03479999999999</v>
      </c>
      <c r="AC27" s="1">
        <v>27.750399999999999</v>
      </c>
      <c r="AD27" s="1" t="s">
        <v>85</v>
      </c>
      <c r="AE27" s="1">
        <f t="shared" si="8"/>
        <v>180</v>
      </c>
    </row>
    <row r="28" spans="1:31" x14ac:dyDescent="0.25">
      <c r="A28" s="1" t="s">
        <v>86</v>
      </c>
      <c r="B28" s="1" t="s">
        <v>35</v>
      </c>
      <c r="C28" s="1">
        <v>11.965</v>
      </c>
      <c r="D28" s="1">
        <v>1120.5119999999999</v>
      </c>
      <c r="E28" s="1">
        <v>1037.153</v>
      </c>
      <c r="F28" s="1">
        <v>73.271000000000001</v>
      </c>
      <c r="G28" s="7">
        <v>1</v>
      </c>
      <c r="H28" s="1">
        <v>40</v>
      </c>
      <c r="I28" s="1" t="s">
        <v>87</v>
      </c>
      <c r="J28" s="1"/>
      <c r="K28" s="1">
        <v>932.04300000000001</v>
      </c>
      <c r="L28" s="1">
        <f t="shared" si="2"/>
        <v>105.11000000000001</v>
      </c>
      <c r="M28" s="1">
        <f t="shared" si="3"/>
        <v>1000.11</v>
      </c>
      <c r="N28" s="1">
        <v>37.042999999999999</v>
      </c>
      <c r="O28" s="1">
        <v>1200</v>
      </c>
      <c r="P28" s="1">
        <v>595.00359999999955</v>
      </c>
      <c r="Q28" s="1">
        <f t="shared" si="4"/>
        <v>200.02199999999999</v>
      </c>
      <c r="R28" s="5">
        <f>12*Q28-P28-O28-F28</f>
        <v>531.98940000000061</v>
      </c>
      <c r="S28" s="1">
        <f t="shared" si="5"/>
        <v>12.000000000000002</v>
      </c>
      <c r="T28" s="1">
        <f t="shared" si="6"/>
        <v>9.3403455619881797</v>
      </c>
      <c r="U28" s="1">
        <v>174.52520000000001</v>
      </c>
      <c r="V28" s="1">
        <v>208.46619999999999</v>
      </c>
      <c r="W28" s="1">
        <v>206.2114</v>
      </c>
      <c r="X28" s="1">
        <v>208.54480000000001</v>
      </c>
      <c r="Y28" s="1">
        <v>217.6456</v>
      </c>
      <c r="Z28" s="1">
        <v>0</v>
      </c>
      <c r="AA28" s="1">
        <v>181.95480000000001</v>
      </c>
      <c r="AB28" s="1">
        <v>183.54859999999999</v>
      </c>
      <c r="AC28" s="1">
        <v>188.22040000000001</v>
      </c>
      <c r="AD28" s="1"/>
      <c r="AE28" s="1">
        <f t="shared" si="8"/>
        <v>531.98940000000061</v>
      </c>
    </row>
    <row r="29" spans="1:31" x14ac:dyDescent="0.25">
      <c r="A29" s="1" t="s">
        <v>88</v>
      </c>
      <c r="B29" s="1" t="s">
        <v>35</v>
      </c>
      <c r="C29" s="1">
        <v>-7.9000000000000001E-2</v>
      </c>
      <c r="D29" s="1"/>
      <c r="E29" s="1"/>
      <c r="F29" s="1">
        <v>-7.9000000000000001E-2</v>
      </c>
      <c r="G29" s="7">
        <v>1</v>
      </c>
      <c r="H29" s="1">
        <v>40</v>
      </c>
      <c r="I29" s="1" t="s">
        <v>89</v>
      </c>
      <c r="J29" s="1"/>
      <c r="K29" s="1"/>
      <c r="L29" s="1">
        <f t="shared" si="2"/>
        <v>0</v>
      </c>
      <c r="M29" s="1">
        <f t="shared" si="3"/>
        <v>0</v>
      </c>
      <c r="N29" s="1"/>
      <c r="O29" s="1">
        <v>20</v>
      </c>
      <c r="P29" s="1"/>
      <c r="Q29" s="1">
        <f t="shared" si="4"/>
        <v>0</v>
      </c>
      <c r="R29" s="5"/>
      <c r="S29" s="1" t="e">
        <f t="shared" si="5"/>
        <v>#DIV/0!</v>
      </c>
      <c r="T29" s="1" t="e">
        <f t="shared" si="6"/>
        <v>#DIV/0!</v>
      </c>
      <c r="U29" s="1">
        <v>0</v>
      </c>
      <c r="V29" s="1">
        <v>0</v>
      </c>
      <c r="W29" s="1">
        <v>0</v>
      </c>
      <c r="X29" s="1">
        <v>-1.0800000000000001E-2</v>
      </c>
      <c r="Y29" s="1">
        <v>1.5007999999999999</v>
      </c>
      <c r="Z29" s="1">
        <v>1.5975999999999999</v>
      </c>
      <c r="AA29" s="1">
        <v>1.4674</v>
      </c>
      <c r="AB29" s="1">
        <v>2.2871999999999999</v>
      </c>
      <c r="AC29" s="1">
        <v>7.1768000000000001</v>
      </c>
      <c r="AD29" s="1"/>
      <c r="AE29" s="1">
        <f t="shared" si="8"/>
        <v>0</v>
      </c>
    </row>
    <row r="30" spans="1:31" x14ac:dyDescent="0.25">
      <c r="A30" s="1" t="s">
        <v>90</v>
      </c>
      <c r="B30" s="1" t="s">
        <v>35</v>
      </c>
      <c r="C30" s="1">
        <v>54.725000000000001</v>
      </c>
      <c r="D30" s="1">
        <v>104.566</v>
      </c>
      <c r="E30" s="1">
        <v>76.298000000000002</v>
      </c>
      <c r="F30" s="1">
        <v>85.594999999999999</v>
      </c>
      <c r="G30" s="7">
        <v>1</v>
      </c>
      <c r="H30" s="1">
        <v>30</v>
      </c>
      <c r="I30" s="1" t="s">
        <v>91</v>
      </c>
      <c r="J30" s="1"/>
      <c r="K30" s="1">
        <v>89.3</v>
      </c>
      <c r="L30" s="1">
        <f t="shared" si="2"/>
        <v>-13.001999999999995</v>
      </c>
      <c r="M30" s="1">
        <f t="shared" si="3"/>
        <v>76.298000000000002</v>
      </c>
      <c r="N30" s="1"/>
      <c r="O30" s="1">
        <v>104.83839999999999</v>
      </c>
      <c r="P30" s="1"/>
      <c r="Q30" s="1">
        <f t="shared" si="4"/>
        <v>15.259600000000001</v>
      </c>
      <c r="R30" s="5"/>
      <c r="S30" s="1">
        <f t="shared" si="5"/>
        <v>12.479580067629557</v>
      </c>
      <c r="T30" s="1">
        <f t="shared" si="6"/>
        <v>12.479580067629557</v>
      </c>
      <c r="U30" s="1">
        <v>18.017800000000001</v>
      </c>
      <c r="V30" s="1">
        <v>21.190799999999999</v>
      </c>
      <c r="W30" s="1">
        <v>19.9696</v>
      </c>
      <c r="X30" s="1">
        <v>15.2096</v>
      </c>
      <c r="Y30" s="1">
        <v>8.0359999999999996</v>
      </c>
      <c r="Z30" s="1">
        <v>14.986000000000001</v>
      </c>
      <c r="AA30" s="1">
        <v>13.0144</v>
      </c>
      <c r="AB30" s="1">
        <v>16.220400000000001</v>
      </c>
      <c r="AC30" s="1">
        <v>12.088800000000001</v>
      </c>
      <c r="AD30" s="1"/>
      <c r="AE30" s="1">
        <f t="shared" si="8"/>
        <v>0</v>
      </c>
    </row>
    <row r="31" spans="1:31" x14ac:dyDescent="0.25">
      <c r="A31" s="1" t="s">
        <v>92</v>
      </c>
      <c r="B31" s="1" t="s">
        <v>35</v>
      </c>
      <c r="C31" s="1">
        <v>71.171000000000006</v>
      </c>
      <c r="D31" s="1">
        <v>267.07499999999999</v>
      </c>
      <c r="E31" s="1">
        <v>114.55800000000001</v>
      </c>
      <c r="F31" s="1">
        <v>193.51400000000001</v>
      </c>
      <c r="G31" s="7">
        <v>1</v>
      </c>
      <c r="H31" s="1">
        <v>50</v>
      </c>
      <c r="I31" s="1" t="s">
        <v>93</v>
      </c>
      <c r="J31" s="1"/>
      <c r="K31" s="1">
        <v>118.94799999999999</v>
      </c>
      <c r="L31" s="1">
        <f t="shared" si="2"/>
        <v>-4.3899999999999864</v>
      </c>
      <c r="M31" s="1">
        <f t="shared" si="3"/>
        <v>87.01</v>
      </c>
      <c r="N31" s="1">
        <v>27.547999999999998</v>
      </c>
      <c r="O31" s="1"/>
      <c r="P31" s="1">
        <v>41.530199999999979</v>
      </c>
      <c r="Q31" s="1">
        <f t="shared" si="4"/>
        <v>17.402000000000001</v>
      </c>
      <c r="R31" s="5"/>
      <c r="S31" s="1">
        <f t="shared" si="5"/>
        <v>13.506734858062289</v>
      </c>
      <c r="T31" s="1">
        <f t="shared" si="6"/>
        <v>13.506734858062289</v>
      </c>
      <c r="U31" s="1">
        <v>24.775200000000002</v>
      </c>
      <c r="V31" s="1">
        <v>14.6998</v>
      </c>
      <c r="W31" s="1">
        <v>18.186</v>
      </c>
      <c r="X31" s="1">
        <v>27.366599999999998</v>
      </c>
      <c r="Y31" s="1">
        <v>31.243400000000001</v>
      </c>
      <c r="Z31" s="1">
        <v>24.976199999999999</v>
      </c>
      <c r="AA31" s="1">
        <v>22.632000000000001</v>
      </c>
      <c r="AB31" s="1">
        <v>22.380600000000001</v>
      </c>
      <c r="AC31" s="1">
        <v>17.5428</v>
      </c>
      <c r="AD31" s="1"/>
      <c r="AE31" s="1">
        <f t="shared" si="8"/>
        <v>0</v>
      </c>
    </row>
    <row r="32" spans="1:31" x14ac:dyDescent="0.25">
      <c r="A32" s="1" t="s">
        <v>94</v>
      </c>
      <c r="B32" s="1" t="s">
        <v>35</v>
      </c>
      <c r="C32" s="1">
        <v>82.784000000000006</v>
      </c>
      <c r="D32" s="1">
        <v>124.669</v>
      </c>
      <c r="E32" s="1">
        <v>76.87</v>
      </c>
      <c r="F32" s="1">
        <v>132.458</v>
      </c>
      <c r="G32" s="7">
        <v>1</v>
      </c>
      <c r="H32" s="1">
        <v>50</v>
      </c>
      <c r="I32" s="1" t="s">
        <v>95</v>
      </c>
      <c r="J32" s="1"/>
      <c r="K32" s="1">
        <v>78.5</v>
      </c>
      <c r="L32" s="1">
        <f t="shared" si="2"/>
        <v>-1.6299999999999955</v>
      </c>
      <c r="M32" s="1">
        <f t="shared" si="3"/>
        <v>76.87</v>
      </c>
      <c r="N32" s="1"/>
      <c r="O32" s="1"/>
      <c r="P32" s="1"/>
      <c r="Q32" s="1">
        <f t="shared" si="4"/>
        <v>15.374000000000001</v>
      </c>
      <c r="R32" s="5">
        <f>12*Q32-P32-O32-F32</f>
        <v>52.03</v>
      </c>
      <c r="S32" s="1">
        <f t="shared" si="5"/>
        <v>12</v>
      </c>
      <c r="T32" s="1">
        <f t="shared" si="6"/>
        <v>8.615714843241836</v>
      </c>
      <c r="U32" s="1">
        <v>15.021800000000001</v>
      </c>
      <c r="V32" s="1">
        <v>11.911799999999999</v>
      </c>
      <c r="W32" s="1">
        <v>5.1412000000000004</v>
      </c>
      <c r="X32" s="1">
        <v>10.9086</v>
      </c>
      <c r="Y32" s="1">
        <v>18.507999999999999</v>
      </c>
      <c r="Z32" s="1">
        <v>10.6882</v>
      </c>
      <c r="AA32" s="1">
        <v>11.6236</v>
      </c>
      <c r="AB32" s="1">
        <v>10.311400000000001</v>
      </c>
      <c r="AC32" s="1">
        <v>14.8666</v>
      </c>
      <c r="AD32" s="1"/>
      <c r="AE32" s="1">
        <f t="shared" si="8"/>
        <v>52.03</v>
      </c>
    </row>
    <row r="33" spans="1:31" x14ac:dyDescent="0.25">
      <c r="A33" s="1" t="s">
        <v>96</v>
      </c>
      <c r="B33" s="1" t="s">
        <v>43</v>
      </c>
      <c r="C33" s="1">
        <v>1949</v>
      </c>
      <c r="D33" s="1">
        <v>2673</v>
      </c>
      <c r="E33" s="1">
        <v>1877.5150000000001</v>
      </c>
      <c r="F33" s="1">
        <v>2779.4850000000001</v>
      </c>
      <c r="G33" s="7">
        <v>0.4</v>
      </c>
      <c r="H33" s="1">
        <v>45</v>
      </c>
      <c r="I33" s="1" t="s">
        <v>97</v>
      </c>
      <c r="J33" s="1"/>
      <c r="K33" s="1">
        <v>1835</v>
      </c>
      <c r="L33" s="1">
        <f t="shared" si="2"/>
        <v>42.5150000000001</v>
      </c>
      <c r="M33" s="1">
        <f t="shared" si="3"/>
        <v>1877.5150000000001</v>
      </c>
      <c r="N33" s="1"/>
      <c r="O33" s="1"/>
      <c r="P33" s="1">
        <v>475.80000000000018</v>
      </c>
      <c r="Q33" s="1">
        <f t="shared" si="4"/>
        <v>375.50300000000004</v>
      </c>
      <c r="R33" s="5">
        <f>12*Q33-P33-O33-F33</f>
        <v>1250.7509999999997</v>
      </c>
      <c r="S33" s="1">
        <f t="shared" si="5"/>
        <v>11.999999999999998</v>
      </c>
      <c r="T33" s="1">
        <f t="shared" si="6"/>
        <v>8.6691318045395107</v>
      </c>
      <c r="U33" s="1">
        <v>320.60000000000002</v>
      </c>
      <c r="V33" s="1">
        <v>255</v>
      </c>
      <c r="W33" s="1">
        <v>249.2</v>
      </c>
      <c r="X33" s="1">
        <v>344.4</v>
      </c>
      <c r="Y33" s="1">
        <v>336.6</v>
      </c>
      <c r="Z33" s="1">
        <v>287.2</v>
      </c>
      <c r="AA33" s="1">
        <v>319.39999999999998</v>
      </c>
      <c r="AB33" s="1">
        <v>310</v>
      </c>
      <c r="AC33" s="1">
        <v>329</v>
      </c>
      <c r="AD33" s="1"/>
      <c r="AE33" s="1">
        <f t="shared" si="8"/>
        <v>500.30039999999991</v>
      </c>
    </row>
    <row r="34" spans="1:31" x14ac:dyDescent="0.25">
      <c r="A34" s="1" t="s">
        <v>98</v>
      </c>
      <c r="B34" s="1" t="s">
        <v>43</v>
      </c>
      <c r="C34" s="1">
        <v>175</v>
      </c>
      <c r="D34" s="1">
        <v>597</v>
      </c>
      <c r="E34" s="1">
        <v>328</v>
      </c>
      <c r="F34" s="1">
        <v>423</v>
      </c>
      <c r="G34" s="7">
        <v>0.45</v>
      </c>
      <c r="H34" s="1">
        <v>50</v>
      </c>
      <c r="I34" s="1" t="s">
        <v>99</v>
      </c>
      <c r="J34" s="1"/>
      <c r="K34" s="1">
        <v>349</v>
      </c>
      <c r="L34" s="1">
        <f t="shared" si="2"/>
        <v>-21</v>
      </c>
      <c r="M34" s="1">
        <f t="shared" si="3"/>
        <v>328</v>
      </c>
      <c r="N34" s="1"/>
      <c r="O34" s="1">
        <v>41.5</v>
      </c>
      <c r="P34" s="1">
        <v>219.9</v>
      </c>
      <c r="Q34" s="1">
        <f t="shared" si="4"/>
        <v>65.599999999999994</v>
      </c>
      <c r="R34" s="5">
        <f>12*Q34-P34-O34-F34</f>
        <v>102.79999999999995</v>
      </c>
      <c r="S34" s="1">
        <f t="shared" si="5"/>
        <v>12</v>
      </c>
      <c r="T34" s="1">
        <f t="shared" si="6"/>
        <v>10.432926829268293</v>
      </c>
      <c r="U34" s="1">
        <v>63.8</v>
      </c>
      <c r="V34" s="1">
        <v>64.2</v>
      </c>
      <c r="W34" s="1">
        <v>55</v>
      </c>
      <c r="X34" s="1">
        <v>60.2</v>
      </c>
      <c r="Y34" s="1">
        <v>45.4</v>
      </c>
      <c r="Z34" s="1">
        <v>26.6</v>
      </c>
      <c r="AA34" s="1">
        <v>55.2</v>
      </c>
      <c r="AB34" s="1">
        <v>58.2</v>
      </c>
      <c r="AC34" s="1">
        <v>29.6</v>
      </c>
      <c r="AD34" s="1"/>
      <c r="AE34" s="1">
        <f t="shared" si="8"/>
        <v>46.259999999999984</v>
      </c>
    </row>
    <row r="35" spans="1:31" x14ac:dyDescent="0.25">
      <c r="A35" s="1" t="s">
        <v>100</v>
      </c>
      <c r="B35" s="1" t="s">
        <v>43</v>
      </c>
      <c r="C35" s="1">
        <v>165</v>
      </c>
      <c r="D35" s="1">
        <v>1607</v>
      </c>
      <c r="E35" s="1">
        <v>779</v>
      </c>
      <c r="F35" s="1">
        <v>1004</v>
      </c>
      <c r="G35" s="7">
        <v>0.4</v>
      </c>
      <c r="H35" s="1">
        <v>45</v>
      </c>
      <c r="I35" s="1" t="s">
        <v>101</v>
      </c>
      <c r="J35" s="1"/>
      <c r="K35" s="1">
        <v>762</v>
      </c>
      <c r="L35" s="1">
        <f t="shared" si="2"/>
        <v>17</v>
      </c>
      <c r="M35" s="1">
        <f t="shared" si="3"/>
        <v>779</v>
      </c>
      <c r="N35" s="1"/>
      <c r="O35" s="1"/>
      <c r="P35" s="1">
        <v>217.39999999999989</v>
      </c>
      <c r="Q35" s="1">
        <f t="shared" si="4"/>
        <v>155.80000000000001</v>
      </c>
      <c r="R35" s="5">
        <f>12*Q35-P35-O35-F35</f>
        <v>648.20000000000027</v>
      </c>
      <c r="S35" s="1">
        <f t="shared" si="5"/>
        <v>12</v>
      </c>
      <c r="T35" s="1">
        <f t="shared" si="6"/>
        <v>7.8395378690628998</v>
      </c>
      <c r="U35" s="1">
        <v>127.8</v>
      </c>
      <c r="V35" s="1">
        <v>123</v>
      </c>
      <c r="W35" s="1">
        <v>109.2</v>
      </c>
      <c r="X35" s="1">
        <v>150.6</v>
      </c>
      <c r="Y35" s="1">
        <v>138</v>
      </c>
      <c r="Z35" s="1">
        <v>93.8</v>
      </c>
      <c r="AA35" s="1">
        <v>118.6</v>
      </c>
      <c r="AB35" s="1">
        <v>114.8</v>
      </c>
      <c r="AC35" s="1">
        <v>89.8</v>
      </c>
      <c r="AD35" s="1"/>
      <c r="AE35" s="1">
        <f t="shared" si="8"/>
        <v>259.28000000000014</v>
      </c>
    </row>
    <row r="36" spans="1:31" x14ac:dyDescent="0.25">
      <c r="A36" s="1" t="s">
        <v>102</v>
      </c>
      <c r="B36" s="1" t="s">
        <v>43</v>
      </c>
      <c r="C36" s="1">
        <v>126</v>
      </c>
      <c r="D36" s="1">
        <v>63</v>
      </c>
      <c r="E36" s="1">
        <v>143</v>
      </c>
      <c r="F36" s="1">
        <v>37</v>
      </c>
      <c r="G36" s="7">
        <v>0.4</v>
      </c>
      <c r="H36" s="1">
        <v>40</v>
      </c>
      <c r="I36" s="1" t="s">
        <v>103</v>
      </c>
      <c r="J36" s="1"/>
      <c r="K36" s="1">
        <v>150</v>
      </c>
      <c r="L36" s="1">
        <f t="shared" si="2"/>
        <v>-7</v>
      </c>
      <c r="M36" s="1">
        <f t="shared" si="3"/>
        <v>143</v>
      </c>
      <c r="N36" s="1"/>
      <c r="O36" s="1">
        <v>23.600000000000019</v>
      </c>
      <c r="P36" s="1">
        <v>55.799999999999947</v>
      </c>
      <c r="Q36" s="1">
        <f t="shared" si="4"/>
        <v>28.6</v>
      </c>
      <c r="R36" s="5">
        <f>11*Q36-P36-O36-F36</f>
        <v>198.20000000000005</v>
      </c>
      <c r="S36" s="1">
        <f t="shared" si="5"/>
        <v>11</v>
      </c>
      <c r="T36" s="1">
        <f t="shared" si="6"/>
        <v>4.0699300699300691</v>
      </c>
      <c r="U36" s="1">
        <v>21.4</v>
      </c>
      <c r="V36" s="1">
        <v>16.8</v>
      </c>
      <c r="W36" s="1">
        <v>-0.2</v>
      </c>
      <c r="X36" s="1">
        <v>8</v>
      </c>
      <c r="Y36" s="1">
        <v>23</v>
      </c>
      <c r="Z36" s="1">
        <v>3</v>
      </c>
      <c r="AA36" s="1">
        <v>14.8</v>
      </c>
      <c r="AB36" s="1">
        <v>8.1999999999999993</v>
      </c>
      <c r="AC36" s="1">
        <v>22.4</v>
      </c>
      <c r="AD36" s="1"/>
      <c r="AE36" s="1">
        <f t="shared" si="8"/>
        <v>79.28000000000003</v>
      </c>
    </row>
    <row r="37" spans="1:31" x14ac:dyDescent="0.25">
      <c r="A37" s="1" t="s">
        <v>104</v>
      </c>
      <c r="B37" s="1" t="s">
        <v>35</v>
      </c>
      <c r="C37" s="1">
        <v>11.484</v>
      </c>
      <c r="D37" s="1">
        <v>43.286000000000001</v>
      </c>
      <c r="E37" s="1">
        <v>18.686</v>
      </c>
      <c r="F37" s="1">
        <v>34.667999999999999</v>
      </c>
      <c r="G37" s="7">
        <v>1</v>
      </c>
      <c r="H37" s="1">
        <v>45</v>
      </c>
      <c r="I37" s="1" t="s">
        <v>105</v>
      </c>
      <c r="J37" s="1"/>
      <c r="K37" s="1">
        <v>20.5</v>
      </c>
      <c r="L37" s="1">
        <f t="shared" si="2"/>
        <v>-1.8140000000000001</v>
      </c>
      <c r="M37" s="1">
        <f t="shared" si="3"/>
        <v>18.686</v>
      </c>
      <c r="N37" s="1"/>
      <c r="O37" s="1"/>
      <c r="P37" s="1"/>
      <c r="Q37" s="1">
        <f t="shared" si="4"/>
        <v>3.7372000000000001</v>
      </c>
      <c r="R37" s="5">
        <f>12*Q37-P37-O37-F37</f>
        <v>10.178400000000003</v>
      </c>
      <c r="S37" s="1">
        <f t="shared" si="5"/>
        <v>12</v>
      </c>
      <c r="T37" s="1">
        <f t="shared" si="6"/>
        <v>9.2764636626351269</v>
      </c>
      <c r="U37" s="1">
        <v>2.1223999999999998</v>
      </c>
      <c r="V37" s="1">
        <v>1.2802</v>
      </c>
      <c r="W37" s="1">
        <v>5.2165999999999997</v>
      </c>
      <c r="X37" s="1">
        <v>5.4985999999999997</v>
      </c>
      <c r="Y37" s="1">
        <v>1.4361999999999999</v>
      </c>
      <c r="Z37" s="1">
        <v>1.7312000000000001</v>
      </c>
      <c r="AA37" s="1">
        <v>2.1154000000000002</v>
      </c>
      <c r="AB37" s="1">
        <v>2.3014000000000001</v>
      </c>
      <c r="AC37" s="1">
        <v>1.3078000000000001</v>
      </c>
      <c r="AD37" s="1"/>
      <c r="AE37" s="1">
        <f t="shared" si="8"/>
        <v>10.178400000000003</v>
      </c>
    </row>
    <row r="38" spans="1:31" x14ac:dyDescent="0.25">
      <c r="A38" s="1" t="s">
        <v>106</v>
      </c>
      <c r="B38" s="1" t="s">
        <v>43</v>
      </c>
      <c r="C38" s="1">
        <v>175</v>
      </c>
      <c r="D38" s="1">
        <v>200</v>
      </c>
      <c r="E38" s="1">
        <v>64</v>
      </c>
      <c r="F38" s="1">
        <v>306</v>
      </c>
      <c r="G38" s="7">
        <v>0.1</v>
      </c>
      <c r="H38" s="1">
        <v>731</v>
      </c>
      <c r="I38" s="1" t="s">
        <v>107</v>
      </c>
      <c r="J38" s="1"/>
      <c r="K38" s="1">
        <v>69</v>
      </c>
      <c r="L38" s="1">
        <f t="shared" ref="L38:L69" si="9">E38-K38</f>
        <v>-5</v>
      </c>
      <c r="M38" s="1">
        <f t="shared" ref="M38:M69" si="10">E38-N38</f>
        <v>64</v>
      </c>
      <c r="N38" s="1"/>
      <c r="O38" s="1"/>
      <c r="P38" s="1"/>
      <c r="Q38" s="1">
        <f t="shared" ref="Q38:Q69" si="11">M38/5</f>
        <v>12.8</v>
      </c>
      <c r="R38" s="5"/>
      <c r="S38" s="1">
        <f t="shared" ref="S38:S69" si="12">(F38+O38+P38+R38)/Q38</f>
        <v>23.90625</v>
      </c>
      <c r="T38" s="1">
        <f t="shared" ref="T38:T69" si="13">(F38+O38+P38)/Q38</f>
        <v>23.90625</v>
      </c>
      <c r="U38" s="1">
        <v>11.6</v>
      </c>
      <c r="V38" s="1">
        <v>6.8</v>
      </c>
      <c r="W38" s="1">
        <v>6.8</v>
      </c>
      <c r="X38" s="1">
        <v>12</v>
      </c>
      <c r="Y38" s="1">
        <v>9.1999999999999993</v>
      </c>
      <c r="Z38" s="1">
        <v>10.8</v>
      </c>
      <c r="AA38" s="1">
        <v>14</v>
      </c>
      <c r="AB38" s="1">
        <v>11</v>
      </c>
      <c r="AC38" s="1">
        <v>15.2</v>
      </c>
      <c r="AD38" s="18" t="s">
        <v>49</v>
      </c>
      <c r="AE38" s="1">
        <f t="shared" si="8"/>
        <v>0</v>
      </c>
    </row>
    <row r="39" spans="1:31" x14ac:dyDescent="0.25">
      <c r="A39" s="1" t="s">
        <v>108</v>
      </c>
      <c r="B39" s="1" t="s">
        <v>43</v>
      </c>
      <c r="C39" s="1">
        <v>86</v>
      </c>
      <c r="D39" s="1">
        <v>63</v>
      </c>
      <c r="E39" s="1">
        <v>132</v>
      </c>
      <c r="F39" s="1">
        <v>-1</v>
      </c>
      <c r="G39" s="7">
        <v>0.35</v>
      </c>
      <c r="H39" s="1">
        <v>40</v>
      </c>
      <c r="I39" s="1" t="s">
        <v>109</v>
      </c>
      <c r="J39" s="1"/>
      <c r="K39" s="1">
        <v>154</v>
      </c>
      <c r="L39" s="1">
        <f t="shared" si="9"/>
        <v>-22</v>
      </c>
      <c r="M39" s="1">
        <f t="shared" si="10"/>
        <v>132</v>
      </c>
      <c r="N39" s="1"/>
      <c r="O39" s="1">
        <v>100</v>
      </c>
      <c r="P39" s="1">
        <v>165.4</v>
      </c>
      <c r="Q39" s="1">
        <f t="shared" si="11"/>
        <v>26.4</v>
      </c>
      <c r="R39" s="5">
        <f>12*Q39-P39-O39-F39</f>
        <v>52.399999999999949</v>
      </c>
      <c r="S39" s="1">
        <f t="shared" si="12"/>
        <v>11.999999999999998</v>
      </c>
      <c r="T39" s="1">
        <f t="shared" si="13"/>
        <v>10.015151515151516</v>
      </c>
      <c r="U39" s="1">
        <v>27.4</v>
      </c>
      <c r="V39" s="1">
        <v>18</v>
      </c>
      <c r="W39" s="1">
        <v>8</v>
      </c>
      <c r="X39" s="1">
        <v>5</v>
      </c>
      <c r="Y39" s="1">
        <v>13.2</v>
      </c>
      <c r="Z39" s="1">
        <v>13.2</v>
      </c>
      <c r="AA39" s="1">
        <v>15.8</v>
      </c>
      <c r="AB39" s="1">
        <v>7.6</v>
      </c>
      <c r="AC39" s="1">
        <v>19.2</v>
      </c>
      <c r="AD39" s="1"/>
      <c r="AE39" s="1">
        <f t="shared" si="8"/>
        <v>18.339999999999982</v>
      </c>
    </row>
    <row r="40" spans="1:31" x14ac:dyDescent="0.25">
      <c r="A40" s="1" t="s">
        <v>110</v>
      </c>
      <c r="B40" s="1" t="s">
        <v>35</v>
      </c>
      <c r="C40" s="1">
        <v>-0.23499999999999999</v>
      </c>
      <c r="D40" s="1">
        <v>69.509</v>
      </c>
      <c r="E40" s="1">
        <v>15.6</v>
      </c>
      <c r="F40" s="1">
        <v>42.076000000000001</v>
      </c>
      <c r="G40" s="7">
        <v>1</v>
      </c>
      <c r="H40" s="1">
        <v>40</v>
      </c>
      <c r="I40" s="1" t="s">
        <v>111</v>
      </c>
      <c r="J40" s="1"/>
      <c r="K40" s="1">
        <v>27.8</v>
      </c>
      <c r="L40" s="1">
        <f t="shared" si="9"/>
        <v>-12.200000000000001</v>
      </c>
      <c r="M40" s="1">
        <f t="shared" si="10"/>
        <v>15.6</v>
      </c>
      <c r="N40" s="1"/>
      <c r="O40" s="1"/>
      <c r="P40" s="1"/>
      <c r="Q40" s="1">
        <f t="shared" si="11"/>
        <v>3.12</v>
      </c>
      <c r="R40" s="5"/>
      <c r="S40" s="1">
        <f t="shared" si="12"/>
        <v>13.485897435897435</v>
      </c>
      <c r="T40" s="1">
        <f t="shared" si="13"/>
        <v>13.485897435897435</v>
      </c>
      <c r="U40" s="1">
        <v>-2.3201999999999998</v>
      </c>
      <c r="V40" s="1">
        <v>4.6399999999999997</v>
      </c>
      <c r="W40" s="1">
        <v>12.0344</v>
      </c>
      <c r="X40" s="1">
        <v>8.6964000000000006</v>
      </c>
      <c r="Y40" s="1">
        <v>-0.28560000000000002</v>
      </c>
      <c r="Z40" s="1">
        <v>12.2912</v>
      </c>
      <c r="AA40" s="1">
        <v>15.029199999999999</v>
      </c>
      <c r="AB40" s="1">
        <v>7.6513999999999998</v>
      </c>
      <c r="AC40" s="1">
        <v>-1.1644000000000001</v>
      </c>
      <c r="AD40" s="1"/>
      <c r="AE40" s="1">
        <f t="shared" si="8"/>
        <v>0</v>
      </c>
    </row>
    <row r="41" spans="1:31" x14ac:dyDescent="0.25">
      <c r="A41" s="1" t="s">
        <v>112</v>
      </c>
      <c r="B41" s="1" t="s">
        <v>43</v>
      </c>
      <c r="C41" s="1">
        <v>63</v>
      </c>
      <c r="D41" s="1">
        <v>50</v>
      </c>
      <c r="E41" s="1">
        <v>48</v>
      </c>
      <c r="F41" s="1">
        <v>66</v>
      </c>
      <c r="G41" s="7">
        <v>0.375</v>
      </c>
      <c r="H41" s="1">
        <v>50</v>
      </c>
      <c r="I41" s="1" t="s">
        <v>259</v>
      </c>
      <c r="J41" s="1"/>
      <c r="K41" s="1">
        <v>48</v>
      </c>
      <c r="L41" s="1">
        <f t="shared" si="9"/>
        <v>0</v>
      </c>
      <c r="M41" s="1">
        <f t="shared" si="10"/>
        <v>48</v>
      </c>
      <c r="N41" s="1"/>
      <c r="O41" s="1">
        <v>15.19999999999999</v>
      </c>
      <c r="P41" s="1"/>
      <c r="Q41" s="1">
        <f t="shared" si="11"/>
        <v>9.6</v>
      </c>
      <c r="R41" s="5">
        <f>12*Q41-P41-O41-F41</f>
        <v>34</v>
      </c>
      <c r="S41" s="1">
        <f t="shared" si="12"/>
        <v>12</v>
      </c>
      <c r="T41" s="1">
        <f t="shared" si="13"/>
        <v>8.4583333333333321</v>
      </c>
      <c r="U41" s="1">
        <v>7.4</v>
      </c>
      <c r="V41" s="1">
        <v>10</v>
      </c>
      <c r="W41" s="1">
        <v>9.8000000000000007</v>
      </c>
      <c r="X41" s="1">
        <v>11.4</v>
      </c>
      <c r="Y41" s="1">
        <v>7.8</v>
      </c>
      <c r="Z41" s="1">
        <v>0</v>
      </c>
      <c r="AA41" s="1">
        <v>0</v>
      </c>
      <c r="AB41" s="1">
        <v>0</v>
      </c>
      <c r="AC41" s="1">
        <v>3</v>
      </c>
      <c r="AD41" s="1"/>
      <c r="AE41" s="1">
        <f t="shared" si="8"/>
        <v>12.75</v>
      </c>
    </row>
    <row r="42" spans="1:31" x14ac:dyDescent="0.25">
      <c r="A42" s="1" t="s">
        <v>113</v>
      </c>
      <c r="B42" s="1" t="s">
        <v>43</v>
      </c>
      <c r="C42" s="1">
        <v>95</v>
      </c>
      <c r="D42" s="1">
        <v>444</v>
      </c>
      <c r="E42" s="1">
        <v>113</v>
      </c>
      <c r="F42" s="1">
        <v>397</v>
      </c>
      <c r="G42" s="7">
        <v>0.4</v>
      </c>
      <c r="H42" s="1">
        <v>40</v>
      </c>
      <c r="I42" s="1" t="s">
        <v>114</v>
      </c>
      <c r="J42" s="1"/>
      <c r="K42" s="1">
        <v>198</v>
      </c>
      <c r="L42" s="1">
        <f t="shared" si="9"/>
        <v>-85</v>
      </c>
      <c r="M42" s="1">
        <f t="shared" si="10"/>
        <v>113</v>
      </c>
      <c r="N42" s="1"/>
      <c r="O42" s="1"/>
      <c r="P42" s="1"/>
      <c r="Q42" s="1">
        <f t="shared" si="11"/>
        <v>22.6</v>
      </c>
      <c r="R42" s="5"/>
      <c r="S42" s="1">
        <f t="shared" si="12"/>
        <v>17.566371681415927</v>
      </c>
      <c r="T42" s="1">
        <f t="shared" si="13"/>
        <v>17.566371681415927</v>
      </c>
      <c r="U42" s="1">
        <v>23.4</v>
      </c>
      <c r="V42" s="1">
        <v>28.8</v>
      </c>
      <c r="W42" s="1">
        <v>24</v>
      </c>
      <c r="X42" s="1">
        <v>37.799999999999997</v>
      </c>
      <c r="Y42" s="1">
        <v>30.8</v>
      </c>
      <c r="Z42" s="1">
        <v>14.4</v>
      </c>
      <c r="AA42" s="1">
        <v>9</v>
      </c>
      <c r="AB42" s="1">
        <v>21</v>
      </c>
      <c r="AC42" s="1">
        <v>5.2</v>
      </c>
      <c r="AD42" s="1"/>
      <c r="AE42" s="1">
        <f t="shared" si="8"/>
        <v>0</v>
      </c>
    </row>
    <row r="43" spans="1:31" x14ac:dyDescent="0.25">
      <c r="A43" s="1" t="s">
        <v>115</v>
      </c>
      <c r="B43" s="1" t="s">
        <v>43</v>
      </c>
      <c r="C43" s="1">
        <v>292</v>
      </c>
      <c r="D43" s="1">
        <v>110</v>
      </c>
      <c r="E43" s="1">
        <v>189</v>
      </c>
      <c r="F43" s="1">
        <v>152</v>
      </c>
      <c r="G43" s="7">
        <v>0.4</v>
      </c>
      <c r="H43" s="1">
        <v>45</v>
      </c>
      <c r="I43" s="1" t="s">
        <v>116</v>
      </c>
      <c r="J43" s="1"/>
      <c r="K43" s="1">
        <v>245</v>
      </c>
      <c r="L43" s="1">
        <f t="shared" si="9"/>
        <v>-56</v>
      </c>
      <c r="M43" s="1">
        <f t="shared" si="10"/>
        <v>189</v>
      </c>
      <c r="N43" s="1"/>
      <c r="O43" s="1">
        <v>77.799999999999955</v>
      </c>
      <c r="P43" s="1">
        <v>129.8000000000001</v>
      </c>
      <c r="Q43" s="1">
        <f t="shared" si="11"/>
        <v>37.799999999999997</v>
      </c>
      <c r="R43" s="5">
        <f>12*Q43-P43-O43-F43</f>
        <v>93.999999999999886</v>
      </c>
      <c r="S43" s="1">
        <f t="shared" si="12"/>
        <v>11.999999999999998</v>
      </c>
      <c r="T43" s="1">
        <f t="shared" si="13"/>
        <v>9.5132275132275144</v>
      </c>
      <c r="U43" s="1">
        <v>38.6</v>
      </c>
      <c r="V43" s="1">
        <v>36.4</v>
      </c>
      <c r="W43" s="1">
        <v>23.2</v>
      </c>
      <c r="X43" s="1">
        <v>13.8</v>
      </c>
      <c r="Y43" s="1">
        <v>26.4</v>
      </c>
      <c r="Z43" s="1">
        <v>27</v>
      </c>
      <c r="AA43" s="1">
        <v>40.4</v>
      </c>
      <c r="AB43" s="1">
        <v>22.2</v>
      </c>
      <c r="AC43" s="1">
        <v>51.8</v>
      </c>
      <c r="AD43" s="1"/>
      <c r="AE43" s="1">
        <f t="shared" si="8"/>
        <v>37.599999999999959</v>
      </c>
    </row>
    <row r="44" spans="1:31" x14ac:dyDescent="0.25">
      <c r="A44" s="1" t="s">
        <v>117</v>
      </c>
      <c r="B44" s="1" t="s">
        <v>35</v>
      </c>
      <c r="C44" s="1">
        <v>183.351</v>
      </c>
      <c r="D44" s="1">
        <v>127.599</v>
      </c>
      <c r="E44" s="1">
        <v>84.028999999999996</v>
      </c>
      <c r="F44" s="1">
        <v>211.523</v>
      </c>
      <c r="G44" s="7">
        <v>1</v>
      </c>
      <c r="H44" s="1">
        <v>40</v>
      </c>
      <c r="I44" s="1" t="s">
        <v>118</v>
      </c>
      <c r="J44" s="1"/>
      <c r="K44" s="1">
        <v>98.6</v>
      </c>
      <c r="L44" s="1">
        <f t="shared" si="9"/>
        <v>-14.570999999999998</v>
      </c>
      <c r="M44" s="1">
        <f t="shared" si="10"/>
        <v>84.028999999999996</v>
      </c>
      <c r="N44" s="1"/>
      <c r="O44" s="1"/>
      <c r="P44" s="1"/>
      <c r="Q44" s="1">
        <f t="shared" si="11"/>
        <v>16.805799999999998</v>
      </c>
      <c r="R44" s="5"/>
      <c r="S44" s="1">
        <f t="shared" si="12"/>
        <v>12.586309488390913</v>
      </c>
      <c r="T44" s="1">
        <f t="shared" si="13"/>
        <v>12.586309488390913</v>
      </c>
      <c r="U44" s="1">
        <v>22.568000000000001</v>
      </c>
      <c r="V44" s="1">
        <v>21.9788</v>
      </c>
      <c r="W44" s="1">
        <v>8.1810000000000009</v>
      </c>
      <c r="X44" s="1">
        <v>9.0269999999999992</v>
      </c>
      <c r="Y44" s="1">
        <v>22.357800000000001</v>
      </c>
      <c r="Z44" s="1">
        <v>19.128399999999999</v>
      </c>
      <c r="AA44" s="1">
        <v>19.760200000000001</v>
      </c>
      <c r="AB44" s="1">
        <v>16.6722</v>
      </c>
      <c r="AC44" s="1">
        <v>28.244</v>
      </c>
      <c r="AD44" s="1"/>
      <c r="AE44" s="1">
        <f t="shared" si="8"/>
        <v>0</v>
      </c>
    </row>
    <row r="45" spans="1:31" x14ac:dyDescent="0.25">
      <c r="A45" s="1" t="s">
        <v>119</v>
      </c>
      <c r="B45" s="1" t="s">
        <v>43</v>
      </c>
      <c r="C45" s="1">
        <v>414</v>
      </c>
      <c r="D45" s="1">
        <v>72</v>
      </c>
      <c r="E45" s="1">
        <v>322</v>
      </c>
      <c r="F45" s="1">
        <v>160</v>
      </c>
      <c r="G45" s="7">
        <v>0.35</v>
      </c>
      <c r="H45" s="1">
        <v>40</v>
      </c>
      <c r="I45" s="1" t="s">
        <v>120</v>
      </c>
      <c r="J45" s="1"/>
      <c r="K45" s="1">
        <v>321</v>
      </c>
      <c r="L45" s="1">
        <f t="shared" si="9"/>
        <v>1</v>
      </c>
      <c r="M45" s="1">
        <f t="shared" si="10"/>
        <v>322</v>
      </c>
      <c r="N45" s="1"/>
      <c r="O45" s="1"/>
      <c r="P45" s="1">
        <v>383</v>
      </c>
      <c r="Q45" s="1">
        <f t="shared" si="11"/>
        <v>64.400000000000006</v>
      </c>
      <c r="R45" s="5">
        <f>12*Q45-P45-O45-F45</f>
        <v>229.80000000000007</v>
      </c>
      <c r="S45" s="1">
        <f t="shared" si="12"/>
        <v>12</v>
      </c>
      <c r="T45" s="1">
        <f t="shared" si="13"/>
        <v>8.4316770186335397</v>
      </c>
      <c r="U45" s="1">
        <v>53</v>
      </c>
      <c r="V45" s="1">
        <v>37.6</v>
      </c>
      <c r="W45" s="1">
        <v>35.799999999999997</v>
      </c>
      <c r="X45" s="1">
        <v>36</v>
      </c>
      <c r="Y45" s="1">
        <v>47.6</v>
      </c>
      <c r="Z45" s="1">
        <v>68.2</v>
      </c>
      <c r="AA45" s="1">
        <v>61.2</v>
      </c>
      <c r="AB45" s="1">
        <v>51.8</v>
      </c>
      <c r="AC45" s="1">
        <v>64.400000000000006</v>
      </c>
      <c r="AD45" s="1"/>
      <c r="AE45" s="1">
        <f t="shared" si="8"/>
        <v>80.430000000000021</v>
      </c>
    </row>
    <row r="46" spans="1:31" x14ac:dyDescent="0.25">
      <c r="A46" s="1" t="s">
        <v>121</v>
      </c>
      <c r="B46" s="1" t="s">
        <v>43</v>
      </c>
      <c r="C46" s="1">
        <v>445.48599999999999</v>
      </c>
      <c r="D46" s="1">
        <v>242</v>
      </c>
      <c r="E46" s="1">
        <v>428</v>
      </c>
      <c r="F46" s="1">
        <v>266.48599999999999</v>
      </c>
      <c r="G46" s="7">
        <v>0.4</v>
      </c>
      <c r="H46" s="1">
        <v>40</v>
      </c>
      <c r="I46" s="1" t="s">
        <v>122</v>
      </c>
      <c r="J46" s="1"/>
      <c r="K46" s="1">
        <v>424</v>
      </c>
      <c r="L46" s="1">
        <f t="shared" si="9"/>
        <v>4</v>
      </c>
      <c r="M46" s="1">
        <f t="shared" si="10"/>
        <v>428</v>
      </c>
      <c r="N46" s="1"/>
      <c r="O46" s="1">
        <v>127.94759999999999</v>
      </c>
      <c r="P46" s="1">
        <v>436.96640000000002</v>
      </c>
      <c r="Q46" s="1">
        <f t="shared" si="11"/>
        <v>85.6</v>
      </c>
      <c r="R46" s="5">
        <f>12*Q46-P46-O46-F46</f>
        <v>195.79999999999984</v>
      </c>
      <c r="S46" s="1">
        <f t="shared" si="12"/>
        <v>11.999999999999998</v>
      </c>
      <c r="T46" s="1">
        <f t="shared" si="13"/>
        <v>9.7126168224299061</v>
      </c>
      <c r="U46" s="1">
        <v>77.8</v>
      </c>
      <c r="V46" s="1">
        <v>66.702799999999996</v>
      </c>
      <c r="W46" s="1">
        <v>56.702800000000003</v>
      </c>
      <c r="X46" s="1">
        <v>71</v>
      </c>
      <c r="Y46" s="1">
        <v>69.599999999999994</v>
      </c>
      <c r="Z46" s="1">
        <v>58.8</v>
      </c>
      <c r="AA46" s="1">
        <v>74.599999999999994</v>
      </c>
      <c r="AB46" s="1">
        <v>55.6</v>
      </c>
      <c r="AC46" s="1">
        <v>78</v>
      </c>
      <c r="AD46" s="1"/>
      <c r="AE46" s="1">
        <f t="shared" si="8"/>
        <v>78.319999999999936</v>
      </c>
    </row>
    <row r="47" spans="1:31" x14ac:dyDescent="0.25">
      <c r="A47" s="1" t="s">
        <v>123</v>
      </c>
      <c r="B47" s="1" t="s">
        <v>35</v>
      </c>
      <c r="C47" s="1">
        <v>107.79300000000001</v>
      </c>
      <c r="D47" s="1">
        <v>152.517</v>
      </c>
      <c r="E47" s="1">
        <v>91.727000000000004</v>
      </c>
      <c r="F47" s="1">
        <v>167.06700000000001</v>
      </c>
      <c r="G47" s="7">
        <v>1</v>
      </c>
      <c r="H47" s="1">
        <v>50</v>
      </c>
      <c r="I47" s="1" t="s">
        <v>124</v>
      </c>
      <c r="J47" s="1"/>
      <c r="K47" s="1">
        <v>88</v>
      </c>
      <c r="L47" s="1">
        <f t="shared" si="9"/>
        <v>3.7270000000000039</v>
      </c>
      <c r="M47" s="1">
        <f t="shared" si="10"/>
        <v>91.727000000000004</v>
      </c>
      <c r="N47" s="1"/>
      <c r="O47" s="1"/>
      <c r="P47" s="1"/>
      <c r="Q47" s="1">
        <f t="shared" si="11"/>
        <v>18.345400000000001</v>
      </c>
      <c r="R47" s="5">
        <f>12*Q47-P47-O47-F47</f>
        <v>53.077800000000025</v>
      </c>
      <c r="S47" s="1">
        <f t="shared" si="12"/>
        <v>12</v>
      </c>
      <c r="T47" s="1">
        <f t="shared" si="13"/>
        <v>9.1067515562484331</v>
      </c>
      <c r="U47" s="1">
        <v>14.846399999999999</v>
      </c>
      <c r="V47" s="1">
        <v>11.8916</v>
      </c>
      <c r="W47" s="1">
        <v>9.4711999999999996</v>
      </c>
      <c r="X47" s="1">
        <v>16.225200000000001</v>
      </c>
      <c r="Y47" s="1">
        <v>19.845600000000001</v>
      </c>
      <c r="Z47" s="1">
        <v>22.029</v>
      </c>
      <c r="AA47" s="1">
        <v>15.5932</v>
      </c>
      <c r="AB47" s="1">
        <v>15.644</v>
      </c>
      <c r="AC47" s="1">
        <v>16.990200000000002</v>
      </c>
      <c r="AD47" s="1"/>
      <c r="AE47" s="1">
        <f t="shared" si="8"/>
        <v>53.077800000000025</v>
      </c>
    </row>
    <row r="48" spans="1:31" x14ac:dyDescent="0.25">
      <c r="A48" s="1" t="s">
        <v>125</v>
      </c>
      <c r="B48" s="1" t="s">
        <v>35</v>
      </c>
      <c r="C48" s="1">
        <v>401.71100000000001</v>
      </c>
      <c r="D48" s="1">
        <v>487.02100000000002</v>
      </c>
      <c r="E48" s="1">
        <v>151.49199999999999</v>
      </c>
      <c r="F48" s="1">
        <v>739.46600000000001</v>
      </c>
      <c r="G48" s="7">
        <v>1</v>
      </c>
      <c r="H48" s="1">
        <v>50</v>
      </c>
      <c r="I48" s="1" t="s">
        <v>126</v>
      </c>
      <c r="J48" s="1"/>
      <c r="K48" s="1">
        <v>146.15600000000001</v>
      </c>
      <c r="L48" s="1">
        <f t="shared" si="9"/>
        <v>5.3359999999999843</v>
      </c>
      <c r="M48" s="1">
        <f t="shared" si="10"/>
        <v>151.49199999999999</v>
      </c>
      <c r="N48" s="1"/>
      <c r="O48" s="1"/>
      <c r="P48" s="1"/>
      <c r="Q48" s="1">
        <f t="shared" si="11"/>
        <v>30.298399999999997</v>
      </c>
      <c r="R48" s="5"/>
      <c r="S48" s="1">
        <f t="shared" si="12"/>
        <v>24.406107253188289</v>
      </c>
      <c r="T48" s="1">
        <f t="shared" si="13"/>
        <v>24.406107253188289</v>
      </c>
      <c r="U48" s="1">
        <v>23.753599999999999</v>
      </c>
      <c r="V48" s="1">
        <v>27.530799999999999</v>
      </c>
      <c r="W48" s="1">
        <v>25.306999999999999</v>
      </c>
      <c r="X48" s="1">
        <v>31.5168</v>
      </c>
      <c r="Y48" s="1">
        <v>27.968</v>
      </c>
      <c r="Z48" s="1">
        <v>28.571000000000002</v>
      </c>
      <c r="AA48" s="1">
        <v>29.1296</v>
      </c>
      <c r="AB48" s="1">
        <v>26.573</v>
      </c>
      <c r="AC48" s="1">
        <v>30.253799999999998</v>
      </c>
      <c r="AD48" s="17" t="s">
        <v>37</v>
      </c>
      <c r="AE48" s="1">
        <f t="shared" si="8"/>
        <v>0</v>
      </c>
    </row>
    <row r="49" spans="1:31" x14ac:dyDescent="0.25">
      <c r="A49" s="1" t="s">
        <v>127</v>
      </c>
      <c r="B49" s="1" t="s">
        <v>35</v>
      </c>
      <c r="C49" s="1">
        <v>49.735999999999997</v>
      </c>
      <c r="D49" s="1">
        <v>86.015000000000001</v>
      </c>
      <c r="E49" s="1">
        <v>132.047</v>
      </c>
      <c r="F49" s="1">
        <v>-0.182</v>
      </c>
      <c r="G49" s="7">
        <v>1</v>
      </c>
      <c r="H49" s="1">
        <v>45</v>
      </c>
      <c r="I49" s="1" t="s">
        <v>128</v>
      </c>
      <c r="J49" s="1"/>
      <c r="K49" s="1">
        <v>123.6</v>
      </c>
      <c r="L49" s="1">
        <f t="shared" si="9"/>
        <v>8.4470000000000027</v>
      </c>
      <c r="M49" s="1">
        <f t="shared" si="10"/>
        <v>132.047</v>
      </c>
      <c r="N49" s="1"/>
      <c r="O49" s="1">
        <v>159.81580000000011</v>
      </c>
      <c r="P49" s="1">
        <v>33.238599999999913</v>
      </c>
      <c r="Q49" s="1">
        <f t="shared" si="11"/>
        <v>26.409399999999998</v>
      </c>
      <c r="R49" s="5">
        <f>12*Q49-P49-O49-F49</f>
        <v>124.04039999999993</v>
      </c>
      <c r="S49" s="1">
        <f t="shared" si="12"/>
        <v>11.999999999999998</v>
      </c>
      <c r="T49" s="1">
        <f t="shared" si="13"/>
        <v>7.3031723552977361</v>
      </c>
      <c r="U49" s="1">
        <v>23.374400000000001</v>
      </c>
      <c r="V49" s="1">
        <v>24.1386</v>
      </c>
      <c r="W49" s="1">
        <v>22.309200000000001</v>
      </c>
      <c r="X49" s="1">
        <v>27.3674</v>
      </c>
      <c r="Y49" s="1">
        <v>27.667200000000001</v>
      </c>
      <c r="Z49" s="1">
        <v>13.4558</v>
      </c>
      <c r="AA49" s="1">
        <v>20.5946</v>
      </c>
      <c r="AB49" s="1">
        <v>29.741199999999999</v>
      </c>
      <c r="AC49" s="1">
        <v>18.636199999999999</v>
      </c>
      <c r="AD49" s="1"/>
      <c r="AE49" s="1">
        <f t="shared" si="8"/>
        <v>124.04039999999993</v>
      </c>
    </row>
    <row r="50" spans="1:31" x14ac:dyDescent="0.25">
      <c r="A50" s="1" t="s">
        <v>129</v>
      </c>
      <c r="B50" s="1" t="s">
        <v>43</v>
      </c>
      <c r="C50" s="1">
        <v>248</v>
      </c>
      <c r="D50" s="1">
        <v>102</v>
      </c>
      <c r="E50" s="1">
        <v>155</v>
      </c>
      <c r="F50" s="1">
        <v>196</v>
      </c>
      <c r="G50" s="7">
        <v>0.45</v>
      </c>
      <c r="H50" s="1">
        <v>50</v>
      </c>
      <c r="I50" s="1" t="s">
        <v>130</v>
      </c>
      <c r="J50" s="1"/>
      <c r="K50" s="1">
        <v>156</v>
      </c>
      <c r="L50" s="1">
        <f t="shared" si="9"/>
        <v>-1</v>
      </c>
      <c r="M50" s="1">
        <f t="shared" si="10"/>
        <v>155</v>
      </c>
      <c r="N50" s="1"/>
      <c r="O50" s="1">
        <v>48.400000000000027</v>
      </c>
      <c r="P50" s="1">
        <v>35.599999999999973</v>
      </c>
      <c r="Q50" s="1">
        <f t="shared" si="11"/>
        <v>31</v>
      </c>
      <c r="R50" s="5">
        <f>12*Q50-P50-O50-F50</f>
        <v>92</v>
      </c>
      <c r="S50" s="1">
        <f t="shared" si="12"/>
        <v>12</v>
      </c>
      <c r="T50" s="1">
        <f t="shared" si="13"/>
        <v>9.0322580645161299</v>
      </c>
      <c r="U50" s="1">
        <v>32</v>
      </c>
      <c r="V50" s="1">
        <v>33.200000000000003</v>
      </c>
      <c r="W50" s="1">
        <v>23.6</v>
      </c>
      <c r="X50" s="1">
        <v>26.4</v>
      </c>
      <c r="Y50" s="1">
        <v>28.2</v>
      </c>
      <c r="Z50" s="1">
        <v>24.6</v>
      </c>
      <c r="AA50" s="1">
        <v>30.8</v>
      </c>
      <c r="AB50" s="1">
        <v>26.2</v>
      </c>
      <c r="AC50" s="1">
        <v>35.4</v>
      </c>
      <c r="AD50" s="1"/>
      <c r="AE50" s="1">
        <f t="shared" si="8"/>
        <v>41.4</v>
      </c>
    </row>
    <row r="51" spans="1:31" x14ac:dyDescent="0.25">
      <c r="A51" s="1" t="s">
        <v>131</v>
      </c>
      <c r="B51" s="1" t="s">
        <v>43</v>
      </c>
      <c r="C51" s="1">
        <v>326</v>
      </c>
      <c r="D51" s="1">
        <v>407</v>
      </c>
      <c r="E51" s="1">
        <v>277</v>
      </c>
      <c r="F51" s="1">
        <v>462</v>
      </c>
      <c r="G51" s="7">
        <v>0.45</v>
      </c>
      <c r="H51" s="1">
        <v>50</v>
      </c>
      <c r="I51" s="1" t="s">
        <v>132</v>
      </c>
      <c r="J51" s="1"/>
      <c r="K51" s="1">
        <v>269</v>
      </c>
      <c r="L51" s="1">
        <f t="shared" si="9"/>
        <v>8</v>
      </c>
      <c r="M51" s="1">
        <f t="shared" si="10"/>
        <v>277</v>
      </c>
      <c r="N51" s="1"/>
      <c r="O51" s="1"/>
      <c r="P51" s="1"/>
      <c r="Q51" s="1">
        <f t="shared" si="11"/>
        <v>55.4</v>
      </c>
      <c r="R51" s="5">
        <f>12*Q51-P51-O51-F51</f>
        <v>202.79999999999995</v>
      </c>
      <c r="S51" s="1">
        <f t="shared" si="12"/>
        <v>12</v>
      </c>
      <c r="T51" s="1">
        <f t="shared" si="13"/>
        <v>8.3393501805054147</v>
      </c>
      <c r="U51" s="1">
        <v>41</v>
      </c>
      <c r="V51" s="1">
        <v>59</v>
      </c>
      <c r="W51" s="1">
        <v>55.2</v>
      </c>
      <c r="X51" s="1">
        <v>53</v>
      </c>
      <c r="Y51" s="1">
        <v>54.4</v>
      </c>
      <c r="Z51" s="1">
        <v>45.8</v>
      </c>
      <c r="AA51" s="1">
        <v>50.6</v>
      </c>
      <c r="AB51" s="1">
        <v>52.2</v>
      </c>
      <c r="AC51" s="1">
        <v>53.4</v>
      </c>
      <c r="AD51" s="1"/>
      <c r="AE51" s="1">
        <f t="shared" si="8"/>
        <v>91.259999999999977</v>
      </c>
    </row>
    <row r="52" spans="1:31" x14ac:dyDescent="0.25">
      <c r="A52" s="1" t="s">
        <v>133</v>
      </c>
      <c r="B52" s="1" t="s">
        <v>43</v>
      </c>
      <c r="C52" s="1">
        <v>48</v>
      </c>
      <c r="D52" s="1"/>
      <c r="E52" s="1">
        <v>38</v>
      </c>
      <c r="F52" s="1">
        <v>2</v>
      </c>
      <c r="G52" s="7">
        <v>0.4</v>
      </c>
      <c r="H52" s="1">
        <v>40</v>
      </c>
      <c r="I52" s="1" t="s">
        <v>134</v>
      </c>
      <c r="J52" s="1"/>
      <c r="K52" s="1">
        <v>46</v>
      </c>
      <c r="L52" s="1">
        <f t="shared" si="9"/>
        <v>-8</v>
      </c>
      <c r="M52" s="1">
        <f t="shared" si="10"/>
        <v>38</v>
      </c>
      <c r="N52" s="1"/>
      <c r="O52" s="1"/>
      <c r="P52" s="1">
        <v>57.4</v>
      </c>
      <c r="Q52" s="1">
        <f t="shared" si="11"/>
        <v>7.6</v>
      </c>
      <c r="R52" s="5">
        <f>12*Q52-P52-O52-F52</f>
        <v>31.79999999999999</v>
      </c>
      <c r="S52" s="1">
        <f t="shared" si="12"/>
        <v>11.999999999999998</v>
      </c>
      <c r="T52" s="1">
        <f t="shared" si="13"/>
        <v>7.8157894736842106</v>
      </c>
      <c r="U52" s="1">
        <v>7.8</v>
      </c>
      <c r="V52" s="1">
        <v>0.4</v>
      </c>
      <c r="W52" s="1">
        <v>-0.2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/>
      <c r="AE52" s="1">
        <f t="shared" si="8"/>
        <v>12.719999999999997</v>
      </c>
    </row>
    <row r="53" spans="1:31" x14ac:dyDescent="0.25">
      <c r="A53" s="1" t="s">
        <v>135</v>
      </c>
      <c r="B53" s="1" t="s">
        <v>43</v>
      </c>
      <c r="C53" s="1">
        <v>105</v>
      </c>
      <c r="D53" s="1">
        <v>109</v>
      </c>
      <c r="E53" s="1">
        <v>62</v>
      </c>
      <c r="F53" s="1">
        <v>82</v>
      </c>
      <c r="G53" s="7">
        <v>0.4</v>
      </c>
      <c r="H53" s="1">
        <v>40</v>
      </c>
      <c r="I53" s="1" t="s">
        <v>136</v>
      </c>
      <c r="J53" s="1"/>
      <c r="K53" s="1">
        <v>78</v>
      </c>
      <c r="L53" s="1">
        <f t="shared" si="9"/>
        <v>-16</v>
      </c>
      <c r="M53" s="1">
        <f t="shared" si="10"/>
        <v>62</v>
      </c>
      <c r="N53" s="1"/>
      <c r="O53" s="1"/>
      <c r="P53" s="1">
        <v>20.800000000000011</v>
      </c>
      <c r="Q53" s="1">
        <f t="shared" si="11"/>
        <v>12.4</v>
      </c>
      <c r="R53" s="5">
        <f>12*Q53-P53-O53-F53</f>
        <v>46</v>
      </c>
      <c r="S53" s="1">
        <f t="shared" si="12"/>
        <v>12</v>
      </c>
      <c r="T53" s="1">
        <f t="shared" si="13"/>
        <v>8.2903225806451619</v>
      </c>
      <c r="U53" s="1">
        <v>10.8</v>
      </c>
      <c r="V53" s="1">
        <v>1.4</v>
      </c>
      <c r="W53" s="1">
        <v>4.5999999999999996</v>
      </c>
      <c r="X53" s="1">
        <v>11.8</v>
      </c>
      <c r="Y53" s="1">
        <v>11</v>
      </c>
      <c r="Z53" s="1">
        <v>10.6</v>
      </c>
      <c r="AA53" s="1">
        <v>12.6</v>
      </c>
      <c r="AB53" s="1">
        <v>15.8</v>
      </c>
      <c r="AC53" s="1">
        <v>14.2</v>
      </c>
      <c r="AD53" s="1"/>
      <c r="AE53" s="1">
        <f t="shared" si="8"/>
        <v>18.400000000000002</v>
      </c>
    </row>
    <row r="54" spans="1:31" x14ac:dyDescent="0.25">
      <c r="A54" s="1" t="s">
        <v>137</v>
      </c>
      <c r="B54" s="1" t="s">
        <v>35</v>
      </c>
      <c r="C54" s="1">
        <v>214.53100000000001</v>
      </c>
      <c r="D54" s="1">
        <v>174.99199999999999</v>
      </c>
      <c r="E54" s="1">
        <v>81.254000000000005</v>
      </c>
      <c r="F54" s="1">
        <v>307.01400000000001</v>
      </c>
      <c r="G54" s="7">
        <v>1</v>
      </c>
      <c r="H54" s="1">
        <v>50</v>
      </c>
      <c r="I54" s="1" t="s">
        <v>138</v>
      </c>
      <c r="J54" s="1"/>
      <c r="K54" s="1">
        <v>82.1</v>
      </c>
      <c r="L54" s="1">
        <f t="shared" si="9"/>
        <v>-0.84599999999998943</v>
      </c>
      <c r="M54" s="1">
        <f t="shared" si="10"/>
        <v>81.254000000000005</v>
      </c>
      <c r="N54" s="1"/>
      <c r="O54" s="1"/>
      <c r="P54" s="1"/>
      <c r="Q54" s="1">
        <f t="shared" si="11"/>
        <v>16.250800000000002</v>
      </c>
      <c r="R54" s="5"/>
      <c r="S54" s="1">
        <f t="shared" si="12"/>
        <v>18.892239151303318</v>
      </c>
      <c r="T54" s="1">
        <f t="shared" si="13"/>
        <v>18.892239151303318</v>
      </c>
      <c r="U54" s="1">
        <v>13.851000000000001</v>
      </c>
      <c r="V54" s="1">
        <v>12.593400000000001</v>
      </c>
      <c r="W54" s="1">
        <v>9.694799999999999</v>
      </c>
      <c r="X54" s="1">
        <v>12.5252</v>
      </c>
      <c r="Y54" s="1">
        <v>10.475199999999999</v>
      </c>
      <c r="Z54" s="1">
        <v>16.552399999999999</v>
      </c>
      <c r="AA54" s="1">
        <v>14.782</v>
      </c>
      <c r="AB54" s="1">
        <v>13.0688</v>
      </c>
      <c r="AC54" s="1">
        <v>16.265599999999999</v>
      </c>
      <c r="AD54" s="17" t="s">
        <v>37</v>
      </c>
      <c r="AE54" s="1">
        <f t="shared" ref="AE54:AE85" si="14">G54*R54</f>
        <v>0</v>
      </c>
    </row>
    <row r="55" spans="1:31" x14ac:dyDescent="0.25">
      <c r="A55" s="1" t="s">
        <v>139</v>
      </c>
      <c r="B55" s="1" t="s">
        <v>43</v>
      </c>
      <c r="C55" s="1">
        <v>205</v>
      </c>
      <c r="D55" s="1">
        <v>200</v>
      </c>
      <c r="E55" s="1">
        <v>58</v>
      </c>
      <c r="F55" s="1">
        <v>342</v>
      </c>
      <c r="G55" s="7">
        <v>0.1</v>
      </c>
      <c r="H55" s="1">
        <v>731</v>
      </c>
      <c r="I55" s="1" t="s">
        <v>140</v>
      </c>
      <c r="J55" s="1"/>
      <c r="K55" s="1">
        <v>63</v>
      </c>
      <c r="L55" s="1">
        <f t="shared" si="9"/>
        <v>-5</v>
      </c>
      <c r="M55" s="1">
        <f t="shared" si="10"/>
        <v>58</v>
      </c>
      <c r="N55" s="1"/>
      <c r="O55" s="1"/>
      <c r="P55" s="1"/>
      <c r="Q55" s="1">
        <f t="shared" si="11"/>
        <v>11.6</v>
      </c>
      <c r="R55" s="5"/>
      <c r="S55" s="1">
        <f t="shared" si="12"/>
        <v>29.482758620689655</v>
      </c>
      <c r="T55" s="1">
        <f t="shared" si="13"/>
        <v>29.482758620689655</v>
      </c>
      <c r="U55" s="1">
        <v>10.4</v>
      </c>
      <c r="V55" s="1">
        <v>12.4</v>
      </c>
      <c r="W55" s="1">
        <v>11.8</v>
      </c>
      <c r="X55" s="1">
        <v>9.6</v>
      </c>
      <c r="Y55" s="1">
        <v>10</v>
      </c>
      <c r="Z55" s="1">
        <v>10.4</v>
      </c>
      <c r="AA55" s="1">
        <v>12.6</v>
      </c>
      <c r="AB55" s="1">
        <v>11</v>
      </c>
      <c r="AC55" s="1">
        <v>17.2</v>
      </c>
      <c r="AD55" s="17" t="s">
        <v>37</v>
      </c>
      <c r="AE55" s="1">
        <f t="shared" si="14"/>
        <v>0</v>
      </c>
    </row>
    <row r="56" spans="1:31" x14ac:dyDescent="0.25">
      <c r="A56" s="1" t="s">
        <v>141</v>
      </c>
      <c r="B56" s="1" t="s">
        <v>35</v>
      </c>
      <c r="C56" s="1">
        <v>208.73400000000001</v>
      </c>
      <c r="D56" s="1">
        <v>501.26100000000002</v>
      </c>
      <c r="E56" s="1">
        <v>179.58099999999999</v>
      </c>
      <c r="F56" s="1">
        <v>520.57500000000005</v>
      </c>
      <c r="G56" s="7">
        <v>1</v>
      </c>
      <c r="H56" s="1">
        <v>50</v>
      </c>
      <c r="I56" s="1" t="s">
        <v>142</v>
      </c>
      <c r="J56" s="1"/>
      <c r="K56" s="1">
        <v>179.54499999999999</v>
      </c>
      <c r="L56" s="1">
        <f t="shared" si="9"/>
        <v>3.6000000000001364E-2</v>
      </c>
      <c r="M56" s="1">
        <f t="shared" si="10"/>
        <v>179.58099999999999</v>
      </c>
      <c r="N56" s="1"/>
      <c r="O56" s="1"/>
      <c r="P56" s="1"/>
      <c r="Q56" s="1">
        <f t="shared" si="11"/>
        <v>35.916199999999996</v>
      </c>
      <c r="R56" s="5"/>
      <c r="S56" s="1">
        <f t="shared" si="12"/>
        <v>14.494155840539927</v>
      </c>
      <c r="T56" s="1">
        <f t="shared" si="13"/>
        <v>14.494155840539927</v>
      </c>
      <c r="U56" s="1">
        <v>27.1142</v>
      </c>
      <c r="V56" s="1">
        <v>24.8506</v>
      </c>
      <c r="W56" s="1">
        <v>27.480799999999999</v>
      </c>
      <c r="X56" s="1">
        <v>35.6648</v>
      </c>
      <c r="Y56" s="1">
        <v>31.4526</v>
      </c>
      <c r="Z56" s="1">
        <v>25.026800000000001</v>
      </c>
      <c r="AA56" s="1">
        <v>33.039400000000001</v>
      </c>
      <c r="AB56" s="1">
        <v>29.8872</v>
      </c>
      <c r="AC56" s="1">
        <v>29.278199999999998</v>
      </c>
      <c r="AD56" s="1"/>
      <c r="AE56" s="1">
        <f t="shared" si="14"/>
        <v>0</v>
      </c>
    </row>
    <row r="57" spans="1:31" x14ac:dyDescent="0.25">
      <c r="A57" s="1" t="s">
        <v>143</v>
      </c>
      <c r="B57" s="1" t="s">
        <v>35</v>
      </c>
      <c r="C57" s="1">
        <v>63.283999999999999</v>
      </c>
      <c r="D57" s="1">
        <v>34.021000000000001</v>
      </c>
      <c r="E57" s="1">
        <v>34.183</v>
      </c>
      <c r="F57" s="1">
        <v>60.997</v>
      </c>
      <c r="G57" s="7">
        <v>1</v>
      </c>
      <c r="H57" s="1">
        <v>55</v>
      </c>
      <c r="I57" s="1" t="s">
        <v>144</v>
      </c>
      <c r="J57" s="1"/>
      <c r="K57" s="1">
        <v>35.299999999999997</v>
      </c>
      <c r="L57" s="1">
        <f t="shared" si="9"/>
        <v>-1.1169999999999973</v>
      </c>
      <c r="M57" s="1">
        <f t="shared" si="10"/>
        <v>34.183</v>
      </c>
      <c r="N57" s="1"/>
      <c r="O57" s="1"/>
      <c r="P57" s="1">
        <v>22.997599999999991</v>
      </c>
      <c r="Q57" s="1">
        <f t="shared" si="11"/>
        <v>6.8365999999999998</v>
      </c>
      <c r="R57" s="5"/>
      <c r="S57" s="1">
        <f t="shared" si="12"/>
        <v>12.286019366351695</v>
      </c>
      <c r="T57" s="1">
        <f t="shared" si="13"/>
        <v>12.286019366351695</v>
      </c>
      <c r="U57" s="1">
        <v>8.6145999999999994</v>
      </c>
      <c r="V57" s="1">
        <v>6.7657999999999996</v>
      </c>
      <c r="W57" s="1">
        <v>3.2637999999999998</v>
      </c>
      <c r="X57" s="1">
        <v>3.5434000000000001</v>
      </c>
      <c r="Y57" s="1">
        <v>4.3601999999999999</v>
      </c>
      <c r="Z57" s="1">
        <v>8.9471999999999987</v>
      </c>
      <c r="AA57" s="1">
        <v>4.6289999999999996</v>
      </c>
      <c r="AB57" s="1">
        <v>3.5051999999999999</v>
      </c>
      <c r="AC57" s="1">
        <v>9.3176000000000005</v>
      </c>
      <c r="AD57" s="1"/>
      <c r="AE57" s="1">
        <f t="shared" si="14"/>
        <v>0</v>
      </c>
    </row>
    <row r="58" spans="1:31" x14ac:dyDescent="0.25">
      <c r="A58" s="1" t="s">
        <v>145</v>
      </c>
      <c r="B58" s="1" t="s">
        <v>43</v>
      </c>
      <c r="C58" s="1">
        <v>150</v>
      </c>
      <c r="D58" s="1">
        <v>200</v>
      </c>
      <c r="E58" s="1">
        <v>73</v>
      </c>
      <c r="F58" s="1">
        <v>272</v>
      </c>
      <c r="G58" s="7">
        <v>0.1</v>
      </c>
      <c r="H58" s="1">
        <v>731</v>
      </c>
      <c r="I58" s="1" t="s">
        <v>146</v>
      </c>
      <c r="J58" s="1"/>
      <c r="K58" s="1">
        <v>78</v>
      </c>
      <c r="L58" s="1">
        <f t="shared" si="9"/>
        <v>-5</v>
      </c>
      <c r="M58" s="1">
        <f t="shared" si="10"/>
        <v>73</v>
      </c>
      <c r="N58" s="1"/>
      <c r="O58" s="1"/>
      <c r="P58" s="1"/>
      <c r="Q58" s="1">
        <f t="shared" si="11"/>
        <v>14.6</v>
      </c>
      <c r="R58" s="5"/>
      <c r="S58" s="1">
        <f t="shared" si="12"/>
        <v>18.63013698630137</v>
      </c>
      <c r="T58" s="1">
        <f t="shared" si="13"/>
        <v>18.63013698630137</v>
      </c>
      <c r="U58" s="1">
        <v>10.4</v>
      </c>
      <c r="V58" s="1">
        <v>2.6</v>
      </c>
      <c r="W58" s="1">
        <v>2.2000000000000002</v>
      </c>
      <c r="X58" s="1">
        <v>6.6</v>
      </c>
      <c r="Y58" s="1">
        <v>12</v>
      </c>
      <c r="Z58" s="1">
        <v>9.8000000000000007</v>
      </c>
      <c r="AA58" s="1">
        <v>14.8</v>
      </c>
      <c r="AB58" s="1">
        <v>8.8000000000000007</v>
      </c>
      <c r="AC58" s="1">
        <v>18.8</v>
      </c>
      <c r="AD58" s="1"/>
      <c r="AE58" s="1">
        <f t="shared" si="14"/>
        <v>0</v>
      </c>
    </row>
    <row r="59" spans="1:31" x14ac:dyDescent="0.25">
      <c r="A59" s="1" t="s">
        <v>147</v>
      </c>
      <c r="B59" s="1" t="s">
        <v>43</v>
      </c>
      <c r="C59" s="1">
        <v>41</v>
      </c>
      <c r="D59" s="1"/>
      <c r="E59" s="1">
        <v>12</v>
      </c>
      <c r="F59" s="1">
        <v>29</v>
      </c>
      <c r="G59" s="7">
        <v>0.4</v>
      </c>
      <c r="H59" s="1">
        <v>50</v>
      </c>
      <c r="I59" s="1" t="s">
        <v>148</v>
      </c>
      <c r="J59" s="1"/>
      <c r="K59" s="1">
        <v>12</v>
      </c>
      <c r="L59" s="1">
        <f t="shared" si="9"/>
        <v>0</v>
      </c>
      <c r="M59" s="1">
        <f t="shared" si="10"/>
        <v>12</v>
      </c>
      <c r="N59" s="1"/>
      <c r="O59" s="1"/>
      <c r="P59" s="1"/>
      <c r="Q59" s="1">
        <f t="shared" si="11"/>
        <v>2.4</v>
      </c>
      <c r="R59" s="5"/>
      <c r="S59" s="1">
        <f t="shared" si="12"/>
        <v>12.083333333333334</v>
      </c>
      <c r="T59" s="1">
        <f t="shared" si="13"/>
        <v>12.083333333333334</v>
      </c>
      <c r="U59" s="1">
        <v>1.8</v>
      </c>
      <c r="V59" s="1">
        <v>3.2</v>
      </c>
      <c r="W59" s="1">
        <v>2.8</v>
      </c>
      <c r="X59" s="1">
        <v>2.2000000000000002</v>
      </c>
      <c r="Y59" s="1">
        <v>2.2000000000000002</v>
      </c>
      <c r="Z59" s="1">
        <v>3.6</v>
      </c>
      <c r="AA59" s="1">
        <v>2.8</v>
      </c>
      <c r="AB59" s="1">
        <v>4.5999999999999996</v>
      </c>
      <c r="AC59" s="1">
        <v>3.2</v>
      </c>
      <c r="AD59" s="16" t="s">
        <v>49</v>
      </c>
      <c r="AE59" s="1">
        <f t="shared" si="14"/>
        <v>0</v>
      </c>
    </row>
    <row r="60" spans="1:31" x14ac:dyDescent="0.25">
      <c r="A60" s="1" t="s">
        <v>149</v>
      </c>
      <c r="B60" s="1" t="s">
        <v>35</v>
      </c>
      <c r="C60" s="1">
        <v>-6.859</v>
      </c>
      <c r="D60" s="1">
        <v>138.05199999999999</v>
      </c>
      <c r="E60" s="1">
        <v>87.432000000000002</v>
      </c>
      <c r="F60" s="1">
        <v>44.530999999999999</v>
      </c>
      <c r="G60" s="7">
        <v>1</v>
      </c>
      <c r="H60" s="1">
        <v>40</v>
      </c>
      <c r="I60" s="1" t="s">
        <v>150</v>
      </c>
      <c r="J60" s="1"/>
      <c r="K60" s="1">
        <v>83.3</v>
      </c>
      <c r="L60" s="1">
        <f t="shared" si="9"/>
        <v>4.132000000000005</v>
      </c>
      <c r="M60" s="1">
        <f t="shared" si="10"/>
        <v>87.432000000000002</v>
      </c>
      <c r="N60" s="1"/>
      <c r="O60" s="1">
        <v>4</v>
      </c>
      <c r="P60" s="1">
        <v>6.5037999999999982</v>
      </c>
      <c r="Q60" s="1">
        <f t="shared" si="11"/>
        <v>17.4864</v>
      </c>
      <c r="R60" s="5">
        <f>10*Q60-P60-O60-F60</f>
        <v>119.82920000000001</v>
      </c>
      <c r="S60" s="1">
        <f t="shared" si="12"/>
        <v>10</v>
      </c>
      <c r="T60" s="1">
        <f t="shared" si="13"/>
        <v>3.1472916094793666</v>
      </c>
      <c r="U60" s="1">
        <v>11.520799999999999</v>
      </c>
      <c r="V60" s="1">
        <v>10.605399999999999</v>
      </c>
      <c r="W60" s="1">
        <v>7.9319999999999986</v>
      </c>
      <c r="X60" s="1">
        <v>11.8162</v>
      </c>
      <c r="Y60" s="1">
        <v>10.5372</v>
      </c>
      <c r="Z60" s="1">
        <v>12.450200000000001</v>
      </c>
      <c r="AA60" s="1">
        <v>4.6276000000000002</v>
      </c>
      <c r="AB60" s="1">
        <v>6.4955999999999996</v>
      </c>
      <c r="AC60" s="1">
        <v>9.6209999999999987</v>
      </c>
      <c r="AD60" s="1"/>
      <c r="AE60" s="1">
        <f t="shared" si="14"/>
        <v>119.82920000000001</v>
      </c>
    </row>
    <row r="61" spans="1:31" x14ac:dyDescent="0.25">
      <c r="A61" s="1" t="s">
        <v>151</v>
      </c>
      <c r="B61" s="1" t="s">
        <v>35</v>
      </c>
      <c r="C61" s="1">
        <v>4.0830000000000002</v>
      </c>
      <c r="D61" s="1">
        <v>55.811</v>
      </c>
      <c r="E61" s="1">
        <v>27.937999999999999</v>
      </c>
      <c r="F61" s="1">
        <v>34.798000000000002</v>
      </c>
      <c r="G61" s="7">
        <v>1</v>
      </c>
      <c r="H61" s="1">
        <v>40</v>
      </c>
      <c r="I61" s="1" t="s">
        <v>152</v>
      </c>
      <c r="J61" s="1"/>
      <c r="K61" s="1">
        <v>39.5</v>
      </c>
      <c r="L61" s="1">
        <f t="shared" si="9"/>
        <v>-11.562000000000001</v>
      </c>
      <c r="M61" s="1">
        <f t="shared" si="10"/>
        <v>27.937999999999999</v>
      </c>
      <c r="N61" s="1"/>
      <c r="O61" s="1"/>
      <c r="P61" s="1">
        <v>12.7538</v>
      </c>
      <c r="Q61" s="1">
        <f t="shared" si="11"/>
        <v>5.5876000000000001</v>
      </c>
      <c r="R61" s="5">
        <f t="shared" ref="R61:R66" si="15">12*Q61-P61-O61-F61</f>
        <v>19.499399999999994</v>
      </c>
      <c r="S61" s="1">
        <f t="shared" si="12"/>
        <v>11.999999999999998</v>
      </c>
      <c r="T61" s="1">
        <f t="shared" si="13"/>
        <v>8.5102369532536333</v>
      </c>
      <c r="U61" s="1">
        <v>5.6307999999999998</v>
      </c>
      <c r="V61" s="1">
        <v>3.1223999999999998</v>
      </c>
      <c r="W61" s="1">
        <v>1.8411999999999999</v>
      </c>
      <c r="X61" s="1">
        <v>2.9407999999999999</v>
      </c>
      <c r="Y61" s="1">
        <v>1.5386</v>
      </c>
      <c r="Z61" s="1">
        <v>3.5327999999999999</v>
      </c>
      <c r="AA61" s="1">
        <v>2.7397999999999998</v>
      </c>
      <c r="AB61" s="1">
        <v>2.2021999999999999</v>
      </c>
      <c r="AC61" s="1">
        <v>1.609</v>
      </c>
      <c r="AD61" s="1"/>
      <c r="AE61" s="1">
        <f t="shared" si="14"/>
        <v>19.499399999999994</v>
      </c>
    </row>
    <row r="62" spans="1:31" x14ac:dyDescent="0.25">
      <c r="A62" s="1" t="s">
        <v>153</v>
      </c>
      <c r="B62" s="1" t="s">
        <v>43</v>
      </c>
      <c r="C62" s="1">
        <v>421</v>
      </c>
      <c r="D62" s="1">
        <v>144</v>
      </c>
      <c r="E62" s="1">
        <v>557</v>
      </c>
      <c r="F62" s="1">
        <v>13</v>
      </c>
      <c r="G62" s="7">
        <v>0.4</v>
      </c>
      <c r="H62" s="1">
        <v>40</v>
      </c>
      <c r="I62" s="1" t="s">
        <v>154</v>
      </c>
      <c r="J62" s="1"/>
      <c r="K62" s="1">
        <v>553</v>
      </c>
      <c r="L62" s="1">
        <f t="shared" si="9"/>
        <v>4</v>
      </c>
      <c r="M62" s="1">
        <f t="shared" si="10"/>
        <v>557</v>
      </c>
      <c r="N62" s="1"/>
      <c r="O62" s="1">
        <v>89.400000000000091</v>
      </c>
      <c r="P62" s="1">
        <v>618.99999999999989</v>
      </c>
      <c r="Q62" s="1">
        <f t="shared" si="11"/>
        <v>111.4</v>
      </c>
      <c r="R62" s="5">
        <f t="shared" si="15"/>
        <v>615.4000000000002</v>
      </c>
      <c r="S62" s="1">
        <f t="shared" si="12"/>
        <v>12.000000000000002</v>
      </c>
      <c r="T62" s="1">
        <f t="shared" si="13"/>
        <v>6.4757630161579884</v>
      </c>
      <c r="U62" s="1">
        <v>104.6</v>
      </c>
      <c r="V62" s="1">
        <v>52.2</v>
      </c>
      <c r="W62" s="1">
        <v>16</v>
      </c>
      <c r="X62" s="1">
        <v>33.6</v>
      </c>
      <c r="Y62" s="1">
        <v>61.2</v>
      </c>
      <c r="Z62" s="1">
        <v>61.2</v>
      </c>
      <c r="AA62" s="1">
        <v>83</v>
      </c>
      <c r="AB62" s="1">
        <v>62.8</v>
      </c>
      <c r="AC62" s="1">
        <v>81</v>
      </c>
      <c r="AD62" s="1"/>
      <c r="AE62" s="1">
        <f t="shared" si="14"/>
        <v>246.16000000000008</v>
      </c>
    </row>
    <row r="63" spans="1:31" x14ac:dyDescent="0.25">
      <c r="A63" s="1" t="s">
        <v>155</v>
      </c>
      <c r="B63" s="1" t="s">
        <v>43</v>
      </c>
      <c r="C63" s="1">
        <v>298</v>
      </c>
      <c r="D63" s="1">
        <v>405</v>
      </c>
      <c r="E63" s="1">
        <v>384</v>
      </c>
      <c r="F63" s="1">
        <v>322</v>
      </c>
      <c r="G63" s="7">
        <v>0.4</v>
      </c>
      <c r="H63" s="1">
        <v>40</v>
      </c>
      <c r="I63" s="1" t="s">
        <v>156</v>
      </c>
      <c r="J63" s="1"/>
      <c r="K63" s="1">
        <v>383</v>
      </c>
      <c r="L63" s="1">
        <f t="shared" si="9"/>
        <v>1</v>
      </c>
      <c r="M63" s="1">
        <f t="shared" si="10"/>
        <v>384</v>
      </c>
      <c r="N63" s="1"/>
      <c r="O63" s="1"/>
      <c r="P63" s="1">
        <v>448.6</v>
      </c>
      <c r="Q63" s="1">
        <f t="shared" si="11"/>
        <v>76.8</v>
      </c>
      <c r="R63" s="5">
        <f t="shared" si="15"/>
        <v>150.99999999999989</v>
      </c>
      <c r="S63" s="1">
        <f t="shared" si="12"/>
        <v>12</v>
      </c>
      <c r="T63" s="1">
        <f t="shared" si="13"/>
        <v>10.033854166666668</v>
      </c>
      <c r="U63" s="1">
        <v>71.2</v>
      </c>
      <c r="V63" s="1">
        <v>36.200000000000003</v>
      </c>
      <c r="W63" s="1">
        <v>29</v>
      </c>
      <c r="X63" s="1">
        <v>73.2</v>
      </c>
      <c r="Y63" s="1">
        <v>78.2</v>
      </c>
      <c r="Z63" s="1">
        <v>63</v>
      </c>
      <c r="AA63" s="1">
        <v>71.8</v>
      </c>
      <c r="AB63" s="1">
        <v>48.2</v>
      </c>
      <c r="AC63" s="1">
        <v>63.2</v>
      </c>
      <c r="AD63" s="1"/>
      <c r="AE63" s="1">
        <f t="shared" si="14"/>
        <v>60.399999999999956</v>
      </c>
    </row>
    <row r="64" spans="1:31" x14ac:dyDescent="0.25">
      <c r="A64" s="1" t="s">
        <v>157</v>
      </c>
      <c r="B64" s="1" t="s">
        <v>35</v>
      </c>
      <c r="C64" s="1">
        <v>253.291</v>
      </c>
      <c r="D64" s="1">
        <v>191.732</v>
      </c>
      <c r="E64" s="1">
        <v>169.227</v>
      </c>
      <c r="F64" s="1">
        <v>274.85300000000001</v>
      </c>
      <c r="G64" s="7">
        <v>1</v>
      </c>
      <c r="H64" s="1">
        <v>40</v>
      </c>
      <c r="I64" s="1" t="s">
        <v>158</v>
      </c>
      <c r="J64" s="1"/>
      <c r="K64" s="1">
        <v>152.602</v>
      </c>
      <c r="L64" s="1">
        <f t="shared" si="9"/>
        <v>16.625</v>
      </c>
      <c r="M64" s="1">
        <f t="shared" si="10"/>
        <v>169.227</v>
      </c>
      <c r="N64" s="1"/>
      <c r="O64" s="1"/>
      <c r="P64" s="1"/>
      <c r="Q64" s="1">
        <f t="shared" si="11"/>
        <v>33.845399999999998</v>
      </c>
      <c r="R64" s="5">
        <f t="shared" si="15"/>
        <v>131.29179999999997</v>
      </c>
      <c r="S64" s="1">
        <f t="shared" si="12"/>
        <v>12</v>
      </c>
      <c r="T64" s="1">
        <f t="shared" si="13"/>
        <v>8.1208376913849456</v>
      </c>
      <c r="U64" s="1">
        <v>30.9146</v>
      </c>
      <c r="V64" s="1">
        <v>30.956199999999999</v>
      </c>
      <c r="W64" s="1">
        <v>29.2182</v>
      </c>
      <c r="X64" s="1">
        <v>22.8276</v>
      </c>
      <c r="Y64" s="1">
        <v>21.452000000000002</v>
      </c>
      <c r="Z64" s="1">
        <v>25.005199999999999</v>
      </c>
      <c r="AA64" s="1">
        <v>29.2378</v>
      </c>
      <c r="AB64" s="1">
        <v>27.107199999999999</v>
      </c>
      <c r="AC64" s="1">
        <v>36.428600000000003</v>
      </c>
      <c r="AD64" s="1"/>
      <c r="AE64" s="1">
        <f t="shared" si="14"/>
        <v>131.29179999999997</v>
      </c>
    </row>
    <row r="65" spans="1:31" x14ac:dyDescent="0.25">
      <c r="A65" s="1" t="s">
        <v>159</v>
      </c>
      <c r="B65" s="1" t="s">
        <v>35</v>
      </c>
      <c r="C65" s="1">
        <v>143.15700000000001</v>
      </c>
      <c r="D65" s="1">
        <v>205.47800000000001</v>
      </c>
      <c r="E65" s="1">
        <v>182.98099999999999</v>
      </c>
      <c r="F65" s="1">
        <v>134.71600000000001</v>
      </c>
      <c r="G65" s="7">
        <v>1</v>
      </c>
      <c r="H65" s="1">
        <v>40</v>
      </c>
      <c r="I65" s="1" t="s">
        <v>160</v>
      </c>
      <c r="J65" s="1"/>
      <c r="K65" s="1">
        <v>171.803</v>
      </c>
      <c r="L65" s="1">
        <f t="shared" si="9"/>
        <v>11.177999999999997</v>
      </c>
      <c r="M65" s="1">
        <f t="shared" si="10"/>
        <v>155.578</v>
      </c>
      <c r="N65" s="1">
        <v>27.402999999999999</v>
      </c>
      <c r="O65" s="1"/>
      <c r="P65" s="1">
        <v>189.97880000000001</v>
      </c>
      <c r="Q65" s="1">
        <f t="shared" si="11"/>
        <v>31.115600000000001</v>
      </c>
      <c r="R65" s="5">
        <f t="shared" si="15"/>
        <v>48.692399999999992</v>
      </c>
      <c r="S65" s="1">
        <f t="shared" si="12"/>
        <v>12</v>
      </c>
      <c r="T65" s="1">
        <f t="shared" si="13"/>
        <v>10.435112933705279</v>
      </c>
      <c r="U65" s="1">
        <v>35.332799999999999</v>
      </c>
      <c r="V65" s="1">
        <v>22.806999999999999</v>
      </c>
      <c r="W65" s="1">
        <v>21.435199999999998</v>
      </c>
      <c r="X65" s="1">
        <v>32.426400000000001</v>
      </c>
      <c r="Y65" s="1">
        <v>32.516800000000003</v>
      </c>
      <c r="Z65" s="1">
        <v>26.103999999999999</v>
      </c>
      <c r="AA65" s="1">
        <v>26.245200000000001</v>
      </c>
      <c r="AB65" s="1">
        <v>27.139800000000001</v>
      </c>
      <c r="AC65" s="1">
        <v>25.183800000000002</v>
      </c>
      <c r="AD65" s="1"/>
      <c r="AE65" s="1">
        <f t="shared" si="14"/>
        <v>48.692399999999992</v>
      </c>
    </row>
    <row r="66" spans="1:31" x14ac:dyDescent="0.25">
      <c r="A66" s="1" t="s">
        <v>161</v>
      </c>
      <c r="B66" s="1" t="s">
        <v>35</v>
      </c>
      <c r="C66" s="1">
        <v>541.04200000000003</v>
      </c>
      <c r="D66" s="1">
        <v>313.839</v>
      </c>
      <c r="E66" s="1">
        <v>396.858</v>
      </c>
      <c r="F66" s="1">
        <v>425.27300000000002</v>
      </c>
      <c r="G66" s="7">
        <v>1</v>
      </c>
      <c r="H66" s="1">
        <v>40</v>
      </c>
      <c r="I66" s="1" t="s">
        <v>162</v>
      </c>
      <c r="J66" s="1"/>
      <c r="K66" s="1">
        <v>373.68599999999998</v>
      </c>
      <c r="L66" s="1">
        <f t="shared" si="9"/>
        <v>23.172000000000025</v>
      </c>
      <c r="M66" s="1">
        <f t="shared" si="10"/>
        <v>396.858</v>
      </c>
      <c r="N66" s="1"/>
      <c r="O66" s="1">
        <v>328.09519999999992</v>
      </c>
      <c r="P66" s="1">
        <v>86.984400000000164</v>
      </c>
      <c r="Q66" s="1">
        <f t="shared" si="11"/>
        <v>79.371600000000001</v>
      </c>
      <c r="R66" s="5">
        <f t="shared" si="15"/>
        <v>112.10659999999996</v>
      </c>
      <c r="S66" s="1">
        <f t="shared" si="12"/>
        <v>12</v>
      </c>
      <c r="T66" s="1">
        <f t="shared" si="13"/>
        <v>10.587572885011769</v>
      </c>
      <c r="U66" s="1">
        <v>74.468199999999996</v>
      </c>
      <c r="V66" s="1">
        <v>94.776600000000002</v>
      </c>
      <c r="W66" s="1">
        <v>87.792000000000002</v>
      </c>
      <c r="X66" s="1">
        <v>47.000999999999998</v>
      </c>
      <c r="Y66" s="1">
        <v>84.773400000000009</v>
      </c>
      <c r="Z66" s="1">
        <v>65.369</v>
      </c>
      <c r="AA66" s="1">
        <v>79.146000000000001</v>
      </c>
      <c r="AB66" s="1">
        <v>68.245000000000005</v>
      </c>
      <c r="AC66" s="1">
        <v>99.697599999999994</v>
      </c>
      <c r="AD66" s="1"/>
      <c r="AE66" s="1">
        <f t="shared" si="14"/>
        <v>112.10659999999996</v>
      </c>
    </row>
    <row r="67" spans="1:31" x14ac:dyDescent="0.25">
      <c r="A67" s="1" t="s">
        <v>163</v>
      </c>
      <c r="B67" s="1" t="s">
        <v>35</v>
      </c>
      <c r="C67" s="1">
        <v>161.10499999999999</v>
      </c>
      <c r="D67" s="1">
        <v>447.19099999999997</v>
      </c>
      <c r="E67" s="1">
        <v>184.471</v>
      </c>
      <c r="F67" s="1">
        <v>399.67500000000001</v>
      </c>
      <c r="G67" s="7">
        <v>1</v>
      </c>
      <c r="H67" s="1">
        <v>40</v>
      </c>
      <c r="I67" s="1" t="s">
        <v>164</v>
      </c>
      <c r="J67" s="1"/>
      <c r="K67" s="1">
        <v>171.18299999999999</v>
      </c>
      <c r="L67" s="1">
        <f t="shared" si="9"/>
        <v>13.288000000000011</v>
      </c>
      <c r="M67" s="1">
        <f t="shared" si="10"/>
        <v>156.78800000000001</v>
      </c>
      <c r="N67" s="1">
        <v>27.683</v>
      </c>
      <c r="O67" s="1"/>
      <c r="P67" s="1"/>
      <c r="Q67" s="1">
        <f t="shared" si="11"/>
        <v>31.357600000000001</v>
      </c>
      <c r="R67" s="5"/>
      <c r="S67" s="1">
        <f t="shared" si="12"/>
        <v>12.745713957700843</v>
      </c>
      <c r="T67" s="1">
        <f t="shared" si="13"/>
        <v>12.745713957700843</v>
      </c>
      <c r="U67" s="1">
        <v>34.3932</v>
      </c>
      <c r="V67" s="1">
        <v>31.567399999999999</v>
      </c>
      <c r="W67" s="1">
        <v>32.791800000000002</v>
      </c>
      <c r="X67" s="1">
        <v>35.088000000000001</v>
      </c>
      <c r="Y67" s="1">
        <v>35.678199999999997</v>
      </c>
      <c r="Z67" s="1">
        <v>37.672800000000002</v>
      </c>
      <c r="AA67" s="1">
        <v>34.772599999999997</v>
      </c>
      <c r="AB67" s="1">
        <v>32.616799999999998</v>
      </c>
      <c r="AC67" s="1">
        <v>34.079599999999999</v>
      </c>
      <c r="AD67" s="1"/>
      <c r="AE67" s="1">
        <f t="shared" si="14"/>
        <v>0</v>
      </c>
    </row>
    <row r="68" spans="1:31" x14ac:dyDescent="0.25">
      <c r="A68" s="1" t="s">
        <v>165</v>
      </c>
      <c r="B68" s="1" t="s">
        <v>35</v>
      </c>
      <c r="C68" s="1">
        <v>363.91300000000001</v>
      </c>
      <c r="D68" s="1">
        <v>204.16800000000001</v>
      </c>
      <c r="E68" s="1">
        <v>189.483</v>
      </c>
      <c r="F68" s="1">
        <v>355.803</v>
      </c>
      <c r="G68" s="7">
        <v>1</v>
      </c>
      <c r="H68" s="1">
        <v>30</v>
      </c>
      <c r="I68" s="1" t="s">
        <v>166</v>
      </c>
      <c r="J68" s="1"/>
      <c r="K68" s="1">
        <v>213.7</v>
      </c>
      <c r="L68" s="1">
        <f t="shared" si="9"/>
        <v>-24.216999999999985</v>
      </c>
      <c r="M68" s="1">
        <f t="shared" si="10"/>
        <v>189.483</v>
      </c>
      <c r="N68" s="1"/>
      <c r="O68" s="1">
        <v>74.759800000000098</v>
      </c>
      <c r="P68" s="1"/>
      <c r="Q68" s="1">
        <f t="shared" si="11"/>
        <v>37.896599999999999</v>
      </c>
      <c r="R68" s="5">
        <f t="shared" ref="R68:R76" si="16">12*Q68-P68-O68-F68</f>
        <v>24.196399999999869</v>
      </c>
      <c r="S68" s="1">
        <f t="shared" si="12"/>
        <v>12</v>
      </c>
      <c r="T68" s="1">
        <f t="shared" si="13"/>
        <v>11.36151528105424</v>
      </c>
      <c r="U68" s="1">
        <v>39.866</v>
      </c>
      <c r="V68" s="1">
        <v>52.215400000000002</v>
      </c>
      <c r="W68" s="1">
        <v>54.083199999999998</v>
      </c>
      <c r="X68" s="1">
        <v>43.1066</v>
      </c>
      <c r="Y68" s="1">
        <v>38.0274</v>
      </c>
      <c r="Z68" s="1">
        <v>31.822600000000001</v>
      </c>
      <c r="AA68" s="1">
        <v>59.592200000000012</v>
      </c>
      <c r="AB68" s="1">
        <v>49.133600000000001</v>
      </c>
      <c r="AC68" s="1">
        <v>37.032400000000003</v>
      </c>
      <c r="AD68" s="1"/>
      <c r="AE68" s="1">
        <f t="shared" si="14"/>
        <v>24.196399999999869</v>
      </c>
    </row>
    <row r="69" spans="1:31" x14ac:dyDescent="0.25">
      <c r="A69" s="1" t="s">
        <v>167</v>
      </c>
      <c r="B69" s="1" t="s">
        <v>43</v>
      </c>
      <c r="C69" s="1">
        <v>113</v>
      </c>
      <c r="D69" s="1">
        <v>104</v>
      </c>
      <c r="E69" s="1">
        <v>117</v>
      </c>
      <c r="F69" s="1">
        <v>96</v>
      </c>
      <c r="G69" s="7">
        <v>0.6</v>
      </c>
      <c r="H69" s="1">
        <v>60</v>
      </c>
      <c r="I69" s="1" t="s">
        <v>168</v>
      </c>
      <c r="J69" s="1"/>
      <c r="K69" s="1">
        <v>113</v>
      </c>
      <c r="L69" s="1">
        <f t="shared" si="9"/>
        <v>4</v>
      </c>
      <c r="M69" s="1">
        <f t="shared" si="10"/>
        <v>117</v>
      </c>
      <c r="N69" s="1"/>
      <c r="O69" s="1"/>
      <c r="P69" s="1">
        <v>30.199999999999989</v>
      </c>
      <c r="Q69" s="1">
        <f t="shared" si="11"/>
        <v>23.4</v>
      </c>
      <c r="R69" s="5">
        <f t="shared" si="16"/>
        <v>154.59999999999997</v>
      </c>
      <c r="S69" s="1">
        <f t="shared" si="12"/>
        <v>11.999999999999998</v>
      </c>
      <c r="T69" s="1">
        <f t="shared" si="13"/>
        <v>5.3931623931623927</v>
      </c>
      <c r="U69" s="1">
        <v>19.2</v>
      </c>
      <c r="V69" s="1">
        <v>16</v>
      </c>
      <c r="W69" s="1">
        <v>11.6</v>
      </c>
      <c r="X69" s="1">
        <v>19.2</v>
      </c>
      <c r="Y69" s="1">
        <v>27.4</v>
      </c>
      <c r="Z69" s="1">
        <v>10.6</v>
      </c>
      <c r="AA69" s="1">
        <v>23.6</v>
      </c>
      <c r="AB69" s="1">
        <v>10.4</v>
      </c>
      <c r="AC69" s="1">
        <v>17.2</v>
      </c>
      <c r="AD69" s="1"/>
      <c r="AE69" s="1">
        <f t="shared" si="14"/>
        <v>92.759999999999977</v>
      </c>
    </row>
    <row r="70" spans="1:31" x14ac:dyDescent="0.25">
      <c r="A70" s="1" t="s">
        <v>169</v>
      </c>
      <c r="B70" s="1" t="s">
        <v>43</v>
      </c>
      <c r="C70" s="1">
        <v>294</v>
      </c>
      <c r="D70" s="1">
        <v>5</v>
      </c>
      <c r="E70" s="1">
        <v>154</v>
      </c>
      <c r="F70" s="1">
        <v>145.244</v>
      </c>
      <c r="G70" s="7">
        <v>0.6</v>
      </c>
      <c r="H70" s="1">
        <v>60</v>
      </c>
      <c r="I70" s="1" t="s">
        <v>170</v>
      </c>
      <c r="J70" s="1"/>
      <c r="K70" s="1">
        <v>148</v>
      </c>
      <c r="L70" s="1">
        <f t="shared" ref="L70:L101" si="17">E70-K70</f>
        <v>6</v>
      </c>
      <c r="M70" s="1">
        <f t="shared" ref="M70:M101" si="18">E70-N70</f>
        <v>154</v>
      </c>
      <c r="N70" s="1"/>
      <c r="O70" s="1">
        <v>167.6</v>
      </c>
      <c r="P70" s="1"/>
      <c r="Q70" s="1">
        <f t="shared" ref="Q70:Q101" si="19">M70/5</f>
        <v>30.8</v>
      </c>
      <c r="R70" s="5">
        <f t="shared" si="16"/>
        <v>56.756000000000029</v>
      </c>
      <c r="S70" s="1">
        <f t="shared" ref="S70:S101" si="20">(F70+O70+P70+R70)/Q70</f>
        <v>12</v>
      </c>
      <c r="T70" s="1">
        <f t="shared" ref="T70:T101" si="21">(F70+O70+P70)/Q70</f>
        <v>10.157272727272726</v>
      </c>
      <c r="U70" s="1">
        <v>32</v>
      </c>
      <c r="V70" s="1">
        <v>38.799999999999997</v>
      </c>
      <c r="W70" s="1">
        <v>28.8</v>
      </c>
      <c r="X70" s="1">
        <v>29.2</v>
      </c>
      <c r="Y70" s="1">
        <v>30.8</v>
      </c>
      <c r="Z70" s="1">
        <v>30.8</v>
      </c>
      <c r="AA70" s="1">
        <v>29</v>
      </c>
      <c r="AB70" s="1">
        <v>34.200000000000003</v>
      </c>
      <c r="AC70" s="1">
        <v>38.200000000000003</v>
      </c>
      <c r="AD70" s="1"/>
      <c r="AE70" s="1">
        <f t="shared" si="14"/>
        <v>34.053600000000017</v>
      </c>
    </row>
    <row r="71" spans="1:31" x14ac:dyDescent="0.25">
      <c r="A71" s="1" t="s">
        <v>171</v>
      </c>
      <c r="B71" s="1" t="s">
        <v>43</v>
      </c>
      <c r="C71" s="1">
        <v>123</v>
      </c>
      <c r="D71" s="1">
        <v>104</v>
      </c>
      <c r="E71" s="1">
        <v>135</v>
      </c>
      <c r="F71" s="1">
        <v>90</v>
      </c>
      <c r="G71" s="7">
        <v>0.4</v>
      </c>
      <c r="H71" s="1">
        <v>90</v>
      </c>
      <c r="I71" s="1" t="s">
        <v>172</v>
      </c>
      <c r="J71" s="1"/>
      <c r="K71" s="1">
        <v>136</v>
      </c>
      <c r="L71" s="1">
        <f t="shared" si="17"/>
        <v>-1</v>
      </c>
      <c r="M71" s="1">
        <f t="shared" si="18"/>
        <v>135</v>
      </c>
      <c r="N71" s="1"/>
      <c r="O71" s="1">
        <v>77.600000000000023</v>
      </c>
      <c r="P71" s="1">
        <v>34.799999999999947</v>
      </c>
      <c r="Q71" s="1">
        <f t="shared" si="19"/>
        <v>27</v>
      </c>
      <c r="R71" s="5">
        <f t="shared" si="16"/>
        <v>121.60000000000002</v>
      </c>
      <c r="S71" s="1">
        <f t="shared" si="20"/>
        <v>12</v>
      </c>
      <c r="T71" s="1">
        <f t="shared" si="21"/>
        <v>7.4962962962962951</v>
      </c>
      <c r="U71" s="1">
        <v>24.4</v>
      </c>
      <c r="V71" s="1">
        <v>24.8</v>
      </c>
      <c r="W71" s="1">
        <v>25</v>
      </c>
      <c r="X71" s="1">
        <v>18.2</v>
      </c>
      <c r="Y71" s="1">
        <v>14.8</v>
      </c>
      <c r="Z71" s="1">
        <v>24.4</v>
      </c>
      <c r="AA71" s="1">
        <v>18.2</v>
      </c>
      <c r="AB71" s="1">
        <v>17.600000000000001</v>
      </c>
      <c r="AC71" s="1">
        <v>18.399999999999999</v>
      </c>
      <c r="AD71" s="1"/>
      <c r="AE71" s="1">
        <f t="shared" si="14"/>
        <v>48.640000000000015</v>
      </c>
    </row>
    <row r="72" spans="1:31" x14ac:dyDescent="0.25">
      <c r="A72" s="1" t="s">
        <v>173</v>
      </c>
      <c r="B72" s="1" t="s">
        <v>43</v>
      </c>
      <c r="C72" s="1">
        <v>240</v>
      </c>
      <c r="D72" s="1">
        <v>41</v>
      </c>
      <c r="E72" s="1">
        <v>137</v>
      </c>
      <c r="F72" s="1">
        <v>152</v>
      </c>
      <c r="G72" s="7">
        <v>0.33</v>
      </c>
      <c r="H72" s="1">
        <v>60</v>
      </c>
      <c r="I72" s="1" t="s">
        <v>174</v>
      </c>
      <c r="J72" s="1"/>
      <c r="K72" s="1">
        <v>121</v>
      </c>
      <c r="L72" s="1">
        <f t="shared" si="17"/>
        <v>16</v>
      </c>
      <c r="M72" s="1">
        <f t="shared" si="18"/>
        <v>137</v>
      </c>
      <c r="N72" s="1"/>
      <c r="O72" s="1">
        <v>107.1999999999999</v>
      </c>
      <c r="P72" s="1">
        <v>7.4000000000001194</v>
      </c>
      <c r="Q72" s="1">
        <f t="shared" si="19"/>
        <v>27.4</v>
      </c>
      <c r="R72" s="5">
        <f t="shared" si="16"/>
        <v>62.19999999999996</v>
      </c>
      <c r="S72" s="1">
        <f t="shared" si="20"/>
        <v>11.999999999999998</v>
      </c>
      <c r="T72" s="1">
        <f t="shared" si="21"/>
        <v>9.7299270072992723</v>
      </c>
      <c r="U72" s="1">
        <v>29.6</v>
      </c>
      <c r="V72" s="1">
        <v>32.4</v>
      </c>
      <c r="W72" s="1">
        <v>26.2</v>
      </c>
      <c r="X72" s="1">
        <v>26.8</v>
      </c>
      <c r="Y72" s="1">
        <v>23.4</v>
      </c>
      <c r="Z72" s="1">
        <v>22</v>
      </c>
      <c r="AA72" s="1">
        <v>21.8</v>
      </c>
      <c r="AB72" s="1">
        <v>29</v>
      </c>
      <c r="AC72" s="1">
        <v>25.2</v>
      </c>
      <c r="AD72" s="1"/>
      <c r="AE72" s="1">
        <f t="shared" si="14"/>
        <v>20.525999999999989</v>
      </c>
    </row>
    <row r="73" spans="1:31" x14ac:dyDescent="0.25">
      <c r="A73" s="1" t="s">
        <v>175</v>
      </c>
      <c r="B73" s="1" t="s">
        <v>43</v>
      </c>
      <c r="C73" s="1">
        <v>190</v>
      </c>
      <c r="D73" s="1">
        <v>104</v>
      </c>
      <c r="E73" s="1">
        <v>200</v>
      </c>
      <c r="F73" s="1">
        <v>95</v>
      </c>
      <c r="G73" s="7">
        <v>0.35</v>
      </c>
      <c r="H73" s="1">
        <v>90</v>
      </c>
      <c r="I73" s="1" t="s">
        <v>176</v>
      </c>
      <c r="J73" s="1"/>
      <c r="K73" s="1">
        <v>195</v>
      </c>
      <c r="L73" s="1">
        <f t="shared" si="17"/>
        <v>5</v>
      </c>
      <c r="M73" s="1">
        <f t="shared" si="18"/>
        <v>200</v>
      </c>
      <c r="N73" s="1"/>
      <c r="O73" s="1">
        <v>36.399999999999977</v>
      </c>
      <c r="P73" s="1">
        <v>193</v>
      </c>
      <c r="Q73" s="1">
        <f t="shared" si="19"/>
        <v>40</v>
      </c>
      <c r="R73" s="5">
        <f t="shared" si="16"/>
        <v>155.60000000000002</v>
      </c>
      <c r="S73" s="1">
        <f t="shared" si="20"/>
        <v>12</v>
      </c>
      <c r="T73" s="1">
        <f t="shared" si="21"/>
        <v>8.11</v>
      </c>
      <c r="U73" s="1">
        <v>36.4</v>
      </c>
      <c r="V73" s="1">
        <v>27.2</v>
      </c>
      <c r="W73" s="1">
        <v>28.4</v>
      </c>
      <c r="X73" s="1">
        <v>22.2</v>
      </c>
      <c r="Y73" s="1">
        <v>19.8</v>
      </c>
      <c r="Z73" s="1">
        <v>26.4</v>
      </c>
      <c r="AA73" s="1">
        <v>20.399999999999999</v>
      </c>
      <c r="AB73" s="1">
        <v>25.4</v>
      </c>
      <c r="AC73" s="1">
        <v>25.2</v>
      </c>
      <c r="AD73" s="1"/>
      <c r="AE73" s="1">
        <f t="shared" si="14"/>
        <v>54.460000000000008</v>
      </c>
    </row>
    <row r="74" spans="1:31" x14ac:dyDescent="0.25">
      <c r="A74" s="1" t="s">
        <v>177</v>
      </c>
      <c r="B74" s="1" t="s">
        <v>43</v>
      </c>
      <c r="C74" s="1">
        <v>24</v>
      </c>
      <c r="D74" s="1">
        <v>56</v>
      </c>
      <c r="E74" s="1">
        <v>68</v>
      </c>
      <c r="F74" s="1">
        <v>12</v>
      </c>
      <c r="G74" s="7">
        <v>0.6</v>
      </c>
      <c r="H74" s="1">
        <v>70</v>
      </c>
      <c r="I74" s="1" t="s">
        <v>178</v>
      </c>
      <c r="J74" s="1"/>
      <c r="K74" s="1">
        <v>92</v>
      </c>
      <c r="L74" s="1">
        <f t="shared" si="17"/>
        <v>-24</v>
      </c>
      <c r="M74" s="1">
        <f t="shared" si="18"/>
        <v>68</v>
      </c>
      <c r="N74" s="1"/>
      <c r="O74" s="1">
        <v>124.8</v>
      </c>
      <c r="P74" s="1"/>
      <c r="Q74" s="1">
        <f t="shared" si="19"/>
        <v>13.6</v>
      </c>
      <c r="R74" s="5">
        <f t="shared" si="16"/>
        <v>26.399999999999991</v>
      </c>
      <c r="S74" s="1">
        <f t="shared" si="20"/>
        <v>12</v>
      </c>
      <c r="T74" s="1">
        <f t="shared" si="21"/>
        <v>10.058823529411766</v>
      </c>
      <c r="U74" s="1">
        <v>13.8</v>
      </c>
      <c r="V74" s="1">
        <v>18.2</v>
      </c>
      <c r="W74" s="1">
        <v>16.399999999999999</v>
      </c>
      <c r="X74" s="1">
        <v>12.2</v>
      </c>
      <c r="Y74" s="1">
        <v>10.8</v>
      </c>
      <c r="Z74" s="1">
        <v>7.4</v>
      </c>
      <c r="AA74" s="1">
        <v>14</v>
      </c>
      <c r="AB74" s="1">
        <v>11.4</v>
      </c>
      <c r="AC74" s="1">
        <v>6.4</v>
      </c>
      <c r="AD74" s="1"/>
      <c r="AE74" s="1">
        <f t="shared" si="14"/>
        <v>15.839999999999995</v>
      </c>
    </row>
    <row r="75" spans="1:31" x14ac:dyDescent="0.25">
      <c r="A75" s="1" t="s">
        <v>179</v>
      </c>
      <c r="B75" s="1" t="s">
        <v>43</v>
      </c>
      <c r="C75" s="1">
        <v>82</v>
      </c>
      <c r="D75" s="1">
        <v>42</v>
      </c>
      <c r="E75" s="1">
        <v>67</v>
      </c>
      <c r="F75" s="1">
        <v>47</v>
      </c>
      <c r="G75" s="7">
        <v>0.33</v>
      </c>
      <c r="H75" s="1">
        <v>40</v>
      </c>
      <c r="I75" s="1" t="s">
        <v>180</v>
      </c>
      <c r="J75" s="1"/>
      <c r="K75" s="1">
        <v>75</v>
      </c>
      <c r="L75" s="1">
        <f t="shared" si="17"/>
        <v>-8</v>
      </c>
      <c r="M75" s="1">
        <f t="shared" si="18"/>
        <v>67</v>
      </c>
      <c r="N75" s="1"/>
      <c r="O75" s="1"/>
      <c r="P75" s="1">
        <v>34</v>
      </c>
      <c r="Q75" s="1">
        <f t="shared" si="19"/>
        <v>13.4</v>
      </c>
      <c r="R75" s="5">
        <f t="shared" si="16"/>
        <v>79.800000000000011</v>
      </c>
      <c r="S75" s="1">
        <f t="shared" si="20"/>
        <v>12</v>
      </c>
      <c r="T75" s="1">
        <f t="shared" si="21"/>
        <v>6.044776119402985</v>
      </c>
      <c r="U75" s="1">
        <v>10</v>
      </c>
      <c r="V75" s="1">
        <v>8.4</v>
      </c>
      <c r="W75" s="1">
        <v>9.8000000000000007</v>
      </c>
      <c r="X75" s="1">
        <v>5</v>
      </c>
      <c r="Y75" s="1">
        <v>-0.2</v>
      </c>
      <c r="Z75" s="1">
        <v>4.5999999999999996</v>
      </c>
      <c r="AA75" s="1">
        <v>5.8</v>
      </c>
      <c r="AB75" s="1">
        <v>5.6</v>
      </c>
      <c r="AC75" s="1">
        <v>7</v>
      </c>
      <c r="AD75" s="1"/>
      <c r="AE75" s="1">
        <f t="shared" si="14"/>
        <v>26.334000000000007</v>
      </c>
    </row>
    <row r="76" spans="1:31" x14ac:dyDescent="0.25">
      <c r="A76" s="1" t="s">
        <v>181</v>
      </c>
      <c r="B76" s="1" t="s">
        <v>43</v>
      </c>
      <c r="C76" s="1">
        <v>57</v>
      </c>
      <c r="D76" s="1">
        <v>79</v>
      </c>
      <c r="E76" s="1">
        <v>47</v>
      </c>
      <c r="F76" s="1">
        <v>88.644000000000005</v>
      </c>
      <c r="G76" s="7">
        <v>0.4</v>
      </c>
      <c r="H76" s="1">
        <v>55</v>
      </c>
      <c r="I76" s="1" t="s">
        <v>182</v>
      </c>
      <c r="J76" s="1"/>
      <c r="K76" s="1">
        <v>47</v>
      </c>
      <c r="L76" s="1">
        <f t="shared" si="17"/>
        <v>0</v>
      </c>
      <c r="M76" s="1">
        <f t="shared" si="18"/>
        <v>47</v>
      </c>
      <c r="N76" s="1"/>
      <c r="O76" s="1"/>
      <c r="P76" s="1"/>
      <c r="Q76" s="1">
        <f t="shared" si="19"/>
        <v>9.4</v>
      </c>
      <c r="R76" s="5">
        <f t="shared" si="16"/>
        <v>24.156000000000006</v>
      </c>
      <c r="S76" s="1">
        <f t="shared" si="20"/>
        <v>12</v>
      </c>
      <c r="T76" s="1">
        <f t="shared" si="21"/>
        <v>9.4302127659574477</v>
      </c>
      <c r="U76" s="1">
        <v>9</v>
      </c>
      <c r="V76" s="1">
        <v>4.2</v>
      </c>
      <c r="W76" s="1">
        <v>2.8</v>
      </c>
      <c r="X76" s="1">
        <v>4.8</v>
      </c>
      <c r="Y76" s="1">
        <v>6.8</v>
      </c>
      <c r="Z76" s="1">
        <v>6.2</v>
      </c>
      <c r="AA76" s="1">
        <v>6.4</v>
      </c>
      <c r="AB76" s="1">
        <v>3.2</v>
      </c>
      <c r="AC76" s="1">
        <v>8.1999999999999993</v>
      </c>
      <c r="AD76" s="1"/>
      <c r="AE76" s="1">
        <f t="shared" si="14"/>
        <v>9.6624000000000034</v>
      </c>
    </row>
    <row r="77" spans="1:31" x14ac:dyDescent="0.25">
      <c r="A77" s="1" t="s">
        <v>183</v>
      </c>
      <c r="B77" s="1" t="s">
        <v>43</v>
      </c>
      <c r="C77" s="1">
        <v>33</v>
      </c>
      <c r="D77" s="1">
        <v>80</v>
      </c>
      <c r="E77" s="1">
        <v>29</v>
      </c>
      <c r="F77" s="1">
        <v>83</v>
      </c>
      <c r="G77" s="7">
        <v>0.35</v>
      </c>
      <c r="H77" s="1">
        <v>40</v>
      </c>
      <c r="I77" s="1" t="s">
        <v>184</v>
      </c>
      <c r="J77" s="1"/>
      <c r="K77" s="1">
        <v>30</v>
      </c>
      <c r="L77" s="1">
        <f t="shared" si="17"/>
        <v>-1</v>
      </c>
      <c r="M77" s="1">
        <f t="shared" si="18"/>
        <v>29</v>
      </c>
      <c r="N77" s="1"/>
      <c r="O77" s="1"/>
      <c r="P77" s="1"/>
      <c r="Q77" s="1">
        <f t="shared" si="19"/>
        <v>5.8</v>
      </c>
      <c r="R77" s="5"/>
      <c r="S77" s="1">
        <f t="shared" si="20"/>
        <v>14.310344827586208</v>
      </c>
      <c r="T77" s="1">
        <f t="shared" si="21"/>
        <v>14.310344827586208</v>
      </c>
      <c r="U77" s="1">
        <v>6.6</v>
      </c>
      <c r="V77" s="1">
        <v>7.4</v>
      </c>
      <c r="W77" s="1">
        <v>5.6</v>
      </c>
      <c r="X77" s="1">
        <v>9.6</v>
      </c>
      <c r="Y77" s="1">
        <v>9.4</v>
      </c>
      <c r="Z77" s="1">
        <v>3.6</v>
      </c>
      <c r="AA77" s="1">
        <v>9.1999999999999993</v>
      </c>
      <c r="AB77" s="1">
        <v>2.6</v>
      </c>
      <c r="AC77" s="1">
        <v>8.6</v>
      </c>
      <c r="AD77" s="1"/>
      <c r="AE77" s="1">
        <f t="shared" si="14"/>
        <v>0</v>
      </c>
    </row>
    <row r="78" spans="1:31" x14ac:dyDescent="0.25">
      <c r="A78" s="1" t="s">
        <v>185</v>
      </c>
      <c r="B78" s="1" t="s">
        <v>43</v>
      </c>
      <c r="C78" s="1">
        <v>243</v>
      </c>
      <c r="D78" s="1">
        <v>44</v>
      </c>
      <c r="E78" s="1">
        <v>108</v>
      </c>
      <c r="F78" s="1">
        <v>132</v>
      </c>
      <c r="G78" s="7">
        <v>0.35</v>
      </c>
      <c r="H78" s="1">
        <v>45</v>
      </c>
      <c r="I78" s="1" t="s">
        <v>186</v>
      </c>
      <c r="J78" s="1"/>
      <c r="K78" s="1">
        <v>152</v>
      </c>
      <c r="L78" s="1">
        <f t="shared" si="17"/>
        <v>-44</v>
      </c>
      <c r="M78" s="1">
        <f t="shared" si="18"/>
        <v>108</v>
      </c>
      <c r="N78" s="1"/>
      <c r="O78" s="1">
        <v>294.59999999999991</v>
      </c>
      <c r="P78" s="1"/>
      <c r="Q78" s="1">
        <f t="shared" si="19"/>
        <v>21.6</v>
      </c>
      <c r="R78" s="5"/>
      <c r="S78" s="1">
        <f t="shared" si="20"/>
        <v>19.749999999999993</v>
      </c>
      <c r="T78" s="1">
        <f t="shared" si="21"/>
        <v>19.749999999999993</v>
      </c>
      <c r="U78" s="1">
        <v>22.6</v>
      </c>
      <c r="V78" s="1">
        <v>44.8</v>
      </c>
      <c r="W78" s="1">
        <v>37.6</v>
      </c>
      <c r="X78" s="1">
        <v>27.4</v>
      </c>
      <c r="Y78" s="1">
        <v>20.399999999999999</v>
      </c>
      <c r="Z78" s="1">
        <v>20.399999999999999</v>
      </c>
      <c r="AA78" s="1">
        <v>22</v>
      </c>
      <c r="AB78" s="1">
        <v>29.4</v>
      </c>
      <c r="AC78" s="1">
        <v>17.600000000000001</v>
      </c>
      <c r="AD78" s="16" t="s">
        <v>49</v>
      </c>
      <c r="AE78" s="1">
        <f t="shared" si="14"/>
        <v>0</v>
      </c>
    </row>
    <row r="79" spans="1:31" x14ac:dyDescent="0.25">
      <c r="A79" s="1" t="s">
        <v>187</v>
      </c>
      <c r="B79" s="1" t="s">
        <v>35</v>
      </c>
      <c r="C79" s="1">
        <v>317.79700000000003</v>
      </c>
      <c r="D79" s="1">
        <v>775.428</v>
      </c>
      <c r="E79" s="1">
        <v>246.88</v>
      </c>
      <c r="F79" s="1">
        <v>846.255</v>
      </c>
      <c r="G79" s="7">
        <v>1</v>
      </c>
      <c r="H79" s="1">
        <v>60</v>
      </c>
      <c r="I79" s="1" t="s">
        <v>188</v>
      </c>
      <c r="J79" s="1"/>
      <c r="K79" s="1">
        <v>236.00399999999999</v>
      </c>
      <c r="L79" s="1">
        <f t="shared" si="17"/>
        <v>10.876000000000005</v>
      </c>
      <c r="M79" s="1">
        <f t="shared" si="18"/>
        <v>246.88</v>
      </c>
      <c r="N79" s="1"/>
      <c r="O79" s="1"/>
      <c r="P79" s="1"/>
      <c r="Q79" s="1">
        <f t="shared" si="19"/>
        <v>49.375999999999998</v>
      </c>
      <c r="R79" s="5"/>
      <c r="S79" s="1">
        <f t="shared" si="20"/>
        <v>17.138994653272846</v>
      </c>
      <c r="T79" s="1">
        <f t="shared" si="21"/>
        <v>17.138994653272846</v>
      </c>
      <c r="U79" s="1">
        <v>39.700599999999987</v>
      </c>
      <c r="V79" s="1">
        <v>34.451799999999999</v>
      </c>
      <c r="W79" s="1">
        <v>36.162599999999998</v>
      </c>
      <c r="X79" s="1">
        <v>42.768999999999998</v>
      </c>
      <c r="Y79" s="1">
        <v>39.879199999999997</v>
      </c>
      <c r="Z79" s="1">
        <v>30.56</v>
      </c>
      <c r="AA79" s="1">
        <v>34.906199999999998</v>
      </c>
      <c r="AB79" s="1">
        <v>35.253799999999998</v>
      </c>
      <c r="AC79" s="1">
        <v>42.633200000000002</v>
      </c>
      <c r="AD79" s="1"/>
      <c r="AE79" s="1">
        <f t="shared" si="14"/>
        <v>0</v>
      </c>
    </row>
    <row r="80" spans="1:31" x14ac:dyDescent="0.25">
      <c r="A80" s="1" t="s">
        <v>189</v>
      </c>
      <c r="B80" s="1" t="s">
        <v>35</v>
      </c>
      <c r="C80" s="1">
        <v>1444.7339999999999</v>
      </c>
      <c r="D80" s="1">
        <v>3140.9769999999999</v>
      </c>
      <c r="E80" s="1">
        <v>1679.885</v>
      </c>
      <c r="F80" s="1">
        <v>2816.8980000000001</v>
      </c>
      <c r="G80" s="7">
        <v>1</v>
      </c>
      <c r="H80" s="1">
        <v>60</v>
      </c>
      <c r="I80" s="1" t="s">
        <v>190</v>
      </c>
      <c r="J80" s="1"/>
      <c r="K80" s="1">
        <v>1633.1769999999999</v>
      </c>
      <c r="L80" s="1">
        <f t="shared" si="17"/>
        <v>46.708000000000084</v>
      </c>
      <c r="M80" s="1">
        <f t="shared" si="18"/>
        <v>1559.5940000000001</v>
      </c>
      <c r="N80" s="1">
        <v>120.291</v>
      </c>
      <c r="O80" s="1"/>
      <c r="P80" s="1">
        <v>771.6880000000001</v>
      </c>
      <c r="Q80" s="1">
        <f t="shared" si="19"/>
        <v>311.91880000000003</v>
      </c>
      <c r="R80" s="5">
        <f>12*Q80-P80-O80-F80</f>
        <v>154.43960000000015</v>
      </c>
      <c r="S80" s="1">
        <f t="shared" si="20"/>
        <v>12</v>
      </c>
      <c r="T80" s="1">
        <f t="shared" si="21"/>
        <v>11.504872421925192</v>
      </c>
      <c r="U80" s="1">
        <v>320.28199999999998</v>
      </c>
      <c r="V80" s="1">
        <v>299.32</v>
      </c>
      <c r="W80" s="1">
        <v>306.98520000000002</v>
      </c>
      <c r="X80" s="1">
        <v>341.51620000000003</v>
      </c>
      <c r="Y80" s="1">
        <v>320.39839999999998</v>
      </c>
      <c r="Z80" s="1">
        <v>272.88400000000001</v>
      </c>
      <c r="AA80" s="1">
        <v>285.44979999999998</v>
      </c>
      <c r="AB80" s="1">
        <v>314.61520000000002</v>
      </c>
      <c r="AC80" s="1">
        <v>251.56620000000001</v>
      </c>
      <c r="AD80" s="1"/>
      <c r="AE80" s="1">
        <f t="shared" si="14"/>
        <v>154.43960000000015</v>
      </c>
    </row>
    <row r="81" spans="1:31" x14ac:dyDescent="0.25">
      <c r="A81" s="1" t="s">
        <v>191</v>
      </c>
      <c r="B81" s="1" t="s">
        <v>35</v>
      </c>
      <c r="C81" s="1">
        <v>1058.768</v>
      </c>
      <c r="D81" s="1">
        <v>3148.54</v>
      </c>
      <c r="E81" s="1">
        <v>1355.896</v>
      </c>
      <c r="F81" s="1">
        <v>2757.5239999999999</v>
      </c>
      <c r="G81" s="7">
        <v>1</v>
      </c>
      <c r="H81" s="1">
        <v>60</v>
      </c>
      <c r="I81" s="1" t="s">
        <v>192</v>
      </c>
      <c r="J81" s="1"/>
      <c r="K81" s="1">
        <v>1323.7840000000001</v>
      </c>
      <c r="L81" s="1">
        <f t="shared" si="17"/>
        <v>32.111999999999853</v>
      </c>
      <c r="M81" s="1">
        <f t="shared" si="18"/>
        <v>1236.1119999999999</v>
      </c>
      <c r="N81" s="1">
        <v>119.78400000000001</v>
      </c>
      <c r="O81" s="1"/>
      <c r="P81" s="1">
        <v>299.64299999999997</v>
      </c>
      <c r="Q81" s="1">
        <f t="shared" si="19"/>
        <v>247.22239999999996</v>
      </c>
      <c r="R81" s="5"/>
      <c r="S81" s="1">
        <f t="shared" si="20"/>
        <v>12.366059871597397</v>
      </c>
      <c r="T81" s="1">
        <f t="shared" si="21"/>
        <v>12.366059871597397</v>
      </c>
      <c r="U81" s="1">
        <v>266.541</v>
      </c>
      <c r="V81" s="1">
        <v>299.10000000000002</v>
      </c>
      <c r="W81" s="1">
        <v>281.0856</v>
      </c>
      <c r="X81" s="1">
        <v>239.624</v>
      </c>
      <c r="Y81" s="1">
        <v>205.08500000000001</v>
      </c>
      <c r="Z81" s="1">
        <v>212.28399999999999</v>
      </c>
      <c r="AA81" s="1">
        <v>179.25659999999999</v>
      </c>
      <c r="AB81" s="1">
        <v>223.30840000000001</v>
      </c>
      <c r="AC81" s="1">
        <v>166.07300000000001</v>
      </c>
      <c r="AD81" s="1"/>
      <c r="AE81" s="1">
        <f t="shared" si="14"/>
        <v>0</v>
      </c>
    </row>
    <row r="82" spans="1:31" x14ac:dyDescent="0.25">
      <c r="A82" s="1" t="s">
        <v>72</v>
      </c>
      <c r="B82" s="1" t="s">
        <v>35</v>
      </c>
      <c r="C82" s="1">
        <v>2373.3330000000001</v>
      </c>
      <c r="D82" s="1">
        <v>3121.4340000000002</v>
      </c>
      <c r="E82" s="1">
        <v>2127.0219999999999</v>
      </c>
      <c r="F82" s="15">
        <f>3281.725+F21</f>
        <v>3251.3429999999998</v>
      </c>
      <c r="G82" s="7">
        <v>1</v>
      </c>
      <c r="H82" s="1">
        <v>60</v>
      </c>
      <c r="I82" s="1" t="s">
        <v>193</v>
      </c>
      <c r="J82" s="1"/>
      <c r="K82" s="1">
        <v>2104.6799999999998</v>
      </c>
      <c r="L82" s="1">
        <f t="shared" si="17"/>
        <v>22.342000000000098</v>
      </c>
      <c r="M82" s="1">
        <f t="shared" si="18"/>
        <v>2006.7159999999999</v>
      </c>
      <c r="N82" s="1">
        <v>120.306</v>
      </c>
      <c r="O82" s="1"/>
      <c r="P82" s="1">
        <v>872.75759999999946</v>
      </c>
      <c r="Q82" s="1">
        <f t="shared" si="19"/>
        <v>401.34319999999997</v>
      </c>
      <c r="R82" s="5">
        <f t="shared" ref="R82:R87" si="22">12*Q82-P82-O82-F82</f>
        <v>692.01780000000008</v>
      </c>
      <c r="S82" s="1">
        <f t="shared" si="20"/>
        <v>12</v>
      </c>
      <c r="T82" s="1">
        <f t="shared" si="21"/>
        <v>10.275745546455004</v>
      </c>
      <c r="U82" s="1">
        <v>381.37920000000003</v>
      </c>
      <c r="V82" s="1">
        <v>392.51780000000002</v>
      </c>
      <c r="W82" s="1">
        <v>396.423</v>
      </c>
      <c r="X82" s="1">
        <v>430.05099999999999</v>
      </c>
      <c r="Y82" s="1">
        <v>470.26299999999998</v>
      </c>
      <c r="Z82" s="1">
        <v>363.51339999999999</v>
      </c>
      <c r="AA82" s="1">
        <v>416.97</v>
      </c>
      <c r="AB82" s="1">
        <v>381.81599999999997</v>
      </c>
      <c r="AC82" s="1">
        <v>437.09759999999989</v>
      </c>
      <c r="AD82" s="1"/>
      <c r="AE82" s="1">
        <f t="shared" si="14"/>
        <v>692.01780000000008</v>
      </c>
    </row>
    <row r="83" spans="1:31" x14ac:dyDescent="0.25">
      <c r="A83" s="1" t="s">
        <v>194</v>
      </c>
      <c r="B83" s="1" t="s">
        <v>43</v>
      </c>
      <c r="C83" s="1">
        <v>88</v>
      </c>
      <c r="D83" s="1">
        <v>137</v>
      </c>
      <c r="E83" s="1">
        <v>156</v>
      </c>
      <c r="F83" s="1">
        <v>59</v>
      </c>
      <c r="G83" s="7">
        <v>0.3</v>
      </c>
      <c r="H83" s="1">
        <v>40</v>
      </c>
      <c r="I83" s="1" t="s">
        <v>195</v>
      </c>
      <c r="J83" s="1"/>
      <c r="K83" s="1">
        <v>165</v>
      </c>
      <c r="L83" s="1">
        <f t="shared" si="17"/>
        <v>-9</v>
      </c>
      <c r="M83" s="1">
        <f t="shared" si="18"/>
        <v>156</v>
      </c>
      <c r="N83" s="1"/>
      <c r="O83" s="1"/>
      <c r="P83" s="1">
        <v>182</v>
      </c>
      <c r="Q83" s="1">
        <f t="shared" si="19"/>
        <v>31.2</v>
      </c>
      <c r="R83" s="5">
        <f t="shared" si="22"/>
        <v>133.39999999999998</v>
      </c>
      <c r="S83" s="1">
        <f t="shared" si="20"/>
        <v>12</v>
      </c>
      <c r="T83" s="1">
        <f t="shared" si="21"/>
        <v>7.7243589743589745</v>
      </c>
      <c r="U83" s="1">
        <v>28</v>
      </c>
      <c r="V83" s="1">
        <v>15.6</v>
      </c>
      <c r="W83" s="1">
        <v>9.6</v>
      </c>
      <c r="X83" s="1">
        <v>18.399999999999999</v>
      </c>
      <c r="Y83" s="1">
        <v>21</v>
      </c>
      <c r="Z83" s="1">
        <v>21.2</v>
      </c>
      <c r="AA83" s="1">
        <v>21.2</v>
      </c>
      <c r="AB83" s="1">
        <v>18</v>
      </c>
      <c r="AC83" s="1">
        <v>16.8</v>
      </c>
      <c r="AD83" s="1"/>
      <c r="AE83" s="1">
        <f t="shared" si="14"/>
        <v>40.019999999999989</v>
      </c>
    </row>
    <row r="84" spans="1:31" x14ac:dyDescent="0.25">
      <c r="A84" s="1" t="s">
        <v>196</v>
      </c>
      <c r="B84" s="1" t="s">
        <v>43</v>
      </c>
      <c r="C84" s="1">
        <v>115</v>
      </c>
      <c r="D84" s="1">
        <v>134</v>
      </c>
      <c r="E84" s="1">
        <v>86</v>
      </c>
      <c r="F84" s="1">
        <v>158</v>
      </c>
      <c r="G84" s="7">
        <v>7.0000000000000007E-2</v>
      </c>
      <c r="H84" s="1">
        <v>90</v>
      </c>
      <c r="I84" s="1" t="s">
        <v>197</v>
      </c>
      <c r="J84" s="1"/>
      <c r="K84" s="1">
        <v>91</v>
      </c>
      <c r="L84" s="1">
        <f t="shared" si="17"/>
        <v>-5</v>
      </c>
      <c r="M84" s="1">
        <f t="shared" si="18"/>
        <v>86</v>
      </c>
      <c r="N84" s="1"/>
      <c r="O84" s="1"/>
      <c r="P84" s="1"/>
      <c r="Q84" s="1">
        <f t="shared" si="19"/>
        <v>17.2</v>
      </c>
      <c r="R84" s="5">
        <f t="shared" si="22"/>
        <v>48.399999999999977</v>
      </c>
      <c r="S84" s="1">
        <f t="shared" si="20"/>
        <v>12</v>
      </c>
      <c r="T84" s="1">
        <f t="shared" si="21"/>
        <v>9.1860465116279073</v>
      </c>
      <c r="U84" s="1">
        <v>14.8</v>
      </c>
      <c r="V84" s="1">
        <v>11.8</v>
      </c>
      <c r="W84" s="1">
        <v>10.8</v>
      </c>
      <c r="X84" s="1">
        <v>11.8</v>
      </c>
      <c r="Y84" s="1">
        <v>12.4</v>
      </c>
      <c r="Z84" s="1">
        <v>10</v>
      </c>
      <c r="AA84" s="1">
        <v>12.8</v>
      </c>
      <c r="AB84" s="1">
        <v>6.6</v>
      </c>
      <c r="AC84" s="1">
        <v>15</v>
      </c>
      <c r="AD84" s="1"/>
      <c r="AE84" s="1">
        <f t="shared" si="14"/>
        <v>3.3879999999999986</v>
      </c>
    </row>
    <row r="85" spans="1:31" x14ac:dyDescent="0.25">
      <c r="A85" s="1" t="s">
        <v>198</v>
      </c>
      <c r="B85" s="1" t="s">
        <v>43</v>
      </c>
      <c r="C85" s="1">
        <v>153</v>
      </c>
      <c r="D85" s="1">
        <v>36</v>
      </c>
      <c r="E85" s="1">
        <v>90</v>
      </c>
      <c r="F85" s="1">
        <v>97</v>
      </c>
      <c r="G85" s="7">
        <v>7.0000000000000007E-2</v>
      </c>
      <c r="H85" s="1">
        <v>90</v>
      </c>
      <c r="I85" s="1" t="s">
        <v>199</v>
      </c>
      <c r="J85" s="1"/>
      <c r="K85" s="1">
        <v>92</v>
      </c>
      <c r="L85" s="1">
        <f t="shared" si="17"/>
        <v>-2</v>
      </c>
      <c r="M85" s="1">
        <f t="shared" si="18"/>
        <v>90</v>
      </c>
      <c r="N85" s="1"/>
      <c r="O85" s="1"/>
      <c r="P85" s="1">
        <v>37</v>
      </c>
      <c r="Q85" s="1">
        <f t="shared" si="19"/>
        <v>18</v>
      </c>
      <c r="R85" s="5">
        <f t="shared" si="22"/>
        <v>82</v>
      </c>
      <c r="S85" s="1">
        <f t="shared" si="20"/>
        <v>12</v>
      </c>
      <c r="T85" s="1">
        <f t="shared" si="21"/>
        <v>7.4444444444444446</v>
      </c>
      <c r="U85" s="1">
        <v>16</v>
      </c>
      <c r="V85" s="1">
        <v>13</v>
      </c>
      <c r="W85" s="1">
        <v>9.1999999999999993</v>
      </c>
      <c r="X85" s="1">
        <v>4</v>
      </c>
      <c r="Y85" s="1">
        <v>7</v>
      </c>
      <c r="Z85" s="1">
        <v>16</v>
      </c>
      <c r="AA85" s="1">
        <v>12.4</v>
      </c>
      <c r="AB85" s="1">
        <v>10.8</v>
      </c>
      <c r="AC85" s="1">
        <v>16.8</v>
      </c>
      <c r="AD85" s="1"/>
      <c r="AE85" s="1">
        <f t="shared" si="14"/>
        <v>5.74</v>
      </c>
    </row>
    <row r="86" spans="1:31" x14ac:dyDescent="0.25">
      <c r="A86" s="1" t="s">
        <v>200</v>
      </c>
      <c r="B86" s="1" t="s">
        <v>43</v>
      </c>
      <c r="C86" s="1">
        <v>120</v>
      </c>
      <c r="D86" s="1">
        <v>99</v>
      </c>
      <c r="E86" s="1">
        <v>78</v>
      </c>
      <c r="F86" s="1">
        <v>142</v>
      </c>
      <c r="G86" s="7">
        <v>7.0000000000000007E-2</v>
      </c>
      <c r="H86" s="1">
        <v>90</v>
      </c>
      <c r="I86" s="1" t="s">
        <v>201</v>
      </c>
      <c r="J86" s="1"/>
      <c r="K86" s="1">
        <v>77</v>
      </c>
      <c r="L86" s="1">
        <f t="shared" si="17"/>
        <v>1</v>
      </c>
      <c r="M86" s="1">
        <f t="shared" si="18"/>
        <v>78</v>
      </c>
      <c r="N86" s="1"/>
      <c r="O86" s="1"/>
      <c r="P86" s="1"/>
      <c r="Q86" s="1">
        <f t="shared" si="19"/>
        <v>15.6</v>
      </c>
      <c r="R86" s="5">
        <f t="shared" si="22"/>
        <v>45.199999999999989</v>
      </c>
      <c r="S86" s="1">
        <f t="shared" si="20"/>
        <v>12</v>
      </c>
      <c r="T86" s="1">
        <f t="shared" si="21"/>
        <v>9.1025641025641022</v>
      </c>
      <c r="U86" s="1">
        <v>13.8</v>
      </c>
      <c r="V86" s="1">
        <v>10</v>
      </c>
      <c r="W86" s="1">
        <v>7.8</v>
      </c>
      <c r="X86" s="1">
        <v>0.6</v>
      </c>
      <c r="Y86" s="1">
        <v>2.6</v>
      </c>
      <c r="Z86" s="1">
        <v>7.4</v>
      </c>
      <c r="AA86" s="1">
        <v>7.2</v>
      </c>
      <c r="AB86" s="1">
        <v>5.6</v>
      </c>
      <c r="AC86" s="1">
        <v>11</v>
      </c>
      <c r="AD86" s="1"/>
      <c r="AE86" s="1">
        <f t="shared" ref="AE86:AE114" si="23">G86*R86</f>
        <v>3.1639999999999997</v>
      </c>
    </row>
    <row r="87" spans="1:31" x14ac:dyDescent="0.25">
      <c r="A87" s="1" t="s">
        <v>202</v>
      </c>
      <c r="B87" s="1" t="s">
        <v>43</v>
      </c>
      <c r="C87" s="1">
        <v>127</v>
      </c>
      <c r="D87" s="1">
        <v>44</v>
      </c>
      <c r="E87" s="1">
        <v>85</v>
      </c>
      <c r="F87" s="1">
        <v>84</v>
      </c>
      <c r="G87" s="7">
        <v>0.05</v>
      </c>
      <c r="H87" s="1">
        <v>90</v>
      </c>
      <c r="I87" s="1" t="s">
        <v>203</v>
      </c>
      <c r="J87" s="1"/>
      <c r="K87" s="1">
        <v>87</v>
      </c>
      <c r="L87" s="1">
        <f t="shared" si="17"/>
        <v>-2</v>
      </c>
      <c r="M87" s="1">
        <f t="shared" si="18"/>
        <v>85</v>
      </c>
      <c r="N87" s="1"/>
      <c r="O87" s="1">
        <v>15.80000000000001</v>
      </c>
      <c r="P87" s="1">
        <v>30.799999999999979</v>
      </c>
      <c r="Q87" s="1">
        <f t="shared" si="19"/>
        <v>17</v>
      </c>
      <c r="R87" s="5">
        <f t="shared" si="22"/>
        <v>73.400000000000006</v>
      </c>
      <c r="S87" s="1">
        <f t="shared" si="20"/>
        <v>12</v>
      </c>
      <c r="T87" s="1">
        <f t="shared" si="21"/>
        <v>7.6823529411764699</v>
      </c>
      <c r="U87" s="1">
        <v>15.6</v>
      </c>
      <c r="V87" s="1">
        <v>15.4</v>
      </c>
      <c r="W87" s="1">
        <v>12.8</v>
      </c>
      <c r="X87" s="1">
        <v>10.8</v>
      </c>
      <c r="Y87" s="1">
        <v>9.1999999999999993</v>
      </c>
      <c r="Z87" s="1">
        <v>8.1999999999999993</v>
      </c>
      <c r="AA87" s="1">
        <v>10.199999999999999</v>
      </c>
      <c r="AB87" s="1">
        <v>10.4</v>
      </c>
      <c r="AC87" s="1">
        <v>9.6</v>
      </c>
      <c r="AD87" s="1"/>
      <c r="AE87" s="1">
        <f t="shared" si="23"/>
        <v>3.6700000000000004</v>
      </c>
    </row>
    <row r="88" spans="1:31" x14ac:dyDescent="0.25">
      <c r="A88" s="12" t="s">
        <v>204</v>
      </c>
      <c r="B88" s="12" t="s">
        <v>43</v>
      </c>
      <c r="C88" s="12"/>
      <c r="D88" s="12"/>
      <c r="E88" s="12"/>
      <c r="F88" s="12"/>
      <c r="G88" s="13">
        <v>5.5E-2</v>
      </c>
      <c r="H88" s="12"/>
      <c r="I88" s="12" t="s">
        <v>205</v>
      </c>
      <c r="J88" s="12"/>
      <c r="K88" s="12">
        <v>7</v>
      </c>
      <c r="L88" s="12">
        <f t="shared" si="17"/>
        <v>-7</v>
      </c>
      <c r="M88" s="12">
        <f t="shared" si="18"/>
        <v>0</v>
      </c>
      <c r="N88" s="12"/>
      <c r="O88" s="12">
        <v>0</v>
      </c>
      <c r="P88" s="12"/>
      <c r="Q88" s="12">
        <f t="shared" si="19"/>
        <v>0</v>
      </c>
      <c r="R88" s="14"/>
      <c r="S88" s="12" t="e">
        <f t="shared" si="20"/>
        <v>#DIV/0!</v>
      </c>
      <c r="T88" s="12" t="e">
        <f t="shared" si="21"/>
        <v>#DIV/0!</v>
      </c>
      <c r="U88" s="12">
        <v>0</v>
      </c>
      <c r="V88" s="12">
        <v>3.4</v>
      </c>
      <c r="W88" s="12">
        <v>6</v>
      </c>
      <c r="X88" s="12">
        <v>11.2</v>
      </c>
      <c r="Y88" s="12">
        <v>12.6</v>
      </c>
      <c r="Z88" s="12">
        <v>8.8000000000000007</v>
      </c>
      <c r="AA88" s="12">
        <v>9.4</v>
      </c>
      <c r="AB88" s="12">
        <v>7.4</v>
      </c>
      <c r="AC88" s="12">
        <v>13.6</v>
      </c>
      <c r="AD88" s="12" t="s">
        <v>206</v>
      </c>
      <c r="AE88" s="12">
        <f t="shared" si="23"/>
        <v>0</v>
      </c>
    </row>
    <row r="89" spans="1:31" x14ac:dyDescent="0.25">
      <c r="A89" s="12" t="s">
        <v>207</v>
      </c>
      <c r="B89" s="12" t="s">
        <v>43</v>
      </c>
      <c r="C89" s="12">
        <v>54</v>
      </c>
      <c r="D89" s="12">
        <v>44</v>
      </c>
      <c r="E89" s="12">
        <v>51</v>
      </c>
      <c r="F89" s="12">
        <v>53</v>
      </c>
      <c r="G89" s="13">
        <v>5.5E-2</v>
      </c>
      <c r="H89" s="12"/>
      <c r="I89" s="12" t="s">
        <v>208</v>
      </c>
      <c r="J89" s="12"/>
      <c r="K89" s="12">
        <v>45</v>
      </c>
      <c r="L89" s="12">
        <f t="shared" si="17"/>
        <v>6</v>
      </c>
      <c r="M89" s="12">
        <f t="shared" si="18"/>
        <v>51</v>
      </c>
      <c r="N89" s="12"/>
      <c r="O89" s="12">
        <v>0</v>
      </c>
      <c r="P89" s="12"/>
      <c r="Q89" s="12">
        <f t="shared" si="19"/>
        <v>10.199999999999999</v>
      </c>
      <c r="R89" s="14"/>
      <c r="S89" s="12">
        <f t="shared" si="20"/>
        <v>5.1960784313725492</v>
      </c>
      <c r="T89" s="12">
        <f t="shared" si="21"/>
        <v>5.1960784313725492</v>
      </c>
      <c r="U89" s="12">
        <v>11.2</v>
      </c>
      <c r="V89" s="12">
        <v>13.8</v>
      </c>
      <c r="W89" s="12">
        <v>12.4</v>
      </c>
      <c r="X89" s="12">
        <v>11</v>
      </c>
      <c r="Y89" s="12">
        <v>10</v>
      </c>
      <c r="Z89" s="12">
        <v>8.1999999999999993</v>
      </c>
      <c r="AA89" s="12">
        <v>10.6</v>
      </c>
      <c r="AB89" s="12">
        <v>6.2</v>
      </c>
      <c r="AC89" s="12">
        <v>11.8</v>
      </c>
      <c r="AD89" s="12" t="s">
        <v>206</v>
      </c>
      <c r="AE89" s="12">
        <f t="shared" si="23"/>
        <v>0</v>
      </c>
    </row>
    <row r="90" spans="1:31" x14ac:dyDescent="0.25">
      <c r="A90" s="1" t="s">
        <v>209</v>
      </c>
      <c r="B90" s="1" t="s">
        <v>35</v>
      </c>
      <c r="C90" s="1">
        <v>141.19900000000001</v>
      </c>
      <c r="D90" s="1"/>
      <c r="E90" s="1">
        <v>17.577999999999999</v>
      </c>
      <c r="F90" s="1">
        <v>120.419</v>
      </c>
      <c r="G90" s="7">
        <v>1</v>
      </c>
      <c r="H90" s="1">
        <v>55</v>
      </c>
      <c r="I90" s="1" t="s">
        <v>210</v>
      </c>
      <c r="J90" s="1"/>
      <c r="K90" s="1">
        <v>17.3</v>
      </c>
      <c r="L90" s="1">
        <f t="shared" si="17"/>
        <v>0.27799999999999869</v>
      </c>
      <c r="M90" s="1">
        <f t="shared" si="18"/>
        <v>17.577999999999999</v>
      </c>
      <c r="N90" s="1"/>
      <c r="O90" s="1"/>
      <c r="P90" s="1"/>
      <c r="Q90" s="1">
        <f t="shared" si="19"/>
        <v>3.5156000000000001</v>
      </c>
      <c r="R90" s="5"/>
      <c r="S90" s="1">
        <f t="shared" si="20"/>
        <v>34.252759130731597</v>
      </c>
      <c r="T90" s="1">
        <f t="shared" si="21"/>
        <v>34.252759130731597</v>
      </c>
      <c r="U90" s="1">
        <v>4.7962000000000007</v>
      </c>
      <c r="V90" s="1">
        <v>8.3277999999999999</v>
      </c>
      <c r="W90" s="1">
        <v>89.048400000000001</v>
      </c>
      <c r="X90" s="1">
        <v>86.158199999999994</v>
      </c>
      <c r="Y90" s="1">
        <v>6.9647999999999994</v>
      </c>
      <c r="Z90" s="1">
        <v>1.6108</v>
      </c>
      <c r="AA90" s="1">
        <v>3.8397999999999999</v>
      </c>
      <c r="AB90" s="1">
        <v>9.2504000000000008</v>
      </c>
      <c r="AC90" s="1">
        <v>9.8138000000000005</v>
      </c>
      <c r="AD90" s="17" t="s">
        <v>37</v>
      </c>
      <c r="AE90" s="1">
        <f t="shared" si="23"/>
        <v>0</v>
      </c>
    </row>
    <row r="91" spans="1:31" x14ac:dyDescent="0.25">
      <c r="A91" s="1" t="s">
        <v>211</v>
      </c>
      <c r="B91" s="1" t="s">
        <v>43</v>
      </c>
      <c r="C91" s="1">
        <v>2</v>
      </c>
      <c r="D91" s="1"/>
      <c r="E91" s="1"/>
      <c r="F91" s="1">
        <v>2</v>
      </c>
      <c r="G91" s="7">
        <v>0.11</v>
      </c>
      <c r="H91" s="1">
        <v>30</v>
      </c>
      <c r="I91" s="1" t="s">
        <v>212</v>
      </c>
      <c r="J91" s="1"/>
      <c r="K91" s="1">
        <v>16</v>
      </c>
      <c r="L91" s="1">
        <f t="shared" si="17"/>
        <v>-16</v>
      </c>
      <c r="M91" s="1">
        <f t="shared" si="18"/>
        <v>0</v>
      </c>
      <c r="N91" s="1"/>
      <c r="O91" s="1">
        <v>10</v>
      </c>
      <c r="P91" s="1"/>
      <c r="Q91" s="1">
        <f t="shared" si="19"/>
        <v>0</v>
      </c>
      <c r="R91" s="5"/>
      <c r="S91" s="1" t="e">
        <f t="shared" si="20"/>
        <v>#DIV/0!</v>
      </c>
      <c r="T91" s="1" t="e">
        <f t="shared" si="21"/>
        <v>#DIV/0!</v>
      </c>
      <c r="U91" s="1">
        <v>-0.2</v>
      </c>
      <c r="V91" s="1">
        <v>-0.4</v>
      </c>
      <c r="W91" s="1">
        <v>-0.6</v>
      </c>
      <c r="X91" s="1">
        <v>-0.8</v>
      </c>
      <c r="Y91" s="1">
        <v>-0.4</v>
      </c>
      <c r="Z91" s="1">
        <v>0.6</v>
      </c>
      <c r="AA91" s="1">
        <v>1.8</v>
      </c>
      <c r="AB91" s="1">
        <v>-1.4</v>
      </c>
      <c r="AC91" s="1">
        <v>-0.2</v>
      </c>
      <c r="AD91" s="1"/>
      <c r="AE91" s="1">
        <f t="shared" si="23"/>
        <v>0</v>
      </c>
    </row>
    <row r="92" spans="1:31" x14ac:dyDescent="0.25">
      <c r="A92" s="1" t="s">
        <v>213</v>
      </c>
      <c r="B92" s="1" t="s">
        <v>43</v>
      </c>
      <c r="C92" s="1">
        <v>140</v>
      </c>
      <c r="D92" s="1">
        <v>32</v>
      </c>
      <c r="E92" s="1">
        <v>116</v>
      </c>
      <c r="F92" s="1">
        <v>57</v>
      </c>
      <c r="G92" s="7">
        <v>0.08</v>
      </c>
      <c r="H92" s="1">
        <v>45</v>
      </c>
      <c r="I92" s="1" t="s">
        <v>214</v>
      </c>
      <c r="J92" s="1"/>
      <c r="K92" s="1">
        <v>115</v>
      </c>
      <c r="L92" s="1">
        <f t="shared" si="17"/>
        <v>1</v>
      </c>
      <c r="M92" s="1">
        <f t="shared" si="18"/>
        <v>116</v>
      </c>
      <c r="N92" s="1"/>
      <c r="O92" s="1">
        <v>120</v>
      </c>
      <c r="P92" s="1">
        <v>32</v>
      </c>
      <c r="Q92" s="1">
        <f t="shared" si="19"/>
        <v>23.2</v>
      </c>
      <c r="R92" s="5">
        <f>12*Q92-P92-O92-F92</f>
        <v>69.399999999999977</v>
      </c>
      <c r="S92" s="1">
        <f t="shared" si="20"/>
        <v>12</v>
      </c>
      <c r="T92" s="1">
        <f t="shared" si="21"/>
        <v>9.0086206896551726</v>
      </c>
      <c r="U92" s="1">
        <v>23</v>
      </c>
      <c r="V92" s="1">
        <v>23.8</v>
      </c>
      <c r="W92" s="1">
        <v>20.2</v>
      </c>
      <c r="X92" s="1">
        <v>19.8</v>
      </c>
      <c r="Y92" s="1">
        <v>17.399999999999999</v>
      </c>
      <c r="Z92" s="1">
        <v>20</v>
      </c>
      <c r="AA92" s="1">
        <v>18</v>
      </c>
      <c r="AB92" s="1">
        <v>20.8</v>
      </c>
      <c r="AC92" s="1">
        <v>17.8</v>
      </c>
      <c r="AD92" s="1"/>
      <c r="AE92" s="1">
        <f t="shared" si="23"/>
        <v>5.5519999999999987</v>
      </c>
    </row>
    <row r="93" spans="1:31" x14ac:dyDescent="0.25">
      <c r="A93" s="1" t="s">
        <v>215</v>
      </c>
      <c r="B93" s="1" t="s">
        <v>43</v>
      </c>
      <c r="C93" s="1">
        <v>39</v>
      </c>
      <c r="D93" s="1">
        <v>120</v>
      </c>
      <c r="E93" s="1">
        <v>65</v>
      </c>
      <c r="F93" s="1">
        <v>90</v>
      </c>
      <c r="G93" s="7">
        <v>0.08</v>
      </c>
      <c r="H93" s="1">
        <v>45</v>
      </c>
      <c r="I93" s="1" t="s">
        <v>216</v>
      </c>
      <c r="J93" s="1"/>
      <c r="K93" s="1">
        <v>69</v>
      </c>
      <c r="L93" s="1">
        <f t="shared" si="17"/>
        <v>-4</v>
      </c>
      <c r="M93" s="1">
        <f t="shared" si="18"/>
        <v>65</v>
      </c>
      <c r="N93" s="1"/>
      <c r="O93" s="1">
        <v>76.998000000000019</v>
      </c>
      <c r="P93" s="1"/>
      <c r="Q93" s="1">
        <f t="shared" si="19"/>
        <v>13</v>
      </c>
      <c r="R93" s="5"/>
      <c r="S93" s="1">
        <f t="shared" si="20"/>
        <v>12.846000000000002</v>
      </c>
      <c r="T93" s="1">
        <f t="shared" si="21"/>
        <v>12.846000000000002</v>
      </c>
      <c r="U93" s="1">
        <v>16.2</v>
      </c>
      <c r="V93" s="1">
        <v>19.399999999999999</v>
      </c>
      <c r="W93" s="1">
        <v>16.8</v>
      </c>
      <c r="X93" s="1">
        <v>17.399999999999999</v>
      </c>
      <c r="Y93" s="1">
        <v>15.8</v>
      </c>
      <c r="Z93" s="1">
        <v>17.2</v>
      </c>
      <c r="AA93" s="1">
        <v>11.4</v>
      </c>
      <c r="AB93" s="1">
        <v>11.6</v>
      </c>
      <c r="AC93" s="1">
        <v>19</v>
      </c>
      <c r="AD93" s="1"/>
      <c r="AE93" s="1">
        <f t="shared" si="23"/>
        <v>0</v>
      </c>
    </row>
    <row r="94" spans="1:31" x14ac:dyDescent="0.25">
      <c r="A94" s="1" t="s">
        <v>217</v>
      </c>
      <c r="B94" s="1" t="s">
        <v>43</v>
      </c>
      <c r="C94" s="1">
        <v>3</v>
      </c>
      <c r="D94" s="1"/>
      <c r="E94" s="1"/>
      <c r="F94" s="1">
        <v>3</v>
      </c>
      <c r="G94" s="7">
        <v>0.17</v>
      </c>
      <c r="H94" s="1">
        <v>30</v>
      </c>
      <c r="I94" s="1" t="s">
        <v>218</v>
      </c>
      <c r="J94" s="1"/>
      <c r="K94" s="1">
        <v>11</v>
      </c>
      <c r="L94" s="1">
        <f t="shared" si="17"/>
        <v>-11</v>
      </c>
      <c r="M94" s="1">
        <f t="shared" si="18"/>
        <v>0</v>
      </c>
      <c r="N94" s="1"/>
      <c r="O94" s="1">
        <v>10</v>
      </c>
      <c r="P94" s="1"/>
      <c r="Q94" s="1">
        <f t="shared" si="19"/>
        <v>0</v>
      </c>
      <c r="R94" s="5"/>
      <c r="S94" s="1" t="e">
        <f t="shared" si="20"/>
        <v>#DIV/0!</v>
      </c>
      <c r="T94" s="1" t="e">
        <f t="shared" si="21"/>
        <v>#DIV/0!</v>
      </c>
      <c r="U94" s="1">
        <v>0</v>
      </c>
      <c r="V94" s="1">
        <v>0</v>
      </c>
      <c r="W94" s="1">
        <v>0</v>
      </c>
      <c r="X94" s="1">
        <v>-0.2</v>
      </c>
      <c r="Y94" s="1">
        <v>-0.2</v>
      </c>
      <c r="Z94" s="1">
        <v>0</v>
      </c>
      <c r="AA94" s="1">
        <v>0.2</v>
      </c>
      <c r="AB94" s="1">
        <v>-1</v>
      </c>
      <c r="AC94" s="1">
        <v>-0.6</v>
      </c>
      <c r="AD94" s="1"/>
      <c r="AE94" s="1">
        <f t="shared" si="23"/>
        <v>0</v>
      </c>
    </row>
    <row r="95" spans="1:31" x14ac:dyDescent="0.25">
      <c r="A95" s="1" t="s">
        <v>219</v>
      </c>
      <c r="B95" s="1" t="s">
        <v>35</v>
      </c>
      <c r="C95" s="1">
        <v>134.21700000000001</v>
      </c>
      <c r="D95" s="1">
        <v>219.011</v>
      </c>
      <c r="E95" s="1">
        <v>160.84399999999999</v>
      </c>
      <c r="F95" s="1">
        <v>165.53399999999999</v>
      </c>
      <c r="G95" s="7">
        <v>1</v>
      </c>
      <c r="H95" s="1">
        <v>40</v>
      </c>
      <c r="I95" s="1" t="s">
        <v>220</v>
      </c>
      <c r="J95" s="1"/>
      <c r="K95" s="1">
        <v>213.89099999999999</v>
      </c>
      <c r="L95" s="1">
        <f t="shared" si="17"/>
        <v>-53.046999999999997</v>
      </c>
      <c r="M95" s="1">
        <f t="shared" si="18"/>
        <v>160.84399999999999</v>
      </c>
      <c r="N95" s="1"/>
      <c r="O95" s="1">
        <v>57.318799999999939</v>
      </c>
      <c r="P95" s="1">
        <v>108.4746</v>
      </c>
      <c r="Q95" s="1">
        <f t="shared" si="19"/>
        <v>32.168799999999997</v>
      </c>
      <c r="R95" s="5">
        <f>12*Q95-P95-O95-F95</f>
        <v>54.698199999999986</v>
      </c>
      <c r="S95" s="1">
        <f t="shared" si="20"/>
        <v>12</v>
      </c>
      <c r="T95" s="1">
        <f t="shared" si="21"/>
        <v>10.299650593121285</v>
      </c>
      <c r="U95" s="1">
        <v>34.5154</v>
      </c>
      <c r="V95" s="1">
        <v>32.029400000000003</v>
      </c>
      <c r="W95" s="1">
        <v>31.279399999999999</v>
      </c>
      <c r="X95" s="1">
        <v>34.792999999999999</v>
      </c>
      <c r="Y95" s="1">
        <v>30.675999999999998</v>
      </c>
      <c r="Z95" s="1">
        <v>25.351800000000001</v>
      </c>
      <c r="AA95" s="1">
        <v>31.613</v>
      </c>
      <c r="AB95" s="1">
        <v>20.223400000000002</v>
      </c>
      <c r="AC95" s="1">
        <v>37.354999999999997</v>
      </c>
      <c r="AD95" s="1"/>
      <c r="AE95" s="1">
        <f t="shared" si="23"/>
        <v>54.698199999999986</v>
      </c>
    </row>
    <row r="96" spans="1:31" x14ac:dyDescent="0.25">
      <c r="A96" s="1" t="s">
        <v>221</v>
      </c>
      <c r="B96" s="1" t="s">
        <v>35</v>
      </c>
      <c r="C96" s="1">
        <v>404.39</v>
      </c>
      <c r="D96" s="1">
        <v>101.01600000000001</v>
      </c>
      <c r="E96" s="1">
        <v>121.718</v>
      </c>
      <c r="F96" s="1">
        <v>373.55599999999998</v>
      </c>
      <c r="G96" s="7">
        <v>1</v>
      </c>
      <c r="H96" s="1">
        <v>40</v>
      </c>
      <c r="I96" s="1" t="s">
        <v>222</v>
      </c>
      <c r="J96" s="1"/>
      <c r="K96" s="1">
        <v>137.19999999999999</v>
      </c>
      <c r="L96" s="1">
        <f t="shared" si="17"/>
        <v>-15.481999999999985</v>
      </c>
      <c r="M96" s="1">
        <f t="shared" si="18"/>
        <v>121.718</v>
      </c>
      <c r="N96" s="1"/>
      <c r="O96" s="1"/>
      <c r="P96" s="1"/>
      <c r="Q96" s="1">
        <f t="shared" si="19"/>
        <v>24.343600000000002</v>
      </c>
      <c r="R96" s="5"/>
      <c r="S96" s="1">
        <f t="shared" si="20"/>
        <v>15.34514204965576</v>
      </c>
      <c r="T96" s="1">
        <f t="shared" si="21"/>
        <v>15.34514204965576</v>
      </c>
      <c r="U96" s="1">
        <v>23.461200000000002</v>
      </c>
      <c r="V96" s="1">
        <v>22.640799999999999</v>
      </c>
      <c r="W96" s="1">
        <v>21.380199999999999</v>
      </c>
      <c r="X96" s="1">
        <v>19.637799999999999</v>
      </c>
      <c r="Y96" s="1">
        <v>19.757400000000001</v>
      </c>
      <c r="Z96" s="1">
        <v>0</v>
      </c>
      <c r="AA96" s="1">
        <v>27.5456</v>
      </c>
      <c r="AB96" s="1">
        <v>21.107600000000001</v>
      </c>
      <c r="AC96" s="1">
        <v>22.7972</v>
      </c>
      <c r="AD96" s="16" t="s">
        <v>49</v>
      </c>
      <c r="AE96" s="1">
        <f t="shared" si="23"/>
        <v>0</v>
      </c>
    </row>
    <row r="97" spans="1:31" x14ac:dyDescent="0.25">
      <c r="A97" s="1" t="s">
        <v>223</v>
      </c>
      <c r="B97" s="1" t="s">
        <v>35</v>
      </c>
      <c r="C97" s="1"/>
      <c r="D97" s="1">
        <v>244.233</v>
      </c>
      <c r="E97" s="1">
        <v>89.346000000000004</v>
      </c>
      <c r="F97" s="1">
        <v>152.70699999999999</v>
      </c>
      <c r="G97" s="7">
        <v>1</v>
      </c>
      <c r="H97" s="1">
        <v>40</v>
      </c>
      <c r="I97" s="1" t="s">
        <v>224</v>
      </c>
      <c r="J97" s="1"/>
      <c r="K97" s="1">
        <v>96.32</v>
      </c>
      <c r="L97" s="1">
        <f t="shared" si="17"/>
        <v>-6.9739999999999895</v>
      </c>
      <c r="M97" s="1">
        <f t="shared" si="18"/>
        <v>89.346000000000004</v>
      </c>
      <c r="N97" s="1"/>
      <c r="O97" s="1"/>
      <c r="P97" s="1"/>
      <c r="Q97" s="1">
        <f t="shared" si="19"/>
        <v>17.869199999999999</v>
      </c>
      <c r="R97" s="5">
        <f>12*Q97-P97-O97-F97</f>
        <v>61.723399999999998</v>
      </c>
      <c r="S97" s="1">
        <f t="shared" si="20"/>
        <v>12</v>
      </c>
      <c r="T97" s="1">
        <f t="shared" si="21"/>
        <v>8.5458218610793999</v>
      </c>
      <c r="U97" s="1">
        <v>6.8346</v>
      </c>
      <c r="V97" s="1">
        <v>-0.71160000000000001</v>
      </c>
      <c r="W97" s="1">
        <v>-0.70979999999999999</v>
      </c>
      <c r="X97" s="1">
        <v>-0.70679999999999998</v>
      </c>
      <c r="Y97" s="1">
        <v>-0.86</v>
      </c>
      <c r="Z97" s="1">
        <v>20.687799999999999</v>
      </c>
      <c r="AA97" s="1">
        <v>-0.28639999999999999</v>
      </c>
      <c r="AB97" s="1">
        <v>-0.71460000000000001</v>
      </c>
      <c r="AC97" s="1">
        <v>-0.71900000000000008</v>
      </c>
      <c r="AD97" s="1"/>
      <c r="AE97" s="1">
        <f t="shared" si="23"/>
        <v>61.723399999999998</v>
      </c>
    </row>
    <row r="98" spans="1:31" x14ac:dyDescent="0.25">
      <c r="A98" s="1" t="s">
        <v>225</v>
      </c>
      <c r="B98" s="1" t="s">
        <v>43</v>
      </c>
      <c r="C98" s="1">
        <v>180</v>
      </c>
      <c r="D98" s="1">
        <v>956</v>
      </c>
      <c r="E98" s="1">
        <v>255</v>
      </c>
      <c r="F98" s="1">
        <v>866</v>
      </c>
      <c r="G98" s="7">
        <v>0.28000000000000003</v>
      </c>
      <c r="H98" s="1">
        <v>40</v>
      </c>
      <c r="I98" s="1" t="s">
        <v>226</v>
      </c>
      <c r="J98" s="1"/>
      <c r="K98" s="1">
        <v>279</v>
      </c>
      <c r="L98" s="1">
        <f t="shared" si="17"/>
        <v>-24</v>
      </c>
      <c r="M98" s="1">
        <f t="shared" si="18"/>
        <v>255</v>
      </c>
      <c r="N98" s="1"/>
      <c r="O98" s="1"/>
      <c r="P98" s="1"/>
      <c r="Q98" s="1">
        <f t="shared" si="19"/>
        <v>51</v>
      </c>
      <c r="R98" s="5"/>
      <c r="S98" s="1">
        <f t="shared" si="20"/>
        <v>16.980392156862745</v>
      </c>
      <c r="T98" s="1">
        <f t="shared" si="21"/>
        <v>16.980392156862745</v>
      </c>
      <c r="U98" s="1">
        <v>48.8</v>
      </c>
      <c r="V98" s="1">
        <v>37.4</v>
      </c>
      <c r="W98" s="1">
        <v>39</v>
      </c>
      <c r="X98" s="1">
        <v>65</v>
      </c>
      <c r="Y98" s="1">
        <v>52.8</v>
      </c>
      <c r="Z98" s="1">
        <v>12.2</v>
      </c>
      <c r="AA98" s="1">
        <v>49</v>
      </c>
      <c r="AB98" s="1">
        <v>36.6</v>
      </c>
      <c r="AC98" s="1">
        <v>45.2</v>
      </c>
      <c r="AD98" s="1"/>
      <c r="AE98" s="1">
        <f t="shared" si="23"/>
        <v>0</v>
      </c>
    </row>
    <row r="99" spans="1:31" x14ac:dyDescent="0.25">
      <c r="A99" s="1" t="s">
        <v>227</v>
      </c>
      <c r="B99" s="1" t="s">
        <v>43</v>
      </c>
      <c r="C99" s="1">
        <v>96</v>
      </c>
      <c r="D99" s="1">
        <v>8</v>
      </c>
      <c r="E99" s="1">
        <v>96</v>
      </c>
      <c r="F99" s="1">
        <v>10</v>
      </c>
      <c r="G99" s="7">
        <v>0.28000000000000003</v>
      </c>
      <c r="H99" s="1">
        <v>40</v>
      </c>
      <c r="I99" s="1" t="s">
        <v>228</v>
      </c>
      <c r="J99" s="1"/>
      <c r="K99" s="1">
        <v>165</v>
      </c>
      <c r="L99" s="1">
        <f t="shared" si="17"/>
        <v>-69</v>
      </c>
      <c r="M99" s="1">
        <f t="shared" si="18"/>
        <v>96</v>
      </c>
      <c r="N99" s="1"/>
      <c r="O99" s="1">
        <v>229.2</v>
      </c>
      <c r="P99" s="1">
        <v>187.00000000000011</v>
      </c>
      <c r="Q99" s="1">
        <f t="shared" si="19"/>
        <v>19.2</v>
      </c>
      <c r="R99" s="5"/>
      <c r="S99" s="1">
        <f t="shared" si="20"/>
        <v>22.197916666666671</v>
      </c>
      <c r="T99" s="1">
        <f t="shared" si="21"/>
        <v>22.197916666666671</v>
      </c>
      <c r="U99" s="1">
        <v>39.200000000000003</v>
      </c>
      <c r="V99" s="1">
        <v>28.2</v>
      </c>
      <c r="W99" s="1">
        <v>7.8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/>
      <c r="AE99" s="1">
        <f t="shared" si="23"/>
        <v>0</v>
      </c>
    </row>
    <row r="100" spans="1:31" x14ac:dyDescent="0.25">
      <c r="A100" s="1" t="s">
        <v>229</v>
      </c>
      <c r="B100" s="1" t="s">
        <v>43</v>
      </c>
      <c r="C100" s="1">
        <v>24</v>
      </c>
      <c r="D100" s="1">
        <v>882</v>
      </c>
      <c r="E100" s="1">
        <v>205</v>
      </c>
      <c r="F100" s="1">
        <v>670</v>
      </c>
      <c r="G100" s="7">
        <v>0.28000000000000003</v>
      </c>
      <c r="H100" s="1">
        <v>40</v>
      </c>
      <c r="I100" s="1" t="s">
        <v>230</v>
      </c>
      <c r="J100" s="1"/>
      <c r="K100" s="1">
        <v>253</v>
      </c>
      <c r="L100" s="1">
        <f t="shared" si="17"/>
        <v>-48</v>
      </c>
      <c r="M100" s="1">
        <f t="shared" si="18"/>
        <v>205</v>
      </c>
      <c r="N100" s="1"/>
      <c r="O100" s="1"/>
      <c r="P100" s="1"/>
      <c r="Q100" s="1">
        <f t="shared" si="19"/>
        <v>41</v>
      </c>
      <c r="R100" s="5"/>
      <c r="S100" s="1">
        <f t="shared" si="20"/>
        <v>16.341463414634145</v>
      </c>
      <c r="T100" s="1">
        <f t="shared" si="21"/>
        <v>16.341463414634145</v>
      </c>
      <c r="U100" s="1">
        <v>35.799999999999997</v>
      </c>
      <c r="V100" s="1">
        <v>46</v>
      </c>
      <c r="W100" s="1">
        <v>40.6</v>
      </c>
      <c r="X100" s="1">
        <v>56.2</v>
      </c>
      <c r="Y100" s="1">
        <v>48.6</v>
      </c>
      <c r="Z100" s="1">
        <v>13</v>
      </c>
      <c r="AA100" s="1">
        <v>34.200000000000003</v>
      </c>
      <c r="AB100" s="1">
        <v>37.799999999999997</v>
      </c>
      <c r="AC100" s="1">
        <v>32.200000000000003</v>
      </c>
      <c r="AD100" s="1"/>
      <c r="AE100" s="1">
        <f t="shared" si="23"/>
        <v>0</v>
      </c>
    </row>
    <row r="101" spans="1:31" x14ac:dyDescent="0.25">
      <c r="A101" s="1" t="s">
        <v>231</v>
      </c>
      <c r="B101" s="1" t="s">
        <v>43</v>
      </c>
      <c r="C101" s="1">
        <v>28</v>
      </c>
      <c r="D101" s="1"/>
      <c r="E101" s="1">
        <v>9</v>
      </c>
      <c r="F101" s="1">
        <v>18</v>
      </c>
      <c r="G101" s="7">
        <v>0.09</v>
      </c>
      <c r="H101" s="1">
        <v>45</v>
      </c>
      <c r="I101" s="1" t="s">
        <v>232</v>
      </c>
      <c r="J101" s="1"/>
      <c r="K101" s="1">
        <v>10</v>
      </c>
      <c r="L101" s="1">
        <f t="shared" si="17"/>
        <v>-1</v>
      </c>
      <c r="M101" s="1">
        <f t="shared" si="18"/>
        <v>9</v>
      </c>
      <c r="N101" s="1"/>
      <c r="O101" s="1">
        <v>48.800000000000011</v>
      </c>
      <c r="P101" s="1"/>
      <c r="Q101" s="1">
        <f t="shared" si="19"/>
        <v>1.8</v>
      </c>
      <c r="R101" s="5"/>
      <c r="S101" s="1">
        <f t="shared" si="20"/>
        <v>37.111111111111114</v>
      </c>
      <c r="T101" s="1">
        <f t="shared" si="21"/>
        <v>37.111111111111114</v>
      </c>
      <c r="U101" s="1">
        <v>5.6</v>
      </c>
      <c r="V101" s="1">
        <v>6.4</v>
      </c>
      <c r="W101" s="1">
        <v>2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 t="s">
        <v>233</v>
      </c>
      <c r="AE101" s="1">
        <f t="shared" si="23"/>
        <v>0</v>
      </c>
    </row>
    <row r="102" spans="1:31" x14ac:dyDescent="0.25">
      <c r="A102" s="1" t="s">
        <v>234</v>
      </c>
      <c r="B102" s="1" t="s">
        <v>35</v>
      </c>
      <c r="C102" s="1">
        <v>222.46199999999999</v>
      </c>
      <c r="D102" s="1">
        <v>60.707000000000001</v>
      </c>
      <c r="E102" s="1">
        <v>90.322999999999993</v>
      </c>
      <c r="F102" s="1">
        <v>200.73099999999999</v>
      </c>
      <c r="G102" s="7">
        <v>1</v>
      </c>
      <c r="H102" s="1">
        <v>60</v>
      </c>
      <c r="I102" s="1" t="s">
        <v>235</v>
      </c>
      <c r="J102" s="1"/>
      <c r="K102" s="1">
        <v>82.5</v>
      </c>
      <c r="L102" s="1">
        <f t="shared" ref="L102:L114" si="24">E102-K102</f>
        <v>7.8229999999999933</v>
      </c>
      <c r="M102" s="1">
        <f t="shared" ref="M102:M114" si="25">E102-N102</f>
        <v>90.322999999999993</v>
      </c>
      <c r="N102" s="1"/>
      <c r="O102" s="1"/>
      <c r="P102" s="1">
        <v>13.32660000000001</v>
      </c>
      <c r="Q102" s="1">
        <f t="shared" ref="Q102:Q114" si="26">M102/5</f>
        <v>18.064599999999999</v>
      </c>
      <c r="R102" s="5">
        <v>6</v>
      </c>
      <c r="S102" s="1">
        <f t="shared" ref="S102:S114" si="27">(F102+O102+P102+R102)/Q102</f>
        <v>12.181703442091163</v>
      </c>
      <c r="T102" s="1">
        <f t="shared" ref="T102:T114" si="28">(F102+O102+P102)/Q102</f>
        <v>11.849562127032982</v>
      </c>
      <c r="U102" s="1">
        <v>21.049600000000002</v>
      </c>
      <c r="V102" s="1">
        <v>5.7427999999999999</v>
      </c>
      <c r="W102" s="1">
        <v>-0.13300000000000001</v>
      </c>
      <c r="X102" s="1">
        <v>1.3198000000000001</v>
      </c>
      <c r="Y102" s="1">
        <v>14.398400000000001</v>
      </c>
      <c r="Z102" s="1">
        <v>17.016999999999999</v>
      </c>
      <c r="AA102" s="1">
        <v>18.36</v>
      </c>
      <c r="AB102" s="1">
        <v>14.105</v>
      </c>
      <c r="AC102" s="1">
        <v>30.2822</v>
      </c>
      <c r="AD102" s="1"/>
      <c r="AE102" s="1">
        <f t="shared" si="23"/>
        <v>6</v>
      </c>
    </row>
    <row r="103" spans="1:31" x14ac:dyDescent="0.25">
      <c r="A103" s="1" t="s">
        <v>236</v>
      </c>
      <c r="B103" s="1" t="s">
        <v>35</v>
      </c>
      <c r="C103" s="1">
        <v>58.054000000000002</v>
      </c>
      <c r="D103" s="1">
        <v>329.34500000000003</v>
      </c>
      <c r="E103" s="1">
        <v>102.759</v>
      </c>
      <c r="F103" s="1">
        <v>290.012</v>
      </c>
      <c r="G103" s="7">
        <v>1</v>
      </c>
      <c r="H103" s="1">
        <v>50</v>
      </c>
      <c r="I103" s="1" t="s">
        <v>237</v>
      </c>
      <c r="J103" s="1"/>
      <c r="K103" s="1">
        <v>97.5</v>
      </c>
      <c r="L103" s="1">
        <f t="shared" si="24"/>
        <v>5.2590000000000003</v>
      </c>
      <c r="M103" s="1">
        <f t="shared" si="25"/>
        <v>102.759</v>
      </c>
      <c r="N103" s="1"/>
      <c r="O103" s="1"/>
      <c r="P103" s="1"/>
      <c r="Q103" s="1">
        <f t="shared" si="26"/>
        <v>20.5518</v>
      </c>
      <c r="R103" s="5"/>
      <c r="S103" s="1">
        <f t="shared" si="27"/>
        <v>14.111270059070252</v>
      </c>
      <c r="T103" s="1">
        <f t="shared" si="28"/>
        <v>14.111270059070252</v>
      </c>
      <c r="U103" s="1">
        <v>23.8172</v>
      </c>
      <c r="V103" s="1">
        <v>10.0442</v>
      </c>
      <c r="W103" s="1">
        <v>4.9964000000000004</v>
      </c>
      <c r="X103" s="1">
        <v>21.4312</v>
      </c>
      <c r="Y103" s="1">
        <v>33.929199999999987</v>
      </c>
      <c r="Z103" s="1">
        <v>14.873799999999999</v>
      </c>
      <c r="AA103" s="1">
        <v>17.5974</v>
      </c>
      <c r="AB103" s="1">
        <v>24.006599999999999</v>
      </c>
      <c r="AC103" s="1">
        <v>33.010199999999998</v>
      </c>
      <c r="AD103" s="1"/>
      <c r="AE103" s="1">
        <f t="shared" si="23"/>
        <v>0</v>
      </c>
    </row>
    <row r="104" spans="1:31" x14ac:dyDescent="0.25">
      <c r="A104" s="1" t="s">
        <v>238</v>
      </c>
      <c r="B104" s="1" t="s">
        <v>43</v>
      </c>
      <c r="C104" s="1">
        <v>40</v>
      </c>
      <c r="D104" s="1">
        <v>7</v>
      </c>
      <c r="E104" s="1">
        <v>12</v>
      </c>
      <c r="F104" s="1">
        <v>27</v>
      </c>
      <c r="G104" s="7">
        <v>0.09</v>
      </c>
      <c r="H104" s="1">
        <v>45</v>
      </c>
      <c r="I104" s="1" t="s">
        <v>239</v>
      </c>
      <c r="J104" s="1"/>
      <c r="K104" s="1">
        <v>20</v>
      </c>
      <c r="L104" s="1">
        <f t="shared" si="24"/>
        <v>-8</v>
      </c>
      <c r="M104" s="1">
        <f t="shared" si="25"/>
        <v>12</v>
      </c>
      <c r="N104" s="1"/>
      <c r="O104" s="1">
        <v>8</v>
      </c>
      <c r="P104" s="1"/>
      <c r="Q104" s="1">
        <f t="shared" si="26"/>
        <v>2.4</v>
      </c>
      <c r="R104" s="5"/>
      <c r="S104" s="1">
        <f t="shared" si="27"/>
        <v>14.583333333333334</v>
      </c>
      <c r="T104" s="1">
        <f t="shared" si="28"/>
        <v>14.583333333333334</v>
      </c>
      <c r="U104" s="1">
        <v>3.2</v>
      </c>
      <c r="V104" s="1">
        <v>4</v>
      </c>
      <c r="W104" s="1">
        <v>2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 t="s">
        <v>233</v>
      </c>
      <c r="AE104" s="1">
        <f t="shared" si="23"/>
        <v>0</v>
      </c>
    </row>
    <row r="105" spans="1:31" x14ac:dyDescent="0.25">
      <c r="A105" s="1" t="s">
        <v>240</v>
      </c>
      <c r="B105" s="1" t="s">
        <v>43</v>
      </c>
      <c r="C105" s="1">
        <v>40</v>
      </c>
      <c r="D105" s="1">
        <v>7</v>
      </c>
      <c r="E105" s="1">
        <v>10</v>
      </c>
      <c r="F105" s="1">
        <v>29</v>
      </c>
      <c r="G105" s="7">
        <v>0.09</v>
      </c>
      <c r="H105" s="1">
        <v>45</v>
      </c>
      <c r="I105" s="1" t="s">
        <v>241</v>
      </c>
      <c r="J105" s="1"/>
      <c r="K105" s="1">
        <v>18</v>
      </c>
      <c r="L105" s="1">
        <f t="shared" si="24"/>
        <v>-8</v>
      </c>
      <c r="M105" s="1">
        <f t="shared" si="25"/>
        <v>10</v>
      </c>
      <c r="N105" s="1"/>
      <c r="O105" s="1">
        <v>8</v>
      </c>
      <c r="P105" s="1"/>
      <c r="Q105" s="1">
        <f t="shared" si="26"/>
        <v>2</v>
      </c>
      <c r="R105" s="5"/>
      <c r="S105" s="1">
        <f t="shared" si="27"/>
        <v>18.5</v>
      </c>
      <c r="T105" s="1">
        <f t="shared" si="28"/>
        <v>18.5</v>
      </c>
      <c r="U105" s="1">
        <v>3.4</v>
      </c>
      <c r="V105" s="1">
        <v>4</v>
      </c>
      <c r="W105" s="1">
        <v>2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 t="s">
        <v>233</v>
      </c>
      <c r="AE105" s="1">
        <f t="shared" si="23"/>
        <v>0</v>
      </c>
    </row>
    <row r="106" spans="1:31" x14ac:dyDescent="0.25">
      <c r="A106" s="1" t="s">
        <v>242</v>
      </c>
      <c r="B106" s="1" t="s">
        <v>35</v>
      </c>
      <c r="C106" s="1">
        <v>287.38499999999999</v>
      </c>
      <c r="D106" s="1">
        <v>1.37</v>
      </c>
      <c r="E106" s="1">
        <v>71.474000000000004</v>
      </c>
      <c r="F106" s="1">
        <v>224.18199999999999</v>
      </c>
      <c r="G106" s="7">
        <v>1</v>
      </c>
      <c r="H106" s="1">
        <v>60</v>
      </c>
      <c r="I106" s="1" t="s">
        <v>243</v>
      </c>
      <c r="J106" s="1"/>
      <c r="K106" s="1">
        <v>60.4</v>
      </c>
      <c r="L106" s="1">
        <f t="shared" si="24"/>
        <v>11.074000000000005</v>
      </c>
      <c r="M106" s="1">
        <f t="shared" si="25"/>
        <v>71.474000000000004</v>
      </c>
      <c r="N106" s="1"/>
      <c r="O106" s="1"/>
      <c r="P106" s="1"/>
      <c r="Q106" s="1">
        <f t="shared" si="26"/>
        <v>14.2948</v>
      </c>
      <c r="R106" s="5"/>
      <c r="S106" s="1">
        <f t="shared" si="27"/>
        <v>15.682765760976018</v>
      </c>
      <c r="T106" s="1">
        <f t="shared" si="28"/>
        <v>15.682765760976018</v>
      </c>
      <c r="U106" s="1">
        <v>16.265000000000001</v>
      </c>
      <c r="V106" s="1">
        <v>16.506799999999998</v>
      </c>
      <c r="W106" s="1">
        <v>13.19</v>
      </c>
      <c r="X106" s="1">
        <v>15.274800000000001</v>
      </c>
      <c r="Y106" s="1">
        <v>9.7639999999999993</v>
      </c>
      <c r="Z106" s="1">
        <v>16.150400000000001</v>
      </c>
      <c r="AA106" s="1">
        <v>9.27</v>
      </c>
      <c r="AB106" s="1">
        <v>22.412600000000001</v>
      </c>
      <c r="AC106" s="1">
        <v>14.403</v>
      </c>
      <c r="AD106" s="16" t="s">
        <v>49</v>
      </c>
      <c r="AE106" s="1">
        <f t="shared" si="23"/>
        <v>0</v>
      </c>
    </row>
    <row r="107" spans="1:31" x14ac:dyDescent="0.25">
      <c r="A107" s="1" t="s">
        <v>244</v>
      </c>
      <c r="B107" s="1" t="s">
        <v>35</v>
      </c>
      <c r="C107" s="1">
        <v>261.149</v>
      </c>
      <c r="D107" s="1">
        <v>322.88600000000002</v>
      </c>
      <c r="E107" s="1">
        <v>167.87</v>
      </c>
      <c r="F107" s="1">
        <v>419.54199999999997</v>
      </c>
      <c r="G107" s="7">
        <v>1</v>
      </c>
      <c r="H107" s="1">
        <v>60</v>
      </c>
      <c r="I107" s="1" t="s">
        <v>245</v>
      </c>
      <c r="J107" s="1"/>
      <c r="K107" s="1">
        <v>150.19999999999999</v>
      </c>
      <c r="L107" s="1">
        <f t="shared" si="24"/>
        <v>17.670000000000016</v>
      </c>
      <c r="M107" s="1">
        <f t="shared" si="25"/>
        <v>167.87</v>
      </c>
      <c r="N107" s="1"/>
      <c r="O107" s="1"/>
      <c r="P107" s="1"/>
      <c r="Q107" s="1">
        <f t="shared" si="26"/>
        <v>33.573999999999998</v>
      </c>
      <c r="R107" s="5"/>
      <c r="S107" s="1">
        <f t="shared" si="27"/>
        <v>12.496038601298624</v>
      </c>
      <c r="T107" s="1">
        <f t="shared" si="28"/>
        <v>12.496038601298624</v>
      </c>
      <c r="U107" s="1">
        <v>28.9922</v>
      </c>
      <c r="V107" s="1">
        <v>22.5944</v>
      </c>
      <c r="W107" s="1">
        <v>18.268999999999998</v>
      </c>
      <c r="X107" s="1">
        <v>24.500800000000002</v>
      </c>
      <c r="Y107" s="1">
        <v>25.675599999999999</v>
      </c>
      <c r="Z107" s="1">
        <v>26.9436</v>
      </c>
      <c r="AA107" s="1">
        <v>25.497399999999999</v>
      </c>
      <c r="AB107" s="1">
        <v>33.244999999999997</v>
      </c>
      <c r="AC107" s="1">
        <v>39.076000000000001</v>
      </c>
      <c r="AD107" s="1"/>
      <c r="AE107" s="1">
        <f t="shared" si="23"/>
        <v>0</v>
      </c>
    </row>
    <row r="108" spans="1:31" x14ac:dyDescent="0.25">
      <c r="A108" s="1" t="s">
        <v>246</v>
      </c>
      <c r="B108" s="1" t="s">
        <v>35</v>
      </c>
      <c r="C108" s="1">
        <v>100.833</v>
      </c>
      <c r="D108" s="1">
        <v>33.131</v>
      </c>
      <c r="E108" s="1">
        <v>29.776</v>
      </c>
      <c r="F108" s="1">
        <v>109.49</v>
      </c>
      <c r="G108" s="7">
        <v>1</v>
      </c>
      <c r="H108" s="1">
        <v>60</v>
      </c>
      <c r="I108" s="1" t="s">
        <v>247</v>
      </c>
      <c r="J108" s="1"/>
      <c r="K108" s="1">
        <v>23.1</v>
      </c>
      <c r="L108" s="1">
        <f t="shared" si="24"/>
        <v>6.6759999999999984</v>
      </c>
      <c r="M108" s="1">
        <f t="shared" si="25"/>
        <v>29.776</v>
      </c>
      <c r="N108" s="1"/>
      <c r="O108" s="1"/>
      <c r="P108" s="1"/>
      <c r="Q108" s="1">
        <f t="shared" si="26"/>
        <v>5.9551999999999996</v>
      </c>
      <c r="R108" s="5"/>
      <c r="S108" s="1">
        <f t="shared" si="27"/>
        <v>18.385612573885009</v>
      </c>
      <c r="T108" s="1">
        <f t="shared" si="28"/>
        <v>18.385612573885009</v>
      </c>
      <c r="U108" s="1">
        <v>7.2919999999999998</v>
      </c>
      <c r="V108" s="1">
        <v>3.9214000000000002</v>
      </c>
      <c r="W108" s="1">
        <v>1.7742</v>
      </c>
      <c r="X108" s="1">
        <v>3.3816000000000002</v>
      </c>
      <c r="Y108" s="1">
        <v>7.7671999999999999</v>
      </c>
      <c r="Z108" s="1">
        <v>5.9408000000000003</v>
      </c>
      <c r="AA108" s="1">
        <v>3.2612000000000001</v>
      </c>
      <c r="AB108" s="1">
        <v>5.8381999999999996</v>
      </c>
      <c r="AC108" s="1">
        <v>11.130800000000001</v>
      </c>
      <c r="AD108" s="16" t="s">
        <v>49</v>
      </c>
      <c r="AE108" s="1">
        <f t="shared" si="23"/>
        <v>0</v>
      </c>
    </row>
    <row r="109" spans="1:31" x14ac:dyDescent="0.25">
      <c r="A109" s="1" t="s">
        <v>62</v>
      </c>
      <c r="B109" s="1" t="s">
        <v>35</v>
      </c>
      <c r="C109" s="1">
        <v>1836.5989999999999</v>
      </c>
      <c r="D109" s="1">
        <v>1355.5409999999999</v>
      </c>
      <c r="E109" s="15">
        <f>799.346+E17</f>
        <v>938.68200000000002</v>
      </c>
      <c r="F109" s="15">
        <f>2367.91+F17</f>
        <v>1991.7339999999999</v>
      </c>
      <c r="G109" s="7">
        <v>1</v>
      </c>
      <c r="H109" s="1">
        <v>60</v>
      </c>
      <c r="I109" s="1" t="s">
        <v>260</v>
      </c>
      <c r="J109" s="1"/>
      <c r="K109" s="1">
        <v>837.5</v>
      </c>
      <c r="L109" s="1">
        <f t="shared" si="24"/>
        <v>101.18200000000002</v>
      </c>
      <c r="M109" s="1">
        <f t="shared" si="25"/>
        <v>819.81000000000006</v>
      </c>
      <c r="N109" s="15">
        <f>0+N17</f>
        <v>118.872</v>
      </c>
      <c r="O109" s="1"/>
      <c r="P109" s="1"/>
      <c r="Q109" s="1">
        <f t="shared" si="26"/>
        <v>163.96200000000002</v>
      </c>
      <c r="R109" s="5"/>
      <c r="S109" s="1">
        <f t="shared" si="27"/>
        <v>12.147534184750123</v>
      </c>
      <c r="T109" s="1">
        <f t="shared" si="28"/>
        <v>12.147534184750123</v>
      </c>
      <c r="U109" s="1">
        <v>143.77440000000001</v>
      </c>
      <c r="V109" s="1">
        <v>106.32680000000001</v>
      </c>
      <c r="W109" s="1">
        <v>144.953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 t="s">
        <v>248</v>
      </c>
      <c r="AE109" s="1">
        <f t="shared" si="23"/>
        <v>0</v>
      </c>
    </row>
    <row r="110" spans="1:31" x14ac:dyDescent="0.25">
      <c r="A110" s="1" t="s">
        <v>249</v>
      </c>
      <c r="B110" s="1" t="s">
        <v>43</v>
      </c>
      <c r="C110" s="1">
        <v>221</v>
      </c>
      <c r="D110" s="1">
        <v>305</v>
      </c>
      <c r="E110" s="1">
        <v>201</v>
      </c>
      <c r="F110" s="1">
        <v>314</v>
      </c>
      <c r="G110" s="7">
        <v>0.3</v>
      </c>
      <c r="H110" s="1">
        <v>40</v>
      </c>
      <c r="I110" s="1" t="s">
        <v>250</v>
      </c>
      <c r="J110" s="1"/>
      <c r="K110" s="1">
        <v>211</v>
      </c>
      <c r="L110" s="1">
        <f t="shared" si="24"/>
        <v>-10</v>
      </c>
      <c r="M110" s="1">
        <f t="shared" si="25"/>
        <v>201</v>
      </c>
      <c r="N110" s="1"/>
      <c r="O110" s="1"/>
      <c r="P110" s="1"/>
      <c r="Q110" s="1">
        <f t="shared" si="26"/>
        <v>40.200000000000003</v>
      </c>
      <c r="R110" s="5">
        <f>12*Q110-P110-O110-F110</f>
        <v>168.40000000000003</v>
      </c>
      <c r="S110" s="1">
        <f t="shared" si="27"/>
        <v>12</v>
      </c>
      <c r="T110" s="1">
        <f t="shared" si="28"/>
        <v>7.8109452736318401</v>
      </c>
      <c r="U110" s="1">
        <v>31.4</v>
      </c>
      <c r="V110" s="1">
        <v>26.8</v>
      </c>
      <c r="W110" s="1">
        <v>26.2</v>
      </c>
      <c r="X110" s="1">
        <v>43.2</v>
      </c>
      <c r="Y110" s="1">
        <v>43</v>
      </c>
      <c r="Z110" s="1">
        <v>39.6</v>
      </c>
      <c r="AA110" s="1">
        <v>39.200000000000003</v>
      </c>
      <c r="AB110" s="1">
        <v>38.200000000000003</v>
      </c>
      <c r="AC110" s="1">
        <v>36.6</v>
      </c>
      <c r="AD110" s="1"/>
      <c r="AE110" s="1">
        <f t="shared" si="23"/>
        <v>50.52000000000001</v>
      </c>
    </row>
    <row r="111" spans="1:31" x14ac:dyDescent="0.25">
      <c r="A111" s="1" t="s">
        <v>251</v>
      </c>
      <c r="B111" s="1" t="s">
        <v>43</v>
      </c>
      <c r="C111" s="1">
        <v>4</v>
      </c>
      <c r="D111" s="1">
        <v>393</v>
      </c>
      <c r="E111" s="1">
        <v>167</v>
      </c>
      <c r="F111" s="1">
        <v>222</v>
      </c>
      <c r="G111" s="7">
        <v>0.3</v>
      </c>
      <c r="H111" s="1">
        <v>40</v>
      </c>
      <c r="I111" s="1" t="s">
        <v>252</v>
      </c>
      <c r="J111" s="1"/>
      <c r="K111" s="1">
        <v>173</v>
      </c>
      <c r="L111" s="1">
        <f t="shared" si="24"/>
        <v>-6</v>
      </c>
      <c r="M111" s="1">
        <f t="shared" si="25"/>
        <v>167</v>
      </c>
      <c r="N111" s="1"/>
      <c r="O111" s="1"/>
      <c r="P111" s="1"/>
      <c r="Q111" s="1">
        <f t="shared" si="26"/>
        <v>33.4</v>
      </c>
      <c r="R111" s="5">
        <f>12*Q111-P111-O111-F111</f>
        <v>178.79999999999995</v>
      </c>
      <c r="S111" s="1">
        <f t="shared" si="27"/>
        <v>12</v>
      </c>
      <c r="T111" s="1">
        <f t="shared" si="28"/>
        <v>6.6467065868263475</v>
      </c>
      <c r="U111" s="1">
        <v>20.399999999999999</v>
      </c>
      <c r="V111" s="1">
        <v>10.4</v>
      </c>
      <c r="W111" s="1">
        <v>17</v>
      </c>
      <c r="X111" s="1">
        <v>35.200000000000003</v>
      </c>
      <c r="Y111" s="1">
        <v>25.2</v>
      </c>
      <c r="Z111" s="1">
        <v>23.4</v>
      </c>
      <c r="AA111" s="1">
        <v>17.399999999999999</v>
      </c>
      <c r="AB111" s="1">
        <v>19.8</v>
      </c>
      <c r="AC111" s="1">
        <v>3.8</v>
      </c>
      <c r="AD111" s="1"/>
      <c r="AE111" s="1">
        <f t="shared" si="23"/>
        <v>53.639999999999986</v>
      </c>
    </row>
    <row r="112" spans="1:31" x14ac:dyDescent="0.25">
      <c r="A112" s="1" t="s">
        <v>253</v>
      </c>
      <c r="B112" s="1" t="s">
        <v>35</v>
      </c>
      <c r="C112" s="1">
        <v>49.826000000000001</v>
      </c>
      <c r="D112" s="1">
        <v>21.905000000000001</v>
      </c>
      <c r="E112" s="1">
        <v>17.934999999999999</v>
      </c>
      <c r="F112" s="1">
        <v>53.795999999999999</v>
      </c>
      <c r="G112" s="7">
        <v>1</v>
      </c>
      <c r="H112" s="1">
        <v>50</v>
      </c>
      <c r="I112" s="1" t="s">
        <v>254</v>
      </c>
      <c r="J112" s="1"/>
      <c r="K112" s="1">
        <v>17.2</v>
      </c>
      <c r="L112" s="1">
        <f t="shared" si="24"/>
        <v>0.73499999999999943</v>
      </c>
      <c r="M112" s="1">
        <f t="shared" si="25"/>
        <v>17.934999999999999</v>
      </c>
      <c r="N112" s="1"/>
      <c r="O112" s="1"/>
      <c r="P112" s="1"/>
      <c r="Q112" s="1">
        <f t="shared" si="26"/>
        <v>3.5869999999999997</v>
      </c>
      <c r="R112" s="5"/>
      <c r="S112" s="1">
        <f t="shared" si="27"/>
        <v>14.997490939503765</v>
      </c>
      <c r="T112" s="1">
        <f t="shared" si="28"/>
        <v>14.997490939503765</v>
      </c>
      <c r="U112" s="1">
        <v>3.0451999999999999</v>
      </c>
      <c r="V112" s="1">
        <v>0.82739999999999991</v>
      </c>
      <c r="W112" s="1">
        <v>0</v>
      </c>
      <c r="X112" s="1">
        <v>1.0311999999999999</v>
      </c>
      <c r="Y112" s="1">
        <v>1.3064</v>
      </c>
      <c r="Z112" s="1">
        <v>4.3450000000000006</v>
      </c>
      <c r="AA112" s="1">
        <v>1.3715999999999999</v>
      </c>
      <c r="AB112" s="1">
        <v>2.7715999999999998</v>
      </c>
      <c r="AC112" s="1">
        <v>4.6696</v>
      </c>
      <c r="AD112" s="16" t="s">
        <v>49</v>
      </c>
      <c r="AE112" s="1">
        <f t="shared" si="23"/>
        <v>0</v>
      </c>
    </row>
    <row r="113" spans="1:31" x14ac:dyDescent="0.25">
      <c r="A113" s="1" t="s">
        <v>255</v>
      </c>
      <c r="B113" s="1" t="s">
        <v>43</v>
      </c>
      <c r="C113" s="1">
        <v>141</v>
      </c>
      <c r="D113" s="1">
        <v>7</v>
      </c>
      <c r="E113" s="1">
        <v>144</v>
      </c>
      <c r="F113" s="1">
        <v>11</v>
      </c>
      <c r="G113" s="7">
        <v>0.3</v>
      </c>
      <c r="H113" s="1">
        <v>40</v>
      </c>
      <c r="I113" s="1" t="s">
        <v>256</v>
      </c>
      <c r="J113" s="1"/>
      <c r="K113" s="1">
        <v>135</v>
      </c>
      <c r="L113" s="1">
        <f t="shared" si="24"/>
        <v>9</v>
      </c>
      <c r="M113" s="1">
        <f t="shared" si="25"/>
        <v>144</v>
      </c>
      <c r="N113" s="1"/>
      <c r="O113" s="1">
        <v>134.80000000000001</v>
      </c>
      <c r="P113" s="1">
        <v>55.199999999999989</v>
      </c>
      <c r="Q113" s="1">
        <f t="shared" si="26"/>
        <v>28.8</v>
      </c>
      <c r="R113" s="5">
        <f>12*Q113-P113-O113-F113</f>
        <v>144.60000000000002</v>
      </c>
      <c r="S113" s="1">
        <f t="shared" si="27"/>
        <v>12</v>
      </c>
      <c r="T113" s="1">
        <f t="shared" si="28"/>
        <v>6.9791666666666661</v>
      </c>
      <c r="U113" s="1">
        <v>24</v>
      </c>
      <c r="V113" s="1">
        <v>22.4</v>
      </c>
      <c r="W113" s="1">
        <v>18.600000000000001</v>
      </c>
      <c r="X113" s="1">
        <v>9.1999999999999993</v>
      </c>
      <c r="Y113" s="1">
        <v>1</v>
      </c>
      <c r="Z113" s="1">
        <v>16.600000000000001</v>
      </c>
      <c r="AA113" s="1">
        <v>4.8</v>
      </c>
      <c r="AB113" s="1">
        <v>14.6</v>
      </c>
      <c r="AC113" s="1">
        <v>9.1999999999999993</v>
      </c>
      <c r="AD113" s="1"/>
      <c r="AE113" s="1">
        <f t="shared" si="23"/>
        <v>43.38</v>
      </c>
    </row>
    <row r="114" spans="1:31" x14ac:dyDescent="0.25">
      <c r="A114" s="1" t="s">
        <v>257</v>
      </c>
      <c r="B114" s="1" t="s">
        <v>43</v>
      </c>
      <c r="C114" s="1">
        <v>10</v>
      </c>
      <c r="D114" s="1">
        <v>75</v>
      </c>
      <c r="E114" s="1">
        <v>46</v>
      </c>
      <c r="F114" s="1">
        <v>45</v>
      </c>
      <c r="G114" s="7">
        <v>0.12</v>
      </c>
      <c r="H114" s="1">
        <v>45</v>
      </c>
      <c r="I114" s="1" t="s">
        <v>258</v>
      </c>
      <c r="J114" s="1"/>
      <c r="K114" s="1">
        <v>62</v>
      </c>
      <c r="L114" s="1">
        <f t="shared" si="24"/>
        <v>-16</v>
      </c>
      <c r="M114" s="1">
        <f t="shared" si="25"/>
        <v>46</v>
      </c>
      <c r="N114" s="1"/>
      <c r="O114" s="1">
        <v>32.600000000000009</v>
      </c>
      <c r="P114" s="1"/>
      <c r="Q114" s="1">
        <f t="shared" si="26"/>
        <v>9.1999999999999993</v>
      </c>
      <c r="R114" s="5">
        <f>12*Q114-P114-O114-F114</f>
        <v>32.799999999999983</v>
      </c>
      <c r="S114" s="1">
        <f t="shared" si="27"/>
        <v>12</v>
      </c>
      <c r="T114" s="1">
        <f t="shared" si="28"/>
        <v>8.4347826086956541</v>
      </c>
      <c r="U114" s="1">
        <v>8.6</v>
      </c>
      <c r="V114" s="1">
        <v>8.8000000000000007</v>
      </c>
      <c r="W114" s="1">
        <v>5.4</v>
      </c>
      <c r="X114" s="1">
        <v>8.8000000000000007</v>
      </c>
      <c r="Y114" s="1">
        <v>8.8000000000000007</v>
      </c>
      <c r="Z114" s="1">
        <v>3.6</v>
      </c>
      <c r="AA114" s="1">
        <v>9.4</v>
      </c>
      <c r="AB114" s="1">
        <v>0</v>
      </c>
      <c r="AC114" s="1">
        <v>9.1999999999999993</v>
      </c>
      <c r="AD114" s="1"/>
      <c r="AE114" s="1">
        <f t="shared" si="23"/>
        <v>3.9359999999999977</v>
      </c>
    </row>
    <row r="115" spans="1:3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</sheetData>
  <autoFilter ref="A3:AE11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2026-07-09T09:57:47Z</dcterms:created>
  <dcterms:modified xsi:type="dcterms:W3CDTF">2026-07-09T13:00:08Z</dcterms:modified>
</cp:coreProperties>
</file>