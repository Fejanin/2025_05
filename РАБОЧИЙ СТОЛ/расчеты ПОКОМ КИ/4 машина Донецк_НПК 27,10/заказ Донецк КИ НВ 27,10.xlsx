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93EDB36-B2C7-4DA1-AC8E-65B1A7844C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Z355" i="1"/>
  <c r="Z356" i="1" s="1"/>
  <c r="Y355" i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Z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Z317" i="1"/>
  <c r="Y317" i="1"/>
  <c r="BP317" i="1" s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N292" i="1"/>
  <c r="BM292" i="1"/>
  <c r="Z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Y288" i="1" s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BP246" i="1" s="1"/>
  <c r="P246" i="1"/>
  <c r="BO245" i="1"/>
  <c r="BM245" i="1"/>
  <c r="Y245" i="1"/>
  <c r="Y247" i="1" s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Y157" i="1" s="1"/>
  <c r="P153" i="1"/>
  <c r="BP152" i="1"/>
  <c r="BO152" i="1"/>
  <c r="BN152" i="1"/>
  <c r="BM152" i="1"/>
  <c r="Z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N136" i="1"/>
  <c r="BM136" i="1"/>
  <c r="Z136" i="1"/>
  <c r="Y136" i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O126" i="1"/>
  <c r="BN126" i="1"/>
  <c r="BM126" i="1"/>
  <c r="Z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8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Y96" i="1" s="1"/>
  <c r="P89" i="1"/>
  <c r="X86" i="1"/>
  <c r="X85" i="1"/>
  <c r="BP84" i="1"/>
  <c r="BO84" i="1"/>
  <c r="BN84" i="1"/>
  <c r="BM84" i="1"/>
  <c r="Z84" i="1"/>
  <c r="Y84" i="1"/>
  <c r="P84" i="1"/>
  <c r="BO83" i="1"/>
  <c r="BM83" i="1"/>
  <c r="Y83" i="1"/>
  <c r="BP83" i="1" s="1"/>
  <c r="P83" i="1"/>
  <c r="BO82" i="1"/>
  <c r="BM82" i="1"/>
  <c r="Y82" i="1"/>
  <c r="Y86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N35" i="1"/>
  <c r="BM35" i="1"/>
  <c r="Z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Z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565" i="1" s="1"/>
  <c r="X23" i="1"/>
  <c r="X569" i="1" s="1"/>
  <c r="BO22" i="1"/>
  <c r="X567" i="1" s="1"/>
  <c r="BM22" i="1"/>
  <c r="X566" i="1" s="1"/>
  <c r="X568" i="1" s="1"/>
  <c r="Y22" i="1"/>
  <c r="B575" i="1" s="1"/>
  <c r="P22" i="1"/>
  <c r="H10" i="1"/>
  <c r="A9" i="1"/>
  <c r="F10" i="1" s="1"/>
  <c r="D7" i="1"/>
  <c r="Q6" i="1"/>
  <c r="P2" i="1"/>
  <c r="BN29" i="1" l="1"/>
  <c r="Z41" i="1"/>
  <c r="BN41" i="1"/>
  <c r="Z45" i="1"/>
  <c r="BN45" i="1"/>
  <c r="Z62" i="1"/>
  <c r="BN62" i="1"/>
  <c r="Z66" i="1"/>
  <c r="BN66" i="1"/>
  <c r="Y74" i="1"/>
  <c r="Z72" i="1"/>
  <c r="BN72" i="1"/>
  <c r="Z82" i="1"/>
  <c r="BN82" i="1"/>
  <c r="BP82" i="1"/>
  <c r="Z89" i="1"/>
  <c r="BN89" i="1"/>
  <c r="BP89" i="1"/>
  <c r="Z93" i="1"/>
  <c r="BN93" i="1"/>
  <c r="Y103" i="1"/>
  <c r="Z101" i="1"/>
  <c r="BN101" i="1"/>
  <c r="Y113" i="1"/>
  <c r="Z108" i="1"/>
  <c r="BN108" i="1"/>
  <c r="Z112" i="1"/>
  <c r="BN112" i="1"/>
  <c r="Y122" i="1"/>
  <c r="Z118" i="1"/>
  <c r="BN118" i="1"/>
  <c r="Z124" i="1"/>
  <c r="BN124" i="1"/>
  <c r="BP124" i="1"/>
  <c r="Y143" i="1"/>
  <c r="Z147" i="1"/>
  <c r="BN147" i="1"/>
  <c r="Z154" i="1"/>
  <c r="BN154" i="1"/>
  <c r="Z167" i="1"/>
  <c r="BN167" i="1"/>
  <c r="Y173" i="1"/>
  <c r="Z177" i="1"/>
  <c r="BN177" i="1"/>
  <c r="BP179" i="1"/>
  <c r="BN179" i="1"/>
  <c r="BP183" i="1"/>
  <c r="BN183" i="1"/>
  <c r="Z183" i="1"/>
  <c r="Z27" i="1"/>
  <c r="BN27" i="1"/>
  <c r="Z51" i="1"/>
  <c r="BN51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6" i="1"/>
  <c r="BN236" i="1"/>
  <c r="BP236" i="1"/>
  <c r="Z240" i="1"/>
  <c r="BN240" i="1"/>
  <c r="Y248" i="1"/>
  <c r="Z246" i="1"/>
  <c r="BN246" i="1"/>
  <c r="Z265" i="1"/>
  <c r="BN265" i="1"/>
  <c r="Z268" i="1"/>
  <c r="BN268" i="1"/>
  <c r="Z272" i="1"/>
  <c r="BN272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Z324" i="1"/>
  <c r="BN324" i="1"/>
  <c r="Z328" i="1"/>
  <c r="BN328" i="1"/>
  <c r="Z342" i="1"/>
  <c r="BN342" i="1"/>
  <c r="Z348" i="1"/>
  <c r="BN348" i="1"/>
  <c r="BP348" i="1"/>
  <c r="S575" i="1"/>
  <c r="Y356" i="1"/>
  <c r="BP355" i="1"/>
  <c r="BN355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Z250" i="1"/>
  <c r="Z251" i="1" s="1"/>
  <c r="BN250" i="1"/>
  <c r="BP250" i="1"/>
  <c r="Y251" i="1"/>
  <c r="Z255" i="1"/>
  <c r="BN255" i="1"/>
  <c r="BN317" i="1"/>
  <c r="BN344" i="1"/>
  <c r="Y351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415" i="1"/>
  <c r="Y414" i="1"/>
  <c r="Y481" i="1"/>
  <c r="Y480" i="1"/>
  <c r="Y558" i="1"/>
  <c r="AC575" i="1"/>
  <c r="H9" i="1"/>
  <c r="A10" i="1"/>
  <c r="Y24" i="1"/>
  <c r="Y32" i="1"/>
  <c r="Y36" i="1"/>
  <c r="Y46" i="1"/>
  <c r="Y56" i="1"/>
  <c r="Y67" i="1"/>
  <c r="Y75" i="1"/>
  <c r="Y79" i="1"/>
  <c r="Y85" i="1"/>
  <c r="Y102" i="1"/>
  <c r="Y121" i="1"/>
  <c r="Y129" i="1"/>
  <c r="Y133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Q575" i="1"/>
  <c r="Y338" i="1"/>
  <c r="BP343" i="1"/>
  <c r="BN343" i="1"/>
  <c r="Z343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Z102" i="1" s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8" i="1"/>
  <c r="BP136" i="1"/>
  <c r="Y148" i="1"/>
  <c r="BP153" i="1"/>
  <c r="BN153" i="1"/>
  <c r="Z153" i="1"/>
  <c r="Z156" i="1" s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Z345" i="1" s="1"/>
  <c r="Y345" i="1"/>
  <c r="BP349" i="1"/>
  <c r="BN349" i="1"/>
  <c r="Z349" i="1"/>
  <c r="Z351" i="1" s="1"/>
  <c r="BP372" i="1"/>
  <c r="BN372" i="1"/>
  <c r="Z372" i="1"/>
  <c r="BP376" i="1"/>
  <c r="BN376" i="1"/>
  <c r="Z376" i="1"/>
  <c r="Z378" i="1" s="1"/>
  <c r="Y389" i="1"/>
  <c r="BP384" i="1"/>
  <c r="BN384" i="1"/>
  <c r="Z384" i="1"/>
  <c r="BP392" i="1"/>
  <c r="BN392" i="1"/>
  <c r="Z392" i="1"/>
  <c r="Z395" i="1" s="1"/>
  <c r="BP400" i="1"/>
  <c r="BN400" i="1"/>
  <c r="Z400" i="1"/>
  <c r="Y409" i="1"/>
  <c r="BP404" i="1"/>
  <c r="BN404" i="1"/>
  <c r="Z404" i="1"/>
  <c r="Z408" i="1" s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Z480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233" i="1" l="1"/>
  <c r="Z128" i="1"/>
  <c r="Z121" i="1"/>
  <c r="Z95" i="1"/>
  <c r="Z74" i="1"/>
  <c r="Z535" i="1"/>
  <c r="Z491" i="1"/>
  <c r="Z304" i="1"/>
  <c r="Z273" i="1"/>
  <c r="Z113" i="1"/>
  <c r="Z55" i="1"/>
  <c r="Z46" i="1"/>
  <c r="Z388" i="1"/>
  <c r="Z319" i="1"/>
  <c r="Z212" i="1"/>
  <c r="Z447" i="1"/>
  <c r="Z427" i="1"/>
  <c r="Z67" i="1"/>
  <c r="Z31" i="1"/>
  <c r="Y567" i="1"/>
  <c r="Z337" i="1"/>
  <c r="Z168" i="1"/>
  <c r="Y565" i="1"/>
  <c r="Z519" i="1"/>
  <c r="Z506" i="1"/>
  <c r="Z330" i="1"/>
  <c r="Z288" i="1"/>
  <c r="Z401" i="1"/>
  <c r="Y569" i="1"/>
  <c r="Y566" i="1"/>
  <c r="Y568" i="1" s="1"/>
  <c r="Z187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<sst xmlns="http://schemas.openxmlformats.org/spreadsheetml/2006/main" count="2535" uniqueCount="913">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</sst>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1159</v>
      </c>
      <c r="Y51" s="636">
        <f>IFERROR(IF(X51="",0,CEILING((X51/$H51),1)*$H51),"")</f>
        <v>1166.4000000000001</v>
      </c>
      <c r="Z51" s="36">
        <f>IFERROR(IF(Y51=0,"",ROUNDUP(Y51/H51,0)*0.01898),"")</f>
        <v>2.0498400000000001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1202.9990740740741</v>
      </c>
      <c r="BN51" s="64">
        <f>IFERROR(Y51*I51/H51,"0")</f>
        <v>1210.6800000000003</v>
      </c>
      <c r="BO51" s="64">
        <f>IFERROR(1/J51*(X51/H51),"0")</f>
        <v>1.6767939814814814</v>
      </c>
      <c r="BP51" s="64">
        <f>IFERROR(1/J51*(Y51/H51),"0")</f>
        <v>1.6875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107.31481481481481</v>
      </c>
      <c r="Y55" s="637">
        <f>IFERROR(Y51/H51,"0")+IFERROR(Y52/H52,"0")+IFERROR(Y53/H53,"0")+IFERROR(Y54/H54,"0")</f>
        <v>108</v>
      </c>
      <c r="Z55" s="637">
        <f>IFERROR(IF(Z51="",0,Z51),"0")+IFERROR(IF(Z52="",0,Z52),"0")+IFERROR(IF(Z53="",0,Z53),"0")+IFERROR(IF(Z54="",0,Z54),"0")</f>
        <v>2.0498400000000001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1159</v>
      </c>
      <c r="Y56" s="637">
        <f>IFERROR(SUM(Y51:Y54),"0")</f>
        <v>1166.4000000000001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338</v>
      </c>
      <c r="Y60" s="636">
        <f t="shared" si="0"/>
        <v>345.6</v>
      </c>
      <c r="Z60" s="36">
        <f>IFERROR(IF(Y60=0,"",ROUNDUP(Y60/H60,0)*0.01898),"")</f>
        <v>0.60736000000000001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350.83148148148149</v>
      </c>
      <c r="BN60" s="64">
        <f t="shared" si="2"/>
        <v>358.72</v>
      </c>
      <c r="BO60" s="64">
        <f t="shared" si="3"/>
        <v>0.48900462962962959</v>
      </c>
      <c r="BP60" s="64">
        <f t="shared" si="4"/>
        <v>0.5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62</v>
      </c>
      <c r="Y66" s="636">
        <f t="shared" si="0"/>
        <v>63</v>
      </c>
      <c r="Z66" s="36">
        <f>IFERROR(IF(Y66=0,"",ROUNDUP(Y66/H66,0)*0.00902),"")</f>
        <v>0.12628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64.617777777777789</v>
      </c>
      <c r="BN66" s="64">
        <f t="shared" si="2"/>
        <v>65.660000000000011</v>
      </c>
      <c r="BO66" s="64">
        <f t="shared" si="3"/>
        <v>0.10437710437710439</v>
      </c>
      <c r="BP66" s="64">
        <f t="shared" si="4"/>
        <v>0.10606060606060606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45.074074074074076</v>
      </c>
      <c r="Y67" s="637">
        <f>IFERROR(Y59/H59,"0")+IFERROR(Y60/H60,"0")+IFERROR(Y61/H61,"0")+IFERROR(Y62/H62,"0")+IFERROR(Y63/H63,"0")+IFERROR(Y64/H64,"0")+IFERROR(Y65/H65,"0")+IFERROR(Y66/H66,"0")</f>
        <v>46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0.73364000000000007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400</v>
      </c>
      <c r="Y68" s="637">
        <f>IFERROR(SUM(Y59:Y66),"0")</f>
        <v>408.6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127</v>
      </c>
      <c r="Y82" s="636">
        <f>IFERROR(IF(X82="",0,CEILING((X82/$H82),1)*$H82),"")</f>
        <v>132.6</v>
      </c>
      <c r="Z82" s="36">
        <f>IFERROR(IF(Y82=0,"",ROUNDUP(Y82/H82,0)*0.01898),"")</f>
        <v>0.32266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133.67564102564103</v>
      </c>
      <c r="BN82" s="64">
        <f>IFERROR(Y82*I82/H82,"0")</f>
        <v>139.57</v>
      </c>
      <c r="BO82" s="64">
        <f>IFERROR(1/J82*(X82/H82),"0")</f>
        <v>0.25440705128205127</v>
      </c>
      <c r="BP82" s="64">
        <f>IFERROR(1/J82*(Y82/H82),"0")</f>
        <v>0.265625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16.282051282051281</v>
      </c>
      <c r="Y85" s="637">
        <f>IFERROR(Y82/H82,"0")+IFERROR(Y83/H83,"0")+IFERROR(Y84/H84,"0")</f>
        <v>17</v>
      </c>
      <c r="Z85" s="637">
        <f>IFERROR(IF(Z82="",0,Z82),"0")+IFERROR(IF(Z83="",0,Z83),"0")+IFERROR(IF(Z84="",0,Z84),"0")</f>
        <v>0.32266</v>
      </c>
      <c r="AA85" s="638"/>
      <c r="AB85" s="638"/>
      <c r="AC85" s="638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127</v>
      </c>
      <c r="Y86" s="637">
        <f>IFERROR(SUM(Y82:Y84),"0")</f>
        <v>132.6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169</v>
      </c>
      <c r="Y89" s="636">
        <f t="shared" ref="Y89:Y94" si="5">IFERROR(IF(X89="",0,CEILING((X89/$H89),1)*$H89),"")</f>
        <v>172.8</v>
      </c>
      <c r="Z89" s="36">
        <f>IFERROR(IF(Y89=0,"",ROUNDUP(Y89/H89,0)*0.01898),"")</f>
        <v>0.30368000000000001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175.41574074074074</v>
      </c>
      <c r="BN89" s="64">
        <f t="shared" ref="BN89:BN94" si="7">IFERROR(Y89*I89/H89,"0")</f>
        <v>179.36</v>
      </c>
      <c r="BO89" s="64">
        <f t="shared" ref="BO89:BO94" si="8">IFERROR(1/J89*(X89/H89),"0")</f>
        <v>0.2445023148148148</v>
      </c>
      <c r="BP89" s="64">
        <f t="shared" ref="BP89:BP94" si="9">IFERROR(1/J89*(Y89/H89),"0")</f>
        <v>0.25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91</v>
      </c>
      <c r="Y94" s="636">
        <f t="shared" si="5"/>
        <v>94.5</v>
      </c>
      <c r="Z94" s="36">
        <f>IFERROR(IF(Y94=0,"",ROUNDUP(Y94/H94,0)*0.00902),"")</f>
        <v>0.18942000000000001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94.842222222222233</v>
      </c>
      <c r="BN94" s="64">
        <f t="shared" si="7"/>
        <v>98.490000000000009</v>
      </c>
      <c r="BO94" s="64">
        <f t="shared" si="8"/>
        <v>0.1531986531986532</v>
      </c>
      <c r="BP94" s="64">
        <f t="shared" si="9"/>
        <v>0.15909090909090909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35.870370370370367</v>
      </c>
      <c r="Y95" s="637">
        <f>IFERROR(Y89/H89,"0")+IFERROR(Y90/H90,"0")+IFERROR(Y91/H91,"0")+IFERROR(Y92/H92,"0")+IFERROR(Y93/H93,"0")+IFERROR(Y94/H94,"0")</f>
        <v>37</v>
      </c>
      <c r="Z95" s="637">
        <f>IFERROR(IF(Z89="",0,Z89),"0")+IFERROR(IF(Z90="",0,Z90),"0")+IFERROR(IF(Z91="",0,Z91),"0")+IFERROR(IF(Z92="",0,Z92),"0")+IFERROR(IF(Z93="",0,Z93),"0")+IFERROR(IF(Z94="",0,Z94),"0")</f>
        <v>0.49309999999999998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260</v>
      </c>
      <c r="Y96" s="637">
        <f>IFERROR(SUM(Y89:Y94),"0")</f>
        <v>267.3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357</v>
      </c>
      <c r="Y98" s="636">
        <f>IFERROR(IF(X98="",0,CEILING((X98/$H98),1)*$H98),"")</f>
        <v>364.5</v>
      </c>
      <c r="Z98" s="36">
        <f>IFERROR(IF(Y98=0,"",ROUNDUP(Y98/H98,0)*0.01898),"")</f>
        <v>0.85409999999999997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378.77259259259262</v>
      </c>
      <c r="BN98" s="64">
        <f>IFERROR(Y98*I98/H98,"0")</f>
        <v>386.73</v>
      </c>
      <c r="BO98" s="64">
        <f>IFERROR(1/J98*(X98/H98),"0")</f>
        <v>0.68865740740740744</v>
      </c>
      <c r="BP98" s="64">
        <f>IFERROR(1/J98*(Y98/H98),"0")</f>
        <v>0.703125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204</v>
      </c>
      <c r="Y100" s="636">
        <f>IFERROR(IF(X100="",0,CEILING((X100/$H100),1)*$H100),"")</f>
        <v>205.20000000000002</v>
      </c>
      <c r="Z100" s="36">
        <f>IFERROR(IF(Y100=0,"",ROUNDUP(Y100/H100,0)*0.00651),"")</f>
        <v>0.49476000000000003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223.03999999999996</v>
      </c>
      <c r="BN100" s="64">
        <f>IFERROR(Y100*I100/H100,"0")</f>
        <v>224.352</v>
      </c>
      <c r="BO100" s="64">
        <f>IFERROR(1/J100*(X100/H100),"0")</f>
        <v>0.41514041514041516</v>
      </c>
      <c r="BP100" s="64">
        <f>IFERROR(1/J100*(Y100/H100),"0")</f>
        <v>0.4175824175824176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119.62962962962963</v>
      </c>
      <c r="Y102" s="637">
        <f>IFERROR(Y98/H98,"0")+IFERROR(Y99/H99,"0")+IFERROR(Y100/H100,"0")+IFERROR(Y101/H101,"0")</f>
        <v>121</v>
      </c>
      <c r="Z102" s="637">
        <f>IFERROR(IF(Z98="",0,Z98),"0")+IFERROR(IF(Z99="",0,Z99),"0")+IFERROR(IF(Z100="",0,Z100),"0")+IFERROR(IF(Z101="",0,Z101),"0")</f>
        <v>1.3488599999999999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561</v>
      </c>
      <c r="Y103" s="637">
        <f>IFERROR(SUM(Y98:Y101),"0")</f>
        <v>569.70000000000005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342</v>
      </c>
      <c r="Y106" s="636">
        <f t="shared" ref="Y106:Y112" si="10">IFERROR(IF(X106="",0,CEILING((X106/$H106),1)*$H106),"")</f>
        <v>345.6</v>
      </c>
      <c r="Z106" s="36">
        <f>IFERROR(IF(Y106=0,"",ROUNDUP(Y106/H106,0)*0.01898),"")</f>
        <v>0.60736000000000001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354.98333333333335</v>
      </c>
      <c r="BN106" s="64">
        <f t="shared" ref="BN106:BN112" si="12">IFERROR(Y106*I106/H106,"0")</f>
        <v>358.72</v>
      </c>
      <c r="BO106" s="64">
        <f t="shared" ref="BO106:BO112" si="13">IFERROR(1/J106*(X106/H106),"0")</f>
        <v>0.49479166666666663</v>
      </c>
      <c r="BP106" s="64">
        <f t="shared" ref="BP106:BP112" si="14">IFERROR(1/J106*(Y106/H106),"0")</f>
        <v>0.5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31.666666666666664</v>
      </c>
      <c r="Y113" s="637">
        <f>IFERROR(Y106/H106,"0")+IFERROR(Y107/H107,"0")+IFERROR(Y108/H108,"0")+IFERROR(Y109/H109,"0")+IFERROR(Y110/H110,"0")+IFERROR(Y111/H111,"0")+IFERROR(Y112/H112,"0")</f>
        <v>32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0.60736000000000001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342</v>
      </c>
      <c r="Y114" s="637">
        <f>IFERROR(SUM(Y106:Y112),"0")</f>
        <v>345.6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707</v>
      </c>
      <c r="Y124" s="636">
        <f>IFERROR(IF(X124="",0,CEILING((X124/$H124),1)*$H124),"")</f>
        <v>712.8</v>
      </c>
      <c r="Z124" s="36">
        <f>IFERROR(IF(Y124=0,"",ROUNDUP(Y124/H124,0)*0.01898),"")</f>
        <v>1.6702399999999999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749.59456790123454</v>
      </c>
      <c r="BN124" s="64">
        <f>IFERROR(Y124*I124/H124,"0")</f>
        <v>755.74399999999991</v>
      </c>
      <c r="BO124" s="64">
        <f>IFERROR(1/J124*(X124/H124),"0")</f>
        <v>1.3638117283950617</v>
      </c>
      <c r="BP124" s="64">
        <f>IFERROR(1/J124*(Y124/H124),"0")</f>
        <v>1.375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323</v>
      </c>
      <c r="Y126" s="636">
        <f>IFERROR(IF(X126="",0,CEILING((X126/$H126),1)*$H126),"")</f>
        <v>324</v>
      </c>
      <c r="Z126" s="36">
        <f>IFERROR(IF(Y126=0,"",ROUNDUP(Y126/H126,0)*0.00651),"")</f>
        <v>0.78120000000000001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353.14666666666665</v>
      </c>
      <c r="BN126" s="64">
        <f>IFERROR(Y126*I126/H126,"0")</f>
        <v>354.23999999999995</v>
      </c>
      <c r="BO126" s="64">
        <f>IFERROR(1/J126*(X126/H126),"0")</f>
        <v>0.65730565730565726</v>
      </c>
      <c r="BP126" s="64">
        <f>IFERROR(1/J126*(Y126/H126),"0")</f>
        <v>0.65934065934065933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206.91358024691357</v>
      </c>
      <c r="Y128" s="637">
        <f>IFERROR(Y124/H124,"0")+IFERROR(Y125/H125,"0")+IFERROR(Y126/H126,"0")+IFERROR(Y127/H127,"0")</f>
        <v>208</v>
      </c>
      <c r="Z128" s="637">
        <f>IFERROR(IF(Z124="",0,Z124),"0")+IFERROR(IF(Z125="",0,Z125),"0")+IFERROR(IF(Z126="",0,Z126),"0")+IFERROR(IF(Z127="",0,Z127),"0")</f>
        <v>2.4514399999999998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1030</v>
      </c>
      <c r="Y129" s="637">
        <f>IFERROR(SUM(Y124:Y127),"0")</f>
        <v>1036.8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67</v>
      </c>
      <c r="Y131" s="636">
        <f>IFERROR(IF(X131="",0,CEILING((X131/$H131),1)*$H131),"")</f>
        <v>67.319999999999993</v>
      </c>
      <c r="Z131" s="36">
        <f>IFERROR(IF(Y131=0,"",ROUNDUP(Y131/H131,0)*0.00651),"")</f>
        <v>0.22134000000000001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75.730303030303034</v>
      </c>
      <c r="BN131" s="64">
        <f>IFERROR(Y131*I131/H131,"0")</f>
        <v>76.091999999999985</v>
      </c>
      <c r="BO131" s="64">
        <f>IFERROR(1/J131*(X131/H131),"0")</f>
        <v>0.18592518592518595</v>
      </c>
      <c r="BP131" s="64">
        <f>IFERROR(1/J131*(Y131/H131),"0")</f>
        <v>0.18681318681318682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33.838383838383841</v>
      </c>
      <c r="Y132" s="637">
        <f>IFERROR(Y131/H131,"0")</f>
        <v>34</v>
      </c>
      <c r="Z132" s="637">
        <f>IFERROR(IF(Z131="",0,Z131),"0")</f>
        <v>0.22134000000000001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67</v>
      </c>
      <c r="Y133" s="637">
        <f>IFERROR(SUM(Y131:Y131),"0")</f>
        <v>67.319999999999993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hidden="1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38"/>
      <c r="AB187" s="638"/>
      <c r="AC187" s="638"/>
    </row>
    <row r="188" spans="1:68" hidden="1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0</v>
      </c>
      <c r="Y188" s="637">
        <f>IFERROR(SUM(Y176:Y186),"0")</f>
        <v>0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423</v>
      </c>
      <c r="Y267" s="636">
        <f t="shared" si="31"/>
        <v>426.6</v>
      </c>
      <c r="Z267" s="36">
        <f>IFERROR(IF(Y267=0,"",ROUNDUP(Y267/H267,0)*0.00902),"")</f>
        <v>0.71257999999999999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437.88333333333333</v>
      </c>
      <c r="BN267" s="64">
        <f t="shared" si="33"/>
        <v>441.60999999999996</v>
      </c>
      <c r="BO267" s="64">
        <f t="shared" si="34"/>
        <v>0.59343434343434343</v>
      </c>
      <c r="BP267" s="64">
        <f t="shared" si="35"/>
        <v>0.59848484848484851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78.333333333333329</v>
      </c>
      <c r="Y273" s="637">
        <f>IFERROR(Y265/H265,"0")+IFERROR(Y266/H266,"0")+IFERROR(Y267/H267,"0")+IFERROR(Y268/H268,"0")+IFERROR(Y269/H269,"0")+IFERROR(Y270/H270,"0")+IFERROR(Y271/H271,"0")+IFERROR(Y272/H272,"0")</f>
        <v>79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0.71257999999999999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423</v>
      </c>
      <c r="Y274" s="637">
        <f>IFERROR(SUM(Y265:Y272),"0")</f>
        <v>426.6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296</v>
      </c>
      <c r="Y277" s="636">
        <f t="shared" si="36"/>
        <v>299.7</v>
      </c>
      <c r="Z277" s="36">
        <f>IFERROR(IF(Y277=0,"",ROUNDUP(Y277/H277,0)*0.01898),"")</f>
        <v>0.70226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314.05234567901232</v>
      </c>
      <c r="BN277" s="64">
        <f t="shared" si="38"/>
        <v>317.97800000000001</v>
      </c>
      <c r="BO277" s="64">
        <f t="shared" si="39"/>
        <v>0.57098765432098764</v>
      </c>
      <c r="BP277" s="64">
        <f t="shared" si="40"/>
        <v>0.578125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212</v>
      </c>
      <c r="Y278" s="636">
        <f t="shared" si="36"/>
        <v>218.7</v>
      </c>
      <c r="Z278" s="36">
        <f>IFERROR(IF(Y278=0,"",ROUNDUP(Y278/H278,0)*0.01898),"")</f>
        <v>0.51246000000000003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224.45827160493829</v>
      </c>
      <c r="BN278" s="64">
        <f t="shared" si="38"/>
        <v>231.55200000000002</v>
      </c>
      <c r="BO278" s="64">
        <f t="shared" si="39"/>
        <v>0.40895061728395066</v>
      </c>
      <c r="BP278" s="64">
        <f t="shared" si="40"/>
        <v>0.421875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288</v>
      </c>
      <c r="Y282" s="636">
        <f t="shared" si="36"/>
        <v>288</v>
      </c>
      <c r="Z282" s="36">
        <f>IFERROR(IF(Y282=0,"",ROUNDUP(Y282/H282,0)*0.00651),"")</f>
        <v>0.78120000000000001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318.24000000000007</v>
      </c>
      <c r="BN282" s="64">
        <f t="shared" si="38"/>
        <v>318.24000000000007</v>
      </c>
      <c r="BO282" s="64">
        <f t="shared" si="39"/>
        <v>0.65934065934065944</v>
      </c>
      <c r="BP282" s="64">
        <f t="shared" si="40"/>
        <v>0.65934065934065944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30</v>
      </c>
      <c r="Y284" s="636">
        <f t="shared" si="36"/>
        <v>31.2</v>
      </c>
      <c r="Z284" s="36">
        <f>IFERROR(IF(Y284=0,"",ROUNDUP(Y284/H284,0)*0.00651),"")</f>
        <v>8.4629999999999997E-2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33.150000000000006</v>
      </c>
      <c r="BN284" s="64">
        <f t="shared" si="38"/>
        <v>34.476000000000006</v>
      </c>
      <c r="BO284" s="64">
        <f t="shared" si="39"/>
        <v>6.8681318681318687E-2</v>
      </c>
      <c r="BP284" s="64">
        <f t="shared" si="40"/>
        <v>7.1428571428571438E-2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59</v>
      </c>
      <c r="Y286" s="636">
        <f t="shared" si="36"/>
        <v>60</v>
      </c>
      <c r="Z286" s="36">
        <f>IFERROR(IF(Y286=0,"",ROUNDUP(Y286/H286,0)*0.00651),"")</f>
        <v>0.16275000000000001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65.342500000000001</v>
      </c>
      <c r="BN286" s="64">
        <f t="shared" si="38"/>
        <v>66.45</v>
      </c>
      <c r="BO286" s="64">
        <f t="shared" si="39"/>
        <v>0.13507326007326009</v>
      </c>
      <c r="BP286" s="64">
        <f t="shared" si="40"/>
        <v>0.13736263736263737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219.79938271604939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222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2.2433000000000001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885</v>
      </c>
      <c r="Y289" s="637">
        <f>IFERROR(SUM(Y276:Y287),"0")</f>
        <v>897.6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239</v>
      </c>
      <c r="Y365" s="636">
        <f>IFERROR(IF(X365="",0,CEILING((X365/$H365),1)*$H365),"")</f>
        <v>241.79999999999998</v>
      </c>
      <c r="Z365" s="36">
        <f>IFERROR(IF(Y365=0,"",ROUNDUP(Y365/H365,0)*0.01898),"")</f>
        <v>0.58838000000000001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251.56282051282056</v>
      </c>
      <c r="BN365" s="64">
        <f>IFERROR(Y365*I365/H365,"0")</f>
        <v>254.51000000000002</v>
      </c>
      <c r="BO365" s="64">
        <f>IFERROR(1/J365*(X365/H365),"0")</f>
        <v>0.47876602564102566</v>
      </c>
      <c r="BP365" s="64">
        <f>IFERROR(1/J365*(Y365/H365),"0")</f>
        <v>0.484375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30.641025641025642</v>
      </c>
      <c r="Y367" s="637">
        <f>IFERROR(Y364/H364,"0")+IFERROR(Y365/H365,"0")+IFERROR(Y366/H366,"0")</f>
        <v>31</v>
      </c>
      <c r="Z367" s="637">
        <f>IFERROR(IF(Z364="",0,Z364),"0")+IFERROR(IF(Z365="",0,Z365),"0")+IFERROR(IF(Z366="",0,Z366),"0")</f>
        <v>0.58838000000000001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239</v>
      </c>
      <c r="Y368" s="637">
        <f>IFERROR(SUM(Y364:Y366),"0")</f>
        <v>241.79999999999998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212</v>
      </c>
      <c r="Y399" s="636">
        <f>IFERROR(IF(X399="",0,CEILING((X399/$H399),1)*$H399),"")</f>
        <v>218.4</v>
      </c>
      <c r="Z399" s="36">
        <f>IFERROR(IF(Y399=0,"",ROUNDUP(Y399/H399,0)*0.01898),"")</f>
        <v>0.53144000000000002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225.4266666666667</v>
      </c>
      <c r="BN399" s="64">
        <f>IFERROR(Y399*I399/H399,"0")</f>
        <v>232.23200000000003</v>
      </c>
      <c r="BO399" s="64">
        <f>IFERROR(1/J399*(X399/H399),"0")</f>
        <v>0.42467948717948717</v>
      </c>
      <c r="BP399" s="64">
        <f>IFERROR(1/J399*(Y399/H399),"0")</f>
        <v>0.4375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27.179487179487179</v>
      </c>
      <c r="Y401" s="637">
        <f>IFERROR(Y398/H398,"0")+IFERROR(Y399/H399,"0")+IFERROR(Y400/H400,"0")</f>
        <v>28</v>
      </c>
      <c r="Z401" s="637">
        <f>IFERROR(IF(Z398="",0,Z398),"0")+IFERROR(IF(Z399="",0,Z399),"0")+IFERROR(IF(Z400="",0,Z400),"0")</f>
        <v>0.53144000000000002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212</v>
      </c>
      <c r="Y402" s="637">
        <f>IFERROR(SUM(Y398:Y400),"0")</f>
        <v>218.4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22</v>
      </c>
      <c r="Y407" s="636">
        <f>IFERROR(IF(X407="",0,CEILING((X407/$H407),1)*$H407),"")</f>
        <v>22.95</v>
      </c>
      <c r="Z407" s="36">
        <f>IFERROR(IF(Y407=0,"",ROUNDUP(Y407/H407,0)*0.00651),"")</f>
        <v>5.8590000000000003E-2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24.847058823529412</v>
      </c>
      <c r="BN407" s="64">
        <f>IFERROR(Y407*I407/H407,"0")</f>
        <v>25.919999999999998</v>
      </c>
      <c r="BO407" s="64">
        <f>IFERROR(1/J407*(X407/H407),"0")</f>
        <v>4.7403576815341533E-2</v>
      </c>
      <c r="BP407" s="64">
        <f>IFERROR(1/J407*(Y407/H407),"0")</f>
        <v>4.9450549450549455E-2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8.6274509803921582</v>
      </c>
      <c r="Y408" s="637">
        <f>IFERROR(Y404/H404,"0")+IFERROR(Y405/H405,"0")+IFERROR(Y406/H406,"0")+IFERROR(Y407/H407,"0")</f>
        <v>9</v>
      </c>
      <c r="Z408" s="637">
        <f>IFERROR(IF(Z404="",0,Z404),"0")+IFERROR(IF(Z405="",0,Z405),"0")+IFERROR(IF(Z406="",0,Z406),"0")+IFERROR(IF(Z407="",0,Z407),"0")</f>
        <v>5.8590000000000003E-2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22</v>
      </c>
      <c r="Y409" s="637">
        <f>IFERROR(SUM(Y404:Y407),"0")</f>
        <v>22.95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44</v>
      </c>
      <c r="Y432" s="636">
        <f>IFERROR(IF(X432="",0,CEILING((X432/$H432),1)*$H432),"")</f>
        <v>44.1</v>
      </c>
      <c r="Z432" s="36">
        <f>IFERROR(IF(Y432=0,"",ROUNDUP(Y432/H432,0)*0.00651),"")</f>
        <v>0.13671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49.28</v>
      </c>
      <c r="BN432" s="64">
        <f>IFERROR(Y432*I432/H432,"0")</f>
        <v>49.391999999999996</v>
      </c>
      <c r="BO432" s="64">
        <f>IFERROR(1/J432*(X432/H432),"0")</f>
        <v>0.11512297226582942</v>
      </c>
      <c r="BP432" s="64">
        <f>IFERROR(1/J432*(Y432/H432),"0")</f>
        <v>0.11538461538461539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20.952380952380953</v>
      </c>
      <c r="Y434" s="637">
        <f>IFERROR(Y431/H431,"0")+IFERROR(Y432/H432,"0")+IFERROR(Y433/H433,"0")</f>
        <v>21</v>
      </c>
      <c r="Z434" s="637">
        <f>IFERROR(IF(Z431="",0,Z431),"0")+IFERROR(IF(Z432="",0,Z432),"0")+IFERROR(IF(Z433="",0,Z433),"0")</f>
        <v>0.13671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44</v>
      </c>
      <c r="Y435" s="637">
        <f>IFERROR(SUM(Y431:Y433),"0")</f>
        <v>44.1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68</v>
      </c>
      <c r="Y441" s="636">
        <f t="shared" si="61"/>
        <v>75</v>
      </c>
      <c r="Z441" s="36">
        <f>IFERROR(IF(Y441=0,"",ROUNDUP(Y441/H441,0)*0.02175),"")</f>
        <v>0.10874999999999999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70.13066666666667</v>
      </c>
      <c r="BN441" s="64">
        <f t="shared" si="63"/>
        <v>77.349999999999994</v>
      </c>
      <c r="BO441" s="64">
        <f t="shared" si="64"/>
        <v>9.4444444444444442E-2</v>
      </c>
      <c r="BP441" s="64">
        <f t="shared" si="65"/>
        <v>0.10416666666666666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423</v>
      </c>
      <c r="Y442" s="636">
        <f t="shared" si="61"/>
        <v>435</v>
      </c>
      <c r="Z442" s="36">
        <f>IFERROR(IF(Y442=0,"",ROUNDUP(Y442/H442,0)*0.02175),"")</f>
        <v>0.63074999999999992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436.25400000000002</v>
      </c>
      <c r="BN442" s="64">
        <f t="shared" si="63"/>
        <v>448.63000000000005</v>
      </c>
      <c r="BO442" s="64">
        <f t="shared" si="64"/>
        <v>0.58749999999999991</v>
      </c>
      <c r="BP442" s="64">
        <f t="shared" si="65"/>
        <v>0.60416666666666663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32.733333333333334</v>
      </c>
      <c r="Y447" s="637">
        <f>IFERROR(Y439/H439,"0")+IFERROR(Y440/H440,"0")+IFERROR(Y441/H441,"0")+IFERROR(Y442/H442,"0")+IFERROR(Y443/H443,"0")+IFERROR(Y444/H444,"0")+IFERROR(Y445/H445,"0")+IFERROR(Y446/H446,"0")</f>
        <v>34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0.73949999999999994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491</v>
      </c>
      <c r="Y448" s="637">
        <f>IFERROR(SUM(Y439:Y446),"0")</f>
        <v>510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1058</v>
      </c>
      <c r="Y450" s="636">
        <f>IFERROR(IF(X450="",0,CEILING((X450/$H450),1)*$H450),"")</f>
        <v>1065</v>
      </c>
      <c r="Z450" s="36">
        <f>IFERROR(IF(Y450=0,"",ROUNDUP(Y450/H450,0)*0.02175),"")</f>
        <v>1.5442499999999999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1091.1506666666667</v>
      </c>
      <c r="BN450" s="64">
        <f>IFERROR(Y450*I450/H450,"0")</f>
        <v>1098.3699999999999</v>
      </c>
      <c r="BO450" s="64">
        <f>IFERROR(1/J450*(X450/H450),"0")</f>
        <v>1.4694444444444443</v>
      </c>
      <c r="BP450" s="64">
        <f>IFERROR(1/J450*(Y450/H450),"0")</f>
        <v>1.4791666666666665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70.533333333333331</v>
      </c>
      <c r="Y453" s="637">
        <f>IFERROR(Y450/H450,"0")+IFERROR(Y451/H451,"0")+IFERROR(Y452/H452,"0")</f>
        <v>71</v>
      </c>
      <c r="Z453" s="637">
        <f>IFERROR(IF(Z450="",0,Z450),"0")+IFERROR(IF(Z451="",0,Z451),"0")+IFERROR(IF(Z452="",0,Z452),"0")</f>
        <v>1.5442499999999999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1058</v>
      </c>
      <c r="Y454" s="637">
        <f>IFERROR(SUM(Y450:Y452),"0")</f>
        <v>1065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646</v>
      </c>
      <c r="Y477" s="636">
        <f>IFERROR(IF(X477="",0,CEILING((X477/$H477),1)*$H477),"")</f>
        <v>648</v>
      </c>
      <c r="Z477" s="36">
        <f>IFERROR(IF(Y477=0,"",ROUNDUP(Y477/H477,0)*0.01898),"")</f>
        <v>1.36656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681.45822222222216</v>
      </c>
      <c r="BN477" s="64">
        <f>IFERROR(Y477*I477/H477,"0")</f>
        <v>683.56799999999998</v>
      </c>
      <c r="BO477" s="64">
        <f>IFERROR(1/J477*(X477/H477),"0")</f>
        <v>1.1215277777777777</v>
      </c>
      <c r="BP477" s="64">
        <f>IFERROR(1/J477*(Y477/H477),"0")</f>
        <v>1.125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71.777777777777771</v>
      </c>
      <c r="Y480" s="637">
        <f>IFERROR(Y477/H477,"0")+IFERROR(Y478/H478,"0")+IFERROR(Y479/H479,"0")</f>
        <v>72</v>
      </c>
      <c r="Z480" s="637">
        <f>IFERROR(IF(Z477="",0,Z477),"0")+IFERROR(IF(Z478="",0,Z478),"0")+IFERROR(IF(Z479="",0,Z479),"0")</f>
        <v>1.36656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646</v>
      </c>
      <c r="Y481" s="637">
        <f>IFERROR(SUM(Y477:Y479),"0")</f>
        <v>648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104</v>
      </c>
      <c r="Y511" s="636">
        <f t="shared" ref="Y511:Y518" si="71">IFERROR(IF(X511="",0,CEILING((X511/$H511),1)*$H511),"")</f>
        <v>105.60000000000001</v>
      </c>
      <c r="Z511" s="36">
        <f>IFERROR(IF(Y511=0,"",ROUNDUP(Y511/H511,0)*0.01196),"")</f>
        <v>0.2392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110.89393939393939</v>
      </c>
      <c r="BN511" s="64">
        <f t="shared" ref="BN511:BN518" si="73">IFERROR(Y511*I511/H511,"0")</f>
        <v>112.6</v>
      </c>
      <c r="BO511" s="64">
        <f t="shared" ref="BO511:BO518" si="74">IFERROR(1/J511*(X511/H511),"0")</f>
        <v>0.18939393939393939</v>
      </c>
      <c r="BP511" s="64">
        <f t="shared" ref="BP511:BP518" si="75">IFERROR(1/J511*(Y511/H511),"0")</f>
        <v>0.19230769230769232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1058</v>
      </c>
      <c r="Y515" s="636">
        <f t="shared" si="71"/>
        <v>1061.28</v>
      </c>
      <c r="Z515" s="36">
        <f>IFERROR(IF(Y515=0,"",ROUNDUP(Y515/H515,0)*0.01196),"")</f>
        <v>2.4039600000000001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1128.1325757575758</v>
      </c>
      <c r="BN515" s="64">
        <f t="shared" si="73"/>
        <v>1131.6299999999999</v>
      </c>
      <c r="BO515" s="64">
        <f t="shared" si="74"/>
        <v>1.9267191142191142</v>
      </c>
      <c r="BP515" s="64">
        <f t="shared" si="75"/>
        <v>1.9326923076923075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120</v>
      </c>
      <c r="Y517" s="636">
        <f t="shared" si="71"/>
        <v>120</v>
      </c>
      <c r="Z517" s="36">
        <f>IFERROR(IF(Y517=0,"",ROUNDUP(Y517/H517,0)*0.00902),"")</f>
        <v>0.22550000000000001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172.75000000000003</v>
      </c>
      <c r="BN517" s="64">
        <f t="shared" si="73"/>
        <v>172.75000000000003</v>
      </c>
      <c r="BO517" s="64">
        <f t="shared" si="74"/>
        <v>0.18939393939393939</v>
      </c>
      <c r="BP517" s="64">
        <f t="shared" si="75"/>
        <v>0.18939393939393939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189</v>
      </c>
      <c r="Y518" s="636">
        <f t="shared" si="71"/>
        <v>192</v>
      </c>
      <c r="Z518" s="36">
        <f>IFERROR(IF(Y518=0,"",ROUNDUP(Y518/H518,0)*0.00902),"")</f>
        <v>0.36080000000000001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272.08125000000001</v>
      </c>
      <c r="BN518" s="64">
        <f t="shared" si="73"/>
        <v>276.40000000000003</v>
      </c>
      <c r="BO518" s="64">
        <f t="shared" si="74"/>
        <v>0.29829545454545453</v>
      </c>
      <c r="BP518" s="64">
        <f t="shared" si="75"/>
        <v>0.30303030303030304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284.45075757575756</v>
      </c>
      <c r="Y519" s="637">
        <f>IFERROR(Y511/H511,"0")+IFERROR(Y512/H512,"0")+IFERROR(Y513/H513,"0")+IFERROR(Y514/H514,"0")+IFERROR(Y515/H515,"0")+IFERROR(Y516/H516,"0")+IFERROR(Y517/H517,"0")+IFERROR(Y518/H518,"0")</f>
        <v>286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3.2294599999999996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1471</v>
      </c>
      <c r="Y520" s="637">
        <f>IFERROR(SUM(Y511:Y518),"0")</f>
        <v>1478.8799999999999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1058</v>
      </c>
      <c r="Y522" s="636">
        <f>IFERROR(IF(X522="",0,CEILING((X522/$H522),1)*$H522),"")</f>
        <v>1061.28</v>
      </c>
      <c r="Z522" s="36">
        <f>IFERROR(IF(Y522=0,"",ROUNDUP(Y522/H522,0)*0.01196),"")</f>
        <v>2.4039600000000001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1128.1325757575758</v>
      </c>
      <c r="BN522" s="64">
        <f>IFERROR(Y522*I522/H522,"0")</f>
        <v>1131.6299999999999</v>
      </c>
      <c r="BO522" s="64">
        <f>IFERROR(1/J522*(X522/H522),"0")</f>
        <v>1.9267191142191142</v>
      </c>
      <c r="BP522" s="64">
        <f>IFERROR(1/J522*(Y522/H522),"0")</f>
        <v>1.9326923076923075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200.37878787878788</v>
      </c>
      <c r="Y525" s="637">
        <f>IFERROR(Y522/H522,"0")+IFERROR(Y523/H523,"0")+IFERROR(Y524/H524,"0")</f>
        <v>200.99999999999997</v>
      </c>
      <c r="Z525" s="637">
        <f>IFERROR(IF(Z522="",0,Z522),"0")+IFERROR(IF(Z523="",0,Z523),"0")+IFERROR(IF(Z524="",0,Z524),"0")</f>
        <v>2.4039600000000001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1058</v>
      </c>
      <c r="Y526" s="637">
        <f>IFERROR(SUM(Y522:Y524),"0")</f>
        <v>1061.28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724</v>
      </c>
      <c r="Y530" s="636">
        <f t="shared" si="76"/>
        <v>728.64</v>
      </c>
      <c r="Z530" s="36">
        <f>IFERROR(IF(Y530=0,"",ROUNDUP(Y530/H530,0)*0.01196),"")</f>
        <v>1.6504799999999999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771.99242424242414</v>
      </c>
      <c r="BN530" s="64">
        <f t="shared" si="78"/>
        <v>776.93999999999994</v>
      </c>
      <c r="BO530" s="64">
        <f t="shared" si="79"/>
        <v>1.3184731934731935</v>
      </c>
      <c r="BP530" s="64">
        <f t="shared" si="80"/>
        <v>1.3269230769230771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137.12121212121212</v>
      </c>
      <c r="Y535" s="637">
        <f>IFERROR(Y528/H528,"0")+IFERROR(Y529/H529,"0")+IFERROR(Y530/H530,"0")+IFERROR(Y531/H531,"0")+IFERROR(Y532/H532,"0")+IFERROR(Y533/H533,"0")+IFERROR(Y534/H534,"0")</f>
        <v>138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1.6504799999999999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724</v>
      </c>
      <c r="Y536" s="637">
        <f>IFERROR(SUM(Y528:Y534),"0")</f>
        <v>728.64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11219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11337.57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11964.868718173437</v>
      </c>
      <c r="Y566" s="637">
        <f>IFERROR(SUM(BN22:BN562),"0")</f>
        <v>12090.585999999998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20</v>
      </c>
      <c r="Y567" s="38">
        <f>ROUNDUP(SUM(BP22:BP562),0)</f>
        <v>20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12464.868718173437</v>
      </c>
      <c r="Y568" s="637">
        <f>GrossWeightTotalR+PalletQtyTotalR*25</f>
        <v>12590.585999999998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1779.117833745775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1795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23.433450000000001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1166.4000000000001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541.20000000000005</v>
      </c>
      <c r="F575" s="46">
        <f>IFERROR(Y89*1,"0")+IFERROR(Y90*1,"0")+IFERROR(Y91*1,"0")+IFERROR(Y92*1,"0")+IFERROR(Y93*1,"0")+IFERROR(Y94*1,"0")+IFERROR(Y98*1,"0")+IFERROR(Y99*1,"0")+IFERROR(Y100*1,"0")+IFERROR(Y101*1,"0")</f>
        <v>837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1449.72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1324.2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241.79999999999998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241.35</v>
      </c>
      <c r="V575" s="46">
        <f>IFERROR(Y424*1,"0")+IFERROR(Y425*1,"0")+IFERROR(Y426*1,"0")</f>
        <v>0</v>
      </c>
      <c r="W575" s="46">
        <f>IFERROR(Y431*1,"0")+IFERROR(Y432*1,"0")+IFERROR(Y433*1,"0")</f>
        <v>44.1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1575</v>
      </c>
      <c r="Y575" s="46">
        <f>IFERROR(Y468*1,"0")+IFERROR(Y469*1,"0")+IFERROR(Y473*1,"0")+IFERROR(Y477*1,"0")+IFERROR(Y478*1,"0")+IFERROR(Y479*1,"0")</f>
        <v>648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3268.7999999999997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058,00"/>
        <filter val="1 159,00"/>
        <filter val="1 471,00"/>
        <filter val="1 779,12"/>
        <filter val="104,00"/>
        <filter val="107,31"/>
        <filter val="11 219,00"/>
        <filter val="11 964,87"/>
        <filter val="119,63"/>
        <filter val="12 464,87"/>
        <filter val="120,00"/>
        <filter val="127,00"/>
        <filter val="137,12"/>
        <filter val="16,28"/>
        <filter val="169,00"/>
        <filter val="189,00"/>
        <filter val="20"/>
        <filter val="20,95"/>
        <filter val="200,38"/>
        <filter val="204,00"/>
        <filter val="206,91"/>
        <filter val="212,00"/>
        <filter val="219,80"/>
        <filter val="22,00"/>
        <filter val="239,00"/>
        <filter val="260,00"/>
        <filter val="27,18"/>
        <filter val="284,45"/>
        <filter val="288,00"/>
        <filter val="296,00"/>
        <filter val="30,00"/>
        <filter val="30,64"/>
        <filter val="31,67"/>
        <filter val="32,73"/>
        <filter val="323,00"/>
        <filter val="33,84"/>
        <filter val="338,00"/>
        <filter val="342,00"/>
        <filter val="35,87"/>
        <filter val="357,00"/>
        <filter val="400,00"/>
        <filter val="423,00"/>
        <filter val="44,00"/>
        <filter val="45,07"/>
        <filter val="491,00"/>
        <filter val="561,00"/>
        <filter val="59,00"/>
        <filter val="62,00"/>
        <filter val="646,00"/>
        <filter val="67,00"/>
        <filter val="68,00"/>
        <filter val="70,53"/>
        <filter val="707,00"/>
        <filter val="71,78"/>
        <filter val="724,00"/>
        <filter val="78,33"/>
        <filter val="8,63"/>
        <filter val="885,00"/>
        <filter val="91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