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EEC034D-01B3-4CE7-82D8-248EBCEEDF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23" i="1" l="1"/>
  <c r="X92" i="1"/>
  <c r="Q92" i="1"/>
  <c r="X49" i="1" l="1"/>
  <c r="X36" i="1"/>
  <c r="X30" i="1"/>
  <c r="AM130" i="1"/>
  <c r="AM101" i="1"/>
  <c r="X132" i="1"/>
  <c r="AA132" i="1" s="1"/>
  <c r="L132" i="1"/>
  <c r="X131" i="1"/>
  <c r="L131" i="1"/>
  <c r="X130" i="1"/>
  <c r="AA130" i="1" s="1"/>
  <c r="L130" i="1"/>
  <c r="X129" i="1"/>
  <c r="L129" i="1"/>
  <c r="X128" i="1"/>
  <c r="AA128" i="1" s="1"/>
  <c r="L128" i="1"/>
  <c r="X127" i="1"/>
  <c r="L127" i="1"/>
  <c r="X126" i="1"/>
  <c r="AA126" i="1" s="1"/>
  <c r="L126" i="1"/>
  <c r="X125" i="1"/>
  <c r="L125" i="1"/>
  <c r="X124" i="1"/>
  <c r="AA124" i="1" s="1"/>
  <c r="L124" i="1"/>
  <c r="L123" i="1"/>
  <c r="F123" i="1"/>
  <c r="X122" i="1"/>
  <c r="Y122" i="1" s="1"/>
  <c r="AM122" i="1" s="1"/>
  <c r="L122" i="1"/>
  <c r="X121" i="1"/>
  <c r="L121" i="1"/>
  <c r="X120" i="1"/>
  <c r="AM120" i="1" s="1"/>
  <c r="L120" i="1"/>
  <c r="X119" i="1"/>
  <c r="AA119" i="1" s="1"/>
  <c r="L119" i="1"/>
  <c r="X118" i="1"/>
  <c r="AM118" i="1" s="1"/>
  <c r="L118" i="1"/>
  <c r="X117" i="1"/>
  <c r="L117" i="1"/>
  <c r="X116" i="1"/>
  <c r="L116" i="1"/>
  <c r="X115" i="1"/>
  <c r="L115" i="1"/>
  <c r="AM114" i="1"/>
  <c r="X114" i="1"/>
  <c r="L114" i="1"/>
  <c r="X113" i="1"/>
  <c r="L113" i="1"/>
  <c r="AM112" i="1"/>
  <c r="X112" i="1"/>
  <c r="L112" i="1"/>
  <c r="X111" i="1"/>
  <c r="Z111" i="1" s="1"/>
  <c r="L111" i="1"/>
  <c r="X110" i="1"/>
  <c r="Z110" i="1" s="1"/>
  <c r="L110" i="1"/>
  <c r="X109" i="1"/>
  <c r="L109" i="1"/>
  <c r="X108" i="1"/>
  <c r="Y108" i="1" s="1"/>
  <c r="AM108" i="1" s="1"/>
  <c r="L108" i="1"/>
  <c r="X107" i="1"/>
  <c r="AA107" i="1" s="1"/>
  <c r="L107" i="1"/>
  <c r="X106" i="1"/>
  <c r="AM106" i="1" s="1"/>
  <c r="L106" i="1"/>
  <c r="X105" i="1"/>
  <c r="L105" i="1"/>
  <c r="X104" i="1"/>
  <c r="L104" i="1"/>
  <c r="X103" i="1"/>
  <c r="Z103" i="1" s="1"/>
  <c r="L103" i="1"/>
  <c r="X102" i="1"/>
  <c r="AA102" i="1" s="1"/>
  <c r="L102" i="1"/>
  <c r="X101" i="1"/>
  <c r="L101" i="1"/>
  <c r="X100" i="1"/>
  <c r="L100" i="1"/>
  <c r="X99" i="1"/>
  <c r="AA99" i="1" s="1"/>
  <c r="L99" i="1"/>
  <c r="X98" i="1"/>
  <c r="AM98" i="1" s="1"/>
  <c r="L98" i="1"/>
  <c r="X97" i="1"/>
  <c r="AA97" i="1" s="1"/>
  <c r="L97" i="1"/>
  <c r="X96" i="1"/>
  <c r="AM96" i="1" s="1"/>
  <c r="L96" i="1"/>
  <c r="X95" i="1"/>
  <c r="Z95" i="1" s="1"/>
  <c r="L95" i="1"/>
  <c r="X94" i="1"/>
  <c r="AA94" i="1" s="1"/>
  <c r="L94" i="1"/>
  <c r="X93" i="1"/>
  <c r="L93" i="1"/>
  <c r="L92" i="1"/>
  <c r="X91" i="1"/>
  <c r="AA91" i="1" s="1"/>
  <c r="L91" i="1"/>
  <c r="X90" i="1"/>
  <c r="AM90" i="1" s="1"/>
  <c r="L90" i="1"/>
  <c r="X89" i="1"/>
  <c r="Z89" i="1" s="1"/>
  <c r="L89" i="1"/>
  <c r="X88" i="1"/>
  <c r="L88" i="1"/>
  <c r="X87" i="1"/>
  <c r="AA87" i="1" s="1"/>
  <c r="L87" i="1"/>
  <c r="X86" i="1"/>
  <c r="AA86" i="1" s="1"/>
  <c r="L86" i="1"/>
  <c r="X85" i="1"/>
  <c r="L85" i="1"/>
  <c r="X84" i="1"/>
  <c r="L84" i="1"/>
  <c r="X83" i="1"/>
  <c r="AA83" i="1" s="1"/>
  <c r="L83" i="1"/>
  <c r="X82" i="1"/>
  <c r="Y82" i="1" s="1"/>
  <c r="AM82" i="1" s="1"/>
  <c r="L82" i="1"/>
  <c r="X81" i="1"/>
  <c r="AA81" i="1" s="1"/>
  <c r="L81" i="1"/>
  <c r="X80" i="1"/>
  <c r="AM80" i="1" s="1"/>
  <c r="L80" i="1"/>
  <c r="X79" i="1"/>
  <c r="AA79" i="1" s="1"/>
  <c r="L79" i="1"/>
  <c r="X78" i="1"/>
  <c r="AM78" i="1" s="1"/>
  <c r="L78" i="1"/>
  <c r="X77" i="1"/>
  <c r="L77" i="1"/>
  <c r="X76" i="1"/>
  <c r="L76" i="1"/>
  <c r="X75" i="1"/>
  <c r="Z75" i="1" s="1"/>
  <c r="L75" i="1"/>
  <c r="X74" i="1"/>
  <c r="AA74" i="1" s="1"/>
  <c r="L74" i="1"/>
  <c r="F73" i="1"/>
  <c r="E73" i="1"/>
  <c r="L73" i="1" s="1"/>
  <c r="X72" i="1"/>
  <c r="L72" i="1"/>
  <c r="X71" i="1"/>
  <c r="AA71" i="1" s="1"/>
  <c r="L71" i="1"/>
  <c r="X70" i="1"/>
  <c r="AM70" i="1" s="1"/>
  <c r="L70" i="1"/>
  <c r="X69" i="1"/>
  <c r="L69" i="1"/>
  <c r="AM68" i="1"/>
  <c r="X68" i="1"/>
  <c r="L68" i="1"/>
  <c r="X67" i="1"/>
  <c r="L67" i="1"/>
  <c r="X66" i="1"/>
  <c r="AM66" i="1" s="1"/>
  <c r="L66" i="1"/>
  <c r="X65" i="1"/>
  <c r="L65" i="1"/>
  <c r="AM64" i="1"/>
  <c r="X64" i="1"/>
  <c r="L64" i="1"/>
  <c r="X63" i="1"/>
  <c r="L63" i="1"/>
  <c r="X62" i="1"/>
  <c r="Y62" i="1" s="1"/>
  <c r="AM62" i="1" s="1"/>
  <c r="L62" i="1"/>
  <c r="X61" i="1"/>
  <c r="L61" i="1"/>
  <c r="X60" i="1"/>
  <c r="AM60" i="1" s="1"/>
  <c r="L60" i="1"/>
  <c r="X59" i="1"/>
  <c r="L59" i="1"/>
  <c r="F58" i="1"/>
  <c r="E58" i="1"/>
  <c r="L58" i="1" s="1"/>
  <c r="X57" i="1"/>
  <c r="L57" i="1"/>
  <c r="AM56" i="1"/>
  <c r="X56" i="1"/>
  <c r="L56" i="1"/>
  <c r="X55" i="1"/>
  <c r="L55" i="1"/>
  <c r="X54" i="1"/>
  <c r="L54" i="1"/>
  <c r="X53" i="1"/>
  <c r="L53" i="1"/>
  <c r="X52" i="1"/>
  <c r="L52" i="1"/>
  <c r="X51" i="1"/>
  <c r="L51" i="1"/>
  <c r="X50" i="1"/>
  <c r="AM50" i="1" s="1"/>
  <c r="L50" i="1"/>
  <c r="L49" i="1"/>
  <c r="AM48" i="1"/>
  <c r="X48" i="1"/>
  <c r="L48" i="1"/>
  <c r="X47" i="1"/>
  <c r="L47" i="1"/>
  <c r="X46" i="1"/>
  <c r="L46" i="1"/>
  <c r="X45" i="1"/>
  <c r="L45" i="1"/>
  <c r="X44" i="1"/>
  <c r="AA44" i="1" s="1"/>
  <c r="L44" i="1"/>
  <c r="X43" i="1"/>
  <c r="AM43" i="1" s="1"/>
  <c r="L43" i="1"/>
  <c r="X42" i="1"/>
  <c r="L42" i="1"/>
  <c r="X41" i="1"/>
  <c r="AM41" i="1" s="1"/>
  <c r="L41" i="1"/>
  <c r="X40" i="1"/>
  <c r="L40" i="1"/>
  <c r="X39" i="1"/>
  <c r="L39" i="1"/>
  <c r="X38" i="1"/>
  <c r="L38" i="1"/>
  <c r="X37" i="1"/>
  <c r="L37" i="1"/>
  <c r="L36" i="1"/>
  <c r="X35" i="1"/>
  <c r="AM35" i="1" s="1"/>
  <c r="L35" i="1"/>
  <c r="X34" i="1"/>
  <c r="Z34" i="1" s="1"/>
  <c r="L34" i="1"/>
  <c r="X33" i="1"/>
  <c r="L33" i="1"/>
  <c r="X32" i="1"/>
  <c r="AM32" i="1" s="1"/>
  <c r="L32" i="1"/>
  <c r="X31" i="1"/>
  <c r="L31" i="1"/>
  <c r="L30" i="1"/>
  <c r="X29" i="1"/>
  <c r="L29" i="1"/>
  <c r="X28" i="1"/>
  <c r="L28" i="1"/>
  <c r="X27" i="1"/>
  <c r="L27" i="1"/>
  <c r="X26" i="1"/>
  <c r="AA26" i="1" s="1"/>
  <c r="L26" i="1"/>
  <c r="X25" i="1"/>
  <c r="Y25" i="1" s="1"/>
  <c r="AM25" i="1" s="1"/>
  <c r="L25" i="1"/>
  <c r="X24" i="1"/>
  <c r="L24" i="1"/>
  <c r="X23" i="1"/>
  <c r="L23" i="1"/>
  <c r="X22" i="1"/>
  <c r="L22" i="1"/>
  <c r="X21" i="1"/>
  <c r="AM21" i="1" s="1"/>
  <c r="L21" i="1"/>
  <c r="X20" i="1"/>
  <c r="L20" i="1"/>
  <c r="X19" i="1"/>
  <c r="AA19" i="1" s="1"/>
  <c r="L19" i="1"/>
  <c r="X18" i="1"/>
  <c r="Z18" i="1" s="1"/>
  <c r="L18" i="1"/>
  <c r="X17" i="1"/>
  <c r="L17" i="1"/>
  <c r="X16" i="1"/>
  <c r="AM16" i="1" s="1"/>
  <c r="L16" i="1"/>
  <c r="X15" i="1"/>
  <c r="L15" i="1"/>
  <c r="X14" i="1"/>
  <c r="AM14" i="1" s="1"/>
  <c r="L14" i="1"/>
  <c r="X13" i="1"/>
  <c r="L13" i="1"/>
  <c r="X12" i="1"/>
  <c r="L12" i="1"/>
  <c r="X11" i="1"/>
  <c r="L11" i="1"/>
  <c r="X10" i="1"/>
  <c r="L10" i="1"/>
  <c r="X9" i="1"/>
  <c r="Z9" i="1" s="1"/>
  <c r="L9" i="1"/>
  <c r="X8" i="1"/>
  <c r="L8" i="1"/>
  <c r="X7" i="1"/>
  <c r="AA7" i="1" s="1"/>
  <c r="L7" i="1"/>
  <c r="X6" i="1"/>
  <c r="L6" i="1"/>
  <c r="AK5" i="1"/>
  <c r="AJ5" i="1"/>
  <c r="AI5" i="1"/>
  <c r="AH5" i="1"/>
  <c r="AG5" i="1"/>
  <c r="AF5" i="1"/>
  <c r="AE5" i="1"/>
  <c r="AD5" i="1"/>
  <c r="AC5" i="1"/>
  <c r="AB5" i="1"/>
  <c r="W5" i="1"/>
  <c r="V5" i="1"/>
  <c r="U5" i="1"/>
  <c r="T5" i="1"/>
  <c r="S5" i="1"/>
  <c r="R5" i="1"/>
  <c r="P5" i="1"/>
  <c r="O5" i="1"/>
  <c r="N5" i="1"/>
  <c r="M5" i="1"/>
  <c r="K5" i="1"/>
  <c r="AA92" i="1" l="1"/>
  <c r="Z92" i="1"/>
  <c r="Q123" i="1"/>
  <c r="Q5" i="1" s="1"/>
  <c r="Z123" i="1"/>
  <c r="Y79" i="1"/>
  <c r="AM79" i="1" s="1"/>
  <c r="Z44" i="1"/>
  <c r="Z87" i="1"/>
  <c r="X73" i="1"/>
  <c r="AM124" i="1"/>
  <c r="E5" i="1"/>
  <c r="AA75" i="1"/>
  <c r="Z99" i="1"/>
  <c r="AM123" i="1"/>
  <c r="AM126" i="1"/>
  <c r="AA6" i="1"/>
  <c r="Y6" i="1"/>
  <c r="AA8" i="1"/>
  <c r="AM8" i="1"/>
  <c r="L5" i="1"/>
  <c r="AA13" i="1"/>
  <c r="AA24" i="1"/>
  <c r="AA31" i="1"/>
  <c r="Y31" i="1"/>
  <c r="AA40" i="1"/>
  <c r="Y40" i="1"/>
  <c r="AA45" i="1"/>
  <c r="AM45" i="1"/>
  <c r="AA49" i="1"/>
  <c r="AM49" i="1"/>
  <c r="AA51" i="1"/>
  <c r="Y51" i="1"/>
  <c r="AA53" i="1"/>
  <c r="AM53" i="1"/>
  <c r="AA57" i="1"/>
  <c r="AM57" i="1"/>
  <c r="AA59" i="1"/>
  <c r="Y59" i="1"/>
  <c r="AM59" i="1" s="1"/>
  <c r="AA61" i="1"/>
  <c r="AM61" i="1"/>
  <c r="AA63" i="1"/>
  <c r="AM63" i="1"/>
  <c r="AA65" i="1"/>
  <c r="AM65" i="1"/>
  <c r="AA67" i="1"/>
  <c r="AM67" i="1"/>
  <c r="AA69" i="1"/>
  <c r="AM69" i="1"/>
  <c r="AA72" i="1"/>
  <c r="AA88" i="1"/>
  <c r="AM88" i="1"/>
  <c r="AA100" i="1"/>
  <c r="AM100" i="1"/>
  <c r="AA113" i="1"/>
  <c r="AM113" i="1"/>
  <c r="AA117" i="1"/>
  <c r="Y117" i="1"/>
  <c r="AM117" i="1" s="1"/>
  <c r="AA121" i="1"/>
  <c r="AM121" i="1"/>
  <c r="AM129" i="1"/>
  <c r="Y7" i="1"/>
  <c r="AM7" i="1" s="1"/>
  <c r="AM12" i="1"/>
  <c r="AM30" i="1"/>
  <c r="AM39" i="1"/>
  <c r="AM52" i="1"/>
  <c r="Y116" i="1"/>
  <c r="AM116" i="1" s="1"/>
  <c r="AM128" i="1"/>
  <c r="AA11" i="1"/>
  <c r="AM11" i="1"/>
  <c r="AA15" i="1"/>
  <c r="Y15" i="1"/>
  <c r="AM15" i="1" s="1"/>
  <c r="AA17" i="1"/>
  <c r="AA20" i="1"/>
  <c r="AA22" i="1"/>
  <c r="Y22" i="1"/>
  <c r="AM22" i="1" s="1"/>
  <c r="AA27" i="1"/>
  <c r="Y27" i="1"/>
  <c r="AA29" i="1"/>
  <c r="AM29" i="1"/>
  <c r="AA33" i="1"/>
  <c r="AM33" i="1"/>
  <c r="AA36" i="1"/>
  <c r="AA38" i="1"/>
  <c r="AM38" i="1"/>
  <c r="AA42" i="1"/>
  <c r="AM42" i="1"/>
  <c r="AA47" i="1"/>
  <c r="AA55" i="1"/>
  <c r="AA77" i="1"/>
  <c r="Z84" i="1"/>
  <c r="AA85" i="1"/>
  <c r="Z85" i="1"/>
  <c r="AA93" i="1"/>
  <c r="Z93" i="1"/>
  <c r="AA105" i="1"/>
  <c r="AM105" i="1"/>
  <c r="AA109" i="1"/>
  <c r="AM109" i="1"/>
  <c r="AA115" i="1"/>
  <c r="AM125" i="1"/>
  <c r="AM10" i="1"/>
  <c r="AM19" i="1"/>
  <c r="AM23" i="1"/>
  <c r="AM28" i="1"/>
  <c r="AM37" i="1"/>
  <c r="AM46" i="1"/>
  <c r="AM54" i="1"/>
  <c r="AM76" i="1"/>
  <c r="AM84" i="1"/>
  <c r="AM92" i="1"/>
  <c r="AM104" i="1"/>
  <c r="Z82" i="1"/>
  <c r="Z90" i="1"/>
  <c r="Z101" i="1"/>
  <c r="Z106" i="1"/>
  <c r="Z118" i="1"/>
  <c r="Y81" i="1"/>
  <c r="AM83" i="1"/>
  <c r="AM91" i="1"/>
  <c r="AM94" i="1"/>
  <c r="AM97" i="1"/>
  <c r="AM102" i="1"/>
  <c r="Y107" i="1"/>
  <c r="AM127" i="1"/>
  <c r="AM131" i="1"/>
  <c r="Z14" i="1"/>
  <c r="Z16" i="1"/>
  <c r="Z25" i="1"/>
  <c r="Z32" i="1"/>
  <c r="Z35" i="1"/>
  <c r="Z41" i="1"/>
  <c r="Z43" i="1"/>
  <c r="Z48" i="1"/>
  <c r="Z50" i="1"/>
  <c r="Z56" i="1"/>
  <c r="Z60" i="1"/>
  <c r="Z62" i="1"/>
  <c r="Z64" i="1"/>
  <c r="Z66" i="1"/>
  <c r="Z68" i="1"/>
  <c r="Z70" i="1"/>
  <c r="Z78" i="1"/>
  <c r="Z80" i="1"/>
  <c r="Z96" i="1"/>
  <c r="Z98" i="1"/>
  <c r="Z108" i="1"/>
  <c r="Z112" i="1"/>
  <c r="Z114" i="1"/>
  <c r="Z120" i="1"/>
  <c r="Z122" i="1"/>
  <c r="F5" i="1"/>
  <c r="AA9" i="1"/>
  <c r="Z11" i="1"/>
  <c r="Z26" i="1"/>
  <c r="Z29" i="1"/>
  <c r="Z33" i="1"/>
  <c r="Z38" i="1"/>
  <c r="Z45" i="1"/>
  <c r="Z53" i="1"/>
  <c r="X58" i="1"/>
  <c r="AA60" i="1"/>
  <c r="AA62" i="1"/>
  <c r="AA64" i="1"/>
  <c r="AA66" i="1"/>
  <c r="AA68" i="1"/>
  <c r="AA70" i="1"/>
  <c r="Z71" i="1"/>
  <c r="Z83" i="1"/>
  <c r="Z86" i="1"/>
  <c r="AA89" i="1"/>
  <c r="Z94" i="1"/>
  <c r="AA95" i="1"/>
  <c r="Z97" i="1"/>
  <c r="AA101" i="1"/>
  <c r="Z102" i="1"/>
  <c r="AA103" i="1"/>
  <c r="Z109" i="1"/>
  <c r="AA111" i="1"/>
  <c r="Z113" i="1"/>
  <c r="Z121" i="1"/>
  <c r="Z124" i="1"/>
  <c r="AA125" i="1"/>
  <c r="Z126" i="1"/>
  <c r="AA127" i="1"/>
  <c r="Z128" i="1"/>
  <c r="AA129" i="1"/>
  <c r="Z130" i="1"/>
  <c r="AA131" i="1"/>
  <c r="Z132" i="1"/>
  <c r="AA10" i="1"/>
  <c r="AA12" i="1"/>
  <c r="AA14" i="1"/>
  <c r="AA16" i="1"/>
  <c r="AA18" i="1"/>
  <c r="Z21" i="1"/>
  <c r="AA21" i="1"/>
  <c r="AA23" i="1"/>
  <c r="AA25" i="1"/>
  <c r="AA28" i="1"/>
  <c r="AA30" i="1"/>
  <c r="AA32" i="1"/>
  <c r="AA34" i="1"/>
  <c r="AA35" i="1"/>
  <c r="AA37" i="1"/>
  <c r="AA39" i="1"/>
  <c r="AA41" i="1"/>
  <c r="AA43" i="1"/>
  <c r="AA46" i="1"/>
  <c r="AA48" i="1"/>
  <c r="AA50" i="1"/>
  <c r="AA52" i="1"/>
  <c r="AA54" i="1"/>
  <c r="AA56" i="1"/>
  <c r="AA76" i="1"/>
  <c r="AA78" i="1"/>
  <c r="AA80" i="1"/>
  <c r="AA82" i="1"/>
  <c r="AA84" i="1"/>
  <c r="AA90" i="1"/>
  <c r="AA96" i="1"/>
  <c r="AA98" i="1"/>
  <c r="AA104" i="1"/>
  <c r="AA106" i="1"/>
  <c r="AA108" i="1"/>
  <c r="AA110" i="1"/>
  <c r="AA112" i="1"/>
  <c r="AA114" i="1"/>
  <c r="AA116" i="1"/>
  <c r="AA118" i="1"/>
  <c r="AA120" i="1"/>
  <c r="AA122" i="1"/>
  <c r="AA123" i="1" l="1"/>
  <c r="Z22" i="1"/>
  <c r="Z79" i="1"/>
  <c r="Z7" i="1"/>
  <c r="Z15" i="1"/>
  <c r="Z12" i="1"/>
  <c r="Z117" i="1"/>
  <c r="Z8" i="1"/>
  <c r="Z104" i="1"/>
  <c r="Z54" i="1"/>
  <c r="Z37" i="1"/>
  <c r="Z129" i="1"/>
  <c r="Z49" i="1"/>
  <c r="AM58" i="1"/>
  <c r="AM107" i="1"/>
  <c r="Z107" i="1"/>
  <c r="AM81" i="1"/>
  <c r="Z81" i="1"/>
  <c r="AM74" i="1"/>
  <c r="Z74" i="1"/>
  <c r="Z127" i="1"/>
  <c r="Z115" i="1"/>
  <c r="AM115" i="1"/>
  <c r="AM55" i="1"/>
  <c r="Z55" i="1"/>
  <c r="AM27" i="1"/>
  <c r="Z27" i="1"/>
  <c r="AM20" i="1"/>
  <c r="Z20" i="1"/>
  <c r="Z19" i="1"/>
  <c r="AM72" i="1"/>
  <c r="Z72" i="1"/>
  <c r="Z52" i="1"/>
  <c r="Z31" i="1"/>
  <c r="AM31" i="1"/>
  <c r="Z30" i="1"/>
  <c r="Z13" i="1"/>
  <c r="AM13" i="1"/>
  <c r="AM6" i="1"/>
  <c r="AA58" i="1"/>
  <c r="Z105" i="1"/>
  <c r="Z100" i="1"/>
  <c r="Z91" i="1"/>
  <c r="Z88" i="1"/>
  <c r="Z69" i="1"/>
  <c r="Z67" i="1"/>
  <c r="Z65" i="1"/>
  <c r="Z63" i="1"/>
  <c r="Z61" i="1"/>
  <c r="Z59" i="1"/>
  <c r="Z57" i="1"/>
  <c r="Z42" i="1"/>
  <c r="Z6" i="1"/>
  <c r="AM73" i="1"/>
  <c r="AM119" i="1"/>
  <c r="Z119" i="1"/>
  <c r="Z131" i="1"/>
  <c r="Z125" i="1"/>
  <c r="Z77" i="1"/>
  <c r="AM77" i="1"/>
  <c r="Z76" i="1"/>
  <c r="AM47" i="1"/>
  <c r="Z47" i="1"/>
  <c r="Z46" i="1"/>
  <c r="AM36" i="1"/>
  <c r="Z36" i="1"/>
  <c r="Z28" i="1"/>
  <c r="AM17" i="1"/>
  <c r="Z17" i="1"/>
  <c r="Z10" i="1"/>
  <c r="Z116" i="1"/>
  <c r="Z51" i="1"/>
  <c r="AM51" i="1"/>
  <c r="Z40" i="1"/>
  <c r="AM40" i="1"/>
  <c r="Z39" i="1"/>
  <c r="Z24" i="1"/>
  <c r="AM24" i="1"/>
  <c r="Z23" i="1"/>
  <c r="AA73" i="1"/>
  <c r="X5" i="1"/>
  <c r="Y5" i="1" l="1"/>
  <c r="Z73" i="1"/>
  <c r="AM5" i="1"/>
  <c r="Z58" i="1"/>
</calcChain>
</file>

<file path=xl/sharedStrings.xml><?xml version="1.0" encoding="utf-8"?>
<sst xmlns="http://schemas.openxmlformats.org/spreadsheetml/2006/main" count="486" uniqueCount="190">
  <si>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</si>
  <si>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</si>
  <si>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</si>
  <si>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</si>
  <si>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</si>
  <si>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</si>
  <si>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</si>
  <si>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</si>
  <si>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</si>
  <si>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</si>
  <si>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</si>
  <si>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</si>
  <si>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</si>
  <si>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</si>
  <si>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</si>
  <si>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</si>
  <si>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</si>
  <si>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</si>
  <si>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</si>
  <si>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</si>
  <si>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</si>
  <si>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</si>
  <si>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07,09,доз</t>
  </si>
  <si>
    <t>на списание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</si>
  <si>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</si>
  <si>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</si>
  <si>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</si>
  <si>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</si>
  <si>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</si>
  <si>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</si>
  <si>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</si>
  <si>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</si>
  <si>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</si>
  <si>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</si>
  <si>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</si>
  <si>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</si>
  <si>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</si>
  <si>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</si>
  <si>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</si>
  <si>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</si>
  <si>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</si>
  <si>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</si>
  <si>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</si>
  <si>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</si>
  <si>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</si>
  <si>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</si>
  <si>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</si>
  <si>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</si>
  <si>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</si>
  <si>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</si>
  <si>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</si>
  <si>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</si>
  <si>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</si>
  <si>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</si>
  <si>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</si>
  <si>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</si>
  <si>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</si>
  <si>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</si>
  <si>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</si>
  <si>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</si>
  <si>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</si>
  <si>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</si>
  <si>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</si>
  <si>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</si>
  <si>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</si>
  <si>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</si>
  <si>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</si>
  <si>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</si>
  <si>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</si>
  <si>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</si>
  <si>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</si>
  <si>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</si>
  <si>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</si>
  <si>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</si>
  <si>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</si>
  <si>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</si>
  <si>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</si>
  <si>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</si>
  <si>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</si>
  <si>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</si>
  <si>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</si>
  <si>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</si>
  <si>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</si>
  <si>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</si>
  <si>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</si>
  <si>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</si>
  <si>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</si>
  <si>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</si>
  <si>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</si>
  <si>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</si>
  <si>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</si>
  <si>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</si>
  <si>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</si>
  <si>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</si>
  <si>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</si>
  <si>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</si>
  <si>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</si>
  <si>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</si>
  <si>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</si>
  <si>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</si>
  <si>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</si>
  <si>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</si>
  <si>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</si>
  <si>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</si>
  <si>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</si>
  <si>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</si>
  <si>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</si>
  <si>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</si>
  <si>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</si>
  <si>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</si>
  <si>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</si>
  <si>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</si>
  <si>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</si>
  <si>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</si>
  <si>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</si>
  <si>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</si>
  <si>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</si>
  <si>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</si>
  <si>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</si>
  <si>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</si>
  <si>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</si>
  <si>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</si>
  <si>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</si>
  <si>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</si>
  <si>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</si>
  <si>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</si>
  <si>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</si>
  <si>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</si>
  <si>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</si>
  <si>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</si>
  <si>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</si>
  <si>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</si>
  <si>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</si>
  <si>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</si>
  <si>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</si>
  <si>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</si>
  <si>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</si>
  <si>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</si>
  <si>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</si>
  <si>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</si>
  <si>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</si>
  <si>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</si>
  <si>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</si>
  <si>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</si>
  <si>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</si>
  <si>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</si>
  <si>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</si>
  <si>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</si>
  <si>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</si>
  <si>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</si>
  <si>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</si>
  <si>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</si>
  <si>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</si>
  <si>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</si>
  <si>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</si>
  <si>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</si>
  <si>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</si>
  <si>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</si>
  <si>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</si>
  <si>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</si>
  <si>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</si>
  <si>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</si>
  <si>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</si>
  <si>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</si>
  <si>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</si>
  <si>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</si>
  <si>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</si>
  <si>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</si>
  <si>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</si>
  <si>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</si>
  <si>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</si>
  <si>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</si>
  <si>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</si>
  <si>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</si>
  <si>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</si>
  <si>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</si>
  <si>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</si>
  <si>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</si>
  <si>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</si>
  <si>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</si>
  <si>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</si>
  <si>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</si>
  <si>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</si>
  <si>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</si>
  <si>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 / вышли из ПРОМО (в сентябре)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</si>
  <si>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</si>
  <si>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</si>
  <si>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14шт списание сроки (11,08,26) / 70шт сеть Молоко (07,08,26)</t>
    </r>
  </si>
  <si>
    <t>инвенторизация не проведена</t>
  </si>
  <si>
    <t>тел. от Коваленко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</si>
</sst>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4" fillId="8" borderId="1" xfId="1" applyNumberFormat="1" applyFont="1" applyFill="1"/>
    <xf numFmtId="164" fontId="4" fillId="5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 applyBorder="1"/>
    <xf numFmtId="164" fontId="8" fillId="0" borderId="1" xfId="1" applyNumberFormat="1" applyFont="1" applyAlignment="1">
      <alignment horizont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5" sqref="Z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6" width="7" customWidth="1"/>
    <col min="17" max="17" width="12.140625" style="24" customWidth="1"/>
    <col min="18" max="25" width="7" customWidth="1"/>
    <col min="26" max="27" width="5" customWidth="1"/>
    <col min="28" max="37" width="6" customWidth="1"/>
    <col min="38" max="38" width="20.28515625" customWidth="1"/>
    <col min="39" max="39" width="7" customWidth="1"/>
    <col min="40" max="48" width="3" customWidth="1"/>
  </cols>
  <sheetData>
    <row r="1" spans="1:48" x14ac:dyDescent="0.25">
      <c r="A1" s="15"/>
      <c r="B1" s="15"/>
      <c r="C1" s="15"/>
      <c r="D1" s="15"/>
      <c r="E1" s="15"/>
      <c r="F1" s="15"/>
      <c r="G1" s="6"/>
      <c r="H1" s="15"/>
      <c r="I1" s="15"/>
      <c r="J1" s="15"/>
      <c r="K1" s="15"/>
      <c r="L1" s="15"/>
      <c r="M1" s="15"/>
      <c r="N1" s="15"/>
      <c r="O1" s="15"/>
      <c r="P1" s="15"/>
      <c r="Q1" s="25" t="s">
        <v>189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</row>
    <row r="2" spans="1:48" x14ac:dyDescent="0.25">
      <c r="A2" s="15"/>
      <c r="B2" s="15"/>
      <c r="C2" s="15"/>
      <c r="D2" s="15"/>
      <c r="E2" s="15"/>
      <c r="F2" s="15"/>
      <c r="G2" s="6"/>
      <c r="H2" s="15"/>
      <c r="I2" s="15"/>
      <c r="J2" s="15"/>
      <c r="K2" s="15"/>
      <c r="L2" s="15"/>
      <c r="M2" s="15"/>
      <c r="N2" s="15"/>
      <c r="O2" s="15"/>
      <c r="P2" s="15"/>
      <c r="Q2" s="2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22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15</v>
      </c>
      <c r="Y3" s="2" t="s">
        <v>16</v>
      </c>
      <c r="Z3" s="1" t="s">
        <v>17</v>
      </c>
      <c r="AA3" s="1" t="s">
        <v>18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20</v>
      </c>
      <c r="AM3" s="1" t="s">
        <v>21</v>
      </c>
      <c r="AN3" s="15"/>
      <c r="AO3" s="15"/>
      <c r="AP3" s="15"/>
      <c r="AQ3" s="15"/>
      <c r="AR3" s="15"/>
      <c r="AS3" s="15"/>
      <c r="AT3" s="15"/>
      <c r="AU3" s="15"/>
      <c r="AV3" s="15"/>
    </row>
    <row r="4" spans="1:48" x14ac:dyDescent="0.25">
      <c r="A4" s="15"/>
      <c r="B4" s="15"/>
      <c r="C4" s="15"/>
      <c r="D4" s="15"/>
      <c r="E4" s="15"/>
      <c r="F4" s="15"/>
      <c r="G4" s="6"/>
      <c r="H4" s="15"/>
      <c r="I4" s="15"/>
      <c r="J4" s="15"/>
      <c r="K4" s="15"/>
      <c r="L4" s="15"/>
      <c r="M4" s="15"/>
      <c r="N4" s="15"/>
      <c r="O4" s="15" t="s">
        <v>22</v>
      </c>
      <c r="P4" s="15" t="s">
        <v>23</v>
      </c>
      <c r="Q4" s="21" t="s">
        <v>188</v>
      </c>
      <c r="R4" s="15" t="s">
        <v>24</v>
      </c>
      <c r="S4" s="15" t="s">
        <v>25</v>
      </c>
      <c r="T4" s="15" t="s">
        <v>26</v>
      </c>
      <c r="U4" s="15" t="s">
        <v>27</v>
      </c>
      <c r="V4" s="15" t="s">
        <v>28</v>
      </c>
      <c r="W4" s="15" t="s">
        <v>29</v>
      </c>
      <c r="X4" s="15" t="s">
        <v>30</v>
      </c>
      <c r="Y4" s="15"/>
      <c r="Z4" s="15"/>
      <c r="AA4" s="15"/>
      <c r="AB4" s="15" t="s">
        <v>31</v>
      </c>
      <c r="AC4" s="15" t="s">
        <v>32</v>
      </c>
      <c r="AD4" s="15" t="s">
        <v>33</v>
      </c>
      <c r="AE4" s="15" t="s">
        <v>34</v>
      </c>
      <c r="AF4" s="15" t="s">
        <v>35</v>
      </c>
      <c r="AG4" s="15" t="s">
        <v>36</v>
      </c>
      <c r="AH4" s="15" t="s">
        <v>37</v>
      </c>
      <c r="AI4" s="15" t="s">
        <v>38</v>
      </c>
      <c r="AJ4" s="15" t="s">
        <v>39</v>
      </c>
      <c r="AK4" s="15" t="s">
        <v>40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1:48" x14ac:dyDescent="0.25">
      <c r="A5" s="15"/>
      <c r="B5" s="15"/>
      <c r="C5" s="15"/>
      <c r="D5" s="15"/>
      <c r="E5" s="3">
        <f>SUM(E6:E499)</f>
        <v>16689.727999999999</v>
      </c>
      <c r="F5" s="3">
        <f>SUM(F6:F499)</f>
        <v>16703.773999999998</v>
      </c>
      <c r="G5" s="6"/>
      <c r="H5" s="15"/>
      <c r="I5" s="15"/>
      <c r="J5" s="15"/>
      <c r="K5" s="3">
        <f t="shared" ref="K5:Y5" si="0">SUM(K6:K499)</f>
        <v>26387.233</v>
      </c>
      <c r="L5" s="3">
        <f t="shared" si="0"/>
        <v>-9697.505000000001</v>
      </c>
      <c r="M5" s="3">
        <f t="shared" si="0"/>
        <v>0</v>
      </c>
      <c r="N5" s="3">
        <f t="shared" si="0"/>
        <v>0</v>
      </c>
      <c r="O5" s="3">
        <f t="shared" si="0"/>
        <v>860</v>
      </c>
      <c r="P5" s="3">
        <f t="shared" si="0"/>
        <v>-402</v>
      </c>
      <c r="Q5" s="23">
        <f t="shared" si="0"/>
        <v>-1819.5630000000001</v>
      </c>
      <c r="R5" s="3">
        <f t="shared" si="0"/>
        <v>21169.298324000003</v>
      </c>
      <c r="S5" s="3">
        <f t="shared" si="0"/>
        <v>-782.5</v>
      </c>
      <c r="T5" s="3">
        <f t="shared" si="0"/>
        <v>500</v>
      </c>
      <c r="U5" s="3">
        <f t="shared" si="0"/>
        <v>14772.140498707999</v>
      </c>
      <c r="V5" s="3">
        <f t="shared" si="0"/>
        <v>-2131.3000000000002</v>
      </c>
      <c r="W5" s="3">
        <f t="shared" si="0"/>
        <v>1500</v>
      </c>
      <c r="X5" s="3">
        <f t="shared" si="0"/>
        <v>3337.9455999999982</v>
      </c>
      <c r="Y5" s="3">
        <f t="shared" si="0"/>
        <v>4199.0524000000005</v>
      </c>
      <c r="Z5" s="15"/>
      <c r="AA5" s="15"/>
      <c r="AB5" s="3">
        <f t="shared" ref="AB5:AK5" si="1">SUM(AB6:AB499)</f>
        <v>4292.6824000000015</v>
      </c>
      <c r="AC5" s="3">
        <f t="shared" si="1"/>
        <v>4269.7196000000004</v>
      </c>
      <c r="AD5" s="3">
        <f t="shared" si="1"/>
        <v>3863.9036000000019</v>
      </c>
      <c r="AE5" s="3">
        <f t="shared" si="1"/>
        <v>3651.6625999999987</v>
      </c>
      <c r="AF5" s="3">
        <f t="shared" si="1"/>
        <v>3634.1342000000018</v>
      </c>
      <c r="AG5" s="3">
        <f t="shared" si="1"/>
        <v>4204.6311999999989</v>
      </c>
      <c r="AH5" s="3">
        <f t="shared" si="1"/>
        <v>4212.8490000000011</v>
      </c>
      <c r="AI5" s="3">
        <f t="shared" si="1"/>
        <v>3809.7485999999985</v>
      </c>
      <c r="AJ5" s="3">
        <f t="shared" si="1"/>
        <v>4467.6592000000001</v>
      </c>
      <c r="AK5" s="3">
        <f t="shared" si="1"/>
        <v>4046.1829999999986</v>
      </c>
      <c r="AL5" s="15"/>
      <c r="AM5" s="3">
        <f>SUM(AM6:AM499)</f>
        <v>2776.7044000000001</v>
      </c>
      <c r="AN5" s="15"/>
      <c r="AO5" s="15"/>
      <c r="AP5" s="15"/>
      <c r="AQ5" s="15"/>
      <c r="AR5" s="15"/>
      <c r="AS5" s="15"/>
      <c r="AT5" s="15"/>
      <c r="AU5" s="15"/>
      <c r="AV5" s="15"/>
    </row>
    <row r="6" spans="1:48" x14ac:dyDescent="0.25">
      <c r="A6" s="15" t="s">
        <v>41</v>
      </c>
      <c r="B6" s="15" t="s">
        <v>42</v>
      </c>
      <c r="C6" s="15">
        <v>327.82799999999997</v>
      </c>
      <c r="D6" s="15">
        <v>30.914999999999999</v>
      </c>
      <c r="E6" s="15">
        <v>252.56800000000001</v>
      </c>
      <c r="F6" s="15">
        <v>96.972999999999999</v>
      </c>
      <c r="G6" s="6">
        <v>1</v>
      </c>
      <c r="H6" s="15">
        <v>50</v>
      </c>
      <c r="I6" s="15" t="s">
        <v>43</v>
      </c>
      <c r="J6" s="15"/>
      <c r="K6" s="15">
        <v>295.7</v>
      </c>
      <c r="L6" s="15">
        <f t="shared" ref="L6:L37" si="2">E6-K6</f>
        <v>-43.131999999999977</v>
      </c>
      <c r="M6" s="15"/>
      <c r="N6" s="15"/>
      <c r="O6" s="15"/>
      <c r="P6" s="15"/>
      <c r="Q6" s="15"/>
      <c r="R6" s="15">
        <v>300</v>
      </c>
      <c r="S6" s="15"/>
      <c r="T6" s="15"/>
      <c r="U6" s="15">
        <v>135.42599999999999</v>
      </c>
      <c r="V6" s="15"/>
      <c r="W6" s="15"/>
      <c r="X6" s="15">
        <f t="shared" ref="X6:X37" si="3">E6/5</f>
        <v>50.513600000000004</v>
      </c>
      <c r="Y6" s="4">
        <f>11*X6-W6-V6-U6-T6-S6-R6-P6-O6-F6</f>
        <v>23.250600000000091</v>
      </c>
      <c r="Z6" s="15">
        <f t="shared" ref="Z6:Z37" si="4">(F6+O6+P6+R6+S6+T6+U6+V6+W6+Y6)/X6</f>
        <v>11</v>
      </c>
      <c r="AA6" s="15">
        <f t="shared" ref="AA6:AA37" si="5">(F6+O6+P6+R6+S6+T6+U6+V6+W6)/X6</f>
        <v>10.539716036869278</v>
      </c>
      <c r="AB6" s="15">
        <v>52.347000000000001</v>
      </c>
      <c r="AC6" s="15">
        <v>48.521000000000001</v>
      </c>
      <c r="AD6" s="15">
        <v>43.444600000000001</v>
      </c>
      <c r="AE6" s="15">
        <v>50.715400000000002</v>
      </c>
      <c r="AF6" s="15">
        <v>50.555</v>
      </c>
      <c r="AG6" s="15">
        <v>49.53</v>
      </c>
      <c r="AH6" s="15">
        <v>63.962800000000001</v>
      </c>
      <c r="AI6" s="15">
        <v>58.955199999999998</v>
      </c>
      <c r="AJ6" s="15">
        <v>54.327599999999997</v>
      </c>
      <c r="AK6" s="15">
        <v>47.706800000000001</v>
      </c>
      <c r="AL6" s="15"/>
      <c r="AM6" s="15">
        <f>G6*Y6</f>
        <v>23.250600000000091</v>
      </c>
      <c r="AN6" s="15"/>
      <c r="AO6" s="15"/>
      <c r="AP6" s="15"/>
      <c r="AQ6" s="15"/>
      <c r="AR6" s="15"/>
      <c r="AS6" s="15"/>
      <c r="AT6" s="15"/>
      <c r="AU6" s="15"/>
      <c r="AV6" s="15"/>
    </row>
    <row r="7" spans="1:48" x14ac:dyDescent="0.25">
      <c r="A7" s="15" t="s">
        <v>44</v>
      </c>
      <c r="B7" s="15" t="s">
        <v>42</v>
      </c>
      <c r="C7" s="15">
        <v>1125.085</v>
      </c>
      <c r="D7" s="15">
        <v>5.4329999999999998</v>
      </c>
      <c r="E7" s="15">
        <v>512.89700000000005</v>
      </c>
      <c r="F7" s="15">
        <v>604.58399999999995</v>
      </c>
      <c r="G7" s="6">
        <v>1</v>
      </c>
      <c r="H7" s="15">
        <v>45</v>
      </c>
      <c r="I7" s="15" t="s">
        <v>43</v>
      </c>
      <c r="J7" s="15"/>
      <c r="K7" s="15">
        <v>523.25</v>
      </c>
      <c r="L7" s="15">
        <f t="shared" si="2"/>
        <v>-10.352999999999952</v>
      </c>
      <c r="M7" s="15"/>
      <c r="N7" s="15"/>
      <c r="O7" s="15"/>
      <c r="P7" s="15"/>
      <c r="Q7" s="15"/>
      <c r="R7" s="15">
        <v>100</v>
      </c>
      <c r="S7" s="15"/>
      <c r="T7" s="15"/>
      <c r="U7" s="15">
        <v>237.7456</v>
      </c>
      <c r="V7" s="15"/>
      <c r="W7" s="15"/>
      <c r="X7" s="15">
        <f t="shared" si="3"/>
        <v>102.57940000000001</v>
      </c>
      <c r="Y7" s="4">
        <f t="shared" ref="Y7" si="6">11*X7-W7-V7-U7-T7-S7-R7-P7-O7-F7</f>
        <v>186.04380000000026</v>
      </c>
      <c r="Z7" s="15">
        <f t="shared" si="4"/>
        <v>11.000000000000002</v>
      </c>
      <c r="AA7" s="15">
        <f t="shared" si="5"/>
        <v>9.1863434568734057</v>
      </c>
      <c r="AB7" s="15">
        <v>91.360199999999992</v>
      </c>
      <c r="AC7" s="15">
        <v>75.338800000000006</v>
      </c>
      <c r="AD7" s="15">
        <v>78.611599999999996</v>
      </c>
      <c r="AE7" s="15">
        <v>107.873</v>
      </c>
      <c r="AF7" s="15">
        <v>130.68199999999999</v>
      </c>
      <c r="AG7" s="15">
        <v>153.03919999999999</v>
      </c>
      <c r="AH7" s="15">
        <v>75.238799999999998</v>
      </c>
      <c r="AI7" s="15">
        <v>35.7254</v>
      </c>
      <c r="AJ7" s="15">
        <v>94.933799999999991</v>
      </c>
      <c r="AK7" s="15">
        <v>81.040400000000005</v>
      </c>
      <c r="AL7" s="15"/>
      <c r="AM7" s="15">
        <f>G7*Y7</f>
        <v>186.04380000000026</v>
      </c>
      <c r="AN7" s="15"/>
      <c r="AO7" s="15"/>
      <c r="AP7" s="15"/>
      <c r="AQ7" s="15"/>
      <c r="AR7" s="15"/>
      <c r="AS7" s="15"/>
      <c r="AT7" s="15"/>
      <c r="AU7" s="15"/>
      <c r="AV7" s="15"/>
    </row>
    <row r="8" spans="1:48" x14ac:dyDescent="0.25">
      <c r="A8" s="15" t="s">
        <v>45</v>
      </c>
      <c r="B8" s="15" t="s">
        <v>42</v>
      </c>
      <c r="C8" s="15">
        <v>437.50799999999998</v>
      </c>
      <c r="D8" s="15">
        <v>623.34</v>
      </c>
      <c r="E8" s="15">
        <v>391.61399999999998</v>
      </c>
      <c r="F8" s="15">
        <v>647.36599999999999</v>
      </c>
      <c r="G8" s="6">
        <v>1</v>
      </c>
      <c r="H8" s="15">
        <v>45</v>
      </c>
      <c r="I8" s="15" t="s">
        <v>43</v>
      </c>
      <c r="J8" s="15"/>
      <c r="K8" s="15">
        <v>508.79700000000003</v>
      </c>
      <c r="L8" s="15">
        <f t="shared" si="2"/>
        <v>-117.18300000000005</v>
      </c>
      <c r="M8" s="15"/>
      <c r="N8" s="15"/>
      <c r="O8" s="15"/>
      <c r="P8" s="15"/>
      <c r="Q8" s="15"/>
      <c r="R8" s="15">
        <v>500</v>
      </c>
      <c r="S8" s="15"/>
      <c r="T8" s="15"/>
      <c r="U8" s="15">
        <v>0</v>
      </c>
      <c r="V8" s="15"/>
      <c r="W8" s="15"/>
      <c r="X8" s="15">
        <f t="shared" si="3"/>
        <v>78.322800000000001</v>
      </c>
      <c r="Y8" s="4"/>
      <c r="Z8" s="15">
        <f t="shared" si="4"/>
        <v>14.649195381166148</v>
      </c>
      <c r="AA8" s="15">
        <f t="shared" si="5"/>
        <v>14.649195381166148</v>
      </c>
      <c r="AB8" s="15">
        <v>84.352599999999995</v>
      </c>
      <c r="AC8" s="15">
        <v>119.5784</v>
      </c>
      <c r="AD8" s="15">
        <v>115.399</v>
      </c>
      <c r="AE8" s="15">
        <v>92.236400000000003</v>
      </c>
      <c r="AF8" s="15">
        <v>101.6842</v>
      </c>
      <c r="AG8" s="15">
        <v>112.5746</v>
      </c>
      <c r="AH8" s="15">
        <v>76.619600000000005</v>
      </c>
      <c r="AI8" s="15">
        <v>58.682200000000002</v>
      </c>
      <c r="AJ8" s="15">
        <v>110.33499999999999</v>
      </c>
      <c r="AK8" s="15">
        <v>93.042000000000002</v>
      </c>
      <c r="AL8" s="15"/>
      <c r="AM8" s="15">
        <f>G8*Y8</f>
        <v>0</v>
      </c>
      <c r="AN8" s="15"/>
      <c r="AO8" s="15"/>
      <c r="AP8" s="15"/>
      <c r="AQ8" s="15"/>
      <c r="AR8" s="15"/>
      <c r="AS8" s="15"/>
      <c r="AT8" s="15"/>
      <c r="AU8" s="15"/>
      <c r="AV8" s="15"/>
    </row>
    <row r="9" spans="1:48" x14ac:dyDescent="0.25">
      <c r="A9" s="11" t="s">
        <v>46</v>
      </c>
      <c r="B9" s="11" t="s">
        <v>47</v>
      </c>
      <c r="C9" s="11"/>
      <c r="D9" s="11"/>
      <c r="E9" s="11"/>
      <c r="F9" s="11"/>
      <c r="G9" s="12">
        <v>0</v>
      </c>
      <c r="H9" s="11"/>
      <c r="I9" s="11" t="s">
        <v>43</v>
      </c>
      <c r="J9" s="11"/>
      <c r="K9" s="11"/>
      <c r="L9" s="11">
        <f t="shared" si="2"/>
        <v>0</v>
      </c>
      <c r="M9" s="11"/>
      <c r="N9" s="11"/>
      <c r="O9" s="11"/>
      <c r="P9" s="11"/>
      <c r="Q9" s="11"/>
      <c r="R9" s="11">
        <v>0</v>
      </c>
      <c r="S9" s="11"/>
      <c r="T9" s="11"/>
      <c r="U9" s="11">
        <v>0</v>
      </c>
      <c r="V9" s="11"/>
      <c r="W9" s="11"/>
      <c r="X9" s="11">
        <f t="shared" si="3"/>
        <v>0</v>
      </c>
      <c r="Y9" s="13"/>
      <c r="Z9" s="11" t="e">
        <f t="shared" si="4"/>
        <v>#DIV/0!</v>
      </c>
      <c r="AA9" s="11" t="e">
        <f t="shared" si="5"/>
        <v>#DIV/0!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 t="s">
        <v>48</v>
      </c>
      <c r="AM9" s="11"/>
      <c r="AN9" s="15"/>
      <c r="AO9" s="15"/>
      <c r="AP9" s="15"/>
      <c r="AQ9" s="15"/>
      <c r="AR9" s="15"/>
      <c r="AS9" s="15"/>
      <c r="AT9" s="15"/>
      <c r="AU9" s="15"/>
      <c r="AV9" s="15"/>
    </row>
    <row r="10" spans="1:48" x14ac:dyDescent="0.25">
      <c r="A10" s="15" t="s">
        <v>49</v>
      </c>
      <c r="B10" s="15" t="s">
        <v>47</v>
      </c>
      <c r="C10" s="15">
        <v>610.46199999999999</v>
      </c>
      <c r="D10" s="15">
        <v>3</v>
      </c>
      <c r="E10" s="15">
        <v>297</v>
      </c>
      <c r="F10" s="15">
        <v>282.85500000000002</v>
      </c>
      <c r="G10" s="6">
        <v>0.45</v>
      </c>
      <c r="H10" s="15">
        <v>45</v>
      </c>
      <c r="I10" s="15" t="s">
        <v>43</v>
      </c>
      <c r="J10" s="15"/>
      <c r="K10" s="15">
        <v>745</v>
      </c>
      <c r="L10" s="15">
        <f t="shared" si="2"/>
        <v>-448</v>
      </c>
      <c r="M10" s="15"/>
      <c r="N10" s="15"/>
      <c r="O10" s="15"/>
      <c r="P10" s="15"/>
      <c r="Q10" s="15"/>
      <c r="R10" s="15">
        <v>0</v>
      </c>
      <c r="S10" s="15"/>
      <c r="T10" s="15"/>
      <c r="U10" s="15">
        <v>750.93680000000018</v>
      </c>
      <c r="V10" s="15"/>
      <c r="W10" s="15"/>
      <c r="X10" s="15">
        <f t="shared" si="3"/>
        <v>59.4</v>
      </c>
      <c r="Y10" s="4"/>
      <c r="Z10" s="15">
        <f t="shared" si="4"/>
        <v>17.403902356902361</v>
      </c>
      <c r="AA10" s="15">
        <f t="shared" si="5"/>
        <v>17.403902356902361</v>
      </c>
      <c r="AB10" s="15">
        <v>80.107600000000005</v>
      </c>
      <c r="AC10" s="15">
        <v>22.907599999999999</v>
      </c>
      <c r="AD10" s="15">
        <v>53.8</v>
      </c>
      <c r="AE10" s="15">
        <v>96.8</v>
      </c>
      <c r="AF10" s="15">
        <v>76.400000000000006</v>
      </c>
      <c r="AG10" s="15">
        <v>41.6</v>
      </c>
      <c r="AH10" s="15">
        <v>60.6</v>
      </c>
      <c r="AI10" s="15">
        <v>118.4</v>
      </c>
      <c r="AJ10" s="15">
        <v>112.2</v>
      </c>
      <c r="AK10" s="15">
        <v>85.6</v>
      </c>
      <c r="AL10" s="15"/>
      <c r="AM10" s="15">
        <f t="shared" ref="AM10:AM17" si="7">G10*Y10</f>
        <v>0</v>
      </c>
      <c r="AN10" s="15"/>
      <c r="AO10" s="15"/>
      <c r="AP10" s="15"/>
      <c r="AQ10" s="15"/>
      <c r="AR10" s="15"/>
      <c r="AS10" s="15"/>
      <c r="AT10" s="15"/>
      <c r="AU10" s="15"/>
      <c r="AV10" s="15"/>
    </row>
    <row r="11" spans="1:48" x14ac:dyDescent="0.25">
      <c r="A11" s="15" t="s">
        <v>50</v>
      </c>
      <c r="B11" s="15" t="s">
        <v>47</v>
      </c>
      <c r="C11" s="15">
        <v>102</v>
      </c>
      <c r="D11" s="15">
        <v>1771</v>
      </c>
      <c r="E11" s="15">
        <v>136</v>
      </c>
      <c r="F11" s="15">
        <v>1710</v>
      </c>
      <c r="G11" s="6">
        <v>0.45</v>
      </c>
      <c r="H11" s="15">
        <v>45</v>
      </c>
      <c r="I11" s="15" t="s">
        <v>43</v>
      </c>
      <c r="J11" s="15"/>
      <c r="K11" s="15">
        <v>804</v>
      </c>
      <c r="L11" s="15">
        <f t="shared" si="2"/>
        <v>-668</v>
      </c>
      <c r="M11" s="15"/>
      <c r="N11" s="15"/>
      <c r="O11" s="15"/>
      <c r="P11" s="15"/>
      <c r="Q11" s="15"/>
      <c r="R11" s="15">
        <v>300</v>
      </c>
      <c r="S11" s="15"/>
      <c r="T11" s="15"/>
      <c r="U11" s="15">
        <v>0</v>
      </c>
      <c r="V11" s="15"/>
      <c r="W11" s="15"/>
      <c r="X11" s="15">
        <f t="shared" si="3"/>
        <v>27.2</v>
      </c>
      <c r="Y11" s="4"/>
      <c r="Z11" s="15">
        <f t="shared" si="4"/>
        <v>73.89705882352942</v>
      </c>
      <c r="AA11" s="15">
        <f t="shared" si="5"/>
        <v>73.89705882352942</v>
      </c>
      <c r="AB11" s="15">
        <v>95.2</v>
      </c>
      <c r="AC11" s="15">
        <v>169.6</v>
      </c>
      <c r="AD11" s="15">
        <v>188.2</v>
      </c>
      <c r="AE11" s="15">
        <v>158.4</v>
      </c>
      <c r="AF11" s="15">
        <v>100.4</v>
      </c>
      <c r="AG11" s="15">
        <v>145.4</v>
      </c>
      <c r="AH11" s="15">
        <v>163</v>
      </c>
      <c r="AI11" s="15">
        <v>152.80000000000001</v>
      </c>
      <c r="AJ11" s="15">
        <v>151.19999999999999</v>
      </c>
      <c r="AK11" s="15">
        <v>121.8</v>
      </c>
      <c r="AL11" s="17" t="s">
        <v>184</v>
      </c>
      <c r="AM11" s="15">
        <f t="shared" si="7"/>
        <v>0</v>
      </c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8" x14ac:dyDescent="0.25">
      <c r="A12" s="15" t="s">
        <v>52</v>
      </c>
      <c r="B12" s="15" t="s">
        <v>47</v>
      </c>
      <c r="C12" s="15">
        <v>23</v>
      </c>
      <c r="D12" s="15">
        <v>195</v>
      </c>
      <c r="E12" s="15">
        <v>42</v>
      </c>
      <c r="F12" s="15">
        <v>176</v>
      </c>
      <c r="G12" s="6">
        <v>0.17</v>
      </c>
      <c r="H12" s="15">
        <v>180</v>
      </c>
      <c r="I12" s="15" t="s">
        <v>43</v>
      </c>
      <c r="J12" s="15"/>
      <c r="K12" s="15">
        <v>56</v>
      </c>
      <c r="L12" s="15">
        <f t="shared" si="2"/>
        <v>-14</v>
      </c>
      <c r="M12" s="15"/>
      <c r="N12" s="15"/>
      <c r="O12" s="15"/>
      <c r="P12" s="15"/>
      <c r="Q12" s="15"/>
      <c r="R12" s="15">
        <v>0</v>
      </c>
      <c r="S12" s="15"/>
      <c r="T12" s="15"/>
      <c r="U12" s="15">
        <v>0</v>
      </c>
      <c r="V12" s="15"/>
      <c r="W12" s="15"/>
      <c r="X12" s="15">
        <f t="shared" si="3"/>
        <v>8.4</v>
      </c>
      <c r="Y12" s="4"/>
      <c r="Z12" s="15">
        <f t="shared" si="4"/>
        <v>20.952380952380953</v>
      </c>
      <c r="AA12" s="15">
        <f t="shared" si="5"/>
        <v>20.952380952380953</v>
      </c>
      <c r="AB12" s="15">
        <v>9</v>
      </c>
      <c r="AC12" s="15">
        <v>4.4000000000000004</v>
      </c>
      <c r="AD12" s="15">
        <v>19.8</v>
      </c>
      <c r="AE12" s="15">
        <v>26.4</v>
      </c>
      <c r="AF12" s="15">
        <v>7.6</v>
      </c>
      <c r="AG12" s="15">
        <v>9</v>
      </c>
      <c r="AH12" s="15">
        <v>9.1999999999999993</v>
      </c>
      <c r="AI12" s="15">
        <v>6.6</v>
      </c>
      <c r="AJ12" s="15">
        <v>19.399999999999999</v>
      </c>
      <c r="AK12" s="15">
        <v>18</v>
      </c>
      <c r="AL12" s="15"/>
      <c r="AM12" s="15">
        <f t="shared" si="7"/>
        <v>0</v>
      </c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x14ac:dyDescent="0.25">
      <c r="A13" s="15" t="s">
        <v>53</v>
      </c>
      <c r="B13" s="15" t="s">
        <v>47</v>
      </c>
      <c r="C13" s="15">
        <v>22</v>
      </c>
      <c r="D13" s="15">
        <v>36</v>
      </c>
      <c r="E13" s="15">
        <v>31</v>
      </c>
      <c r="F13" s="15">
        <v>19</v>
      </c>
      <c r="G13" s="6">
        <v>0.3</v>
      </c>
      <c r="H13" s="15">
        <v>40</v>
      </c>
      <c r="I13" s="9" t="s">
        <v>54</v>
      </c>
      <c r="J13" s="15"/>
      <c r="K13" s="15">
        <v>100</v>
      </c>
      <c r="L13" s="15">
        <f t="shared" si="2"/>
        <v>-69</v>
      </c>
      <c r="M13" s="15"/>
      <c r="N13" s="15"/>
      <c r="O13" s="15"/>
      <c r="P13" s="15"/>
      <c r="Q13" s="15"/>
      <c r="R13" s="15">
        <v>50</v>
      </c>
      <c r="S13" s="15"/>
      <c r="T13" s="15"/>
      <c r="U13" s="15">
        <v>80</v>
      </c>
      <c r="V13" s="15"/>
      <c r="W13" s="15"/>
      <c r="X13" s="15">
        <f t="shared" si="3"/>
        <v>6.2</v>
      </c>
      <c r="Y13" s="4"/>
      <c r="Z13" s="15">
        <f t="shared" si="4"/>
        <v>24.032258064516128</v>
      </c>
      <c r="AA13" s="15">
        <f t="shared" si="5"/>
        <v>24.032258064516128</v>
      </c>
      <c r="AB13" s="15">
        <v>11.4</v>
      </c>
      <c r="AC13" s="15">
        <v>16</v>
      </c>
      <c r="AD13" s="15">
        <v>6.8</v>
      </c>
      <c r="AE13" s="15">
        <v>-1.2</v>
      </c>
      <c r="AF13" s="15">
        <v>3.4</v>
      </c>
      <c r="AG13" s="15">
        <v>16.2</v>
      </c>
      <c r="AH13" s="15">
        <v>21.6</v>
      </c>
      <c r="AI13" s="15">
        <v>18.399999999999999</v>
      </c>
      <c r="AJ13" s="15">
        <v>34.4</v>
      </c>
      <c r="AK13" s="15">
        <v>29.2</v>
      </c>
      <c r="AL13" s="15"/>
      <c r="AM13" s="15">
        <f t="shared" si="7"/>
        <v>0</v>
      </c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8" x14ac:dyDescent="0.25">
      <c r="A14" s="15" t="s">
        <v>55</v>
      </c>
      <c r="B14" s="15" t="s">
        <v>47</v>
      </c>
      <c r="C14" s="15">
        <v>234</v>
      </c>
      <c r="D14" s="15">
        <v>413</v>
      </c>
      <c r="E14" s="15">
        <v>214</v>
      </c>
      <c r="F14" s="15">
        <v>413</v>
      </c>
      <c r="G14" s="6">
        <v>0.17</v>
      </c>
      <c r="H14" s="15">
        <v>180</v>
      </c>
      <c r="I14" s="15" t="s">
        <v>43</v>
      </c>
      <c r="J14" s="15"/>
      <c r="K14" s="15">
        <v>239</v>
      </c>
      <c r="L14" s="15">
        <f t="shared" si="2"/>
        <v>-25</v>
      </c>
      <c r="M14" s="15"/>
      <c r="N14" s="15"/>
      <c r="O14" s="15"/>
      <c r="P14" s="15"/>
      <c r="Q14" s="15"/>
      <c r="R14" s="15">
        <v>100</v>
      </c>
      <c r="S14" s="15"/>
      <c r="T14" s="15"/>
      <c r="U14" s="15">
        <v>138.80000000000001</v>
      </c>
      <c r="V14" s="15"/>
      <c r="W14" s="15"/>
      <c r="X14" s="15">
        <f t="shared" si="3"/>
        <v>42.8</v>
      </c>
      <c r="Y14" s="4"/>
      <c r="Z14" s="15">
        <f t="shared" si="4"/>
        <v>15.228971962616823</v>
      </c>
      <c r="AA14" s="15">
        <f t="shared" si="5"/>
        <v>15.228971962616823</v>
      </c>
      <c r="AB14" s="15">
        <v>55.6</v>
      </c>
      <c r="AC14" s="15">
        <v>50.6</v>
      </c>
      <c r="AD14" s="15">
        <v>53.6</v>
      </c>
      <c r="AE14" s="15">
        <v>49</v>
      </c>
      <c r="AF14" s="15">
        <v>49.2</v>
      </c>
      <c r="AG14" s="15">
        <v>54.4</v>
      </c>
      <c r="AH14" s="15">
        <v>24</v>
      </c>
      <c r="AI14" s="15">
        <v>26.8</v>
      </c>
      <c r="AJ14" s="15">
        <v>45.6</v>
      </c>
      <c r="AK14" s="15">
        <v>32</v>
      </c>
      <c r="AL14" s="15"/>
      <c r="AM14" s="15">
        <f t="shared" si="7"/>
        <v>0</v>
      </c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8" x14ac:dyDescent="0.25">
      <c r="A15" s="15" t="s">
        <v>56</v>
      </c>
      <c r="B15" s="15" t="s">
        <v>42</v>
      </c>
      <c r="C15" s="15">
        <v>313.26100000000002</v>
      </c>
      <c r="D15" s="15">
        <v>440.92099999999999</v>
      </c>
      <c r="E15" s="15">
        <v>463.88</v>
      </c>
      <c r="F15" s="15">
        <v>281.755</v>
      </c>
      <c r="G15" s="6">
        <v>1</v>
      </c>
      <c r="H15" s="15">
        <v>70</v>
      </c>
      <c r="I15" s="9" t="s">
        <v>54</v>
      </c>
      <c r="J15" s="15"/>
      <c r="K15" s="15">
        <v>445</v>
      </c>
      <c r="L15" s="15">
        <f t="shared" si="2"/>
        <v>18.879999999999995</v>
      </c>
      <c r="M15" s="15"/>
      <c r="N15" s="15"/>
      <c r="O15" s="15"/>
      <c r="P15" s="15"/>
      <c r="Q15" s="15"/>
      <c r="R15" s="15">
        <v>500</v>
      </c>
      <c r="S15" s="15"/>
      <c r="T15" s="15"/>
      <c r="U15" s="15">
        <v>100</v>
      </c>
      <c r="V15" s="15"/>
      <c r="W15" s="15"/>
      <c r="X15" s="15">
        <f t="shared" si="3"/>
        <v>92.775999999999996</v>
      </c>
      <c r="Y15" s="4">
        <f t="shared" ref="Y15" si="8">11*X15-W15-V15-U15-T15-S15-R15-P15-O15-F15</f>
        <v>138.78099999999995</v>
      </c>
      <c r="Z15" s="15">
        <f t="shared" si="4"/>
        <v>11</v>
      </c>
      <c r="AA15" s="15">
        <f t="shared" si="5"/>
        <v>9.5041282228162451</v>
      </c>
      <c r="AB15" s="15">
        <v>91.034000000000006</v>
      </c>
      <c r="AC15" s="15">
        <v>96.842399999999998</v>
      </c>
      <c r="AD15" s="15">
        <v>93.471599999999995</v>
      </c>
      <c r="AE15" s="15">
        <v>88.441000000000003</v>
      </c>
      <c r="AF15" s="15">
        <v>86.75739999999999</v>
      </c>
      <c r="AG15" s="15">
        <v>84.37</v>
      </c>
      <c r="AH15" s="15">
        <v>79.335000000000008</v>
      </c>
      <c r="AI15" s="15">
        <v>73.63</v>
      </c>
      <c r="AJ15" s="15">
        <v>79.357799999999997</v>
      </c>
      <c r="AK15" s="15">
        <v>76.665199999999999</v>
      </c>
      <c r="AL15" s="15"/>
      <c r="AM15" s="15">
        <f t="shared" si="7"/>
        <v>138.78099999999995</v>
      </c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x14ac:dyDescent="0.25">
      <c r="A16" s="15" t="s">
        <v>57</v>
      </c>
      <c r="B16" s="15" t="s">
        <v>42</v>
      </c>
      <c r="C16" s="15">
        <v>2226.5569999999998</v>
      </c>
      <c r="D16" s="15">
        <v>609.41200000000003</v>
      </c>
      <c r="E16" s="15">
        <v>2187.674</v>
      </c>
      <c r="F16" s="15">
        <v>618.327</v>
      </c>
      <c r="G16" s="6">
        <v>1</v>
      </c>
      <c r="H16" s="15">
        <v>50</v>
      </c>
      <c r="I16" s="15" t="s">
        <v>43</v>
      </c>
      <c r="J16" s="15"/>
      <c r="K16" s="15">
        <v>2417.5</v>
      </c>
      <c r="L16" s="15">
        <f t="shared" si="2"/>
        <v>-229.82600000000002</v>
      </c>
      <c r="M16" s="15"/>
      <c r="N16" s="15"/>
      <c r="O16" s="15">
        <v>400</v>
      </c>
      <c r="P16" s="15"/>
      <c r="Q16" s="15"/>
      <c r="R16" s="15">
        <v>3150.8408800000002</v>
      </c>
      <c r="S16" s="15"/>
      <c r="T16" s="15"/>
      <c r="U16" s="15">
        <v>58.973120000000343</v>
      </c>
      <c r="V16" s="15"/>
      <c r="W16" s="15">
        <v>660</v>
      </c>
      <c r="X16" s="15">
        <f t="shared" si="3"/>
        <v>437.53480000000002</v>
      </c>
      <c r="Y16" s="4"/>
      <c r="Z16" s="15">
        <f t="shared" si="4"/>
        <v>11.172005061083143</v>
      </c>
      <c r="AA16" s="15">
        <f t="shared" si="5"/>
        <v>11.172005061083143</v>
      </c>
      <c r="AB16" s="15">
        <v>456.43400000000003</v>
      </c>
      <c r="AC16" s="15">
        <v>513.70119999999997</v>
      </c>
      <c r="AD16" s="15">
        <v>424.07979999999998</v>
      </c>
      <c r="AE16" s="15">
        <v>400.34519999999998</v>
      </c>
      <c r="AF16" s="15">
        <v>421.65800000000002</v>
      </c>
      <c r="AG16" s="15">
        <v>435.88019999999989</v>
      </c>
      <c r="AH16" s="15">
        <v>443.73180000000002</v>
      </c>
      <c r="AI16" s="15">
        <v>379.55279999999999</v>
      </c>
      <c r="AJ16" s="15">
        <v>332.78500000000003</v>
      </c>
      <c r="AK16" s="15">
        <v>290.48419999999999</v>
      </c>
      <c r="AL16" s="15"/>
      <c r="AM16" s="15">
        <f t="shared" si="7"/>
        <v>0</v>
      </c>
      <c r="AN16" s="15"/>
      <c r="AO16" s="15"/>
      <c r="AP16" s="15"/>
      <c r="AQ16" s="15"/>
      <c r="AR16" s="15"/>
      <c r="AS16" s="15"/>
      <c r="AT16" s="15"/>
      <c r="AU16" s="15"/>
      <c r="AV16" s="15"/>
    </row>
    <row r="17" spans="1:48" x14ac:dyDescent="0.25">
      <c r="A17" s="15" t="s">
        <v>58</v>
      </c>
      <c r="B17" s="15" t="s">
        <v>42</v>
      </c>
      <c r="C17" s="15">
        <v>57.284999999999997</v>
      </c>
      <c r="D17" s="15">
        <v>30.053000000000001</v>
      </c>
      <c r="E17" s="15">
        <v>56.466000000000001</v>
      </c>
      <c r="F17" s="15">
        <v>27.952999999999999</v>
      </c>
      <c r="G17" s="6">
        <v>1</v>
      </c>
      <c r="H17" s="15">
        <v>60</v>
      </c>
      <c r="I17" s="15" t="s">
        <v>43</v>
      </c>
      <c r="J17" s="15"/>
      <c r="K17" s="15">
        <v>56.5</v>
      </c>
      <c r="L17" s="15">
        <f t="shared" si="2"/>
        <v>-3.399999999999892E-2</v>
      </c>
      <c r="M17" s="15"/>
      <c r="N17" s="15"/>
      <c r="O17" s="15"/>
      <c r="P17" s="15"/>
      <c r="Q17" s="15"/>
      <c r="R17" s="15">
        <v>100</v>
      </c>
      <c r="S17" s="15"/>
      <c r="T17" s="15"/>
      <c r="U17" s="15">
        <v>22.69019999999999</v>
      </c>
      <c r="V17" s="15"/>
      <c r="W17" s="15"/>
      <c r="X17" s="15">
        <f t="shared" si="3"/>
        <v>11.293200000000001</v>
      </c>
      <c r="Y17" s="4"/>
      <c r="Z17" s="15">
        <f t="shared" si="4"/>
        <v>13.339283816810113</v>
      </c>
      <c r="AA17" s="15">
        <f t="shared" si="5"/>
        <v>13.339283816810113</v>
      </c>
      <c r="AB17" s="15">
        <v>15.170199999999999</v>
      </c>
      <c r="AC17" s="15">
        <v>14.3386</v>
      </c>
      <c r="AD17" s="15">
        <v>12.2934</v>
      </c>
      <c r="AE17" s="15">
        <v>14.3178</v>
      </c>
      <c r="AF17" s="15">
        <v>13.440799999999999</v>
      </c>
      <c r="AG17" s="15">
        <v>13.439399999999999</v>
      </c>
      <c r="AH17" s="15">
        <v>14.009399999999999</v>
      </c>
      <c r="AI17" s="15">
        <v>15.593999999999999</v>
      </c>
      <c r="AJ17" s="15">
        <v>14.525</v>
      </c>
      <c r="AK17" s="15">
        <v>9.8002000000000002</v>
      </c>
      <c r="AL17" s="15"/>
      <c r="AM17" s="15">
        <f t="shared" si="7"/>
        <v>0</v>
      </c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 x14ac:dyDescent="0.25">
      <c r="A18" s="11" t="s">
        <v>59</v>
      </c>
      <c r="B18" s="11" t="s">
        <v>42</v>
      </c>
      <c r="C18" s="11">
        <v>-5.032</v>
      </c>
      <c r="D18" s="11"/>
      <c r="E18" s="11"/>
      <c r="F18" s="16">
        <v>-5.032</v>
      </c>
      <c r="G18" s="12">
        <v>0</v>
      </c>
      <c r="H18" s="11"/>
      <c r="I18" s="11" t="s">
        <v>60</v>
      </c>
      <c r="J18" s="11" t="s">
        <v>61</v>
      </c>
      <c r="K18" s="11"/>
      <c r="L18" s="11">
        <f t="shared" si="2"/>
        <v>0</v>
      </c>
      <c r="M18" s="11"/>
      <c r="N18" s="11"/>
      <c r="O18" s="11"/>
      <c r="P18" s="11"/>
      <c r="Q18" s="11"/>
      <c r="R18" s="11">
        <v>0</v>
      </c>
      <c r="S18" s="11"/>
      <c r="T18" s="11"/>
      <c r="U18" s="11">
        <v>0</v>
      </c>
      <c r="V18" s="11"/>
      <c r="W18" s="11"/>
      <c r="X18" s="11">
        <f t="shared" si="3"/>
        <v>0</v>
      </c>
      <c r="Y18" s="13"/>
      <c r="Z18" s="11" t="e">
        <f t="shared" si="4"/>
        <v>#DIV/0!</v>
      </c>
      <c r="AA18" s="11" t="e">
        <f t="shared" si="5"/>
        <v>#DIV/0!</v>
      </c>
      <c r="AB18" s="11">
        <v>1.0064</v>
      </c>
      <c r="AC18" s="11">
        <v>1.0064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/>
      <c r="AM18" s="11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 x14ac:dyDescent="0.25">
      <c r="A19" s="15" t="s">
        <v>62</v>
      </c>
      <c r="B19" s="15" t="s">
        <v>42</v>
      </c>
      <c r="C19" s="15">
        <v>40.317999999999998</v>
      </c>
      <c r="D19" s="15">
        <v>16.702000000000002</v>
      </c>
      <c r="E19" s="15">
        <v>39.115000000000002</v>
      </c>
      <c r="F19" s="15">
        <v>17.905000000000001</v>
      </c>
      <c r="G19" s="6">
        <v>1</v>
      </c>
      <c r="H19" s="15">
        <v>60</v>
      </c>
      <c r="I19" s="9" t="s">
        <v>54</v>
      </c>
      <c r="J19" s="15"/>
      <c r="K19" s="15">
        <v>35.5</v>
      </c>
      <c r="L19" s="15">
        <f t="shared" si="2"/>
        <v>3.615000000000002</v>
      </c>
      <c r="M19" s="15"/>
      <c r="N19" s="15"/>
      <c r="O19" s="15"/>
      <c r="P19" s="15"/>
      <c r="Q19" s="15"/>
      <c r="R19" s="15">
        <v>60</v>
      </c>
      <c r="S19" s="15"/>
      <c r="T19" s="15"/>
      <c r="U19" s="15">
        <v>34.189199999999971</v>
      </c>
      <c r="V19" s="15"/>
      <c r="W19" s="15"/>
      <c r="X19" s="15">
        <f t="shared" si="3"/>
        <v>7.8230000000000004</v>
      </c>
      <c r="Y19" s="4"/>
      <c r="Z19" s="15">
        <f t="shared" si="4"/>
        <v>14.328799693212318</v>
      </c>
      <c r="AA19" s="15">
        <f t="shared" si="5"/>
        <v>14.328799693212318</v>
      </c>
      <c r="AB19" s="15">
        <v>10.795400000000001</v>
      </c>
      <c r="AC19" s="15">
        <v>9.7043999999999997</v>
      </c>
      <c r="AD19" s="15">
        <v>7.2253999999999996</v>
      </c>
      <c r="AE19" s="15">
        <v>9.3013999999999992</v>
      </c>
      <c r="AF19" s="15">
        <v>8.0855999999999995</v>
      </c>
      <c r="AG19" s="15">
        <v>8.6264000000000003</v>
      </c>
      <c r="AH19" s="15">
        <v>7.2308000000000003</v>
      </c>
      <c r="AI19" s="15">
        <v>4.5262000000000002</v>
      </c>
      <c r="AJ19" s="15">
        <v>6.3393999999999986</v>
      </c>
      <c r="AK19" s="15">
        <v>6.4408000000000003</v>
      </c>
      <c r="AL19" s="15"/>
      <c r="AM19" s="15">
        <f t="shared" ref="AM19:AM25" si="9">G19*Y19</f>
        <v>0</v>
      </c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x14ac:dyDescent="0.25">
      <c r="A20" s="15" t="s">
        <v>63</v>
      </c>
      <c r="B20" s="15" t="s">
        <v>42</v>
      </c>
      <c r="C20" s="15">
        <v>51.994999999999997</v>
      </c>
      <c r="D20" s="15">
        <v>54.366999999999997</v>
      </c>
      <c r="E20" s="15">
        <v>27.800999999999998</v>
      </c>
      <c r="F20" s="15">
        <v>76.751000000000005</v>
      </c>
      <c r="G20" s="6">
        <v>1</v>
      </c>
      <c r="H20" s="15">
        <v>180</v>
      </c>
      <c r="I20" s="15" t="s">
        <v>43</v>
      </c>
      <c r="J20" s="15"/>
      <c r="K20" s="15">
        <v>26.68</v>
      </c>
      <c r="L20" s="15">
        <f t="shared" si="2"/>
        <v>1.1209999999999987</v>
      </c>
      <c r="M20" s="15"/>
      <c r="N20" s="15"/>
      <c r="O20" s="15"/>
      <c r="P20" s="15"/>
      <c r="Q20" s="15"/>
      <c r="R20" s="15">
        <v>0</v>
      </c>
      <c r="S20" s="15"/>
      <c r="T20" s="15"/>
      <c r="U20" s="15">
        <v>8.9090000000000025</v>
      </c>
      <c r="V20" s="15"/>
      <c r="W20" s="15"/>
      <c r="X20" s="15">
        <f t="shared" si="3"/>
        <v>5.5602</v>
      </c>
      <c r="Y20" s="4"/>
      <c r="Z20" s="15">
        <f t="shared" si="4"/>
        <v>15.40592065033632</v>
      </c>
      <c r="AA20" s="15">
        <f t="shared" si="5"/>
        <v>15.40592065033632</v>
      </c>
      <c r="AB20" s="15">
        <v>7.5060000000000002</v>
      </c>
      <c r="AC20" s="15">
        <v>7.0279999999999996</v>
      </c>
      <c r="AD20" s="15">
        <v>6.3250000000000002</v>
      </c>
      <c r="AE20" s="15">
        <v>6.3784000000000001</v>
      </c>
      <c r="AF20" s="15">
        <v>6.1204000000000001</v>
      </c>
      <c r="AG20" s="15">
        <v>5.7140000000000004</v>
      </c>
      <c r="AH20" s="15">
        <v>5.0237999999999996</v>
      </c>
      <c r="AI20" s="15">
        <v>4.1154000000000002</v>
      </c>
      <c r="AJ20" s="15">
        <v>5.633</v>
      </c>
      <c r="AK20" s="15">
        <v>5.0154000000000014</v>
      </c>
      <c r="AL20" s="15"/>
      <c r="AM20" s="15">
        <f t="shared" si="9"/>
        <v>0</v>
      </c>
      <c r="AN20" s="15"/>
      <c r="AO20" s="15"/>
      <c r="AP20" s="15"/>
      <c r="AQ20" s="15"/>
      <c r="AR20" s="15"/>
      <c r="AS20" s="15"/>
      <c r="AT20" s="15"/>
      <c r="AU20" s="15"/>
      <c r="AV20" s="15"/>
    </row>
    <row r="21" spans="1:48" x14ac:dyDescent="0.25">
      <c r="A21" s="15" t="s">
        <v>64</v>
      </c>
      <c r="B21" s="15" t="s">
        <v>42</v>
      </c>
      <c r="C21" s="15">
        <v>206.06800000000001</v>
      </c>
      <c r="D21" s="15">
        <v>446.613</v>
      </c>
      <c r="E21" s="15">
        <v>283.75099999999998</v>
      </c>
      <c r="F21" s="15">
        <v>360.61900000000003</v>
      </c>
      <c r="G21" s="6">
        <v>1</v>
      </c>
      <c r="H21" s="15">
        <v>60</v>
      </c>
      <c r="I21" s="15" t="s">
        <v>43</v>
      </c>
      <c r="J21" s="15"/>
      <c r="K21" s="15">
        <v>379.1</v>
      </c>
      <c r="L21" s="15">
        <f t="shared" si="2"/>
        <v>-95.349000000000046</v>
      </c>
      <c r="M21" s="15"/>
      <c r="N21" s="15"/>
      <c r="O21" s="15"/>
      <c r="P21" s="15"/>
      <c r="Q21" s="15"/>
      <c r="R21" s="15">
        <v>400</v>
      </c>
      <c r="S21" s="15"/>
      <c r="T21" s="15"/>
      <c r="U21" s="15">
        <v>191.41973870800001</v>
      </c>
      <c r="V21" s="15"/>
      <c r="W21" s="15"/>
      <c r="X21" s="15">
        <f t="shared" si="3"/>
        <v>56.750199999999992</v>
      </c>
      <c r="Y21" s="4"/>
      <c r="Z21" s="15">
        <f t="shared" si="4"/>
        <v>16.775953894576585</v>
      </c>
      <c r="AA21" s="15">
        <f t="shared" si="5"/>
        <v>16.775953894576585</v>
      </c>
      <c r="AB21" s="15">
        <v>79.769800000000004</v>
      </c>
      <c r="AC21" s="15">
        <v>80.206800000000001</v>
      </c>
      <c r="AD21" s="15">
        <v>75.62</v>
      </c>
      <c r="AE21" s="15">
        <v>64.991</v>
      </c>
      <c r="AF21" s="15">
        <v>61.033200000000001</v>
      </c>
      <c r="AG21" s="15">
        <v>58.342399999999998</v>
      </c>
      <c r="AH21" s="15">
        <v>75.671999999999997</v>
      </c>
      <c r="AI21" s="15">
        <v>73.896600000000007</v>
      </c>
      <c r="AJ21" s="15">
        <v>72.609400000000008</v>
      </c>
      <c r="AK21" s="15">
        <v>53.276200000000003</v>
      </c>
      <c r="AL21" s="15"/>
      <c r="AM21" s="15">
        <f t="shared" si="9"/>
        <v>0</v>
      </c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 x14ac:dyDescent="0.25">
      <c r="A22" s="15" t="s">
        <v>65</v>
      </c>
      <c r="B22" s="15" t="s">
        <v>42</v>
      </c>
      <c r="C22" s="15">
        <v>176.727</v>
      </c>
      <c r="D22" s="15">
        <v>6.8949999999999996</v>
      </c>
      <c r="E22" s="15">
        <v>122.788</v>
      </c>
      <c r="F22" s="15">
        <v>57.487000000000002</v>
      </c>
      <c r="G22" s="6">
        <v>1</v>
      </c>
      <c r="H22" s="15">
        <v>70</v>
      </c>
      <c r="I22" s="15" t="s">
        <v>43</v>
      </c>
      <c r="J22" s="15"/>
      <c r="K22" s="15">
        <v>121.3</v>
      </c>
      <c r="L22" s="15">
        <f t="shared" si="2"/>
        <v>1.4879999999999995</v>
      </c>
      <c r="M22" s="15"/>
      <c r="N22" s="15"/>
      <c r="O22" s="15"/>
      <c r="P22" s="15"/>
      <c r="Q22" s="15"/>
      <c r="R22" s="15">
        <v>4</v>
      </c>
      <c r="S22" s="15"/>
      <c r="T22" s="15"/>
      <c r="U22" s="15">
        <v>178.4238</v>
      </c>
      <c r="V22" s="15"/>
      <c r="W22" s="15"/>
      <c r="X22" s="15">
        <f t="shared" si="3"/>
        <v>24.557600000000001</v>
      </c>
      <c r="Y22" s="4">
        <f t="shared" ref="Y22:Y25" si="10">11*X22-W22-V22-U22-T22-S22-R22-P22-O22-F22</f>
        <v>30.222799999999999</v>
      </c>
      <c r="Z22" s="15">
        <f t="shared" si="4"/>
        <v>11</v>
      </c>
      <c r="AA22" s="15">
        <f t="shared" si="5"/>
        <v>9.7693097045313877</v>
      </c>
      <c r="AB22" s="15">
        <v>24.7864</v>
      </c>
      <c r="AC22" s="15">
        <v>16.4818</v>
      </c>
      <c r="AD22" s="15">
        <v>17.9194</v>
      </c>
      <c r="AE22" s="15">
        <v>20.691400000000002</v>
      </c>
      <c r="AF22" s="15">
        <v>19.97</v>
      </c>
      <c r="AG22" s="15">
        <v>26.1326</v>
      </c>
      <c r="AH22" s="15">
        <v>13.5192</v>
      </c>
      <c r="AI22" s="15">
        <v>6.452</v>
      </c>
      <c r="AJ22" s="15">
        <v>17.515000000000001</v>
      </c>
      <c r="AK22" s="15">
        <v>20.354600000000001</v>
      </c>
      <c r="AL22" s="15"/>
      <c r="AM22" s="15">
        <f t="shared" si="9"/>
        <v>30.222799999999999</v>
      </c>
      <c r="AN22" s="15"/>
      <c r="AO22" s="15"/>
      <c r="AP22" s="15"/>
      <c r="AQ22" s="15"/>
      <c r="AR22" s="15"/>
      <c r="AS22" s="15"/>
      <c r="AT22" s="15"/>
      <c r="AU22" s="15"/>
      <c r="AV22" s="15"/>
    </row>
    <row r="23" spans="1:48" x14ac:dyDescent="0.25">
      <c r="A23" s="15" t="s">
        <v>66</v>
      </c>
      <c r="B23" s="15" t="s">
        <v>42</v>
      </c>
      <c r="C23" s="15">
        <v>27.591999999999999</v>
      </c>
      <c r="D23" s="15">
        <v>145.232</v>
      </c>
      <c r="E23" s="15">
        <v>91.346000000000004</v>
      </c>
      <c r="F23" s="15">
        <v>56.825000000000003</v>
      </c>
      <c r="G23" s="6">
        <v>1</v>
      </c>
      <c r="H23" s="15">
        <v>70</v>
      </c>
      <c r="I23" s="9" t="s">
        <v>54</v>
      </c>
      <c r="J23" s="15"/>
      <c r="K23" s="15">
        <v>214.1</v>
      </c>
      <c r="L23" s="15">
        <f t="shared" si="2"/>
        <v>-122.75399999999999</v>
      </c>
      <c r="M23" s="15"/>
      <c r="N23" s="15"/>
      <c r="O23" s="15"/>
      <c r="P23" s="15"/>
      <c r="Q23" s="15"/>
      <c r="R23" s="15">
        <v>180</v>
      </c>
      <c r="S23" s="15"/>
      <c r="T23" s="15"/>
      <c r="U23" s="15">
        <v>100</v>
      </c>
      <c r="V23" s="15"/>
      <c r="W23" s="15"/>
      <c r="X23" s="15">
        <f t="shared" si="3"/>
        <v>18.269200000000001</v>
      </c>
      <c r="Y23" s="4"/>
      <c r="Z23" s="15">
        <f t="shared" si="4"/>
        <v>18.43676789350382</v>
      </c>
      <c r="AA23" s="15">
        <f t="shared" si="5"/>
        <v>18.43676789350382</v>
      </c>
      <c r="AB23" s="15">
        <v>21.5534</v>
      </c>
      <c r="AC23" s="15">
        <v>26.809000000000001</v>
      </c>
      <c r="AD23" s="15">
        <v>31.9404</v>
      </c>
      <c r="AE23" s="15">
        <v>32.387</v>
      </c>
      <c r="AF23" s="15">
        <v>26.2134</v>
      </c>
      <c r="AG23" s="15">
        <v>29.136800000000001</v>
      </c>
      <c r="AH23" s="15">
        <v>41.977400000000003</v>
      </c>
      <c r="AI23" s="15">
        <v>38.621600000000001</v>
      </c>
      <c r="AJ23" s="15">
        <v>36.080399999999997</v>
      </c>
      <c r="AK23" s="15">
        <v>27.281199999999998</v>
      </c>
      <c r="AL23" s="15" t="s">
        <v>67</v>
      </c>
      <c r="AM23" s="15">
        <f t="shared" si="9"/>
        <v>0</v>
      </c>
      <c r="AN23" s="15"/>
      <c r="AO23" s="15"/>
      <c r="AP23" s="15"/>
      <c r="AQ23" s="15"/>
      <c r="AR23" s="15"/>
      <c r="AS23" s="15"/>
      <c r="AT23" s="15"/>
      <c r="AU23" s="15"/>
      <c r="AV23" s="15"/>
    </row>
    <row r="24" spans="1:48" x14ac:dyDescent="0.25">
      <c r="A24" s="15" t="s">
        <v>68</v>
      </c>
      <c r="B24" s="15" t="s">
        <v>42</v>
      </c>
      <c r="C24" s="15">
        <v>37.515999999999998</v>
      </c>
      <c r="D24" s="15">
        <v>54.225999999999999</v>
      </c>
      <c r="E24" s="15">
        <v>33.682000000000002</v>
      </c>
      <c r="F24" s="15">
        <v>56.334000000000003</v>
      </c>
      <c r="G24" s="6">
        <v>1</v>
      </c>
      <c r="H24" s="15">
        <v>180</v>
      </c>
      <c r="I24" s="15" t="s">
        <v>43</v>
      </c>
      <c r="J24" s="15"/>
      <c r="K24" s="15">
        <v>33.479999999999997</v>
      </c>
      <c r="L24" s="15">
        <f t="shared" si="2"/>
        <v>0.20200000000000529</v>
      </c>
      <c r="M24" s="15"/>
      <c r="N24" s="15"/>
      <c r="O24" s="15"/>
      <c r="P24" s="15"/>
      <c r="Q24" s="15"/>
      <c r="R24" s="15">
        <v>0</v>
      </c>
      <c r="S24" s="15"/>
      <c r="T24" s="15"/>
      <c r="U24" s="15">
        <v>35.346600000000002</v>
      </c>
      <c r="V24" s="15"/>
      <c r="W24" s="15"/>
      <c r="X24" s="15">
        <f t="shared" si="3"/>
        <v>6.7364000000000006</v>
      </c>
      <c r="Y24" s="4"/>
      <c r="Z24" s="15">
        <f t="shared" si="4"/>
        <v>13.609732201175701</v>
      </c>
      <c r="AA24" s="15">
        <f t="shared" si="5"/>
        <v>13.609732201175701</v>
      </c>
      <c r="AB24" s="15">
        <v>8.1237999999999992</v>
      </c>
      <c r="AC24" s="15">
        <v>7.3412000000000006</v>
      </c>
      <c r="AD24" s="15">
        <v>7.2737999999999996</v>
      </c>
      <c r="AE24" s="15">
        <v>6.770999999999999</v>
      </c>
      <c r="AF24" s="15">
        <v>5.3578000000000001</v>
      </c>
      <c r="AG24" s="15">
        <v>2.327</v>
      </c>
      <c r="AH24" s="15">
        <v>0.27739999999999998</v>
      </c>
      <c r="AI24" s="15">
        <v>1.9434</v>
      </c>
      <c r="AJ24" s="15">
        <v>9.5144000000000002</v>
      </c>
      <c r="AK24" s="15">
        <v>7.9891999999999994</v>
      </c>
      <c r="AL24" s="15"/>
      <c r="AM24" s="15">
        <f t="shared" si="9"/>
        <v>0</v>
      </c>
      <c r="AN24" s="15"/>
      <c r="AO24" s="15"/>
      <c r="AP24" s="15"/>
      <c r="AQ24" s="15"/>
      <c r="AR24" s="15"/>
      <c r="AS24" s="15"/>
      <c r="AT24" s="15"/>
      <c r="AU24" s="15"/>
      <c r="AV24" s="15"/>
    </row>
    <row r="25" spans="1:48" x14ac:dyDescent="0.25">
      <c r="A25" s="15" t="s">
        <v>69</v>
      </c>
      <c r="B25" s="15" t="s">
        <v>42</v>
      </c>
      <c r="C25" s="15">
        <v>255.923</v>
      </c>
      <c r="D25" s="15">
        <v>162.78899999999999</v>
      </c>
      <c r="E25" s="15">
        <v>254.39</v>
      </c>
      <c r="F25" s="15">
        <v>157.01599999999999</v>
      </c>
      <c r="G25" s="6">
        <v>1</v>
      </c>
      <c r="H25" s="15">
        <v>70</v>
      </c>
      <c r="I25" s="9" t="s">
        <v>54</v>
      </c>
      <c r="J25" s="15"/>
      <c r="K25" s="15">
        <v>237.1</v>
      </c>
      <c r="L25" s="15">
        <f t="shared" si="2"/>
        <v>17.289999999999992</v>
      </c>
      <c r="M25" s="15"/>
      <c r="N25" s="15"/>
      <c r="O25" s="15"/>
      <c r="P25" s="15"/>
      <c r="Q25" s="15"/>
      <c r="R25" s="15">
        <v>100</v>
      </c>
      <c r="S25" s="15"/>
      <c r="T25" s="15"/>
      <c r="U25" s="15">
        <v>100</v>
      </c>
      <c r="V25" s="15"/>
      <c r="W25" s="15"/>
      <c r="X25" s="15">
        <f t="shared" si="3"/>
        <v>50.878</v>
      </c>
      <c r="Y25" s="4">
        <f t="shared" si="10"/>
        <v>202.64200000000002</v>
      </c>
      <c r="Z25" s="15">
        <f t="shared" si="4"/>
        <v>11</v>
      </c>
      <c r="AA25" s="15">
        <f t="shared" si="5"/>
        <v>7.017099728762922</v>
      </c>
      <c r="AB25" s="15">
        <v>32.047199999999997</v>
      </c>
      <c r="AC25" s="15">
        <v>25.897600000000001</v>
      </c>
      <c r="AD25" s="15">
        <v>37.567</v>
      </c>
      <c r="AE25" s="15">
        <v>37.298999999999999</v>
      </c>
      <c r="AF25" s="15">
        <v>36.141000000000012</v>
      </c>
      <c r="AG25" s="15">
        <v>39.828000000000003</v>
      </c>
      <c r="AH25" s="15">
        <v>44.405000000000001</v>
      </c>
      <c r="AI25" s="15">
        <v>38.7042</v>
      </c>
      <c r="AJ25" s="15">
        <v>38.443199999999997</v>
      </c>
      <c r="AK25" s="15">
        <v>28.137799999999999</v>
      </c>
      <c r="AL25" s="15" t="s">
        <v>67</v>
      </c>
      <c r="AM25" s="15">
        <f t="shared" si="9"/>
        <v>202.64200000000002</v>
      </c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 x14ac:dyDescent="0.25">
      <c r="A26" s="11" t="s">
        <v>70</v>
      </c>
      <c r="B26" s="11" t="s">
        <v>42</v>
      </c>
      <c r="C26" s="11"/>
      <c r="D26" s="11"/>
      <c r="E26" s="11"/>
      <c r="F26" s="11"/>
      <c r="G26" s="12">
        <v>0</v>
      </c>
      <c r="H26" s="11"/>
      <c r="I26" s="11" t="s">
        <v>43</v>
      </c>
      <c r="J26" s="11"/>
      <c r="K26" s="11">
        <v>0.7</v>
      </c>
      <c r="L26" s="11">
        <f t="shared" si="2"/>
        <v>-0.7</v>
      </c>
      <c r="M26" s="11"/>
      <c r="N26" s="11"/>
      <c r="O26" s="11"/>
      <c r="P26" s="11"/>
      <c r="Q26" s="11"/>
      <c r="R26" s="11">
        <v>0</v>
      </c>
      <c r="S26" s="11"/>
      <c r="T26" s="11"/>
      <c r="U26" s="11">
        <v>0</v>
      </c>
      <c r="V26" s="11"/>
      <c r="W26" s="11"/>
      <c r="X26" s="11">
        <f t="shared" si="3"/>
        <v>0</v>
      </c>
      <c r="Y26" s="13"/>
      <c r="Z26" s="11" t="e">
        <f t="shared" si="4"/>
        <v>#DIV/0!</v>
      </c>
      <c r="AA26" s="11" t="e">
        <f t="shared" si="5"/>
        <v>#DIV/0!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 t="s">
        <v>48</v>
      </c>
      <c r="AM26" s="11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x14ac:dyDescent="0.25">
      <c r="A27" s="15" t="s">
        <v>71</v>
      </c>
      <c r="B27" s="15" t="s">
        <v>42</v>
      </c>
      <c r="C27" s="15">
        <v>101.83199999999999</v>
      </c>
      <c r="D27" s="15">
        <v>155.608</v>
      </c>
      <c r="E27" s="15">
        <v>91.296000000000006</v>
      </c>
      <c r="F27" s="15">
        <v>163.29300000000001</v>
      </c>
      <c r="G27" s="6">
        <v>1</v>
      </c>
      <c r="H27" s="15"/>
      <c r="I27" s="9" t="s">
        <v>54</v>
      </c>
      <c r="J27" s="15"/>
      <c r="K27" s="15">
        <v>98.3</v>
      </c>
      <c r="L27" s="15">
        <f t="shared" si="2"/>
        <v>-7.0039999999999907</v>
      </c>
      <c r="M27" s="15"/>
      <c r="N27" s="15"/>
      <c r="O27" s="15"/>
      <c r="P27" s="15"/>
      <c r="Q27" s="15"/>
      <c r="R27" s="15">
        <v>0</v>
      </c>
      <c r="S27" s="15"/>
      <c r="T27" s="15"/>
      <c r="U27" s="15">
        <v>20</v>
      </c>
      <c r="V27" s="15"/>
      <c r="W27" s="15"/>
      <c r="X27" s="15">
        <f t="shared" si="3"/>
        <v>18.2592</v>
      </c>
      <c r="Y27" s="4">
        <f t="shared" ref="Y27:Y31" si="11">11*X27-W27-V27-U27-T27-S27-R27-P27-O27-F27</f>
        <v>17.558199999999999</v>
      </c>
      <c r="Z27" s="15">
        <f t="shared" si="4"/>
        <v>11</v>
      </c>
      <c r="AA27" s="15">
        <f t="shared" si="5"/>
        <v>10.038391605327726</v>
      </c>
      <c r="AB27" s="15">
        <v>16.141200000000001</v>
      </c>
      <c r="AC27" s="15">
        <v>2.0912000000000002</v>
      </c>
      <c r="AD27" s="15">
        <v>5.1159999999999997</v>
      </c>
      <c r="AE27" s="15">
        <v>17.8748</v>
      </c>
      <c r="AF27" s="15">
        <v>40.319000000000003</v>
      </c>
      <c r="AG27" s="15">
        <v>42.488399999999999</v>
      </c>
      <c r="AH27" s="15">
        <v>14.019600000000001</v>
      </c>
      <c r="AI27" s="15">
        <v>0.69540000000000002</v>
      </c>
      <c r="AJ27" s="15">
        <v>3.7128000000000001</v>
      </c>
      <c r="AK27" s="15">
        <v>7.3063999999999991</v>
      </c>
      <c r="AL27" s="15"/>
      <c r="AM27" s="15">
        <f t="shared" ref="AM27:AM33" si="12">G27*Y27</f>
        <v>17.558199999999999</v>
      </c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 x14ac:dyDescent="0.25">
      <c r="A28" s="15" t="s">
        <v>72</v>
      </c>
      <c r="B28" s="15" t="s">
        <v>42</v>
      </c>
      <c r="C28" s="15">
        <v>-2.5000000000000001E-2</v>
      </c>
      <c r="D28" s="15">
        <v>89.381</v>
      </c>
      <c r="E28" s="15">
        <v>44.853999999999999</v>
      </c>
      <c r="F28" s="15">
        <v>44.502000000000002</v>
      </c>
      <c r="G28" s="6">
        <v>1</v>
      </c>
      <c r="H28" s="15">
        <v>40</v>
      </c>
      <c r="I28" s="9" t="s">
        <v>54</v>
      </c>
      <c r="J28" s="15"/>
      <c r="K28" s="15">
        <v>78.7</v>
      </c>
      <c r="L28" s="15">
        <f t="shared" si="2"/>
        <v>-33.846000000000004</v>
      </c>
      <c r="M28" s="15"/>
      <c r="N28" s="15"/>
      <c r="O28" s="15"/>
      <c r="P28" s="15"/>
      <c r="Q28" s="15"/>
      <c r="R28" s="15">
        <v>50</v>
      </c>
      <c r="S28" s="15"/>
      <c r="T28" s="15"/>
      <c r="U28" s="15">
        <v>0</v>
      </c>
      <c r="V28" s="15"/>
      <c r="W28" s="15"/>
      <c r="X28" s="15">
        <f t="shared" si="3"/>
        <v>8.9708000000000006</v>
      </c>
      <c r="Y28" s="4">
        <v>30</v>
      </c>
      <c r="Z28" s="15">
        <f t="shared" si="4"/>
        <v>13.878583849823872</v>
      </c>
      <c r="AA28" s="15">
        <f t="shared" si="5"/>
        <v>10.534400499398048</v>
      </c>
      <c r="AB28" s="15">
        <v>-0.30919999999999997</v>
      </c>
      <c r="AC28" s="15">
        <v>-0.6</v>
      </c>
      <c r="AD28" s="15">
        <v>-0.49919999999999998</v>
      </c>
      <c r="AE28" s="15">
        <v>-0.2084</v>
      </c>
      <c r="AF28" s="15">
        <v>-0.311</v>
      </c>
      <c r="AG28" s="15">
        <v>-0.96479999999999999</v>
      </c>
      <c r="AH28" s="15">
        <v>-1.163</v>
      </c>
      <c r="AI28" s="15">
        <v>-0.50919999999999999</v>
      </c>
      <c r="AJ28" s="15">
        <v>-0.21679999999999999</v>
      </c>
      <c r="AK28" s="15">
        <v>-0.21679999999999999</v>
      </c>
      <c r="AL28" s="15"/>
      <c r="AM28" s="15">
        <f t="shared" si="12"/>
        <v>30</v>
      </c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x14ac:dyDescent="0.25">
      <c r="A29" s="15" t="s">
        <v>73</v>
      </c>
      <c r="B29" s="15" t="s">
        <v>42</v>
      </c>
      <c r="C29" s="15">
        <v>165.03700000000001</v>
      </c>
      <c r="D29" s="15">
        <v>124.81399999999999</v>
      </c>
      <c r="E29" s="15">
        <v>197.697</v>
      </c>
      <c r="F29" s="15">
        <v>25.741</v>
      </c>
      <c r="G29" s="6">
        <v>1</v>
      </c>
      <c r="H29" s="15">
        <v>30</v>
      </c>
      <c r="I29" s="9" t="s">
        <v>54</v>
      </c>
      <c r="J29" s="15"/>
      <c r="K29" s="15">
        <v>352.8</v>
      </c>
      <c r="L29" s="15">
        <f t="shared" si="2"/>
        <v>-155.10300000000001</v>
      </c>
      <c r="M29" s="15"/>
      <c r="N29" s="15"/>
      <c r="O29" s="15"/>
      <c r="P29" s="15"/>
      <c r="Q29" s="15"/>
      <c r="R29" s="15">
        <v>50</v>
      </c>
      <c r="S29" s="15"/>
      <c r="T29" s="15"/>
      <c r="U29" s="15">
        <v>300</v>
      </c>
      <c r="V29" s="15"/>
      <c r="W29" s="15"/>
      <c r="X29" s="15">
        <f t="shared" si="3"/>
        <v>39.539400000000001</v>
      </c>
      <c r="Y29" s="4">
        <v>200</v>
      </c>
      <c r="Z29" s="15">
        <f t="shared" si="4"/>
        <v>14.561197185592093</v>
      </c>
      <c r="AA29" s="15">
        <f t="shared" si="5"/>
        <v>9.5029514863654985</v>
      </c>
      <c r="AB29" s="15">
        <v>40.031599999999997</v>
      </c>
      <c r="AC29" s="15">
        <v>22.977399999999999</v>
      </c>
      <c r="AD29" s="15">
        <v>27.055800000000001</v>
      </c>
      <c r="AE29" s="15">
        <v>48.028799999999997</v>
      </c>
      <c r="AF29" s="15">
        <v>31.125599999999999</v>
      </c>
      <c r="AG29" s="15">
        <v>27.609400000000001</v>
      </c>
      <c r="AH29" s="15">
        <v>42.514200000000002</v>
      </c>
      <c r="AI29" s="15">
        <v>44.266199999999998</v>
      </c>
      <c r="AJ29" s="15">
        <v>41.836200000000012</v>
      </c>
      <c r="AK29" s="15">
        <v>28.0486</v>
      </c>
      <c r="AL29" s="10" t="s">
        <v>51</v>
      </c>
      <c r="AM29" s="15">
        <f t="shared" si="12"/>
        <v>200</v>
      </c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 x14ac:dyDescent="0.25">
      <c r="A30" s="15" t="s">
        <v>74</v>
      </c>
      <c r="B30" s="15" t="s">
        <v>42</v>
      </c>
      <c r="C30" s="15">
        <v>102.66800000000001</v>
      </c>
      <c r="D30" s="15">
        <v>218.63900000000001</v>
      </c>
      <c r="E30" s="15">
        <v>328.03300000000002</v>
      </c>
      <c r="F30" s="15">
        <v>-0.36799999999999999</v>
      </c>
      <c r="G30" s="6">
        <v>1</v>
      </c>
      <c r="H30" s="15">
        <v>40</v>
      </c>
      <c r="I30" s="9" t="s">
        <v>54</v>
      </c>
      <c r="J30" s="15"/>
      <c r="K30" s="15">
        <v>513.1</v>
      </c>
      <c r="L30" s="15">
        <f t="shared" si="2"/>
        <v>-185.06700000000001</v>
      </c>
      <c r="M30" s="15"/>
      <c r="N30" s="15"/>
      <c r="O30" s="15"/>
      <c r="P30" s="15"/>
      <c r="Q30" s="15"/>
      <c r="R30" s="15">
        <v>700</v>
      </c>
      <c r="S30" s="15"/>
      <c r="T30" s="15"/>
      <c r="U30" s="15">
        <v>600</v>
      </c>
      <c r="V30" s="15"/>
      <c r="W30" s="15"/>
      <c r="X30" s="15">
        <f t="shared" si="3"/>
        <v>65.6066</v>
      </c>
      <c r="Y30" s="4">
        <v>100</v>
      </c>
      <c r="Z30" s="15">
        <f t="shared" si="4"/>
        <v>21.333707279450543</v>
      </c>
      <c r="AA30" s="15">
        <f t="shared" si="5"/>
        <v>19.809470388649924</v>
      </c>
      <c r="AB30" s="15">
        <v>148.5498</v>
      </c>
      <c r="AC30" s="15">
        <v>181.39400000000001</v>
      </c>
      <c r="AD30" s="15">
        <v>103.46299999999999</v>
      </c>
      <c r="AE30" s="15">
        <v>27.103999999999999</v>
      </c>
      <c r="AF30" s="15">
        <v>-0.1542</v>
      </c>
      <c r="AG30" s="15">
        <v>-1.585</v>
      </c>
      <c r="AH30" s="15">
        <v>-2.5497999999999998</v>
      </c>
      <c r="AI30" s="15">
        <v>-1.9388000000000001</v>
      </c>
      <c r="AJ30" s="15">
        <v>2.0426000000000002</v>
      </c>
      <c r="AK30" s="15">
        <v>72.69919999999999</v>
      </c>
      <c r="AL30" s="10" t="s">
        <v>51</v>
      </c>
      <c r="AM30" s="15">
        <f t="shared" si="12"/>
        <v>100</v>
      </c>
      <c r="AN30" s="15"/>
      <c r="AO30" s="15"/>
      <c r="AP30" s="15"/>
      <c r="AQ30" s="15"/>
      <c r="AR30" s="15"/>
      <c r="AS30" s="15"/>
      <c r="AT30" s="15"/>
      <c r="AU30" s="15"/>
      <c r="AV30" s="15"/>
    </row>
    <row r="31" spans="1:48" x14ac:dyDescent="0.25">
      <c r="A31" s="15" t="s">
        <v>75</v>
      </c>
      <c r="B31" s="15" t="s">
        <v>42</v>
      </c>
      <c r="C31" s="15">
        <v>20.352</v>
      </c>
      <c r="D31" s="15">
        <v>18.847999999999999</v>
      </c>
      <c r="E31" s="15">
        <v>28.632000000000001</v>
      </c>
      <c r="F31" s="15">
        <v>4.3479999999999999</v>
      </c>
      <c r="G31" s="6">
        <v>1</v>
      </c>
      <c r="H31" s="15">
        <v>40</v>
      </c>
      <c r="I31" s="9" t="s">
        <v>54</v>
      </c>
      <c r="J31" s="15"/>
      <c r="K31" s="15">
        <v>31.4</v>
      </c>
      <c r="L31" s="15">
        <f t="shared" si="2"/>
        <v>-2.7679999999999971</v>
      </c>
      <c r="M31" s="15"/>
      <c r="N31" s="15"/>
      <c r="O31" s="15"/>
      <c r="P31" s="15"/>
      <c r="Q31" s="15"/>
      <c r="R31" s="15">
        <v>0</v>
      </c>
      <c r="S31" s="15"/>
      <c r="T31" s="15"/>
      <c r="U31" s="15">
        <v>20</v>
      </c>
      <c r="V31" s="15"/>
      <c r="W31" s="15"/>
      <c r="X31" s="15">
        <f t="shared" si="3"/>
        <v>5.7263999999999999</v>
      </c>
      <c r="Y31" s="4">
        <f t="shared" si="11"/>
        <v>38.642400000000002</v>
      </c>
      <c r="Z31" s="15">
        <f t="shared" si="4"/>
        <v>11</v>
      </c>
      <c r="AA31" s="15">
        <f t="shared" si="5"/>
        <v>4.2518860016764455</v>
      </c>
      <c r="AB31" s="15">
        <v>3.5457999999999998</v>
      </c>
      <c r="AC31" s="15">
        <v>2.9331999999999998</v>
      </c>
      <c r="AD31" s="15">
        <v>2.6417999999999999</v>
      </c>
      <c r="AE31" s="15">
        <v>0</v>
      </c>
      <c r="AF31" s="15">
        <v>0</v>
      </c>
      <c r="AG31" s="15">
        <v>0</v>
      </c>
      <c r="AH31" s="15">
        <v>0.48099999999999998</v>
      </c>
      <c r="AI31" s="15">
        <v>1.6794</v>
      </c>
      <c r="AJ31" s="15">
        <v>6.8876000000000008</v>
      </c>
      <c r="AK31" s="15">
        <v>7.1876000000000007</v>
      </c>
      <c r="AL31" s="15"/>
      <c r="AM31" s="15">
        <f t="shared" si="12"/>
        <v>38.642400000000002</v>
      </c>
      <c r="AN31" s="15"/>
      <c r="AO31" s="15"/>
      <c r="AP31" s="15"/>
      <c r="AQ31" s="15"/>
      <c r="AR31" s="15"/>
      <c r="AS31" s="15"/>
      <c r="AT31" s="15"/>
      <c r="AU31" s="15"/>
      <c r="AV31" s="15"/>
    </row>
    <row r="32" spans="1:48" x14ac:dyDescent="0.25">
      <c r="A32" s="15" t="s">
        <v>76</v>
      </c>
      <c r="B32" s="15" t="s">
        <v>42</v>
      </c>
      <c r="C32" s="15">
        <v>98.048000000000002</v>
      </c>
      <c r="D32" s="15">
        <v>10.077</v>
      </c>
      <c r="E32" s="15">
        <v>38.61</v>
      </c>
      <c r="F32" s="15">
        <v>56.988999999999997</v>
      </c>
      <c r="G32" s="6">
        <v>1</v>
      </c>
      <c r="H32" s="15">
        <v>30</v>
      </c>
      <c r="I32" s="15" t="s">
        <v>43</v>
      </c>
      <c r="J32" s="15"/>
      <c r="K32" s="15">
        <v>73.099999999999994</v>
      </c>
      <c r="L32" s="15">
        <f t="shared" si="2"/>
        <v>-34.489999999999995</v>
      </c>
      <c r="M32" s="15"/>
      <c r="N32" s="15"/>
      <c r="O32" s="15"/>
      <c r="P32" s="15"/>
      <c r="Q32" s="15"/>
      <c r="R32" s="15">
        <v>114.31780000000001</v>
      </c>
      <c r="S32" s="15"/>
      <c r="T32" s="15"/>
      <c r="U32" s="15">
        <v>82.062800000000038</v>
      </c>
      <c r="V32" s="15"/>
      <c r="W32" s="15"/>
      <c r="X32" s="15">
        <f t="shared" si="3"/>
        <v>7.7219999999999995</v>
      </c>
      <c r="Y32" s="4"/>
      <c r="Z32" s="15">
        <f t="shared" si="4"/>
        <v>32.81139601139602</v>
      </c>
      <c r="AA32" s="15">
        <f t="shared" si="5"/>
        <v>32.81139601139602</v>
      </c>
      <c r="AB32" s="15">
        <v>20.628799999999998</v>
      </c>
      <c r="AC32" s="15">
        <v>19.175799999999999</v>
      </c>
      <c r="AD32" s="15">
        <v>5.3548</v>
      </c>
      <c r="AE32" s="15">
        <v>3.99</v>
      </c>
      <c r="AF32" s="15">
        <v>15.735799999999999</v>
      </c>
      <c r="AG32" s="15">
        <v>19.2578</v>
      </c>
      <c r="AH32" s="15">
        <v>9.5378000000000007</v>
      </c>
      <c r="AI32" s="15">
        <v>4.1444000000000001</v>
      </c>
      <c r="AJ32" s="15">
        <v>12.799799999999999</v>
      </c>
      <c r="AK32" s="15">
        <v>20.229199999999999</v>
      </c>
      <c r="AL32" s="18" t="s">
        <v>186</v>
      </c>
      <c r="AM32" s="15">
        <f t="shared" si="12"/>
        <v>0</v>
      </c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 x14ac:dyDescent="0.25">
      <c r="A33" s="15" t="s">
        <v>77</v>
      </c>
      <c r="B33" s="15" t="s">
        <v>42</v>
      </c>
      <c r="C33" s="15">
        <v>116.199</v>
      </c>
      <c r="D33" s="15">
        <v>21.896000000000001</v>
      </c>
      <c r="E33" s="15">
        <v>109.306</v>
      </c>
      <c r="F33" s="15">
        <v>3.2759999999999998</v>
      </c>
      <c r="G33" s="6">
        <v>1</v>
      </c>
      <c r="H33" s="15">
        <v>50</v>
      </c>
      <c r="I33" s="9" t="s">
        <v>54</v>
      </c>
      <c r="J33" s="15"/>
      <c r="K33" s="15">
        <v>146.4</v>
      </c>
      <c r="L33" s="15">
        <f t="shared" si="2"/>
        <v>-37.094000000000008</v>
      </c>
      <c r="M33" s="15"/>
      <c r="N33" s="15"/>
      <c r="O33" s="15"/>
      <c r="P33" s="15"/>
      <c r="Q33" s="15"/>
      <c r="R33" s="15">
        <v>20</v>
      </c>
      <c r="S33" s="15"/>
      <c r="T33" s="15"/>
      <c r="U33" s="15">
        <v>160</v>
      </c>
      <c r="V33" s="15">
        <v>-127</v>
      </c>
      <c r="W33" s="15"/>
      <c r="X33" s="15">
        <f t="shared" si="3"/>
        <v>21.8612</v>
      </c>
      <c r="Y33" s="4">
        <v>150</v>
      </c>
      <c r="Z33" s="15">
        <f t="shared" si="4"/>
        <v>9.4357125866832572</v>
      </c>
      <c r="AA33" s="15">
        <f t="shared" si="5"/>
        <v>2.5742411212559242</v>
      </c>
      <c r="AB33" s="15">
        <v>24.236000000000001</v>
      </c>
      <c r="AC33" s="15">
        <v>10.8574</v>
      </c>
      <c r="AD33" s="15">
        <v>12.3216</v>
      </c>
      <c r="AE33" s="15">
        <v>5.9024000000000001</v>
      </c>
      <c r="AF33" s="15">
        <v>2.0255999999999998</v>
      </c>
      <c r="AG33" s="15">
        <v>11.801600000000001</v>
      </c>
      <c r="AH33" s="15">
        <v>21.644400000000001</v>
      </c>
      <c r="AI33" s="15">
        <v>16.348800000000001</v>
      </c>
      <c r="AJ33" s="15">
        <v>13.0716</v>
      </c>
      <c r="AK33" s="15">
        <v>12.183</v>
      </c>
      <c r="AL33" s="15" t="s">
        <v>67</v>
      </c>
      <c r="AM33" s="15">
        <f t="shared" si="12"/>
        <v>150</v>
      </c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 x14ac:dyDescent="0.25">
      <c r="A34" s="14" t="s">
        <v>78</v>
      </c>
      <c r="B34" s="11" t="s">
        <v>42</v>
      </c>
      <c r="C34" s="11"/>
      <c r="D34" s="11"/>
      <c r="E34" s="11">
        <v>2.7559999999999998</v>
      </c>
      <c r="F34" s="11">
        <v>-2.7559999999999998</v>
      </c>
      <c r="G34" s="12">
        <v>0</v>
      </c>
      <c r="H34" s="11"/>
      <c r="I34" s="14" t="s">
        <v>79</v>
      </c>
      <c r="J34" s="11"/>
      <c r="K34" s="11">
        <v>6.3</v>
      </c>
      <c r="L34" s="11">
        <f t="shared" si="2"/>
        <v>-3.544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>
        <f t="shared" si="3"/>
        <v>0.55119999999999991</v>
      </c>
      <c r="Y34" s="13"/>
      <c r="Z34" s="11">
        <f t="shared" si="4"/>
        <v>-5</v>
      </c>
      <c r="AA34" s="11">
        <f t="shared" si="5"/>
        <v>-5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/>
      <c r="AM34" s="11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1:48" x14ac:dyDescent="0.25">
      <c r="A35" s="15" t="s">
        <v>80</v>
      </c>
      <c r="B35" s="15" t="s">
        <v>42</v>
      </c>
      <c r="C35" s="15">
        <v>42.704999999999998</v>
      </c>
      <c r="D35" s="15">
        <v>174.99299999999999</v>
      </c>
      <c r="E35" s="15">
        <v>49.319000000000003</v>
      </c>
      <c r="F35" s="15">
        <v>136.65799999999999</v>
      </c>
      <c r="G35" s="6">
        <v>1</v>
      </c>
      <c r="H35" s="15">
        <v>50</v>
      </c>
      <c r="I35" s="9" t="s">
        <v>54</v>
      </c>
      <c r="J35" s="15"/>
      <c r="K35" s="15">
        <v>106.9</v>
      </c>
      <c r="L35" s="15">
        <f t="shared" si="2"/>
        <v>-57.581000000000003</v>
      </c>
      <c r="M35" s="15"/>
      <c r="N35" s="15"/>
      <c r="O35" s="15"/>
      <c r="P35" s="15"/>
      <c r="Q35" s="15"/>
      <c r="R35" s="15">
        <v>100</v>
      </c>
      <c r="S35" s="15">
        <v>-102.6</v>
      </c>
      <c r="T35" s="15"/>
      <c r="U35" s="15">
        <v>55.375800000000027</v>
      </c>
      <c r="V35" s="15">
        <v>-59.4</v>
      </c>
      <c r="W35" s="15"/>
      <c r="X35" s="15">
        <f t="shared" si="3"/>
        <v>9.8638000000000012</v>
      </c>
      <c r="Y35" s="4">
        <v>60</v>
      </c>
      <c r="Z35" s="15">
        <f t="shared" si="4"/>
        <v>19.265779922545061</v>
      </c>
      <c r="AA35" s="15">
        <f t="shared" si="5"/>
        <v>13.182931527403232</v>
      </c>
      <c r="AB35" s="15">
        <v>26.817399999999999</v>
      </c>
      <c r="AC35" s="15">
        <v>26.715599999999998</v>
      </c>
      <c r="AD35" s="15">
        <v>23.43</v>
      </c>
      <c r="AE35" s="15">
        <v>7.003400000000001</v>
      </c>
      <c r="AF35" s="15">
        <v>13.5762</v>
      </c>
      <c r="AG35" s="15">
        <v>20.1646</v>
      </c>
      <c r="AH35" s="15">
        <v>12.2386</v>
      </c>
      <c r="AI35" s="15">
        <v>7.5937999999999999</v>
      </c>
      <c r="AJ35" s="15">
        <v>11.585599999999999</v>
      </c>
      <c r="AK35" s="15">
        <v>11.974</v>
      </c>
      <c r="AL35" s="15"/>
      <c r="AM35" s="15">
        <f t="shared" ref="AM35:AM43" si="13">G35*Y35</f>
        <v>60</v>
      </c>
      <c r="AN35" s="15"/>
      <c r="AO35" s="15"/>
      <c r="AP35" s="15"/>
      <c r="AQ35" s="15"/>
      <c r="AR35" s="15"/>
      <c r="AS35" s="15"/>
      <c r="AT35" s="15"/>
      <c r="AU35" s="15"/>
      <c r="AV35" s="15"/>
    </row>
    <row r="36" spans="1:48" x14ac:dyDescent="0.25">
      <c r="A36" s="15" t="s">
        <v>81</v>
      </c>
      <c r="B36" s="15" t="s">
        <v>47</v>
      </c>
      <c r="C36" s="15">
        <v>449.505</v>
      </c>
      <c r="D36" s="15">
        <v>600</v>
      </c>
      <c r="E36" s="15">
        <v>448</v>
      </c>
      <c r="F36" s="15">
        <v>565.505</v>
      </c>
      <c r="G36" s="6">
        <v>0.4</v>
      </c>
      <c r="H36" s="15">
        <v>45</v>
      </c>
      <c r="I36" s="9" t="s">
        <v>54</v>
      </c>
      <c r="J36" s="15"/>
      <c r="K36" s="15">
        <v>1671</v>
      </c>
      <c r="L36" s="15">
        <f t="shared" si="2"/>
        <v>-1223</v>
      </c>
      <c r="M36" s="15"/>
      <c r="N36" s="15"/>
      <c r="O36" s="15"/>
      <c r="P36" s="15">
        <v>-402</v>
      </c>
      <c r="Q36" s="15"/>
      <c r="R36" s="15">
        <v>600</v>
      </c>
      <c r="S36" s="15"/>
      <c r="T36" s="15"/>
      <c r="U36" s="15">
        <v>1000</v>
      </c>
      <c r="V36" s="15"/>
      <c r="W36" s="15"/>
      <c r="X36" s="15">
        <f t="shared" si="3"/>
        <v>89.6</v>
      </c>
      <c r="Y36" s="4">
        <v>400</v>
      </c>
      <c r="Z36" s="15">
        <f t="shared" si="4"/>
        <v>24.146261160714289</v>
      </c>
      <c r="AA36" s="15">
        <f t="shared" si="5"/>
        <v>19.681975446428574</v>
      </c>
      <c r="AB36" s="15">
        <v>12.8</v>
      </c>
      <c r="AC36" s="15">
        <v>15.2</v>
      </c>
      <c r="AD36" s="15">
        <v>168.4</v>
      </c>
      <c r="AE36" s="15">
        <v>297.2</v>
      </c>
      <c r="AF36" s="15">
        <v>169.4</v>
      </c>
      <c r="AG36" s="15">
        <v>158.80000000000001</v>
      </c>
      <c r="AH36" s="15">
        <v>244.8</v>
      </c>
      <c r="AI36" s="15">
        <v>275.8</v>
      </c>
      <c r="AJ36" s="15">
        <v>345</v>
      </c>
      <c r="AK36" s="15">
        <v>296.8</v>
      </c>
      <c r="AL36" s="15" t="s">
        <v>82</v>
      </c>
      <c r="AM36" s="15">
        <f t="shared" si="13"/>
        <v>160</v>
      </c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25">
      <c r="A37" s="15" t="s">
        <v>83</v>
      </c>
      <c r="B37" s="15" t="s">
        <v>47</v>
      </c>
      <c r="C37" s="15">
        <v>294</v>
      </c>
      <c r="D37" s="15">
        <v>290</v>
      </c>
      <c r="E37" s="15">
        <v>302</v>
      </c>
      <c r="F37" s="15">
        <v>272</v>
      </c>
      <c r="G37" s="6">
        <v>0.45</v>
      </c>
      <c r="H37" s="15">
        <v>50</v>
      </c>
      <c r="I37" s="15" t="s">
        <v>43</v>
      </c>
      <c r="J37" s="15"/>
      <c r="K37" s="15">
        <v>314</v>
      </c>
      <c r="L37" s="15">
        <f t="shared" si="2"/>
        <v>-12</v>
      </c>
      <c r="M37" s="15"/>
      <c r="N37" s="15"/>
      <c r="O37" s="15"/>
      <c r="P37" s="15"/>
      <c r="Q37" s="15"/>
      <c r="R37" s="15">
        <v>480</v>
      </c>
      <c r="S37" s="15"/>
      <c r="T37" s="15"/>
      <c r="U37" s="15">
        <v>262.63200000000012</v>
      </c>
      <c r="V37" s="15"/>
      <c r="W37" s="15"/>
      <c r="X37" s="15">
        <f t="shared" si="3"/>
        <v>60.4</v>
      </c>
      <c r="Y37" s="4"/>
      <c r="Z37" s="15">
        <f t="shared" si="4"/>
        <v>16.798543046357619</v>
      </c>
      <c r="AA37" s="15">
        <f t="shared" si="5"/>
        <v>16.798543046357619</v>
      </c>
      <c r="AB37" s="15">
        <v>85.4</v>
      </c>
      <c r="AC37" s="15">
        <v>80.2</v>
      </c>
      <c r="AD37" s="15">
        <v>64.400000000000006</v>
      </c>
      <c r="AE37" s="15">
        <v>40.4</v>
      </c>
      <c r="AF37" s="15">
        <v>47</v>
      </c>
      <c r="AG37" s="15">
        <v>69.400000000000006</v>
      </c>
      <c r="AH37" s="15">
        <v>64</v>
      </c>
      <c r="AI37" s="15">
        <v>59.8</v>
      </c>
      <c r="AJ37" s="15">
        <v>55.6</v>
      </c>
      <c r="AK37" s="15">
        <v>41.6</v>
      </c>
      <c r="AL37" s="15"/>
      <c r="AM37" s="15">
        <f t="shared" si="13"/>
        <v>0</v>
      </c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25">
      <c r="A38" s="15" t="s">
        <v>84</v>
      </c>
      <c r="B38" s="15" t="s">
        <v>47</v>
      </c>
      <c r="C38" s="15">
        <v>150</v>
      </c>
      <c r="D38" s="15">
        <v>211</v>
      </c>
      <c r="E38" s="15">
        <v>282</v>
      </c>
      <c r="F38" s="15">
        <v>60</v>
      </c>
      <c r="G38" s="6">
        <v>0.4</v>
      </c>
      <c r="H38" s="15">
        <v>45</v>
      </c>
      <c r="I38" s="9" t="s">
        <v>54</v>
      </c>
      <c r="J38" s="15"/>
      <c r="K38" s="15">
        <v>444</v>
      </c>
      <c r="L38" s="15">
        <f t="shared" ref="L38:L69" si="14">E38-K38</f>
        <v>-162</v>
      </c>
      <c r="M38" s="15"/>
      <c r="N38" s="15"/>
      <c r="O38" s="15"/>
      <c r="P38" s="15"/>
      <c r="Q38" s="15"/>
      <c r="R38" s="15">
        <v>300</v>
      </c>
      <c r="S38" s="15"/>
      <c r="T38" s="15"/>
      <c r="U38" s="15">
        <v>423.80000000000013</v>
      </c>
      <c r="V38" s="15"/>
      <c r="W38" s="15"/>
      <c r="X38" s="15">
        <f t="shared" ref="X38:X69" si="15">E38/5</f>
        <v>56.4</v>
      </c>
      <c r="Y38" s="4">
        <v>100</v>
      </c>
      <c r="Z38" s="15">
        <f t="shared" ref="Z38:Z69" si="16">(F38+O38+P38+R38+S38+T38+U38+V38+W38+Y38)/X38</f>
        <v>15.67021276595745</v>
      </c>
      <c r="AA38" s="15">
        <f t="shared" ref="AA38:AA69" si="17">(F38+O38+P38+R38+S38+T38+U38+V38+W38)/X38</f>
        <v>13.897163120567379</v>
      </c>
      <c r="AB38" s="15">
        <v>72.400000000000006</v>
      </c>
      <c r="AC38" s="15">
        <v>42.4</v>
      </c>
      <c r="AD38" s="15">
        <v>24.4</v>
      </c>
      <c r="AE38" s="15">
        <v>-0.6</v>
      </c>
      <c r="AF38" s="15">
        <v>0.2</v>
      </c>
      <c r="AG38" s="15">
        <v>60.2</v>
      </c>
      <c r="AH38" s="15">
        <v>66.2</v>
      </c>
      <c r="AI38" s="15">
        <v>45.2</v>
      </c>
      <c r="AJ38" s="15">
        <v>106.8</v>
      </c>
      <c r="AK38" s="15">
        <v>113.8</v>
      </c>
      <c r="AL38" s="15"/>
      <c r="AM38" s="15">
        <f t="shared" si="13"/>
        <v>40</v>
      </c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25">
      <c r="A39" s="15" t="s">
        <v>85</v>
      </c>
      <c r="B39" s="15" t="s">
        <v>47</v>
      </c>
      <c r="C39" s="15">
        <v>4</v>
      </c>
      <c r="D39" s="15"/>
      <c r="E39" s="15">
        <v>-1</v>
      </c>
      <c r="F39" s="15">
        <v>4</v>
      </c>
      <c r="G39" s="6">
        <v>0.4</v>
      </c>
      <c r="H39" s="15">
        <v>40</v>
      </c>
      <c r="I39" s="9" t="s">
        <v>54</v>
      </c>
      <c r="J39" s="15"/>
      <c r="K39" s="15">
        <v>135</v>
      </c>
      <c r="L39" s="15">
        <f t="shared" si="14"/>
        <v>-136</v>
      </c>
      <c r="M39" s="15"/>
      <c r="N39" s="15"/>
      <c r="O39" s="15"/>
      <c r="P39" s="15"/>
      <c r="Q39" s="15"/>
      <c r="R39" s="15">
        <v>40</v>
      </c>
      <c r="S39" s="15">
        <v>-42</v>
      </c>
      <c r="T39" s="15"/>
      <c r="U39" s="15">
        <v>80</v>
      </c>
      <c r="V39" s="15">
        <v>-84</v>
      </c>
      <c r="W39" s="15"/>
      <c r="X39" s="15">
        <f t="shared" si="15"/>
        <v>-0.2</v>
      </c>
      <c r="Y39" s="4">
        <v>100</v>
      </c>
      <c r="Z39" s="15">
        <f t="shared" si="16"/>
        <v>-490</v>
      </c>
      <c r="AA39" s="15">
        <f t="shared" si="17"/>
        <v>10</v>
      </c>
      <c r="AB39" s="15">
        <v>-0.2</v>
      </c>
      <c r="AC39" s="15">
        <v>0</v>
      </c>
      <c r="AD39" s="15">
        <v>0</v>
      </c>
      <c r="AE39" s="15">
        <v>3</v>
      </c>
      <c r="AF39" s="15">
        <v>5.6</v>
      </c>
      <c r="AG39" s="15">
        <v>12.6</v>
      </c>
      <c r="AH39" s="15">
        <v>17.600000000000001</v>
      </c>
      <c r="AI39" s="15">
        <v>16.8</v>
      </c>
      <c r="AJ39" s="15">
        <v>16.2</v>
      </c>
      <c r="AK39" s="15">
        <v>11.8</v>
      </c>
      <c r="AL39" s="15"/>
      <c r="AM39" s="15">
        <f t="shared" si="13"/>
        <v>40</v>
      </c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25">
      <c r="A40" s="15" t="s">
        <v>86</v>
      </c>
      <c r="B40" s="15" t="s">
        <v>42</v>
      </c>
      <c r="C40" s="15">
        <v>175.42099999999999</v>
      </c>
      <c r="D40" s="15">
        <v>4.29</v>
      </c>
      <c r="E40" s="15">
        <v>64.974000000000004</v>
      </c>
      <c r="F40" s="15">
        <v>113.271</v>
      </c>
      <c r="G40" s="6">
        <v>1</v>
      </c>
      <c r="H40" s="15">
        <v>45</v>
      </c>
      <c r="I40" s="9" t="s">
        <v>54</v>
      </c>
      <c r="J40" s="15"/>
      <c r="K40" s="15">
        <v>65.5</v>
      </c>
      <c r="L40" s="15">
        <f t="shared" si="14"/>
        <v>-0.52599999999999625</v>
      </c>
      <c r="M40" s="15"/>
      <c r="N40" s="15"/>
      <c r="O40" s="15"/>
      <c r="P40" s="15"/>
      <c r="Q40" s="15"/>
      <c r="R40" s="15">
        <v>0</v>
      </c>
      <c r="S40" s="15"/>
      <c r="T40" s="15"/>
      <c r="U40" s="15">
        <v>20</v>
      </c>
      <c r="V40" s="15"/>
      <c r="W40" s="15"/>
      <c r="X40" s="15">
        <f t="shared" si="15"/>
        <v>12.994800000000001</v>
      </c>
      <c r="Y40" s="4">
        <f t="shared" ref="Y40" si="18">11*X40-W40-V40-U40-T40-S40-R40-P40-O40-F40</f>
        <v>9.6718000000000046</v>
      </c>
      <c r="Z40" s="15">
        <f t="shared" si="16"/>
        <v>11.000000000000002</v>
      </c>
      <c r="AA40" s="15">
        <f t="shared" si="17"/>
        <v>10.255717671684058</v>
      </c>
      <c r="AB40" s="15">
        <v>12.9156</v>
      </c>
      <c r="AC40" s="15">
        <v>11.095599999999999</v>
      </c>
      <c r="AD40" s="15">
        <v>7.1444000000000001</v>
      </c>
      <c r="AE40" s="15">
        <v>1.1714</v>
      </c>
      <c r="AF40" s="15">
        <v>9.6359999999999992</v>
      </c>
      <c r="AG40" s="15">
        <v>15.555199999999999</v>
      </c>
      <c r="AH40" s="15">
        <v>6.1219999999999999</v>
      </c>
      <c r="AI40" s="15">
        <v>-6.3E-2</v>
      </c>
      <c r="AJ40" s="15">
        <v>5.2148000000000003</v>
      </c>
      <c r="AK40" s="15">
        <v>6.1369999999999996</v>
      </c>
      <c r="AL40" s="15" t="s">
        <v>67</v>
      </c>
      <c r="AM40" s="15">
        <f t="shared" si="13"/>
        <v>9.6718000000000046</v>
      </c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25">
      <c r="A41" s="15" t="s">
        <v>87</v>
      </c>
      <c r="B41" s="15" t="s">
        <v>47</v>
      </c>
      <c r="C41" s="15">
        <v>443</v>
      </c>
      <c r="D41" s="15">
        <v>300</v>
      </c>
      <c r="E41" s="15">
        <v>216</v>
      </c>
      <c r="F41" s="15">
        <v>525</v>
      </c>
      <c r="G41" s="6">
        <v>0.1</v>
      </c>
      <c r="H41" s="15">
        <v>731</v>
      </c>
      <c r="I41" s="15" t="s">
        <v>43</v>
      </c>
      <c r="J41" s="15"/>
      <c r="K41" s="15">
        <v>230</v>
      </c>
      <c r="L41" s="15">
        <f t="shared" si="14"/>
        <v>-14</v>
      </c>
      <c r="M41" s="15"/>
      <c r="N41" s="15"/>
      <c r="O41" s="15"/>
      <c r="P41" s="15"/>
      <c r="Q41" s="15"/>
      <c r="R41" s="15">
        <v>0</v>
      </c>
      <c r="S41" s="15"/>
      <c r="T41" s="15"/>
      <c r="U41" s="15">
        <v>50.2</v>
      </c>
      <c r="V41" s="15"/>
      <c r="W41" s="15"/>
      <c r="X41" s="15">
        <f t="shared" si="15"/>
        <v>43.2</v>
      </c>
      <c r="Y41" s="4"/>
      <c r="Z41" s="15">
        <f t="shared" si="16"/>
        <v>13.314814814814815</v>
      </c>
      <c r="AA41" s="15">
        <f t="shared" si="17"/>
        <v>13.314814814814815</v>
      </c>
      <c r="AB41" s="15">
        <v>50.2</v>
      </c>
      <c r="AC41" s="15">
        <v>33.6</v>
      </c>
      <c r="AD41" s="15">
        <v>22.8</v>
      </c>
      <c r="AE41" s="15">
        <v>25</v>
      </c>
      <c r="AF41" s="15">
        <v>20.6</v>
      </c>
      <c r="AG41" s="15">
        <v>18.8</v>
      </c>
      <c r="AH41" s="15">
        <v>12.2</v>
      </c>
      <c r="AI41" s="15">
        <v>7.6</v>
      </c>
      <c r="AJ41" s="15">
        <v>11.8</v>
      </c>
      <c r="AK41" s="15">
        <v>17.600000000000001</v>
      </c>
      <c r="AL41" s="15" t="s">
        <v>67</v>
      </c>
      <c r="AM41" s="15">
        <f t="shared" si="13"/>
        <v>0</v>
      </c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25">
      <c r="A42" s="15" t="s">
        <v>88</v>
      </c>
      <c r="B42" s="15" t="s">
        <v>47</v>
      </c>
      <c r="C42" s="15"/>
      <c r="D42" s="15">
        <v>102</v>
      </c>
      <c r="E42" s="15">
        <v>34</v>
      </c>
      <c r="F42" s="15">
        <v>57</v>
      </c>
      <c r="G42" s="6">
        <v>0.35</v>
      </c>
      <c r="H42" s="15">
        <v>40</v>
      </c>
      <c r="I42" s="9" t="s">
        <v>54</v>
      </c>
      <c r="J42" s="15"/>
      <c r="K42" s="15">
        <v>49</v>
      </c>
      <c r="L42" s="15">
        <f t="shared" si="14"/>
        <v>-15</v>
      </c>
      <c r="M42" s="15"/>
      <c r="N42" s="15"/>
      <c r="O42" s="15"/>
      <c r="P42" s="15"/>
      <c r="Q42" s="15"/>
      <c r="R42" s="15">
        <v>0</v>
      </c>
      <c r="S42" s="15"/>
      <c r="T42" s="15"/>
      <c r="U42" s="15">
        <v>20</v>
      </c>
      <c r="V42" s="15"/>
      <c r="W42" s="15"/>
      <c r="X42" s="15">
        <f t="shared" si="15"/>
        <v>6.8</v>
      </c>
      <c r="Y42" s="4">
        <v>20</v>
      </c>
      <c r="Z42" s="15">
        <f t="shared" si="16"/>
        <v>14.264705882352942</v>
      </c>
      <c r="AA42" s="15">
        <f t="shared" si="17"/>
        <v>11.323529411764707</v>
      </c>
      <c r="AB42" s="15">
        <v>0</v>
      </c>
      <c r="AC42" s="15">
        <v>-0.6</v>
      </c>
      <c r="AD42" s="15">
        <v>-0.6</v>
      </c>
      <c r="AE42" s="15">
        <v>-0.8</v>
      </c>
      <c r="AF42" s="15">
        <v>-2.4</v>
      </c>
      <c r="AG42" s="15">
        <v>-2.8</v>
      </c>
      <c r="AH42" s="15">
        <v>-1.6</v>
      </c>
      <c r="AI42" s="15">
        <v>-1</v>
      </c>
      <c r="AJ42" s="15">
        <v>-1.4</v>
      </c>
      <c r="AK42" s="15">
        <v>-0.8</v>
      </c>
      <c r="AL42" s="15"/>
      <c r="AM42" s="15">
        <f t="shared" si="13"/>
        <v>7</v>
      </c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25">
      <c r="A43" s="15" t="s">
        <v>89</v>
      </c>
      <c r="B43" s="15" t="s">
        <v>42</v>
      </c>
      <c r="C43" s="15">
        <v>33.991999999999997</v>
      </c>
      <c r="D43" s="15">
        <v>99.991</v>
      </c>
      <c r="E43" s="15">
        <v>45.213999999999999</v>
      </c>
      <c r="F43" s="15">
        <v>80.08</v>
      </c>
      <c r="G43" s="6">
        <v>1</v>
      </c>
      <c r="H43" s="15">
        <v>40</v>
      </c>
      <c r="I43" s="9" t="s">
        <v>54</v>
      </c>
      <c r="J43" s="15"/>
      <c r="K43" s="15">
        <v>85.1</v>
      </c>
      <c r="L43" s="15">
        <f t="shared" si="14"/>
        <v>-39.885999999999996</v>
      </c>
      <c r="M43" s="15"/>
      <c r="N43" s="15"/>
      <c r="O43" s="15"/>
      <c r="P43" s="15"/>
      <c r="Q43" s="15"/>
      <c r="R43" s="15">
        <v>30</v>
      </c>
      <c r="S43" s="15"/>
      <c r="T43" s="15"/>
      <c r="U43" s="15">
        <v>20</v>
      </c>
      <c r="V43" s="15"/>
      <c r="W43" s="15"/>
      <c r="X43" s="15">
        <f t="shared" si="15"/>
        <v>9.0427999999999997</v>
      </c>
      <c r="Y43" s="4">
        <v>10</v>
      </c>
      <c r="Z43" s="15">
        <f t="shared" si="16"/>
        <v>15.490777192904851</v>
      </c>
      <c r="AA43" s="15">
        <f t="shared" si="17"/>
        <v>14.384925023222895</v>
      </c>
      <c r="AB43" s="15">
        <v>8.4745999999999988</v>
      </c>
      <c r="AC43" s="15">
        <v>7.7513999999999994</v>
      </c>
      <c r="AD43" s="15">
        <v>5.5529999999999999</v>
      </c>
      <c r="AE43" s="15">
        <v>-1.6140000000000001</v>
      </c>
      <c r="AF43" s="15">
        <v>5.4058000000000002</v>
      </c>
      <c r="AG43" s="15">
        <v>14.0082</v>
      </c>
      <c r="AH43" s="15">
        <v>16.4742</v>
      </c>
      <c r="AI43" s="15">
        <v>12.819800000000001</v>
      </c>
      <c r="AJ43" s="15">
        <v>11.537800000000001</v>
      </c>
      <c r="AK43" s="15">
        <v>8.0475999999999992</v>
      </c>
      <c r="AL43" s="15" t="s">
        <v>67</v>
      </c>
      <c r="AM43" s="15">
        <f t="shared" si="13"/>
        <v>10</v>
      </c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25">
      <c r="A44" s="11" t="s">
        <v>90</v>
      </c>
      <c r="B44" s="11" t="s">
        <v>47</v>
      </c>
      <c r="C44" s="11"/>
      <c r="D44" s="11">
        <v>1</v>
      </c>
      <c r="E44" s="11"/>
      <c r="F44" s="11">
        <v>1</v>
      </c>
      <c r="G44" s="12">
        <v>0</v>
      </c>
      <c r="H44" s="11">
        <v>50</v>
      </c>
      <c r="I44" s="11" t="s">
        <v>79</v>
      </c>
      <c r="J44" s="11"/>
      <c r="K44" s="11">
        <v>10</v>
      </c>
      <c r="L44" s="11">
        <f t="shared" si="14"/>
        <v>-10</v>
      </c>
      <c r="M44" s="11"/>
      <c r="N44" s="11"/>
      <c r="O44" s="11"/>
      <c r="P44" s="11"/>
      <c r="Q44" s="11"/>
      <c r="R44" s="11">
        <v>0</v>
      </c>
      <c r="S44" s="11"/>
      <c r="T44" s="11"/>
      <c r="U44" s="11">
        <v>0</v>
      </c>
      <c r="V44" s="11"/>
      <c r="W44" s="11"/>
      <c r="X44" s="11">
        <f t="shared" si="15"/>
        <v>0</v>
      </c>
      <c r="Y44" s="13"/>
      <c r="Z44" s="11" t="e">
        <f t="shared" si="16"/>
        <v>#DIV/0!</v>
      </c>
      <c r="AA44" s="11" t="e">
        <f t="shared" si="17"/>
        <v>#DIV/0!</v>
      </c>
      <c r="AB44" s="11">
        <v>0</v>
      </c>
      <c r="AC44" s="11">
        <v>0.2</v>
      </c>
      <c r="AD44" s="11">
        <v>-0.2</v>
      </c>
      <c r="AE44" s="11">
        <v>-0.2</v>
      </c>
      <c r="AF44" s="11">
        <v>0</v>
      </c>
      <c r="AG44" s="11">
        <v>1.4</v>
      </c>
      <c r="AH44" s="11">
        <v>2.6</v>
      </c>
      <c r="AI44" s="11">
        <v>2.2000000000000002</v>
      </c>
      <c r="AJ44" s="11">
        <v>4.4000000000000004</v>
      </c>
      <c r="AK44" s="11">
        <v>4</v>
      </c>
      <c r="AL44" s="11"/>
      <c r="AM44" s="11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25">
      <c r="A45" s="15" t="s">
        <v>91</v>
      </c>
      <c r="B45" s="15" t="s">
        <v>47</v>
      </c>
      <c r="C45" s="15">
        <v>61</v>
      </c>
      <c r="D45" s="15">
        <v>64</v>
      </c>
      <c r="E45" s="15">
        <v>30</v>
      </c>
      <c r="F45" s="15">
        <v>76</v>
      </c>
      <c r="G45" s="6">
        <v>0.4</v>
      </c>
      <c r="H45" s="15">
        <v>40</v>
      </c>
      <c r="I45" s="9" t="s">
        <v>54</v>
      </c>
      <c r="J45" s="15"/>
      <c r="K45" s="15">
        <v>330</v>
      </c>
      <c r="L45" s="15">
        <f t="shared" si="14"/>
        <v>-300</v>
      </c>
      <c r="M45" s="15"/>
      <c r="N45" s="15"/>
      <c r="O45" s="15"/>
      <c r="P45" s="15"/>
      <c r="Q45" s="15"/>
      <c r="R45" s="15">
        <v>127.4</v>
      </c>
      <c r="S45" s="15"/>
      <c r="T45" s="15"/>
      <c r="U45" s="15">
        <v>100</v>
      </c>
      <c r="V45" s="15"/>
      <c r="W45" s="15"/>
      <c r="X45" s="15">
        <f t="shared" si="15"/>
        <v>6</v>
      </c>
      <c r="Y45" s="4"/>
      <c r="Z45" s="15">
        <f t="shared" si="16"/>
        <v>50.566666666666663</v>
      </c>
      <c r="AA45" s="15">
        <f t="shared" si="17"/>
        <v>50.566666666666663</v>
      </c>
      <c r="AB45" s="15">
        <v>12.8</v>
      </c>
      <c r="AC45" s="15">
        <v>21.4</v>
      </c>
      <c r="AD45" s="15">
        <v>19.8</v>
      </c>
      <c r="AE45" s="15">
        <v>8.6</v>
      </c>
      <c r="AF45" s="15">
        <v>8.8000000000000007</v>
      </c>
      <c r="AG45" s="15">
        <v>24.4</v>
      </c>
      <c r="AH45" s="15">
        <v>15.4</v>
      </c>
      <c r="AI45" s="15">
        <v>-2.2000000000000002</v>
      </c>
      <c r="AJ45" s="15">
        <v>-2.4</v>
      </c>
      <c r="AK45" s="15">
        <v>-3.6</v>
      </c>
      <c r="AL45" s="15"/>
      <c r="AM45" s="15">
        <f t="shared" ref="AM45:AM70" si="19">G45*Y45</f>
        <v>0</v>
      </c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25">
      <c r="A46" s="15" t="s">
        <v>92</v>
      </c>
      <c r="B46" s="15" t="s">
        <v>47</v>
      </c>
      <c r="C46" s="15">
        <v>223</v>
      </c>
      <c r="D46" s="15">
        <v>86</v>
      </c>
      <c r="E46" s="15">
        <v>139</v>
      </c>
      <c r="F46" s="15">
        <v>161</v>
      </c>
      <c r="G46" s="6">
        <v>0.4</v>
      </c>
      <c r="H46" s="15">
        <v>45</v>
      </c>
      <c r="I46" s="15" t="s">
        <v>43</v>
      </c>
      <c r="J46" s="15"/>
      <c r="K46" s="15">
        <v>359</v>
      </c>
      <c r="L46" s="15">
        <f t="shared" si="14"/>
        <v>-220</v>
      </c>
      <c r="M46" s="15"/>
      <c r="N46" s="15"/>
      <c r="O46" s="15"/>
      <c r="P46" s="15"/>
      <c r="Q46" s="15"/>
      <c r="R46" s="15">
        <v>0</v>
      </c>
      <c r="S46" s="15"/>
      <c r="T46" s="15"/>
      <c r="U46" s="15">
        <v>251.8</v>
      </c>
      <c r="V46" s="15"/>
      <c r="W46" s="15"/>
      <c r="X46" s="15">
        <f t="shared" si="15"/>
        <v>27.8</v>
      </c>
      <c r="Y46" s="4"/>
      <c r="Z46" s="15">
        <f t="shared" si="16"/>
        <v>14.848920863309353</v>
      </c>
      <c r="AA46" s="15">
        <f t="shared" si="17"/>
        <v>14.848920863309353</v>
      </c>
      <c r="AB46" s="15">
        <v>36.4</v>
      </c>
      <c r="AC46" s="15">
        <v>23.2</v>
      </c>
      <c r="AD46" s="15">
        <v>30.2</v>
      </c>
      <c r="AE46" s="15">
        <v>28.6</v>
      </c>
      <c r="AF46" s="15">
        <v>42.4</v>
      </c>
      <c r="AG46" s="15">
        <v>40.799999999999997</v>
      </c>
      <c r="AH46" s="15">
        <v>18.2</v>
      </c>
      <c r="AI46" s="15">
        <v>29.8</v>
      </c>
      <c r="AJ46" s="15">
        <v>45.4</v>
      </c>
      <c r="AK46" s="15">
        <v>46.2</v>
      </c>
      <c r="AL46" s="15"/>
      <c r="AM46" s="15">
        <f t="shared" si="19"/>
        <v>0</v>
      </c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25">
      <c r="A47" s="15" t="s">
        <v>93</v>
      </c>
      <c r="B47" s="15" t="s">
        <v>42</v>
      </c>
      <c r="C47" s="15">
        <v>-11.497</v>
      </c>
      <c r="D47" s="15">
        <v>45.045999999999999</v>
      </c>
      <c r="E47" s="15">
        <v>17.391999999999999</v>
      </c>
      <c r="F47" s="15">
        <v>4.5519999999999996</v>
      </c>
      <c r="G47" s="6">
        <v>1</v>
      </c>
      <c r="H47" s="15">
        <v>40</v>
      </c>
      <c r="I47" s="9" t="s">
        <v>54</v>
      </c>
      <c r="J47" s="15"/>
      <c r="K47" s="15">
        <v>62.7</v>
      </c>
      <c r="L47" s="15">
        <f t="shared" si="14"/>
        <v>-45.308000000000007</v>
      </c>
      <c r="M47" s="15"/>
      <c r="N47" s="15"/>
      <c r="O47" s="15"/>
      <c r="P47" s="15"/>
      <c r="Q47" s="15"/>
      <c r="R47" s="15">
        <v>64.764200000000002</v>
      </c>
      <c r="S47" s="15"/>
      <c r="T47" s="15"/>
      <c r="U47" s="15">
        <v>50</v>
      </c>
      <c r="V47" s="15"/>
      <c r="W47" s="15"/>
      <c r="X47" s="15">
        <f t="shared" si="15"/>
        <v>3.4783999999999997</v>
      </c>
      <c r="Y47" s="4">
        <v>50</v>
      </c>
      <c r="Z47" s="15">
        <f t="shared" si="16"/>
        <v>48.676460441582343</v>
      </c>
      <c r="AA47" s="15">
        <f t="shared" si="17"/>
        <v>34.302035418583259</v>
      </c>
      <c r="AB47" s="15">
        <v>2.7585999999999999</v>
      </c>
      <c r="AC47" s="15">
        <v>8.6112000000000002</v>
      </c>
      <c r="AD47" s="15">
        <v>5.2758000000000003</v>
      </c>
      <c r="AE47" s="15">
        <v>-0.58460000000000001</v>
      </c>
      <c r="AF47" s="15">
        <v>1.7490000000000001</v>
      </c>
      <c r="AG47" s="15">
        <v>10.768800000000001</v>
      </c>
      <c r="AH47" s="15">
        <v>16.7926</v>
      </c>
      <c r="AI47" s="15">
        <v>16.431999999999999</v>
      </c>
      <c r="AJ47" s="15">
        <v>25.953600000000002</v>
      </c>
      <c r="AK47" s="15">
        <v>18.532599999999999</v>
      </c>
      <c r="AL47" s="15" t="s">
        <v>67</v>
      </c>
      <c r="AM47" s="15">
        <f t="shared" si="19"/>
        <v>50</v>
      </c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25">
      <c r="A48" s="15" t="s">
        <v>94</v>
      </c>
      <c r="B48" s="15" t="s">
        <v>47</v>
      </c>
      <c r="C48" s="15">
        <v>105</v>
      </c>
      <c r="D48" s="15">
        <v>85</v>
      </c>
      <c r="E48" s="15">
        <v>144</v>
      </c>
      <c r="F48" s="15">
        <v>31</v>
      </c>
      <c r="G48" s="6">
        <v>0.35</v>
      </c>
      <c r="H48" s="15">
        <v>40</v>
      </c>
      <c r="I48" s="9" t="s">
        <v>54</v>
      </c>
      <c r="J48" s="15"/>
      <c r="K48" s="15">
        <v>180</v>
      </c>
      <c r="L48" s="15">
        <f t="shared" si="14"/>
        <v>-36</v>
      </c>
      <c r="M48" s="15"/>
      <c r="N48" s="15"/>
      <c r="O48" s="15"/>
      <c r="P48" s="15"/>
      <c r="Q48" s="15"/>
      <c r="R48" s="15">
        <v>111.6</v>
      </c>
      <c r="S48" s="15"/>
      <c r="T48" s="15"/>
      <c r="U48" s="15">
        <v>244.1999999999999</v>
      </c>
      <c r="V48" s="15">
        <v>-246</v>
      </c>
      <c r="W48" s="15"/>
      <c r="X48" s="15">
        <f t="shared" si="15"/>
        <v>28.8</v>
      </c>
      <c r="Y48" s="4">
        <v>200</v>
      </c>
      <c r="Z48" s="15">
        <f t="shared" si="16"/>
        <v>11.83333333333333</v>
      </c>
      <c r="AA48" s="15">
        <f t="shared" si="17"/>
        <v>4.8888888888888848</v>
      </c>
      <c r="AB48" s="15">
        <v>35.4</v>
      </c>
      <c r="AC48" s="15">
        <v>26.6</v>
      </c>
      <c r="AD48" s="15">
        <v>13.4</v>
      </c>
      <c r="AE48" s="15">
        <v>0.4</v>
      </c>
      <c r="AF48" s="15">
        <v>13.8</v>
      </c>
      <c r="AG48" s="15">
        <v>44.6</v>
      </c>
      <c r="AH48" s="15">
        <v>77</v>
      </c>
      <c r="AI48" s="15">
        <v>65.400000000000006</v>
      </c>
      <c r="AJ48" s="15">
        <v>53.2</v>
      </c>
      <c r="AK48" s="15">
        <v>48.8</v>
      </c>
      <c r="AL48" s="15"/>
      <c r="AM48" s="15">
        <f t="shared" si="19"/>
        <v>70</v>
      </c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25">
      <c r="A49" s="15" t="s">
        <v>95</v>
      </c>
      <c r="B49" s="15" t="s">
        <v>47</v>
      </c>
      <c r="C49" s="15">
        <v>249</v>
      </c>
      <c r="D49" s="15">
        <v>9</v>
      </c>
      <c r="E49" s="15">
        <v>244</v>
      </c>
      <c r="F49" s="15">
        <v>6</v>
      </c>
      <c r="G49" s="6">
        <v>0.4</v>
      </c>
      <c r="H49" s="15">
        <v>40</v>
      </c>
      <c r="I49" s="9" t="s">
        <v>54</v>
      </c>
      <c r="J49" s="15"/>
      <c r="K49" s="15">
        <v>368</v>
      </c>
      <c r="L49" s="15">
        <f t="shared" si="14"/>
        <v>-124</v>
      </c>
      <c r="M49" s="15"/>
      <c r="N49" s="15"/>
      <c r="O49" s="15"/>
      <c r="P49" s="15"/>
      <c r="Q49" s="15"/>
      <c r="R49" s="15">
        <v>800</v>
      </c>
      <c r="S49" s="15"/>
      <c r="T49" s="15"/>
      <c r="U49" s="15">
        <v>250</v>
      </c>
      <c r="V49" s="15"/>
      <c r="W49" s="15"/>
      <c r="X49" s="15">
        <f t="shared" si="15"/>
        <v>48.8</v>
      </c>
      <c r="Y49" s="4"/>
      <c r="Z49" s="15">
        <f t="shared" si="16"/>
        <v>21.639344262295083</v>
      </c>
      <c r="AA49" s="15">
        <f t="shared" si="17"/>
        <v>21.639344262295083</v>
      </c>
      <c r="AB49" s="15">
        <v>98</v>
      </c>
      <c r="AC49" s="15">
        <v>87.2</v>
      </c>
      <c r="AD49" s="15">
        <v>48.6</v>
      </c>
      <c r="AE49" s="15">
        <v>46</v>
      </c>
      <c r="AF49" s="15">
        <v>59.4</v>
      </c>
      <c r="AG49" s="15">
        <v>74.400000000000006</v>
      </c>
      <c r="AH49" s="15">
        <v>51.2</v>
      </c>
      <c r="AI49" s="15">
        <v>37.4</v>
      </c>
      <c r="AJ49" s="15">
        <v>52.2</v>
      </c>
      <c r="AK49" s="15">
        <v>49.4</v>
      </c>
      <c r="AL49" s="15"/>
      <c r="AM49" s="15">
        <f t="shared" si="19"/>
        <v>0</v>
      </c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25">
      <c r="A50" s="15" t="s">
        <v>96</v>
      </c>
      <c r="B50" s="15" t="s">
        <v>42</v>
      </c>
      <c r="C50" s="15">
        <v>74.141000000000005</v>
      </c>
      <c r="D50" s="15">
        <v>81.19</v>
      </c>
      <c r="E50" s="15">
        <v>64.894999999999996</v>
      </c>
      <c r="F50" s="15">
        <v>90.436000000000007</v>
      </c>
      <c r="G50" s="6">
        <v>1</v>
      </c>
      <c r="H50" s="15">
        <v>50</v>
      </c>
      <c r="I50" s="15" t="s">
        <v>43</v>
      </c>
      <c r="J50" s="15"/>
      <c r="K50" s="15">
        <v>65.5</v>
      </c>
      <c r="L50" s="15">
        <f t="shared" si="14"/>
        <v>-0.60500000000000398</v>
      </c>
      <c r="M50" s="15"/>
      <c r="N50" s="15"/>
      <c r="O50" s="15"/>
      <c r="P50" s="15"/>
      <c r="Q50" s="15"/>
      <c r="R50" s="15">
        <v>53.764472000000012</v>
      </c>
      <c r="S50" s="15"/>
      <c r="T50" s="15"/>
      <c r="U50" s="15">
        <v>0</v>
      </c>
      <c r="V50" s="15"/>
      <c r="W50" s="15"/>
      <c r="X50" s="15">
        <f t="shared" si="15"/>
        <v>12.978999999999999</v>
      </c>
      <c r="Y50" s="4"/>
      <c r="Z50" s="15">
        <f t="shared" si="16"/>
        <v>11.110291393789971</v>
      </c>
      <c r="AA50" s="15">
        <f t="shared" si="17"/>
        <v>11.110291393789971</v>
      </c>
      <c r="AB50" s="15">
        <v>13.252599999999999</v>
      </c>
      <c r="AC50" s="15">
        <v>18.2804</v>
      </c>
      <c r="AD50" s="15">
        <v>17.846</v>
      </c>
      <c r="AE50" s="15">
        <v>16.891999999999999</v>
      </c>
      <c r="AF50" s="15">
        <v>15.883800000000001</v>
      </c>
      <c r="AG50" s="15">
        <v>13.0962</v>
      </c>
      <c r="AH50" s="15">
        <v>16.213799999999999</v>
      </c>
      <c r="AI50" s="15">
        <v>20.591200000000001</v>
      </c>
      <c r="AJ50" s="15">
        <v>19.520800000000001</v>
      </c>
      <c r="AK50" s="15">
        <v>15.0738</v>
      </c>
      <c r="AL50" s="15"/>
      <c r="AM50" s="15">
        <f t="shared" si="19"/>
        <v>0</v>
      </c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25">
      <c r="A51" s="15" t="s">
        <v>97</v>
      </c>
      <c r="B51" s="15" t="s">
        <v>42</v>
      </c>
      <c r="C51" s="15">
        <v>186.26499999999999</v>
      </c>
      <c r="D51" s="15">
        <v>3.9329999999999998</v>
      </c>
      <c r="E51" s="15">
        <v>155.376</v>
      </c>
      <c r="F51" s="15">
        <v>28.701000000000001</v>
      </c>
      <c r="G51" s="6">
        <v>1</v>
      </c>
      <c r="H51" s="15">
        <v>50</v>
      </c>
      <c r="I51" s="15" t="s">
        <v>43</v>
      </c>
      <c r="J51" s="15"/>
      <c r="K51" s="15">
        <v>172.4</v>
      </c>
      <c r="L51" s="15">
        <f t="shared" si="14"/>
        <v>-17.024000000000001</v>
      </c>
      <c r="M51" s="15"/>
      <c r="N51" s="15"/>
      <c r="O51" s="15"/>
      <c r="P51" s="15"/>
      <c r="Q51" s="15"/>
      <c r="R51" s="15">
        <v>0</v>
      </c>
      <c r="S51" s="15"/>
      <c r="T51" s="15"/>
      <c r="U51" s="15">
        <v>250</v>
      </c>
      <c r="V51" s="15"/>
      <c r="W51" s="15"/>
      <c r="X51" s="15">
        <f t="shared" si="15"/>
        <v>31.075200000000002</v>
      </c>
      <c r="Y51" s="4">
        <f t="shared" ref="Y51:Y62" si="20">11*X51-W51-V51-U51-T51-S51-R51-P51-O51-F51</f>
        <v>63.126200000000004</v>
      </c>
      <c r="Z51" s="15">
        <f t="shared" si="16"/>
        <v>11</v>
      </c>
      <c r="AA51" s="15">
        <f t="shared" si="17"/>
        <v>8.9685987539903209</v>
      </c>
      <c r="AB51" s="15">
        <v>26.267199999999999</v>
      </c>
      <c r="AC51" s="15">
        <v>8.4220000000000006</v>
      </c>
      <c r="AD51" s="15">
        <v>-0.2974</v>
      </c>
      <c r="AE51" s="15">
        <v>10.7278</v>
      </c>
      <c r="AF51" s="15">
        <v>16.38</v>
      </c>
      <c r="AG51" s="15">
        <v>5.3814000000000002</v>
      </c>
      <c r="AH51" s="15">
        <v>-1.0511999999999999</v>
      </c>
      <c r="AI51" s="15">
        <v>-0.624</v>
      </c>
      <c r="AJ51" s="15">
        <v>14.5092</v>
      </c>
      <c r="AK51" s="15">
        <v>18.899000000000001</v>
      </c>
      <c r="AL51" s="15" t="s">
        <v>98</v>
      </c>
      <c r="AM51" s="15">
        <f t="shared" si="19"/>
        <v>63.126200000000004</v>
      </c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25">
      <c r="A52" s="15" t="s">
        <v>99</v>
      </c>
      <c r="B52" s="15" t="s">
        <v>42</v>
      </c>
      <c r="C52" s="15">
        <v>0.434</v>
      </c>
      <c r="D52" s="15"/>
      <c r="E52" s="15">
        <v>-5.1449999999999996</v>
      </c>
      <c r="F52" s="15">
        <v>0.434</v>
      </c>
      <c r="G52" s="6">
        <v>1</v>
      </c>
      <c r="H52" s="15">
        <v>45</v>
      </c>
      <c r="I52" s="9" t="s">
        <v>54</v>
      </c>
      <c r="J52" s="15"/>
      <c r="K52" s="15"/>
      <c r="L52" s="15">
        <f t="shared" si="14"/>
        <v>-5.1449999999999996</v>
      </c>
      <c r="M52" s="15"/>
      <c r="N52" s="15"/>
      <c r="O52" s="15"/>
      <c r="P52" s="15"/>
      <c r="Q52" s="15"/>
      <c r="R52" s="15">
        <v>100</v>
      </c>
      <c r="S52" s="15">
        <v>-108</v>
      </c>
      <c r="T52" s="15"/>
      <c r="U52" s="15">
        <v>80</v>
      </c>
      <c r="V52" s="15">
        <v>-81</v>
      </c>
      <c r="W52" s="15"/>
      <c r="X52" s="15">
        <f t="shared" si="15"/>
        <v>-1.0289999999999999</v>
      </c>
      <c r="Y52" s="4">
        <v>100</v>
      </c>
      <c r="Z52" s="15">
        <f t="shared" si="16"/>
        <v>-88.857142857142861</v>
      </c>
      <c r="AA52" s="15">
        <f t="shared" si="17"/>
        <v>8.324586977648206</v>
      </c>
      <c r="AB52" s="15">
        <v>-0.15640000000000001</v>
      </c>
      <c r="AC52" s="15">
        <v>-0.15640000000000001</v>
      </c>
      <c r="AD52" s="15">
        <v>-1.0711999999999999</v>
      </c>
      <c r="AE52" s="15">
        <v>-1.0711999999999999</v>
      </c>
      <c r="AF52" s="15">
        <v>-0.8286</v>
      </c>
      <c r="AG52" s="15">
        <v>-1.7338</v>
      </c>
      <c r="AH52" s="15">
        <v>-0.9052</v>
      </c>
      <c r="AI52" s="15">
        <v>-0.41320000000000001</v>
      </c>
      <c r="AJ52" s="15">
        <v>43.441600000000001</v>
      </c>
      <c r="AK52" s="15">
        <v>47.674599999999998</v>
      </c>
      <c r="AL52" s="15"/>
      <c r="AM52" s="15">
        <f t="shared" si="19"/>
        <v>100</v>
      </c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25">
      <c r="A53" s="15" t="s">
        <v>100</v>
      </c>
      <c r="B53" s="15" t="s">
        <v>47</v>
      </c>
      <c r="C53" s="15">
        <v>237</v>
      </c>
      <c r="D53" s="15">
        <v>9</v>
      </c>
      <c r="E53" s="15">
        <v>148</v>
      </c>
      <c r="F53" s="15">
        <v>81</v>
      </c>
      <c r="G53" s="6">
        <v>0.45</v>
      </c>
      <c r="H53" s="15">
        <v>50</v>
      </c>
      <c r="I53" s="15" t="s">
        <v>43</v>
      </c>
      <c r="J53" s="15"/>
      <c r="K53" s="15">
        <v>163</v>
      </c>
      <c r="L53" s="15">
        <f t="shared" si="14"/>
        <v>-15</v>
      </c>
      <c r="M53" s="15"/>
      <c r="N53" s="15"/>
      <c r="O53" s="15"/>
      <c r="P53" s="15"/>
      <c r="Q53" s="15"/>
      <c r="R53" s="15">
        <v>234.6</v>
      </c>
      <c r="S53" s="15"/>
      <c r="T53" s="15"/>
      <c r="U53" s="15">
        <v>190.4</v>
      </c>
      <c r="V53" s="15"/>
      <c r="W53" s="15"/>
      <c r="X53" s="15">
        <f t="shared" si="15"/>
        <v>29.6</v>
      </c>
      <c r="Y53" s="4"/>
      <c r="Z53" s="15">
        <f t="shared" si="16"/>
        <v>17.094594594594593</v>
      </c>
      <c r="AA53" s="15">
        <f t="shared" si="17"/>
        <v>17.094594594594593</v>
      </c>
      <c r="AB53" s="15">
        <v>43</v>
      </c>
      <c r="AC53" s="15">
        <v>42.6</v>
      </c>
      <c r="AD53" s="15">
        <v>20.399999999999999</v>
      </c>
      <c r="AE53" s="15">
        <v>15.4</v>
      </c>
      <c r="AF53" s="15">
        <v>31.4</v>
      </c>
      <c r="AG53" s="15">
        <v>32.4</v>
      </c>
      <c r="AH53" s="15">
        <v>34</v>
      </c>
      <c r="AI53" s="15">
        <v>40.4</v>
      </c>
      <c r="AJ53" s="15">
        <v>25.2</v>
      </c>
      <c r="AK53" s="15">
        <v>18.399999999999999</v>
      </c>
      <c r="AL53" s="15"/>
      <c r="AM53" s="15">
        <f t="shared" si="19"/>
        <v>0</v>
      </c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x14ac:dyDescent="0.25">
      <c r="A54" s="15" t="s">
        <v>101</v>
      </c>
      <c r="B54" s="15" t="s">
        <v>47</v>
      </c>
      <c r="C54" s="15">
        <v>1</v>
      </c>
      <c r="D54" s="15">
        <v>411</v>
      </c>
      <c r="E54" s="15">
        <v>79</v>
      </c>
      <c r="F54" s="15">
        <v>332</v>
      </c>
      <c r="G54" s="6">
        <v>0.45</v>
      </c>
      <c r="H54" s="15">
        <v>50</v>
      </c>
      <c r="I54" s="15" t="s">
        <v>43</v>
      </c>
      <c r="J54" s="15"/>
      <c r="K54" s="15">
        <v>78</v>
      </c>
      <c r="L54" s="15">
        <f t="shared" si="14"/>
        <v>1</v>
      </c>
      <c r="M54" s="15"/>
      <c r="N54" s="15"/>
      <c r="O54" s="15"/>
      <c r="P54" s="15"/>
      <c r="Q54" s="15"/>
      <c r="R54" s="15">
        <v>290.90800000000007</v>
      </c>
      <c r="S54" s="15"/>
      <c r="T54" s="15"/>
      <c r="U54" s="15">
        <v>0</v>
      </c>
      <c r="V54" s="15"/>
      <c r="W54" s="15"/>
      <c r="X54" s="15">
        <f t="shared" si="15"/>
        <v>15.8</v>
      </c>
      <c r="Y54" s="4"/>
      <c r="Z54" s="15">
        <f t="shared" si="16"/>
        <v>39.424556962025321</v>
      </c>
      <c r="AA54" s="15">
        <f t="shared" si="17"/>
        <v>39.424556962025321</v>
      </c>
      <c r="AB54" s="15">
        <v>47.8</v>
      </c>
      <c r="AC54" s="15">
        <v>63.2</v>
      </c>
      <c r="AD54" s="15">
        <v>48.6</v>
      </c>
      <c r="AE54" s="15">
        <v>28.2</v>
      </c>
      <c r="AF54" s="15">
        <v>18</v>
      </c>
      <c r="AG54" s="15">
        <v>39.200000000000003</v>
      </c>
      <c r="AH54" s="15">
        <v>60.8</v>
      </c>
      <c r="AI54" s="15">
        <v>57.4</v>
      </c>
      <c r="AJ54" s="15">
        <v>45.4</v>
      </c>
      <c r="AK54" s="15">
        <v>38.200000000000003</v>
      </c>
      <c r="AL54" s="17" t="s">
        <v>185</v>
      </c>
      <c r="AM54" s="15">
        <f t="shared" si="19"/>
        <v>0</v>
      </c>
      <c r="AN54" s="15"/>
      <c r="AO54" s="15"/>
      <c r="AP54" s="15"/>
      <c r="AQ54" s="15"/>
      <c r="AR54" s="15"/>
      <c r="AS54" s="15"/>
      <c r="AT54" s="15"/>
      <c r="AU54" s="15"/>
      <c r="AV54" s="15"/>
    </row>
    <row r="55" spans="1:48" x14ac:dyDescent="0.25">
      <c r="A55" s="15" t="s">
        <v>102</v>
      </c>
      <c r="B55" s="15" t="s">
        <v>47</v>
      </c>
      <c r="C55" s="15">
        <v>5</v>
      </c>
      <c r="D55" s="15"/>
      <c r="E55" s="15">
        <v>-1</v>
      </c>
      <c r="F55" s="15">
        <v>5</v>
      </c>
      <c r="G55" s="6">
        <v>0.4</v>
      </c>
      <c r="H55" s="15">
        <v>40</v>
      </c>
      <c r="I55" s="9" t="s">
        <v>54</v>
      </c>
      <c r="J55" s="15"/>
      <c r="K55" s="15">
        <v>41</v>
      </c>
      <c r="L55" s="15">
        <f t="shared" si="14"/>
        <v>-42</v>
      </c>
      <c r="M55" s="15"/>
      <c r="N55" s="15"/>
      <c r="O55" s="15"/>
      <c r="P55" s="15"/>
      <c r="Q55" s="15"/>
      <c r="R55" s="15">
        <v>30</v>
      </c>
      <c r="S55" s="15"/>
      <c r="T55" s="15"/>
      <c r="U55" s="15">
        <v>30</v>
      </c>
      <c r="V55" s="15"/>
      <c r="W55" s="15"/>
      <c r="X55" s="15">
        <f t="shared" si="15"/>
        <v>-0.2</v>
      </c>
      <c r="Y55" s="4">
        <v>30</v>
      </c>
      <c r="Z55" s="15">
        <f t="shared" si="16"/>
        <v>-475</v>
      </c>
      <c r="AA55" s="15">
        <f t="shared" si="17"/>
        <v>-325</v>
      </c>
      <c r="AB55" s="15">
        <v>-0.2</v>
      </c>
      <c r="AC55" s="15">
        <v>0</v>
      </c>
      <c r="AD55" s="15">
        <v>4</v>
      </c>
      <c r="AE55" s="15">
        <v>6.8</v>
      </c>
      <c r="AF55" s="15">
        <v>14.2</v>
      </c>
      <c r="AG55" s="15">
        <v>16.399999999999999</v>
      </c>
      <c r="AH55" s="15">
        <v>5.4</v>
      </c>
      <c r="AI55" s="15">
        <v>1.4</v>
      </c>
      <c r="AJ55" s="15">
        <v>11.6</v>
      </c>
      <c r="AK55" s="15">
        <v>12.6</v>
      </c>
      <c r="AL55" s="15"/>
      <c r="AM55" s="15">
        <f t="shared" si="19"/>
        <v>12</v>
      </c>
      <c r="AN55" s="15"/>
      <c r="AO55" s="15"/>
      <c r="AP55" s="15"/>
      <c r="AQ55" s="15"/>
      <c r="AR55" s="15"/>
      <c r="AS55" s="15"/>
      <c r="AT55" s="15"/>
      <c r="AU55" s="15"/>
      <c r="AV55" s="15"/>
    </row>
    <row r="56" spans="1:48" x14ac:dyDescent="0.25">
      <c r="A56" s="15" t="s">
        <v>103</v>
      </c>
      <c r="B56" s="15" t="s">
        <v>47</v>
      </c>
      <c r="C56" s="15">
        <v>4</v>
      </c>
      <c r="D56" s="15">
        <v>24</v>
      </c>
      <c r="E56" s="15">
        <v>2</v>
      </c>
      <c r="F56" s="15">
        <v>23</v>
      </c>
      <c r="G56" s="6">
        <v>0.4</v>
      </c>
      <c r="H56" s="15">
        <v>40</v>
      </c>
      <c r="I56" s="9" t="s">
        <v>54</v>
      </c>
      <c r="J56" s="15"/>
      <c r="K56" s="15">
        <v>37</v>
      </c>
      <c r="L56" s="15">
        <f t="shared" si="14"/>
        <v>-35</v>
      </c>
      <c r="M56" s="15"/>
      <c r="N56" s="15"/>
      <c r="O56" s="15"/>
      <c r="P56" s="15"/>
      <c r="Q56" s="15"/>
      <c r="R56" s="15">
        <v>50</v>
      </c>
      <c r="S56" s="15"/>
      <c r="T56" s="15"/>
      <c r="U56" s="15">
        <v>40</v>
      </c>
      <c r="V56" s="15"/>
      <c r="W56" s="15"/>
      <c r="X56" s="15">
        <f t="shared" si="15"/>
        <v>0.4</v>
      </c>
      <c r="Y56" s="4"/>
      <c r="Z56" s="15">
        <f t="shared" si="16"/>
        <v>282.5</v>
      </c>
      <c r="AA56" s="15">
        <f t="shared" si="17"/>
        <v>282.5</v>
      </c>
      <c r="AB56" s="15">
        <v>5.8</v>
      </c>
      <c r="AC56" s="15">
        <v>8.8000000000000007</v>
      </c>
      <c r="AD56" s="15">
        <v>8.6</v>
      </c>
      <c r="AE56" s="15">
        <v>7.4</v>
      </c>
      <c r="AF56" s="15">
        <v>8.1999999999999993</v>
      </c>
      <c r="AG56" s="15">
        <v>12.4</v>
      </c>
      <c r="AH56" s="15">
        <v>6.4</v>
      </c>
      <c r="AI56" s="15">
        <v>1.6</v>
      </c>
      <c r="AJ56" s="15">
        <v>2.6</v>
      </c>
      <c r="AK56" s="15">
        <v>2.4</v>
      </c>
      <c r="AL56" s="15"/>
      <c r="AM56" s="15">
        <f t="shared" si="19"/>
        <v>0</v>
      </c>
      <c r="AN56" s="15"/>
      <c r="AO56" s="15"/>
      <c r="AP56" s="15"/>
      <c r="AQ56" s="15"/>
      <c r="AR56" s="15"/>
      <c r="AS56" s="15"/>
      <c r="AT56" s="15"/>
      <c r="AU56" s="15"/>
      <c r="AV56" s="15"/>
    </row>
    <row r="57" spans="1:48" x14ac:dyDescent="0.25">
      <c r="A57" s="15" t="s">
        <v>104</v>
      </c>
      <c r="B57" s="15" t="s">
        <v>42</v>
      </c>
      <c r="C57" s="15">
        <v>113.446</v>
      </c>
      <c r="D57" s="15">
        <v>8.2959999999999994</v>
      </c>
      <c r="E57" s="15">
        <v>71.436000000000007</v>
      </c>
      <c r="F57" s="15">
        <v>40.954000000000001</v>
      </c>
      <c r="G57" s="6">
        <v>1</v>
      </c>
      <c r="H57" s="15">
        <v>50</v>
      </c>
      <c r="I57" s="15" t="s">
        <v>43</v>
      </c>
      <c r="J57" s="15"/>
      <c r="K57" s="15">
        <v>83.21</v>
      </c>
      <c r="L57" s="15">
        <f t="shared" si="14"/>
        <v>-11.773999999999987</v>
      </c>
      <c r="M57" s="15"/>
      <c r="N57" s="15"/>
      <c r="O57" s="15"/>
      <c r="P57" s="15"/>
      <c r="Q57" s="15"/>
      <c r="R57" s="15">
        <v>62.256999999999977</v>
      </c>
      <c r="S57" s="15"/>
      <c r="T57" s="15"/>
      <c r="U57" s="15">
        <v>76.660399999999996</v>
      </c>
      <c r="V57" s="15"/>
      <c r="W57" s="15"/>
      <c r="X57" s="15">
        <f t="shared" si="15"/>
        <v>14.287200000000002</v>
      </c>
      <c r="Y57" s="4"/>
      <c r="Z57" s="15">
        <f t="shared" si="16"/>
        <v>12.58968867237807</v>
      </c>
      <c r="AA57" s="15">
        <f t="shared" si="17"/>
        <v>12.58968867237807</v>
      </c>
      <c r="AB57" s="15">
        <v>18.321200000000001</v>
      </c>
      <c r="AC57" s="15">
        <v>15.973000000000001</v>
      </c>
      <c r="AD57" s="15">
        <v>7.6050000000000004</v>
      </c>
      <c r="AE57" s="15">
        <v>6.9670000000000014</v>
      </c>
      <c r="AF57" s="15">
        <v>5.6665999999999999</v>
      </c>
      <c r="AG57" s="15">
        <v>8.1686000000000014</v>
      </c>
      <c r="AH57" s="15">
        <v>15.286799999999999</v>
      </c>
      <c r="AI57" s="15">
        <v>16.098400000000002</v>
      </c>
      <c r="AJ57" s="15">
        <v>11.240600000000001</v>
      </c>
      <c r="AK57" s="15">
        <v>10.952</v>
      </c>
      <c r="AL57" s="15" t="s">
        <v>67</v>
      </c>
      <c r="AM57" s="15">
        <f t="shared" si="19"/>
        <v>0</v>
      </c>
      <c r="AN57" s="15"/>
      <c r="AO57" s="15"/>
      <c r="AP57" s="15"/>
      <c r="AQ57" s="15"/>
      <c r="AR57" s="15"/>
      <c r="AS57" s="15"/>
      <c r="AT57" s="15"/>
      <c r="AU57" s="15"/>
      <c r="AV57" s="15"/>
    </row>
    <row r="58" spans="1:48" x14ac:dyDescent="0.25">
      <c r="A58" s="15" t="s">
        <v>105</v>
      </c>
      <c r="B58" s="15" t="s">
        <v>47</v>
      </c>
      <c r="C58" s="15">
        <v>458</v>
      </c>
      <c r="D58" s="15">
        <v>200</v>
      </c>
      <c r="E58" s="16">
        <f>166+E132</f>
        <v>243</v>
      </c>
      <c r="F58" s="16">
        <f>490+F132</f>
        <v>629</v>
      </c>
      <c r="G58" s="6">
        <v>0.1</v>
      </c>
      <c r="H58" s="15">
        <v>731</v>
      </c>
      <c r="I58" s="15" t="s">
        <v>43</v>
      </c>
      <c r="J58" s="15"/>
      <c r="K58" s="15">
        <v>179</v>
      </c>
      <c r="L58" s="15">
        <f t="shared" si="14"/>
        <v>64</v>
      </c>
      <c r="M58" s="15"/>
      <c r="N58" s="15"/>
      <c r="O58" s="15"/>
      <c r="P58" s="15"/>
      <c r="Q58" s="15"/>
      <c r="R58" s="15">
        <v>0</v>
      </c>
      <c r="S58" s="15"/>
      <c r="T58" s="15"/>
      <c r="U58" s="15">
        <v>83.80000000000004</v>
      </c>
      <c r="V58" s="15"/>
      <c r="W58" s="15"/>
      <c r="X58" s="15">
        <f t="shared" si="15"/>
        <v>48.6</v>
      </c>
      <c r="Y58" s="4"/>
      <c r="Z58" s="15">
        <f t="shared" si="16"/>
        <v>14.666666666666668</v>
      </c>
      <c r="AA58" s="15">
        <f t="shared" si="17"/>
        <v>14.666666666666668</v>
      </c>
      <c r="AB58" s="15">
        <v>62.6</v>
      </c>
      <c r="AC58" s="15">
        <v>47.8</v>
      </c>
      <c r="AD58" s="15">
        <v>19.2</v>
      </c>
      <c r="AE58" s="15">
        <v>14.6</v>
      </c>
      <c r="AF58" s="15">
        <v>11.8</v>
      </c>
      <c r="AG58" s="15">
        <v>11</v>
      </c>
      <c r="AH58" s="15">
        <v>8.8000000000000007</v>
      </c>
      <c r="AI58" s="15">
        <v>7.2</v>
      </c>
      <c r="AJ58" s="15">
        <v>5.6</v>
      </c>
      <c r="AK58" s="15">
        <v>9</v>
      </c>
      <c r="AL58" s="15" t="s">
        <v>67</v>
      </c>
      <c r="AM58" s="15">
        <f t="shared" si="19"/>
        <v>0</v>
      </c>
      <c r="AN58" s="15"/>
      <c r="AO58" s="15"/>
      <c r="AP58" s="15"/>
      <c r="AQ58" s="15"/>
      <c r="AR58" s="15"/>
      <c r="AS58" s="15"/>
      <c r="AT58" s="15"/>
      <c r="AU58" s="15"/>
      <c r="AV58" s="15"/>
    </row>
    <row r="59" spans="1:48" x14ac:dyDescent="0.25">
      <c r="A59" s="15" t="s">
        <v>106</v>
      </c>
      <c r="B59" s="15" t="s">
        <v>42</v>
      </c>
      <c r="C59" s="15">
        <v>275.88400000000001</v>
      </c>
      <c r="D59" s="15">
        <v>86.314999999999998</v>
      </c>
      <c r="E59" s="15">
        <v>143.32</v>
      </c>
      <c r="F59" s="15">
        <v>216.81200000000001</v>
      </c>
      <c r="G59" s="6">
        <v>1</v>
      </c>
      <c r="H59" s="15">
        <v>50</v>
      </c>
      <c r="I59" s="15" t="s">
        <v>43</v>
      </c>
      <c r="J59" s="15"/>
      <c r="K59" s="15">
        <v>152.19999999999999</v>
      </c>
      <c r="L59" s="15">
        <f t="shared" si="14"/>
        <v>-8.8799999999999955</v>
      </c>
      <c r="M59" s="15"/>
      <c r="N59" s="15"/>
      <c r="O59" s="15"/>
      <c r="P59" s="15"/>
      <c r="Q59" s="15"/>
      <c r="R59" s="15">
        <v>0</v>
      </c>
      <c r="S59" s="15"/>
      <c r="T59" s="15"/>
      <c r="U59" s="15">
        <v>7.4985999999999819</v>
      </c>
      <c r="V59" s="15"/>
      <c r="W59" s="15"/>
      <c r="X59" s="15">
        <f t="shared" si="15"/>
        <v>28.663999999999998</v>
      </c>
      <c r="Y59" s="4">
        <f t="shared" si="20"/>
        <v>90.993399999999951</v>
      </c>
      <c r="Z59" s="15">
        <f t="shared" si="16"/>
        <v>11</v>
      </c>
      <c r="AA59" s="15">
        <f t="shared" si="17"/>
        <v>7.8255163271001953</v>
      </c>
      <c r="AB59" s="15">
        <v>22.774799999999999</v>
      </c>
      <c r="AC59" s="15">
        <v>14.909599999999999</v>
      </c>
      <c r="AD59" s="15">
        <v>28.376000000000001</v>
      </c>
      <c r="AE59" s="15">
        <v>33.974800000000002</v>
      </c>
      <c r="AF59" s="15">
        <v>26.335999999999999</v>
      </c>
      <c r="AG59" s="15">
        <v>11.852399999999999</v>
      </c>
      <c r="AH59" s="15">
        <v>21.3476</v>
      </c>
      <c r="AI59" s="15">
        <v>36.7468</v>
      </c>
      <c r="AJ59" s="15">
        <v>31.912400000000002</v>
      </c>
      <c r="AK59" s="15">
        <v>21.061199999999999</v>
      </c>
      <c r="AL59" s="15" t="s">
        <v>67</v>
      </c>
      <c r="AM59" s="15">
        <f t="shared" si="19"/>
        <v>90.993399999999951</v>
      </c>
      <c r="AN59" s="15"/>
      <c r="AO59" s="15"/>
      <c r="AP59" s="15"/>
      <c r="AQ59" s="15"/>
      <c r="AR59" s="15"/>
      <c r="AS59" s="15"/>
      <c r="AT59" s="15"/>
      <c r="AU59" s="15"/>
      <c r="AV59" s="15"/>
    </row>
    <row r="60" spans="1:48" x14ac:dyDescent="0.25">
      <c r="A60" s="15" t="s">
        <v>107</v>
      </c>
      <c r="B60" s="15" t="s">
        <v>42</v>
      </c>
      <c r="C60" s="15">
        <v>31.428999999999998</v>
      </c>
      <c r="D60" s="15">
        <v>44.881</v>
      </c>
      <c r="E60" s="15">
        <v>32.765000000000001</v>
      </c>
      <c r="F60" s="15">
        <v>42.197000000000003</v>
      </c>
      <c r="G60" s="6">
        <v>1</v>
      </c>
      <c r="H60" s="15">
        <v>55</v>
      </c>
      <c r="I60" s="15" t="s">
        <v>43</v>
      </c>
      <c r="J60" s="15"/>
      <c r="K60" s="15">
        <v>32.9</v>
      </c>
      <c r="L60" s="15">
        <f t="shared" si="14"/>
        <v>-0.13499999999999801</v>
      </c>
      <c r="M60" s="15"/>
      <c r="N60" s="15"/>
      <c r="O60" s="15"/>
      <c r="P60" s="15"/>
      <c r="Q60" s="15"/>
      <c r="R60" s="15">
        <v>0</v>
      </c>
      <c r="S60" s="15"/>
      <c r="T60" s="15"/>
      <c r="U60" s="15">
        <v>54.311000000000007</v>
      </c>
      <c r="V60" s="15"/>
      <c r="W60" s="15"/>
      <c r="X60" s="15">
        <f t="shared" si="15"/>
        <v>6.5529999999999999</v>
      </c>
      <c r="Y60" s="4"/>
      <c r="Z60" s="15">
        <f t="shared" si="16"/>
        <v>14.727300473065773</v>
      </c>
      <c r="AA60" s="15">
        <f t="shared" si="17"/>
        <v>14.727300473065773</v>
      </c>
      <c r="AB60" s="15">
        <v>8.4641999999999999</v>
      </c>
      <c r="AC60" s="15">
        <v>5.9944000000000006</v>
      </c>
      <c r="AD60" s="15">
        <v>7.5114000000000001</v>
      </c>
      <c r="AE60" s="15">
        <v>6.9714</v>
      </c>
      <c r="AF60" s="15">
        <v>5.4367999999999999</v>
      </c>
      <c r="AG60" s="15">
        <v>7.0358000000000001</v>
      </c>
      <c r="AH60" s="15">
        <v>6.7897999999999996</v>
      </c>
      <c r="AI60" s="15">
        <v>5.1970000000000001</v>
      </c>
      <c r="AJ60" s="15">
        <v>6.2530000000000001</v>
      </c>
      <c r="AK60" s="15">
        <v>6.7727999999999993</v>
      </c>
      <c r="AL60" s="15"/>
      <c r="AM60" s="15">
        <f t="shared" si="19"/>
        <v>0</v>
      </c>
      <c r="AN60" s="15"/>
      <c r="AO60" s="15"/>
      <c r="AP60" s="15"/>
      <c r="AQ60" s="15"/>
      <c r="AR60" s="15"/>
      <c r="AS60" s="15"/>
      <c r="AT60" s="15"/>
      <c r="AU60" s="15"/>
      <c r="AV60" s="15"/>
    </row>
    <row r="61" spans="1:48" x14ac:dyDescent="0.25">
      <c r="A61" s="15" t="s">
        <v>108</v>
      </c>
      <c r="B61" s="15" t="s">
        <v>47</v>
      </c>
      <c r="C61" s="15">
        <v>496</v>
      </c>
      <c r="D61" s="15">
        <v>300</v>
      </c>
      <c r="E61" s="15">
        <v>170</v>
      </c>
      <c r="F61" s="15">
        <v>626</v>
      </c>
      <c r="G61" s="6">
        <v>0.1</v>
      </c>
      <c r="H61" s="15">
        <v>731</v>
      </c>
      <c r="I61" s="15" t="s">
        <v>43</v>
      </c>
      <c r="J61" s="15"/>
      <c r="K61" s="15">
        <v>181</v>
      </c>
      <c r="L61" s="15">
        <f t="shared" si="14"/>
        <v>-11</v>
      </c>
      <c r="M61" s="15"/>
      <c r="N61" s="15"/>
      <c r="O61" s="15"/>
      <c r="P61" s="15"/>
      <c r="Q61" s="15"/>
      <c r="R61" s="15">
        <v>0</v>
      </c>
      <c r="S61" s="15"/>
      <c r="T61" s="15"/>
      <c r="U61" s="15">
        <v>0</v>
      </c>
      <c r="V61" s="15"/>
      <c r="W61" s="15"/>
      <c r="X61" s="15">
        <f t="shared" si="15"/>
        <v>34</v>
      </c>
      <c r="Y61" s="4"/>
      <c r="Z61" s="15">
        <f t="shared" si="16"/>
        <v>18.411764705882351</v>
      </c>
      <c r="AA61" s="15">
        <f t="shared" si="17"/>
        <v>18.411764705882351</v>
      </c>
      <c r="AB61" s="15">
        <v>39.6</v>
      </c>
      <c r="AC61" s="15">
        <v>29.8</v>
      </c>
      <c r="AD61" s="15">
        <v>25.2</v>
      </c>
      <c r="AE61" s="15">
        <v>21.2</v>
      </c>
      <c r="AF61" s="15">
        <v>13.2</v>
      </c>
      <c r="AG61" s="15">
        <v>16.2</v>
      </c>
      <c r="AH61" s="15">
        <v>10</v>
      </c>
      <c r="AI61" s="15">
        <v>5</v>
      </c>
      <c r="AJ61" s="15">
        <v>10.199999999999999</v>
      </c>
      <c r="AK61" s="15">
        <v>8.1999999999999993</v>
      </c>
      <c r="AL61" s="15" t="s">
        <v>67</v>
      </c>
      <c r="AM61" s="15">
        <f t="shared" si="19"/>
        <v>0</v>
      </c>
      <c r="AN61" s="15"/>
      <c r="AO61" s="15"/>
      <c r="AP61" s="15"/>
      <c r="AQ61" s="15"/>
      <c r="AR61" s="15"/>
      <c r="AS61" s="15"/>
      <c r="AT61" s="15"/>
      <c r="AU61" s="15"/>
      <c r="AV61" s="15"/>
    </row>
    <row r="62" spans="1:48" x14ac:dyDescent="0.25">
      <c r="A62" s="15" t="s">
        <v>109</v>
      </c>
      <c r="B62" s="15" t="s">
        <v>47</v>
      </c>
      <c r="C62" s="15">
        <v>24</v>
      </c>
      <c r="D62" s="15">
        <v>1</v>
      </c>
      <c r="E62" s="15">
        <v>20</v>
      </c>
      <c r="F62" s="15">
        <v>5</v>
      </c>
      <c r="G62" s="6">
        <v>0.4</v>
      </c>
      <c r="H62" s="15">
        <v>50</v>
      </c>
      <c r="I62" s="15" t="s">
        <v>43</v>
      </c>
      <c r="J62" s="15"/>
      <c r="K62" s="15">
        <v>20</v>
      </c>
      <c r="L62" s="15">
        <f t="shared" si="14"/>
        <v>0</v>
      </c>
      <c r="M62" s="15"/>
      <c r="N62" s="15"/>
      <c r="O62" s="15"/>
      <c r="P62" s="15"/>
      <c r="Q62" s="15"/>
      <c r="R62" s="15">
        <v>11.2</v>
      </c>
      <c r="S62" s="15"/>
      <c r="T62" s="15"/>
      <c r="U62" s="15">
        <v>10.6</v>
      </c>
      <c r="V62" s="15"/>
      <c r="W62" s="15"/>
      <c r="X62" s="15">
        <f t="shared" si="15"/>
        <v>4</v>
      </c>
      <c r="Y62" s="4">
        <f t="shared" si="20"/>
        <v>17.2</v>
      </c>
      <c r="Z62" s="15">
        <f t="shared" si="16"/>
        <v>11</v>
      </c>
      <c r="AA62" s="15">
        <f t="shared" si="17"/>
        <v>6.6999999999999993</v>
      </c>
      <c r="AB62" s="15">
        <v>3.4</v>
      </c>
      <c r="AC62" s="15">
        <v>3.2</v>
      </c>
      <c r="AD62" s="15">
        <v>1.2</v>
      </c>
      <c r="AE62" s="15">
        <v>0.2</v>
      </c>
      <c r="AF62" s="15">
        <v>3</v>
      </c>
      <c r="AG62" s="15">
        <v>3.4</v>
      </c>
      <c r="AH62" s="15">
        <v>1.8</v>
      </c>
      <c r="AI62" s="15">
        <v>1.8</v>
      </c>
      <c r="AJ62" s="15">
        <v>2</v>
      </c>
      <c r="AK62" s="15">
        <v>1.2</v>
      </c>
      <c r="AL62" s="15"/>
      <c r="AM62" s="15">
        <f t="shared" si="19"/>
        <v>6.88</v>
      </c>
      <c r="AN62" s="15"/>
      <c r="AO62" s="15"/>
      <c r="AP62" s="15"/>
      <c r="AQ62" s="15"/>
      <c r="AR62" s="15"/>
      <c r="AS62" s="15"/>
      <c r="AT62" s="15"/>
      <c r="AU62" s="15"/>
      <c r="AV62" s="15"/>
    </row>
    <row r="63" spans="1:48" x14ac:dyDescent="0.25">
      <c r="A63" s="15" t="s">
        <v>110</v>
      </c>
      <c r="B63" s="15" t="s">
        <v>42</v>
      </c>
      <c r="C63" s="15">
        <v>62.055</v>
      </c>
      <c r="D63" s="15">
        <v>66.688999999999993</v>
      </c>
      <c r="E63" s="15">
        <v>107.97499999999999</v>
      </c>
      <c r="F63" s="15">
        <v>18.059000000000001</v>
      </c>
      <c r="G63" s="6">
        <v>1</v>
      </c>
      <c r="H63" s="15">
        <v>40</v>
      </c>
      <c r="I63" s="9" t="s">
        <v>54</v>
      </c>
      <c r="J63" s="15"/>
      <c r="K63" s="15">
        <v>201.7</v>
      </c>
      <c r="L63" s="15">
        <f t="shared" si="14"/>
        <v>-93.724999999999994</v>
      </c>
      <c r="M63" s="15"/>
      <c r="N63" s="15"/>
      <c r="O63" s="15"/>
      <c r="P63" s="15"/>
      <c r="Q63" s="15"/>
      <c r="R63" s="15">
        <v>100</v>
      </c>
      <c r="S63" s="15"/>
      <c r="T63" s="15"/>
      <c r="U63" s="15">
        <v>150</v>
      </c>
      <c r="V63" s="15"/>
      <c r="W63" s="15"/>
      <c r="X63" s="15">
        <f t="shared" si="15"/>
        <v>21.594999999999999</v>
      </c>
      <c r="Y63" s="4"/>
      <c r="Z63" s="15">
        <f t="shared" si="16"/>
        <v>12.41301227135911</v>
      </c>
      <c r="AA63" s="15">
        <f t="shared" si="17"/>
        <v>12.41301227135911</v>
      </c>
      <c r="AB63" s="15">
        <v>26.615600000000001</v>
      </c>
      <c r="AC63" s="15">
        <v>27.269600000000001</v>
      </c>
      <c r="AD63" s="15">
        <v>19.244599999999998</v>
      </c>
      <c r="AE63" s="15">
        <v>2.0972</v>
      </c>
      <c r="AF63" s="15">
        <v>14.3964</v>
      </c>
      <c r="AG63" s="15">
        <v>41.171799999999998</v>
      </c>
      <c r="AH63" s="15">
        <v>27.4938</v>
      </c>
      <c r="AI63" s="15">
        <v>-0.44119999999999998</v>
      </c>
      <c r="AJ63" s="15">
        <v>24.540400000000002</v>
      </c>
      <c r="AK63" s="15">
        <v>38.078800000000001</v>
      </c>
      <c r="AL63" s="15"/>
      <c r="AM63" s="15">
        <f t="shared" si="19"/>
        <v>0</v>
      </c>
      <c r="AN63" s="15"/>
      <c r="AO63" s="15"/>
      <c r="AP63" s="15"/>
      <c r="AQ63" s="15"/>
      <c r="AR63" s="15"/>
      <c r="AS63" s="15"/>
      <c r="AT63" s="15"/>
      <c r="AU63" s="15"/>
      <c r="AV63" s="15"/>
    </row>
    <row r="64" spans="1:48" x14ac:dyDescent="0.25">
      <c r="A64" s="15" t="s">
        <v>111</v>
      </c>
      <c r="B64" s="15" t="s">
        <v>42</v>
      </c>
      <c r="C64" s="15">
        <v>230.16900000000001</v>
      </c>
      <c r="D64" s="15">
        <v>2.6509999999999998</v>
      </c>
      <c r="E64" s="15">
        <v>195.14699999999999</v>
      </c>
      <c r="F64" s="15">
        <v>37.82</v>
      </c>
      <c r="G64" s="6">
        <v>1</v>
      </c>
      <c r="H64" s="15">
        <v>40</v>
      </c>
      <c r="I64" s="9" t="s">
        <v>54</v>
      </c>
      <c r="J64" s="15"/>
      <c r="K64" s="15">
        <v>201.8</v>
      </c>
      <c r="L64" s="15">
        <f t="shared" si="14"/>
        <v>-6.65300000000002</v>
      </c>
      <c r="M64" s="15"/>
      <c r="N64" s="15"/>
      <c r="O64" s="15"/>
      <c r="P64" s="15"/>
      <c r="Q64" s="15"/>
      <c r="R64" s="15">
        <v>10</v>
      </c>
      <c r="S64" s="15"/>
      <c r="T64" s="15"/>
      <c r="U64" s="15">
        <v>230</v>
      </c>
      <c r="V64" s="15">
        <v>-234.9</v>
      </c>
      <c r="W64" s="15"/>
      <c r="X64" s="15">
        <f t="shared" si="15"/>
        <v>39.029399999999995</v>
      </c>
      <c r="Y64" s="4">
        <v>100</v>
      </c>
      <c r="Z64" s="15">
        <f t="shared" si="16"/>
        <v>3.6618549093760091</v>
      </c>
      <c r="AA64" s="15">
        <f t="shared" si="17"/>
        <v>1.099683828088569</v>
      </c>
      <c r="AB64" s="15">
        <v>33.448999999999998</v>
      </c>
      <c r="AC64" s="15">
        <v>20.904800000000002</v>
      </c>
      <c r="AD64" s="15">
        <v>8.2733999999999988</v>
      </c>
      <c r="AE64" s="15">
        <v>11.537800000000001</v>
      </c>
      <c r="AF64" s="15">
        <v>27.928999999999998</v>
      </c>
      <c r="AG64" s="15">
        <v>28.781600000000001</v>
      </c>
      <c r="AH64" s="15">
        <v>10.379</v>
      </c>
      <c r="AI64" s="15">
        <v>0.11600000000000001</v>
      </c>
      <c r="AJ64" s="15">
        <v>14.08</v>
      </c>
      <c r="AK64" s="15">
        <v>17.272600000000001</v>
      </c>
      <c r="AL64" s="15"/>
      <c r="AM64" s="15">
        <f t="shared" si="19"/>
        <v>100</v>
      </c>
      <c r="AN64" s="15"/>
      <c r="AO64" s="15"/>
      <c r="AP64" s="15"/>
      <c r="AQ64" s="15"/>
      <c r="AR64" s="15"/>
      <c r="AS64" s="15"/>
      <c r="AT64" s="15"/>
      <c r="AU64" s="15"/>
      <c r="AV64" s="15"/>
    </row>
    <row r="65" spans="1:48" x14ac:dyDescent="0.25">
      <c r="A65" s="15" t="s">
        <v>112</v>
      </c>
      <c r="B65" s="15" t="s">
        <v>47</v>
      </c>
      <c r="C65" s="15">
        <v>64</v>
      </c>
      <c r="D65" s="15">
        <v>204</v>
      </c>
      <c r="E65" s="15">
        <v>144</v>
      </c>
      <c r="F65" s="15">
        <v>97</v>
      </c>
      <c r="G65" s="6">
        <v>0.4</v>
      </c>
      <c r="H65" s="15">
        <v>40</v>
      </c>
      <c r="I65" s="9" t="s">
        <v>54</v>
      </c>
      <c r="J65" s="15"/>
      <c r="K65" s="15">
        <v>488</v>
      </c>
      <c r="L65" s="15">
        <f t="shared" si="14"/>
        <v>-344</v>
      </c>
      <c r="M65" s="15"/>
      <c r="N65" s="15"/>
      <c r="O65" s="15"/>
      <c r="P65" s="15"/>
      <c r="Q65" s="15"/>
      <c r="R65" s="15">
        <v>350</v>
      </c>
      <c r="S65" s="15"/>
      <c r="T65" s="15"/>
      <c r="U65" s="15">
        <v>450</v>
      </c>
      <c r="V65" s="15"/>
      <c r="W65" s="15"/>
      <c r="X65" s="15">
        <f t="shared" si="15"/>
        <v>28.8</v>
      </c>
      <c r="Y65" s="4">
        <v>300</v>
      </c>
      <c r="Z65" s="15">
        <f t="shared" si="16"/>
        <v>41.5625</v>
      </c>
      <c r="AA65" s="15">
        <f t="shared" si="17"/>
        <v>31.145833333333332</v>
      </c>
      <c r="AB65" s="15">
        <v>9</v>
      </c>
      <c r="AC65" s="15">
        <v>49</v>
      </c>
      <c r="AD65" s="15">
        <v>115.2</v>
      </c>
      <c r="AE65" s="15">
        <v>114</v>
      </c>
      <c r="AF65" s="15">
        <v>79.599999999999994</v>
      </c>
      <c r="AG65" s="15">
        <v>77.400000000000006</v>
      </c>
      <c r="AH65" s="15">
        <v>91.4</v>
      </c>
      <c r="AI65" s="15">
        <v>92.8</v>
      </c>
      <c r="AJ65" s="15">
        <v>116.4</v>
      </c>
      <c r="AK65" s="15">
        <v>96.4</v>
      </c>
      <c r="AL65" s="15"/>
      <c r="AM65" s="15">
        <f t="shared" si="19"/>
        <v>120</v>
      </c>
      <c r="AN65" s="15"/>
      <c r="AO65" s="15"/>
      <c r="AP65" s="15"/>
      <c r="AQ65" s="15"/>
      <c r="AR65" s="15"/>
      <c r="AS65" s="15"/>
      <c r="AT65" s="15"/>
      <c r="AU65" s="15"/>
      <c r="AV65" s="15"/>
    </row>
    <row r="66" spans="1:48" x14ac:dyDescent="0.25">
      <c r="A66" s="15" t="s">
        <v>113</v>
      </c>
      <c r="B66" s="15" t="s">
        <v>47</v>
      </c>
      <c r="C66" s="15">
        <v>118</v>
      </c>
      <c r="D66" s="15">
        <v>207</v>
      </c>
      <c r="E66" s="15">
        <v>191</v>
      </c>
      <c r="F66" s="15">
        <v>112</v>
      </c>
      <c r="G66" s="6">
        <v>0.4</v>
      </c>
      <c r="H66" s="15">
        <v>40</v>
      </c>
      <c r="I66" s="15" t="s">
        <v>43</v>
      </c>
      <c r="J66" s="15"/>
      <c r="K66" s="15">
        <v>312</v>
      </c>
      <c r="L66" s="15">
        <f t="shared" si="14"/>
        <v>-121</v>
      </c>
      <c r="M66" s="15"/>
      <c r="N66" s="15"/>
      <c r="O66" s="15"/>
      <c r="P66" s="15"/>
      <c r="Q66" s="15"/>
      <c r="R66" s="15">
        <v>148.6</v>
      </c>
      <c r="S66" s="15"/>
      <c r="T66" s="15"/>
      <c r="U66" s="15">
        <v>346.4</v>
      </c>
      <c r="V66" s="15"/>
      <c r="W66" s="15"/>
      <c r="X66" s="15">
        <f t="shared" si="15"/>
        <v>38.200000000000003</v>
      </c>
      <c r="Y66" s="4"/>
      <c r="Z66" s="15">
        <f t="shared" si="16"/>
        <v>15.890052356020941</v>
      </c>
      <c r="AA66" s="15">
        <f t="shared" si="17"/>
        <v>15.890052356020941</v>
      </c>
      <c r="AB66" s="15">
        <v>54</v>
      </c>
      <c r="AC66" s="15">
        <v>42.6</v>
      </c>
      <c r="AD66" s="15">
        <v>53.4</v>
      </c>
      <c r="AE66" s="15">
        <v>71.599999999999994</v>
      </c>
      <c r="AF66" s="15">
        <v>43.4</v>
      </c>
      <c r="AG66" s="15">
        <v>48.2</v>
      </c>
      <c r="AH66" s="15">
        <v>41.2</v>
      </c>
      <c r="AI66" s="15">
        <v>26.2</v>
      </c>
      <c r="AJ66" s="15">
        <v>68.599999999999994</v>
      </c>
      <c r="AK66" s="15">
        <v>67</v>
      </c>
      <c r="AL66" s="15"/>
      <c r="AM66" s="15">
        <f t="shared" si="19"/>
        <v>0</v>
      </c>
      <c r="AN66" s="15"/>
      <c r="AO66" s="15"/>
      <c r="AP66" s="15"/>
      <c r="AQ66" s="15"/>
      <c r="AR66" s="15"/>
      <c r="AS66" s="15"/>
      <c r="AT66" s="15"/>
      <c r="AU66" s="15"/>
      <c r="AV66" s="15"/>
    </row>
    <row r="67" spans="1:48" x14ac:dyDescent="0.25">
      <c r="A67" s="15" t="s">
        <v>114</v>
      </c>
      <c r="B67" s="15" t="s">
        <v>42</v>
      </c>
      <c r="C67" s="15">
        <v>-8.8059999999999992</v>
      </c>
      <c r="D67" s="15">
        <v>76.003</v>
      </c>
      <c r="E67" s="15">
        <v>40.884</v>
      </c>
      <c r="F67" s="15">
        <v>12.641999999999999</v>
      </c>
      <c r="G67" s="6">
        <v>1</v>
      </c>
      <c r="H67" s="15">
        <v>40</v>
      </c>
      <c r="I67" s="9" t="s">
        <v>54</v>
      </c>
      <c r="J67" s="15"/>
      <c r="K67" s="15">
        <v>72.8</v>
      </c>
      <c r="L67" s="15">
        <f t="shared" si="14"/>
        <v>-31.915999999999997</v>
      </c>
      <c r="M67" s="15"/>
      <c r="N67" s="15"/>
      <c r="O67" s="15"/>
      <c r="P67" s="15"/>
      <c r="Q67" s="15"/>
      <c r="R67" s="15">
        <v>100</v>
      </c>
      <c r="S67" s="15"/>
      <c r="T67" s="15"/>
      <c r="U67" s="15">
        <v>40</v>
      </c>
      <c r="V67" s="15">
        <v>-43.2</v>
      </c>
      <c r="W67" s="15"/>
      <c r="X67" s="15">
        <f t="shared" si="15"/>
        <v>8.1768000000000001</v>
      </c>
      <c r="Y67" s="4">
        <v>50</v>
      </c>
      <c r="Z67" s="15">
        <f t="shared" si="16"/>
        <v>19.499315135505334</v>
      </c>
      <c r="AA67" s="15">
        <f t="shared" si="17"/>
        <v>13.384453575971039</v>
      </c>
      <c r="AB67" s="15">
        <v>2.9136000000000002</v>
      </c>
      <c r="AC67" s="15">
        <v>16.226600000000001</v>
      </c>
      <c r="AD67" s="15">
        <v>18.217400000000001</v>
      </c>
      <c r="AE67" s="15">
        <v>20.844200000000001</v>
      </c>
      <c r="AF67" s="15">
        <v>20.661999999999999</v>
      </c>
      <c r="AG67" s="15">
        <v>14.938599999999999</v>
      </c>
      <c r="AH67" s="15">
        <v>33.050400000000003</v>
      </c>
      <c r="AI67" s="15">
        <v>30.191199999999998</v>
      </c>
      <c r="AJ67" s="15">
        <v>25.393000000000001</v>
      </c>
      <c r="AK67" s="15">
        <v>20.536000000000001</v>
      </c>
      <c r="AL67" s="15"/>
      <c r="AM67" s="15">
        <f t="shared" si="19"/>
        <v>50</v>
      </c>
      <c r="AN67" s="15"/>
      <c r="AO67" s="15"/>
      <c r="AP67" s="15"/>
      <c r="AQ67" s="15"/>
      <c r="AR67" s="15"/>
      <c r="AS67" s="15"/>
      <c r="AT67" s="15"/>
      <c r="AU67" s="15"/>
      <c r="AV67" s="15"/>
    </row>
    <row r="68" spans="1:48" x14ac:dyDescent="0.25">
      <c r="A68" s="15" t="s">
        <v>115</v>
      </c>
      <c r="B68" s="15" t="s">
        <v>42</v>
      </c>
      <c r="C68" s="15">
        <v>10.363</v>
      </c>
      <c r="D68" s="15">
        <v>1.8</v>
      </c>
      <c r="E68" s="15">
        <v>-6.351</v>
      </c>
      <c r="F68" s="15">
        <v>10.363</v>
      </c>
      <c r="G68" s="6">
        <v>1</v>
      </c>
      <c r="H68" s="15">
        <v>40</v>
      </c>
      <c r="I68" s="9" t="s">
        <v>54</v>
      </c>
      <c r="J68" s="15"/>
      <c r="K68" s="15">
        <v>98.5</v>
      </c>
      <c r="L68" s="15">
        <f t="shared" si="14"/>
        <v>-104.851</v>
      </c>
      <c r="M68" s="15"/>
      <c r="N68" s="15"/>
      <c r="O68" s="15"/>
      <c r="P68" s="15"/>
      <c r="Q68" s="15"/>
      <c r="R68" s="15">
        <v>50</v>
      </c>
      <c r="S68" s="15">
        <v>-54</v>
      </c>
      <c r="T68" s="15"/>
      <c r="U68" s="15">
        <v>100</v>
      </c>
      <c r="V68" s="15">
        <v>-102.6</v>
      </c>
      <c r="W68" s="15"/>
      <c r="X68" s="15">
        <f t="shared" si="15"/>
        <v>-1.2702</v>
      </c>
      <c r="Y68" s="4">
        <v>50</v>
      </c>
      <c r="Z68" s="15">
        <f t="shared" si="16"/>
        <v>-42.326405290505434</v>
      </c>
      <c r="AA68" s="15">
        <f t="shared" si="17"/>
        <v>-2.9625255865218119</v>
      </c>
      <c r="AB68" s="15">
        <v>-1.0875999999999999</v>
      </c>
      <c r="AC68" s="15">
        <v>10.1266</v>
      </c>
      <c r="AD68" s="15">
        <v>11.384600000000001</v>
      </c>
      <c r="AE68" s="15">
        <v>8.4802</v>
      </c>
      <c r="AF68" s="15">
        <v>12.4748</v>
      </c>
      <c r="AG68" s="15">
        <v>12.3028</v>
      </c>
      <c r="AH68" s="15">
        <v>24.300599999999999</v>
      </c>
      <c r="AI68" s="15">
        <v>29.9604</v>
      </c>
      <c r="AJ68" s="15">
        <v>28.129000000000001</v>
      </c>
      <c r="AK68" s="15">
        <v>21.1816</v>
      </c>
      <c r="AL68" s="15"/>
      <c r="AM68" s="15">
        <f t="shared" si="19"/>
        <v>50</v>
      </c>
      <c r="AN68" s="15"/>
      <c r="AO68" s="15"/>
      <c r="AP68" s="15"/>
      <c r="AQ68" s="15"/>
      <c r="AR68" s="15"/>
      <c r="AS68" s="15"/>
      <c r="AT68" s="15"/>
      <c r="AU68" s="15"/>
      <c r="AV68" s="15"/>
    </row>
    <row r="69" spans="1:48" x14ac:dyDescent="0.25">
      <c r="A69" s="15" t="s">
        <v>116</v>
      </c>
      <c r="B69" s="15" t="s">
        <v>42</v>
      </c>
      <c r="C69" s="15">
        <v>3.806</v>
      </c>
      <c r="D69" s="15">
        <v>1.8</v>
      </c>
      <c r="E69" s="15">
        <v>-4.5060000000000002</v>
      </c>
      <c r="F69" s="15">
        <v>3.806</v>
      </c>
      <c r="G69" s="6">
        <v>1</v>
      </c>
      <c r="H69" s="15">
        <v>40</v>
      </c>
      <c r="I69" s="9" t="s">
        <v>54</v>
      </c>
      <c r="J69" s="15"/>
      <c r="K69" s="15">
        <v>192.2</v>
      </c>
      <c r="L69" s="15">
        <f t="shared" si="14"/>
        <v>-196.70599999999999</v>
      </c>
      <c r="M69" s="15"/>
      <c r="N69" s="15"/>
      <c r="O69" s="15"/>
      <c r="P69" s="15"/>
      <c r="Q69" s="15"/>
      <c r="R69" s="15">
        <v>400</v>
      </c>
      <c r="S69" s="15"/>
      <c r="T69" s="15"/>
      <c r="U69" s="15">
        <v>300</v>
      </c>
      <c r="V69" s="15"/>
      <c r="W69" s="15"/>
      <c r="X69" s="15">
        <f t="shared" si="15"/>
        <v>-0.9012</v>
      </c>
      <c r="Y69" s="4"/>
      <c r="Z69" s="15">
        <f t="shared" si="16"/>
        <v>-780.96537949400806</v>
      </c>
      <c r="AA69" s="15">
        <f t="shared" si="17"/>
        <v>-780.96537949400806</v>
      </c>
      <c r="AB69" s="15">
        <v>26.5594</v>
      </c>
      <c r="AC69" s="15">
        <v>56.472000000000001</v>
      </c>
      <c r="AD69" s="15">
        <v>75.826599999999999</v>
      </c>
      <c r="AE69" s="15">
        <v>76.188999999999993</v>
      </c>
      <c r="AF69" s="15">
        <v>96.034199999999998</v>
      </c>
      <c r="AG69" s="15">
        <v>98.497799999999998</v>
      </c>
      <c r="AH69" s="15">
        <v>30.181999999999999</v>
      </c>
      <c r="AI69" s="15">
        <v>6.6635999999999997</v>
      </c>
      <c r="AJ69" s="15">
        <v>112.02800000000001</v>
      </c>
      <c r="AK69" s="15">
        <v>120.03919999999999</v>
      </c>
      <c r="AL69" s="15"/>
      <c r="AM69" s="15">
        <f t="shared" si="19"/>
        <v>0</v>
      </c>
      <c r="AN69" s="15"/>
      <c r="AO69" s="15"/>
      <c r="AP69" s="15"/>
      <c r="AQ69" s="15"/>
      <c r="AR69" s="15"/>
      <c r="AS69" s="15"/>
      <c r="AT69" s="15"/>
      <c r="AU69" s="15"/>
      <c r="AV69" s="15"/>
    </row>
    <row r="70" spans="1:48" x14ac:dyDescent="0.25">
      <c r="A70" s="15" t="s">
        <v>117</v>
      </c>
      <c r="B70" s="15" t="s">
        <v>42</v>
      </c>
      <c r="C70" s="15">
        <v>51.956000000000003</v>
      </c>
      <c r="D70" s="15">
        <v>92.433000000000007</v>
      </c>
      <c r="E70" s="15">
        <v>71.792000000000002</v>
      </c>
      <c r="F70" s="15">
        <v>11.217000000000001</v>
      </c>
      <c r="G70" s="6">
        <v>1</v>
      </c>
      <c r="H70" s="15">
        <v>40</v>
      </c>
      <c r="I70" s="9" t="s">
        <v>54</v>
      </c>
      <c r="J70" s="15"/>
      <c r="K70" s="15">
        <v>174.6</v>
      </c>
      <c r="L70" s="15">
        <f t="shared" ref="L70:L101" si="21">E70-K70</f>
        <v>-102.80799999999999</v>
      </c>
      <c r="M70" s="15"/>
      <c r="N70" s="15"/>
      <c r="O70" s="15"/>
      <c r="P70" s="15"/>
      <c r="Q70" s="15"/>
      <c r="R70" s="15">
        <v>30</v>
      </c>
      <c r="S70" s="15">
        <v>-32.4</v>
      </c>
      <c r="T70" s="15"/>
      <c r="U70" s="15">
        <v>120</v>
      </c>
      <c r="V70" s="15">
        <v>-124.2</v>
      </c>
      <c r="W70" s="15"/>
      <c r="X70" s="15">
        <f t="shared" ref="X70:X101" si="22">E70/5</f>
        <v>14.3584</v>
      </c>
      <c r="Y70" s="4">
        <v>80</v>
      </c>
      <c r="Z70" s="15">
        <f t="shared" ref="Z70:Z101" si="23">(F70+O70+P70+R70+S70+T70+U70+V70+W70+Y70)/X70</f>
        <v>5.8932053710719865</v>
      </c>
      <c r="AA70" s="15">
        <f t="shared" ref="AA70:AA101" si="24">(F70+O70+P70+R70+S70+T70+U70+V70+W70)/X70</f>
        <v>0.32155393358591516</v>
      </c>
      <c r="AB70" s="15">
        <v>-0.11700000000000001</v>
      </c>
      <c r="AC70" s="15">
        <v>11.7364</v>
      </c>
      <c r="AD70" s="15">
        <v>16.224799999999998</v>
      </c>
      <c r="AE70" s="15">
        <v>34.017000000000003</v>
      </c>
      <c r="AF70" s="15">
        <v>35.487000000000002</v>
      </c>
      <c r="AG70" s="15">
        <v>19.944600000000001</v>
      </c>
      <c r="AH70" s="15">
        <v>39.397399999999998</v>
      </c>
      <c r="AI70" s="15">
        <v>36.114600000000003</v>
      </c>
      <c r="AJ70" s="15">
        <v>34.558800000000012</v>
      </c>
      <c r="AK70" s="15">
        <v>25.469000000000001</v>
      </c>
      <c r="AL70" s="15"/>
      <c r="AM70" s="15">
        <f t="shared" si="19"/>
        <v>80</v>
      </c>
      <c r="AN70" s="15"/>
      <c r="AO70" s="15"/>
      <c r="AP70" s="15"/>
      <c r="AQ70" s="15"/>
      <c r="AR70" s="15"/>
      <c r="AS70" s="15"/>
      <c r="AT70" s="15"/>
      <c r="AU70" s="15"/>
      <c r="AV70" s="15"/>
    </row>
    <row r="71" spans="1:48" x14ac:dyDescent="0.25">
      <c r="A71" s="11" t="s">
        <v>118</v>
      </c>
      <c r="B71" s="11" t="s">
        <v>47</v>
      </c>
      <c r="C71" s="11"/>
      <c r="D71" s="11"/>
      <c r="E71" s="11"/>
      <c r="F71" s="11"/>
      <c r="G71" s="12">
        <v>0</v>
      </c>
      <c r="H71" s="11"/>
      <c r="I71" s="11" t="s">
        <v>43</v>
      </c>
      <c r="J71" s="11"/>
      <c r="K71" s="11"/>
      <c r="L71" s="11">
        <f t="shared" si="21"/>
        <v>0</v>
      </c>
      <c r="M71" s="11"/>
      <c r="N71" s="11"/>
      <c r="O71" s="11"/>
      <c r="P71" s="11"/>
      <c r="Q71" s="11"/>
      <c r="R71" s="11">
        <v>0</v>
      </c>
      <c r="S71" s="11"/>
      <c r="T71" s="11"/>
      <c r="U71" s="11">
        <v>0</v>
      </c>
      <c r="V71" s="11"/>
      <c r="W71" s="11"/>
      <c r="X71" s="11">
        <f t="shared" si="22"/>
        <v>0</v>
      </c>
      <c r="Y71" s="13"/>
      <c r="Z71" s="11" t="e">
        <f t="shared" si="23"/>
        <v>#DIV/0!</v>
      </c>
      <c r="AA71" s="11" t="e">
        <f t="shared" si="24"/>
        <v>#DIV/0!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 t="s">
        <v>48</v>
      </c>
      <c r="AM71" s="11"/>
      <c r="AN71" s="15"/>
      <c r="AO71" s="15"/>
      <c r="AP71" s="15"/>
      <c r="AQ71" s="15"/>
      <c r="AR71" s="15"/>
      <c r="AS71" s="15"/>
      <c r="AT71" s="15"/>
      <c r="AU71" s="15"/>
      <c r="AV71" s="15"/>
    </row>
    <row r="72" spans="1:48" x14ac:dyDescent="0.25">
      <c r="A72" s="15" t="s">
        <v>119</v>
      </c>
      <c r="B72" s="15" t="s">
        <v>42</v>
      </c>
      <c r="C72" s="15">
        <v>135.37</v>
      </c>
      <c r="D72" s="15">
        <v>5.0629999999999997</v>
      </c>
      <c r="E72" s="15">
        <v>31.529</v>
      </c>
      <c r="F72" s="15">
        <v>97.472999999999999</v>
      </c>
      <c r="G72" s="6">
        <v>1</v>
      </c>
      <c r="H72" s="15">
        <v>30</v>
      </c>
      <c r="I72" s="9" t="s">
        <v>54</v>
      </c>
      <c r="J72" s="15"/>
      <c r="K72" s="15">
        <v>226.2</v>
      </c>
      <c r="L72" s="15">
        <f t="shared" si="21"/>
        <v>-194.67099999999999</v>
      </c>
      <c r="M72" s="15"/>
      <c r="N72" s="15"/>
      <c r="O72" s="15"/>
      <c r="P72" s="15"/>
      <c r="Q72" s="15"/>
      <c r="R72" s="15">
        <v>150</v>
      </c>
      <c r="S72" s="15"/>
      <c r="T72" s="15"/>
      <c r="U72" s="15">
        <v>150</v>
      </c>
      <c r="V72" s="15"/>
      <c r="W72" s="15"/>
      <c r="X72" s="15">
        <f t="shared" si="22"/>
        <v>6.3057999999999996</v>
      </c>
      <c r="Y72" s="4"/>
      <c r="Z72" s="15">
        <f t="shared" si="23"/>
        <v>63.032922071743478</v>
      </c>
      <c r="AA72" s="15">
        <f t="shared" si="24"/>
        <v>63.032922071743478</v>
      </c>
      <c r="AB72" s="15">
        <v>38.624600000000001</v>
      </c>
      <c r="AC72" s="15">
        <v>42.8994</v>
      </c>
      <c r="AD72" s="15">
        <v>11.5352</v>
      </c>
      <c r="AE72" s="15">
        <v>1.75</v>
      </c>
      <c r="AF72" s="15">
        <v>29.075600000000001</v>
      </c>
      <c r="AG72" s="15">
        <v>33.2898</v>
      </c>
      <c r="AH72" s="15">
        <v>11.0556</v>
      </c>
      <c r="AI72" s="15">
        <v>4.7800000000000002E-2</v>
      </c>
      <c r="AJ72" s="15">
        <v>28.5642</v>
      </c>
      <c r="AK72" s="15">
        <v>35.5794</v>
      </c>
      <c r="AL72" s="17" t="s">
        <v>184</v>
      </c>
      <c r="AM72" s="15">
        <f>G72*Y72</f>
        <v>0</v>
      </c>
      <c r="AN72" s="15"/>
      <c r="AO72" s="15"/>
      <c r="AP72" s="15"/>
      <c r="AQ72" s="15"/>
      <c r="AR72" s="15"/>
      <c r="AS72" s="15"/>
      <c r="AT72" s="15"/>
      <c r="AU72" s="15"/>
      <c r="AV72" s="15"/>
    </row>
    <row r="73" spans="1:48" x14ac:dyDescent="0.25">
      <c r="A73" s="8" t="s">
        <v>120</v>
      </c>
      <c r="B73" s="15" t="s">
        <v>47</v>
      </c>
      <c r="C73" s="15">
        <v>3</v>
      </c>
      <c r="D73" s="15">
        <v>416</v>
      </c>
      <c r="E73" s="16">
        <f>3+E75</f>
        <v>6</v>
      </c>
      <c r="F73" s="16">
        <f>415+F75</f>
        <v>412</v>
      </c>
      <c r="G73" s="6">
        <v>0.6</v>
      </c>
      <c r="H73" s="15">
        <v>60</v>
      </c>
      <c r="I73" s="15" t="s">
        <v>43</v>
      </c>
      <c r="J73" s="15"/>
      <c r="K73" s="15">
        <v>60</v>
      </c>
      <c r="L73" s="15">
        <f t="shared" si="21"/>
        <v>-54</v>
      </c>
      <c r="M73" s="15"/>
      <c r="N73" s="15"/>
      <c r="O73" s="15"/>
      <c r="P73" s="15"/>
      <c r="Q73" s="15"/>
      <c r="R73" s="15">
        <v>0</v>
      </c>
      <c r="S73" s="15"/>
      <c r="T73" s="15"/>
      <c r="U73" s="15">
        <v>0</v>
      </c>
      <c r="V73" s="15"/>
      <c r="W73" s="15"/>
      <c r="X73" s="15">
        <f t="shared" si="22"/>
        <v>1.2</v>
      </c>
      <c r="Y73" s="4"/>
      <c r="Z73" s="15">
        <f t="shared" si="23"/>
        <v>343.33333333333337</v>
      </c>
      <c r="AA73" s="15">
        <f t="shared" si="24"/>
        <v>343.33333333333337</v>
      </c>
      <c r="AB73" s="15">
        <v>3.2</v>
      </c>
      <c r="AC73" s="15">
        <v>19.399999999999999</v>
      </c>
      <c r="AD73" s="15">
        <v>37</v>
      </c>
      <c r="AE73" s="15">
        <v>27.2</v>
      </c>
      <c r="AF73" s="15">
        <v>8.6</v>
      </c>
      <c r="AG73" s="15">
        <v>18.600000000000001</v>
      </c>
      <c r="AH73" s="15">
        <v>21.6</v>
      </c>
      <c r="AI73" s="15">
        <v>26</v>
      </c>
      <c r="AJ73" s="15">
        <v>22.8</v>
      </c>
      <c r="AK73" s="15">
        <v>9.8000000000000007</v>
      </c>
      <c r="AL73" s="15"/>
      <c r="AM73" s="15">
        <f>G73*Y73</f>
        <v>0</v>
      </c>
      <c r="AN73" s="15"/>
      <c r="AO73" s="15"/>
      <c r="AP73" s="15"/>
      <c r="AQ73" s="15"/>
      <c r="AR73" s="15"/>
      <c r="AS73" s="15"/>
      <c r="AT73" s="15"/>
      <c r="AU73" s="15"/>
      <c r="AV73" s="15"/>
    </row>
    <row r="74" spans="1:48" x14ac:dyDescent="0.25">
      <c r="A74" s="15" t="s">
        <v>121</v>
      </c>
      <c r="B74" s="15" t="s">
        <v>47</v>
      </c>
      <c r="C74" s="15">
        <v>66</v>
      </c>
      <c r="D74" s="15">
        <v>472</v>
      </c>
      <c r="E74" s="15">
        <v>59</v>
      </c>
      <c r="F74" s="15">
        <v>463</v>
      </c>
      <c r="G74" s="6">
        <v>0.6</v>
      </c>
      <c r="H74" s="15">
        <v>60</v>
      </c>
      <c r="I74" s="15" t="s">
        <v>43</v>
      </c>
      <c r="J74" s="15"/>
      <c r="K74" s="15">
        <v>105</v>
      </c>
      <c r="L74" s="15">
        <f t="shared" si="21"/>
        <v>-46</v>
      </c>
      <c r="M74" s="15"/>
      <c r="N74" s="15"/>
      <c r="O74" s="15"/>
      <c r="P74" s="15"/>
      <c r="Q74" s="15"/>
      <c r="R74" s="15">
        <v>0</v>
      </c>
      <c r="S74" s="15"/>
      <c r="T74" s="15"/>
      <c r="U74" s="15">
        <v>0</v>
      </c>
      <c r="V74" s="15"/>
      <c r="W74" s="15"/>
      <c r="X74" s="15">
        <f t="shared" si="22"/>
        <v>11.8</v>
      </c>
      <c r="Y74" s="4"/>
      <c r="Z74" s="15">
        <f t="shared" si="23"/>
        <v>39.237288135593218</v>
      </c>
      <c r="AA74" s="15">
        <f t="shared" si="24"/>
        <v>39.237288135593218</v>
      </c>
      <c r="AB74" s="15">
        <v>25.4</v>
      </c>
      <c r="AC74" s="15">
        <v>30.4</v>
      </c>
      <c r="AD74" s="15">
        <v>51</v>
      </c>
      <c r="AE74" s="15">
        <v>42</v>
      </c>
      <c r="AF74" s="15">
        <v>18.399999999999999</v>
      </c>
      <c r="AG74" s="15">
        <v>32</v>
      </c>
      <c r="AH74" s="15">
        <v>28.4</v>
      </c>
      <c r="AI74" s="15">
        <v>31.4</v>
      </c>
      <c r="AJ74" s="15">
        <v>38.799999999999997</v>
      </c>
      <c r="AK74" s="15">
        <v>27.8</v>
      </c>
      <c r="AL74" s="17" t="s">
        <v>185</v>
      </c>
      <c r="AM74" s="15">
        <f>G74*Y74</f>
        <v>0</v>
      </c>
      <c r="AN74" s="15"/>
      <c r="AO74" s="15"/>
      <c r="AP74" s="15"/>
      <c r="AQ74" s="15"/>
      <c r="AR74" s="15"/>
      <c r="AS74" s="15"/>
      <c r="AT74" s="15"/>
      <c r="AU74" s="15"/>
      <c r="AV74" s="15"/>
    </row>
    <row r="75" spans="1:48" x14ac:dyDescent="0.25">
      <c r="A75" s="14" t="s">
        <v>122</v>
      </c>
      <c r="B75" s="11" t="s">
        <v>47</v>
      </c>
      <c r="C75" s="11"/>
      <c r="D75" s="11"/>
      <c r="E75" s="16">
        <v>3</v>
      </c>
      <c r="F75" s="16">
        <v>-3</v>
      </c>
      <c r="G75" s="12">
        <v>0</v>
      </c>
      <c r="H75" s="11"/>
      <c r="I75" s="14" t="s">
        <v>79</v>
      </c>
      <c r="J75" s="11" t="s">
        <v>120</v>
      </c>
      <c r="K75" s="11">
        <v>3</v>
      </c>
      <c r="L75" s="11">
        <f t="shared" si="21"/>
        <v>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>
        <f t="shared" si="22"/>
        <v>0.6</v>
      </c>
      <c r="Y75" s="13"/>
      <c r="Z75" s="11">
        <f t="shared" si="23"/>
        <v>-5</v>
      </c>
      <c r="AA75" s="11">
        <f t="shared" si="24"/>
        <v>-5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/>
      <c r="AM75" s="11"/>
      <c r="AN75" s="15"/>
      <c r="AO75" s="15"/>
      <c r="AP75" s="15"/>
      <c r="AQ75" s="15"/>
      <c r="AR75" s="15"/>
      <c r="AS75" s="15"/>
      <c r="AT75" s="15"/>
      <c r="AU75" s="15"/>
      <c r="AV75" s="15"/>
    </row>
    <row r="76" spans="1:48" x14ac:dyDescent="0.25">
      <c r="A76" s="15" t="s">
        <v>123</v>
      </c>
      <c r="B76" s="15" t="s">
        <v>47</v>
      </c>
      <c r="C76" s="15">
        <v>257</v>
      </c>
      <c r="D76" s="15">
        <v>6</v>
      </c>
      <c r="E76" s="15">
        <v>145</v>
      </c>
      <c r="F76" s="15">
        <v>106</v>
      </c>
      <c r="G76" s="6">
        <v>0.4</v>
      </c>
      <c r="H76" s="15">
        <v>90</v>
      </c>
      <c r="I76" s="9" t="s">
        <v>54</v>
      </c>
      <c r="J76" s="15"/>
      <c r="K76" s="15">
        <v>157</v>
      </c>
      <c r="L76" s="15">
        <f t="shared" si="21"/>
        <v>-12</v>
      </c>
      <c r="M76" s="15"/>
      <c r="N76" s="15"/>
      <c r="O76" s="15"/>
      <c r="P76" s="15"/>
      <c r="Q76" s="15"/>
      <c r="R76" s="15">
        <v>30</v>
      </c>
      <c r="S76" s="15"/>
      <c r="T76" s="15"/>
      <c r="U76" s="15">
        <v>136.6</v>
      </c>
      <c r="V76" s="15">
        <v>-144</v>
      </c>
      <c r="W76" s="15"/>
      <c r="X76" s="15">
        <f t="shared" si="22"/>
        <v>29</v>
      </c>
      <c r="Y76" s="4">
        <v>60</v>
      </c>
      <c r="Z76" s="15">
        <f t="shared" si="23"/>
        <v>6.5034482758620697</v>
      </c>
      <c r="AA76" s="15">
        <f t="shared" si="24"/>
        <v>4.4344827586206907</v>
      </c>
      <c r="AB76" s="15">
        <v>27.8</v>
      </c>
      <c r="AC76" s="15">
        <v>26</v>
      </c>
      <c r="AD76" s="15">
        <v>21.4</v>
      </c>
      <c r="AE76" s="15">
        <v>17</v>
      </c>
      <c r="AF76" s="15">
        <v>24.2</v>
      </c>
      <c r="AG76" s="15">
        <v>25.2</v>
      </c>
      <c r="AH76" s="15">
        <v>23.6</v>
      </c>
      <c r="AI76" s="15">
        <v>19</v>
      </c>
      <c r="AJ76" s="15">
        <v>18.8</v>
      </c>
      <c r="AK76" s="15">
        <v>19.8</v>
      </c>
      <c r="AL76" s="15"/>
      <c r="AM76" s="15">
        <f t="shared" ref="AM76:AM84" si="25">G76*Y76</f>
        <v>24</v>
      </c>
      <c r="AN76" s="15"/>
      <c r="AO76" s="15"/>
      <c r="AP76" s="15"/>
      <c r="AQ76" s="15"/>
      <c r="AR76" s="15"/>
      <c r="AS76" s="15"/>
      <c r="AT76" s="15"/>
      <c r="AU76" s="15"/>
      <c r="AV76" s="15"/>
    </row>
    <row r="77" spans="1:48" x14ac:dyDescent="0.25">
      <c r="A77" s="15" t="s">
        <v>124</v>
      </c>
      <c r="B77" s="15" t="s">
        <v>47</v>
      </c>
      <c r="C77" s="15">
        <v>151</v>
      </c>
      <c r="D77" s="15">
        <v>112</v>
      </c>
      <c r="E77" s="15">
        <v>181</v>
      </c>
      <c r="F77" s="15">
        <v>66</v>
      </c>
      <c r="G77" s="6">
        <v>0.33</v>
      </c>
      <c r="H77" s="15">
        <v>60</v>
      </c>
      <c r="I77" s="9" t="s">
        <v>54</v>
      </c>
      <c r="J77" s="15"/>
      <c r="K77" s="15">
        <v>242</v>
      </c>
      <c r="L77" s="15">
        <f t="shared" si="21"/>
        <v>-61</v>
      </c>
      <c r="M77" s="15"/>
      <c r="N77" s="15"/>
      <c r="O77" s="15"/>
      <c r="P77" s="15"/>
      <c r="Q77" s="15"/>
      <c r="R77" s="15">
        <v>150</v>
      </c>
      <c r="S77" s="15"/>
      <c r="T77" s="15"/>
      <c r="U77" s="15">
        <v>179.8</v>
      </c>
      <c r="V77" s="15">
        <v>-184</v>
      </c>
      <c r="W77" s="15"/>
      <c r="X77" s="15">
        <f t="shared" si="22"/>
        <v>36.200000000000003</v>
      </c>
      <c r="Y77" s="4">
        <v>150</v>
      </c>
      <c r="Z77" s="15">
        <f t="shared" si="23"/>
        <v>9.9944751381215458</v>
      </c>
      <c r="AA77" s="15">
        <f t="shared" si="24"/>
        <v>5.8508287292817682</v>
      </c>
      <c r="AB77" s="15">
        <v>36.4</v>
      </c>
      <c r="AC77" s="15">
        <v>33.6</v>
      </c>
      <c r="AD77" s="15">
        <v>31.8</v>
      </c>
      <c r="AE77" s="15">
        <v>29.6</v>
      </c>
      <c r="AF77" s="15">
        <v>46.4</v>
      </c>
      <c r="AG77" s="15">
        <v>50.6</v>
      </c>
      <c r="AH77" s="15">
        <v>37.799999999999997</v>
      </c>
      <c r="AI77" s="15">
        <v>30.4</v>
      </c>
      <c r="AJ77" s="15">
        <v>37</v>
      </c>
      <c r="AK77" s="15">
        <v>38.200000000000003</v>
      </c>
      <c r="AL77" s="15"/>
      <c r="AM77" s="15">
        <f t="shared" si="25"/>
        <v>49.5</v>
      </c>
      <c r="AN77" s="15"/>
      <c r="AO77" s="15"/>
      <c r="AP77" s="15"/>
      <c r="AQ77" s="15"/>
      <c r="AR77" s="15"/>
      <c r="AS77" s="15"/>
      <c r="AT77" s="15"/>
      <c r="AU77" s="15"/>
      <c r="AV77" s="15"/>
    </row>
    <row r="78" spans="1:48" x14ac:dyDescent="0.25">
      <c r="A78" s="15" t="s">
        <v>125</v>
      </c>
      <c r="B78" s="15" t="s">
        <v>47</v>
      </c>
      <c r="C78" s="15">
        <v>138</v>
      </c>
      <c r="D78" s="15">
        <v>164</v>
      </c>
      <c r="E78" s="15">
        <v>167</v>
      </c>
      <c r="F78" s="15">
        <v>125</v>
      </c>
      <c r="G78" s="6">
        <v>0.35</v>
      </c>
      <c r="H78" s="15">
        <v>90</v>
      </c>
      <c r="I78" s="9" t="s">
        <v>54</v>
      </c>
      <c r="J78" s="15"/>
      <c r="K78" s="15">
        <v>185</v>
      </c>
      <c r="L78" s="15">
        <f t="shared" si="21"/>
        <v>-18</v>
      </c>
      <c r="M78" s="15"/>
      <c r="N78" s="15"/>
      <c r="O78" s="15"/>
      <c r="P78" s="15"/>
      <c r="Q78" s="15"/>
      <c r="R78" s="15">
        <v>41.27200000000002</v>
      </c>
      <c r="S78" s="15"/>
      <c r="T78" s="15"/>
      <c r="U78" s="15">
        <v>222.60000000000011</v>
      </c>
      <c r="V78" s="15">
        <v>-224</v>
      </c>
      <c r="W78" s="15"/>
      <c r="X78" s="15">
        <f t="shared" si="22"/>
        <v>33.4</v>
      </c>
      <c r="Y78" s="4">
        <v>150</v>
      </c>
      <c r="Z78" s="15">
        <f t="shared" si="23"/>
        <v>9.4273053892215604</v>
      </c>
      <c r="AA78" s="15">
        <f t="shared" si="24"/>
        <v>4.9362874251497049</v>
      </c>
      <c r="AB78" s="15">
        <v>36.200000000000003</v>
      </c>
      <c r="AC78" s="15">
        <v>29.8</v>
      </c>
      <c r="AD78" s="15">
        <v>32.4</v>
      </c>
      <c r="AE78" s="15">
        <v>29.2</v>
      </c>
      <c r="AF78" s="15">
        <v>27.2</v>
      </c>
      <c r="AG78" s="15">
        <v>29.8</v>
      </c>
      <c r="AH78" s="15">
        <v>25.6</v>
      </c>
      <c r="AI78" s="15">
        <v>21.8</v>
      </c>
      <c r="AJ78" s="15">
        <v>26.8</v>
      </c>
      <c r="AK78" s="15">
        <v>32.6</v>
      </c>
      <c r="AL78" s="15"/>
      <c r="AM78" s="15">
        <f t="shared" si="25"/>
        <v>52.5</v>
      </c>
      <c r="AN78" s="15"/>
      <c r="AO78" s="15"/>
      <c r="AP78" s="15"/>
      <c r="AQ78" s="15"/>
      <c r="AR78" s="15"/>
      <c r="AS78" s="15"/>
      <c r="AT78" s="15"/>
      <c r="AU78" s="15"/>
      <c r="AV78" s="15"/>
    </row>
    <row r="79" spans="1:48" x14ac:dyDescent="0.25">
      <c r="A79" s="15" t="s">
        <v>126</v>
      </c>
      <c r="B79" s="15" t="s">
        <v>47</v>
      </c>
      <c r="C79" s="15">
        <v>30</v>
      </c>
      <c r="D79" s="15">
        <v>6</v>
      </c>
      <c r="E79" s="15">
        <v>18</v>
      </c>
      <c r="F79" s="15">
        <v>12</v>
      </c>
      <c r="G79" s="6">
        <v>0.37</v>
      </c>
      <c r="H79" s="15"/>
      <c r="I79" s="15" t="s">
        <v>43</v>
      </c>
      <c r="J79" s="15"/>
      <c r="K79" s="15">
        <v>24</v>
      </c>
      <c r="L79" s="15">
        <f t="shared" si="21"/>
        <v>-6</v>
      </c>
      <c r="M79" s="15"/>
      <c r="N79" s="15"/>
      <c r="O79" s="15"/>
      <c r="P79" s="15"/>
      <c r="Q79" s="15"/>
      <c r="R79" s="15">
        <v>0</v>
      </c>
      <c r="S79" s="15"/>
      <c r="T79" s="15"/>
      <c r="U79" s="15">
        <v>0</v>
      </c>
      <c r="V79" s="15"/>
      <c r="W79" s="15"/>
      <c r="X79" s="15">
        <f t="shared" si="22"/>
        <v>3.6</v>
      </c>
      <c r="Y79" s="4">
        <f>9*X79-W79-V79-U79-T79-S79-R79-P79-O79-F79</f>
        <v>20.399999999999999</v>
      </c>
      <c r="Z79" s="15">
        <f t="shared" si="23"/>
        <v>9</v>
      </c>
      <c r="AA79" s="15">
        <f t="shared" si="24"/>
        <v>3.333333333333333</v>
      </c>
      <c r="AB79" s="15">
        <v>0.4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127</v>
      </c>
      <c r="AM79" s="15">
        <f t="shared" si="25"/>
        <v>7.5479999999999992</v>
      </c>
      <c r="AN79" s="15"/>
      <c r="AO79" s="15"/>
      <c r="AP79" s="15"/>
      <c r="AQ79" s="15"/>
      <c r="AR79" s="15"/>
      <c r="AS79" s="15"/>
      <c r="AT79" s="15"/>
      <c r="AU79" s="15"/>
      <c r="AV79" s="15"/>
    </row>
    <row r="80" spans="1:48" x14ac:dyDescent="0.25">
      <c r="A80" s="15" t="s">
        <v>128</v>
      </c>
      <c r="B80" s="15" t="s">
        <v>47</v>
      </c>
      <c r="C80" s="15">
        <v>14</v>
      </c>
      <c r="D80" s="15">
        <v>200</v>
      </c>
      <c r="E80" s="15">
        <v>15</v>
      </c>
      <c r="F80" s="15">
        <v>198</v>
      </c>
      <c r="G80" s="6">
        <v>0.6</v>
      </c>
      <c r="H80" s="15">
        <v>70</v>
      </c>
      <c r="I80" s="15" t="s">
        <v>43</v>
      </c>
      <c r="J80" s="15"/>
      <c r="K80" s="15">
        <v>44</v>
      </c>
      <c r="L80" s="15">
        <f t="shared" si="21"/>
        <v>-29</v>
      </c>
      <c r="M80" s="15"/>
      <c r="N80" s="15"/>
      <c r="O80" s="15"/>
      <c r="P80" s="15"/>
      <c r="Q80" s="15"/>
      <c r="R80" s="15">
        <v>0</v>
      </c>
      <c r="S80" s="15"/>
      <c r="T80" s="15"/>
      <c r="U80" s="15">
        <v>0</v>
      </c>
      <c r="V80" s="15"/>
      <c r="W80" s="15"/>
      <c r="X80" s="15">
        <f t="shared" si="22"/>
        <v>3</v>
      </c>
      <c r="Y80" s="4"/>
      <c r="Z80" s="15">
        <f t="shared" si="23"/>
        <v>66</v>
      </c>
      <c r="AA80" s="15">
        <f t="shared" si="24"/>
        <v>66</v>
      </c>
      <c r="AB80" s="15">
        <v>5</v>
      </c>
      <c r="AC80" s="15">
        <v>8</v>
      </c>
      <c r="AD80" s="15">
        <v>19</v>
      </c>
      <c r="AE80" s="15">
        <v>18.399999999999999</v>
      </c>
      <c r="AF80" s="15">
        <v>8.4</v>
      </c>
      <c r="AG80" s="15">
        <v>11.8</v>
      </c>
      <c r="AH80" s="15">
        <v>10.6</v>
      </c>
      <c r="AI80" s="15">
        <v>8.6</v>
      </c>
      <c r="AJ80" s="15">
        <v>14.6</v>
      </c>
      <c r="AK80" s="15">
        <v>17</v>
      </c>
      <c r="AL80" s="17" t="s">
        <v>185</v>
      </c>
      <c r="AM80" s="15">
        <f t="shared" si="25"/>
        <v>0</v>
      </c>
      <c r="AN80" s="15"/>
      <c r="AO80" s="15"/>
      <c r="AP80" s="15"/>
      <c r="AQ80" s="15"/>
      <c r="AR80" s="15"/>
      <c r="AS80" s="15"/>
      <c r="AT80" s="15"/>
      <c r="AU80" s="15"/>
      <c r="AV80" s="15"/>
    </row>
    <row r="81" spans="1:48" x14ac:dyDescent="0.25">
      <c r="A81" s="15" t="s">
        <v>129</v>
      </c>
      <c r="B81" s="15" t="s">
        <v>47</v>
      </c>
      <c r="C81" s="15">
        <v>84</v>
      </c>
      <c r="D81" s="15"/>
      <c r="E81" s="15">
        <v>79</v>
      </c>
      <c r="F81" s="15">
        <v>-1</v>
      </c>
      <c r="G81" s="6">
        <v>0.33</v>
      </c>
      <c r="H81" s="15">
        <v>40</v>
      </c>
      <c r="I81" s="15" t="s">
        <v>43</v>
      </c>
      <c r="J81" s="15"/>
      <c r="K81" s="15">
        <v>84</v>
      </c>
      <c r="L81" s="15">
        <f t="shared" si="21"/>
        <v>-5</v>
      </c>
      <c r="M81" s="15"/>
      <c r="N81" s="15"/>
      <c r="O81" s="15"/>
      <c r="P81" s="15"/>
      <c r="Q81" s="15"/>
      <c r="R81" s="15">
        <v>0</v>
      </c>
      <c r="S81" s="15"/>
      <c r="T81" s="15"/>
      <c r="U81" s="15">
        <v>150</v>
      </c>
      <c r="V81" s="15"/>
      <c r="W81" s="15"/>
      <c r="X81" s="15">
        <f t="shared" si="22"/>
        <v>15.8</v>
      </c>
      <c r="Y81" s="4">
        <f t="shared" ref="Y81:Y82" si="26">11*X81-W81-V81-U81-T81-S81-R81-P81-O81-F81</f>
        <v>24.800000000000011</v>
      </c>
      <c r="Z81" s="15">
        <f t="shared" si="23"/>
        <v>11</v>
      </c>
      <c r="AA81" s="15">
        <f t="shared" si="24"/>
        <v>9.4303797468354418</v>
      </c>
      <c r="AB81" s="15">
        <v>18</v>
      </c>
      <c r="AC81" s="15">
        <v>7</v>
      </c>
      <c r="AD81" s="15">
        <v>9.6</v>
      </c>
      <c r="AE81" s="15">
        <v>13.4</v>
      </c>
      <c r="AF81" s="15">
        <v>11</v>
      </c>
      <c r="AG81" s="15">
        <v>16.600000000000001</v>
      </c>
      <c r="AH81" s="15">
        <v>4.8</v>
      </c>
      <c r="AI81" s="15">
        <v>3.2</v>
      </c>
      <c r="AJ81" s="15">
        <v>4.8</v>
      </c>
      <c r="AK81" s="15">
        <v>6.8</v>
      </c>
      <c r="AL81" s="15"/>
      <c r="AM81" s="15">
        <f t="shared" si="25"/>
        <v>8.1840000000000046</v>
      </c>
      <c r="AN81" s="15"/>
      <c r="AO81" s="15"/>
      <c r="AP81" s="15"/>
      <c r="AQ81" s="15"/>
      <c r="AR81" s="15"/>
      <c r="AS81" s="15"/>
      <c r="AT81" s="15"/>
      <c r="AU81" s="15"/>
      <c r="AV81" s="15"/>
    </row>
    <row r="82" spans="1:48" x14ac:dyDescent="0.25">
      <c r="A82" s="15" t="s">
        <v>130</v>
      </c>
      <c r="B82" s="15" t="s">
        <v>47</v>
      </c>
      <c r="C82" s="15">
        <v>91</v>
      </c>
      <c r="D82" s="15">
        <v>1</v>
      </c>
      <c r="E82" s="15">
        <v>62</v>
      </c>
      <c r="F82" s="15">
        <v>28</v>
      </c>
      <c r="G82" s="6">
        <v>0.4</v>
      </c>
      <c r="H82" s="15">
        <v>55</v>
      </c>
      <c r="I82" s="15" t="s">
        <v>43</v>
      </c>
      <c r="J82" s="15"/>
      <c r="K82" s="15">
        <v>66</v>
      </c>
      <c r="L82" s="15">
        <f t="shared" si="21"/>
        <v>-4</v>
      </c>
      <c r="M82" s="15"/>
      <c r="N82" s="15"/>
      <c r="O82" s="15"/>
      <c r="P82" s="15"/>
      <c r="Q82" s="15"/>
      <c r="R82" s="15">
        <v>0</v>
      </c>
      <c r="S82" s="15"/>
      <c r="T82" s="15"/>
      <c r="U82" s="15">
        <v>78.800000000000011</v>
      </c>
      <c r="V82" s="15"/>
      <c r="W82" s="15"/>
      <c r="X82" s="15">
        <f t="shared" si="22"/>
        <v>12.4</v>
      </c>
      <c r="Y82" s="4">
        <f t="shared" si="26"/>
        <v>29.599999999999994</v>
      </c>
      <c r="Z82" s="15">
        <f t="shared" si="23"/>
        <v>11</v>
      </c>
      <c r="AA82" s="15">
        <f t="shared" si="24"/>
        <v>8.612903225806452</v>
      </c>
      <c r="AB82" s="15">
        <v>11.4</v>
      </c>
      <c r="AC82" s="15">
        <v>6.2</v>
      </c>
      <c r="AD82" s="15">
        <v>8.4</v>
      </c>
      <c r="AE82" s="15">
        <v>10.6</v>
      </c>
      <c r="AF82" s="15">
        <v>6.2</v>
      </c>
      <c r="AG82" s="15">
        <v>7</v>
      </c>
      <c r="AH82" s="15">
        <v>6.8</v>
      </c>
      <c r="AI82" s="15">
        <v>4.2</v>
      </c>
      <c r="AJ82" s="15">
        <v>9</v>
      </c>
      <c r="AK82" s="15">
        <v>11.2</v>
      </c>
      <c r="AL82" s="15"/>
      <c r="AM82" s="15">
        <f t="shared" si="25"/>
        <v>11.839999999999998</v>
      </c>
      <c r="AN82" s="15"/>
      <c r="AO82" s="15"/>
      <c r="AP82" s="15"/>
      <c r="AQ82" s="15"/>
      <c r="AR82" s="15"/>
      <c r="AS82" s="15"/>
      <c r="AT82" s="15"/>
      <c r="AU82" s="15"/>
      <c r="AV82" s="15"/>
    </row>
    <row r="83" spans="1:48" x14ac:dyDescent="0.25">
      <c r="A83" s="15" t="s">
        <v>131</v>
      </c>
      <c r="B83" s="15" t="s">
        <v>47</v>
      </c>
      <c r="C83" s="15">
        <v>-2</v>
      </c>
      <c r="D83" s="15"/>
      <c r="E83" s="15"/>
      <c r="F83" s="15">
        <v>-2</v>
      </c>
      <c r="G83" s="6">
        <v>0.35</v>
      </c>
      <c r="H83" s="15">
        <v>40</v>
      </c>
      <c r="I83" s="9" t="s">
        <v>54</v>
      </c>
      <c r="J83" s="15"/>
      <c r="K83" s="15">
        <v>2</v>
      </c>
      <c r="L83" s="15">
        <f t="shared" si="21"/>
        <v>-2</v>
      </c>
      <c r="M83" s="15"/>
      <c r="N83" s="15"/>
      <c r="O83" s="15"/>
      <c r="P83" s="15"/>
      <c r="Q83" s="15"/>
      <c r="R83" s="15">
        <v>20</v>
      </c>
      <c r="S83" s="15"/>
      <c r="T83" s="15"/>
      <c r="U83" s="15">
        <v>20</v>
      </c>
      <c r="V83" s="15">
        <v>-24</v>
      </c>
      <c r="W83" s="15"/>
      <c r="X83" s="15">
        <f t="shared" si="22"/>
        <v>0</v>
      </c>
      <c r="Y83" s="4">
        <v>20</v>
      </c>
      <c r="Z83" s="15" t="e">
        <f t="shared" si="23"/>
        <v>#DIV/0!</v>
      </c>
      <c r="AA83" s="15" t="e">
        <f t="shared" si="24"/>
        <v>#DIV/0!</v>
      </c>
      <c r="AB83" s="15">
        <v>-0.6</v>
      </c>
      <c r="AC83" s="15">
        <v>-0.4</v>
      </c>
      <c r="AD83" s="15">
        <v>3.6</v>
      </c>
      <c r="AE83" s="15">
        <v>4.4000000000000004</v>
      </c>
      <c r="AF83" s="15">
        <v>1</v>
      </c>
      <c r="AG83" s="15">
        <v>-0.4</v>
      </c>
      <c r="AH83" s="15">
        <v>-0.6</v>
      </c>
      <c r="AI83" s="15">
        <v>0.4</v>
      </c>
      <c r="AJ83" s="15">
        <v>1.4</v>
      </c>
      <c r="AK83" s="15">
        <v>0.6</v>
      </c>
      <c r="AL83" s="15" t="s">
        <v>132</v>
      </c>
      <c r="AM83" s="15">
        <f t="shared" si="25"/>
        <v>7</v>
      </c>
      <c r="AN83" s="15"/>
      <c r="AO83" s="15"/>
      <c r="AP83" s="15"/>
      <c r="AQ83" s="15"/>
      <c r="AR83" s="15"/>
      <c r="AS83" s="15"/>
      <c r="AT83" s="15"/>
      <c r="AU83" s="15"/>
      <c r="AV83" s="15"/>
    </row>
    <row r="84" spans="1:48" x14ac:dyDescent="0.25">
      <c r="A84" s="15" t="s">
        <v>133</v>
      </c>
      <c r="B84" s="15" t="s">
        <v>47</v>
      </c>
      <c r="C84" s="15">
        <v>73</v>
      </c>
      <c r="D84" s="15">
        <v>24</v>
      </c>
      <c r="E84" s="15">
        <v>55</v>
      </c>
      <c r="F84" s="15">
        <v>36</v>
      </c>
      <c r="G84" s="6">
        <v>0.35</v>
      </c>
      <c r="H84" s="15">
        <v>45</v>
      </c>
      <c r="I84" s="9" t="s">
        <v>54</v>
      </c>
      <c r="J84" s="15"/>
      <c r="K84" s="15">
        <v>69</v>
      </c>
      <c r="L84" s="15">
        <f t="shared" si="21"/>
        <v>-14</v>
      </c>
      <c r="M84" s="15"/>
      <c r="N84" s="15"/>
      <c r="O84" s="15"/>
      <c r="P84" s="15"/>
      <c r="Q84" s="15"/>
      <c r="R84" s="15">
        <v>20</v>
      </c>
      <c r="S84" s="15"/>
      <c r="T84" s="15"/>
      <c r="U84" s="15">
        <v>66.600000000000023</v>
      </c>
      <c r="V84" s="15"/>
      <c r="W84" s="15"/>
      <c r="X84" s="15">
        <f t="shared" si="22"/>
        <v>11</v>
      </c>
      <c r="Y84" s="4">
        <v>10</v>
      </c>
      <c r="Z84" s="15">
        <f t="shared" si="23"/>
        <v>12.054545454545456</v>
      </c>
      <c r="AA84" s="15">
        <f t="shared" si="24"/>
        <v>11.145454545454548</v>
      </c>
      <c r="AB84" s="15">
        <v>11.8</v>
      </c>
      <c r="AC84" s="15">
        <v>10.199999999999999</v>
      </c>
      <c r="AD84" s="15">
        <v>11</v>
      </c>
      <c r="AE84" s="15">
        <v>7</v>
      </c>
      <c r="AF84" s="15">
        <v>9.4</v>
      </c>
      <c r="AG84" s="15">
        <v>13</v>
      </c>
      <c r="AH84" s="15">
        <v>18</v>
      </c>
      <c r="AI84" s="15">
        <v>20.6</v>
      </c>
      <c r="AJ84" s="15">
        <v>16.600000000000001</v>
      </c>
      <c r="AK84" s="15">
        <v>12.4</v>
      </c>
      <c r="AL84" s="15"/>
      <c r="AM84" s="15">
        <f t="shared" si="25"/>
        <v>3.5</v>
      </c>
      <c r="AN84" s="15"/>
      <c r="AO84" s="15"/>
      <c r="AP84" s="15"/>
      <c r="AQ84" s="15"/>
      <c r="AR84" s="15"/>
      <c r="AS84" s="15"/>
      <c r="AT84" s="15"/>
      <c r="AU84" s="15"/>
      <c r="AV84" s="15"/>
    </row>
    <row r="85" spans="1:48" x14ac:dyDescent="0.25">
      <c r="A85" s="11" t="s">
        <v>134</v>
      </c>
      <c r="B85" s="11" t="s">
        <v>47</v>
      </c>
      <c r="C85" s="11"/>
      <c r="D85" s="11"/>
      <c r="E85" s="11"/>
      <c r="F85" s="11"/>
      <c r="G85" s="12">
        <v>0</v>
      </c>
      <c r="H85" s="11"/>
      <c r="I85" s="11" t="s">
        <v>43</v>
      </c>
      <c r="J85" s="11"/>
      <c r="K85" s="11"/>
      <c r="L85" s="11">
        <f t="shared" si="21"/>
        <v>0</v>
      </c>
      <c r="M85" s="11"/>
      <c r="N85" s="11"/>
      <c r="O85" s="11"/>
      <c r="P85" s="11"/>
      <c r="Q85" s="11"/>
      <c r="R85" s="11">
        <v>0</v>
      </c>
      <c r="S85" s="11"/>
      <c r="T85" s="11"/>
      <c r="U85" s="11">
        <v>0</v>
      </c>
      <c r="V85" s="11"/>
      <c r="W85" s="11"/>
      <c r="X85" s="11">
        <f t="shared" si="22"/>
        <v>0</v>
      </c>
      <c r="Y85" s="13"/>
      <c r="Z85" s="11" t="e">
        <f t="shared" si="23"/>
        <v>#DIV/0!</v>
      </c>
      <c r="AA85" s="11" t="e">
        <f t="shared" si="24"/>
        <v>#DIV/0!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 t="s">
        <v>48</v>
      </c>
      <c r="AM85" s="11"/>
      <c r="AN85" s="15"/>
      <c r="AO85" s="15"/>
      <c r="AP85" s="15"/>
      <c r="AQ85" s="15"/>
      <c r="AR85" s="15"/>
      <c r="AS85" s="15"/>
      <c r="AT85" s="15"/>
      <c r="AU85" s="15"/>
      <c r="AV85" s="15"/>
    </row>
    <row r="86" spans="1:48" x14ac:dyDescent="0.25">
      <c r="A86" s="11" t="s">
        <v>135</v>
      </c>
      <c r="B86" s="11" t="s">
        <v>42</v>
      </c>
      <c r="C86" s="11"/>
      <c r="D86" s="11"/>
      <c r="E86" s="11"/>
      <c r="F86" s="11"/>
      <c r="G86" s="12">
        <v>0</v>
      </c>
      <c r="H86" s="11"/>
      <c r="I86" s="11" t="s">
        <v>43</v>
      </c>
      <c r="J86" s="11"/>
      <c r="K86" s="11"/>
      <c r="L86" s="11">
        <f t="shared" si="21"/>
        <v>0</v>
      </c>
      <c r="M86" s="11"/>
      <c r="N86" s="11"/>
      <c r="O86" s="11"/>
      <c r="P86" s="11"/>
      <c r="Q86" s="11"/>
      <c r="R86" s="11">
        <v>0</v>
      </c>
      <c r="S86" s="11"/>
      <c r="T86" s="11"/>
      <c r="U86" s="11">
        <v>0</v>
      </c>
      <c r="V86" s="11"/>
      <c r="W86" s="11"/>
      <c r="X86" s="11">
        <f t="shared" si="22"/>
        <v>0</v>
      </c>
      <c r="Y86" s="13"/>
      <c r="Z86" s="11" t="e">
        <f t="shared" si="23"/>
        <v>#DIV/0!</v>
      </c>
      <c r="AA86" s="11" t="e">
        <f t="shared" si="24"/>
        <v>#DIV/0!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 t="s">
        <v>48</v>
      </c>
      <c r="AM86" s="11"/>
      <c r="AN86" s="15"/>
      <c r="AO86" s="15"/>
      <c r="AP86" s="15"/>
      <c r="AQ86" s="15"/>
      <c r="AR86" s="15"/>
      <c r="AS86" s="15"/>
      <c r="AT86" s="15"/>
      <c r="AU86" s="15"/>
      <c r="AV86" s="15"/>
    </row>
    <row r="87" spans="1:48" x14ac:dyDescent="0.25">
      <c r="A87" s="11" t="s">
        <v>136</v>
      </c>
      <c r="B87" s="11" t="s">
        <v>42</v>
      </c>
      <c r="C87" s="11"/>
      <c r="D87" s="11"/>
      <c r="E87" s="11"/>
      <c r="F87" s="11"/>
      <c r="G87" s="12">
        <v>0</v>
      </c>
      <c r="H87" s="11"/>
      <c r="I87" s="11" t="s">
        <v>43</v>
      </c>
      <c r="J87" s="11"/>
      <c r="K87" s="11"/>
      <c r="L87" s="11">
        <f t="shared" si="21"/>
        <v>0</v>
      </c>
      <c r="M87" s="11"/>
      <c r="N87" s="11"/>
      <c r="O87" s="11"/>
      <c r="P87" s="11"/>
      <c r="Q87" s="11"/>
      <c r="R87" s="11">
        <v>0</v>
      </c>
      <c r="S87" s="11"/>
      <c r="T87" s="11"/>
      <c r="U87" s="11">
        <v>0</v>
      </c>
      <c r="V87" s="11"/>
      <c r="W87" s="11"/>
      <c r="X87" s="11">
        <f t="shared" si="22"/>
        <v>0</v>
      </c>
      <c r="Y87" s="13"/>
      <c r="Z87" s="11" t="e">
        <f t="shared" si="23"/>
        <v>#DIV/0!</v>
      </c>
      <c r="AA87" s="11" t="e">
        <f t="shared" si="24"/>
        <v>#DIV/0!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 t="s">
        <v>48</v>
      </c>
      <c r="AM87" s="11"/>
      <c r="AN87" s="15"/>
      <c r="AO87" s="15"/>
      <c r="AP87" s="15"/>
      <c r="AQ87" s="15"/>
      <c r="AR87" s="15"/>
      <c r="AS87" s="15"/>
      <c r="AT87" s="15"/>
      <c r="AU87" s="15"/>
      <c r="AV87" s="15"/>
    </row>
    <row r="88" spans="1:48" x14ac:dyDescent="0.25">
      <c r="A88" s="15" t="s">
        <v>137</v>
      </c>
      <c r="B88" s="15" t="s">
        <v>42</v>
      </c>
      <c r="C88" s="15">
        <v>117.291</v>
      </c>
      <c r="D88" s="15">
        <v>186.28399999999999</v>
      </c>
      <c r="E88" s="15">
        <v>142.60300000000001</v>
      </c>
      <c r="F88" s="15">
        <v>159.25899999999999</v>
      </c>
      <c r="G88" s="6">
        <v>1</v>
      </c>
      <c r="H88" s="15">
        <v>60</v>
      </c>
      <c r="I88" s="15" t="s">
        <v>43</v>
      </c>
      <c r="J88" s="15"/>
      <c r="K88" s="15">
        <v>137.5</v>
      </c>
      <c r="L88" s="15">
        <f t="shared" si="21"/>
        <v>5.1030000000000086</v>
      </c>
      <c r="M88" s="15"/>
      <c r="N88" s="15"/>
      <c r="O88" s="15"/>
      <c r="P88" s="15"/>
      <c r="Q88" s="15"/>
      <c r="R88" s="15">
        <v>90.544612000000015</v>
      </c>
      <c r="S88" s="15"/>
      <c r="T88" s="15"/>
      <c r="U88" s="15">
        <v>111.4485999999999</v>
      </c>
      <c r="V88" s="15"/>
      <c r="W88" s="15"/>
      <c r="X88" s="15">
        <f t="shared" si="22"/>
        <v>28.520600000000002</v>
      </c>
      <c r="Y88" s="4"/>
      <c r="Z88" s="15">
        <f t="shared" si="23"/>
        <v>12.666360875998397</v>
      </c>
      <c r="AA88" s="15">
        <f t="shared" si="24"/>
        <v>12.666360875998397</v>
      </c>
      <c r="AB88" s="15">
        <v>36.330599999999997</v>
      </c>
      <c r="AC88" s="15">
        <v>35.1526</v>
      </c>
      <c r="AD88" s="15">
        <v>35.555399999999999</v>
      </c>
      <c r="AE88" s="15">
        <v>38.276200000000003</v>
      </c>
      <c r="AF88" s="15">
        <v>32.9236</v>
      </c>
      <c r="AG88" s="15">
        <v>36.190600000000003</v>
      </c>
      <c r="AH88" s="15">
        <v>32.9358</v>
      </c>
      <c r="AI88" s="15">
        <v>27.771799999999999</v>
      </c>
      <c r="AJ88" s="15">
        <v>31.998000000000001</v>
      </c>
      <c r="AK88" s="15">
        <v>23.875599999999999</v>
      </c>
      <c r="AL88" s="15"/>
      <c r="AM88" s="15">
        <f>G88*Y88</f>
        <v>0</v>
      </c>
      <c r="AN88" s="15"/>
      <c r="AO88" s="15"/>
      <c r="AP88" s="15"/>
      <c r="AQ88" s="15"/>
      <c r="AR88" s="15"/>
      <c r="AS88" s="15"/>
      <c r="AT88" s="15"/>
      <c r="AU88" s="15"/>
      <c r="AV88" s="15"/>
    </row>
    <row r="89" spans="1:48" x14ac:dyDescent="0.25">
      <c r="A89" s="11" t="s">
        <v>138</v>
      </c>
      <c r="B89" s="11" t="s">
        <v>47</v>
      </c>
      <c r="C89" s="11"/>
      <c r="D89" s="11"/>
      <c r="E89" s="11"/>
      <c r="F89" s="11"/>
      <c r="G89" s="12">
        <v>0</v>
      </c>
      <c r="H89" s="11"/>
      <c r="I89" s="11" t="s">
        <v>43</v>
      </c>
      <c r="J89" s="11"/>
      <c r="K89" s="11"/>
      <c r="L89" s="11">
        <f t="shared" si="21"/>
        <v>0</v>
      </c>
      <c r="M89" s="11"/>
      <c r="N89" s="11"/>
      <c r="O89" s="11"/>
      <c r="P89" s="11"/>
      <c r="Q89" s="11"/>
      <c r="R89" s="11">
        <v>0</v>
      </c>
      <c r="S89" s="11"/>
      <c r="T89" s="11"/>
      <c r="U89" s="11">
        <v>0</v>
      </c>
      <c r="V89" s="11"/>
      <c r="W89" s="11"/>
      <c r="X89" s="11">
        <f t="shared" si="22"/>
        <v>0</v>
      </c>
      <c r="Y89" s="13"/>
      <c r="Z89" s="11" t="e">
        <f t="shared" si="23"/>
        <v>#DIV/0!</v>
      </c>
      <c r="AA89" s="11" t="e">
        <f t="shared" si="24"/>
        <v>#DIV/0!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48</v>
      </c>
      <c r="AM89" s="11"/>
      <c r="AN89" s="15"/>
      <c r="AO89" s="15"/>
      <c r="AP89" s="15"/>
      <c r="AQ89" s="15"/>
      <c r="AR89" s="15"/>
      <c r="AS89" s="15"/>
      <c r="AT89" s="15"/>
      <c r="AU89" s="15"/>
      <c r="AV89" s="15"/>
    </row>
    <row r="90" spans="1:48" x14ac:dyDescent="0.25">
      <c r="A90" s="15" t="s">
        <v>139</v>
      </c>
      <c r="B90" s="15" t="s">
        <v>42</v>
      </c>
      <c r="C90" s="15">
        <v>2198.6950000000002</v>
      </c>
      <c r="D90" s="15">
        <v>17.832999999999998</v>
      </c>
      <c r="E90" s="15">
        <v>1649.8979999999999</v>
      </c>
      <c r="F90" s="15">
        <v>529.26599999999996</v>
      </c>
      <c r="G90" s="6">
        <v>1</v>
      </c>
      <c r="H90" s="15">
        <v>60</v>
      </c>
      <c r="I90" s="15" t="s">
        <v>43</v>
      </c>
      <c r="J90" s="15"/>
      <c r="K90" s="15">
        <v>1842.5</v>
      </c>
      <c r="L90" s="15">
        <f t="shared" si="21"/>
        <v>-192.60200000000009</v>
      </c>
      <c r="M90" s="15"/>
      <c r="N90" s="15"/>
      <c r="O90" s="15">
        <v>160</v>
      </c>
      <c r="P90" s="15"/>
      <c r="Q90" s="15"/>
      <c r="R90" s="15">
        <v>1937.8369200000011</v>
      </c>
      <c r="S90" s="15"/>
      <c r="T90" s="15"/>
      <c r="U90" s="15">
        <v>280.11407999999892</v>
      </c>
      <c r="V90" s="15"/>
      <c r="W90" s="15">
        <v>300</v>
      </c>
      <c r="X90" s="15">
        <f t="shared" si="22"/>
        <v>329.9796</v>
      </c>
      <c r="Y90" s="4"/>
      <c r="Z90" s="15">
        <f t="shared" si="23"/>
        <v>9.7194402320628299</v>
      </c>
      <c r="AA90" s="15">
        <f t="shared" si="24"/>
        <v>9.7194402320628299</v>
      </c>
      <c r="AB90" s="15">
        <v>326.053</v>
      </c>
      <c r="AC90" s="15">
        <v>345.89080000000001</v>
      </c>
      <c r="AD90" s="15">
        <v>302.62</v>
      </c>
      <c r="AE90" s="15">
        <v>310.3272</v>
      </c>
      <c r="AF90" s="15">
        <v>282.59039999999999</v>
      </c>
      <c r="AG90" s="15">
        <v>311.91120000000001</v>
      </c>
      <c r="AH90" s="15">
        <v>314.94979999999998</v>
      </c>
      <c r="AI90" s="15">
        <v>244.9546</v>
      </c>
      <c r="AJ90" s="15">
        <v>250.4194</v>
      </c>
      <c r="AK90" s="15">
        <v>227.70859999999999</v>
      </c>
      <c r="AL90" s="15"/>
      <c r="AM90" s="15">
        <f>G90*Y90</f>
        <v>0</v>
      </c>
      <c r="AN90" s="15"/>
      <c r="AO90" s="15"/>
      <c r="AP90" s="15"/>
      <c r="AQ90" s="15"/>
      <c r="AR90" s="15"/>
      <c r="AS90" s="15"/>
      <c r="AT90" s="15"/>
      <c r="AU90" s="15"/>
      <c r="AV90" s="15"/>
    </row>
    <row r="91" spans="1:48" x14ac:dyDescent="0.25">
      <c r="A91" s="15" t="s">
        <v>140</v>
      </c>
      <c r="B91" s="15" t="s">
        <v>42</v>
      </c>
      <c r="C91" s="15">
        <v>1203.8230000000001</v>
      </c>
      <c r="D91" s="15">
        <v>733.846</v>
      </c>
      <c r="E91" s="15">
        <v>1142.0139999999999</v>
      </c>
      <c r="F91" s="15">
        <v>648.23400000000004</v>
      </c>
      <c r="G91" s="6">
        <v>1</v>
      </c>
      <c r="H91" s="15">
        <v>60</v>
      </c>
      <c r="I91" s="15" t="s">
        <v>43</v>
      </c>
      <c r="J91" s="15"/>
      <c r="K91" s="15">
        <v>1514.0160000000001</v>
      </c>
      <c r="L91" s="15">
        <f t="shared" si="21"/>
        <v>-372.00200000000018</v>
      </c>
      <c r="M91" s="15"/>
      <c r="N91" s="15"/>
      <c r="O91" s="15">
        <v>300</v>
      </c>
      <c r="P91" s="15"/>
      <c r="Q91" s="15"/>
      <c r="R91" s="15">
        <v>882.0758400000002</v>
      </c>
      <c r="S91" s="15"/>
      <c r="T91" s="15">
        <v>200</v>
      </c>
      <c r="U91" s="15">
        <v>374.66375999999929</v>
      </c>
      <c r="V91" s="15"/>
      <c r="W91" s="15">
        <v>210</v>
      </c>
      <c r="X91" s="15">
        <f t="shared" si="22"/>
        <v>228.40279999999998</v>
      </c>
      <c r="Y91" s="4"/>
      <c r="Z91" s="15">
        <f t="shared" si="23"/>
        <v>11.448955967264849</v>
      </c>
      <c r="AA91" s="15">
        <f t="shared" si="24"/>
        <v>11.448955967264849</v>
      </c>
      <c r="AB91" s="15">
        <v>232.9778</v>
      </c>
      <c r="AC91" s="15">
        <v>248.2516</v>
      </c>
      <c r="AD91" s="15">
        <v>249.66139999999999</v>
      </c>
      <c r="AE91" s="15">
        <v>205.2064</v>
      </c>
      <c r="AF91" s="15">
        <v>161.07499999999999</v>
      </c>
      <c r="AG91" s="15">
        <v>169.74440000000001</v>
      </c>
      <c r="AH91" s="15">
        <v>188.2424</v>
      </c>
      <c r="AI91" s="15">
        <v>175.36760000000001</v>
      </c>
      <c r="AJ91" s="15">
        <v>241.06899999999999</v>
      </c>
      <c r="AK91" s="15">
        <v>210.56899999999999</v>
      </c>
      <c r="AL91" s="15"/>
      <c r="AM91" s="15">
        <f>G91*Y91</f>
        <v>0</v>
      </c>
      <c r="AN91" s="15"/>
      <c r="AO91" s="15"/>
      <c r="AP91" s="15"/>
      <c r="AQ91" s="15"/>
      <c r="AR91" s="15"/>
      <c r="AS91" s="15"/>
      <c r="AT91" s="15"/>
      <c r="AU91" s="15"/>
      <c r="AV91" s="15"/>
    </row>
    <row r="92" spans="1:48" x14ac:dyDescent="0.25">
      <c r="A92" s="20" t="s">
        <v>141</v>
      </c>
      <c r="B92" s="15" t="s">
        <v>42</v>
      </c>
      <c r="C92" s="15">
        <v>2105.181</v>
      </c>
      <c r="D92" s="15">
        <v>5.0190000000000001</v>
      </c>
      <c r="E92" s="15">
        <v>805.375</v>
      </c>
      <c r="F92" s="15">
        <v>1276.489</v>
      </c>
      <c r="G92" s="6">
        <v>1</v>
      </c>
      <c r="H92" s="15">
        <v>60</v>
      </c>
      <c r="I92" s="15" t="s">
        <v>43</v>
      </c>
      <c r="J92" s="15"/>
      <c r="K92" s="15">
        <v>1949.8</v>
      </c>
      <c r="L92" s="15">
        <f t="shared" si="21"/>
        <v>-1144.425</v>
      </c>
      <c r="M92" s="15"/>
      <c r="N92" s="15"/>
      <c r="O92" s="15"/>
      <c r="P92" s="15"/>
      <c r="Q92" s="21">
        <f>-1*F92</f>
        <v>-1276.489</v>
      </c>
      <c r="R92" s="15">
        <v>2404.1370000000002</v>
      </c>
      <c r="S92" s="15"/>
      <c r="T92" s="15">
        <v>300</v>
      </c>
      <c r="U92" s="15">
        <v>676.85639999999967</v>
      </c>
      <c r="V92" s="15"/>
      <c r="W92" s="15">
        <v>330</v>
      </c>
      <c r="X92" s="15">
        <f t="shared" si="22"/>
        <v>161.07499999999999</v>
      </c>
      <c r="Y92" s="4"/>
      <c r="Z92" s="15">
        <f>(F92+O92+P92+R92+S92+T92+U92+V92+W92+Y92+Q92)/X92</f>
        <v>23.038916032903927</v>
      </c>
      <c r="AA92" s="15">
        <f>(F92+O92+P92+R92+S92+T92+U92+V92+W92+Q92)/X92</f>
        <v>23.038916032903927</v>
      </c>
      <c r="AB92" s="15">
        <v>363.33519999999999</v>
      </c>
      <c r="AC92" s="15">
        <v>362.65</v>
      </c>
      <c r="AD92" s="15">
        <v>268.4776</v>
      </c>
      <c r="AE92" s="15">
        <v>268.70100000000002</v>
      </c>
      <c r="AF92" s="15">
        <v>349.07299999999998</v>
      </c>
      <c r="AG92" s="15">
        <v>386.24540000000002</v>
      </c>
      <c r="AH92" s="15">
        <v>423.5804</v>
      </c>
      <c r="AI92" s="15">
        <v>376.52600000000001</v>
      </c>
      <c r="AJ92" s="15">
        <v>336.5274</v>
      </c>
      <c r="AK92" s="15">
        <v>281.4778</v>
      </c>
      <c r="AL92" s="15"/>
      <c r="AM92" s="15">
        <f>G92*Y92</f>
        <v>0</v>
      </c>
      <c r="AN92" s="15"/>
      <c r="AO92" s="15"/>
      <c r="AP92" s="15"/>
      <c r="AQ92" s="15"/>
      <c r="AR92" s="15"/>
      <c r="AS92" s="15"/>
      <c r="AT92" s="15"/>
      <c r="AU92" s="15"/>
      <c r="AV92" s="15"/>
    </row>
    <row r="93" spans="1:48" x14ac:dyDescent="0.25">
      <c r="A93" s="11" t="s">
        <v>142</v>
      </c>
      <c r="B93" s="11" t="s">
        <v>42</v>
      </c>
      <c r="C93" s="11"/>
      <c r="D93" s="11"/>
      <c r="E93" s="11"/>
      <c r="F93" s="11"/>
      <c r="G93" s="12">
        <v>0</v>
      </c>
      <c r="H93" s="11"/>
      <c r="I93" s="11" t="s">
        <v>43</v>
      </c>
      <c r="J93" s="11"/>
      <c r="K93" s="11"/>
      <c r="L93" s="11">
        <f t="shared" si="21"/>
        <v>0</v>
      </c>
      <c r="M93" s="11"/>
      <c r="N93" s="11"/>
      <c r="O93" s="11"/>
      <c r="P93" s="11"/>
      <c r="Q93" s="11"/>
      <c r="R93" s="11">
        <v>0</v>
      </c>
      <c r="S93" s="11"/>
      <c r="T93" s="11"/>
      <c r="U93" s="11">
        <v>0</v>
      </c>
      <c r="V93" s="11"/>
      <c r="W93" s="11"/>
      <c r="X93" s="11">
        <f t="shared" si="22"/>
        <v>0</v>
      </c>
      <c r="Y93" s="13"/>
      <c r="Z93" s="11" t="e">
        <f t="shared" si="23"/>
        <v>#DIV/0!</v>
      </c>
      <c r="AA93" s="11" t="e">
        <f t="shared" si="24"/>
        <v>#DIV/0!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 t="s">
        <v>48</v>
      </c>
      <c r="AM93" s="11"/>
      <c r="AN93" s="15"/>
      <c r="AO93" s="15"/>
      <c r="AP93" s="15"/>
      <c r="AQ93" s="15"/>
      <c r="AR93" s="15"/>
      <c r="AS93" s="15"/>
      <c r="AT93" s="15"/>
      <c r="AU93" s="15"/>
      <c r="AV93" s="15"/>
    </row>
    <row r="94" spans="1:48" x14ac:dyDescent="0.25">
      <c r="A94" s="15" t="s">
        <v>143</v>
      </c>
      <c r="B94" s="15" t="s">
        <v>47</v>
      </c>
      <c r="C94" s="15">
        <v>-3</v>
      </c>
      <c r="D94" s="15"/>
      <c r="E94" s="15">
        <v>-2</v>
      </c>
      <c r="F94" s="15">
        <v>-3</v>
      </c>
      <c r="G94" s="6">
        <v>0.3</v>
      </c>
      <c r="H94" s="15">
        <v>40</v>
      </c>
      <c r="I94" s="9" t="s">
        <v>54</v>
      </c>
      <c r="J94" s="15"/>
      <c r="K94" s="15">
        <v>23</v>
      </c>
      <c r="L94" s="15">
        <f t="shared" si="21"/>
        <v>-25</v>
      </c>
      <c r="M94" s="15"/>
      <c r="N94" s="15"/>
      <c r="O94" s="15"/>
      <c r="P94" s="15"/>
      <c r="Q94" s="15"/>
      <c r="R94" s="15">
        <v>30</v>
      </c>
      <c r="S94" s="15">
        <v>-30</v>
      </c>
      <c r="T94" s="15"/>
      <c r="U94" s="15">
        <v>40</v>
      </c>
      <c r="V94" s="15"/>
      <c r="W94" s="15"/>
      <c r="X94" s="15">
        <f t="shared" si="22"/>
        <v>-0.4</v>
      </c>
      <c r="Y94" s="4">
        <v>20</v>
      </c>
      <c r="Z94" s="15">
        <f t="shared" si="23"/>
        <v>-142.5</v>
      </c>
      <c r="AA94" s="15">
        <f t="shared" si="24"/>
        <v>-92.5</v>
      </c>
      <c r="AB94" s="15">
        <v>-1.6</v>
      </c>
      <c r="AC94" s="15">
        <v>-1.8</v>
      </c>
      <c r="AD94" s="15">
        <v>-1</v>
      </c>
      <c r="AE94" s="15">
        <v>-0.8</v>
      </c>
      <c r="AF94" s="15">
        <v>-1.2</v>
      </c>
      <c r="AG94" s="15">
        <v>-0.4</v>
      </c>
      <c r="AH94" s="15">
        <v>10.8</v>
      </c>
      <c r="AI94" s="15">
        <v>19.399999999999999</v>
      </c>
      <c r="AJ94" s="15">
        <v>20.2</v>
      </c>
      <c r="AK94" s="15">
        <v>9.8000000000000007</v>
      </c>
      <c r="AL94" s="15"/>
      <c r="AM94" s="15">
        <f>G94*Y94</f>
        <v>6</v>
      </c>
      <c r="AN94" s="15"/>
      <c r="AO94" s="15"/>
      <c r="AP94" s="15"/>
      <c r="AQ94" s="15"/>
      <c r="AR94" s="15"/>
      <c r="AS94" s="15"/>
      <c r="AT94" s="15"/>
      <c r="AU94" s="15"/>
      <c r="AV94" s="15"/>
    </row>
    <row r="95" spans="1:48" x14ac:dyDescent="0.25">
      <c r="A95" s="11" t="s">
        <v>144</v>
      </c>
      <c r="B95" s="11" t="s">
        <v>47</v>
      </c>
      <c r="C95" s="11"/>
      <c r="D95" s="11"/>
      <c r="E95" s="11"/>
      <c r="F95" s="11"/>
      <c r="G95" s="12">
        <v>0</v>
      </c>
      <c r="H95" s="11"/>
      <c r="I95" s="11" t="s">
        <v>43</v>
      </c>
      <c r="J95" s="11"/>
      <c r="K95" s="11"/>
      <c r="L95" s="11">
        <f t="shared" si="21"/>
        <v>0</v>
      </c>
      <c r="M95" s="11"/>
      <c r="N95" s="11"/>
      <c r="O95" s="11"/>
      <c r="P95" s="11"/>
      <c r="Q95" s="11"/>
      <c r="R95" s="11">
        <v>0</v>
      </c>
      <c r="S95" s="11"/>
      <c r="T95" s="11"/>
      <c r="U95" s="11">
        <v>0</v>
      </c>
      <c r="V95" s="11"/>
      <c r="W95" s="11"/>
      <c r="X95" s="11">
        <f t="shared" si="22"/>
        <v>0</v>
      </c>
      <c r="Y95" s="13"/>
      <c r="Z95" s="11" t="e">
        <f t="shared" si="23"/>
        <v>#DIV/0!</v>
      </c>
      <c r="AA95" s="11" t="e">
        <f t="shared" si="24"/>
        <v>#DIV/0!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 t="s">
        <v>48</v>
      </c>
      <c r="AM95" s="11"/>
      <c r="AN95" s="15"/>
      <c r="AO95" s="15"/>
      <c r="AP95" s="15"/>
      <c r="AQ95" s="15"/>
      <c r="AR95" s="15"/>
      <c r="AS95" s="15"/>
      <c r="AT95" s="15"/>
      <c r="AU95" s="15"/>
      <c r="AV95" s="15"/>
    </row>
    <row r="96" spans="1:48" x14ac:dyDescent="0.25">
      <c r="A96" s="15" t="s">
        <v>145</v>
      </c>
      <c r="B96" s="15" t="s">
        <v>47</v>
      </c>
      <c r="C96" s="15">
        <v>7</v>
      </c>
      <c r="D96" s="15"/>
      <c r="E96" s="15"/>
      <c r="F96" s="15">
        <v>6</v>
      </c>
      <c r="G96" s="6">
        <v>7.0000000000000007E-2</v>
      </c>
      <c r="H96" s="15">
        <v>90</v>
      </c>
      <c r="I96" s="9" t="s">
        <v>54</v>
      </c>
      <c r="J96" s="15"/>
      <c r="K96" s="15">
        <v>89</v>
      </c>
      <c r="L96" s="15">
        <f t="shared" si="21"/>
        <v>-89</v>
      </c>
      <c r="M96" s="15"/>
      <c r="N96" s="15"/>
      <c r="O96" s="15"/>
      <c r="P96" s="15"/>
      <c r="Q96" s="15"/>
      <c r="R96" s="15">
        <v>60</v>
      </c>
      <c r="S96" s="15"/>
      <c r="T96" s="15"/>
      <c r="U96" s="15">
        <v>50</v>
      </c>
      <c r="V96" s="15">
        <v>-50</v>
      </c>
      <c r="W96" s="15"/>
      <c r="X96" s="15">
        <f t="shared" si="22"/>
        <v>0</v>
      </c>
      <c r="Y96" s="4">
        <v>60</v>
      </c>
      <c r="Z96" s="15" t="e">
        <f t="shared" si="23"/>
        <v>#DIV/0!</v>
      </c>
      <c r="AA96" s="15" t="e">
        <f t="shared" si="24"/>
        <v>#DIV/0!</v>
      </c>
      <c r="AB96" s="15">
        <v>6.8</v>
      </c>
      <c r="AC96" s="15">
        <v>10.199999999999999</v>
      </c>
      <c r="AD96" s="15">
        <v>7.8</v>
      </c>
      <c r="AE96" s="15">
        <v>10.6</v>
      </c>
      <c r="AF96" s="15">
        <v>21.2</v>
      </c>
      <c r="AG96" s="15">
        <v>22.4</v>
      </c>
      <c r="AH96" s="15">
        <v>25.6</v>
      </c>
      <c r="AI96" s="15">
        <v>25.4</v>
      </c>
      <c r="AJ96" s="15">
        <v>15.4</v>
      </c>
      <c r="AK96" s="15">
        <v>12.2</v>
      </c>
      <c r="AL96" s="15" t="s">
        <v>146</v>
      </c>
      <c r="AM96" s="15">
        <f>G96*Y96</f>
        <v>4.2</v>
      </c>
      <c r="AN96" s="15"/>
      <c r="AO96" s="15"/>
      <c r="AP96" s="15"/>
      <c r="AQ96" s="15"/>
      <c r="AR96" s="15"/>
      <c r="AS96" s="15"/>
      <c r="AT96" s="15"/>
      <c r="AU96" s="15"/>
      <c r="AV96" s="15"/>
    </row>
    <row r="97" spans="1:48" x14ac:dyDescent="0.25">
      <c r="A97" s="15" t="s">
        <v>147</v>
      </c>
      <c r="B97" s="15" t="s">
        <v>47</v>
      </c>
      <c r="C97" s="15">
        <v>69</v>
      </c>
      <c r="D97" s="15">
        <v>40</v>
      </c>
      <c r="E97" s="15">
        <v>76</v>
      </c>
      <c r="F97" s="15">
        <v>29</v>
      </c>
      <c r="G97" s="6">
        <v>7.0000000000000007E-2</v>
      </c>
      <c r="H97" s="15">
        <v>90</v>
      </c>
      <c r="I97" s="9" t="s">
        <v>54</v>
      </c>
      <c r="J97" s="15"/>
      <c r="K97" s="15">
        <v>115</v>
      </c>
      <c r="L97" s="15">
        <f t="shared" si="21"/>
        <v>-39</v>
      </c>
      <c r="M97" s="15"/>
      <c r="N97" s="15"/>
      <c r="O97" s="15"/>
      <c r="P97" s="15"/>
      <c r="Q97" s="15"/>
      <c r="R97" s="15">
        <v>139.6</v>
      </c>
      <c r="S97" s="15"/>
      <c r="T97" s="15"/>
      <c r="U97" s="15">
        <v>100.60000000000009</v>
      </c>
      <c r="V97" s="15">
        <v>-108</v>
      </c>
      <c r="W97" s="15"/>
      <c r="X97" s="15">
        <f t="shared" si="22"/>
        <v>15.2</v>
      </c>
      <c r="Y97" s="4">
        <v>40</v>
      </c>
      <c r="Z97" s="15">
        <f t="shared" si="23"/>
        <v>13.236842105263165</v>
      </c>
      <c r="AA97" s="15">
        <f t="shared" si="24"/>
        <v>10.605263157894743</v>
      </c>
      <c r="AB97" s="15">
        <v>24.6</v>
      </c>
      <c r="AC97" s="15">
        <v>21.6</v>
      </c>
      <c r="AD97" s="15">
        <v>6</v>
      </c>
      <c r="AE97" s="15">
        <v>1.4</v>
      </c>
      <c r="AF97" s="15">
        <v>12.6</v>
      </c>
      <c r="AG97" s="15">
        <v>13.6</v>
      </c>
      <c r="AH97" s="15">
        <v>1.6</v>
      </c>
      <c r="AI97" s="15">
        <v>0.4</v>
      </c>
      <c r="AJ97" s="15">
        <v>9.8000000000000007</v>
      </c>
      <c r="AK97" s="15">
        <v>13.8</v>
      </c>
      <c r="AL97" s="15" t="s">
        <v>146</v>
      </c>
      <c r="AM97" s="15">
        <f>G97*Y97</f>
        <v>2.8000000000000003</v>
      </c>
      <c r="AN97" s="15"/>
      <c r="AO97" s="15"/>
      <c r="AP97" s="15"/>
      <c r="AQ97" s="15"/>
      <c r="AR97" s="15"/>
      <c r="AS97" s="15"/>
      <c r="AT97" s="15"/>
      <c r="AU97" s="15"/>
      <c r="AV97" s="15"/>
    </row>
    <row r="98" spans="1:48" x14ac:dyDescent="0.25">
      <c r="A98" s="15" t="s">
        <v>148</v>
      </c>
      <c r="B98" s="15" t="s">
        <v>47</v>
      </c>
      <c r="C98" s="15">
        <v>106</v>
      </c>
      <c r="D98" s="15">
        <v>40</v>
      </c>
      <c r="E98" s="15">
        <v>75</v>
      </c>
      <c r="F98" s="15">
        <v>65</v>
      </c>
      <c r="G98" s="6">
        <v>7.0000000000000007E-2</v>
      </c>
      <c r="H98" s="15">
        <v>90</v>
      </c>
      <c r="I98" s="9" t="s">
        <v>54</v>
      </c>
      <c r="J98" s="15"/>
      <c r="K98" s="15">
        <v>90</v>
      </c>
      <c r="L98" s="15">
        <f t="shared" si="21"/>
        <v>-15</v>
      </c>
      <c r="M98" s="15"/>
      <c r="N98" s="15"/>
      <c r="O98" s="15"/>
      <c r="P98" s="15"/>
      <c r="Q98" s="15"/>
      <c r="R98" s="15">
        <v>102</v>
      </c>
      <c r="S98" s="15"/>
      <c r="T98" s="15"/>
      <c r="U98" s="15">
        <v>130.19999999999999</v>
      </c>
      <c r="V98" s="15">
        <v>-130</v>
      </c>
      <c r="W98" s="15"/>
      <c r="X98" s="15">
        <f t="shared" si="22"/>
        <v>15</v>
      </c>
      <c r="Y98" s="4">
        <v>50</v>
      </c>
      <c r="Z98" s="15">
        <f t="shared" si="23"/>
        <v>14.479999999999999</v>
      </c>
      <c r="AA98" s="15">
        <f t="shared" si="24"/>
        <v>11.146666666666667</v>
      </c>
      <c r="AB98" s="15">
        <v>27</v>
      </c>
      <c r="AC98" s="15">
        <v>21.8</v>
      </c>
      <c r="AD98" s="15">
        <v>19.8</v>
      </c>
      <c r="AE98" s="15">
        <v>22</v>
      </c>
      <c r="AF98" s="15">
        <v>17.399999999999999</v>
      </c>
      <c r="AG98" s="15">
        <v>16.8</v>
      </c>
      <c r="AH98" s="15">
        <v>24.6</v>
      </c>
      <c r="AI98" s="15">
        <v>23.6</v>
      </c>
      <c r="AJ98" s="15">
        <v>12.4</v>
      </c>
      <c r="AK98" s="15">
        <v>7.2</v>
      </c>
      <c r="AL98" s="15" t="s">
        <v>146</v>
      </c>
      <c r="AM98" s="15">
        <f>G98*Y98</f>
        <v>3.5000000000000004</v>
      </c>
      <c r="AN98" s="15"/>
      <c r="AO98" s="15"/>
      <c r="AP98" s="15"/>
      <c r="AQ98" s="15"/>
      <c r="AR98" s="15"/>
      <c r="AS98" s="15"/>
      <c r="AT98" s="15"/>
      <c r="AU98" s="15"/>
      <c r="AV98" s="15"/>
    </row>
    <row r="99" spans="1:48" x14ac:dyDescent="0.25">
      <c r="A99" s="11" t="s">
        <v>149</v>
      </c>
      <c r="B99" s="11" t="s">
        <v>47</v>
      </c>
      <c r="C99" s="11">
        <v>1</v>
      </c>
      <c r="D99" s="11"/>
      <c r="E99" s="11"/>
      <c r="F99" s="11">
        <v>1</v>
      </c>
      <c r="G99" s="12">
        <v>0</v>
      </c>
      <c r="H99" s="11">
        <v>90</v>
      </c>
      <c r="I99" s="11" t="s">
        <v>79</v>
      </c>
      <c r="J99" s="11"/>
      <c r="K99" s="11">
        <v>18</v>
      </c>
      <c r="L99" s="11">
        <f t="shared" si="21"/>
        <v>-18</v>
      </c>
      <c r="M99" s="11"/>
      <c r="N99" s="11"/>
      <c r="O99" s="11"/>
      <c r="P99" s="11"/>
      <c r="Q99" s="11"/>
      <c r="R99" s="11">
        <v>0</v>
      </c>
      <c r="S99" s="11"/>
      <c r="T99" s="11"/>
      <c r="U99" s="11">
        <v>0</v>
      </c>
      <c r="V99" s="11"/>
      <c r="W99" s="11"/>
      <c r="X99" s="11">
        <f t="shared" si="22"/>
        <v>0</v>
      </c>
      <c r="Y99" s="13"/>
      <c r="Z99" s="11" t="e">
        <f t="shared" si="23"/>
        <v>#DIV/0!</v>
      </c>
      <c r="AA99" s="11" t="e">
        <f t="shared" si="24"/>
        <v>#DIV/0!</v>
      </c>
      <c r="AB99" s="11">
        <v>0</v>
      </c>
      <c r="AC99" s="11">
        <v>0</v>
      </c>
      <c r="AD99" s="11">
        <v>0</v>
      </c>
      <c r="AE99" s="11">
        <v>0.2</v>
      </c>
      <c r="AF99" s="11">
        <v>1.4</v>
      </c>
      <c r="AG99" s="11">
        <v>3.8</v>
      </c>
      <c r="AH99" s="11">
        <v>10</v>
      </c>
      <c r="AI99" s="11">
        <v>11.2</v>
      </c>
      <c r="AJ99" s="11">
        <v>9.8000000000000007</v>
      </c>
      <c r="AK99" s="11">
        <v>9</v>
      </c>
      <c r="AL99" s="11"/>
      <c r="AM99" s="11"/>
      <c r="AN99" s="15"/>
      <c r="AO99" s="15"/>
      <c r="AP99" s="15"/>
      <c r="AQ99" s="15"/>
      <c r="AR99" s="15"/>
      <c r="AS99" s="15"/>
      <c r="AT99" s="15"/>
      <c r="AU99" s="15"/>
      <c r="AV99" s="15"/>
    </row>
    <row r="100" spans="1:48" x14ac:dyDescent="0.25">
      <c r="A100" s="15" t="s">
        <v>150</v>
      </c>
      <c r="B100" s="15" t="s">
        <v>47</v>
      </c>
      <c r="C100" s="15">
        <v>64</v>
      </c>
      <c r="D100" s="15"/>
      <c r="E100" s="15">
        <v>63</v>
      </c>
      <c r="F100" s="15">
        <v>1</v>
      </c>
      <c r="G100" s="6">
        <v>0.3</v>
      </c>
      <c r="H100" s="15"/>
      <c r="I100" s="15" t="s">
        <v>43</v>
      </c>
      <c r="J100" s="15"/>
      <c r="K100" s="15">
        <v>68</v>
      </c>
      <c r="L100" s="15">
        <f t="shared" si="21"/>
        <v>-5</v>
      </c>
      <c r="M100" s="15"/>
      <c r="N100" s="15"/>
      <c r="O100" s="15"/>
      <c r="P100" s="15"/>
      <c r="Q100" s="15"/>
      <c r="R100" s="15">
        <v>0</v>
      </c>
      <c r="S100" s="15"/>
      <c r="T100" s="15"/>
      <c r="U100" s="15">
        <v>140</v>
      </c>
      <c r="V100" s="15"/>
      <c r="W100" s="15"/>
      <c r="X100" s="15">
        <f t="shared" si="22"/>
        <v>12.6</v>
      </c>
      <c r="Y100" s="4"/>
      <c r="Z100" s="15">
        <f t="shared" si="23"/>
        <v>11.190476190476192</v>
      </c>
      <c r="AA100" s="15">
        <f t="shared" si="24"/>
        <v>11.190476190476192</v>
      </c>
      <c r="AB100" s="15">
        <v>15.8</v>
      </c>
      <c r="AC100" s="15">
        <v>4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127</v>
      </c>
      <c r="AM100" s="15">
        <f>G100*Y100</f>
        <v>0</v>
      </c>
      <c r="AN100" s="15"/>
      <c r="AO100" s="15"/>
      <c r="AP100" s="15"/>
      <c r="AQ100" s="15"/>
      <c r="AR100" s="15"/>
      <c r="AS100" s="15"/>
      <c r="AT100" s="15"/>
      <c r="AU100" s="15"/>
      <c r="AV100" s="15"/>
    </row>
    <row r="101" spans="1:48" x14ac:dyDescent="0.25">
      <c r="A101" s="15" t="s">
        <v>151</v>
      </c>
      <c r="B101" s="15" t="s">
        <v>42</v>
      </c>
      <c r="C101" s="15">
        <v>10.202999999999999</v>
      </c>
      <c r="D101" s="15"/>
      <c r="E101" s="15">
        <v>6.0970000000000004</v>
      </c>
      <c r="F101" s="15">
        <v>4.1059999999999999</v>
      </c>
      <c r="G101" s="6">
        <v>1</v>
      </c>
      <c r="H101" s="15">
        <v>55</v>
      </c>
      <c r="I101" s="9" t="s">
        <v>54</v>
      </c>
      <c r="J101" s="15"/>
      <c r="K101" s="15">
        <v>10.8</v>
      </c>
      <c r="L101" s="15">
        <f t="shared" si="21"/>
        <v>-4.7030000000000003</v>
      </c>
      <c r="M101" s="15"/>
      <c r="N101" s="15"/>
      <c r="O101" s="15"/>
      <c r="P101" s="15"/>
      <c r="Q101" s="15"/>
      <c r="R101" s="15">
        <v>0</v>
      </c>
      <c r="S101" s="15"/>
      <c r="T101" s="15"/>
      <c r="U101" s="15">
        <v>20.30439999999999</v>
      </c>
      <c r="V101" s="15"/>
      <c r="W101" s="15"/>
      <c r="X101" s="15">
        <f t="shared" si="22"/>
        <v>1.2194</v>
      </c>
      <c r="Y101" s="4"/>
      <c r="Z101" s="15">
        <f t="shared" si="23"/>
        <v>20.018369690011472</v>
      </c>
      <c r="AA101" s="15">
        <f t="shared" si="24"/>
        <v>20.018369690011472</v>
      </c>
      <c r="AB101" s="15">
        <v>2.0341999999999998</v>
      </c>
      <c r="AC101" s="15">
        <v>0.81479999999999997</v>
      </c>
      <c r="AD101" s="15">
        <v>0.20419999999999999</v>
      </c>
      <c r="AE101" s="15">
        <v>0.2034</v>
      </c>
      <c r="AF101" s="15">
        <v>0.40780000000000011</v>
      </c>
      <c r="AG101" s="15">
        <v>-0.11600000000000001</v>
      </c>
      <c r="AH101" s="15">
        <v>-0.64339999999999997</v>
      </c>
      <c r="AI101" s="15">
        <v>-0.32300000000000001</v>
      </c>
      <c r="AJ101" s="15">
        <v>0</v>
      </c>
      <c r="AK101" s="15">
        <v>2.1076000000000001</v>
      </c>
      <c r="AL101" s="15" t="s">
        <v>152</v>
      </c>
      <c r="AM101" s="15">
        <f>G101*Y101</f>
        <v>0</v>
      </c>
      <c r="AN101" s="15"/>
      <c r="AO101" s="15"/>
      <c r="AP101" s="15"/>
      <c r="AQ101" s="15"/>
      <c r="AR101" s="15"/>
      <c r="AS101" s="15"/>
      <c r="AT101" s="15"/>
      <c r="AU101" s="15"/>
      <c r="AV101" s="15"/>
    </row>
    <row r="102" spans="1:48" x14ac:dyDescent="0.25">
      <c r="A102" s="15" t="s">
        <v>153</v>
      </c>
      <c r="B102" s="15" t="s">
        <v>47</v>
      </c>
      <c r="C102" s="15">
        <v>106</v>
      </c>
      <c r="D102" s="15"/>
      <c r="E102" s="15">
        <v>2</v>
      </c>
      <c r="F102" s="15">
        <v>56</v>
      </c>
      <c r="G102" s="6">
        <v>0.11</v>
      </c>
      <c r="H102" s="15">
        <v>30</v>
      </c>
      <c r="I102" s="15" t="s">
        <v>43</v>
      </c>
      <c r="J102" s="15"/>
      <c r="K102" s="15">
        <v>57</v>
      </c>
      <c r="L102" s="15">
        <f t="shared" ref="L102:L132" si="27">E102-K102</f>
        <v>-55</v>
      </c>
      <c r="M102" s="15"/>
      <c r="N102" s="15"/>
      <c r="O102" s="15"/>
      <c r="P102" s="15"/>
      <c r="Q102" s="15"/>
      <c r="R102" s="15">
        <v>0</v>
      </c>
      <c r="S102" s="15"/>
      <c r="T102" s="15"/>
      <c r="U102" s="15">
        <v>65</v>
      </c>
      <c r="V102" s="15"/>
      <c r="W102" s="15"/>
      <c r="X102" s="15">
        <f t="shared" ref="X102:X132" si="28">E102/5</f>
        <v>0.4</v>
      </c>
      <c r="Y102" s="4"/>
      <c r="Z102" s="15">
        <f t="shared" ref="Z102:Z132" si="29">(F102+O102+P102+R102+S102+T102+U102+V102+W102+Y102)/X102</f>
        <v>302.5</v>
      </c>
      <c r="AA102" s="15">
        <f t="shared" ref="AA102:AA132" si="30">(F102+O102+P102+R102+S102+T102+U102+V102+W102)/X102</f>
        <v>302.5</v>
      </c>
      <c r="AB102" s="15">
        <v>11</v>
      </c>
      <c r="AC102" s="15">
        <v>1.4</v>
      </c>
      <c r="AD102" s="15">
        <v>3.2</v>
      </c>
      <c r="AE102" s="15">
        <v>3.6</v>
      </c>
      <c r="AF102" s="15">
        <v>0.4</v>
      </c>
      <c r="AG102" s="15">
        <v>1.6</v>
      </c>
      <c r="AH102" s="15">
        <v>11.4</v>
      </c>
      <c r="AI102" s="15">
        <v>0</v>
      </c>
      <c r="AJ102" s="15">
        <v>0</v>
      </c>
      <c r="AK102" s="15">
        <v>0</v>
      </c>
      <c r="AL102" s="18" t="s">
        <v>186</v>
      </c>
      <c r="AM102" s="15">
        <f>G102*Y102</f>
        <v>0</v>
      </c>
      <c r="AN102" s="15"/>
      <c r="AO102" s="15"/>
      <c r="AP102" s="15"/>
      <c r="AQ102" s="15"/>
      <c r="AR102" s="15"/>
      <c r="AS102" s="15"/>
      <c r="AT102" s="15"/>
      <c r="AU102" s="15"/>
      <c r="AV102" s="15"/>
    </row>
    <row r="103" spans="1:48" x14ac:dyDescent="0.25">
      <c r="A103" s="11" t="s">
        <v>154</v>
      </c>
      <c r="B103" s="11" t="s">
        <v>47</v>
      </c>
      <c r="C103" s="11"/>
      <c r="D103" s="11"/>
      <c r="E103" s="11"/>
      <c r="F103" s="11"/>
      <c r="G103" s="12">
        <v>0</v>
      </c>
      <c r="H103" s="11"/>
      <c r="I103" s="11" t="s">
        <v>43</v>
      </c>
      <c r="J103" s="11"/>
      <c r="K103" s="11"/>
      <c r="L103" s="11">
        <f t="shared" si="27"/>
        <v>0</v>
      </c>
      <c r="M103" s="11"/>
      <c r="N103" s="11"/>
      <c r="O103" s="11"/>
      <c r="P103" s="11"/>
      <c r="Q103" s="11"/>
      <c r="R103" s="11">
        <v>0</v>
      </c>
      <c r="S103" s="11"/>
      <c r="T103" s="11"/>
      <c r="U103" s="11">
        <v>0</v>
      </c>
      <c r="V103" s="11"/>
      <c r="W103" s="11"/>
      <c r="X103" s="11">
        <f t="shared" si="28"/>
        <v>0</v>
      </c>
      <c r="Y103" s="13"/>
      <c r="Z103" s="11" t="e">
        <f t="shared" si="29"/>
        <v>#DIV/0!</v>
      </c>
      <c r="AA103" s="11" t="e">
        <f t="shared" si="30"/>
        <v>#DIV/0!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 t="s">
        <v>48</v>
      </c>
      <c r="AM103" s="11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48" x14ac:dyDescent="0.25">
      <c r="A104" s="15" t="s">
        <v>155</v>
      </c>
      <c r="B104" s="15" t="s">
        <v>47</v>
      </c>
      <c r="C104" s="15">
        <v>92</v>
      </c>
      <c r="D104" s="15">
        <v>103</v>
      </c>
      <c r="E104" s="15">
        <v>90</v>
      </c>
      <c r="F104" s="15">
        <v>100</v>
      </c>
      <c r="G104" s="6">
        <v>0.08</v>
      </c>
      <c r="H104" s="15">
        <v>45</v>
      </c>
      <c r="I104" s="15" t="s">
        <v>43</v>
      </c>
      <c r="J104" s="15"/>
      <c r="K104" s="15">
        <v>104</v>
      </c>
      <c r="L104" s="15">
        <f t="shared" si="27"/>
        <v>-14</v>
      </c>
      <c r="M104" s="15"/>
      <c r="N104" s="15"/>
      <c r="O104" s="15"/>
      <c r="P104" s="15"/>
      <c r="Q104" s="15"/>
      <c r="R104" s="15">
        <v>42.400000000000013</v>
      </c>
      <c r="S104" s="15"/>
      <c r="T104" s="15"/>
      <c r="U104" s="15">
        <v>105.9999999999999</v>
      </c>
      <c r="V104" s="15"/>
      <c r="W104" s="15"/>
      <c r="X104" s="15">
        <f t="shared" si="28"/>
        <v>18</v>
      </c>
      <c r="Y104" s="4"/>
      <c r="Z104" s="15">
        <f t="shared" si="29"/>
        <v>13.799999999999995</v>
      </c>
      <c r="AA104" s="15">
        <f t="shared" si="30"/>
        <v>13.799999999999995</v>
      </c>
      <c r="AB104" s="15">
        <v>24.4</v>
      </c>
      <c r="AC104" s="15">
        <v>21.8</v>
      </c>
      <c r="AD104" s="15">
        <v>22.4</v>
      </c>
      <c r="AE104" s="15">
        <v>19.399999999999999</v>
      </c>
      <c r="AF104" s="15">
        <v>14.4</v>
      </c>
      <c r="AG104" s="15">
        <v>21.6</v>
      </c>
      <c r="AH104" s="15">
        <v>26.2</v>
      </c>
      <c r="AI104" s="15">
        <v>19.600000000000001</v>
      </c>
      <c r="AJ104" s="15">
        <v>16.399999999999999</v>
      </c>
      <c r="AK104" s="15">
        <v>14.8</v>
      </c>
      <c r="AL104" s="15"/>
      <c r="AM104" s="15">
        <f t="shared" ref="AM104:AM109" si="31">G104*Y104</f>
        <v>0</v>
      </c>
      <c r="AN104" s="15"/>
      <c r="AO104" s="15"/>
      <c r="AP104" s="15"/>
      <c r="AQ104" s="15"/>
      <c r="AR104" s="15"/>
      <c r="AS104" s="15"/>
      <c r="AT104" s="15"/>
      <c r="AU104" s="15"/>
      <c r="AV104" s="15"/>
    </row>
    <row r="105" spans="1:48" x14ac:dyDescent="0.25">
      <c r="A105" s="15" t="s">
        <v>156</v>
      </c>
      <c r="B105" s="15" t="s">
        <v>47</v>
      </c>
      <c r="C105" s="15">
        <v>39</v>
      </c>
      <c r="D105" s="15">
        <v>100</v>
      </c>
      <c r="E105" s="15">
        <v>56</v>
      </c>
      <c r="F105" s="15">
        <v>83</v>
      </c>
      <c r="G105" s="6">
        <v>0.08</v>
      </c>
      <c r="H105" s="15">
        <v>45</v>
      </c>
      <c r="I105" s="15" t="s">
        <v>43</v>
      </c>
      <c r="J105" s="15"/>
      <c r="K105" s="15">
        <v>65</v>
      </c>
      <c r="L105" s="15">
        <f t="shared" si="27"/>
        <v>-9</v>
      </c>
      <c r="M105" s="15"/>
      <c r="N105" s="15"/>
      <c r="O105" s="15"/>
      <c r="P105" s="15"/>
      <c r="Q105" s="15"/>
      <c r="R105" s="15">
        <v>73</v>
      </c>
      <c r="S105" s="15"/>
      <c r="T105" s="15"/>
      <c r="U105" s="15">
        <v>34</v>
      </c>
      <c r="V105" s="15"/>
      <c r="W105" s="15"/>
      <c r="X105" s="15">
        <f t="shared" si="28"/>
        <v>11.2</v>
      </c>
      <c r="Y105" s="4"/>
      <c r="Z105" s="15">
        <f t="shared" si="29"/>
        <v>16.964285714285715</v>
      </c>
      <c r="AA105" s="15">
        <f t="shared" si="30"/>
        <v>16.964285714285715</v>
      </c>
      <c r="AB105" s="15">
        <v>18</v>
      </c>
      <c r="AC105" s="15">
        <v>19</v>
      </c>
      <c r="AD105" s="15">
        <v>18</v>
      </c>
      <c r="AE105" s="15">
        <v>15.6</v>
      </c>
      <c r="AF105" s="15">
        <v>11.6</v>
      </c>
      <c r="AG105" s="15">
        <v>11.6</v>
      </c>
      <c r="AH105" s="15">
        <v>16.600000000000001</v>
      </c>
      <c r="AI105" s="15">
        <v>15.2</v>
      </c>
      <c r="AJ105" s="15">
        <v>10.199999999999999</v>
      </c>
      <c r="AK105" s="15">
        <v>18.2</v>
      </c>
      <c r="AL105" s="15"/>
      <c r="AM105" s="15">
        <f t="shared" si="31"/>
        <v>0</v>
      </c>
      <c r="AN105" s="15"/>
      <c r="AO105" s="15"/>
      <c r="AP105" s="15"/>
      <c r="AQ105" s="15"/>
      <c r="AR105" s="15"/>
      <c r="AS105" s="15"/>
      <c r="AT105" s="15"/>
      <c r="AU105" s="15"/>
      <c r="AV105" s="15"/>
    </row>
    <row r="106" spans="1:48" x14ac:dyDescent="0.25">
      <c r="A106" s="15" t="s">
        <v>157</v>
      </c>
      <c r="B106" s="15" t="s">
        <v>47</v>
      </c>
      <c r="C106" s="15">
        <v>60</v>
      </c>
      <c r="D106" s="15"/>
      <c r="E106" s="15">
        <v>1</v>
      </c>
      <c r="F106" s="15">
        <v>58</v>
      </c>
      <c r="G106" s="6">
        <v>0.17</v>
      </c>
      <c r="H106" s="15">
        <v>30</v>
      </c>
      <c r="I106" s="15" t="s">
        <v>43</v>
      </c>
      <c r="J106" s="15"/>
      <c r="K106" s="15">
        <v>10</v>
      </c>
      <c r="L106" s="15">
        <f t="shared" si="27"/>
        <v>-9</v>
      </c>
      <c r="M106" s="15"/>
      <c r="N106" s="15"/>
      <c r="O106" s="15"/>
      <c r="P106" s="15"/>
      <c r="Q106" s="15"/>
      <c r="R106" s="15">
        <v>0</v>
      </c>
      <c r="S106" s="15"/>
      <c r="T106" s="15"/>
      <c r="U106" s="15">
        <v>0</v>
      </c>
      <c r="V106" s="15"/>
      <c r="W106" s="15"/>
      <c r="X106" s="15">
        <f t="shared" si="28"/>
        <v>0.2</v>
      </c>
      <c r="Y106" s="4"/>
      <c r="Z106" s="15">
        <f t="shared" si="29"/>
        <v>290</v>
      </c>
      <c r="AA106" s="15">
        <f t="shared" si="30"/>
        <v>290</v>
      </c>
      <c r="AB106" s="15">
        <v>1</v>
      </c>
      <c r="AC106" s="15">
        <v>1</v>
      </c>
      <c r="AD106" s="15">
        <v>1.4</v>
      </c>
      <c r="AE106" s="15">
        <v>1.2</v>
      </c>
      <c r="AF106" s="15">
        <v>0.4</v>
      </c>
      <c r="AG106" s="15">
        <v>3.6</v>
      </c>
      <c r="AH106" s="15">
        <v>3.4</v>
      </c>
      <c r="AI106" s="15">
        <v>0</v>
      </c>
      <c r="AJ106" s="15">
        <v>0</v>
      </c>
      <c r="AK106" s="15">
        <v>0</v>
      </c>
      <c r="AL106" s="19" t="s">
        <v>187</v>
      </c>
      <c r="AM106" s="15">
        <f t="shared" si="31"/>
        <v>0</v>
      </c>
      <c r="AN106" s="15"/>
      <c r="AO106" s="15"/>
      <c r="AP106" s="15"/>
      <c r="AQ106" s="15"/>
      <c r="AR106" s="15"/>
      <c r="AS106" s="15"/>
      <c r="AT106" s="15"/>
      <c r="AU106" s="15"/>
      <c r="AV106" s="15"/>
    </row>
    <row r="107" spans="1:48" x14ac:dyDescent="0.25">
      <c r="A107" s="15" t="s">
        <v>158</v>
      </c>
      <c r="B107" s="15" t="s">
        <v>42</v>
      </c>
      <c r="C107" s="15">
        <v>29.690999999999999</v>
      </c>
      <c r="D107" s="15">
        <v>2.9249999999999998</v>
      </c>
      <c r="E107" s="15">
        <v>64.984999999999999</v>
      </c>
      <c r="F107" s="15">
        <v>-38.189</v>
      </c>
      <c r="G107" s="6">
        <v>1</v>
      </c>
      <c r="H107" s="15">
        <v>40</v>
      </c>
      <c r="I107" s="9" t="s">
        <v>54</v>
      </c>
      <c r="J107" s="15"/>
      <c r="K107" s="15">
        <v>91.2</v>
      </c>
      <c r="L107" s="15">
        <f t="shared" si="27"/>
        <v>-26.215000000000003</v>
      </c>
      <c r="M107" s="15"/>
      <c r="N107" s="15"/>
      <c r="O107" s="15"/>
      <c r="P107" s="15"/>
      <c r="Q107" s="15"/>
      <c r="R107" s="15">
        <v>50</v>
      </c>
      <c r="S107" s="15"/>
      <c r="T107" s="15"/>
      <c r="U107" s="15">
        <v>100</v>
      </c>
      <c r="V107" s="15"/>
      <c r="W107" s="15"/>
      <c r="X107" s="15">
        <f t="shared" si="28"/>
        <v>12.997</v>
      </c>
      <c r="Y107" s="4">
        <f t="shared" ref="Y107:Y108" si="32">11*X107-W107-V107-U107-T107-S107-R107-P107-O107-F107</f>
        <v>31.155999999999985</v>
      </c>
      <c r="Z107" s="15">
        <f t="shared" si="29"/>
        <v>10.999999999999998</v>
      </c>
      <c r="AA107" s="15">
        <f t="shared" si="30"/>
        <v>8.6028314226359939</v>
      </c>
      <c r="AB107" s="15">
        <v>22.168800000000001</v>
      </c>
      <c r="AC107" s="15">
        <v>13.851800000000001</v>
      </c>
      <c r="AD107" s="15">
        <v>7.4358000000000004</v>
      </c>
      <c r="AE107" s="15">
        <v>1.85</v>
      </c>
      <c r="AF107" s="15">
        <v>1.1499999999999999</v>
      </c>
      <c r="AG107" s="15">
        <v>11.496</v>
      </c>
      <c r="AH107" s="15">
        <v>18.886600000000001</v>
      </c>
      <c r="AI107" s="15">
        <v>18.115600000000001</v>
      </c>
      <c r="AJ107" s="15">
        <v>24.947399999999998</v>
      </c>
      <c r="AK107" s="15">
        <v>22.3066</v>
      </c>
      <c r="AL107" s="15"/>
      <c r="AM107" s="15">
        <f t="shared" si="31"/>
        <v>31.155999999999985</v>
      </c>
      <c r="AN107" s="15"/>
      <c r="AO107" s="15"/>
      <c r="AP107" s="15"/>
      <c r="AQ107" s="15"/>
      <c r="AR107" s="15"/>
      <c r="AS107" s="15"/>
      <c r="AT107" s="15"/>
      <c r="AU107" s="15"/>
      <c r="AV107" s="15"/>
    </row>
    <row r="108" spans="1:48" x14ac:dyDescent="0.25">
      <c r="A108" s="15" t="s">
        <v>159</v>
      </c>
      <c r="B108" s="15" t="s">
        <v>42</v>
      </c>
      <c r="C108" s="15">
        <v>4.1669999999999998</v>
      </c>
      <c r="D108" s="15">
        <v>101.852</v>
      </c>
      <c r="E108" s="15">
        <v>82.334000000000003</v>
      </c>
      <c r="F108" s="15">
        <v>14.904999999999999</v>
      </c>
      <c r="G108" s="6">
        <v>1</v>
      </c>
      <c r="H108" s="15">
        <v>40</v>
      </c>
      <c r="I108" s="9" t="s">
        <v>54</v>
      </c>
      <c r="J108" s="15"/>
      <c r="K108" s="15">
        <v>114.7</v>
      </c>
      <c r="L108" s="15">
        <f t="shared" si="27"/>
        <v>-32.366</v>
      </c>
      <c r="M108" s="15"/>
      <c r="N108" s="15"/>
      <c r="O108" s="15"/>
      <c r="P108" s="15"/>
      <c r="Q108" s="15"/>
      <c r="R108" s="15">
        <v>50</v>
      </c>
      <c r="S108" s="15"/>
      <c r="T108" s="15"/>
      <c r="U108" s="15">
        <v>30</v>
      </c>
      <c r="V108" s="15"/>
      <c r="W108" s="15"/>
      <c r="X108" s="15">
        <f t="shared" si="28"/>
        <v>16.466799999999999</v>
      </c>
      <c r="Y108" s="4">
        <f t="shared" si="32"/>
        <v>86.229799999999983</v>
      </c>
      <c r="Z108" s="15">
        <f t="shared" si="29"/>
        <v>11</v>
      </c>
      <c r="AA108" s="15">
        <f t="shared" si="30"/>
        <v>5.7634148711346471</v>
      </c>
      <c r="AB108" s="15">
        <v>7.055200000000001</v>
      </c>
      <c r="AC108" s="15">
        <v>12.9968</v>
      </c>
      <c r="AD108" s="15">
        <v>8.9847999999999999</v>
      </c>
      <c r="AE108" s="15">
        <v>1.7248000000000001</v>
      </c>
      <c r="AF108" s="15">
        <v>5.3618000000000006</v>
      </c>
      <c r="AG108" s="15">
        <v>15.671200000000001</v>
      </c>
      <c r="AH108" s="15">
        <v>16.325800000000001</v>
      </c>
      <c r="AI108" s="15">
        <v>12.1866</v>
      </c>
      <c r="AJ108" s="15">
        <v>20.2988</v>
      </c>
      <c r="AK108" s="15">
        <v>19.150400000000001</v>
      </c>
      <c r="AL108" s="15"/>
      <c r="AM108" s="15">
        <f t="shared" si="31"/>
        <v>86.229799999999983</v>
      </c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spans="1:48" x14ac:dyDescent="0.25">
      <c r="A109" s="15" t="s">
        <v>160</v>
      </c>
      <c r="B109" s="15" t="s">
        <v>42</v>
      </c>
      <c r="C109" s="15">
        <v>0.46800000000000003</v>
      </c>
      <c r="D109" s="15"/>
      <c r="E109" s="15">
        <v>-3.5619999999999998</v>
      </c>
      <c r="F109" s="15">
        <v>0.46800000000000003</v>
      </c>
      <c r="G109" s="6">
        <v>1</v>
      </c>
      <c r="H109" s="15">
        <v>40</v>
      </c>
      <c r="I109" s="9" t="s">
        <v>54</v>
      </c>
      <c r="J109" s="15"/>
      <c r="K109" s="15">
        <v>55.5</v>
      </c>
      <c r="L109" s="15">
        <f t="shared" si="27"/>
        <v>-59.061999999999998</v>
      </c>
      <c r="M109" s="15"/>
      <c r="N109" s="15"/>
      <c r="O109" s="15"/>
      <c r="P109" s="15"/>
      <c r="Q109" s="15"/>
      <c r="R109" s="15">
        <v>100</v>
      </c>
      <c r="S109" s="15">
        <v>-101.5</v>
      </c>
      <c r="T109" s="15"/>
      <c r="U109" s="15">
        <v>60</v>
      </c>
      <c r="V109" s="15">
        <v>-63</v>
      </c>
      <c r="W109" s="15"/>
      <c r="X109" s="15">
        <f t="shared" si="28"/>
        <v>-0.71239999999999992</v>
      </c>
      <c r="Y109" s="4">
        <v>60</v>
      </c>
      <c r="Z109" s="15">
        <f t="shared" si="29"/>
        <v>-78.562605277933756</v>
      </c>
      <c r="AA109" s="15">
        <f t="shared" si="30"/>
        <v>5.6597417181358747</v>
      </c>
      <c r="AB109" s="15">
        <v>-0.42520000000000002</v>
      </c>
      <c r="AC109" s="15">
        <v>-0.4284</v>
      </c>
      <c r="AD109" s="15">
        <v>2.9601999999999999</v>
      </c>
      <c r="AE109" s="15">
        <v>5.3917999999999999</v>
      </c>
      <c r="AF109" s="15">
        <v>4.0991999999999997</v>
      </c>
      <c r="AG109" s="15">
        <v>11.083399999999999</v>
      </c>
      <c r="AH109" s="15">
        <v>18.302600000000002</v>
      </c>
      <c r="AI109" s="15">
        <v>15.167199999999999</v>
      </c>
      <c r="AJ109" s="15">
        <v>24.976800000000001</v>
      </c>
      <c r="AK109" s="15">
        <v>27.531199999999998</v>
      </c>
      <c r="AL109" s="15"/>
      <c r="AM109" s="15">
        <f t="shared" si="31"/>
        <v>60</v>
      </c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spans="1:48" x14ac:dyDescent="0.25">
      <c r="A110" s="11" t="s">
        <v>161</v>
      </c>
      <c r="B110" s="11" t="s">
        <v>47</v>
      </c>
      <c r="C110" s="11"/>
      <c r="D110" s="11"/>
      <c r="E110" s="11"/>
      <c r="F110" s="11"/>
      <c r="G110" s="12">
        <v>0</v>
      </c>
      <c r="H110" s="11"/>
      <c r="I110" s="11" t="s">
        <v>43</v>
      </c>
      <c r="J110" s="11"/>
      <c r="K110" s="11"/>
      <c r="L110" s="11">
        <f t="shared" si="27"/>
        <v>0</v>
      </c>
      <c r="M110" s="11"/>
      <c r="N110" s="11"/>
      <c r="O110" s="11"/>
      <c r="P110" s="11"/>
      <c r="Q110" s="11"/>
      <c r="R110" s="11">
        <v>0</v>
      </c>
      <c r="S110" s="11"/>
      <c r="T110" s="11"/>
      <c r="U110" s="11">
        <v>0</v>
      </c>
      <c r="V110" s="11"/>
      <c r="W110" s="11"/>
      <c r="X110" s="11">
        <f t="shared" si="28"/>
        <v>0</v>
      </c>
      <c r="Y110" s="13"/>
      <c r="Z110" s="11" t="e">
        <f t="shared" si="29"/>
        <v>#DIV/0!</v>
      </c>
      <c r="AA110" s="11" t="e">
        <f t="shared" si="30"/>
        <v>#DIV/0!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 t="s">
        <v>48</v>
      </c>
      <c r="AM110" s="11"/>
      <c r="AN110" s="15"/>
      <c r="AO110" s="15"/>
      <c r="AP110" s="15"/>
      <c r="AQ110" s="15"/>
      <c r="AR110" s="15"/>
      <c r="AS110" s="15"/>
      <c r="AT110" s="15"/>
      <c r="AU110" s="15"/>
      <c r="AV110" s="15"/>
    </row>
    <row r="111" spans="1:48" x14ac:dyDescent="0.25">
      <c r="A111" s="11" t="s">
        <v>162</v>
      </c>
      <c r="B111" s="11" t="s">
        <v>42</v>
      </c>
      <c r="C111" s="11"/>
      <c r="D111" s="11"/>
      <c r="E111" s="11"/>
      <c r="F111" s="11"/>
      <c r="G111" s="12">
        <v>0</v>
      </c>
      <c r="H111" s="11"/>
      <c r="I111" s="11" t="s">
        <v>43</v>
      </c>
      <c r="J111" s="11"/>
      <c r="K111" s="11"/>
      <c r="L111" s="11">
        <f t="shared" si="27"/>
        <v>0</v>
      </c>
      <c r="M111" s="11"/>
      <c r="N111" s="11"/>
      <c r="O111" s="11"/>
      <c r="P111" s="11"/>
      <c r="Q111" s="11"/>
      <c r="R111" s="11">
        <v>0</v>
      </c>
      <c r="S111" s="11"/>
      <c r="T111" s="11"/>
      <c r="U111" s="11">
        <v>0</v>
      </c>
      <c r="V111" s="11"/>
      <c r="W111" s="11"/>
      <c r="X111" s="11">
        <f t="shared" si="28"/>
        <v>0</v>
      </c>
      <c r="Y111" s="13"/>
      <c r="Z111" s="11" t="e">
        <f t="shared" si="29"/>
        <v>#DIV/0!</v>
      </c>
      <c r="AA111" s="11" t="e">
        <f t="shared" si="30"/>
        <v>#DIV/0!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 t="s">
        <v>48</v>
      </c>
      <c r="AM111" s="11"/>
      <c r="AN111" s="15"/>
      <c r="AO111" s="15"/>
      <c r="AP111" s="15"/>
      <c r="AQ111" s="15"/>
      <c r="AR111" s="15"/>
      <c r="AS111" s="15"/>
      <c r="AT111" s="15"/>
      <c r="AU111" s="15"/>
      <c r="AV111" s="15"/>
    </row>
    <row r="112" spans="1:48" x14ac:dyDescent="0.25">
      <c r="A112" s="15" t="s">
        <v>163</v>
      </c>
      <c r="B112" s="15" t="s">
        <v>47</v>
      </c>
      <c r="C112" s="15">
        <v>70</v>
      </c>
      <c r="D112" s="15"/>
      <c r="E112" s="15">
        <v>66</v>
      </c>
      <c r="F112" s="15">
        <v>4</v>
      </c>
      <c r="G112" s="6">
        <v>0.28000000000000003</v>
      </c>
      <c r="H112" s="15">
        <v>40</v>
      </c>
      <c r="I112" s="9" t="s">
        <v>54</v>
      </c>
      <c r="J112" s="15"/>
      <c r="K112" s="15">
        <v>197</v>
      </c>
      <c r="L112" s="15">
        <f t="shared" si="27"/>
        <v>-131</v>
      </c>
      <c r="M112" s="15"/>
      <c r="N112" s="15"/>
      <c r="O112" s="15"/>
      <c r="P112" s="15"/>
      <c r="Q112" s="15"/>
      <c r="R112" s="15">
        <v>50</v>
      </c>
      <c r="S112" s="15"/>
      <c r="T112" s="15"/>
      <c r="U112" s="15">
        <v>150</v>
      </c>
      <c r="V112" s="15"/>
      <c r="W112" s="15"/>
      <c r="X112" s="15">
        <f t="shared" si="28"/>
        <v>13.2</v>
      </c>
      <c r="Y112" s="4">
        <v>50</v>
      </c>
      <c r="Z112" s="15">
        <f t="shared" si="29"/>
        <v>19.242424242424242</v>
      </c>
      <c r="AA112" s="15">
        <f t="shared" si="30"/>
        <v>15.454545454545455</v>
      </c>
      <c r="AB112" s="15">
        <v>23.2</v>
      </c>
      <c r="AC112" s="15">
        <v>17.8</v>
      </c>
      <c r="AD112" s="15">
        <v>7.4</v>
      </c>
      <c r="AE112" s="15">
        <v>-2</v>
      </c>
      <c r="AF112" s="15">
        <v>-3.4</v>
      </c>
      <c r="AG112" s="15">
        <v>-3.8</v>
      </c>
      <c r="AH112" s="15">
        <v>18.399999999999999</v>
      </c>
      <c r="AI112" s="15">
        <v>41</v>
      </c>
      <c r="AJ112" s="15">
        <v>43.2</v>
      </c>
      <c r="AK112" s="15">
        <v>41</v>
      </c>
      <c r="AL112" s="15"/>
      <c r="AM112" s="15">
        <f t="shared" ref="AM112:AM131" si="33">G112*Y112</f>
        <v>14.000000000000002</v>
      </c>
      <c r="AN112" s="15"/>
      <c r="AO112" s="15"/>
      <c r="AP112" s="15"/>
      <c r="AQ112" s="15"/>
      <c r="AR112" s="15"/>
      <c r="AS112" s="15"/>
      <c r="AT112" s="15"/>
      <c r="AU112" s="15"/>
      <c r="AV112" s="15"/>
    </row>
    <row r="113" spans="1:48" x14ac:dyDescent="0.25">
      <c r="A113" s="15" t="s">
        <v>164</v>
      </c>
      <c r="B113" s="15" t="s">
        <v>47</v>
      </c>
      <c r="C113" s="15">
        <v>74</v>
      </c>
      <c r="D113" s="15">
        <v>2</v>
      </c>
      <c r="E113" s="15">
        <v>72</v>
      </c>
      <c r="F113" s="15"/>
      <c r="G113" s="6">
        <v>0.28000000000000003</v>
      </c>
      <c r="H113" s="15">
        <v>40</v>
      </c>
      <c r="I113" s="9" t="s">
        <v>54</v>
      </c>
      <c r="J113" s="15"/>
      <c r="K113" s="15">
        <v>183</v>
      </c>
      <c r="L113" s="15">
        <f t="shared" si="27"/>
        <v>-111</v>
      </c>
      <c r="M113" s="15"/>
      <c r="N113" s="15"/>
      <c r="O113" s="15"/>
      <c r="P113" s="15"/>
      <c r="Q113" s="15"/>
      <c r="R113" s="15">
        <v>150</v>
      </c>
      <c r="S113" s="15"/>
      <c r="T113" s="15"/>
      <c r="U113" s="15">
        <v>152</v>
      </c>
      <c r="V113" s="15"/>
      <c r="W113" s="15"/>
      <c r="X113" s="15">
        <f t="shared" si="28"/>
        <v>14.4</v>
      </c>
      <c r="Y113" s="4"/>
      <c r="Z113" s="15">
        <f t="shared" si="29"/>
        <v>20.972222222222221</v>
      </c>
      <c r="AA113" s="15">
        <f t="shared" si="30"/>
        <v>20.972222222222221</v>
      </c>
      <c r="AB113" s="15">
        <v>25</v>
      </c>
      <c r="AC113" s="15">
        <v>16.600000000000001</v>
      </c>
      <c r="AD113" s="15">
        <v>8.8000000000000007</v>
      </c>
      <c r="AE113" s="15">
        <v>-1.2</v>
      </c>
      <c r="AF113" s="15">
        <v>-1.4</v>
      </c>
      <c r="AG113" s="15">
        <v>0.6</v>
      </c>
      <c r="AH113" s="15">
        <v>27.6</v>
      </c>
      <c r="AI113" s="15">
        <v>49.6</v>
      </c>
      <c r="AJ113" s="15">
        <v>46.2</v>
      </c>
      <c r="AK113" s="15">
        <v>36</v>
      </c>
      <c r="AL113" s="15"/>
      <c r="AM113" s="15">
        <f t="shared" si="33"/>
        <v>0</v>
      </c>
      <c r="AN113" s="15"/>
      <c r="AO113" s="15"/>
      <c r="AP113" s="15"/>
      <c r="AQ113" s="15"/>
      <c r="AR113" s="15"/>
      <c r="AS113" s="15"/>
      <c r="AT113" s="15"/>
      <c r="AU113" s="15"/>
      <c r="AV113" s="15"/>
    </row>
    <row r="114" spans="1:48" x14ac:dyDescent="0.25">
      <c r="A114" s="15" t="s">
        <v>165</v>
      </c>
      <c r="B114" s="15" t="s">
        <v>47</v>
      </c>
      <c r="C114" s="15">
        <v>44</v>
      </c>
      <c r="D114" s="15"/>
      <c r="E114" s="15">
        <v>46</v>
      </c>
      <c r="F114" s="15">
        <v>-7</v>
      </c>
      <c r="G114" s="6">
        <v>0.28000000000000003</v>
      </c>
      <c r="H114" s="15">
        <v>40</v>
      </c>
      <c r="I114" s="9" t="s">
        <v>54</v>
      </c>
      <c r="J114" s="15"/>
      <c r="K114" s="15">
        <v>206</v>
      </c>
      <c r="L114" s="15">
        <f t="shared" si="27"/>
        <v>-160</v>
      </c>
      <c r="M114" s="15"/>
      <c r="N114" s="15"/>
      <c r="O114" s="15"/>
      <c r="P114" s="15"/>
      <c r="Q114" s="15"/>
      <c r="R114" s="15">
        <v>150</v>
      </c>
      <c r="S114" s="15">
        <v>-150</v>
      </c>
      <c r="T114" s="15"/>
      <c r="U114" s="15">
        <v>150</v>
      </c>
      <c r="V114" s="15"/>
      <c r="W114" s="15"/>
      <c r="X114" s="15">
        <f t="shared" si="28"/>
        <v>9.1999999999999993</v>
      </c>
      <c r="Y114" s="4">
        <v>100</v>
      </c>
      <c r="Z114" s="15">
        <f t="shared" si="29"/>
        <v>26.413043478260871</v>
      </c>
      <c r="AA114" s="15">
        <f t="shared" si="30"/>
        <v>15.543478260869566</v>
      </c>
      <c r="AB114" s="15">
        <v>19.600000000000001</v>
      </c>
      <c r="AC114" s="15">
        <v>12.2</v>
      </c>
      <c r="AD114" s="15">
        <v>4.8</v>
      </c>
      <c r="AE114" s="15">
        <v>0</v>
      </c>
      <c r="AF114" s="15">
        <v>1.2</v>
      </c>
      <c r="AG114" s="15">
        <v>1.2</v>
      </c>
      <c r="AH114" s="15">
        <v>7.4</v>
      </c>
      <c r="AI114" s="15">
        <v>32.6</v>
      </c>
      <c r="AJ114" s="15">
        <v>47</v>
      </c>
      <c r="AK114" s="15">
        <v>37.200000000000003</v>
      </c>
      <c r="AL114" s="15"/>
      <c r="AM114" s="15">
        <f t="shared" si="33"/>
        <v>28.000000000000004</v>
      </c>
      <c r="AN114" s="15"/>
      <c r="AO114" s="15"/>
      <c r="AP114" s="15"/>
      <c r="AQ114" s="15"/>
      <c r="AR114" s="15"/>
      <c r="AS114" s="15"/>
      <c r="AT114" s="15"/>
      <c r="AU114" s="15"/>
      <c r="AV114" s="15"/>
    </row>
    <row r="115" spans="1:48" x14ac:dyDescent="0.25">
      <c r="A115" s="15" t="s">
        <v>166</v>
      </c>
      <c r="B115" s="15" t="s">
        <v>47</v>
      </c>
      <c r="C115" s="15">
        <v>38</v>
      </c>
      <c r="D115" s="15">
        <v>101</v>
      </c>
      <c r="E115" s="15">
        <v>44</v>
      </c>
      <c r="F115" s="15">
        <v>94</v>
      </c>
      <c r="G115" s="6">
        <v>0.09</v>
      </c>
      <c r="H115" s="15">
        <v>45</v>
      </c>
      <c r="I115" s="15" t="s">
        <v>43</v>
      </c>
      <c r="J115" s="15"/>
      <c r="K115" s="15">
        <v>71</v>
      </c>
      <c r="L115" s="15">
        <f t="shared" si="27"/>
        <v>-27</v>
      </c>
      <c r="M115" s="15"/>
      <c r="N115" s="15"/>
      <c r="O115" s="15"/>
      <c r="P115" s="15"/>
      <c r="Q115" s="15"/>
      <c r="R115" s="15">
        <v>0</v>
      </c>
      <c r="S115" s="15"/>
      <c r="T115" s="15"/>
      <c r="U115" s="15">
        <v>38.800000000000011</v>
      </c>
      <c r="V115" s="15"/>
      <c r="W115" s="15"/>
      <c r="X115" s="15">
        <f t="shared" si="28"/>
        <v>8.8000000000000007</v>
      </c>
      <c r="Y115" s="4"/>
      <c r="Z115" s="15">
        <f t="shared" si="29"/>
        <v>15.090909090909092</v>
      </c>
      <c r="AA115" s="15">
        <f t="shared" si="30"/>
        <v>15.090909090909092</v>
      </c>
      <c r="AB115" s="15">
        <v>12.4</v>
      </c>
      <c r="AC115" s="15">
        <v>12.6</v>
      </c>
      <c r="AD115" s="15">
        <v>15</v>
      </c>
      <c r="AE115" s="15">
        <v>15</v>
      </c>
      <c r="AF115" s="15">
        <v>10</v>
      </c>
      <c r="AG115" s="15">
        <v>8.1999999999999993</v>
      </c>
      <c r="AH115" s="15">
        <v>8.4</v>
      </c>
      <c r="AI115" s="15">
        <v>9.4</v>
      </c>
      <c r="AJ115" s="15">
        <v>10</v>
      </c>
      <c r="AK115" s="15">
        <v>5.6</v>
      </c>
      <c r="AL115" s="15"/>
      <c r="AM115" s="15">
        <f t="shared" si="33"/>
        <v>0</v>
      </c>
      <c r="AN115" s="15"/>
      <c r="AO115" s="15"/>
      <c r="AP115" s="15"/>
      <c r="AQ115" s="15"/>
      <c r="AR115" s="15"/>
      <c r="AS115" s="15"/>
      <c r="AT115" s="15"/>
      <c r="AU115" s="15"/>
      <c r="AV115" s="15"/>
    </row>
    <row r="116" spans="1:48" x14ac:dyDescent="0.25">
      <c r="A116" s="15" t="s">
        <v>167</v>
      </c>
      <c r="B116" s="15" t="s">
        <v>42</v>
      </c>
      <c r="C116" s="15">
        <v>63.747</v>
      </c>
      <c r="D116" s="15"/>
      <c r="E116" s="15">
        <v>52.761000000000003</v>
      </c>
      <c r="F116" s="15">
        <v>5.0620000000000003</v>
      </c>
      <c r="G116" s="6">
        <v>1</v>
      </c>
      <c r="H116" s="15">
        <v>60</v>
      </c>
      <c r="I116" s="15" t="s">
        <v>43</v>
      </c>
      <c r="J116" s="15"/>
      <c r="K116" s="15">
        <v>57.5</v>
      </c>
      <c r="L116" s="15">
        <f t="shared" si="27"/>
        <v>-4.7389999999999972</v>
      </c>
      <c r="M116" s="15"/>
      <c r="N116" s="15"/>
      <c r="O116" s="15"/>
      <c r="P116" s="15"/>
      <c r="Q116" s="15"/>
      <c r="R116" s="15">
        <v>30.809000000000001</v>
      </c>
      <c r="S116" s="15"/>
      <c r="T116" s="15"/>
      <c r="U116" s="15">
        <v>61.823799999999991</v>
      </c>
      <c r="V116" s="15"/>
      <c r="W116" s="15"/>
      <c r="X116" s="15">
        <f t="shared" si="28"/>
        <v>10.552200000000001</v>
      </c>
      <c r="Y116" s="4">
        <f t="shared" ref="Y116:Y122" si="34">11*X116-W116-V116-U116-T116-S116-R116-P116-O116-F116</f>
        <v>18.379400000000011</v>
      </c>
      <c r="Z116" s="15">
        <f t="shared" si="29"/>
        <v>10.999999999999998</v>
      </c>
      <c r="AA116" s="15">
        <f t="shared" si="30"/>
        <v>9.2582399878698265</v>
      </c>
      <c r="AB116" s="15">
        <v>11.1274</v>
      </c>
      <c r="AC116" s="15">
        <v>8.5960000000000001</v>
      </c>
      <c r="AD116" s="15">
        <v>6.4635999999999996</v>
      </c>
      <c r="AE116" s="15">
        <v>6.4147999999999996</v>
      </c>
      <c r="AF116" s="15">
        <v>7.0069999999999997</v>
      </c>
      <c r="AG116" s="15">
        <v>6.0356000000000014</v>
      </c>
      <c r="AH116" s="15">
        <v>11.877599999999999</v>
      </c>
      <c r="AI116" s="15">
        <v>12.359</v>
      </c>
      <c r="AJ116" s="15">
        <v>9.2641999999999989</v>
      </c>
      <c r="AK116" s="15">
        <v>7.4257999999999997</v>
      </c>
      <c r="AL116" s="15"/>
      <c r="AM116" s="15">
        <f t="shared" si="33"/>
        <v>18.379400000000011</v>
      </c>
      <c r="AN116" s="15"/>
      <c r="AO116" s="15"/>
      <c r="AP116" s="15"/>
      <c r="AQ116" s="15"/>
      <c r="AR116" s="15"/>
      <c r="AS116" s="15"/>
      <c r="AT116" s="15"/>
      <c r="AU116" s="15"/>
      <c r="AV116" s="15"/>
    </row>
    <row r="117" spans="1:48" x14ac:dyDescent="0.25">
      <c r="A117" s="15" t="s">
        <v>168</v>
      </c>
      <c r="B117" s="15" t="s">
        <v>42</v>
      </c>
      <c r="C117" s="15">
        <v>90.799000000000007</v>
      </c>
      <c r="D117" s="15">
        <v>17.626999999999999</v>
      </c>
      <c r="E117" s="15">
        <v>93.284000000000006</v>
      </c>
      <c r="F117" s="15">
        <v>7.6230000000000002</v>
      </c>
      <c r="G117" s="6">
        <v>1</v>
      </c>
      <c r="H117" s="15">
        <v>50</v>
      </c>
      <c r="I117" s="15" t="s">
        <v>43</v>
      </c>
      <c r="J117" s="15"/>
      <c r="K117" s="15">
        <v>105</v>
      </c>
      <c r="L117" s="15">
        <f t="shared" si="27"/>
        <v>-11.715999999999994</v>
      </c>
      <c r="M117" s="15"/>
      <c r="N117" s="15"/>
      <c r="O117" s="15"/>
      <c r="P117" s="15"/>
      <c r="Q117" s="15"/>
      <c r="R117" s="15">
        <v>0</v>
      </c>
      <c r="S117" s="15"/>
      <c r="T117" s="15"/>
      <c r="U117" s="15">
        <v>150</v>
      </c>
      <c r="V117" s="15"/>
      <c r="W117" s="15"/>
      <c r="X117" s="15">
        <f t="shared" si="28"/>
        <v>18.6568</v>
      </c>
      <c r="Y117" s="4">
        <f t="shared" si="34"/>
        <v>47.601800000000019</v>
      </c>
      <c r="Z117" s="15">
        <f t="shared" si="29"/>
        <v>11</v>
      </c>
      <c r="AA117" s="15">
        <f t="shared" si="30"/>
        <v>8.448554950473822</v>
      </c>
      <c r="AB117" s="15">
        <v>16.679200000000002</v>
      </c>
      <c r="AC117" s="15">
        <v>8.3925999999999998</v>
      </c>
      <c r="AD117" s="15">
        <v>11.4232</v>
      </c>
      <c r="AE117" s="15">
        <v>9.4489999999999998</v>
      </c>
      <c r="AF117" s="15">
        <v>6.4813999999999989</v>
      </c>
      <c r="AG117" s="15">
        <v>7.4802000000000008</v>
      </c>
      <c r="AH117" s="15">
        <v>18.96</v>
      </c>
      <c r="AI117" s="15">
        <v>21.4636</v>
      </c>
      <c r="AJ117" s="15">
        <v>13.702</v>
      </c>
      <c r="AK117" s="15">
        <v>12.7056</v>
      </c>
      <c r="AL117" s="15"/>
      <c r="AM117" s="15">
        <f t="shared" si="33"/>
        <v>47.601800000000019</v>
      </c>
      <c r="AN117" s="15"/>
      <c r="AO117" s="15"/>
      <c r="AP117" s="15"/>
      <c r="AQ117" s="15"/>
      <c r="AR117" s="15"/>
      <c r="AS117" s="15"/>
      <c r="AT117" s="15"/>
      <c r="AU117" s="15"/>
      <c r="AV117" s="15"/>
    </row>
    <row r="118" spans="1:48" x14ac:dyDescent="0.25">
      <c r="A118" s="15" t="s">
        <v>169</v>
      </c>
      <c r="B118" s="15" t="s">
        <v>47</v>
      </c>
      <c r="C118" s="15">
        <v>6</v>
      </c>
      <c r="D118" s="15">
        <v>120</v>
      </c>
      <c r="E118" s="15">
        <v>18</v>
      </c>
      <c r="F118" s="15">
        <v>108</v>
      </c>
      <c r="G118" s="6">
        <v>0.09</v>
      </c>
      <c r="H118" s="15">
        <v>45</v>
      </c>
      <c r="I118" s="15" t="s">
        <v>43</v>
      </c>
      <c r="J118" s="15"/>
      <c r="K118" s="15">
        <v>50</v>
      </c>
      <c r="L118" s="15">
        <f t="shared" si="27"/>
        <v>-32</v>
      </c>
      <c r="M118" s="15"/>
      <c r="N118" s="15"/>
      <c r="O118" s="15"/>
      <c r="P118" s="15"/>
      <c r="Q118" s="15"/>
      <c r="R118" s="15">
        <v>26.000000000000011</v>
      </c>
      <c r="S118" s="15"/>
      <c r="T118" s="15"/>
      <c r="U118" s="15">
        <v>0</v>
      </c>
      <c r="V118" s="15"/>
      <c r="W118" s="15"/>
      <c r="X118" s="15">
        <f t="shared" si="28"/>
        <v>3.6</v>
      </c>
      <c r="Y118" s="4"/>
      <c r="Z118" s="15">
        <f t="shared" si="29"/>
        <v>37.222222222222221</v>
      </c>
      <c r="AA118" s="15">
        <f t="shared" si="30"/>
        <v>37.222222222222221</v>
      </c>
      <c r="AB118" s="15">
        <v>8.4</v>
      </c>
      <c r="AC118" s="15">
        <v>12.8</v>
      </c>
      <c r="AD118" s="15">
        <v>13.8</v>
      </c>
      <c r="AE118" s="15">
        <v>12</v>
      </c>
      <c r="AF118" s="15">
        <v>7</v>
      </c>
      <c r="AG118" s="15">
        <v>7.6</v>
      </c>
      <c r="AH118" s="15">
        <v>10.8</v>
      </c>
      <c r="AI118" s="15">
        <v>11</v>
      </c>
      <c r="AJ118" s="15">
        <v>11.8</v>
      </c>
      <c r="AK118" s="15">
        <v>6</v>
      </c>
      <c r="AL118" s="15"/>
      <c r="AM118" s="15">
        <f t="shared" si="33"/>
        <v>0</v>
      </c>
      <c r="AN118" s="15"/>
      <c r="AO118" s="15"/>
      <c r="AP118" s="15"/>
      <c r="AQ118" s="15"/>
      <c r="AR118" s="15"/>
      <c r="AS118" s="15"/>
      <c r="AT118" s="15"/>
      <c r="AU118" s="15"/>
      <c r="AV118" s="15"/>
    </row>
    <row r="119" spans="1:48" x14ac:dyDescent="0.25">
      <c r="A119" s="15" t="s">
        <v>170</v>
      </c>
      <c r="B119" s="15" t="s">
        <v>47</v>
      </c>
      <c r="C119" s="15">
        <v>18</v>
      </c>
      <c r="D119" s="15">
        <v>100</v>
      </c>
      <c r="E119" s="15">
        <v>20</v>
      </c>
      <c r="F119" s="15">
        <v>98</v>
      </c>
      <c r="G119" s="6">
        <v>0.09</v>
      </c>
      <c r="H119" s="15">
        <v>45</v>
      </c>
      <c r="I119" s="15" t="s">
        <v>43</v>
      </c>
      <c r="J119" s="15"/>
      <c r="K119" s="15">
        <v>52</v>
      </c>
      <c r="L119" s="15">
        <f t="shared" si="27"/>
        <v>-32</v>
      </c>
      <c r="M119" s="15"/>
      <c r="N119" s="15"/>
      <c r="O119" s="15"/>
      <c r="P119" s="15"/>
      <c r="Q119" s="15"/>
      <c r="R119" s="15">
        <v>44</v>
      </c>
      <c r="S119" s="15"/>
      <c r="T119" s="15"/>
      <c r="U119" s="15">
        <v>0</v>
      </c>
      <c r="V119" s="15"/>
      <c r="W119" s="15"/>
      <c r="X119" s="15">
        <f t="shared" si="28"/>
        <v>4</v>
      </c>
      <c r="Y119" s="4"/>
      <c r="Z119" s="15">
        <f t="shared" si="29"/>
        <v>35.5</v>
      </c>
      <c r="AA119" s="15">
        <f t="shared" si="30"/>
        <v>35.5</v>
      </c>
      <c r="AB119" s="15">
        <v>11</v>
      </c>
      <c r="AC119" s="15">
        <v>14.6</v>
      </c>
      <c r="AD119" s="15">
        <v>14.6</v>
      </c>
      <c r="AE119" s="15">
        <v>14</v>
      </c>
      <c r="AF119" s="15">
        <v>9.1999999999999993</v>
      </c>
      <c r="AG119" s="15">
        <v>12.2</v>
      </c>
      <c r="AH119" s="15">
        <v>5.8</v>
      </c>
      <c r="AI119" s="15">
        <v>10</v>
      </c>
      <c r="AJ119" s="15">
        <v>13.4</v>
      </c>
      <c r="AK119" s="15">
        <v>7.2</v>
      </c>
      <c r="AL119" s="15"/>
      <c r="AM119" s="15">
        <f t="shared" si="33"/>
        <v>0</v>
      </c>
      <c r="AN119" s="15"/>
      <c r="AO119" s="15"/>
      <c r="AP119" s="15"/>
      <c r="AQ119" s="15"/>
      <c r="AR119" s="15"/>
      <c r="AS119" s="15"/>
      <c r="AT119" s="15"/>
      <c r="AU119" s="15"/>
      <c r="AV119" s="15"/>
    </row>
    <row r="120" spans="1:48" x14ac:dyDescent="0.25">
      <c r="A120" s="15" t="s">
        <v>171</v>
      </c>
      <c r="B120" s="15" t="s">
        <v>42</v>
      </c>
      <c r="C120" s="15">
        <v>27.481000000000002</v>
      </c>
      <c r="D120" s="15">
        <v>106.533</v>
      </c>
      <c r="E120" s="15">
        <v>63.994999999999997</v>
      </c>
      <c r="F120" s="15">
        <v>71.034000000000006</v>
      </c>
      <c r="G120" s="6">
        <v>1</v>
      </c>
      <c r="H120" s="15">
        <v>60</v>
      </c>
      <c r="I120" s="15" t="s">
        <v>43</v>
      </c>
      <c r="J120" s="15"/>
      <c r="K120" s="15">
        <v>77.5</v>
      </c>
      <c r="L120" s="15">
        <f t="shared" si="27"/>
        <v>-13.505000000000003</v>
      </c>
      <c r="M120" s="15"/>
      <c r="N120" s="15"/>
      <c r="O120" s="15"/>
      <c r="P120" s="15"/>
      <c r="Q120" s="15"/>
      <c r="R120" s="15">
        <v>111.0322</v>
      </c>
      <c r="S120" s="15"/>
      <c r="T120" s="15"/>
      <c r="U120" s="15">
        <v>5.1610000000000396</v>
      </c>
      <c r="V120" s="15"/>
      <c r="W120" s="15"/>
      <c r="X120" s="15">
        <f t="shared" si="28"/>
        <v>12.798999999999999</v>
      </c>
      <c r="Y120" s="4"/>
      <c r="Z120" s="15">
        <f t="shared" si="29"/>
        <v>14.62826783342449</v>
      </c>
      <c r="AA120" s="15">
        <f t="shared" si="30"/>
        <v>14.62826783342449</v>
      </c>
      <c r="AB120" s="15">
        <v>18.248999999999999</v>
      </c>
      <c r="AC120" s="15">
        <v>21.303999999999998</v>
      </c>
      <c r="AD120" s="15">
        <v>16.989799999999999</v>
      </c>
      <c r="AE120" s="15">
        <v>15.9558</v>
      </c>
      <c r="AF120" s="15">
        <v>9.9768000000000008</v>
      </c>
      <c r="AG120" s="15">
        <v>13.449199999999999</v>
      </c>
      <c r="AH120" s="15">
        <v>20.5716</v>
      </c>
      <c r="AI120" s="15">
        <v>16.994599999999998</v>
      </c>
      <c r="AJ120" s="15">
        <v>15.692399999999999</v>
      </c>
      <c r="AK120" s="15">
        <v>14.6084</v>
      </c>
      <c r="AL120" s="15"/>
      <c r="AM120" s="15">
        <f t="shared" si="33"/>
        <v>0</v>
      </c>
      <c r="AN120" s="15"/>
      <c r="AO120" s="15"/>
      <c r="AP120" s="15"/>
      <c r="AQ120" s="15"/>
      <c r="AR120" s="15"/>
      <c r="AS120" s="15"/>
      <c r="AT120" s="15"/>
      <c r="AU120" s="15"/>
      <c r="AV120" s="15"/>
    </row>
    <row r="121" spans="1:48" x14ac:dyDescent="0.25">
      <c r="A121" s="15" t="s">
        <v>172</v>
      </c>
      <c r="B121" s="15" t="s">
        <v>42</v>
      </c>
      <c r="C121" s="15">
        <v>172.41499999999999</v>
      </c>
      <c r="D121" s="15">
        <v>116.729</v>
      </c>
      <c r="E121" s="15">
        <v>217.98099999999999</v>
      </c>
      <c r="F121" s="15">
        <v>69.301000000000002</v>
      </c>
      <c r="G121" s="6">
        <v>1</v>
      </c>
      <c r="H121" s="15">
        <v>60</v>
      </c>
      <c r="I121" s="15" t="s">
        <v>43</v>
      </c>
      <c r="J121" s="15"/>
      <c r="K121" s="15">
        <v>260.39999999999998</v>
      </c>
      <c r="L121" s="15">
        <f t="shared" si="27"/>
        <v>-42.418999999999983</v>
      </c>
      <c r="M121" s="15"/>
      <c r="N121" s="15"/>
      <c r="O121" s="15"/>
      <c r="P121" s="15"/>
      <c r="Q121" s="15"/>
      <c r="R121" s="15">
        <v>67.06019999999998</v>
      </c>
      <c r="S121" s="15"/>
      <c r="T121" s="15"/>
      <c r="U121" s="15">
        <v>450</v>
      </c>
      <c r="V121" s="15"/>
      <c r="W121" s="15"/>
      <c r="X121" s="15">
        <f t="shared" si="28"/>
        <v>43.596199999999996</v>
      </c>
      <c r="Y121" s="4"/>
      <c r="Z121" s="15">
        <f t="shared" si="29"/>
        <v>13.44982360847964</v>
      </c>
      <c r="AA121" s="15">
        <f t="shared" si="30"/>
        <v>13.44982360847964</v>
      </c>
      <c r="AB121" s="15">
        <v>48.666800000000002</v>
      </c>
      <c r="AC121" s="15">
        <v>30.369199999999999</v>
      </c>
      <c r="AD121" s="15">
        <v>23.996400000000001</v>
      </c>
      <c r="AE121" s="15">
        <v>29.323</v>
      </c>
      <c r="AF121" s="15">
        <v>27.450399999999998</v>
      </c>
      <c r="AG121" s="15">
        <v>22.645399999999999</v>
      </c>
      <c r="AH121" s="15">
        <v>19.9846</v>
      </c>
      <c r="AI121" s="15">
        <v>26.598199999999999</v>
      </c>
      <c r="AJ121" s="15">
        <v>30.647200000000002</v>
      </c>
      <c r="AK121" s="15">
        <v>27.384</v>
      </c>
      <c r="AL121" s="15"/>
      <c r="AM121" s="15">
        <f t="shared" si="33"/>
        <v>0</v>
      </c>
      <c r="AN121" s="15"/>
      <c r="AO121" s="15"/>
      <c r="AP121" s="15"/>
      <c r="AQ121" s="15"/>
      <c r="AR121" s="15"/>
      <c r="AS121" s="15"/>
      <c r="AT121" s="15"/>
      <c r="AU121" s="15"/>
      <c r="AV121" s="15"/>
    </row>
    <row r="122" spans="1:48" x14ac:dyDescent="0.25">
      <c r="A122" s="15" t="s">
        <v>173</v>
      </c>
      <c r="B122" s="15" t="s">
        <v>42</v>
      </c>
      <c r="C122" s="15">
        <v>63.636000000000003</v>
      </c>
      <c r="D122" s="15"/>
      <c r="E122" s="15">
        <v>54.576999999999998</v>
      </c>
      <c r="F122" s="15">
        <v>7.9850000000000003</v>
      </c>
      <c r="G122" s="6">
        <v>1</v>
      </c>
      <c r="H122" s="15">
        <v>60</v>
      </c>
      <c r="I122" s="15" t="s">
        <v>43</v>
      </c>
      <c r="J122" s="15"/>
      <c r="K122" s="15">
        <v>52.1</v>
      </c>
      <c r="L122" s="15">
        <f t="shared" si="27"/>
        <v>2.4769999999999968</v>
      </c>
      <c r="M122" s="15"/>
      <c r="N122" s="15"/>
      <c r="O122" s="15"/>
      <c r="P122" s="15"/>
      <c r="Q122" s="15"/>
      <c r="R122" s="15">
        <v>18.078399999999998</v>
      </c>
      <c r="S122" s="15"/>
      <c r="T122" s="15"/>
      <c r="U122" s="15">
        <v>81.252800000000008</v>
      </c>
      <c r="V122" s="15"/>
      <c r="W122" s="15"/>
      <c r="X122" s="15">
        <f t="shared" si="28"/>
        <v>10.9154</v>
      </c>
      <c r="Y122" s="4">
        <f t="shared" si="34"/>
        <v>12.753199999999996</v>
      </c>
      <c r="Z122" s="15">
        <f t="shared" si="29"/>
        <v>11</v>
      </c>
      <c r="AA122" s="15">
        <f t="shared" si="30"/>
        <v>9.8316323726111747</v>
      </c>
      <c r="AB122" s="15">
        <v>11.5212</v>
      </c>
      <c r="AC122" s="15">
        <v>7.3034000000000008</v>
      </c>
      <c r="AD122" s="15">
        <v>5.2080000000000002</v>
      </c>
      <c r="AE122" s="15">
        <v>6.9459999999999997</v>
      </c>
      <c r="AF122" s="15">
        <v>7.2998000000000003</v>
      </c>
      <c r="AG122" s="15">
        <v>8.6598000000000006</v>
      </c>
      <c r="AH122" s="15">
        <v>5.4184000000000001</v>
      </c>
      <c r="AI122" s="15">
        <v>5.4029999999999996</v>
      </c>
      <c r="AJ122" s="15">
        <v>3.9361999999999999</v>
      </c>
      <c r="AK122" s="15">
        <v>5.5831999999999997</v>
      </c>
      <c r="AL122" s="15"/>
      <c r="AM122" s="15">
        <f t="shared" si="33"/>
        <v>12.753199999999996</v>
      </c>
      <c r="AN122" s="15"/>
      <c r="AO122" s="15"/>
      <c r="AP122" s="15"/>
      <c r="AQ122" s="15"/>
      <c r="AR122" s="15"/>
      <c r="AS122" s="15"/>
      <c r="AT122" s="15"/>
      <c r="AU122" s="15"/>
      <c r="AV122" s="15"/>
    </row>
    <row r="123" spans="1:48" x14ac:dyDescent="0.25">
      <c r="A123" s="20" t="s">
        <v>61</v>
      </c>
      <c r="B123" s="15" t="s">
        <v>42</v>
      </c>
      <c r="C123" s="15">
        <v>596.25800000000004</v>
      </c>
      <c r="D123" s="15"/>
      <c r="E123" s="15">
        <v>83.677999999999997</v>
      </c>
      <c r="F123" s="16">
        <f>548.106+F18</f>
        <v>543.07399999999996</v>
      </c>
      <c r="G123" s="6">
        <v>1</v>
      </c>
      <c r="H123" s="15">
        <v>60</v>
      </c>
      <c r="I123" s="15" t="s">
        <v>43</v>
      </c>
      <c r="J123" s="15"/>
      <c r="K123" s="15">
        <v>822.5</v>
      </c>
      <c r="L123" s="15">
        <f t="shared" si="27"/>
        <v>-738.822</v>
      </c>
      <c r="M123" s="15"/>
      <c r="N123" s="15"/>
      <c r="O123" s="15"/>
      <c r="P123" s="15"/>
      <c r="Q123" s="21">
        <f>-1*F123</f>
        <v>-543.07399999999996</v>
      </c>
      <c r="R123" s="15">
        <v>2205.1997999999999</v>
      </c>
      <c r="S123" s="15"/>
      <c r="T123" s="15"/>
      <c r="U123" s="15">
        <v>0</v>
      </c>
      <c r="V123" s="15"/>
      <c r="W123" s="15"/>
      <c r="X123" s="15">
        <f t="shared" si="28"/>
        <v>16.735599999999998</v>
      </c>
      <c r="Y123" s="4"/>
      <c r="Z123" s="15">
        <f>(F123+O123+P123+R123+S123+T123+U123+V123+W123+Y123+Q123)/X123</f>
        <v>131.76699968928511</v>
      </c>
      <c r="AA123" s="15">
        <f>(F123+O123+P123+R123+S123+T123+U123+V123+W123+Q123)/X123</f>
        <v>131.76699968928511</v>
      </c>
      <c r="AB123" s="15">
        <v>189.98179999999999</v>
      </c>
      <c r="AC123" s="15">
        <v>232.40639999999999</v>
      </c>
      <c r="AD123" s="15">
        <v>104.16679999999999</v>
      </c>
      <c r="AE123" s="15">
        <v>38.833199999999998</v>
      </c>
      <c r="AF123" s="15">
        <v>101.4106</v>
      </c>
      <c r="AG123" s="15">
        <v>172.1686</v>
      </c>
      <c r="AH123" s="15">
        <v>194.34620000000001</v>
      </c>
      <c r="AI123" s="15">
        <v>173.6292</v>
      </c>
      <c r="AJ123" s="15">
        <v>165.13419999999999</v>
      </c>
      <c r="AK123" s="15">
        <v>149.19040000000001</v>
      </c>
      <c r="AL123" s="15"/>
      <c r="AM123" s="15">
        <f t="shared" si="33"/>
        <v>0</v>
      </c>
      <c r="AN123" s="15"/>
      <c r="AO123" s="15"/>
      <c r="AP123" s="15"/>
      <c r="AQ123" s="15"/>
      <c r="AR123" s="15"/>
      <c r="AS123" s="15"/>
      <c r="AT123" s="15"/>
      <c r="AU123" s="15"/>
      <c r="AV123" s="15"/>
    </row>
    <row r="124" spans="1:48" x14ac:dyDescent="0.25">
      <c r="A124" s="15" t="s">
        <v>174</v>
      </c>
      <c r="B124" s="15" t="s">
        <v>47</v>
      </c>
      <c r="C124" s="15">
        <v>139</v>
      </c>
      <c r="D124" s="15">
        <v>61</v>
      </c>
      <c r="E124" s="15">
        <v>143</v>
      </c>
      <c r="F124" s="15">
        <v>56</v>
      </c>
      <c r="G124" s="6">
        <v>0.25</v>
      </c>
      <c r="H124" s="15">
        <v>1096</v>
      </c>
      <c r="I124" s="15" t="s">
        <v>43</v>
      </c>
      <c r="J124" s="15"/>
      <c r="K124" s="15">
        <v>160</v>
      </c>
      <c r="L124" s="15">
        <f t="shared" si="27"/>
        <v>-17</v>
      </c>
      <c r="M124" s="15"/>
      <c r="N124" s="15"/>
      <c r="O124" s="15"/>
      <c r="P124" s="15"/>
      <c r="Q124" s="15"/>
      <c r="R124" s="15">
        <v>226</v>
      </c>
      <c r="S124" s="15"/>
      <c r="T124" s="15"/>
      <c r="U124" s="15">
        <v>462.80000000000013</v>
      </c>
      <c r="V124" s="15"/>
      <c r="W124" s="15"/>
      <c r="X124" s="15">
        <f t="shared" si="28"/>
        <v>28.6</v>
      </c>
      <c r="Y124" s="4"/>
      <c r="Z124" s="15">
        <f t="shared" si="29"/>
        <v>26.041958041958047</v>
      </c>
      <c r="AA124" s="15">
        <f t="shared" si="30"/>
        <v>26.041958041958047</v>
      </c>
      <c r="AB124" s="15">
        <v>57.6</v>
      </c>
      <c r="AC124" s="15">
        <v>38</v>
      </c>
      <c r="AD124" s="15">
        <v>10.4</v>
      </c>
      <c r="AE124" s="15">
        <v>4.8</v>
      </c>
      <c r="AF124" s="15">
        <v>28.2</v>
      </c>
      <c r="AG124" s="15">
        <v>28.8</v>
      </c>
      <c r="AH124" s="15">
        <v>0</v>
      </c>
      <c r="AI124" s="15">
        <v>0</v>
      </c>
      <c r="AJ124" s="15">
        <v>1.8</v>
      </c>
      <c r="AK124" s="15">
        <v>8.1999999999999993</v>
      </c>
      <c r="AL124" s="15"/>
      <c r="AM124" s="15">
        <f t="shared" si="33"/>
        <v>0</v>
      </c>
      <c r="AN124" s="15"/>
      <c r="AO124" s="15"/>
      <c r="AP124" s="15"/>
      <c r="AQ124" s="15"/>
      <c r="AR124" s="15"/>
      <c r="AS124" s="15"/>
      <c r="AT124" s="15"/>
      <c r="AU124" s="15"/>
      <c r="AV124" s="15"/>
    </row>
    <row r="125" spans="1:48" x14ac:dyDescent="0.25">
      <c r="A125" s="15" t="s">
        <v>175</v>
      </c>
      <c r="B125" s="15" t="s">
        <v>47</v>
      </c>
      <c r="C125" s="15">
        <v>136</v>
      </c>
      <c r="D125" s="15">
        <v>325</v>
      </c>
      <c r="E125" s="15">
        <v>132</v>
      </c>
      <c r="F125" s="15">
        <v>317</v>
      </c>
      <c r="G125" s="6">
        <v>0.32500000000000001</v>
      </c>
      <c r="H125" s="15">
        <v>1096</v>
      </c>
      <c r="I125" s="15" t="s">
        <v>43</v>
      </c>
      <c r="J125" s="15"/>
      <c r="K125" s="15">
        <v>143</v>
      </c>
      <c r="L125" s="15">
        <f t="shared" si="27"/>
        <v>-11</v>
      </c>
      <c r="M125" s="15"/>
      <c r="N125" s="15"/>
      <c r="O125" s="15"/>
      <c r="P125" s="15"/>
      <c r="Q125" s="15"/>
      <c r="R125" s="15">
        <v>0</v>
      </c>
      <c r="S125" s="15"/>
      <c r="T125" s="15"/>
      <c r="U125" s="15">
        <v>97</v>
      </c>
      <c r="V125" s="15"/>
      <c r="W125" s="15"/>
      <c r="X125" s="15">
        <f t="shared" si="28"/>
        <v>26.4</v>
      </c>
      <c r="Y125" s="4"/>
      <c r="Z125" s="15">
        <f t="shared" si="29"/>
        <v>15.681818181818183</v>
      </c>
      <c r="AA125" s="15">
        <f t="shared" si="30"/>
        <v>15.681818181818183</v>
      </c>
      <c r="AB125" s="15">
        <v>35</v>
      </c>
      <c r="AC125" s="15">
        <v>17</v>
      </c>
      <c r="AD125" s="15">
        <v>11.2</v>
      </c>
      <c r="AE125" s="15">
        <v>18</v>
      </c>
      <c r="AF125" s="15">
        <v>20</v>
      </c>
      <c r="AG125" s="15">
        <v>16.399999999999999</v>
      </c>
      <c r="AH125" s="15">
        <v>4.2</v>
      </c>
      <c r="AI125" s="15">
        <v>4.2</v>
      </c>
      <c r="AJ125" s="15">
        <v>5.8</v>
      </c>
      <c r="AK125" s="15">
        <v>7.2</v>
      </c>
      <c r="AL125" s="15"/>
      <c r="AM125" s="15">
        <f t="shared" si="33"/>
        <v>0</v>
      </c>
      <c r="AN125" s="15"/>
      <c r="AO125" s="15"/>
      <c r="AP125" s="15"/>
      <c r="AQ125" s="15"/>
      <c r="AR125" s="15"/>
      <c r="AS125" s="15"/>
      <c r="AT125" s="15"/>
      <c r="AU125" s="15"/>
      <c r="AV125" s="15"/>
    </row>
    <row r="126" spans="1:48" x14ac:dyDescent="0.25">
      <c r="A126" s="15" t="s">
        <v>176</v>
      </c>
      <c r="B126" s="15" t="s">
        <v>47</v>
      </c>
      <c r="C126" s="15">
        <v>433</v>
      </c>
      <c r="D126" s="15">
        <v>1</v>
      </c>
      <c r="E126" s="15">
        <v>253</v>
      </c>
      <c r="F126" s="15">
        <v>192</v>
      </c>
      <c r="G126" s="6">
        <v>0.25</v>
      </c>
      <c r="H126" s="15">
        <v>1096</v>
      </c>
      <c r="I126" s="15" t="s">
        <v>43</v>
      </c>
      <c r="J126" s="15"/>
      <c r="K126" s="15">
        <v>247</v>
      </c>
      <c r="L126" s="15">
        <f t="shared" si="27"/>
        <v>6</v>
      </c>
      <c r="M126" s="15"/>
      <c r="N126" s="15"/>
      <c r="O126" s="15"/>
      <c r="P126" s="15"/>
      <c r="Q126" s="15"/>
      <c r="R126" s="15">
        <v>74</v>
      </c>
      <c r="S126" s="15"/>
      <c r="T126" s="15"/>
      <c r="U126" s="15">
        <v>700</v>
      </c>
      <c r="V126" s="15"/>
      <c r="W126" s="15"/>
      <c r="X126" s="15">
        <f t="shared" si="28"/>
        <v>50.6</v>
      </c>
      <c r="Y126" s="4"/>
      <c r="Z126" s="15">
        <f t="shared" si="29"/>
        <v>19.09090909090909</v>
      </c>
      <c r="AA126" s="15">
        <f t="shared" si="30"/>
        <v>19.09090909090909</v>
      </c>
      <c r="AB126" s="15">
        <v>68.599999999999994</v>
      </c>
      <c r="AC126" s="15">
        <v>45</v>
      </c>
      <c r="AD126" s="15">
        <v>43.2</v>
      </c>
      <c r="AE126" s="15">
        <v>44</v>
      </c>
      <c r="AF126" s="15">
        <v>62.8</v>
      </c>
      <c r="AG126" s="15">
        <v>77.599999999999994</v>
      </c>
      <c r="AH126" s="15">
        <v>29.6</v>
      </c>
      <c r="AI126" s="15">
        <v>1.2</v>
      </c>
      <c r="AJ126" s="15">
        <v>1.8</v>
      </c>
      <c r="AK126" s="15">
        <v>8</v>
      </c>
      <c r="AL126" s="15"/>
      <c r="AM126" s="15">
        <f t="shared" si="33"/>
        <v>0</v>
      </c>
      <c r="AN126" s="15"/>
      <c r="AO126" s="15"/>
      <c r="AP126" s="15"/>
      <c r="AQ126" s="15"/>
      <c r="AR126" s="15"/>
      <c r="AS126" s="15"/>
      <c r="AT126" s="15"/>
      <c r="AU126" s="15"/>
      <c r="AV126" s="15"/>
    </row>
    <row r="127" spans="1:48" x14ac:dyDescent="0.25">
      <c r="A127" s="15" t="s">
        <v>177</v>
      </c>
      <c r="B127" s="15" t="s">
        <v>47</v>
      </c>
      <c r="C127" s="15">
        <v>-13</v>
      </c>
      <c r="D127" s="15"/>
      <c r="E127" s="15">
        <v>-5</v>
      </c>
      <c r="F127" s="15">
        <v>-13</v>
      </c>
      <c r="G127" s="6">
        <v>0.3</v>
      </c>
      <c r="H127" s="15">
        <v>40</v>
      </c>
      <c r="I127" s="9" t="s">
        <v>54</v>
      </c>
      <c r="J127" s="15"/>
      <c r="K127" s="15">
        <v>25</v>
      </c>
      <c r="L127" s="15">
        <f t="shared" si="27"/>
        <v>-30</v>
      </c>
      <c r="M127" s="15"/>
      <c r="N127" s="15"/>
      <c r="O127" s="15"/>
      <c r="P127" s="15"/>
      <c r="Q127" s="15"/>
      <c r="R127" s="15">
        <v>60</v>
      </c>
      <c r="S127" s="15">
        <v>-60</v>
      </c>
      <c r="T127" s="15"/>
      <c r="U127" s="15">
        <v>60</v>
      </c>
      <c r="V127" s="15"/>
      <c r="W127" s="15"/>
      <c r="X127" s="15">
        <f t="shared" si="28"/>
        <v>-1</v>
      </c>
      <c r="Y127" s="4">
        <v>100</v>
      </c>
      <c r="Z127" s="15">
        <f t="shared" si="29"/>
        <v>-147</v>
      </c>
      <c r="AA127" s="15">
        <f t="shared" si="30"/>
        <v>-47</v>
      </c>
      <c r="AB127" s="15">
        <v>-0.4</v>
      </c>
      <c r="AC127" s="15">
        <v>-0.2</v>
      </c>
      <c r="AD127" s="15">
        <v>-0.2</v>
      </c>
      <c r="AE127" s="15">
        <v>0</v>
      </c>
      <c r="AF127" s="15">
        <v>21.8</v>
      </c>
      <c r="AG127" s="15">
        <v>46.2</v>
      </c>
      <c r="AH127" s="15">
        <v>55.2</v>
      </c>
      <c r="AI127" s="15">
        <v>43.487000000000002</v>
      </c>
      <c r="AJ127" s="15">
        <v>36.4</v>
      </c>
      <c r="AK127" s="15">
        <v>33.200000000000003</v>
      </c>
      <c r="AL127" s="15"/>
      <c r="AM127" s="15">
        <f t="shared" si="33"/>
        <v>30</v>
      </c>
      <c r="AN127" s="15"/>
      <c r="AO127" s="15"/>
      <c r="AP127" s="15"/>
      <c r="AQ127" s="15"/>
      <c r="AR127" s="15"/>
      <c r="AS127" s="15"/>
      <c r="AT127" s="15"/>
      <c r="AU127" s="15"/>
      <c r="AV127" s="15"/>
    </row>
    <row r="128" spans="1:48" x14ac:dyDescent="0.25">
      <c r="A128" s="15" t="s">
        <v>178</v>
      </c>
      <c r="B128" s="15" t="s">
        <v>47</v>
      </c>
      <c r="C128" s="15">
        <v>1</v>
      </c>
      <c r="D128" s="15"/>
      <c r="E128" s="15">
        <v>-4</v>
      </c>
      <c r="F128" s="15">
        <v>1</v>
      </c>
      <c r="G128" s="6">
        <v>0.3</v>
      </c>
      <c r="H128" s="15">
        <v>40</v>
      </c>
      <c r="I128" s="9" t="s">
        <v>54</v>
      </c>
      <c r="J128" s="15"/>
      <c r="K128" s="15">
        <v>32</v>
      </c>
      <c r="L128" s="15">
        <f t="shared" si="27"/>
        <v>-36</v>
      </c>
      <c r="M128" s="15"/>
      <c r="N128" s="15"/>
      <c r="O128" s="15"/>
      <c r="P128" s="15"/>
      <c r="Q128" s="15"/>
      <c r="R128" s="15">
        <v>60</v>
      </c>
      <c r="S128" s="15">
        <v>-60</v>
      </c>
      <c r="T128" s="15"/>
      <c r="U128" s="15">
        <v>60</v>
      </c>
      <c r="V128" s="15">
        <v>-60</v>
      </c>
      <c r="W128" s="15"/>
      <c r="X128" s="15">
        <f t="shared" si="28"/>
        <v>-0.8</v>
      </c>
      <c r="Y128" s="4">
        <v>60</v>
      </c>
      <c r="Z128" s="15">
        <f t="shared" si="29"/>
        <v>-76.25</v>
      </c>
      <c r="AA128" s="15">
        <f t="shared" si="30"/>
        <v>-1.25</v>
      </c>
      <c r="AB128" s="15">
        <v>-1</v>
      </c>
      <c r="AC128" s="15">
        <v>-1.8</v>
      </c>
      <c r="AD128" s="15">
        <v>-2</v>
      </c>
      <c r="AE128" s="15">
        <v>-1.8</v>
      </c>
      <c r="AF128" s="15">
        <v>-2</v>
      </c>
      <c r="AG128" s="15">
        <v>-1.6</v>
      </c>
      <c r="AH128" s="15">
        <v>9.4</v>
      </c>
      <c r="AI128" s="15">
        <v>19</v>
      </c>
      <c r="AJ128" s="15">
        <v>30.6</v>
      </c>
      <c r="AK128" s="15">
        <v>31</v>
      </c>
      <c r="AL128" s="15"/>
      <c r="AM128" s="15">
        <f t="shared" si="33"/>
        <v>18</v>
      </c>
      <c r="AN128" s="15"/>
      <c r="AO128" s="15"/>
      <c r="AP128" s="15"/>
      <c r="AQ128" s="15"/>
      <c r="AR128" s="15"/>
      <c r="AS128" s="15"/>
      <c r="AT128" s="15"/>
      <c r="AU128" s="15"/>
      <c r="AV128" s="15"/>
    </row>
    <row r="129" spans="1:48" x14ac:dyDescent="0.25">
      <c r="A129" s="15" t="s">
        <v>179</v>
      </c>
      <c r="B129" s="15" t="s">
        <v>42</v>
      </c>
      <c r="C129" s="15">
        <v>34.612000000000002</v>
      </c>
      <c r="D129" s="15">
        <v>1.3580000000000001</v>
      </c>
      <c r="E129" s="15">
        <v>18.536000000000001</v>
      </c>
      <c r="F129" s="15">
        <v>17.434000000000001</v>
      </c>
      <c r="G129" s="6">
        <v>1</v>
      </c>
      <c r="H129" s="15">
        <v>50</v>
      </c>
      <c r="I129" s="15" t="s">
        <v>43</v>
      </c>
      <c r="J129" s="15"/>
      <c r="K129" s="15">
        <v>18.2</v>
      </c>
      <c r="L129" s="15">
        <f t="shared" si="27"/>
        <v>0.33600000000000207</v>
      </c>
      <c r="M129" s="15"/>
      <c r="N129" s="15"/>
      <c r="O129" s="15"/>
      <c r="P129" s="15"/>
      <c r="Q129" s="15"/>
      <c r="R129" s="15">
        <v>0</v>
      </c>
      <c r="S129" s="15"/>
      <c r="T129" s="15"/>
      <c r="U129" s="15">
        <v>27.114999999999991</v>
      </c>
      <c r="V129" s="15"/>
      <c r="W129" s="15"/>
      <c r="X129" s="15">
        <f t="shared" si="28"/>
        <v>3.7072000000000003</v>
      </c>
      <c r="Y129" s="4"/>
      <c r="Z129" s="15">
        <f t="shared" si="29"/>
        <v>12.016886059559774</v>
      </c>
      <c r="AA129" s="15">
        <f t="shared" si="30"/>
        <v>12.016886059559774</v>
      </c>
      <c r="AB129" s="15">
        <v>4.2619999999999996</v>
      </c>
      <c r="AC129" s="15">
        <v>3.2035999999999998</v>
      </c>
      <c r="AD129" s="15">
        <v>1.8520000000000001</v>
      </c>
      <c r="AE129" s="15">
        <v>0.26700000000000002</v>
      </c>
      <c r="AF129" s="15">
        <v>1.8872</v>
      </c>
      <c r="AG129" s="15">
        <v>2.9937999999999998</v>
      </c>
      <c r="AH129" s="15">
        <v>4.6555999999999997</v>
      </c>
      <c r="AI129" s="15">
        <v>3.5312000000000001</v>
      </c>
      <c r="AJ129" s="15">
        <v>1.0506</v>
      </c>
      <c r="AK129" s="15">
        <v>1.6064000000000001</v>
      </c>
      <c r="AL129" s="15"/>
      <c r="AM129" s="15">
        <f t="shared" si="33"/>
        <v>0</v>
      </c>
      <c r="AN129" s="15"/>
      <c r="AO129" s="15"/>
      <c r="AP129" s="15"/>
      <c r="AQ129" s="15"/>
      <c r="AR129" s="15"/>
      <c r="AS129" s="15"/>
      <c r="AT129" s="15"/>
      <c r="AU129" s="15"/>
      <c r="AV129" s="15"/>
    </row>
    <row r="130" spans="1:48" x14ac:dyDescent="0.25">
      <c r="A130" s="15" t="s">
        <v>180</v>
      </c>
      <c r="B130" s="15" t="s">
        <v>47</v>
      </c>
      <c r="C130" s="15"/>
      <c r="D130" s="15"/>
      <c r="E130" s="15"/>
      <c r="F130" s="15"/>
      <c r="G130" s="6">
        <v>0.3</v>
      </c>
      <c r="H130" s="15">
        <v>40</v>
      </c>
      <c r="I130" s="9" t="s">
        <v>54</v>
      </c>
      <c r="J130" s="15"/>
      <c r="K130" s="15">
        <v>8</v>
      </c>
      <c r="L130" s="15">
        <f t="shared" si="27"/>
        <v>-8</v>
      </c>
      <c r="M130" s="15"/>
      <c r="N130" s="15"/>
      <c r="O130" s="15"/>
      <c r="P130" s="15"/>
      <c r="Q130" s="15"/>
      <c r="R130" s="15">
        <v>40</v>
      </c>
      <c r="S130" s="15">
        <v>-42</v>
      </c>
      <c r="T130" s="15"/>
      <c r="U130" s="15">
        <v>40</v>
      </c>
      <c r="V130" s="15">
        <v>-42</v>
      </c>
      <c r="W130" s="15"/>
      <c r="X130" s="15">
        <f t="shared" si="28"/>
        <v>0</v>
      </c>
      <c r="Y130" s="4">
        <v>40</v>
      </c>
      <c r="Z130" s="15" t="e">
        <f t="shared" si="29"/>
        <v>#DIV/0!</v>
      </c>
      <c r="AA130" s="15" t="e">
        <f t="shared" si="30"/>
        <v>#DIV/0!</v>
      </c>
      <c r="AB130" s="15">
        <v>-0.2</v>
      </c>
      <c r="AC130" s="15">
        <v>-0.2</v>
      </c>
      <c r="AD130" s="15">
        <v>-0.4</v>
      </c>
      <c r="AE130" s="15">
        <v>0.4</v>
      </c>
      <c r="AF130" s="15">
        <v>17.8</v>
      </c>
      <c r="AG130" s="15">
        <v>33.4</v>
      </c>
      <c r="AH130" s="15">
        <v>17.8</v>
      </c>
      <c r="AI130" s="15">
        <v>5.4</v>
      </c>
      <c r="AJ130" s="15">
        <v>17.8</v>
      </c>
      <c r="AK130" s="15">
        <v>18.600000000000001</v>
      </c>
      <c r="AL130" s="15"/>
      <c r="AM130" s="15">
        <f t="shared" si="33"/>
        <v>12</v>
      </c>
      <c r="AN130" s="15"/>
      <c r="AO130" s="15"/>
      <c r="AP130" s="15"/>
      <c r="AQ130" s="15"/>
      <c r="AR130" s="15"/>
      <c r="AS130" s="15"/>
      <c r="AT130" s="15"/>
      <c r="AU130" s="15"/>
      <c r="AV130" s="15"/>
    </row>
    <row r="131" spans="1:48" x14ac:dyDescent="0.25">
      <c r="A131" s="15" t="s">
        <v>181</v>
      </c>
      <c r="B131" s="15" t="s">
        <v>47</v>
      </c>
      <c r="C131" s="15">
        <v>12</v>
      </c>
      <c r="D131" s="15"/>
      <c r="E131" s="15">
        <v>13</v>
      </c>
      <c r="F131" s="15">
        <v>-2</v>
      </c>
      <c r="G131" s="6">
        <v>0.12</v>
      </c>
      <c r="H131" s="15">
        <v>45</v>
      </c>
      <c r="I131" s="9" t="s">
        <v>54</v>
      </c>
      <c r="J131" s="15"/>
      <c r="K131" s="15">
        <v>21</v>
      </c>
      <c r="L131" s="15">
        <f t="shared" si="27"/>
        <v>-8</v>
      </c>
      <c r="M131" s="15"/>
      <c r="N131" s="15"/>
      <c r="O131" s="15"/>
      <c r="P131" s="15"/>
      <c r="Q131" s="15"/>
      <c r="R131" s="15">
        <v>30</v>
      </c>
      <c r="S131" s="15"/>
      <c r="T131" s="15"/>
      <c r="U131" s="15">
        <v>20</v>
      </c>
      <c r="V131" s="15"/>
      <c r="W131" s="15"/>
      <c r="X131" s="15">
        <f t="shared" si="28"/>
        <v>2.6</v>
      </c>
      <c r="Y131" s="4">
        <v>10</v>
      </c>
      <c r="Z131" s="15">
        <f t="shared" si="29"/>
        <v>22.307692307692307</v>
      </c>
      <c r="AA131" s="15">
        <f t="shared" si="30"/>
        <v>18.46153846153846</v>
      </c>
      <c r="AB131" s="15">
        <v>8</v>
      </c>
      <c r="AC131" s="15">
        <v>6.2</v>
      </c>
      <c r="AD131" s="15">
        <v>7.8</v>
      </c>
      <c r="AE131" s="15">
        <v>11.4</v>
      </c>
      <c r="AF131" s="15">
        <v>9.4</v>
      </c>
      <c r="AG131" s="15">
        <v>6.8</v>
      </c>
      <c r="AH131" s="15">
        <v>6.6</v>
      </c>
      <c r="AI131" s="15">
        <v>7</v>
      </c>
      <c r="AJ131" s="15">
        <v>9.1999999999999993</v>
      </c>
      <c r="AK131" s="15">
        <v>9</v>
      </c>
      <c r="AL131" s="15"/>
      <c r="AM131" s="15">
        <f t="shared" si="33"/>
        <v>1.2</v>
      </c>
      <c r="AN131" s="15"/>
      <c r="AO131" s="15"/>
      <c r="AP131" s="15"/>
      <c r="AQ131" s="15"/>
      <c r="AR131" s="15"/>
      <c r="AS131" s="15"/>
      <c r="AT131" s="15"/>
      <c r="AU131" s="15"/>
      <c r="AV131" s="15"/>
    </row>
    <row r="132" spans="1:48" x14ac:dyDescent="0.25">
      <c r="A132" s="11" t="s">
        <v>182</v>
      </c>
      <c r="B132" s="11" t="s">
        <v>47</v>
      </c>
      <c r="C132" s="11">
        <v>216</v>
      </c>
      <c r="D132" s="11"/>
      <c r="E132" s="16">
        <v>77</v>
      </c>
      <c r="F132" s="16">
        <v>139</v>
      </c>
      <c r="G132" s="12">
        <v>0</v>
      </c>
      <c r="H132" s="11"/>
      <c r="I132" s="11" t="s">
        <v>183</v>
      </c>
      <c r="J132" s="11" t="s">
        <v>105</v>
      </c>
      <c r="K132" s="11">
        <v>81</v>
      </c>
      <c r="L132" s="11">
        <f t="shared" si="27"/>
        <v>-4</v>
      </c>
      <c r="M132" s="11"/>
      <c r="N132" s="11"/>
      <c r="O132" s="11"/>
      <c r="P132" s="11"/>
      <c r="Q132" s="11"/>
      <c r="R132" s="11">
        <v>0</v>
      </c>
      <c r="S132" s="11"/>
      <c r="T132" s="11"/>
      <c r="U132" s="11">
        <v>0</v>
      </c>
      <c r="V132" s="11"/>
      <c r="W132" s="11"/>
      <c r="X132" s="11">
        <f t="shared" si="28"/>
        <v>15.4</v>
      </c>
      <c r="Y132" s="13"/>
      <c r="Z132" s="11">
        <f t="shared" si="29"/>
        <v>9.0259740259740262</v>
      </c>
      <c r="AA132" s="11">
        <f t="shared" si="30"/>
        <v>9.0259740259740262</v>
      </c>
      <c r="AB132" s="11">
        <v>18</v>
      </c>
      <c r="AC132" s="11">
        <v>14.4</v>
      </c>
      <c r="AD132" s="11">
        <v>2.8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/>
      <c r="AM132" s="11"/>
      <c r="AN132" s="15"/>
      <c r="AO132" s="15"/>
      <c r="AP132" s="15"/>
      <c r="AQ132" s="15"/>
      <c r="AR132" s="15"/>
      <c r="AS132" s="15"/>
      <c r="AT132" s="15"/>
      <c r="AU132" s="15"/>
      <c r="AV132" s="15"/>
    </row>
    <row r="133" spans="1:48" x14ac:dyDescent="0.25">
      <c r="A133" s="15"/>
      <c r="B133" s="15"/>
      <c r="C133" s="15"/>
      <c r="D133" s="15"/>
      <c r="E133" s="15"/>
      <c r="F133" s="15"/>
      <c r="G133" s="6"/>
      <c r="H133" s="15"/>
      <c r="I133" s="15"/>
      <c r="J133" s="15"/>
      <c r="K133" s="15"/>
      <c r="L133" s="15"/>
      <c r="M133" s="15"/>
      <c r="N133" s="15"/>
      <c r="O133" s="15"/>
      <c r="P133" s="15"/>
      <c r="Q133" s="21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34" spans="1:48" x14ac:dyDescent="0.25">
      <c r="A134" s="15"/>
      <c r="B134" s="15"/>
      <c r="C134" s="15"/>
      <c r="D134" s="15"/>
      <c r="E134" s="15"/>
      <c r="F134" s="15"/>
      <c r="G134" s="6"/>
      <c r="H134" s="15"/>
      <c r="I134" s="15"/>
      <c r="J134" s="15"/>
      <c r="K134" s="15"/>
      <c r="L134" s="15"/>
      <c r="M134" s="15"/>
      <c r="N134" s="15"/>
      <c r="O134" s="15"/>
      <c r="P134" s="15"/>
      <c r="Q134" s="21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</row>
    <row r="135" spans="1:48" x14ac:dyDescent="0.25">
      <c r="A135" s="15"/>
      <c r="B135" s="15"/>
      <c r="C135" s="15"/>
      <c r="D135" s="15"/>
      <c r="E135" s="15"/>
      <c r="F135" s="15"/>
      <c r="G135" s="6"/>
      <c r="H135" s="15"/>
      <c r="I135" s="15"/>
      <c r="J135" s="15"/>
      <c r="K135" s="15"/>
      <c r="L135" s="15"/>
      <c r="M135" s="15"/>
      <c r="N135" s="15"/>
      <c r="O135" s="15"/>
      <c r="P135" s="15"/>
      <c r="Q135" s="21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</row>
    <row r="136" spans="1:48" x14ac:dyDescent="0.25">
      <c r="A136" s="15"/>
      <c r="B136" s="15"/>
      <c r="C136" s="15"/>
      <c r="D136" s="15"/>
      <c r="E136" s="15"/>
      <c r="F136" s="15"/>
      <c r="G136" s="6"/>
      <c r="H136" s="15"/>
      <c r="I136" s="15"/>
      <c r="J136" s="15"/>
      <c r="K136" s="15"/>
      <c r="L136" s="15"/>
      <c r="M136" s="15"/>
      <c r="N136" s="15"/>
      <c r="O136" s="15"/>
      <c r="P136" s="15"/>
      <c r="Q136" s="21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</row>
    <row r="137" spans="1:48" x14ac:dyDescent="0.25">
      <c r="A137" s="15"/>
      <c r="B137" s="15"/>
      <c r="C137" s="15"/>
      <c r="D137" s="15"/>
      <c r="E137" s="15"/>
      <c r="F137" s="15"/>
      <c r="G137" s="6"/>
      <c r="H137" s="15"/>
      <c r="I137" s="15"/>
      <c r="J137" s="15"/>
      <c r="K137" s="15"/>
      <c r="L137" s="15"/>
      <c r="M137" s="15"/>
      <c r="N137" s="15"/>
      <c r="O137" s="15"/>
      <c r="P137" s="15"/>
      <c r="Q137" s="21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</row>
    <row r="138" spans="1:48" x14ac:dyDescent="0.25">
      <c r="A138" s="15"/>
      <c r="B138" s="15"/>
      <c r="C138" s="15"/>
      <c r="D138" s="15"/>
      <c r="E138" s="15"/>
      <c r="F138" s="15"/>
      <c r="G138" s="6"/>
      <c r="H138" s="15"/>
      <c r="I138" s="15"/>
      <c r="J138" s="15"/>
      <c r="K138" s="15"/>
      <c r="L138" s="15"/>
      <c r="M138" s="15"/>
      <c r="N138" s="15"/>
      <c r="O138" s="15"/>
      <c r="P138" s="15"/>
      <c r="Q138" s="21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</row>
    <row r="139" spans="1:48" x14ac:dyDescent="0.25">
      <c r="A139" s="15"/>
      <c r="B139" s="15"/>
      <c r="C139" s="15"/>
      <c r="D139" s="15"/>
      <c r="E139" s="15"/>
      <c r="F139" s="15"/>
      <c r="G139" s="6"/>
      <c r="H139" s="15"/>
      <c r="I139" s="15"/>
      <c r="J139" s="15"/>
      <c r="K139" s="15"/>
      <c r="L139" s="15"/>
      <c r="M139" s="15"/>
      <c r="N139" s="15"/>
      <c r="O139" s="15"/>
      <c r="P139" s="15"/>
      <c r="Q139" s="21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</row>
    <row r="140" spans="1:48" x14ac:dyDescent="0.25">
      <c r="A140" s="15"/>
      <c r="B140" s="15"/>
      <c r="C140" s="15"/>
      <c r="D140" s="15"/>
      <c r="E140" s="15"/>
      <c r="F140" s="15"/>
      <c r="G140" s="6"/>
      <c r="H140" s="15"/>
      <c r="I140" s="15"/>
      <c r="J140" s="15"/>
      <c r="K140" s="15"/>
      <c r="L140" s="15"/>
      <c r="M140" s="15"/>
      <c r="N140" s="15"/>
      <c r="O140" s="15"/>
      <c r="P140" s="15"/>
      <c r="Q140" s="21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</row>
    <row r="141" spans="1:48" x14ac:dyDescent="0.25">
      <c r="A141" s="15"/>
      <c r="B141" s="15"/>
      <c r="C141" s="15"/>
      <c r="D141" s="15"/>
      <c r="E141" s="15"/>
      <c r="F141" s="15"/>
      <c r="G141" s="6"/>
      <c r="H141" s="15"/>
      <c r="I141" s="15"/>
      <c r="J141" s="15"/>
      <c r="K141" s="15"/>
      <c r="L141" s="15"/>
      <c r="M141" s="15"/>
      <c r="N141" s="15"/>
      <c r="O141" s="15"/>
      <c r="P141" s="15"/>
      <c r="Q141" s="21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</row>
    <row r="142" spans="1:48" x14ac:dyDescent="0.25">
      <c r="A142" s="15"/>
      <c r="B142" s="15"/>
      <c r="C142" s="15"/>
      <c r="D142" s="15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21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</row>
    <row r="143" spans="1:48" x14ac:dyDescent="0.25">
      <c r="A143" s="15"/>
      <c r="B143" s="15"/>
      <c r="C143" s="15"/>
      <c r="D143" s="15"/>
      <c r="E143" s="15"/>
      <c r="F143" s="15"/>
      <c r="G143" s="6"/>
      <c r="H143" s="15"/>
      <c r="I143" s="15"/>
      <c r="J143" s="15"/>
      <c r="K143" s="15"/>
      <c r="L143" s="15"/>
      <c r="M143" s="15"/>
      <c r="N143" s="15"/>
      <c r="O143" s="15"/>
      <c r="P143" s="15"/>
      <c r="Q143" s="21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</row>
    <row r="144" spans="1:48" x14ac:dyDescent="0.25">
      <c r="A144" s="15"/>
      <c r="B144" s="15"/>
      <c r="C144" s="15"/>
      <c r="D144" s="15"/>
      <c r="E144" s="15"/>
      <c r="F144" s="15"/>
      <c r="G144" s="6"/>
      <c r="H144" s="15"/>
      <c r="I144" s="15"/>
      <c r="J144" s="15"/>
      <c r="K144" s="15"/>
      <c r="L144" s="15"/>
      <c r="M144" s="15"/>
      <c r="N144" s="15"/>
      <c r="O144" s="15"/>
      <c r="P144" s="15"/>
      <c r="Q144" s="21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</row>
    <row r="145" spans="1:48" x14ac:dyDescent="0.25">
      <c r="A145" s="15"/>
      <c r="B145" s="15"/>
      <c r="C145" s="15"/>
      <c r="D145" s="15"/>
      <c r="E145" s="15"/>
      <c r="F145" s="15"/>
      <c r="G145" s="6"/>
      <c r="H145" s="15"/>
      <c r="I145" s="15"/>
      <c r="J145" s="15"/>
      <c r="K145" s="15"/>
      <c r="L145" s="15"/>
      <c r="M145" s="15"/>
      <c r="N145" s="15"/>
      <c r="O145" s="15"/>
      <c r="P145" s="15"/>
      <c r="Q145" s="21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</row>
    <row r="146" spans="1:48" x14ac:dyDescent="0.25">
      <c r="A146" s="15"/>
      <c r="B146" s="15"/>
      <c r="C146" s="15"/>
      <c r="D146" s="15"/>
      <c r="E146" s="15"/>
      <c r="F146" s="15"/>
      <c r="G146" s="6"/>
      <c r="H146" s="15"/>
      <c r="I146" s="15"/>
      <c r="J146" s="15"/>
      <c r="K146" s="15"/>
      <c r="L146" s="15"/>
      <c r="M146" s="15"/>
      <c r="N146" s="15"/>
      <c r="O146" s="15"/>
      <c r="P146" s="15"/>
      <c r="Q146" s="21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</row>
    <row r="147" spans="1:48" x14ac:dyDescent="0.25">
      <c r="A147" s="15"/>
      <c r="B147" s="15"/>
      <c r="C147" s="15"/>
      <c r="D147" s="15"/>
      <c r="E147" s="15"/>
      <c r="F147" s="15"/>
      <c r="G147" s="6"/>
      <c r="H147" s="15"/>
      <c r="I147" s="15"/>
      <c r="J147" s="15"/>
      <c r="K147" s="15"/>
      <c r="L147" s="15"/>
      <c r="M147" s="15"/>
      <c r="N147" s="15"/>
      <c r="O147" s="15"/>
      <c r="P147" s="15"/>
      <c r="Q147" s="21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</row>
    <row r="148" spans="1:48" x14ac:dyDescent="0.25">
      <c r="A148" s="15"/>
      <c r="B148" s="15"/>
      <c r="C148" s="15"/>
      <c r="D148" s="15"/>
      <c r="E148" s="15"/>
      <c r="F148" s="15"/>
      <c r="G148" s="6"/>
      <c r="H148" s="15"/>
      <c r="I148" s="15"/>
      <c r="J148" s="15"/>
      <c r="K148" s="15"/>
      <c r="L148" s="15"/>
      <c r="M148" s="15"/>
      <c r="N148" s="15"/>
      <c r="O148" s="15"/>
      <c r="P148" s="15"/>
      <c r="Q148" s="21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</row>
    <row r="149" spans="1:48" x14ac:dyDescent="0.25">
      <c r="A149" s="15"/>
      <c r="B149" s="15"/>
      <c r="C149" s="15"/>
      <c r="D149" s="15"/>
      <c r="E149" s="15"/>
      <c r="F149" s="15"/>
      <c r="G149" s="6"/>
      <c r="H149" s="15"/>
      <c r="I149" s="15"/>
      <c r="J149" s="15"/>
      <c r="K149" s="15"/>
      <c r="L149" s="15"/>
      <c r="M149" s="15"/>
      <c r="N149" s="15"/>
      <c r="O149" s="15"/>
      <c r="P149" s="15"/>
      <c r="Q149" s="21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</row>
    <row r="150" spans="1:48" x14ac:dyDescent="0.25">
      <c r="A150" s="15"/>
      <c r="B150" s="15"/>
      <c r="C150" s="15"/>
      <c r="D150" s="15"/>
      <c r="E150" s="15"/>
      <c r="F150" s="15"/>
      <c r="G150" s="6"/>
      <c r="H150" s="15"/>
      <c r="I150" s="15"/>
      <c r="J150" s="15"/>
      <c r="K150" s="15"/>
      <c r="L150" s="15"/>
      <c r="M150" s="15"/>
      <c r="N150" s="15"/>
      <c r="O150" s="15"/>
      <c r="P150" s="15"/>
      <c r="Q150" s="21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</row>
    <row r="151" spans="1:48" x14ac:dyDescent="0.25">
      <c r="A151" s="15"/>
      <c r="B151" s="15"/>
      <c r="C151" s="15"/>
      <c r="D151" s="15"/>
      <c r="E151" s="15"/>
      <c r="F151" s="15"/>
      <c r="G151" s="6"/>
      <c r="H151" s="15"/>
      <c r="I151" s="15"/>
      <c r="J151" s="15"/>
      <c r="K151" s="15"/>
      <c r="L151" s="15"/>
      <c r="M151" s="15"/>
      <c r="N151" s="15"/>
      <c r="O151" s="15"/>
      <c r="P151" s="15"/>
      <c r="Q151" s="21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</row>
    <row r="152" spans="1:48" x14ac:dyDescent="0.25">
      <c r="A152" s="15"/>
      <c r="B152" s="15"/>
      <c r="C152" s="15"/>
      <c r="D152" s="15"/>
      <c r="E152" s="15"/>
      <c r="F152" s="15"/>
      <c r="G152" s="6"/>
      <c r="H152" s="15"/>
      <c r="I152" s="15"/>
      <c r="J152" s="15"/>
      <c r="K152" s="15"/>
      <c r="L152" s="15"/>
      <c r="M152" s="15"/>
      <c r="N152" s="15"/>
      <c r="O152" s="15"/>
      <c r="P152" s="15"/>
      <c r="Q152" s="21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</row>
    <row r="153" spans="1:48" x14ac:dyDescent="0.25">
      <c r="A153" s="15"/>
      <c r="B153" s="15"/>
      <c r="C153" s="15"/>
      <c r="D153" s="15"/>
      <c r="E153" s="15"/>
      <c r="F153" s="15"/>
      <c r="G153" s="6"/>
      <c r="H153" s="15"/>
      <c r="I153" s="15"/>
      <c r="J153" s="15"/>
      <c r="K153" s="15"/>
      <c r="L153" s="15"/>
      <c r="M153" s="15"/>
      <c r="N153" s="15"/>
      <c r="O153" s="15"/>
      <c r="P153" s="15"/>
      <c r="Q153" s="21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</row>
    <row r="154" spans="1:48" x14ac:dyDescent="0.25">
      <c r="A154" s="15"/>
      <c r="B154" s="15"/>
      <c r="C154" s="15"/>
      <c r="D154" s="15"/>
      <c r="E154" s="15"/>
      <c r="F154" s="15"/>
      <c r="G154" s="6"/>
      <c r="H154" s="15"/>
      <c r="I154" s="15"/>
      <c r="J154" s="15"/>
      <c r="K154" s="15"/>
      <c r="L154" s="15"/>
      <c r="M154" s="15"/>
      <c r="N154" s="15"/>
      <c r="O154" s="15"/>
      <c r="P154" s="15"/>
      <c r="Q154" s="21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</row>
    <row r="155" spans="1:48" x14ac:dyDescent="0.25">
      <c r="A155" s="15"/>
      <c r="B155" s="15"/>
      <c r="C155" s="15"/>
      <c r="D155" s="15"/>
      <c r="E155" s="15"/>
      <c r="F155" s="15"/>
      <c r="G155" s="6"/>
      <c r="H155" s="15"/>
      <c r="I155" s="15"/>
      <c r="J155" s="15"/>
      <c r="K155" s="15"/>
      <c r="L155" s="15"/>
      <c r="M155" s="15"/>
      <c r="N155" s="15"/>
      <c r="O155" s="15"/>
      <c r="P155" s="15"/>
      <c r="Q155" s="21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</row>
    <row r="156" spans="1:48" x14ac:dyDescent="0.25">
      <c r="A156" s="15"/>
      <c r="B156" s="15"/>
      <c r="C156" s="15"/>
      <c r="D156" s="15"/>
      <c r="E156" s="15"/>
      <c r="F156" s="15"/>
      <c r="G156" s="6"/>
      <c r="H156" s="15"/>
      <c r="I156" s="15"/>
      <c r="J156" s="15"/>
      <c r="K156" s="15"/>
      <c r="L156" s="15"/>
      <c r="M156" s="15"/>
      <c r="N156" s="15"/>
      <c r="O156" s="15"/>
      <c r="P156" s="15"/>
      <c r="Q156" s="21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</row>
    <row r="157" spans="1:48" x14ac:dyDescent="0.25">
      <c r="A157" s="15"/>
      <c r="B157" s="15"/>
      <c r="C157" s="15"/>
      <c r="D157" s="15"/>
      <c r="E157" s="15"/>
      <c r="F157" s="15"/>
      <c r="G157" s="6"/>
      <c r="H157" s="15"/>
      <c r="I157" s="15"/>
      <c r="J157" s="15"/>
      <c r="K157" s="15"/>
      <c r="L157" s="15"/>
      <c r="M157" s="15"/>
      <c r="N157" s="15"/>
      <c r="O157" s="15"/>
      <c r="P157" s="15"/>
      <c r="Q157" s="21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</row>
    <row r="158" spans="1:48" x14ac:dyDescent="0.25">
      <c r="A158" s="15"/>
      <c r="B158" s="15"/>
      <c r="C158" s="15"/>
      <c r="D158" s="15"/>
      <c r="E158" s="15"/>
      <c r="F158" s="15"/>
      <c r="G158" s="6"/>
      <c r="H158" s="15"/>
      <c r="I158" s="15"/>
      <c r="J158" s="15"/>
      <c r="K158" s="15"/>
      <c r="L158" s="15"/>
      <c r="M158" s="15"/>
      <c r="N158" s="15"/>
      <c r="O158" s="15"/>
      <c r="P158" s="15"/>
      <c r="Q158" s="21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</row>
    <row r="159" spans="1:48" x14ac:dyDescent="0.25">
      <c r="A159" s="15"/>
      <c r="B159" s="15"/>
      <c r="C159" s="15"/>
      <c r="D159" s="15"/>
      <c r="E159" s="15"/>
      <c r="F159" s="15"/>
      <c r="G159" s="6"/>
      <c r="H159" s="15"/>
      <c r="I159" s="15"/>
      <c r="J159" s="15"/>
      <c r="K159" s="15"/>
      <c r="L159" s="15"/>
      <c r="M159" s="15"/>
      <c r="N159" s="15"/>
      <c r="O159" s="15"/>
      <c r="P159" s="15"/>
      <c r="Q159" s="21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</row>
    <row r="160" spans="1:48" x14ac:dyDescent="0.25">
      <c r="A160" s="15"/>
      <c r="B160" s="15"/>
      <c r="C160" s="15"/>
      <c r="D160" s="15"/>
      <c r="E160" s="15"/>
      <c r="F160" s="15"/>
      <c r="G160" s="6"/>
      <c r="H160" s="15"/>
      <c r="I160" s="15"/>
      <c r="J160" s="15"/>
      <c r="K160" s="15"/>
      <c r="L160" s="15"/>
      <c r="M160" s="15"/>
      <c r="N160" s="15"/>
      <c r="O160" s="15"/>
      <c r="P160" s="15"/>
      <c r="Q160" s="21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</row>
    <row r="161" spans="1:48" x14ac:dyDescent="0.25">
      <c r="A161" s="15"/>
      <c r="B161" s="15"/>
      <c r="C161" s="15"/>
      <c r="D161" s="15"/>
      <c r="E161" s="15"/>
      <c r="F161" s="15"/>
      <c r="G161" s="6"/>
      <c r="H161" s="15"/>
      <c r="I161" s="15"/>
      <c r="J161" s="15"/>
      <c r="K161" s="15"/>
      <c r="L161" s="15"/>
      <c r="M161" s="15"/>
      <c r="N161" s="15"/>
      <c r="O161" s="15"/>
      <c r="P161" s="15"/>
      <c r="Q161" s="21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</row>
    <row r="162" spans="1:48" x14ac:dyDescent="0.25">
      <c r="A162" s="15"/>
      <c r="B162" s="15"/>
      <c r="C162" s="15"/>
      <c r="D162" s="15"/>
      <c r="E162" s="15"/>
      <c r="F162" s="15"/>
      <c r="G162" s="6"/>
      <c r="H162" s="15"/>
      <c r="I162" s="15"/>
      <c r="J162" s="15"/>
      <c r="K162" s="15"/>
      <c r="L162" s="15"/>
      <c r="M162" s="15"/>
      <c r="N162" s="15"/>
      <c r="O162" s="15"/>
      <c r="P162" s="15"/>
      <c r="Q162" s="21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</row>
    <row r="163" spans="1:48" x14ac:dyDescent="0.25">
      <c r="A163" s="15"/>
      <c r="B163" s="15"/>
      <c r="C163" s="15"/>
      <c r="D163" s="15"/>
      <c r="E163" s="15"/>
      <c r="F163" s="15"/>
      <c r="G163" s="6"/>
      <c r="H163" s="15"/>
      <c r="I163" s="15"/>
      <c r="J163" s="15"/>
      <c r="K163" s="15"/>
      <c r="L163" s="15"/>
      <c r="M163" s="15"/>
      <c r="N163" s="15"/>
      <c r="O163" s="15"/>
      <c r="P163" s="15"/>
      <c r="Q163" s="21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</row>
    <row r="164" spans="1:48" x14ac:dyDescent="0.25">
      <c r="A164" s="15"/>
      <c r="B164" s="15"/>
      <c r="C164" s="15"/>
      <c r="D164" s="15"/>
      <c r="E164" s="15"/>
      <c r="F164" s="15"/>
      <c r="G164" s="6"/>
      <c r="H164" s="15"/>
      <c r="I164" s="15"/>
      <c r="J164" s="15"/>
      <c r="K164" s="15"/>
      <c r="L164" s="15"/>
      <c r="M164" s="15"/>
      <c r="N164" s="15"/>
      <c r="O164" s="15"/>
      <c r="P164" s="15"/>
      <c r="Q164" s="21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</row>
    <row r="165" spans="1:48" x14ac:dyDescent="0.25">
      <c r="A165" s="15"/>
      <c r="B165" s="15"/>
      <c r="C165" s="15"/>
      <c r="D165" s="15"/>
      <c r="E165" s="15"/>
      <c r="F165" s="15"/>
      <c r="G165" s="6"/>
      <c r="H165" s="15"/>
      <c r="I165" s="15"/>
      <c r="J165" s="15"/>
      <c r="K165" s="15"/>
      <c r="L165" s="15"/>
      <c r="M165" s="15"/>
      <c r="N165" s="15"/>
      <c r="O165" s="15"/>
      <c r="P165" s="15"/>
      <c r="Q165" s="21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</row>
    <row r="166" spans="1:48" x14ac:dyDescent="0.25">
      <c r="A166" s="15"/>
      <c r="B166" s="15"/>
      <c r="C166" s="15"/>
      <c r="D166" s="15"/>
      <c r="E166" s="15"/>
      <c r="F166" s="15"/>
      <c r="G166" s="6"/>
      <c r="H166" s="15"/>
      <c r="I166" s="15"/>
      <c r="J166" s="15"/>
      <c r="K166" s="15"/>
      <c r="L166" s="15"/>
      <c r="M166" s="15"/>
      <c r="N166" s="15"/>
      <c r="O166" s="15"/>
      <c r="P166" s="15"/>
      <c r="Q166" s="21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</row>
    <row r="167" spans="1:48" x14ac:dyDescent="0.25">
      <c r="A167" s="15"/>
      <c r="B167" s="15"/>
      <c r="C167" s="15"/>
      <c r="D167" s="15"/>
      <c r="E167" s="15"/>
      <c r="F167" s="15"/>
      <c r="G167" s="6"/>
      <c r="H167" s="15"/>
      <c r="I167" s="15"/>
      <c r="J167" s="15"/>
      <c r="K167" s="15"/>
      <c r="L167" s="15"/>
      <c r="M167" s="15"/>
      <c r="N167" s="15"/>
      <c r="O167" s="15"/>
      <c r="P167" s="15"/>
      <c r="Q167" s="21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</row>
    <row r="168" spans="1:48" x14ac:dyDescent="0.25">
      <c r="A168" s="15"/>
      <c r="B168" s="15"/>
      <c r="C168" s="15"/>
      <c r="D168" s="15"/>
      <c r="E168" s="15"/>
      <c r="F168" s="15"/>
      <c r="G168" s="6"/>
      <c r="H168" s="15"/>
      <c r="I168" s="15"/>
      <c r="J168" s="15"/>
      <c r="K168" s="15"/>
      <c r="L168" s="15"/>
      <c r="M168" s="15"/>
      <c r="N168" s="15"/>
      <c r="O168" s="15"/>
      <c r="P168" s="15"/>
      <c r="Q168" s="21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</row>
    <row r="169" spans="1:48" x14ac:dyDescent="0.25">
      <c r="A169" s="15"/>
      <c r="B169" s="15"/>
      <c r="C169" s="15"/>
      <c r="D169" s="15"/>
      <c r="E169" s="15"/>
      <c r="F169" s="15"/>
      <c r="G169" s="6"/>
      <c r="H169" s="15"/>
      <c r="I169" s="15"/>
      <c r="J169" s="15"/>
      <c r="K169" s="15"/>
      <c r="L169" s="15"/>
      <c r="M169" s="15"/>
      <c r="N169" s="15"/>
      <c r="O169" s="15"/>
      <c r="P169" s="15"/>
      <c r="Q169" s="21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</row>
    <row r="170" spans="1:48" x14ac:dyDescent="0.25">
      <c r="A170" s="15"/>
      <c r="B170" s="15"/>
      <c r="C170" s="15"/>
      <c r="D170" s="15"/>
      <c r="E170" s="15"/>
      <c r="F170" s="15"/>
      <c r="G170" s="6"/>
      <c r="H170" s="15"/>
      <c r="I170" s="15"/>
      <c r="J170" s="15"/>
      <c r="K170" s="15"/>
      <c r="L170" s="15"/>
      <c r="M170" s="15"/>
      <c r="N170" s="15"/>
      <c r="O170" s="15"/>
      <c r="P170" s="15"/>
      <c r="Q170" s="21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</row>
    <row r="171" spans="1:48" x14ac:dyDescent="0.25">
      <c r="A171" s="15"/>
      <c r="B171" s="15"/>
      <c r="C171" s="15"/>
      <c r="D171" s="15"/>
      <c r="E171" s="15"/>
      <c r="F171" s="15"/>
      <c r="G171" s="6"/>
      <c r="H171" s="15"/>
      <c r="I171" s="15"/>
      <c r="J171" s="15"/>
      <c r="K171" s="15"/>
      <c r="L171" s="15"/>
      <c r="M171" s="15"/>
      <c r="N171" s="15"/>
      <c r="O171" s="15"/>
      <c r="P171" s="15"/>
      <c r="Q171" s="21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</row>
    <row r="172" spans="1:48" x14ac:dyDescent="0.25">
      <c r="A172" s="15"/>
      <c r="B172" s="15"/>
      <c r="C172" s="15"/>
      <c r="D172" s="15"/>
      <c r="E172" s="15"/>
      <c r="F172" s="15"/>
      <c r="G172" s="6"/>
      <c r="H172" s="15"/>
      <c r="I172" s="15"/>
      <c r="J172" s="15"/>
      <c r="K172" s="15"/>
      <c r="L172" s="15"/>
      <c r="M172" s="15"/>
      <c r="N172" s="15"/>
      <c r="O172" s="15"/>
      <c r="P172" s="15"/>
      <c r="Q172" s="21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</row>
    <row r="173" spans="1:48" x14ac:dyDescent="0.25">
      <c r="A173" s="15"/>
      <c r="B173" s="15"/>
      <c r="C173" s="15"/>
      <c r="D173" s="15"/>
      <c r="E173" s="15"/>
      <c r="F173" s="15"/>
      <c r="G173" s="6"/>
      <c r="H173" s="15"/>
      <c r="I173" s="15"/>
      <c r="J173" s="15"/>
      <c r="K173" s="15"/>
      <c r="L173" s="15"/>
      <c r="M173" s="15"/>
      <c r="N173" s="15"/>
      <c r="O173" s="15"/>
      <c r="P173" s="15"/>
      <c r="Q173" s="21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</row>
    <row r="174" spans="1:48" x14ac:dyDescent="0.25">
      <c r="A174" s="15"/>
      <c r="B174" s="15"/>
      <c r="C174" s="15"/>
      <c r="D174" s="15"/>
      <c r="E174" s="15"/>
      <c r="F174" s="15"/>
      <c r="G174" s="6"/>
      <c r="H174" s="15"/>
      <c r="I174" s="15"/>
      <c r="J174" s="15"/>
      <c r="K174" s="15"/>
      <c r="L174" s="15"/>
      <c r="M174" s="15"/>
      <c r="N174" s="15"/>
      <c r="O174" s="15"/>
      <c r="P174" s="15"/>
      <c r="Q174" s="21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</row>
    <row r="175" spans="1:48" x14ac:dyDescent="0.25">
      <c r="A175" s="15"/>
      <c r="B175" s="15"/>
      <c r="C175" s="15"/>
      <c r="D175" s="15"/>
      <c r="E175" s="15"/>
      <c r="F175" s="15"/>
      <c r="G175" s="6"/>
      <c r="H175" s="15"/>
      <c r="I175" s="15"/>
      <c r="J175" s="15"/>
      <c r="K175" s="15"/>
      <c r="L175" s="15"/>
      <c r="M175" s="15"/>
      <c r="N175" s="15"/>
      <c r="O175" s="15"/>
      <c r="P175" s="15"/>
      <c r="Q175" s="21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</row>
    <row r="176" spans="1:48" x14ac:dyDescent="0.25">
      <c r="A176" s="15"/>
      <c r="B176" s="15"/>
      <c r="C176" s="15"/>
      <c r="D176" s="15"/>
      <c r="E176" s="15"/>
      <c r="F176" s="15"/>
      <c r="G176" s="6"/>
      <c r="H176" s="15"/>
      <c r="I176" s="15"/>
      <c r="J176" s="15"/>
      <c r="K176" s="15"/>
      <c r="L176" s="15"/>
      <c r="M176" s="15"/>
      <c r="N176" s="15"/>
      <c r="O176" s="15"/>
      <c r="P176" s="15"/>
      <c r="Q176" s="21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</row>
    <row r="177" spans="1:48" x14ac:dyDescent="0.25">
      <c r="A177" s="15"/>
      <c r="B177" s="15"/>
      <c r="C177" s="15"/>
      <c r="D177" s="15"/>
      <c r="E177" s="15"/>
      <c r="F177" s="15"/>
      <c r="G177" s="6"/>
      <c r="H177" s="15"/>
      <c r="I177" s="15"/>
      <c r="J177" s="15"/>
      <c r="K177" s="15"/>
      <c r="L177" s="15"/>
      <c r="M177" s="15"/>
      <c r="N177" s="15"/>
      <c r="O177" s="15"/>
      <c r="P177" s="15"/>
      <c r="Q177" s="21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</row>
    <row r="178" spans="1:48" x14ac:dyDescent="0.25">
      <c r="A178" s="15"/>
      <c r="B178" s="15"/>
      <c r="C178" s="15"/>
      <c r="D178" s="15"/>
      <c r="E178" s="15"/>
      <c r="F178" s="15"/>
      <c r="G178" s="6"/>
      <c r="H178" s="15"/>
      <c r="I178" s="15"/>
      <c r="J178" s="15"/>
      <c r="K178" s="15"/>
      <c r="L178" s="15"/>
      <c r="M178" s="15"/>
      <c r="N178" s="15"/>
      <c r="O178" s="15"/>
      <c r="P178" s="15"/>
      <c r="Q178" s="21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</row>
    <row r="179" spans="1:48" x14ac:dyDescent="0.25">
      <c r="A179" s="15"/>
      <c r="B179" s="15"/>
      <c r="C179" s="15"/>
      <c r="D179" s="15"/>
      <c r="E179" s="15"/>
      <c r="F179" s="15"/>
      <c r="G179" s="6"/>
      <c r="H179" s="15"/>
      <c r="I179" s="15"/>
      <c r="J179" s="15"/>
      <c r="K179" s="15"/>
      <c r="L179" s="15"/>
      <c r="M179" s="15"/>
      <c r="N179" s="15"/>
      <c r="O179" s="15"/>
      <c r="P179" s="15"/>
      <c r="Q179" s="21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</row>
    <row r="180" spans="1:48" x14ac:dyDescent="0.25">
      <c r="A180" s="15"/>
      <c r="B180" s="15"/>
      <c r="C180" s="15"/>
      <c r="D180" s="15"/>
      <c r="E180" s="15"/>
      <c r="F180" s="15"/>
      <c r="G180" s="6"/>
      <c r="H180" s="15"/>
      <c r="I180" s="15"/>
      <c r="J180" s="15"/>
      <c r="K180" s="15"/>
      <c r="L180" s="15"/>
      <c r="M180" s="15"/>
      <c r="N180" s="15"/>
      <c r="O180" s="15"/>
      <c r="P180" s="15"/>
      <c r="Q180" s="21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</row>
    <row r="181" spans="1:48" x14ac:dyDescent="0.25">
      <c r="A181" s="15"/>
      <c r="B181" s="15"/>
      <c r="C181" s="15"/>
      <c r="D181" s="15"/>
      <c r="E181" s="15"/>
      <c r="F181" s="15"/>
      <c r="G181" s="6"/>
      <c r="H181" s="15"/>
      <c r="I181" s="15"/>
      <c r="J181" s="15"/>
      <c r="K181" s="15"/>
      <c r="L181" s="15"/>
      <c r="M181" s="15"/>
      <c r="N181" s="15"/>
      <c r="O181" s="15"/>
      <c r="P181" s="15"/>
      <c r="Q181" s="21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</row>
    <row r="182" spans="1:48" x14ac:dyDescent="0.25">
      <c r="A182" s="15"/>
      <c r="B182" s="15"/>
      <c r="C182" s="15"/>
      <c r="D182" s="15"/>
      <c r="E182" s="15"/>
      <c r="F182" s="15"/>
      <c r="G182" s="6"/>
      <c r="H182" s="15"/>
      <c r="I182" s="15"/>
      <c r="J182" s="15"/>
      <c r="K182" s="15"/>
      <c r="L182" s="15"/>
      <c r="M182" s="15"/>
      <c r="N182" s="15"/>
      <c r="O182" s="15"/>
      <c r="P182" s="15"/>
      <c r="Q182" s="21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</row>
    <row r="183" spans="1:48" x14ac:dyDescent="0.25">
      <c r="A183" s="15"/>
      <c r="B183" s="15"/>
      <c r="C183" s="15"/>
      <c r="D183" s="15"/>
      <c r="E183" s="15"/>
      <c r="F183" s="15"/>
      <c r="G183" s="6"/>
      <c r="H183" s="15"/>
      <c r="I183" s="15"/>
      <c r="J183" s="15"/>
      <c r="K183" s="15"/>
      <c r="L183" s="15"/>
      <c r="M183" s="15"/>
      <c r="N183" s="15"/>
      <c r="O183" s="15"/>
      <c r="P183" s="15"/>
      <c r="Q183" s="21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</row>
    <row r="184" spans="1:48" x14ac:dyDescent="0.25">
      <c r="A184" s="15"/>
      <c r="B184" s="15"/>
      <c r="C184" s="15"/>
      <c r="D184" s="15"/>
      <c r="E184" s="15"/>
      <c r="F184" s="15"/>
      <c r="G184" s="6"/>
      <c r="H184" s="15"/>
      <c r="I184" s="15"/>
      <c r="J184" s="15"/>
      <c r="K184" s="15"/>
      <c r="L184" s="15"/>
      <c r="M184" s="15"/>
      <c r="N184" s="15"/>
      <c r="O184" s="15"/>
      <c r="P184" s="15"/>
      <c r="Q184" s="21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</row>
    <row r="185" spans="1:48" x14ac:dyDescent="0.25">
      <c r="A185" s="15"/>
      <c r="B185" s="15"/>
      <c r="C185" s="15"/>
      <c r="D185" s="15"/>
      <c r="E185" s="15"/>
      <c r="F185" s="15"/>
      <c r="G185" s="6"/>
      <c r="H185" s="15"/>
      <c r="I185" s="15"/>
      <c r="J185" s="15"/>
      <c r="K185" s="15"/>
      <c r="L185" s="15"/>
      <c r="M185" s="15"/>
      <c r="N185" s="15"/>
      <c r="O185" s="15"/>
      <c r="P185" s="15"/>
      <c r="Q185" s="21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</row>
    <row r="186" spans="1:48" x14ac:dyDescent="0.25">
      <c r="A186" s="15"/>
      <c r="B186" s="15"/>
      <c r="C186" s="15"/>
      <c r="D186" s="15"/>
      <c r="E186" s="15"/>
      <c r="F186" s="15"/>
      <c r="G186" s="6"/>
      <c r="H186" s="15"/>
      <c r="I186" s="15"/>
      <c r="J186" s="15"/>
      <c r="K186" s="15"/>
      <c r="L186" s="15"/>
      <c r="M186" s="15"/>
      <c r="N186" s="15"/>
      <c r="O186" s="15"/>
      <c r="P186" s="15"/>
      <c r="Q186" s="21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</row>
    <row r="187" spans="1:48" x14ac:dyDescent="0.25">
      <c r="A187" s="15"/>
      <c r="B187" s="15"/>
      <c r="C187" s="15"/>
      <c r="D187" s="15"/>
      <c r="E187" s="15"/>
      <c r="F187" s="15"/>
      <c r="G187" s="6"/>
      <c r="H187" s="15"/>
      <c r="I187" s="15"/>
      <c r="J187" s="15"/>
      <c r="K187" s="15"/>
      <c r="L187" s="15"/>
      <c r="M187" s="15"/>
      <c r="N187" s="15"/>
      <c r="O187" s="15"/>
      <c r="P187" s="15"/>
      <c r="Q187" s="21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</row>
    <row r="188" spans="1:48" x14ac:dyDescent="0.25">
      <c r="A188" s="15"/>
      <c r="B188" s="15"/>
      <c r="C188" s="15"/>
      <c r="D188" s="15"/>
      <c r="E188" s="15"/>
      <c r="F188" s="15"/>
      <c r="G188" s="6"/>
      <c r="H188" s="15"/>
      <c r="I188" s="15"/>
      <c r="J188" s="15"/>
      <c r="K188" s="15"/>
      <c r="L188" s="15"/>
      <c r="M188" s="15"/>
      <c r="N188" s="15"/>
      <c r="O188" s="15"/>
      <c r="P188" s="15"/>
      <c r="Q188" s="21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</row>
    <row r="189" spans="1:48" x14ac:dyDescent="0.25">
      <c r="A189" s="15"/>
      <c r="B189" s="15"/>
      <c r="C189" s="15"/>
      <c r="D189" s="15"/>
      <c r="E189" s="15"/>
      <c r="F189" s="15"/>
      <c r="G189" s="6"/>
      <c r="H189" s="15"/>
      <c r="I189" s="15"/>
      <c r="J189" s="15"/>
      <c r="K189" s="15"/>
      <c r="L189" s="15"/>
      <c r="M189" s="15"/>
      <c r="N189" s="15"/>
      <c r="O189" s="15"/>
      <c r="P189" s="15"/>
      <c r="Q189" s="21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</row>
    <row r="190" spans="1:48" x14ac:dyDescent="0.25">
      <c r="A190" s="15"/>
      <c r="B190" s="15"/>
      <c r="C190" s="15"/>
      <c r="D190" s="15"/>
      <c r="E190" s="15"/>
      <c r="F190" s="15"/>
      <c r="G190" s="6"/>
      <c r="H190" s="15"/>
      <c r="I190" s="15"/>
      <c r="J190" s="15"/>
      <c r="K190" s="15"/>
      <c r="L190" s="15"/>
      <c r="M190" s="15"/>
      <c r="N190" s="15"/>
      <c r="O190" s="15"/>
      <c r="P190" s="15"/>
      <c r="Q190" s="21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</row>
    <row r="191" spans="1:48" x14ac:dyDescent="0.25">
      <c r="A191" s="15"/>
      <c r="B191" s="15"/>
      <c r="C191" s="15"/>
      <c r="D191" s="15"/>
      <c r="E191" s="15"/>
      <c r="F191" s="15"/>
      <c r="G191" s="6"/>
      <c r="H191" s="15"/>
      <c r="I191" s="15"/>
      <c r="J191" s="15"/>
      <c r="K191" s="15"/>
      <c r="L191" s="15"/>
      <c r="M191" s="15"/>
      <c r="N191" s="15"/>
      <c r="O191" s="15"/>
      <c r="P191" s="15"/>
      <c r="Q191" s="21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</row>
    <row r="192" spans="1:48" x14ac:dyDescent="0.25">
      <c r="A192" s="15"/>
      <c r="B192" s="15"/>
      <c r="C192" s="15"/>
      <c r="D192" s="15"/>
      <c r="E192" s="15"/>
      <c r="F192" s="15"/>
      <c r="G192" s="6"/>
      <c r="H192" s="15"/>
      <c r="I192" s="15"/>
      <c r="J192" s="15"/>
      <c r="K192" s="15"/>
      <c r="L192" s="15"/>
      <c r="M192" s="15"/>
      <c r="N192" s="15"/>
      <c r="O192" s="15"/>
      <c r="P192" s="15"/>
      <c r="Q192" s="21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</row>
    <row r="193" spans="1:48" x14ac:dyDescent="0.25">
      <c r="A193" s="15"/>
      <c r="B193" s="15"/>
      <c r="C193" s="15"/>
      <c r="D193" s="15"/>
      <c r="E193" s="15"/>
      <c r="F193" s="15"/>
      <c r="G193" s="6"/>
      <c r="H193" s="15"/>
      <c r="I193" s="15"/>
      <c r="J193" s="15"/>
      <c r="K193" s="15"/>
      <c r="L193" s="15"/>
      <c r="M193" s="15"/>
      <c r="N193" s="15"/>
      <c r="O193" s="15"/>
      <c r="P193" s="15"/>
      <c r="Q193" s="21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</row>
    <row r="194" spans="1:48" x14ac:dyDescent="0.25">
      <c r="A194" s="15"/>
      <c r="B194" s="15"/>
      <c r="C194" s="15"/>
      <c r="D194" s="15"/>
      <c r="E194" s="15"/>
      <c r="F194" s="15"/>
      <c r="G194" s="6"/>
      <c r="H194" s="15"/>
      <c r="I194" s="15"/>
      <c r="J194" s="15"/>
      <c r="K194" s="15"/>
      <c r="L194" s="15"/>
      <c r="M194" s="15"/>
      <c r="N194" s="15"/>
      <c r="O194" s="15"/>
      <c r="P194" s="15"/>
      <c r="Q194" s="21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</row>
    <row r="195" spans="1:48" x14ac:dyDescent="0.25">
      <c r="A195" s="15"/>
      <c r="B195" s="15"/>
      <c r="C195" s="15"/>
      <c r="D195" s="15"/>
      <c r="E195" s="15"/>
      <c r="F195" s="15"/>
      <c r="G195" s="6"/>
      <c r="H195" s="15"/>
      <c r="I195" s="15"/>
      <c r="J195" s="15"/>
      <c r="K195" s="15"/>
      <c r="L195" s="15"/>
      <c r="M195" s="15"/>
      <c r="N195" s="15"/>
      <c r="O195" s="15"/>
      <c r="P195" s="15"/>
      <c r="Q195" s="21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</row>
    <row r="196" spans="1:48" x14ac:dyDescent="0.25">
      <c r="A196" s="15"/>
      <c r="B196" s="15"/>
      <c r="C196" s="15"/>
      <c r="D196" s="15"/>
      <c r="E196" s="15"/>
      <c r="F196" s="15"/>
      <c r="G196" s="6"/>
      <c r="H196" s="15"/>
      <c r="I196" s="15"/>
      <c r="J196" s="15"/>
      <c r="K196" s="15"/>
      <c r="L196" s="15"/>
      <c r="M196" s="15"/>
      <c r="N196" s="15"/>
      <c r="O196" s="15"/>
      <c r="P196" s="15"/>
      <c r="Q196" s="21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</row>
    <row r="197" spans="1:48" x14ac:dyDescent="0.25">
      <c r="A197" s="15"/>
      <c r="B197" s="15"/>
      <c r="C197" s="15"/>
      <c r="D197" s="15"/>
      <c r="E197" s="15"/>
      <c r="F197" s="15"/>
      <c r="G197" s="6"/>
      <c r="H197" s="15"/>
      <c r="I197" s="15"/>
      <c r="J197" s="15"/>
      <c r="K197" s="15"/>
      <c r="L197" s="15"/>
      <c r="M197" s="15"/>
      <c r="N197" s="15"/>
      <c r="O197" s="15"/>
      <c r="P197" s="15"/>
      <c r="Q197" s="21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</row>
    <row r="198" spans="1:48" x14ac:dyDescent="0.25">
      <c r="A198" s="15"/>
      <c r="B198" s="15"/>
      <c r="C198" s="15"/>
      <c r="D198" s="15"/>
      <c r="E198" s="15"/>
      <c r="F198" s="15"/>
      <c r="G198" s="6"/>
      <c r="H198" s="15"/>
      <c r="I198" s="15"/>
      <c r="J198" s="15"/>
      <c r="K198" s="15"/>
      <c r="L198" s="15"/>
      <c r="M198" s="15"/>
      <c r="N198" s="15"/>
      <c r="O198" s="15"/>
      <c r="P198" s="15"/>
      <c r="Q198" s="21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</row>
    <row r="199" spans="1:48" x14ac:dyDescent="0.25">
      <c r="A199" s="15"/>
      <c r="B199" s="15"/>
      <c r="C199" s="15"/>
      <c r="D199" s="15"/>
      <c r="E199" s="15"/>
      <c r="F199" s="15"/>
      <c r="G199" s="6"/>
      <c r="H199" s="15"/>
      <c r="I199" s="15"/>
      <c r="J199" s="15"/>
      <c r="K199" s="15"/>
      <c r="L199" s="15"/>
      <c r="M199" s="15"/>
      <c r="N199" s="15"/>
      <c r="O199" s="15"/>
      <c r="P199" s="15"/>
      <c r="Q199" s="21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</row>
    <row r="200" spans="1:48" x14ac:dyDescent="0.25">
      <c r="A200" s="15"/>
      <c r="B200" s="15"/>
      <c r="C200" s="15"/>
      <c r="D200" s="15"/>
      <c r="E200" s="15"/>
      <c r="F200" s="15"/>
      <c r="G200" s="6"/>
      <c r="H200" s="15"/>
      <c r="I200" s="15"/>
      <c r="J200" s="15"/>
      <c r="K200" s="15"/>
      <c r="L200" s="15"/>
      <c r="M200" s="15"/>
      <c r="N200" s="15"/>
      <c r="O200" s="15"/>
      <c r="P200" s="15"/>
      <c r="Q200" s="21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</row>
    <row r="201" spans="1:48" x14ac:dyDescent="0.25">
      <c r="A201" s="15"/>
      <c r="B201" s="15"/>
      <c r="C201" s="15"/>
      <c r="D201" s="15"/>
      <c r="E201" s="15"/>
      <c r="F201" s="15"/>
      <c r="G201" s="6"/>
      <c r="H201" s="15"/>
      <c r="I201" s="15"/>
      <c r="J201" s="15"/>
      <c r="K201" s="15"/>
      <c r="L201" s="15"/>
      <c r="M201" s="15"/>
      <c r="N201" s="15"/>
      <c r="O201" s="15"/>
      <c r="P201" s="15"/>
      <c r="Q201" s="21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</row>
    <row r="202" spans="1:48" x14ac:dyDescent="0.25">
      <c r="A202" s="15"/>
      <c r="B202" s="15"/>
      <c r="C202" s="15"/>
      <c r="D202" s="15"/>
      <c r="E202" s="15"/>
      <c r="F202" s="15"/>
      <c r="G202" s="6"/>
      <c r="H202" s="15"/>
      <c r="I202" s="15"/>
      <c r="J202" s="15"/>
      <c r="K202" s="15"/>
      <c r="L202" s="15"/>
      <c r="M202" s="15"/>
      <c r="N202" s="15"/>
      <c r="O202" s="15"/>
      <c r="P202" s="15"/>
      <c r="Q202" s="21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</row>
    <row r="203" spans="1:48" x14ac:dyDescent="0.25">
      <c r="A203" s="15"/>
      <c r="B203" s="15"/>
      <c r="C203" s="15"/>
      <c r="D203" s="15"/>
      <c r="E203" s="15"/>
      <c r="F203" s="15"/>
      <c r="G203" s="6"/>
      <c r="H203" s="15"/>
      <c r="I203" s="15"/>
      <c r="J203" s="15"/>
      <c r="K203" s="15"/>
      <c r="L203" s="15"/>
      <c r="M203" s="15"/>
      <c r="N203" s="15"/>
      <c r="O203" s="15"/>
      <c r="P203" s="15"/>
      <c r="Q203" s="21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</row>
    <row r="204" spans="1:48" x14ac:dyDescent="0.25">
      <c r="A204" s="15"/>
      <c r="B204" s="15"/>
      <c r="C204" s="15"/>
      <c r="D204" s="15"/>
      <c r="E204" s="15"/>
      <c r="F204" s="15"/>
      <c r="G204" s="6"/>
      <c r="H204" s="15"/>
      <c r="I204" s="15"/>
      <c r="J204" s="15"/>
      <c r="K204" s="15"/>
      <c r="L204" s="15"/>
      <c r="M204" s="15"/>
      <c r="N204" s="15"/>
      <c r="O204" s="15"/>
      <c r="P204" s="15"/>
      <c r="Q204" s="21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</row>
    <row r="205" spans="1:48" x14ac:dyDescent="0.25">
      <c r="A205" s="15"/>
      <c r="B205" s="15"/>
      <c r="C205" s="15"/>
      <c r="D205" s="15"/>
      <c r="E205" s="15"/>
      <c r="F205" s="15"/>
      <c r="G205" s="6"/>
      <c r="H205" s="15"/>
      <c r="I205" s="15"/>
      <c r="J205" s="15"/>
      <c r="K205" s="15"/>
      <c r="L205" s="15"/>
      <c r="M205" s="15"/>
      <c r="N205" s="15"/>
      <c r="O205" s="15"/>
      <c r="P205" s="15"/>
      <c r="Q205" s="21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</row>
    <row r="206" spans="1:48" x14ac:dyDescent="0.25">
      <c r="A206" s="15"/>
      <c r="B206" s="15"/>
      <c r="C206" s="15"/>
      <c r="D206" s="15"/>
      <c r="E206" s="15"/>
      <c r="F206" s="15"/>
      <c r="G206" s="6"/>
      <c r="H206" s="15"/>
      <c r="I206" s="15"/>
      <c r="J206" s="15"/>
      <c r="K206" s="15"/>
      <c r="L206" s="15"/>
      <c r="M206" s="15"/>
      <c r="N206" s="15"/>
      <c r="O206" s="15"/>
      <c r="P206" s="15"/>
      <c r="Q206" s="21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</row>
    <row r="207" spans="1:48" x14ac:dyDescent="0.25">
      <c r="A207" s="15"/>
      <c r="B207" s="15"/>
      <c r="C207" s="15"/>
      <c r="D207" s="15"/>
      <c r="E207" s="15"/>
      <c r="F207" s="15"/>
      <c r="G207" s="6"/>
      <c r="H207" s="15"/>
      <c r="I207" s="15"/>
      <c r="J207" s="15"/>
      <c r="K207" s="15"/>
      <c r="L207" s="15"/>
      <c r="M207" s="15"/>
      <c r="N207" s="15"/>
      <c r="O207" s="15"/>
      <c r="P207" s="15"/>
      <c r="Q207" s="21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</row>
    <row r="208" spans="1:48" x14ac:dyDescent="0.25">
      <c r="A208" s="15"/>
      <c r="B208" s="15"/>
      <c r="C208" s="15"/>
      <c r="D208" s="15"/>
      <c r="E208" s="15"/>
      <c r="F208" s="15"/>
      <c r="G208" s="6"/>
      <c r="H208" s="15"/>
      <c r="I208" s="15"/>
      <c r="J208" s="15"/>
      <c r="K208" s="15"/>
      <c r="L208" s="15"/>
      <c r="M208" s="15"/>
      <c r="N208" s="15"/>
      <c r="O208" s="15"/>
      <c r="P208" s="15"/>
      <c r="Q208" s="21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</row>
    <row r="209" spans="1:48" x14ac:dyDescent="0.25">
      <c r="A209" s="15"/>
      <c r="B209" s="15"/>
      <c r="C209" s="15"/>
      <c r="D209" s="15"/>
      <c r="E209" s="15"/>
      <c r="F209" s="15"/>
      <c r="G209" s="6"/>
      <c r="H209" s="15"/>
      <c r="I209" s="15"/>
      <c r="J209" s="15"/>
      <c r="K209" s="15"/>
      <c r="L209" s="15"/>
      <c r="M209" s="15"/>
      <c r="N209" s="15"/>
      <c r="O209" s="15"/>
      <c r="P209" s="15"/>
      <c r="Q209" s="21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</row>
    <row r="210" spans="1:48" x14ac:dyDescent="0.25">
      <c r="A210" s="15"/>
      <c r="B210" s="15"/>
      <c r="C210" s="15"/>
      <c r="D210" s="15"/>
      <c r="E210" s="15"/>
      <c r="F210" s="15"/>
      <c r="G210" s="6"/>
      <c r="H210" s="15"/>
      <c r="I210" s="15"/>
      <c r="J210" s="15"/>
      <c r="K210" s="15"/>
      <c r="L210" s="15"/>
      <c r="M210" s="15"/>
      <c r="N210" s="15"/>
      <c r="O210" s="15"/>
      <c r="P210" s="15"/>
      <c r="Q210" s="21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</row>
    <row r="211" spans="1:48" x14ac:dyDescent="0.25">
      <c r="A211" s="15"/>
      <c r="B211" s="15"/>
      <c r="C211" s="15"/>
      <c r="D211" s="15"/>
      <c r="E211" s="15"/>
      <c r="F211" s="15"/>
      <c r="G211" s="6"/>
      <c r="H211" s="15"/>
      <c r="I211" s="15"/>
      <c r="J211" s="15"/>
      <c r="K211" s="15"/>
      <c r="L211" s="15"/>
      <c r="M211" s="15"/>
      <c r="N211" s="15"/>
      <c r="O211" s="15"/>
      <c r="P211" s="15"/>
      <c r="Q211" s="21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</row>
    <row r="212" spans="1:48" x14ac:dyDescent="0.25">
      <c r="A212" s="15"/>
      <c r="B212" s="15"/>
      <c r="C212" s="15"/>
      <c r="D212" s="15"/>
      <c r="E212" s="15"/>
      <c r="F212" s="15"/>
      <c r="G212" s="6"/>
      <c r="H212" s="15"/>
      <c r="I212" s="15"/>
      <c r="J212" s="15"/>
      <c r="K212" s="15"/>
      <c r="L212" s="15"/>
      <c r="M212" s="15"/>
      <c r="N212" s="15"/>
      <c r="O212" s="15"/>
      <c r="P212" s="15"/>
      <c r="Q212" s="21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</row>
    <row r="213" spans="1:48" x14ac:dyDescent="0.25">
      <c r="A213" s="15"/>
      <c r="B213" s="15"/>
      <c r="C213" s="15"/>
      <c r="D213" s="15"/>
      <c r="E213" s="15"/>
      <c r="F213" s="15"/>
      <c r="G213" s="6"/>
      <c r="H213" s="15"/>
      <c r="I213" s="15"/>
      <c r="J213" s="15"/>
      <c r="K213" s="15"/>
      <c r="L213" s="15"/>
      <c r="M213" s="15"/>
      <c r="N213" s="15"/>
      <c r="O213" s="15"/>
      <c r="P213" s="15"/>
      <c r="Q213" s="21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</row>
    <row r="214" spans="1:48" x14ac:dyDescent="0.25">
      <c r="A214" s="15"/>
      <c r="B214" s="15"/>
      <c r="C214" s="15"/>
      <c r="D214" s="15"/>
      <c r="E214" s="15"/>
      <c r="F214" s="15"/>
      <c r="G214" s="6"/>
      <c r="H214" s="15"/>
      <c r="I214" s="15"/>
      <c r="J214" s="15"/>
      <c r="K214" s="15"/>
      <c r="L214" s="15"/>
      <c r="M214" s="15"/>
      <c r="N214" s="15"/>
      <c r="O214" s="15"/>
      <c r="P214" s="15"/>
      <c r="Q214" s="21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</row>
    <row r="215" spans="1:48" x14ac:dyDescent="0.25">
      <c r="A215" s="15"/>
      <c r="B215" s="15"/>
      <c r="C215" s="15"/>
      <c r="D215" s="15"/>
      <c r="E215" s="15"/>
      <c r="F215" s="15"/>
      <c r="G215" s="6"/>
      <c r="H215" s="15"/>
      <c r="I215" s="15"/>
      <c r="J215" s="15"/>
      <c r="K215" s="15"/>
      <c r="L215" s="15"/>
      <c r="M215" s="15"/>
      <c r="N215" s="15"/>
      <c r="O215" s="15"/>
      <c r="P215" s="15"/>
      <c r="Q215" s="21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</row>
    <row r="216" spans="1:48" x14ac:dyDescent="0.25">
      <c r="A216" s="15"/>
      <c r="B216" s="15"/>
      <c r="C216" s="15"/>
      <c r="D216" s="15"/>
      <c r="E216" s="15"/>
      <c r="F216" s="15"/>
      <c r="G216" s="6"/>
      <c r="H216" s="15"/>
      <c r="I216" s="15"/>
      <c r="J216" s="15"/>
      <c r="K216" s="15"/>
      <c r="L216" s="15"/>
      <c r="M216" s="15"/>
      <c r="N216" s="15"/>
      <c r="O216" s="15"/>
      <c r="P216" s="15"/>
      <c r="Q216" s="21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</row>
    <row r="217" spans="1:48" x14ac:dyDescent="0.25">
      <c r="A217" s="15"/>
      <c r="B217" s="15"/>
      <c r="C217" s="15"/>
      <c r="D217" s="15"/>
      <c r="E217" s="15"/>
      <c r="F217" s="15"/>
      <c r="G217" s="6"/>
      <c r="H217" s="15"/>
      <c r="I217" s="15"/>
      <c r="J217" s="15"/>
      <c r="K217" s="15"/>
      <c r="L217" s="15"/>
      <c r="M217" s="15"/>
      <c r="N217" s="15"/>
      <c r="O217" s="15"/>
      <c r="P217" s="15"/>
      <c r="Q217" s="21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</row>
    <row r="218" spans="1:48" x14ac:dyDescent="0.25">
      <c r="A218" s="15"/>
      <c r="B218" s="15"/>
      <c r="C218" s="15"/>
      <c r="D218" s="15"/>
      <c r="E218" s="15"/>
      <c r="F218" s="15"/>
      <c r="G218" s="6"/>
      <c r="H218" s="15"/>
      <c r="I218" s="15"/>
      <c r="J218" s="15"/>
      <c r="K218" s="15"/>
      <c r="L218" s="15"/>
      <c r="M218" s="15"/>
      <c r="N218" s="15"/>
      <c r="O218" s="15"/>
      <c r="P218" s="15"/>
      <c r="Q218" s="21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</row>
    <row r="219" spans="1:48" x14ac:dyDescent="0.25">
      <c r="A219" s="15"/>
      <c r="B219" s="15"/>
      <c r="C219" s="15"/>
      <c r="D219" s="15"/>
      <c r="E219" s="15"/>
      <c r="F219" s="15"/>
      <c r="G219" s="6"/>
      <c r="H219" s="15"/>
      <c r="I219" s="15"/>
      <c r="J219" s="15"/>
      <c r="K219" s="15"/>
      <c r="L219" s="15"/>
      <c r="M219" s="15"/>
      <c r="N219" s="15"/>
      <c r="O219" s="15"/>
      <c r="P219" s="15"/>
      <c r="Q219" s="21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</row>
    <row r="220" spans="1:48" x14ac:dyDescent="0.25">
      <c r="A220" s="15"/>
      <c r="B220" s="15"/>
      <c r="C220" s="15"/>
      <c r="D220" s="15"/>
      <c r="E220" s="15"/>
      <c r="F220" s="15"/>
      <c r="G220" s="6"/>
      <c r="H220" s="15"/>
      <c r="I220" s="15"/>
      <c r="J220" s="15"/>
      <c r="K220" s="15"/>
      <c r="L220" s="15"/>
      <c r="M220" s="15"/>
      <c r="N220" s="15"/>
      <c r="O220" s="15"/>
      <c r="P220" s="15"/>
      <c r="Q220" s="21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</row>
    <row r="221" spans="1:48" x14ac:dyDescent="0.25">
      <c r="A221" s="15"/>
      <c r="B221" s="15"/>
      <c r="C221" s="15"/>
      <c r="D221" s="15"/>
      <c r="E221" s="15"/>
      <c r="F221" s="15"/>
      <c r="G221" s="6"/>
      <c r="H221" s="15"/>
      <c r="I221" s="15"/>
      <c r="J221" s="15"/>
      <c r="K221" s="15"/>
      <c r="L221" s="15"/>
      <c r="M221" s="15"/>
      <c r="N221" s="15"/>
      <c r="O221" s="15"/>
      <c r="P221" s="15"/>
      <c r="Q221" s="21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</row>
    <row r="222" spans="1:48" x14ac:dyDescent="0.25">
      <c r="A222" s="15"/>
      <c r="B222" s="15"/>
      <c r="C222" s="15"/>
      <c r="D222" s="15"/>
      <c r="E222" s="15"/>
      <c r="F222" s="15"/>
      <c r="G222" s="6"/>
      <c r="H222" s="15"/>
      <c r="I222" s="15"/>
      <c r="J222" s="15"/>
      <c r="K222" s="15"/>
      <c r="L222" s="15"/>
      <c r="M222" s="15"/>
      <c r="N222" s="15"/>
      <c r="O222" s="15"/>
      <c r="P222" s="15"/>
      <c r="Q222" s="21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</row>
    <row r="223" spans="1:48" x14ac:dyDescent="0.25">
      <c r="A223" s="15"/>
      <c r="B223" s="15"/>
      <c r="C223" s="15"/>
      <c r="D223" s="15"/>
      <c r="E223" s="15"/>
      <c r="F223" s="15"/>
      <c r="G223" s="6"/>
      <c r="H223" s="15"/>
      <c r="I223" s="15"/>
      <c r="J223" s="15"/>
      <c r="K223" s="15"/>
      <c r="L223" s="15"/>
      <c r="M223" s="15"/>
      <c r="N223" s="15"/>
      <c r="O223" s="15"/>
      <c r="P223" s="15"/>
      <c r="Q223" s="21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</row>
    <row r="224" spans="1:48" x14ac:dyDescent="0.25">
      <c r="A224" s="15"/>
      <c r="B224" s="15"/>
      <c r="C224" s="15"/>
      <c r="D224" s="15"/>
      <c r="E224" s="15"/>
      <c r="F224" s="15"/>
      <c r="G224" s="6"/>
      <c r="H224" s="15"/>
      <c r="I224" s="15"/>
      <c r="J224" s="15"/>
      <c r="K224" s="15"/>
      <c r="L224" s="15"/>
      <c r="M224" s="15"/>
      <c r="N224" s="15"/>
      <c r="O224" s="15"/>
      <c r="P224" s="15"/>
      <c r="Q224" s="21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</row>
    <row r="225" spans="1:48" x14ac:dyDescent="0.25">
      <c r="A225" s="15"/>
      <c r="B225" s="15"/>
      <c r="C225" s="15"/>
      <c r="D225" s="15"/>
      <c r="E225" s="15"/>
      <c r="F225" s="15"/>
      <c r="G225" s="6"/>
      <c r="H225" s="15"/>
      <c r="I225" s="15"/>
      <c r="J225" s="15"/>
      <c r="K225" s="15"/>
      <c r="L225" s="15"/>
      <c r="M225" s="15"/>
      <c r="N225" s="15"/>
      <c r="O225" s="15"/>
      <c r="P225" s="15"/>
      <c r="Q225" s="21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</row>
    <row r="226" spans="1:48" x14ac:dyDescent="0.25">
      <c r="A226" s="15"/>
      <c r="B226" s="15"/>
      <c r="C226" s="15"/>
      <c r="D226" s="15"/>
      <c r="E226" s="15"/>
      <c r="F226" s="15"/>
      <c r="G226" s="6"/>
      <c r="H226" s="15"/>
      <c r="I226" s="15"/>
      <c r="J226" s="15"/>
      <c r="K226" s="15"/>
      <c r="L226" s="15"/>
      <c r="M226" s="15"/>
      <c r="N226" s="15"/>
      <c r="O226" s="15"/>
      <c r="P226" s="15"/>
      <c r="Q226" s="21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</row>
    <row r="227" spans="1:48" x14ac:dyDescent="0.25">
      <c r="A227" s="15"/>
      <c r="B227" s="15"/>
      <c r="C227" s="15"/>
      <c r="D227" s="15"/>
      <c r="E227" s="15"/>
      <c r="F227" s="15"/>
      <c r="G227" s="6"/>
      <c r="H227" s="15"/>
      <c r="I227" s="15"/>
      <c r="J227" s="15"/>
      <c r="K227" s="15"/>
      <c r="L227" s="15"/>
      <c r="M227" s="15"/>
      <c r="N227" s="15"/>
      <c r="O227" s="15"/>
      <c r="P227" s="15"/>
      <c r="Q227" s="21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</row>
    <row r="228" spans="1:48" x14ac:dyDescent="0.25">
      <c r="A228" s="15"/>
      <c r="B228" s="15"/>
      <c r="C228" s="15"/>
      <c r="D228" s="15"/>
      <c r="E228" s="15"/>
      <c r="F228" s="15"/>
      <c r="G228" s="6"/>
      <c r="H228" s="15"/>
      <c r="I228" s="15"/>
      <c r="J228" s="15"/>
      <c r="K228" s="15"/>
      <c r="L228" s="15"/>
      <c r="M228" s="15"/>
      <c r="N228" s="15"/>
      <c r="O228" s="15"/>
      <c r="P228" s="15"/>
      <c r="Q228" s="21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</row>
    <row r="229" spans="1:48" x14ac:dyDescent="0.25">
      <c r="A229" s="15"/>
      <c r="B229" s="15"/>
      <c r="C229" s="15"/>
      <c r="D229" s="15"/>
      <c r="E229" s="15"/>
      <c r="F229" s="15"/>
      <c r="G229" s="6"/>
      <c r="H229" s="15"/>
      <c r="I229" s="15"/>
      <c r="J229" s="15"/>
      <c r="K229" s="15"/>
      <c r="L229" s="15"/>
      <c r="M229" s="15"/>
      <c r="N229" s="15"/>
      <c r="O229" s="15"/>
      <c r="P229" s="15"/>
      <c r="Q229" s="21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</row>
    <row r="230" spans="1:48" x14ac:dyDescent="0.25">
      <c r="A230" s="15"/>
      <c r="B230" s="15"/>
      <c r="C230" s="15"/>
      <c r="D230" s="15"/>
      <c r="E230" s="15"/>
      <c r="F230" s="15"/>
      <c r="G230" s="6"/>
      <c r="H230" s="15"/>
      <c r="I230" s="15"/>
      <c r="J230" s="15"/>
      <c r="K230" s="15"/>
      <c r="L230" s="15"/>
      <c r="M230" s="15"/>
      <c r="N230" s="15"/>
      <c r="O230" s="15"/>
      <c r="P230" s="15"/>
      <c r="Q230" s="21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</row>
    <row r="231" spans="1:48" x14ac:dyDescent="0.25">
      <c r="A231" s="15"/>
      <c r="B231" s="15"/>
      <c r="C231" s="15"/>
      <c r="D231" s="15"/>
      <c r="E231" s="15"/>
      <c r="F231" s="15"/>
      <c r="G231" s="6"/>
      <c r="H231" s="15"/>
      <c r="I231" s="15"/>
      <c r="J231" s="15"/>
      <c r="K231" s="15"/>
      <c r="L231" s="15"/>
      <c r="M231" s="15"/>
      <c r="N231" s="15"/>
      <c r="O231" s="15"/>
      <c r="P231" s="15"/>
      <c r="Q231" s="21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</row>
    <row r="232" spans="1:48" x14ac:dyDescent="0.25">
      <c r="A232" s="15"/>
      <c r="B232" s="15"/>
      <c r="C232" s="15"/>
      <c r="D232" s="15"/>
      <c r="E232" s="15"/>
      <c r="F232" s="15"/>
      <c r="G232" s="6"/>
      <c r="H232" s="15"/>
      <c r="I232" s="15"/>
      <c r="J232" s="15"/>
      <c r="K232" s="15"/>
      <c r="L232" s="15"/>
      <c r="M232" s="15"/>
      <c r="N232" s="15"/>
      <c r="O232" s="15"/>
      <c r="P232" s="15"/>
      <c r="Q232" s="21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</row>
    <row r="233" spans="1:48" x14ac:dyDescent="0.25">
      <c r="A233" s="15"/>
      <c r="B233" s="15"/>
      <c r="C233" s="15"/>
      <c r="D233" s="15"/>
      <c r="E233" s="15"/>
      <c r="F233" s="15"/>
      <c r="G233" s="6"/>
      <c r="H233" s="15"/>
      <c r="I233" s="15"/>
      <c r="J233" s="15"/>
      <c r="K233" s="15"/>
      <c r="L233" s="15"/>
      <c r="M233" s="15"/>
      <c r="N233" s="15"/>
      <c r="O233" s="15"/>
      <c r="P233" s="15"/>
      <c r="Q233" s="21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</row>
    <row r="234" spans="1:48" x14ac:dyDescent="0.25">
      <c r="A234" s="15"/>
      <c r="B234" s="15"/>
      <c r="C234" s="15"/>
      <c r="D234" s="15"/>
      <c r="E234" s="15"/>
      <c r="F234" s="15"/>
      <c r="G234" s="6"/>
      <c r="H234" s="15"/>
      <c r="I234" s="15"/>
      <c r="J234" s="15"/>
      <c r="K234" s="15"/>
      <c r="L234" s="15"/>
      <c r="M234" s="15"/>
      <c r="N234" s="15"/>
      <c r="O234" s="15"/>
      <c r="P234" s="15"/>
      <c r="Q234" s="21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</row>
    <row r="235" spans="1:48" x14ac:dyDescent="0.25">
      <c r="A235" s="15"/>
      <c r="B235" s="15"/>
      <c r="C235" s="15"/>
      <c r="D235" s="15"/>
      <c r="E235" s="15"/>
      <c r="F235" s="15"/>
      <c r="G235" s="6"/>
      <c r="H235" s="15"/>
      <c r="I235" s="15"/>
      <c r="J235" s="15"/>
      <c r="K235" s="15"/>
      <c r="L235" s="15"/>
      <c r="M235" s="15"/>
      <c r="N235" s="15"/>
      <c r="O235" s="15"/>
      <c r="P235" s="15"/>
      <c r="Q235" s="21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</row>
    <row r="236" spans="1:48" x14ac:dyDescent="0.25">
      <c r="A236" s="15"/>
      <c r="B236" s="15"/>
      <c r="C236" s="15"/>
      <c r="D236" s="15"/>
      <c r="E236" s="15"/>
      <c r="F236" s="15"/>
      <c r="G236" s="6"/>
      <c r="H236" s="15"/>
      <c r="I236" s="15"/>
      <c r="J236" s="15"/>
      <c r="K236" s="15"/>
      <c r="L236" s="15"/>
      <c r="M236" s="15"/>
      <c r="N236" s="15"/>
      <c r="O236" s="15"/>
      <c r="P236" s="15"/>
      <c r="Q236" s="21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</row>
    <row r="237" spans="1:48" x14ac:dyDescent="0.25">
      <c r="A237" s="15"/>
      <c r="B237" s="15"/>
      <c r="C237" s="15"/>
      <c r="D237" s="15"/>
      <c r="E237" s="15"/>
      <c r="F237" s="15"/>
      <c r="G237" s="6"/>
      <c r="H237" s="15"/>
      <c r="I237" s="15"/>
      <c r="J237" s="15"/>
      <c r="K237" s="15"/>
      <c r="L237" s="15"/>
      <c r="M237" s="15"/>
      <c r="N237" s="15"/>
      <c r="O237" s="15"/>
      <c r="P237" s="15"/>
      <c r="Q237" s="21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</row>
    <row r="238" spans="1:48" x14ac:dyDescent="0.25">
      <c r="A238" s="15"/>
      <c r="B238" s="15"/>
      <c r="C238" s="15"/>
      <c r="D238" s="15"/>
      <c r="E238" s="15"/>
      <c r="F238" s="15"/>
      <c r="G238" s="6"/>
      <c r="H238" s="15"/>
      <c r="I238" s="15"/>
      <c r="J238" s="15"/>
      <c r="K238" s="15"/>
      <c r="L238" s="15"/>
      <c r="M238" s="15"/>
      <c r="N238" s="15"/>
      <c r="O238" s="15"/>
      <c r="P238" s="15"/>
      <c r="Q238" s="21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</row>
    <row r="239" spans="1:48" x14ac:dyDescent="0.25">
      <c r="A239" s="15"/>
      <c r="B239" s="15"/>
      <c r="C239" s="15"/>
      <c r="D239" s="15"/>
      <c r="E239" s="15"/>
      <c r="F239" s="15"/>
      <c r="G239" s="6"/>
      <c r="H239" s="15"/>
      <c r="I239" s="15"/>
      <c r="J239" s="15"/>
      <c r="K239" s="15"/>
      <c r="L239" s="15"/>
      <c r="M239" s="15"/>
      <c r="N239" s="15"/>
      <c r="O239" s="15"/>
      <c r="P239" s="15"/>
      <c r="Q239" s="21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</row>
    <row r="240" spans="1:48" x14ac:dyDescent="0.25">
      <c r="A240" s="15"/>
      <c r="B240" s="15"/>
      <c r="C240" s="15"/>
      <c r="D240" s="15"/>
      <c r="E240" s="15"/>
      <c r="F240" s="15"/>
      <c r="G240" s="6"/>
      <c r="H240" s="15"/>
      <c r="I240" s="15"/>
      <c r="J240" s="15"/>
      <c r="K240" s="15"/>
      <c r="L240" s="15"/>
      <c r="M240" s="15"/>
      <c r="N240" s="15"/>
      <c r="O240" s="15"/>
      <c r="P240" s="15"/>
      <c r="Q240" s="21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</row>
    <row r="241" spans="1:48" x14ac:dyDescent="0.25">
      <c r="A241" s="15"/>
      <c r="B241" s="15"/>
      <c r="C241" s="15"/>
      <c r="D241" s="15"/>
      <c r="E241" s="15"/>
      <c r="F241" s="15"/>
      <c r="G241" s="6"/>
      <c r="H241" s="15"/>
      <c r="I241" s="15"/>
      <c r="J241" s="15"/>
      <c r="K241" s="15"/>
      <c r="L241" s="15"/>
      <c r="M241" s="15"/>
      <c r="N241" s="15"/>
      <c r="O241" s="15"/>
      <c r="P241" s="15"/>
      <c r="Q241" s="21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</row>
    <row r="242" spans="1:48" x14ac:dyDescent="0.25">
      <c r="A242" s="15"/>
      <c r="B242" s="15"/>
      <c r="C242" s="15"/>
      <c r="D242" s="15"/>
      <c r="E242" s="15"/>
      <c r="F242" s="15"/>
      <c r="G242" s="6"/>
      <c r="H242" s="15"/>
      <c r="I242" s="15"/>
      <c r="J242" s="15"/>
      <c r="K242" s="15"/>
      <c r="L242" s="15"/>
      <c r="M242" s="15"/>
      <c r="N242" s="15"/>
      <c r="O242" s="15"/>
      <c r="P242" s="15"/>
      <c r="Q242" s="21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</row>
    <row r="243" spans="1:48" x14ac:dyDescent="0.25">
      <c r="A243" s="15"/>
      <c r="B243" s="15"/>
      <c r="C243" s="15"/>
      <c r="D243" s="15"/>
      <c r="E243" s="15"/>
      <c r="F243" s="15"/>
      <c r="G243" s="6"/>
      <c r="H243" s="15"/>
      <c r="I243" s="15"/>
      <c r="J243" s="15"/>
      <c r="K243" s="15"/>
      <c r="L243" s="15"/>
      <c r="M243" s="15"/>
      <c r="N243" s="15"/>
      <c r="O243" s="15"/>
      <c r="P243" s="15"/>
      <c r="Q243" s="21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</row>
    <row r="244" spans="1:48" x14ac:dyDescent="0.25">
      <c r="A244" s="15"/>
      <c r="B244" s="15"/>
      <c r="C244" s="15"/>
      <c r="D244" s="15"/>
      <c r="E244" s="15"/>
      <c r="F244" s="15"/>
      <c r="G244" s="6"/>
      <c r="H244" s="15"/>
      <c r="I244" s="15"/>
      <c r="J244" s="15"/>
      <c r="K244" s="15"/>
      <c r="L244" s="15"/>
      <c r="M244" s="15"/>
      <c r="N244" s="15"/>
      <c r="O244" s="15"/>
      <c r="P244" s="15"/>
      <c r="Q244" s="21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</row>
    <row r="245" spans="1:48" x14ac:dyDescent="0.25">
      <c r="A245" s="15"/>
      <c r="B245" s="15"/>
      <c r="C245" s="15"/>
      <c r="D245" s="15"/>
      <c r="E245" s="15"/>
      <c r="F245" s="15"/>
      <c r="G245" s="6"/>
      <c r="H245" s="15"/>
      <c r="I245" s="15"/>
      <c r="J245" s="15"/>
      <c r="K245" s="15"/>
      <c r="L245" s="15"/>
      <c r="M245" s="15"/>
      <c r="N245" s="15"/>
      <c r="O245" s="15"/>
      <c r="P245" s="15"/>
      <c r="Q245" s="21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</row>
    <row r="246" spans="1:48" x14ac:dyDescent="0.25">
      <c r="A246" s="15"/>
      <c r="B246" s="15"/>
      <c r="C246" s="15"/>
      <c r="D246" s="15"/>
      <c r="E246" s="15"/>
      <c r="F246" s="15"/>
      <c r="G246" s="6"/>
      <c r="H246" s="15"/>
      <c r="I246" s="15"/>
      <c r="J246" s="15"/>
      <c r="K246" s="15"/>
      <c r="L246" s="15"/>
      <c r="M246" s="15"/>
      <c r="N246" s="15"/>
      <c r="O246" s="15"/>
      <c r="P246" s="15"/>
      <c r="Q246" s="21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</row>
    <row r="247" spans="1:48" x14ac:dyDescent="0.25">
      <c r="A247" s="15"/>
      <c r="B247" s="15"/>
      <c r="C247" s="15"/>
      <c r="D247" s="15"/>
      <c r="E247" s="15"/>
      <c r="F247" s="15"/>
      <c r="G247" s="6"/>
      <c r="H247" s="15"/>
      <c r="I247" s="15"/>
      <c r="J247" s="15"/>
      <c r="K247" s="15"/>
      <c r="L247" s="15"/>
      <c r="M247" s="15"/>
      <c r="N247" s="15"/>
      <c r="O247" s="15"/>
      <c r="P247" s="15"/>
      <c r="Q247" s="21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</row>
    <row r="248" spans="1:48" x14ac:dyDescent="0.25">
      <c r="A248" s="15"/>
      <c r="B248" s="15"/>
      <c r="C248" s="15"/>
      <c r="D248" s="15"/>
      <c r="E248" s="15"/>
      <c r="F248" s="15"/>
      <c r="G248" s="6"/>
      <c r="H248" s="15"/>
      <c r="I248" s="15"/>
      <c r="J248" s="15"/>
      <c r="K248" s="15"/>
      <c r="L248" s="15"/>
      <c r="M248" s="15"/>
      <c r="N248" s="15"/>
      <c r="O248" s="15"/>
      <c r="P248" s="15"/>
      <c r="Q248" s="21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</row>
    <row r="249" spans="1:48" x14ac:dyDescent="0.25">
      <c r="A249" s="15"/>
      <c r="B249" s="15"/>
      <c r="C249" s="15"/>
      <c r="D249" s="15"/>
      <c r="E249" s="15"/>
      <c r="F249" s="15"/>
      <c r="G249" s="6"/>
      <c r="H249" s="15"/>
      <c r="I249" s="15"/>
      <c r="J249" s="15"/>
      <c r="K249" s="15"/>
      <c r="L249" s="15"/>
      <c r="M249" s="15"/>
      <c r="N249" s="15"/>
      <c r="O249" s="15"/>
      <c r="P249" s="15"/>
      <c r="Q249" s="21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</row>
    <row r="250" spans="1:48" x14ac:dyDescent="0.25">
      <c r="A250" s="15"/>
      <c r="B250" s="15"/>
      <c r="C250" s="15"/>
      <c r="D250" s="15"/>
      <c r="E250" s="15"/>
      <c r="F250" s="15"/>
      <c r="G250" s="6"/>
      <c r="H250" s="15"/>
      <c r="I250" s="15"/>
      <c r="J250" s="15"/>
      <c r="K250" s="15"/>
      <c r="L250" s="15"/>
      <c r="M250" s="15"/>
      <c r="N250" s="15"/>
      <c r="O250" s="15"/>
      <c r="P250" s="15"/>
      <c r="Q250" s="21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</row>
    <row r="251" spans="1:48" x14ac:dyDescent="0.25">
      <c r="A251" s="15"/>
      <c r="B251" s="15"/>
      <c r="C251" s="15"/>
      <c r="D251" s="15"/>
      <c r="E251" s="15"/>
      <c r="F251" s="15"/>
      <c r="G251" s="6"/>
      <c r="H251" s="15"/>
      <c r="I251" s="15"/>
      <c r="J251" s="15"/>
      <c r="K251" s="15"/>
      <c r="L251" s="15"/>
      <c r="M251" s="15"/>
      <c r="N251" s="15"/>
      <c r="O251" s="15"/>
      <c r="P251" s="15"/>
      <c r="Q251" s="21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</row>
    <row r="252" spans="1:48" x14ac:dyDescent="0.25">
      <c r="A252" s="15"/>
      <c r="B252" s="15"/>
      <c r="C252" s="15"/>
      <c r="D252" s="15"/>
      <c r="E252" s="15"/>
      <c r="F252" s="15"/>
      <c r="G252" s="6"/>
      <c r="H252" s="15"/>
      <c r="I252" s="15"/>
      <c r="J252" s="15"/>
      <c r="K252" s="15"/>
      <c r="L252" s="15"/>
      <c r="M252" s="15"/>
      <c r="N252" s="15"/>
      <c r="O252" s="15"/>
      <c r="P252" s="15"/>
      <c r="Q252" s="21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</row>
    <row r="253" spans="1:48" x14ac:dyDescent="0.25">
      <c r="A253" s="15"/>
      <c r="B253" s="15"/>
      <c r="C253" s="15"/>
      <c r="D253" s="15"/>
      <c r="E253" s="15"/>
      <c r="F253" s="15"/>
      <c r="G253" s="6"/>
      <c r="H253" s="15"/>
      <c r="I253" s="15"/>
      <c r="J253" s="15"/>
      <c r="K253" s="15"/>
      <c r="L253" s="15"/>
      <c r="M253" s="15"/>
      <c r="N253" s="15"/>
      <c r="O253" s="15"/>
      <c r="P253" s="15"/>
      <c r="Q253" s="21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</row>
    <row r="254" spans="1:48" x14ac:dyDescent="0.25">
      <c r="A254" s="15"/>
      <c r="B254" s="15"/>
      <c r="C254" s="15"/>
      <c r="D254" s="15"/>
      <c r="E254" s="15"/>
      <c r="F254" s="15"/>
      <c r="G254" s="6"/>
      <c r="H254" s="15"/>
      <c r="I254" s="15"/>
      <c r="J254" s="15"/>
      <c r="K254" s="15"/>
      <c r="L254" s="15"/>
      <c r="M254" s="15"/>
      <c r="N254" s="15"/>
      <c r="O254" s="15"/>
      <c r="P254" s="15"/>
      <c r="Q254" s="21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</row>
    <row r="255" spans="1:48" x14ac:dyDescent="0.25">
      <c r="A255" s="15"/>
      <c r="B255" s="15"/>
      <c r="C255" s="15"/>
      <c r="D255" s="15"/>
      <c r="E255" s="15"/>
      <c r="F255" s="15"/>
      <c r="G255" s="6"/>
      <c r="H255" s="15"/>
      <c r="I255" s="15"/>
      <c r="J255" s="15"/>
      <c r="K255" s="15"/>
      <c r="L255" s="15"/>
      <c r="M255" s="15"/>
      <c r="N255" s="15"/>
      <c r="O255" s="15"/>
      <c r="P255" s="15"/>
      <c r="Q255" s="21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</row>
    <row r="256" spans="1:48" x14ac:dyDescent="0.25">
      <c r="A256" s="15"/>
      <c r="B256" s="15"/>
      <c r="C256" s="15"/>
      <c r="D256" s="15"/>
      <c r="E256" s="15"/>
      <c r="F256" s="15"/>
      <c r="G256" s="6"/>
      <c r="H256" s="15"/>
      <c r="I256" s="15"/>
      <c r="J256" s="15"/>
      <c r="K256" s="15"/>
      <c r="L256" s="15"/>
      <c r="M256" s="15"/>
      <c r="N256" s="15"/>
      <c r="O256" s="15"/>
      <c r="P256" s="15"/>
      <c r="Q256" s="21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</row>
    <row r="257" spans="1:48" x14ac:dyDescent="0.25">
      <c r="A257" s="15"/>
      <c r="B257" s="15"/>
      <c r="C257" s="15"/>
      <c r="D257" s="15"/>
      <c r="E257" s="15"/>
      <c r="F257" s="15"/>
      <c r="G257" s="6"/>
      <c r="H257" s="15"/>
      <c r="I257" s="15"/>
      <c r="J257" s="15"/>
      <c r="K257" s="15"/>
      <c r="L257" s="15"/>
      <c r="M257" s="15"/>
      <c r="N257" s="15"/>
      <c r="O257" s="15"/>
      <c r="P257" s="15"/>
      <c r="Q257" s="21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</row>
    <row r="258" spans="1:48" x14ac:dyDescent="0.25">
      <c r="A258" s="15"/>
      <c r="B258" s="15"/>
      <c r="C258" s="15"/>
      <c r="D258" s="15"/>
      <c r="E258" s="15"/>
      <c r="F258" s="15"/>
      <c r="G258" s="6"/>
      <c r="H258" s="15"/>
      <c r="I258" s="15"/>
      <c r="J258" s="15"/>
      <c r="K258" s="15"/>
      <c r="L258" s="15"/>
      <c r="M258" s="15"/>
      <c r="N258" s="15"/>
      <c r="O258" s="15"/>
      <c r="P258" s="15"/>
      <c r="Q258" s="21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</row>
    <row r="259" spans="1:48" x14ac:dyDescent="0.25">
      <c r="A259" s="15"/>
      <c r="B259" s="15"/>
      <c r="C259" s="15"/>
      <c r="D259" s="15"/>
      <c r="E259" s="15"/>
      <c r="F259" s="15"/>
      <c r="G259" s="6"/>
      <c r="H259" s="15"/>
      <c r="I259" s="15"/>
      <c r="J259" s="15"/>
      <c r="K259" s="15"/>
      <c r="L259" s="15"/>
      <c r="M259" s="15"/>
      <c r="N259" s="15"/>
      <c r="O259" s="15"/>
      <c r="P259" s="15"/>
      <c r="Q259" s="21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</row>
    <row r="260" spans="1:48" x14ac:dyDescent="0.25">
      <c r="A260" s="15"/>
      <c r="B260" s="15"/>
      <c r="C260" s="15"/>
      <c r="D260" s="15"/>
      <c r="E260" s="15"/>
      <c r="F260" s="15"/>
      <c r="G260" s="6"/>
      <c r="H260" s="15"/>
      <c r="I260" s="15"/>
      <c r="J260" s="15"/>
      <c r="K260" s="15"/>
      <c r="L260" s="15"/>
      <c r="M260" s="15"/>
      <c r="N260" s="15"/>
      <c r="O260" s="15"/>
      <c r="P260" s="15"/>
      <c r="Q260" s="21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</row>
    <row r="261" spans="1:48" x14ac:dyDescent="0.25">
      <c r="A261" s="15"/>
      <c r="B261" s="15"/>
      <c r="C261" s="15"/>
      <c r="D261" s="15"/>
      <c r="E261" s="15"/>
      <c r="F261" s="15"/>
      <c r="G261" s="6"/>
      <c r="H261" s="15"/>
      <c r="I261" s="15"/>
      <c r="J261" s="15"/>
      <c r="K261" s="15"/>
      <c r="L261" s="15"/>
      <c r="M261" s="15"/>
      <c r="N261" s="15"/>
      <c r="O261" s="15"/>
      <c r="P261" s="15"/>
      <c r="Q261" s="21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</row>
    <row r="262" spans="1:48" x14ac:dyDescent="0.25">
      <c r="A262" s="15"/>
      <c r="B262" s="15"/>
      <c r="C262" s="15"/>
      <c r="D262" s="15"/>
      <c r="E262" s="15"/>
      <c r="F262" s="15"/>
      <c r="G262" s="6"/>
      <c r="H262" s="15"/>
      <c r="I262" s="15"/>
      <c r="J262" s="15"/>
      <c r="K262" s="15"/>
      <c r="L262" s="15"/>
      <c r="M262" s="15"/>
      <c r="N262" s="15"/>
      <c r="O262" s="15"/>
      <c r="P262" s="15"/>
      <c r="Q262" s="21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</row>
    <row r="263" spans="1:48" x14ac:dyDescent="0.25">
      <c r="A263" s="15"/>
      <c r="B263" s="15"/>
      <c r="C263" s="15"/>
      <c r="D263" s="15"/>
      <c r="E263" s="15"/>
      <c r="F263" s="15"/>
      <c r="G263" s="6"/>
      <c r="H263" s="15"/>
      <c r="I263" s="15"/>
      <c r="J263" s="15"/>
      <c r="K263" s="15"/>
      <c r="L263" s="15"/>
      <c r="M263" s="15"/>
      <c r="N263" s="15"/>
      <c r="O263" s="15"/>
      <c r="P263" s="15"/>
      <c r="Q263" s="21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</row>
    <row r="264" spans="1:48" x14ac:dyDescent="0.25">
      <c r="A264" s="15"/>
      <c r="B264" s="15"/>
      <c r="C264" s="15"/>
      <c r="D264" s="15"/>
      <c r="E264" s="15"/>
      <c r="F264" s="15"/>
      <c r="G264" s="6"/>
      <c r="H264" s="15"/>
      <c r="I264" s="15"/>
      <c r="J264" s="15"/>
      <c r="K264" s="15"/>
      <c r="L264" s="15"/>
      <c r="M264" s="15"/>
      <c r="N264" s="15"/>
      <c r="O264" s="15"/>
      <c r="P264" s="15"/>
      <c r="Q264" s="21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</row>
    <row r="265" spans="1:48" x14ac:dyDescent="0.25">
      <c r="A265" s="15"/>
      <c r="B265" s="15"/>
      <c r="C265" s="15"/>
      <c r="D265" s="15"/>
      <c r="E265" s="15"/>
      <c r="F265" s="15"/>
      <c r="G265" s="6"/>
      <c r="H265" s="15"/>
      <c r="I265" s="15"/>
      <c r="J265" s="15"/>
      <c r="K265" s="15"/>
      <c r="L265" s="15"/>
      <c r="M265" s="15"/>
      <c r="N265" s="15"/>
      <c r="O265" s="15"/>
      <c r="P265" s="15"/>
      <c r="Q265" s="21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</row>
    <row r="266" spans="1:48" x14ac:dyDescent="0.25">
      <c r="A266" s="15"/>
      <c r="B266" s="15"/>
      <c r="C266" s="15"/>
      <c r="D266" s="15"/>
      <c r="E266" s="15"/>
      <c r="F266" s="15"/>
      <c r="G266" s="6"/>
      <c r="H266" s="15"/>
      <c r="I266" s="15"/>
      <c r="J266" s="15"/>
      <c r="K266" s="15"/>
      <c r="L266" s="15"/>
      <c r="M266" s="15"/>
      <c r="N266" s="15"/>
      <c r="O266" s="15"/>
      <c r="P266" s="15"/>
      <c r="Q266" s="21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</row>
    <row r="267" spans="1:48" x14ac:dyDescent="0.25">
      <c r="A267" s="15"/>
      <c r="B267" s="15"/>
      <c r="C267" s="15"/>
      <c r="D267" s="15"/>
      <c r="E267" s="15"/>
      <c r="F267" s="15"/>
      <c r="G267" s="6"/>
      <c r="H267" s="15"/>
      <c r="I267" s="15"/>
      <c r="J267" s="15"/>
      <c r="K267" s="15"/>
      <c r="L267" s="15"/>
      <c r="M267" s="15"/>
      <c r="N267" s="15"/>
      <c r="O267" s="15"/>
      <c r="P267" s="15"/>
      <c r="Q267" s="21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</row>
    <row r="268" spans="1:48" x14ac:dyDescent="0.25">
      <c r="A268" s="15"/>
      <c r="B268" s="15"/>
      <c r="C268" s="15"/>
      <c r="D268" s="15"/>
      <c r="E268" s="15"/>
      <c r="F268" s="15"/>
      <c r="G268" s="6"/>
      <c r="H268" s="15"/>
      <c r="I268" s="15"/>
      <c r="J268" s="15"/>
      <c r="K268" s="15"/>
      <c r="L268" s="15"/>
      <c r="M268" s="15"/>
      <c r="N268" s="15"/>
      <c r="O268" s="15"/>
      <c r="P268" s="15"/>
      <c r="Q268" s="21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</row>
    <row r="269" spans="1:48" x14ac:dyDescent="0.25">
      <c r="A269" s="15"/>
      <c r="B269" s="15"/>
      <c r="C269" s="15"/>
      <c r="D269" s="15"/>
      <c r="E269" s="15"/>
      <c r="F269" s="15"/>
      <c r="G269" s="6"/>
      <c r="H269" s="15"/>
      <c r="I269" s="15"/>
      <c r="J269" s="15"/>
      <c r="K269" s="15"/>
      <c r="L269" s="15"/>
      <c r="M269" s="15"/>
      <c r="N269" s="15"/>
      <c r="O269" s="15"/>
      <c r="P269" s="15"/>
      <c r="Q269" s="21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</row>
    <row r="270" spans="1:48" x14ac:dyDescent="0.25">
      <c r="A270" s="15"/>
      <c r="B270" s="15"/>
      <c r="C270" s="15"/>
      <c r="D270" s="15"/>
      <c r="E270" s="15"/>
      <c r="F270" s="15"/>
      <c r="G270" s="6"/>
      <c r="H270" s="15"/>
      <c r="I270" s="15"/>
      <c r="J270" s="15"/>
      <c r="K270" s="15"/>
      <c r="L270" s="15"/>
      <c r="M270" s="15"/>
      <c r="N270" s="15"/>
      <c r="O270" s="15"/>
      <c r="P270" s="15"/>
      <c r="Q270" s="21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</row>
    <row r="271" spans="1:48" x14ac:dyDescent="0.25">
      <c r="A271" s="15"/>
      <c r="B271" s="15"/>
      <c r="C271" s="15"/>
      <c r="D271" s="15"/>
      <c r="E271" s="15"/>
      <c r="F271" s="15"/>
      <c r="G271" s="6"/>
      <c r="H271" s="15"/>
      <c r="I271" s="15"/>
      <c r="J271" s="15"/>
      <c r="K271" s="15"/>
      <c r="L271" s="15"/>
      <c r="M271" s="15"/>
      <c r="N271" s="15"/>
      <c r="O271" s="15"/>
      <c r="P271" s="15"/>
      <c r="Q271" s="21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</row>
    <row r="272" spans="1:48" x14ac:dyDescent="0.25">
      <c r="A272" s="15"/>
      <c r="B272" s="15"/>
      <c r="C272" s="15"/>
      <c r="D272" s="15"/>
      <c r="E272" s="15"/>
      <c r="F272" s="15"/>
      <c r="G272" s="6"/>
      <c r="H272" s="15"/>
      <c r="I272" s="15"/>
      <c r="J272" s="15"/>
      <c r="K272" s="15"/>
      <c r="L272" s="15"/>
      <c r="M272" s="15"/>
      <c r="N272" s="15"/>
      <c r="O272" s="15"/>
      <c r="P272" s="15"/>
      <c r="Q272" s="21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</row>
    <row r="273" spans="1:48" x14ac:dyDescent="0.25">
      <c r="A273" s="15"/>
      <c r="B273" s="15"/>
      <c r="C273" s="15"/>
      <c r="D273" s="15"/>
      <c r="E273" s="15"/>
      <c r="F273" s="15"/>
      <c r="G273" s="6"/>
      <c r="H273" s="15"/>
      <c r="I273" s="15"/>
      <c r="J273" s="15"/>
      <c r="K273" s="15"/>
      <c r="L273" s="15"/>
      <c r="M273" s="15"/>
      <c r="N273" s="15"/>
      <c r="O273" s="15"/>
      <c r="P273" s="15"/>
      <c r="Q273" s="21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</row>
    <row r="274" spans="1:48" x14ac:dyDescent="0.25">
      <c r="A274" s="15"/>
      <c r="B274" s="15"/>
      <c r="C274" s="15"/>
      <c r="D274" s="15"/>
      <c r="E274" s="15"/>
      <c r="F274" s="15"/>
      <c r="G274" s="6"/>
      <c r="H274" s="15"/>
      <c r="I274" s="15"/>
      <c r="J274" s="15"/>
      <c r="K274" s="15"/>
      <c r="L274" s="15"/>
      <c r="M274" s="15"/>
      <c r="N274" s="15"/>
      <c r="O274" s="15"/>
      <c r="P274" s="15"/>
      <c r="Q274" s="21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</row>
    <row r="275" spans="1:48" x14ac:dyDescent="0.25">
      <c r="A275" s="15"/>
      <c r="B275" s="15"/>
      <c r="C275" s="15"/>
      <c r="D275" s="15"/>
      <c r="E275" s="15"/>
      <c r="F275" s="15"/>
      <c r="G275" s="6"/>
      <c r="H275" s="15"/>
      <c r="I275" s="15"/>
      <c r="J275" s="15"/>
      <c r="K275" s="15"/>
      <c r="L275" s="15"/>
      <c r="M275" s="15"/>
      <c r="N275" s="15"/>
      <c r="O275" s="15"/>
      <c r="P275" s="15"/>
      <c r="Q275" s="21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</row>
    <row r="276" spans="1:48" x14ac:dyDescent="0.25">
      <c r="A276" s="15"/>
      <c r="B276" s="15"/>
      <c r="C276" s="15"/>
      <c r="D276" s="15"/>
      <c r="E276" s="15"/>
      <c r="F276" s="15"/>
      <c r="G276" s="6"/>
      <c r="H276" s="15"/>
      <c r="I276" s="15"/>
      <c r="J276" s="15"/>
      <c r="K276" s="15"/>
      <c r="L276" s="15"/>
      <c r="M276" s="15"/>
      <c r="N276" s="15"/>
      <c r="O276" s="15"/>
      <c r="P276" s="15"/>
      <c r="Q276" s="21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</row>
    <row r="277" spans="1:48" x14ac:dyDescent="0.25">
      <c r="A277" s="15"/>
      <c r="B277" s="15"/>
      <c r="C277" s="15"/>
      <c r="D277" s="15"/>
      <c r="E277" s="15"/>
      <c r="F277" s="15"/>
      <c r="G277" s="6"/>
      <c r="H277" s="15"/>
      <c r="I277" s="15"/>
      <c r="J277" s="15"/>
      <c r="K277" s="15"/>
      <c r="L277" s="15"/>
      <c r="M277" s="15"/>
      <c r="N277" s="15"/>
      <c r="O277" s="15"/>
      <c r="P277" s="15"/>
      <c r="Q277" s="21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</row>
    <row r="278" spans="1:48" x14ac:dyDescent="0.25">
      <c r="A278" s="15"/>
      <c r="B278" s="15"/>
      <c r="C278" s="15"/>
      <c r="D278" s="15"/>
      <c r="E278" s="15"/>
      <c r="F278" s="15"/>
      <c r="G278" s="6"/>
      <c r="H278" s="15"/>
      <c r="I278" s="15"/>
      <c r="J278" s="15"/>
      <c r="K278" s="15"/>
      <c r="L278" s="15"/>
      <c r="M278" s="15"/>
      <c r="N278" s="15"/>
      <c r="O278" s="15"/>
      <c r="P278" s="15"/>
      <c r="Q278" s="21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</row>
    <row r="279" spans="1:48" x14ac:dyDescent="0.25">
      <c r="A279" s="15"/>
      <c r="B279" s="15"/>
      <c r="C279" s="15"/>
      <c r="D279" s="15"/>
      <c r="E279" s="15"/>
      <c r="F279" s="15"/>
      <c r="G279" s="6"/>
      <c r="H279" s="15"/>
      <c r="I279" s="15"/>
      <c r="J279" s="15"/>
      <c r="K279" s="15"/>
      <c r="L279" s="15"/>
      <c r="M279" s="15"/>
      <c r="N279" s="15"/>
      <c r="O279" s="15"/>
      <c r="P279" s="15"/>
      <c r="Q279" s="21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</row>
    <row r="280" spans="1:48" x14ac:dyDescent="0.25">
      <c r="A280" s="15"/>
      <c r="B280" s="15"/>
      <c r="C280" s="15"/>
      <c r="D280" s="15"/>
      <c r="E280" s="15"/>
      <c r="F280" s="15"/>
      <c r="G280" s="6"/>
      <c r="H280" s="15"/>
      <c r="I280" s="15"/>
      <c r="J280" s="15"/>
      <c r="K280" s="15"/>
      <c r="L280" s="15"/>
      <c r="M280" s="15"/>
      <c r="N280" s="15"/>
      <c r="O280" s="15"/>
      <c r="P280" s="15"/>
      <c r="Q280" s="21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</row>
    <row r="281" spans="1:48" x14ac:dyDescent="0.25">
      <c r="A281" s="15"/>
      <c r="B281" s="15"/>
      <c r="C281" s="15"/>
      <c r="D281" s="15"/>
      <c r="E281" s="15"/>
      <c r="F281" s="15"/>
      <c r="G281" s="6"/>
      <c r="H281" s="15"/>
      <c r="I281" s="15"/>
      <c r="J281" s="15"/>
      <c r="K281" s="15"/>
      <c r="L281" s="15"/>
      <c r="M281" s="15"/>
      <c r="N281" s="15"/>
      <c r="O281" s="15"/>
      <c r="P281" s="15"/>
      <c r="Q281" s="21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</row>
    <row r="282" spans="1:48" x14ac:dyDescent="0.25">
      <c r="A282" s="15"/>
      <c r="B282" s="15"/>
      <c r="C282" s="15"/>
      <c r="D282" s="15"/>
      <c r="E282" s="15"/>
      <c r="F282" s="15"/>
      <c r="G282" s="6"/>
      <c r="H282" s="15"/>
      <c r="I282" s="15"/>
      <c r="J282" s="15"/>
      <c r="K282" s="15"/>
      <c r="L282" s="15"/>
      <c r="M282" s="15"/>
      <c r="N282" s="15"/>
      <c r="O282" s="15"/>
      <c r="P282" s="15"/>
      <c r="Q282" s="21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</row>
    <row r="283" spans="1:48" x14ac:dyDescent="0.25">
      <c r="A283" s="15"/>
      <c r="B283" s="15"/>
      <c r="C283" s="15"/>
      <c r="D283" s="15"/>
      <c r="E283" s="15"/>
      <c r="F283" s="15"/>
      <c r="G283" s="6"/>
      <c r="H283" s="15"/>
      <c r="I283" s="15"/>
      <c r="J283" s="15"/>
      <c r="K283" s="15"/>
      <c r="L283" s="15"/>
      <c r="M283" s="15"/>
      <c r="N283" s="15"/>
      <c r="O283" s="15"/>
      <c r="P283" s="15"/>
      <c r="Q283" s="21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</row>
    <row r="284" spans="1:48" x14ac:dyDescent="0.25">
      <c r="A284" s="15"/>
      <c r="B284" s="15"/>
      <c r="C284" s="15"/>
      <c r="D284" s="15"/>
      <c r="E284" s="15"/>
      <c r="F284" s="15"/>
      <c r="G284" s="6"/>
      <c r="H284" s="15"/>
      <c r="I284" s="15"/>
      <c r="J284" s="15"/>
      <c r="K284" s="15"/>
      <c r="L284" s="15"/>
      <c r="M284" s="15"/>
      <c r="N284" s="15"/>
      <c r="O284" s="15"/>
      <c r="P284" s="15"/>
      <c r="Q284" s="21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</row>
    <row r="285" spans="1:48" x14ac:dyDescent="0.25">
      <c r="A285" s="15"/>
      <c r="B285" s="15"/>
      <c r="C285" s="15"/>
      <c r="D285" s="15"/>
      <c r="E285" s="15"/>
      <c r="F285" s="15"/>
      <c r="G285" s="6"/>
      <c r="H285" s="15"/>
      <c r="I285" s="15"/>
      <c r="J285" s="15"/>
      <c r="K285" s="15"/>
      <c r="L285" s="15"/>
      <c r="M285" s="15"/>
      <c r="N285" s="15"/>
      <c r="O285" s="15"/>
      <c r="P285" s="15"/>
      <c r="Q285" s="21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</row>
    <row r="286" spans="1:48" x14ac:dyDescent="0.25">
      <c r="A286" s="15"/>
      <c r="B286" s="15"/>
      <c r="C286" s="15"/>
      <c r="D286" s="15"/>
      <c r="E286" s="15"/>
      <c r="F286" s="15"/>
      <c r="G286" s="6"/>
      <c r="H286" s="15"/>
      <c r="I286" s="15"/>
      <c r="J286" s="15"/>
      <c r="K286" s="15"/>
      <c r="L286" s="15"/>
      <c r="M286" s="15"/>
      <c r="N286" s="15"/>
      <c r="O286" s="15"/>
      <c r="P286" s="15"/>
      <c r="Q286" s="21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</row>
    <row r="287" spans="1:48" x14ac:dyDescent="0.25">
      <c r="A287" s="15"/>
      <c r="B287" s="15"/>
      <c r="C287" s="15"/>
      <c r="D287" s="15"/>
      <c r="E287" s="15"/>
      <c r="F287" s="15"/>
      <c r="G287" s="6"/>
      <c r="H287" s="15"/>
      <c r="I287" s="15"/>
      <c r="J287" s="15"/>
      <c r="K287" s="15"/>
      <c r="L287" s="15"/>
      <c r="M287" s="15"/>
      <c r="N287" s="15"/>
      <c r="O287" s="15"/>
      <c r="P287" s="15"/>
      <c r="Q287" s="21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</row>
    <row r="288" spans="1:48" x14ac:dyDescent="0.25">
      <c r="A288" s="15"/>
      <c r="B288" s="15"/>
      <c r="C288" s="15"/>
      <c r="D288" s="15"/>
      <c r="E288" s="15"/>
      <c r="F288" s="15"/>
      <c r="G288" s="6"/>
      <c r="H288" s="15"/>
      <c r="I288" s="15"/>
      <c r="J288" s="15"/>
      <c r="K288" s="15"/>
      <c r="L288" s="15"/>
      <c r="M288" s="15"/>
      <c r="N288" s="15"/>
      <c r="O288" s="15"/>
      <c r="P288" s="15"/>
      <c r="Q288" s="21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</row>
    <row r="289" spans="1:48" x14ac:dyDescent="0.25">
      <c r="A289" s="15"/>
      <c r="B289" s="15"/>
      <c r="C289" s="15"/>
      <c r="D289" s="15"/>
      <c r="E289" s="15"/>
      <c r="F289" s="15"/>
      <c r="G289" s="6"/>
      <c r="H289" s="15"/>
      <c r="I289" s="15"/>
      <c r="J289" s="15"/>
      <c r="K289" s="15"/>
      <c r="L289" s="15"/>
      <c r="M289" s="15"/>
      <c r="N289" s="15"/>
      <c r="O289" s="15"/>
      <c r="P289" s="15"/>
      <c r="Q289" s="21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</row>
    <row r="290" spans="1:48" x14ac:dyDescent="0.25">
      <c r="A290" s="15"/>
      <c r="B290" s="15"/>
      <c r="C290" s="15"/>
      <c r="D290" s="15"/>
      <c r="E290" s="15"/>
      <c r="F290" s="15"/>
      <c r="G290" s="6"/>
      <c r="H290" s="15"/>
      <c r="I290" s="15"/>
      <c r="J290" s="15"/>
      <c r="K290" s="15"/>
      <c r="L290" s="15"/>
      <c r="M290" s="15"/>
      <c r="N290" s="15"/>
      <c r="O290" s="15"/>
      <c r="P290" s="15"/>
      <c r="Q290" s="21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</row>
    <row r="291" spans="1:48" x14ac:dyDescent="0.25">
      <c r="A291" s="15"/>
      <c r="B291" s="15"/>
      <c r="C291" s="15"/>
      <c r="D291" s="15"/>
      <c r="E291" s="15"/>
      <c r="F291" s="15"/>
      <c r="G291" s="6"/>
      <c r="H291" s="15"/>
      <c r="I291" s="15"/>
      <c r="J291" s="15"/>
      <c r="K291" s="15"/>
      <c r="L291" s="15"/>
      <c r="M291" s="15"/>
      <c r="N291" s="15"/>
      <c r="O291" s="15"/>
      <c r="P291" s="15"/>
      <c r="Q291" s="21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</row>
    <row r="292" spans="1:48" x14ac:dyDescent="0.25">
      <c r="A292" s="15"/>
      <c r="B292" s="15"/>
      <c r="C292" s="15"/>
      <c r="D292" s="15"/>
      <c r="E292" s="15"/>
      <c r="F292" s="15"/>
      <c r="G292" s="6"/>
      <c r="H292" s="15"/>
      <c r="I292" s="15"/>
      <c r="J292" s="15"/>
      <c r="K292" s="15"/>
      <c r="L292" s="15"/>
      <c r="M292" s="15"/>
      <c r="N292" s="15"/>
      <c r="O292" s="15"/>
      <c r="P292" s="15"/>
      <c r="Q292" s="21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</row>
    <row r="293" spans="1:48" x14ac:dyDescent="0.25">
      <c r="A293" s="15"/>
      <c r="B293" s="15"/>
      <c r="C293" s="15"/>
      <c r="D293" s="15"/>
      <c r="E293" s="15"/>
      <c r="F293" s="15"/>
      <c r="G293" s="6"/>
      <c r="H293" s="15"/>
      <c r="I293" s="15"/>
      <c r="J293" s="15"/>
      <c r="K293" s="15"/>
      <c r="L293" s="15"/>
      <c r="M293" s="15"/>
      <c r="N293" s="15"/>
      <c r="O293" s="15"/>
      <c r="P293" s="15"/>
      <c r="Q293" s="21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</row>
    <row r="294" spans="1:48" x14ac:dyDescent="0.25">
      <c r="A294" s="15"/>
      <c r="B294" s="15"/>
      <c r="C294" s="15"/>
      <c r="D294" s="15"/>
      <c r="E294" s="15"/>
      <c r="F294" s="15"/>
      <c r="G294" s="6"/>
      <c r="H294" s="15"/>
      <c r="I294" s="15"/>
      <c r="J294" s="15"/>
      <c r="K294" s="15"/>
      <c r="L294" s="15"/>
      <c r="M294" s="15"/>
      <c r="N294" s="15"/>
      <c r="O294" s="15"/>
      <c r="P294" s="15"/>
      <c r="Q294" s="21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</row>
    <row r="295" spans="1:48" x14ac:dyDescent="0.25">
      <c r="A295" s="15"/>
      <c r="B295" s="15"/>
      <c r="C295" s="15"/>
      <c r="D295" s="15"/>
      <c r="E295" s="15"/>
      <c r="F295" s="15"/>
      <c r="G295" s="6"/>
      <c r="H295" s="15"/>
      <c r="I295" s="15"/>
      <c r="J295" s="15"/>
      <c r="K295" s="15"/>
      <c r="L295" s="15"/>
      <c r="M295" s="15"/>
      <c r="N295" s="15"/>
      <c r="O295" s="15"/>
      <c r="P295" s="15"/>
      <c r="Q295" s="21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</row>
    <row r="296" spans="1:48" x14ac:dyDescent="0.25">
      <c r="A296" s="15"/>
      <c r="B296" s="15"/>
      <c r="C296" s="15"/>
      <c r="D296" s="15"/>
      <c r="E296" s="15"/>
      <c r="F296" s="15"/>
      <c r="G296" s="6"/>
      <c r="H296" s="15"/>
      <c r="I296" s="15"/>
      <c r="J296" s="15"/>
      <c r="K296" s="15"/>
      <c r="L296" s="15"/>
      <c r="M296" s="15"/>
      <c r="N296" s="15"/>
      <c r="O296" s="15"/>
      <c r="P296" s="15"/>
      <c r="Q296" s="21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</row>
    <row r="297" spans="1:48" x14ac:dyDescent="0.25">
      <c r="A297" s="15"/>
      <c r="B297" s="15"/>
      <c r="C297" s="15"/>
      <c r="D297" s="15"/>
      <c r="E297" s="15"/>
      <c r="F297" s="15"/>
      <c r="G297" s="6"/>
      <c r="H297" s="15"/>
      <c r="I297" s="15"/>
      <c r="J297" s="15"/>
      <c r="K297" s="15"/>
      <c r="L297" s="15"/>
      <c r="M297" s="15"/>
      <c r="N297" s="15"/>
      <c r="O297" s="15"/>
      <c r="P297" s="15"/>
      <c r="Q297" s="21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</row>
    <row r="298" spans="1:48" x14ac:dyDescent="0.25">
      <c r="A298" s="15"/>
      <c r="B298" s="15"/>
      <c r="C298" s="15"/>
      <c r="D298" s="15"/>
      <c r="E298" s="15"/>
      <c r="F298" s="15"/>
      <c r="G298" s="6"/>
      <c r="H298" s="15"/>
      <c r="I298" s="15"/>
      <c r="J298" s="15"/>
      <c r="K298" s="15"/>
      <c r="L298" s="15"/>
      <c r="M298" s="15"/>
      <c r="N298" s="15"/>
      <c r="O298" s="15"/>
      <c r="P298" s="15"/>
      <c r="Q298" s="21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</row>
    <row r="299" spans="1:48" x14ac:dyDescent="0.25">
      <c r="A299" s="15"/>
      <c r="B299" s="15"/>
      <c r="C299" s="15"/>
      <c r="D299" s="15"/>
      <c r="E299" s="15"/>
      <c r="F299" s="15"/>
      <c r="G299" s="6"/>
      <c r="H299" s="15"/>
      <c r="I299" s="15"/>
      <c r="J299" s="15"/>
      <c r="K299" s="15"/>
      <c r="L299" s="15"/>
      <c r="M299" s="15"/>
      <c r="N299" s="15"/>
      <c r="O299" s="15"/>
      <c r="P299" s="15"/>
      <c r="Q299" s="21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</row>
    <row r="300" spans="1:48" x14ac:dyDescent="0.25">
      <c r="A300" s="15"/>
      <c r="B300" s="15"/>
      <c r="C300" s="15"/>
      <c r="D300" s="15"/>
      <c r="E300" s="15"/>
      <c r="F300" s="15"/>
      <c r="G300" s="6"/>
      <c r="H300" s="15"/>
      <c r="I300" s="15"/>
      <c r="J300" s="15"/>
      <c r="K300" s="15"/>
      <c r="L300" s="15"/>
      <c r="M300" s="15"/>
      <c r="N300" s="15"/>
      <c r="O300" s="15"/>
      <c r="P300" s="15"/>
      <c r="Q300" s="21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</row>
    <row r="301" spans="1:48" x14ac:dyDescent="0.25">
      <c r="A301" s="15"/>
      <c r="B301" s="15"/>
      <c r="C301" s="15"/>
      <c r="D301" s="15"/>
      <c r="E301" s="15"/>
      <c r="F301" s="15"/>
      <c r="G301" s="6"/>
      <c r="H301" s="15"/>
      <c r="I301" s="15"/>
      <c r="J301" s="15"/>
      <c r="K301" s="15"/>
      <c r="L301" s="15"/>
      <c r="M301" s="15"/>
      <c r="N301" s="15"/>
      <c r="O301" s="15"/>
      <c r="P301" s="15"/>
      <c r="Q301" s="21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</row>
    <row r="302" spans="1:48" x14ac:dyDescent="0.25">
      <c r="A302" s="15"/>
      <c r="B302" s="15"/>
      <c r="C302" s="15"/>
      <c r="D302" s="15"/>
      <c r="E302" s="15"/>
      <c r="F302" s="15"/>
      <c r="G302" s="6"/>
      <c r="H302" s="15"/>
      <c r="I302" s="15"/>
      <c r="J302" s="15"/>
      <c r="K302" s="15"/>
      <c r="L302" s="15"/>
      <c r="M302" s="15"/>
      <c r="N302" s="15"/>
      <c r="O302" s="15"/>
      <c r="P302" s="15"/>
      <c r="Q302" s="21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</row>
    <row r="303" spans="1:48" x14ac:dyDescent="0.25">
      <c r="A303" s="15"/>
      <c r="B303" s="15"/>
      <c r="C303" s="15"/>
      <c r="D303" s="15"/>
      <c r="E303" s="15"/>
      <c r="F303" s="15"/>
      <c r="G303" s="6"/>
      <c r="H303" s="15"/>
      <c r="I303" s="15"/>
      <c r="J303" s="15"/>
      <c r="K303" s="15"/>
      <c r="L303" s="15"/>
      <c r="M303" s="15"/>
      <c r="N303" s="15"/>
      <c r="O303" s="15"/>
      <c r="P303" s="15"/>
      <c r="Q303" s="21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</row>
    <row r="304" spans="1:48" x14ac:dyDescent="0.25">
      <c r="A304" s="15"/>
      <c r="B304" s="15"/>
      <c r="C304" s="15"/>
      <c r="D304" s="15"/>
      <c r="E304" s="15"/>
      <c r="F304" s="15"/>
      <c r="G304" s="6"/>
      <c r="H304" s="15"/>
      <c r="I304" s="15"/>
      <c r="J304" s="15"/>
      <c r="K304" s="15"/>
      <c r="L304" s="15"/>
      <c r="M304" s="15"/>
      <c r="N304" s="15"/>
      <c r="O304" s="15"/>
      <c r="P304" s="15"/>
      <c r="Q304" s="21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</row>
    <row r="305" spans="1:48" x14ac:dyDescent="0.25">
      <c r="A305" s="15"/>
      <c r="B305" s="15"/>
      <c r="C305" s="15"/>
      <c r="D305" s="15"/>
      <c r="E305" s="15"/>
      <c r="F305" s="15"/>
      <c r="G305" s="6"/>
      <c r="H305" s="15"/>
      <c r="I305" s="15"/>
      <c r="J305" s="15"/>
      <c r="K305" s="15"/>
      <c r="L305" s="15"/>
      <c r="M305" s="15"/>
      <c r="N305" s="15"/>
      <c r="O305" s="15"/>
      <c r="P305" s="15"/>
      <c r="Q305" s="21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</row>
    <row r="306" spans="1:48" x14ac:dyDescent="0.25">
      <c r="A306" s="15"/>
      <c r="B306" s="15"/>
      <c r="C306" s="15"/>
      <c r="D306" s="15"/>
      <c r="E306" s="15"/>
      <c r="F306" s="15"/>
      <c r="G306" s="6"/>
      <c r="H306" s="15"/>
      <c r="I306" s="15"/>
      <c r="J306" s="15"/>
      <c r="K306" s="15"/>
      <c r="L306" s="15"/>
      <c r="M306" s="15"/>
      <c r="N306" s="15"/>
      <c r="O306" s="15"/>
      <c r="P306" s="15"/>
      <c r="Q306" s="21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</row>
    <row r="307" spans="1:48" x14ac:dyDescent="0.25">
      <c r="A307" s="15"/>
      <c r="B307" s="15"/>
      <c r="C307" s="15"/>
      <c r="D307" s="15"/>
      <c r="E307" s="15"/>
      <c r="F307" s="15"/>
      <c r="G307" s="6"/>
      <c r="H307" s="15"/>
      <c r="I307" s="15"/>
      <c r="J307" s="15"/>
      <c r="K307" s="15"/>
      <c r="L307" s="15"/>
      <c r="M307" s="15"/>
      <c r="N307" s="15"/>
      <c r="O307" s="15"/>
      <c r="P307" s="15"/>
      <c r="Q307" s="21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</row>
    <row r="308" spans="1:48" x14ac:dyDescent="0.25">
      <c r="A308" s="15"/>
      <c r="B308" s="15"/>
      <c r="C308" s="15"/>
      <c r="D308" s="15"/>
      <c r="E308" s="15"/>
      <c r="F308" s="15"/>
      <c r="G308" s="6"/>
      <c r="H308" s="15"/>
      <c r="I308" s="15"/>
      <c r="J308" s="15"/>
      <c r="K308" s="15"/>
      <c r="L308" s="15"/>
      <c r="M308" s="15"/>
      <c r="N308" s="15"/>
      <c r="O308" s="15"/>
      <c r="P308" s="15"/>
      <c r="Q308" s="21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</row>
    <row r="309" spans="1:48" x14ac:dyDescent="0.25">
      <c r="A309" s="15"/>
      <c r="B309" s="15"/>
      <c r="C309" s="15"/>
      <c r="D309" s="15"/>
      <c r="E309" s="15"/>
      <c r="F309" s="15"/>
      <c r="G309" s="6"/>
      <c r="H309" s="15"/>
      <c r="I309" s="15"/>
      <c r="J309" s="15"/>
      <c r="K309" s="15"/>
      <c r="L309" s="15"/>
      <c r="M309" s="15"/>
      <c r="N309" s="15"/>
      <c r="O309" s="15"/>
      <c r="P309" s="15"/>
      <c r="Q309" s="21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</row>
    <row r="310" spans="1:48" x14ac:dyDescent="0.25">
      <c r="A310" s="15"/>
      <c r="B310" s="15"/>
      <c r="C310" s="15"/>
      <c r="D310" s="15"/>
      <c r="E310" s="15"/>
      <c r="F310" s="15"/>
      <c r="G310" s="6"/>
      <c r="H310" s="15"/>
      <c r="I310" s="15"/>
      <c r="J310" s="15"/>
      <c r="K310" s="15"/>
      <c r="L310" s="15"/>
      <c r="M310" s="15"/>
      <c r="N310" s="15"/>
      <c r="O310" s="15"/>
      <c r="P310" s="15"/>
      <c r="Q310" s="21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</row>
    <row r="311" spans="1:48" x14ac:dyDescent="0.25">
      <c r="A311" s="15"/>
      <c r="B311" s="15"/>
      <c r="C311" s="15"/>
      <c r="D311" s="15"/>
      <c r="E311" s="15"/>
      <c r="F311" s="15"/>
      <c r="G311" s="6"/>
      <c r="H311" s="15"/>
      <c r="I311" s="15"/>
      <c r="J311" s="15"/>
      <c r="K311" s="15"/>
      <c r="L311" s="15"/>
      <c r="M311" s="15"/>
      <c r="N311" s="15"/>
      <c r="O311" s="15"/>
      <c r="P311" s="15"/>
      <c r="Q311" s="21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</row>
    <row r="312" spans="1:48" x14ac:dyDescent="0.25">
      <c r="A312" s="15"/>
      <c r="B312" s="15"/>
      <c r="C312" s="15"/>
      <c r="D312" s="15"/>
      <c r="E312" s="15"/>
      <c r="F312" s="15"/>
      <c r="G312" s="6"/>
      <c r="H312" s="15"/>
      <c r="I312" s="15"/>
      <c r="J312" s="15"/>
      <c r="K312" s="15"/>
      <c r="L312" s="15"/>
      <c r="M312" s="15"/>
      <c r="N312" s="15"/>
      <c r="O312" s="15"/>
      <c r="P312" s="15"/>
      <c r="Q312" s="21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</row>
    <row r="313" spans="1:48" x14ac:dyDescent="0.25">
      <c r="A313" s="15"/>
      <c r="B313" s="15"/>
      <c r="C313" s="15"/>
      <c r="D313" s="15"/>
      <c r="E313" s="15"/>
      <c r="F313" s="15"/>
      <c r="G313" s="6"/>
      <c r="H313" s="15"/>
      <c r="I313" s="15"/>
      <c r="J313" s="15"/>
      <c r="K313" s="15"/>
      <c r="L313" s="15"/>
      <c r="M313" s="15"/>
      <c r="N313" s="15"/>
      <c r="O313" s="15"/>
      <c r="P313" s="15"/>
      <c r="Q313" s="21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</row>
    <row r="314" spans="1:48" x14ac:dyDescent="0.25">
      <c r="A314" s="15"/>
      <c r="B314" s="15"/>
      <c r="C314" s="15"/>
      <c r="D314" s="15"/>
      <c r="E314" s="15"/>
      <c r="F314" s="15"/>
      <c r="G314" s="6"/>
      <c r="H314" s="15"/>
      <c r="I314" s="15"/>
      <c r="J314" s="15"/>
      <c r="K314" s="15"/>
      <c r="L314" s="15"/>
      <c r="M314" s="15"/>
      <c r="N314" s="15"/>
      <c r="O314" s="15"/>
      <c r="P314" s="15"/>
      <c r="Q314" s="21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</row>
    <row r="315" spans="1:48" x14ac:dyDescent="0.25">
      <c r="A315" s="15"/>
      <c r="B315" s="15"/>
      <c r="C315" s="15"/>
      <c r="D315" s="15"/>
      <c r="E315" s="15"/>
      <c r="F315" s="15"/>
      <c r="G315" s="6"/>
      <c r="H315" s="15"/>
      <c r="I315" s="15"/>
      <c r="J315" s="15"/>
      <c r="K315" s="15"/>
      <c r="L315" s="15"/>
      <c r="M315" s="15"/>
      <c r="N315" s="15"/>
      <c r="O315" s="15"/>
      <c r="P315" s="15"/>
      <c r="Q315" s="21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</row>
    <row r="316" spans="1:48" x14ac:dyDescent="0.25">
      <c r="A316" s="15"/>
      <c r="B316" s="15"/>
      <c r="C316" s="15"/>
      <c r="D316" s="15"/>
      <c r="E316" s="15"/>
      <c r="F316" s="15"/>
      <c r="G316" s="6"/>
      <c r="H316" s="15"/>
      <c r="I316" s="15"/>
      <c r="J316" s="15"/>
      <c r="K316" s="15"/>
      <c r="L316" s="15"/>
      <c r="M316" s="15"/>
      <c r="N316" s="15"/>
      <c r="O316" s="15"/>
      <c r="P316" s="15"/>
      <c r="Q316" s="21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</row>
    <row r="317" spans="1:48" x14ac:dyDescent="0.25">
      <c r="A317" s="15"/>
      <c r="B317" s="15"/>
      <c r="C317" s="15"/>
      <c r="D317" s="15"/>
      <c r="E317" s="15"/>
      <c r="F317" s="15"/>
      <c r="G317" s="6"/>
      <c r="H317" s="15"/>
      <c r="I317" s="15"/>
      <c r="J317" s="15"/>
      <c r="K317" s="15"/>
      <c r="L317" s="15"/>
      <c r="M317" s="15"/>
      <c r="N317" s="15"/>
      <c r="O317" s="15"/>
      <c r="P317" s="15"/>
      <c r="Q317" s="21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</row>
    <row r="318" spans="1:48" x14ac:dyDescent="0.25">
      <c r="A318" s="15"/>
      <c r="B318" s="15"/>
      <c r="C318" s="15"/>
      <c r="D318" s="15"/>
      <c r="E318" s="15"/>
      <c r="F318" s="15"/>
      <c r="G318" s="6"/>
      <c r="H318" s="15"/>
      <c r="I318" s="15"/>
      <c r="J318" s="15"/>
      <c r="K318" s="15"/>
      <c r="L318" s="15"/>
      <c r="M318" s="15"/>
      <c r="N318" s="15"/>
      <c r="O318" s="15"/>
      <c r="P318" s="15"/>
      <c r="Q318" s="21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</row>
    <row r="319" spans="1:48" x14ac:dyDescent="0.25">
      <c r="A319" s="15"/>
      <c r="B319" s="15"/>
      <c r="C319" s="15"/>
      <c r="D319" s="15"/>
      <c r="E319" s="15"/>
      <c r="F319" s="15"/>
      <c r="G319" s="6"/>
      <c r="H319" s="15"/>
      <c r="I319" s="15"/>
      <c r="J319" s="15"/>
      <c r="K319" s="15"/>
      <c r="L319" s="15"/>
      <c r="M319" s="15"/>
      <c r="N319" s="15"/>
      <c r="O319" s="15"/>
      <c r="P319" s="15"/>
      <c r="Q319" s="21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</row>
    <row r="320" spans="1:48" x14ac:dyDescent="0.25">
      <c r="A320" s="15"/>
      <c r="B320" s="15"/>
      <c r="C320" s="15"/>
      <c r="D320" s="15"/>
      <c r="E320" s="15"/>
      <c r="F320" s="15"/>
      <c r="G320" s="6"/>
      <c r="H320" s="15"/>
      <c r="I320" s="15"/>
      <c r="J320" s="15"/>
      <c r="K320" s="15"/>
      <c r="L320" s="15"/>
      <c r="M320" s="15"/>
      <c r="N320" s="15"/>
      <c r="O320" s="15"/>
      <c r="P320" s="15"/>
      <c r="Q320" s="21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</row>
    <row r="321" spans="1:48" x14ac:dyDescent="0.25">
      <c r="A321" s="15"/>
      <c r="B321" s="15"/>
      <c r="C321" s="15"/>
      <c r="D321" s="15"/>
      <c r="E321" s="15"/>
      <c r="F321" s="15"/>
      <c r="G321" s="6"/>
      <c r="H321" s="15"/>
      <c r="I321" s="15"/>
      <c r="J321" s="15"/>
      <c r="K321" s="15"/>
      <c r="L321" s="15"/>
      <c r="M321" s="15"/>
      <c r="N321" s="15"/>
      <c r="O321" s="15"/>
      <c r="P321" s="15"/>
      <c r="Q321" s="21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</row>
    <row r="322" spans="1:48" x14ac:dyDescent="0.25">
      <c r="A322" s="15"/>
      <c r="B322" s="15"/>
      <c r="C322" s="15"/>
      <c r="D322" s="15"/>
      <c r="E322" s="15"/>
      <c r="F322" s="15"/>
      <c r="G322" s="6"/>
      <c r="H322" s="15"/>
      <c r="I322" s="15"/>
      <c r="J322" s="15"/>
      <c r="K322" s="15"/>
      <c r="L322" s="15"/>
      <c r="M322" s="15"/>
      <c r="N322" s="15"/>
      <c r="O322" s="15"/>
      <c r="P322" s="15"/>
      <c r="Q322" s="21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</row>
    <row r="323" spans="1:48" x14ac:dyDescent="0.25">
      <c r="A323" s="15"/>
      <c r="B323" s="15"/>
      <c r="C323" s="15"/>
      <c r="D323" s="15"/>
      <c r="E323" s="15"/>
      <c r="F323" s="15"/>
      <c r="G323" s="6"/>
      <c r="H323" s="15"/>
      <c r="I323" s="15"/>
      <c r="J323" s="15"/>
      <c r="K323" s="15"/>
      <c r="L323" s="15"/>
      <c r="M323" s="15"/>
      <c r="N323" s="15"/>
      <c r="O323" s="15"/>
      <c r="P323" s="15"/>
      <c r="Q323" s="21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</row>
    <row r="324" spans="1:48" x14ac:dyDescent="0.25">
      <c r="A324" s="15"/>
      <c r="B324" s="15"/>
      <c r="C324" s="15"/>
      <c r="D324" s="15"/>
      <c r="E324" s="15"/>
      <c r="F324" s="15"/>
      <c r="G324" s="6"/>
      <c r="H324" s="15"/>
      <c r="I324" s="15"/>
      <c r="J324" s="15"/>
      <c r="K324" s="15"/>
      <c r="L324" s="15"/>
      <c r="M324" s="15"/>
      <c r="N324" s="15"/>
      <c r="O324" s="15"/>
      <c r="P324" s="15"/>
      <c r="Q324" s="21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</row>
    <row r="325" spans="1:48" x14ac:dyDescent="0.25">
      <c r="A325" s="15"/>
      <c r="B325" s="15"/>
      <c r="C325" s="15"/>
      <c r="D325" s="15"/>
      <c r="E325" s="15"/>
      <c r="F325" s="15"/>
      <c r="G325" s="6"/>
      <c r="H325" s="15"/>
      <c r="I325" s="15"/>
      <c r="J325" s="15"/>
      <c r="K325" s="15"/>
      <c r="L325" s="15"/>
      <c r="M325" s="15"/>
      <c r="N325" s="15"/>
      <c r="O325" s="15"/>
      <c r="P325" s="15"/>
      <c r="Q325" s="21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</row>
    <row r="326" spans="1:48" x14ac:dyDescent="0.25">
      <c r="A326" s="15"/>
      <c r="B326" s="15"/>
      <c r="C326" s="15"/>
      <c r="D326" s="15"/>
      <c r="E326" s="15"/>
      <c r="F326" s="15"/>
      <c r="G326" s="6"/>
      <c r="H326" s="15"/>
      <c r="I326" s="15"/>
      <c r="J326" s="15"/>
      <c r="K326" s="15"/>
      <c r="L326" s="15"/>
      <c r="M326" s="15"/>
      <c r="N326" s="15"/>
      <c r="O326" s="15"/>
      <c r="P326" s="15"/>
      <c r="Q326" s="21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</row>
    <row r="327" spans="1:48" x14ac:dyDescent="0.25">
      <c r="A327" s="15"/>
      <c r="B327" s="15"/>
      <c r="C327" s="15"/>
      <c r="D327" s="15"/>
      <c r="E327" s="15"/>
      <c r="F327" s="15"/>
      <c r="G327" s="6"/>
      <c r="H327" s="15"/>
      <c r="I327" s="15"/>
      <c r="J327" s="15"/>
      <c r="K327" s="15"/>
      <c r="L327" s="15"/>
      <c r="M327" s="15"/>
      <c r="N327" s="15"/>
      <c r="O327" s="15"/>
      <c r="P327" s="15"/>
      <c r="Q327" s="21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</row>
    <row r="328" spans="1:48" x14ac:dyDescent="0.25">
      <c r="A328" s="15"/>
      <c r="B328" s="15"/>
      <c r="C328" s="15"/>
      <c r="D328" s="15"/>
      <c r="E328" s="15"/>
      <c r="F328" s="15"/>
      <c r="G328" s="6"/>
      <c r="H328" s="15"/>
      <c r="I328" s="15"/>
      <c r="J328" s="15"/>
      <c r="K328" s="15"/>
      <c r="L328" s="15"/>
      <c r="M328" s="15"/>
      <c r="N328" s="15"/>
      <c r="O328" s="15"/>
      <c r="P328" s="15"/>
      <c r="Q328" s="21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</row>
    <row r="329" spans="1:48" x14ac:dyDescent="0.25">
      <c r="A329" s="15"/>
      <c r="B329" s="15"/>
      <c r="C329" s="15"/>
      <c r="D329" s="15"/>
      <c r="E329" s="15"/>
      <c r="F329" s="15"/>
      <c r="G329" s="6"/>
      <c r="H329" s="15"/>
      <c r="I329" s="15"/>
      <c r="J329" s="15"/>
      <c r="K329" s="15"/>
      <c r="L329" s="15"/>
      <c r="M329" s="15"/>
      <c r="N329" s="15"/>
      <c r="O329" s="15"/>
      <c r="P329" s="15"/>
      <c r="Q329" s="21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</row>
    <row r="330" spans="1:48" x14ac:dyDescent="0.25">
      <c r="A330" s="15"/>
      <c r="B330" s="15"/>
      <c r="C330" s="15"/>
      <c r="D330" s="15"/>
      <c r="E330" s="15"/>
      <c r="F330" s="15"/>
      <c r="G330" s="6"/>
      <c r="H330" s="15"/>
      <c r="I330" s="15"/>
      <c r="J330" s="15"/>
      <c r="K330" s="15"/>
      <c r="L330" s="15"/>
      <c r="M330" s="15"/>
      <c r="N330" s="15"/>
      <c r="O330" s="15"/>
      <c r="P330" s="15"/>
      <c r="Q330" s="21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</row>
    <row r="331" spans="1:48" x14ac:dyDescent="0.25">
      <c r="A331" s="15"/>
      <c r="B331" s="15"/>
      <c r="C331" s="15"/>
      <c r="D331" s="15"/>
      <c r="E331" s="15"/>
      <c r="F331" s="15"/>
      <c r="G331" s="6"/>
      <c r="H331" s="15"/>
      <c r="I331" s="15"/>
      <c r="J331" s="15"/>
      <c r="K331" s="15"/>
      <c r="L331" s="15"/>
      <c r="M331" s="15"/>
      <c r="N331" s="15"/>
      <c r="O331" s="15"/>
      <c r="P331" s="15"/>
      <c r="Q331" s="21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</row>
    <row r="332" spans="1:48" x14ac:dyDescent="0.25">
      <c r="A332" s="15"/>
      <c r="B332" s="15"/>
      <c r="C332" s="15"/>
      <c r="D332" s="15"/>
      <c r="E332" s="15"/>
      <c r="F332" s="15"/>
      <c r="G332" s="6"/>
      <c r="H332" s="15"/>
      <c r="I332" s="15"/>
      <c r="J332" s="15"/>
      <c r="K332" s="15"/>
      <c r="L332" s="15"/>
      <c r="M332" s="15"/>
      <c r="N332" s="15"/>
      <c r="O332" s="15"/>
      <c r="P332" s="15"/>
      <c r="Q332" s="21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</row>
    <row r="333" spans="1:48" x14ac:dyDescent="0.25">
      <c r="A333" s="15"/>
      <c r="B333" s="15"/>
      <c r="C333" s="15"/>
      <c r="D333" s="15"/>
      <c r="E333" s="15"/>
      <c r="F333" s="15"/>
      <c r="G333" s="6"/>
      <c r="H333" s="15"/>
      <c r="I333" s="15"/>
      <c r="J333" s="15"/>
      <c r="K333" s="15"/>
      <c r="L333" s="15"/>
      <c r="M333" s="15"/>
      <c r="N333" s="15"/>
      <c r="O333" s="15"/>
      <c r="P333" s="15"/>
      <c r="Q333" s="21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</row>
    <row r="334" spans="1:48" x14ac:dyDescent="0.25">
      <c r="A334" s="15"/>
      <c r="B334" s="15"/>
      <c r="C334" s="15"/>
      <c r="D334" s="15"/>
      <c r="E334" s="15"/>
      <c r="F334" s="15"/>
      <c r="G334" s="6"/>
      <c r="H334" s="15"/>
      <c r="I334" s="15"/>
      <c r="J334" s="15"/>
      <c r="K334" s="15"/>
      <c r="L334" s="15"/>
      <c r="M334" s="15"/>
      <c r="N334" s="15"/>
      <c r="O334" s="15"/>
      <c r="P334" s="15"/>
      <c r="Q334" s="21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</row>
    <row r="335" spans="1:48" x14ac:dyDescent="0.25">
      <c r="A335" s="15"/>
      <c r="B335" s="15"/>
      <c r="C335" s="15"/>
      <c r="D335" s="15"/>
      <c r="E335" s="15"/>
      <c r="F335" s="15"/>
      <c r="G335" s="6"/>
      <c r="H335" s="15"/>
      <c r="I335" s="15"/>
      <c r="J335" s="15"/>
      <c r="K335" s="15"/>
      <c r="L335" s="15"/>
      <c r="M335" s="15"/>
      <c r="N335" s="15"/>
      <c r="O335" s="15"/>
      <c r="P335" s="15"/>
      <c r="Q335" s="21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</row>
    <row r="336" spans="1:48" x14ac:dyDescent="0.25">
      <c r="A336" s="15"/>
      <c r="B336" s="15"/>
      <c r="C336" s="15"/>
      <c r="D336" s="15"/>
      <c r="E336" s="15"/>
      <c r="F336" s="15"/>
      <c r="G336" s="6"/>
      <c r="H336" s="15"/>
      <c r="I336" s="15"/>
      <c r="J336" s="15"/>
      <c r="K336" s="15"/>
      <c r="L336" s="15"/>
      <c r="M336" s="15"/>
      <c r="N336" s="15"/>
      <c r="O336" s="15"/>
      <c r="P336" s="15"/>
      <c r="Q336" s="21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</row>
    <row r="337" spans="1:48" x14ac:dyDescent="0.25">
      <c r="A337" s="15"/>
      <c r="B337" s="15"/>
      <c r="C337" s="15"/>
      <c r="D337" s="15"/>
      <c r="E337" s="15"/>
      <c r="F337" s="15"/>
      <c r="G337" s="6"/>
      <c r="H337" s="15"/>
      <c r="I337" s="15"/>
      <c r="J337" s="15"/>
      <c r="K337" s="15"/>
      <c r="L337" s="15"/>
      <c r="M337" s="15"/>
      <c r="N337" s="15"/>
      <c r="O337" s="15"/>
      <c r="P337" s="15"/>
      <c r="Q337" s="21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</row>
    <row r="338" spans="1:48" x14ac:dyDescent="0.25">
      <c r="A338" s="15"/>
      <c r="B338" s="15"/>
      <c r="C338" s="15"/>
      <c r="D338" s="15"/>
      <c r="E338" s="15"/>
      <c r="F338" s="15"/>
      <c r="G338" s="6"/>
      <c r="H338" s="15"/>
      <c r="I338" s="15"/>
      <c r="J338" s="15"/>
      <c r="K338" s="15"/>
      <c r="L338" s="15"/>
      <c r="M338" s="15"/>
      <c r="N338" s="15"/>
      <c r="O338" s="15"/>
      <c r="P338" s="15"/>
      <c r="Q338" s="21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</row>
    <row r="339" spans="1:48" x14ac:dyDescent="0.25">
      <c r="A339" s="15"/>
      <c r="B339" s="15"/>
      <c r="C339" s="15"/>
      <c r="D339" s="15"/>
      <c r="E339" s="15"/>
      <c r="F339" s="15"/>
      <c r="G339" s="6"/>
      <c r="H339" s="15"/>
      <c r="I339" s="15"/>
      <c r="J339" s="15"/>
      <c r="K339" s="15"/>
      <c r="L339" s="15"/>
      <c r="M339" s="15"/>
      <c r="N339" s="15"/>
      <c r="O339" s="15"/>
      <c r="P339" s="15"/>
      <c r="Q339" s="21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</row>
    <row r="340" spans="1:48" x14ac:dyDescent="0.25">
      <c r="A340" s="15"/>
      <c r="B340" s="15"/>
      <c r="C340" s="15"/>
      <c r="D340" s="15"/>
      <c r="E340" s="15"/>
      <c r="F340" s="15"/>
      <c r="G340" s="6"/>
      <c r="H340" s="15"/>
      <c r="I340" s="15"/>
      <c r="J340" s="15"/>
      <c r="K340" s="15"/>
      <c r="L340" s="15"/>
      <c r="M340" s="15"/>
      <c r="N340" s="15"/>
      <c r="O340" s="15"/>
      <c r="P340" s="15"/>
      <c r="Q340" s="21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</row>
    <row r="341" spans="1:48" x14ac:dyDescent="0.25">
      <c r="A341" s="15"/>
      <c r="B341" s="15"/>
      <c r="C341" s="15"/>
      <c r="D341" s="15"/>
      <c r="E341" s="15"/>
      <c r="F341" s="15"/>
      <c r="G341" s="6"/>
      <c r="H341" s="15"/>
      <c r="I341" s="15"/>
      <c r="J341" s="15"/>
      <c r="K341" s="15"/>
      <c r="L341" s="15"/>
      <c r="M341" s="15"/>
      <c r="N341" s="15"/>
      <c r="O341" s="15"/>
      <c r="P341" s="15"/>
      <c r="Q341" s="21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</row>
    <row r="342" spans="1:48" x14ac:dyDescent="0.25">
      <c r="A342" s="15"/>
      <c r="B342" s="15"/>
      <c r="C342" s="15"/>
      <c r="D342" s="15"/>
      <c r="E342" s="15"/>
      <c r="F342" s="15"/>
      <c r="G342" s="6"/>
      <c r="H342" s="15"/>
      <c r="I342" s="15"/>
      <c r="J342" s="15"/>
      <c r="K342" s="15"/>
      <c r="L342" s="15"/>
      <c r="M342" s="15"/>
      <c r="N342" s="15"/>
      <c r="O342" s="15"/>
      <c r="P342" s="15"/>
      <c r="Q342" s="21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</row>
    <row r="343" spans="1:48" x14ac:dyDescent="0.25">
      <c r="A343" s="15"/>
      <c r="B343" s="15"/>
      <c r="C343" s="15"/>
      <c r="D343" s="15"/>
      <c r="E343" s="15"/>
      <c r="F343" s="15"/>
      <c r="G343" s="6"/>
      <c r="H343" s="15"/>
      <c r="I343" s="15"/>
      <c r="J343" s="15"/>
      <c r="K343" s="15"/>
      <c r="L343" s="15"/>
      <c r="M343" s="15"/>
      <c r="N343" s="15"/>
      <c r="O343" s="15"/>
      <c r="P343" s="15"/>
      <c r="Q343" s="21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</row>
    <row r="344" spans="1:48" x14ac:dyDescent="0.25">
      <c r="A344" s="15"/>
      <c r="B344" s="15"/>
      <c r="C344" s="15"/>
      <c r="D344" s="15"/>
      <c r="E344" s="15"/>
      <c r="F344" s="15"/>
      <c r="G344" s="6"/>
      <c r="H344" s="15"/>
      <c r="I344" s="15"/>
      <c r="J344" s="15"/>
      <c r="K344" s="15"/>
      <c r="L344" s="15"/>
      <c r="M344" s="15"/>
      <c r="N344" s="15"/>
      <c r="O344" s="15"/>
      <c r="P344" s="15"/>
      <c r="Q344" s="21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</row>
    <row r="345" spans="1:48" x14ac:dyDescent="0.25">
      <c r="A345" s="15"/>
      <c r="B345" s="15"/>
      <c r="C345" s="15"/>
      <c r="D345" s="15"/>
      <c r="E345" s="15"/>
      <c r="F345" s="15"/>
      <c r="G345" s="6"/>
      <c r="H345" s="15"/>
      <c r="I345" s="15"/>
      <c r="J345" s="15"/>
      <c r="K345" s="15"/>
      <c r="L345" s="15"/>
      <c r="M345" s="15"/>
      <c r="N345" s="15"/>
      <c r="O345" s="15"/>
      <c r="P345" s="15"/>
      <c r="Q345" s="21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</row>
    <row r="346" spans="1:48" x14ac:dyDescent="0.25">
      <c r="A346" s="15"/>
      <c r="B346" s="15"/>
      <c r="C346" s="15"/>
      <c r="D346" s="15"/>
      <c r="E346" s="15"/>
      <c r="F346" s="15"/>
      <c r="G346" s="6"/>
      <c r="H346" s="15"/>
      <c r="I346" s="15"/>
      <c r="J346" s="15"/>
      <c r="K346" s="15"/>
      <c r="L346" s="15"/>
      <c r="M346" s="15"/>
      <c r="N346" s="15"/>
      <c r="O346" s="15"/>
      <c r="P346" s="15"/>
      <c r="Q346" s="21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</row>
    <row r="347" spans="1:48" x14ac:dyDescent="0.25">
      <c r="A347" s="15"/>
      <c r="B347" s="15"/>
      <c r="C347" s="15"/>
      <c r="D347" s="15"/>
      <c r="E347" s="15"/>
      <c r="F347" s="15"/>
      <c r="G347" s="6"/>
      <c r="H347" s="15"/>
      <c r="I347" s="15"/>
      <c r="J347" s="15"/>
      <c r="K347" s="15"/>
      <c r="L347" s="15"/>
      <c r="M347" s="15"/>
      <c r="N347" s="15"/>
      <c r="O347" s="15"/>
      <c r="P347" s="15"/>
      <c r="Q347" s="21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</row>
    <row r="348" spans="1:48" x14ac:dyDescent="0.25">
      <c r="A348" s="15"/>
      <c r="B348" s="15"/>
      <c r="C348" s="15"/>
      <c r="D348" s="15"/>
      <c r="E348" s="15"/>
      <c r="F348" s="15"/>
      <c r="G348" s="6"/>
      <c r="H348" s="15"/>
      <c r="I348" s="15"/>
      <c r="J348" s="15"/>
      <c r="K348" s="15"/>
      <c r="L348" s="15"/>
      <c r="M348" s="15"/>
      <c r="N348" s="15"/>
      <c r="O348" s="15"/>
      <c r="P348" s="15"/>
      <c r="Q348" s="21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</row>
    <row r="349" spans="1:48" x14ac:dyDescent="0.25">
      <c r="A349" s="15"/>
      <c r="B349" s="15"/>
      <c r="C349" s="15"/>
      <c r="D349" s="15"/>
      <c r="E349" s="15"/>
      <c r="F349" s="15"/>
      <c r="G349" s="6"/>
      <c r="H349" s="15"/>
      <c r="I349" s="15"/>
      <c r="J349" s="15"/>
      <c r="K349" s="15"/>
      <c r="L349" s="15"/>
      <c r="M349" s="15"/>
      <c r="N349" s="15"/>
      <c r="O349" s="15"/>
      <c r="P349" s="15"/>
      <c r="Q349" s="21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</row>
    <row r="350" spans="1:48" x14ac:dyDescent="0.25">
      <c r="A350" s="15"/>
      <c r="B350" s="15"/>
      <c r="C350" s="15"/>
      <c r="D350" s="15"/>
      <c r="E350" s="15"/>
      <c r="F350" s="15"/>
      <c r="G350" s="6"/>
      <c r="H350" s="15"/>
      <c r="I350" s="15"/>
      <c r="J350" s="15"/>
      <c r="K350" s="15"/>
      <c r="L350" s="15"/>
      <c r="M350" s="15"/>
      <c r="N350" s="15"/>
      <c r="O350" s="15"/>
      <c r="P350" s="15"/>
      <c r="Q350" s="21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</row>
    <row r="351" spans="1:48" x14ac:dyDescent="0.25">
      <c r="A351" s="15"/>
      <c r="B351" s="15"/>
      <c r="C351" s="15"/>
      <c r="D351" s="15"/>
      <c r="E351" s="15"/>
      <c r="F351" s="15"/>
      <c r="G351" s="6"/>
      <c r="H351" s="15"/>
      <c r="I351" s="15"/>
      <c r="J351" s="15"/>
      <c r="K351" s="15"/>
      <c r="L351" s="15"/>
      <c r="M351" s="15"/>
      <c r="N351" s="15"/>
      <c r="O351" s="15"/>
      <c r="P351" s="15"/>
      <c r="Q351" s="21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</row>
    <row r="352" spans="1:48" x14ac:dyDescent="0.25">
      <c r="A352" s="15"/>
      <c r="B352" s="15"/>
      <c r="C352" s="15"/>
      <c r="D352" s="15"/>
      <c r="E352" s="15"/>
      <c r="F352" s="15"/>
      <c r="G352" s="6"/>
      <c r="H352" s="15"/>
      <c r="I352" s="15"/>
      <c r="J352" s="15"/>
      <c r="K352" s="15"/>
      <c r="L352" s="15"/>
      <c r="M352" s="15"/>
      <c r="N352" s="15"/>
      <c r="O352" s="15"/>
      <c r="P352" s="15"/>
      <c r="Q352" s="21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</row>
    <row r="353" spans="1:48" x14ac:dyDescent="0.25">
      <c r="A353" s="15"/>
      <c r="B353" s="15"/>
      <c r="C353" s="15"/>
      <c r="D353" s="15"/>
      <c r="E353" s="15"/>
      <c r="F353" s="15"/>
      <c r="G353" s="6"/>
      <c r="H353" s="15"/>
      <c r="I353" s="15"/>
      <c r="J353" s="15"/>
      <c r="K353" s="15"/>
      <c r="L353" s="15"/>
      <c r="M353" s="15"/>
      <c r="N353" s="15"/>
      <c r="O353" s="15"/>
      <c r="P353" s="15"/>
      <c r="Q353" s="21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</row>
    <row r="354" spans="1:48" x14ac:dyDescent="0.25">
      <c r="A354" s="15"/>
      <c r="B354" s="15"/>
      <c r="C354" s="15"/>
      <c r="D354" s="15"/>
      <c r="E354" s="15"/>
      <c r="F354" s="15"/>
      <c r="G354" s="6"/>
      <c r="H354" s="15"/>
      <c r="I354" s="15"/>
      <c r="J354" s="15"/>
      <c r="K354" s="15"/>
      <c r="L354" s="15"/>
      <c r="M354" s="15"/>
      <c r="N354" s="15"/>
      <c r="O354" s="15"/>
      <c r="P354" s="15"/>
      <c r="Q354" s="21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</row>
    <row r="355" spans="1:48" x14ac:dyDescent="0.25">
      <c r="A355" s="15"/>
      <c r="B355" s="15"/>
      <c r="C355" s="15"/>
      <c r="D355" s="15"/>
      <c r="E355" s="15"/>
      <c r="F355" s="15"/>
      <c r="G355" s="6"/>
      <c r="H355" s="15"/>
      <c r="I355" s="15"/>
      <c r="J355" s="15"/>
      <c r="K355" s="15"/>
      <c r="L355" s="15"/>
      <c r="M355" s="15"/>
      <c r="N355" s="15"/>
      <c r="O355" s="15"/>
      <c r="P355" s="15"/>
      <c r="Q355" s="21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</row>
    <row r="356" spans="1:48" x14ac:dyDescent="0.25">
      <c r="A356" s="15"/>
      <c r="B356" s="15"/>
      <c r="C356" s="15"/>
      <c r="D356" s="15"/>
      <c r="E356" s="15"/>
      <c r="F356" s="15"/>
      <c r="G356" s="6"/>
      <c r="H356" s="15"/>
      <c r="I356" s="15"/>
      <c r="J356" s="15"/>
      <c r="K356" s="15"/>
      <c r="L356" s="15"/>
      <c r="M356" s="15"/>
      <c r="N356" s="15"/>
      <c r="O356" s="15"/>
      <c r="P356" s="15"/>
      <c r="Q356" s="21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</row>
    <row r="357" spans="1:48" x14ac:dyDescent="0.25">
      <c r="A357" s="15"/>
      <c r="B357" s="15"/>
      <c r="C357" s="15"/>
      <c r="D357" s="15"/>
      <c r="E357" s="15"/>
      <c r="F357" s="15"/>
      <c r="G357" s="6"/>
      <c r="H357" s="15"/>
      <c r="I357" s="15"/>
      <c r="J357" s="15"/>
      <c r="K357" s="15"/>
      <c r="L357" s="15"/>
      <c r="M357" s="15"/>
      <c r="N357" s="15"/>
      <c r="O357" s="15"/>
      <c r="P357" s="15"/>
      <c r="Q357" s="21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</row>
    <row r="358" spans="1:48" x14ac:dyDescent="0.25">
      <c r="A358" s="15"/>
      <c r="B358" s="15"/>
      <c r="C358" s="15"/>
      <c r="D358" s="15"/>
      <c r="E358" s="15"/>
      <c r="F358" s="15"/>
      <c r="G358" s="6"/>
      <c r="H358" s="15"/>
      <c r="I358" s="15"/>
      <c r="J358" s="15"/>
      <c r="K358" s="15"/>
      <c r="L358" s="15"/>
      <c r="M358" s="15"/>
      <c r="N358" s="15"/>
      <c r="O358" s="15"/>
      <c r="P358" s="15"/>
      <c r="Q358" s="21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</row>
    <row r="359" spans="1:48" x14ac:dyDescent="0.25">
      <c r="A359" s="15"/>
      <c r="B359" s="15"/>
      <c r="C359" s="15"/>
      <c r="D359" s="15"/>
      <c r="E359" s="15"/>
      <c r="F359" s="15"/>
      <c r="G359" s="6"/>
      <c r="H359" s="15"/>
      <c r="I359" s="15"/>
      <c r="J359" s="15"/>
      <c r="K359" s="15"/>
      <c r="L359" s="15"/>
      <c r="M359" s="15"/>
      <c r="N359" s="15"/>
      <c r="O359" s="15"/>
      <c r="P359" s="15"/>
      <c r="Q359" s="21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</row>
    <row r="360" spans="1:48" x14ac:dyDescent="0.25">
      <c r="A360" s="15"/>
      <c r="B360" s="15"/>
      <c r="C360" s="15"/>
      <c r="D360" s="15"/>
      <c r="E360" s="15"/>
      <c r="F360" s="15"/>
      <c r="G360" s="6"/>
      <c r="H360" s="15"/>
      <c r="I360" s="15"/>
      <c r="J360" s="15"/>
      <c r="K360" s="15"/>
      <c r="L360" s="15"/>
      <c r="M360" s="15"/>
      <c r="N360" s="15"/>
      <c r="O360" s="15"/>
      <c r="P360" s="15"/>
      <c r="Q360" s="21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</row>
    <row r="361" spans="1:48" x14ac:dyDescent="0.25">
      <c r="A361" s="15"/>
      <c r="B361" s="15"/>
      <c r="C361" s="15"/>
      <c r="D361" s="15"/>
      <c r="E361" s="15"/>
      <c r="F361" s="15"/>
      <c r="G361" s="6"/>
      <c r="H361" s="15"/>
      <c r="I361" s="15"/>
      <c r="J361" s="15"/>
      <c r="K361" s="15"/>
      <c r="L361" s="15"/>
      <c r="M361" s="15"/>
      <c r="N361" s="15"/>
      <c r="O361" s="15"/>
      <c r="P361" s="15"/>
      <c r="Q361" s="21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</row>
    <row r="362" spans="1:48" x14ac:dyDescent="0.25">
      <c r="A362" s="15"/>
      <c r="B362" s="15"/>
      <c r="C362" s="15"/>
      <c r="D362" s="15"/>
      <c r="E362" s="15"/>
      <c r="F362" s="15"/>
      <c r="G362" s="6"/>
      <c r="H362" s="15"/>
      <c r="I362" s="15"/>
      <c r="J362" s="15"/>
      <c r="K362" s="15"/>
      <c r="L362" s="15"/>
      <c r="M362" s="15"/>
      <c r="N362" s="15"/>
      <c r="O362" s="15"/>
      <c r="P362" s="15"/>
      <c r="Q362" s="21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</row>
    <row r="363" spans="1:48" x14ac:dyDescent="0.25">
      <c r="A363" s="15"/>
      <c r="B363" s="15"/>
      <c r="C363" s="15"/>
      <c r="D363" s="15"/>
      <c r="E363" s="15"/>
      <c r="F363" s="15"/>
      <c r="G363" s="6"/>
      <c r="H363" s="15"/>
      <c r="I363" s="15"/>
      <c r="J363" s="15"/>
      <c r="K363" s="15"/>
      <c r="L363" s="15"/>
      <c r="M363" s="15"/>
      <c r="N363" s="15"/>
      <c r="O363" s="15"/>
      <c r="P363" s="15"/>
      <c r="Q363" s="21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</row>
    <row r="364" spans="1:48" x14ac:dyDescent="0.25">
      <c r="A364" s="15"/>
      <c r="B364" s="15"/>
      <c r="C364" s="15"/>
      <c r="D364" s="15"/>
      <c r="E364" s="15"/>
      <c r="F364" s="15"/>
      <c r="G364" s="6"/>
      <c r="H364" s="15"/>
      <c r="I364" s="15"/>
      <c r="J364" s="15"/>
      <c r="K364" s="15"/>
      <c r="L364" s="15"/>
      <c r="M364" s="15"/>
      <c r="N364" s="15"/>
      <c r="O364" s="15"/>
      <c r="P364" s="15"/>
      <c r="Q364" s="21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</row>
    <row r="365" spans="1:48" x14ac:dyDescent="0.25">
      <c r="A365" s="15"/>
      <c r="B365" s="15"/>
      <c r="C365" s="15"/>
      <c r="D365" s="15"/>
      <c r="E365" s="15"/>
      <c r="F365" s="15"/>
      <c r="G365" s="6"/>
      <c r="H365" s="15"/>
      <c r="I365" s="15"/>
      <c r="J365" s="15"/>
      <c r="K365" s="15"/>
      <c r="L365" s="15"/>
      <c r="M365" s="15"/>
      <c r="N365" s="15"/>
      <c r="O365" s="15"/>
      <c r="P365" s="15"/>
      <c r="Q365" s="21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</row>
    <row r="366" spans="1:48" x14ac:dyDescent="0.25">
      <c r="A366" s="15"/>
      <c r="B366" s="15"/>
      <c r="C366" s="15"/>
      <c r="D366" s="15"/>
      <c r="E366" s="15"/>
      <c r="F366" s="15"/>
      <c r="G366" s="6"/>
      <c r="H366" s="15"/>
      <c r="I366" s="15"/>
      <c r="J366" s="15"/>
      <c r="K366" s="15"/>
      <c r="L366" s="15"/>
      <c r="M366" s="15"/>
      <c r="N366" s="15"/>
      <c r="O366" s="15"/>
      <c r="P366" s="15"/>
      <c r="Q366" s="21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</row>
    <row r="367" spans="1:48" x14ac:dyDescent="0.25">
      <c r="A367" s="15"/>
      <c r="B367" s="15"/>
      <c r="C367" s="15"/>
      <c r="D367" s="15"/>
      <c r="E367" s="15"/>
      <c r="F367" s="15"/>
      <c r="G367" s="6"/>
      <c r="H367" s="15"/>
      <c r="I367" s="15"/>
      <c r="J367" s="15"/>
      <c r="K367" s="15"/>
      <c r="L367" s="15"/>
      <c r="M367" s="15"/>
      <c r="N367" s="15"/>
      <c r="O367" s="15"/>
      <c r="P367" s="15"/>
      <c r="Q367" s="21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</row>
    <row r="368" spans="1:48" x14ac:dyDescent="0.25">
      <c r="A368" s="15"/>
      <c r="B368" s="15"/>
      <c r="C368" s="15"/>
      <c r="D368" s="15"/>
      <c r="E368" s="15"/>
      <c r="F368" s="15"/>
      <c r="G368" s="6"/>
      <c r="H368" s="15"/>
      <c r="I368" s="15"/>
      <c r="J368" s="15"/>
      <c r="K368" s="15"/>
      <c r="L368" s="15"/>
      <c r="M368" s="15"/>
      <c r="N368" s="15"/>
      <c r="O368" s="15"/>
      <c r="P368" s="15"/>
      <c r="Q368" s="21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</row>
    <row r="369" spans="1:48" x14ac:dyDescent="0.25">
      <c r="A369" s="15"/>
      <c r="B369" s="15"/>
      <c r="C369" s="15"/>
      <c r="D369" s="15"/>
      <c r="E369" s="15"/>
      <c r="F369" s="15"/>
      <c r="G369" s="6"/>
      <c r="H369" s="15"/>
      <c r="I369" s="15"/>
      <c r="J369" s="15"/>
      <c r="K369" s="15"/>
      <c r="L369" s="15"/>
      <c r="M369" s="15"/>
      <c r="N369" s="15"/>
      <c r="O369" s="15"/>
      <c r="P369" s="15"/>
      <c r="Q369" s="21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</row>
    <row r="370" spans="1:48" x14ac:dyDescent="0.25">
      <c r="A370" s="15"/>
      <c r="B370" s="15"/>
      <c r="C370" s="15"/>
      <c r="D370" s="15"/>
      <c r="E370" s="15"/>
      <c r="F370" s="15"/>
      <c r="G370" s="6"/>
      <c r="H370" s="15"/>
      <c r="I370" s="15"/>
      <c r="J370" s="15"/>
      <c r="K370" s="15"/>
      <c r="L370" s="15"/>
      <c r="M370" s="15"/>
      <c r="N370" s="15"/>
      <c r="O370" s="15"/>
      <c r="P370" s="15"/>
      <c r="Q370" s="21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</row>
    <row r="371" spans="1:48" x14ac:dyDescent="0.25">
      <c r="A371" s="15"/>
      <c r="B371" s="15"/>
      <c r="C371" s="15"/>
      <c r="D371" s="15"/>
      <c r="E371" s="15"/>
      <c r="F371" s="15"/>
      <c r="G371" s="6"/>
      <c r="H371" s="15"/>
      <c r="I371" s="15"/>
      <c r="J371" s="15"/>
      <c r="K371" s="15"/>
      <c r="L371" s="15"/>
      <c r="M371" s="15"/>
      <c r="N371" s="15"/>
      <c r="O371" s="15"/>
      <c r="P371" s="15"/>
      <c r="Q371" s="21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</row>
    <row r="372" spans="1:48" x14ac:dyDescent="0.25">
      <c r="A372" s="15"/>
      <c r="B372" s="15"/>
      <c r="C372" s="15"/>
      <c r="D372" s="15"/>
      <c r="E372" s="15"/>
      <c r="F372" s="15"/>
      <c r="G372" s="6"/>
      <c r="H372" s="15"/>
      <c r="I372" s="15"/>
      <c r="J372" s="15"/>
      <c r="K372" s="15"/>
      <c r="L372" s="15"/>
      <c r="M372" s="15"/>
      <c r="N372" s="15"/>
      <c r="O372" s="15"/>
      <c r="P372" s="15"/>
      <c r="Q372" s="21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</row>
    <row r="373" spans="1:48" x14ac:dyDescent="0.25">
      <c r="A373" s="15"/>
      <c r="B373" s="15"/>
      <c r="C373" s="15"/>
      <c r="D373" s="15"/>
      <c r="E373" s="15"/>
      <c r="F373" s="15"/>
      <c r="G373" s="6"/>
      <c r="H373" s="15"/>
      <c r="I373" s="15"/>
      <c r="J373" s="15"/>
      <c r="K373" s="15"/>
      <c r="L373" s="15"/>
      <c r="M373" s="15"/>
      <c r="N373" s="15"/>
      <c r="O373" s="15"/>
      <c r="P373" s="15"/>
      <c r="Q373" s="21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</row>
    <row r="374" spans="1:48" x14ac:dyDescent="0.25">
      <c r="A374" s="15"/>
      <c r="B374" s="15"/>
      <c r="C374" s="15"/>
      <c r="D374" s="15"/>
      <c r="E374" s="15"/>
      <c r="F374" s="15"/>
      <c r="G374" s="6"/>
      <c r="H374" s="15"/>
      <c r="I374" s="15"/>
      <c r="J374" s="15"/>
      <c r="K374" s="15"/>
      <c r="L374" s="15"/>
      <c r="M374" s="15"/>
      <c r="N374" s="15"/>
      <c r="O374" s="15"/>
      <c r="P374" s="15"/>
      <c r="Q374" s="21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</row>
    <row r="375" spans="1:48" x14ac:dyDescent="0.25">
      <c r="A375" s="15"/>
      <c r="B375" s="15"/>
      <c r="C375" s="15"/>
      <c r="D375" s="15"/>
      <c r="E375" s="15"/>
      <c r="F375" s="15"/>
      <c r="G375" s="6"/>
      <c r="H375" s="15"/>
      <c r="I375" s="15"/>
      <c r="J375" s="15"/>
      <c r="K375" s="15"/>
      <c r="L375" s="15"/>
      <c r="M375" s="15"/>
      <c r="N375" s="15"/>
      <c r="O375" s="15"/>
      <c r="P375" s="15"/>
      <c r="Q375" s="21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</row>
    <row r="376" spans="1:48" x14ac:dyDescent="0.25">
      <c r="A376" s="15"/>
      <c r="B376" s="15"/>
      <c r="C376" s="15"/>
      <c r="D376" s="15"/>
      <c r="E376" s="15"/>
      <c r="F376" s="15"/>
      <c r="G376" s="6"/>
      <c r="H376" s="15"/>
      <c r="I376" s="15"/>
      <c r="J376" s="15"/>
      <c r="K376" s="15"/>
      <c r="L376" s="15"/>
      <c r="M376" s="15"/>
      <c r="N376" s="15"/>
      <c r="O376" s="15"/>
      <c r="P376" s="15"/>
      <c r="Q376" s="21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</row>
    <row r="377" spans="1:48" x14ac:dyDescent="0.25">
      <c r="A377" s="15"/>
      <c r="B377" s="15"/>
      <c r="C377" s="15"/>
      <c r="D377" s="15"/>
      <c r="E377" s="15"/>
      <c r="F377" s="15"/>
      <c r="G377" s="6"/>
      <c r="H377" s="15"/>
      <c r="I377" s="15"/>
      <c r="J377" s="15"/>
      <c r="K377" s="15"/>
      <c r="L377" s="15"/>
      <c r="M377" s="15"/>
      <c r="N377" s="15"/>
      <c r="O377" s="15"/>
      <c r="P377" s="15"/>
      <c r="Q377" s="21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</row>
    <row r="378" spans="1:48" x14ac:dyDescent="0.25">
      <c r="A378" s="15"/>
      <c r="B378" s="15"/>
      <c r="C378" s="15"/>
      <c r="D378" s="15"/>
      <c r="E378" s="15"/>
      <c r="F378" s="15"/>
      <c r="G378" s="6"/>
      <c r="H378" s="15"/>
      <c r="I378" s="15"/>
      <c r="J378" s="15"/>
      <c r="K378" s="15"/>
      <c r="L378" s="15"/>
      <c r="M378" s="15"/>
      <c r="N378" s="15"/>
      <c r="O378" s="15"/>
      <c r="P378" s="15"/>
      <c r="Q378" s="21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</row>
    <row r="379" spans="1:48" x14ac:dyDescent="0.25">
      <c r="A379" s="15"/>
      <c r="B379" s="15"/>
      <c r="C379" s="15"/>
      <c r="D379" s="15"/>
      <c r="E379" s="15"/>
      <c r="F379" s="15"/>
      <c r="G379" s="6"/>
      <c r="H379" s="15"/>
      <c r="I379" s="15"/>
      <c r="J379" s="15"/>
      <c r="K379" s="15"/>
      <c r="L379" s="15"/>
      <c r="M379" s="15"/>
      <c r="N379" s="15"/>
      <c r="O379" s="15"/>
      <c r="P379" s="15"/>
      <c r="Q379" s="21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</row>
    <row r="380" spans="1:48" x14ac:dyDescent="0.25">
      <c r="A380" s="15"/>
      <c r="B380" s="15"/>
      <c r="C380" s="15"/>
      <c r="D380" s="15"/>
      <c r="E380" s="15"/>
      <c r="F380" s="15"/>
      <c r="G380" s="6"/>
      <c r="H380" s="15"/>
      <c r="I380" s="15"/>
      <c r="J380" s="15"/>
      <c r="K380" s="15"/>
      <c r="L380" s="15"/>
      <c r="M380" s="15"/>
      <c r="N380" s="15"/>
      <c r="O380" s="15"/>
      <c r="P380" s="15"/>
      <c r="Q380" s="21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</row>
    <row r="381" spans="1:48" x14ac:dyDescent="0.25">
      <c r="A381" s="15"/>
      <c r="B381" s="15"/>
      <c r="C381" s="15"/>
      <c r="D381" s="15"/>
      <c r="E381" s="15"/>
      <c r="F381" s="15"/>
      <c r="G381" s="6"/>
      <c r="H381" s="15"/>
      <c r="I381" s="15"/>
      <c r="J381" s="15"/>
      <c r="K381" s="15"/>
      <c r="L381" s="15"/>
      <c r="M381" s="15"/>
      <c r="N381" s="15"/>
      <c r="O381" s="15"/>
      <c r="P381" s="15"/>
      <c r="Q381" s="21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</row>
    <row r="382" spans="1:48" x14ac:dyDescent="0.25">
      <c r="A382" s="15"/>
      <c r="B382" s="15"/>
      <c r="C382" s="15"/>
      <c r="D382" s="15"/>
      <c r="E382" s="15"/>
      <c r="F382" s="15"/>
      <c r="G382" s="6"/>
      <c r="H382" s="15"/>
      <c r="I382" s="15"/>
      <c r="J382" s="15"/>
      <c r="K382" s="15"/>
      <c r="L382" s="15"/>
      <c r="M382" s="15"/>
      <c r="N382" s="15"/>
      <c r="O382" s="15"/>
      <c r="P382" s="15"/>
      <c r="Q382" s="21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</row>
    <row r="383" spans="1:48" x14ac:dyDescent="0.25">
      <c r="A383" s="15"/>
      <c r="B383" s="15"/>
      <c r="C383" s="15"/>
      <c r="D383" s="15"/>
      <c r="E383" s="15"/>
      <c r="F383" s="15"/>
      <c r="G383" s="6"/>
      <c r="H383" s="15"/>
      <c r="I383" s="15"/>
      <c r="J383" s="15"/>
      <c r="K383" s="15"/>
      <c r="L383" s="15"/>
      <c r="M383" s="15"/>
      <c r="N383" s="15"/>
      <c r="O383" s="15"/>
      <c r="P383" s="15"/>
      <c r="Q383" s="21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</row>
    <row r="384" spans="1:48" x14ac:dyDescent="0.25">
      <c r="A384" s="15"/>
      <c r="B384" s="15"/>
      <c r="C384" s="15"/>
      <c r="D384" s="15"/>
      <c r="E384" s="15"/>
      <c r="F384" s="15"/>
      <c r="G384" s="6"/>
      <c r="H384" s="15"/>
      <c r="I384" s="15"/>
      <c r="J384" s="15"/>
      <c r="K384" s="15"/>
      <c r="L384" s="15"/>
      <c r="M384" s="15"/>
      <c r="N384" s="15"/>
      <c r="O384" s="15"/>
      <c r="P384" s="15"/>
      <c r="Q384" s="21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</row>
    <row r="385" spans="1:48" x14ac:dyDescent="0.25">
      <c r="A385" s="15"/>
      <c r="B385" s="15"/>
      <c r="C385" s="15"/>
      <c r="D385" s="15"/>
      <c r="E385" s="15"/>
      <c r="F385" s="15"/>
      <c r="G385" s="6"/>
      <c r="H385" s="15"/>
      <c r="I385" s="15"/>
      <c r="J385" s="15"/>
      <c r="K385" s="15"/>
      <c r="L385" s="15"/>
      <c r="M385" s="15"/>
      <c r="N385" s="15"/>
      <c r="O385" s="15"/>
      <c r="P385" s="15"/>
      <c r="Q385" s="21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</row>
    <row r="386" spans="1:48" x14ac:dyDescent="0.25">
      <c r="A386" s="15"/>
      <c r="B386" s="15"/>
      <c r="C386" s="15"/>
      <c r="D386" s="15"/>
      <c r="E386" s="15"/>
      <c r="F386" s="15"/>
      <c r="G386" s="6"/>
      <c r="H386" s="15"/>
      <c r="I386" s="15"/>
      <c r="J386" s="15"/>
      <c r="K386" s="15"/>
      <c r="L386" s="15"/>
      <c r="M386" s="15"/>
      <c r="N386" s="15"/>
      <c r="O386" s="15"/>
      <c r="P386" s="15"/>
      <c r="Q386" s="21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</row>
    <row r="387" spans="1:48" x14ac:dyDescent="0.25">
      <c r="A387" s="15"/>
      <c r="B387" s="15"/>
      <c r="C387" s="15"/>
      <c r="D387" s="15"/>
      <c r="E387" s="15"/>
      <c r="F387" s="15"/>
      <c r="G387" s="6"/>
      <c r="H387" s="15"/>
      <c r="I387" s="15"/>
      <c r="J387" s="15"/>
      <c r="K387" s="15"/>
      <c r="L387" s="15"/>
      <c r="M387" s="15"/>
      <c r="N387" s="15"/>
      <c r="O387" s="15"/>
      <c r="P387" s="15"/>
      <c r="Q387" s="21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</row>
    <row r="388" spans="1:48" x14ac:dyDescent="0.25">
      <c r="A388" s="15"/>
      <c r="B388" s="15"/>
      <c r="C388" s="15"/>
      <c r="D388" s="15"/>
      <c r="E388" s="15"/>
      <c r="F388" s="15"/>
      <c r="G388" s="6"/>
      <c r="H388" s="15"/>
      <c r="I388" s="15"/>
      <c r="J388" s="15"/>
      <c r="K388" s="15"/>
      <c r="L388" s="15"/>
      <c r="M388" s="15"/>
      <c r="N388" s="15"/>
      <c r="O388" s="15"/>
      <c r="P388" s="15"/>
      <c r="Q388" s="21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</row>
    <row r="389" spans="1:48" x14ac:dyDescent="0.25">
      <c r="A389" s="15"/>
      <c r="B389" s="15"/>
      <c r="C389" s="15"/>
      <c r="D389" s="15"/>
      <c r="E389" s="15"/>
      <c r="F389" s="15"/>
      <c r="G389" s="6"/>
      <c r="H389" s="15"/>
      <c r="I389" s="15"/>
      <c r="J389" s="15"/>
      <c r="K389" s="15"/>
      <c r="L389" s="15"/>
      <c r="M389" s="15"/>
      <c r="N389" s="15"/>
      <c r="O389" s="15"/>
      <c r="P389" s="15"/>
      <c r="Q389" s="21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</row>
    <row r="390" spans="1:48" x14ac:dyDescent="0.25">
      <c r="A390" s="15"/>
      <c r="B390" s="15"/>
      <c r="C390" s="15"/>
      <c r="D390" s="15"/>
      <c r="E390" s="15"/>
      <c r="F390" s="15"/>
      <c r="G390" s="6"/>
      <c r="H390" s="15"/>
      <c r="I390" s="15"/>
      <c r="J390" s="15"/>
      <c r="K390" s="15"/>
      <c r="L390" s="15"/>
      <c r="M390" s="15"/>
      <c r="N390" s="15"/>
      <c r="O390" s="15"/>
      <c r="P390" s="15"/>
      <c r="Q390" s="21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</row>
    <row r="391" spans="1:48" x14ac:dyDescent="0.25">
      <c r="A391" s="15"/>
      <c r="B391" s="15"/>
      <c r="C391" s="15"/>
      <c r="D391" s="15"/>
      <c r="E391" s="15"/>
      <c r="F391" s="15"/>
      <c r="G391" s="6"/>
      <c r="H391" s="15"/>
      <c r="I391" s="15"/>
      <c r="J391" s="15"/>
      <c r="K391" s="15"/>
      <c r="L391" s="15"/>
      <c r="M391" s="15"/>
      <c r="N391" s="15"/>
      <c r="O391" s="15"/>
      <c r="P391" s="15"/>
      <c r="Q391" s="21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</row>
    <row r="392" spans="1:48" x14ac:dyDescent="0.25">
      <c r="A392" s="15"/>
      <c r="B392" s="15"/>
      <c r="C392" s="15"/>
      <c r="D392" s="15"/>
      <c r="E392" s="15"/>
      <c r="F392" s="15"/>
      <c r="G392" s="6"/>
      <c r="H392" s="15"/>
      <c r="I392" s="15"/>
      <c r="J392" s="15"/>
      <c r="K392" s="15"/>
      <c r="L392" s="15"/>
      <c r="M392" s="15"/>
      <c r="N392" s="15"/>
      <c r="O392" s="15"/>
      <c r="P392" s="15"/>
      <c r="Q392" s="21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</row>
    <row r="393" spans="1:48" x14ac:dyDescent="0.25">
      <c r="A393" s="15"/>
      <c r="B393" s="15"/>
      <c r="C393" s="15"/>
      <c r="D393" s="15"/>
      <c r="E393" s="15"/>
      <c r="F393" s="15"/>
      <c r="G393" s="6"/>
      <c r="H393" s="15"/>
      <c r="I393" s="15"/>
      <c r="J393" s="15"/>
      <c r="K393" s="15"/>
      <c r="L393" s="15"/>
      <c r="M393" s="15"/>
      <c r="N393" s="15"/>
      <c r="O393" s="15"/>
      <c r="P393" s="15"/>
      <c r="Q393" s="21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</row>
    <row r="394" spans="1:48" x14ac:dyDescent="0.25">
      <c r="A394" s="15"/>
      <c r="B394" s="15"/>
      <c r="C394" s="15"/>
      <c r="D394" s="15"/>
      <c r="E394" s="15"/>
      <c r="F394" s="15"/>
      <c r="G394" s="6"/>
      <c r="H394" s="15"/>
      <c r="I394" s="15"/>
      <c r="J394" s="15"/>
      <c r="K394" s="15"/>
      <c r="L394" s="15"/>
      <c r="M394" s="15"/>
      <c r="N394" s="15"/>
      <c r="O394" s="15"/>
      <c r="P394" s="15"/>
      <c r="Q394" s="21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</row>
    <row r="395" spans="1:48" x14ac:dyDescent="0.25">
      <c r="A395" s="15"/>
      <c r="B395" s="15"/>
      <c r="C395" s="15"/>
      <c r="D395" s="15"/>
      <c r="E395" s="15"/>
      <c r="F395" s="15"/>
      <c r="G395" s="6"/>
      <c r="H395" s="15"/>
      <c r="I395" s="15"/>
      <c r="J395" s="15"/>
      <c r="K395" s="15"/>
      <c r="L395" s="15"/>
      <c r="M395" s="15"/>
      <c r="N395" s="15"/>
      <c r="O395" s="15"/>
      <c r="P395" s="15"/>
      <c r="Q395" s="21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</row>
    <row r="396" spans="1:48" x14ac:dyDescent="0.25">
      <c r="A396" s="15"/>
      <c r="B396" s="15"/>
      <c r="C396" s="15"/>
      <c r="D396" s="15"/>
      <c r="E396" s="15"/>
      <c r="F396" s="15"/>
      <c r="G396" s="6"/>
      <c r="H396" s="15"/>
      <c r="I396" s="15"/>
      <c r="J396" s="15"/>
      <c r="K396" s="15"/>
      <c r="L396" s="15"/>
      <c r="M396" s="15"/>
      <c r="N396" s="15"/>
      <c r="O396" s="15"/>
      <c r="P396" s="15"/>
      <c r="Q396" s="21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</row>
    <row r="397" spans="1:48" x14ac:dyDescent="0.25">
      <c r="A397" s="15"/>
      <c r="B397" s="15"/>
      <c r="C397" s="15"/>
      <c r="D397" s="15"/>
      <c r="E397" s="15"/>
      <c r="F397" s="15"/>
      <c r="G397" s="6"/>
      <c r="H397" s="15"/>
      <c r="I397" s="15"/>
      <c r="J397" s="15"/>
      <c r="K397" s="15"/>
      <c r="L397" s="15"/>
      <c r="M397" s="15"/>
      <c r="N397" s="15"/>
      <c r="O397" s="15"/>
      <c r="P397" s="15"/>
      <c r="Q397" s="21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</row>
    <row r="398" spans="1:48" x14ac:dyDescent="0.25">
      <c r="A398" s="15"/>
      <c r="B398" s="15"/>
      <c r="C398" s="15"/>
      <c r="D398" s="15"/>
      <c r="E398" s="15"/>
      <c r="F398" s="15"/>
      <c r="G398" s="6"/>
      <c r="H398" s="15"/>
      <c r="I398" s="15"/>
      <c r="J398" s="15"/>
      <c r="K398" s="15"/>
      <c r="L398" s="15"/>
      <c r="M398" s="15"/>
      <c r="N398" s="15"/>
      <c r="O398" s="15"/>
      <c r="P398" s="15"/>
      <c r="Q398" s="21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</row>
    <row r="399" spans="1:48" x14ac:dyDescent="0.25">
      <c r="A399" s="15"/>
      <c r="B399" s="15"/>
      <c r="C399" s="15"/>
      <c r="D399" s="15"/>
      <c r="E399" s="15"/>
      <c r="F399" s="15"/>
      <c r="G399" s="6"/>
      <c r="H399" s="15"/>
      <c r="I399" s="15"/>
      <c r="J399" s="15"/>
      <c r="K399" s="15"/>
      <c r="L399" s="15"/>
      <c r="M399" s="15"/>
      <c r="N399" s="15"/>
      <c r="O399" s="15"/>
      <c r="P399" s="15"/>
      <c r="Q399" s="21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</row>
    <row r="400" spans="1:48" x14ac:dyDescent="0.25">
      <c r="A400" s="15"/>
      <c r="B400" s="15"/>
      <c r="C400" s="15"/>
      <c r="D400" s="15"/>
      <c r="E400" s="15"/>
      <c r="F400" s="15"/>
      <c r="G400" s="6"/>
      <c r="H400" s="15"/>
      <c r="I400" s="15"/>
      <c r="J400" s="15"/>
      <c r="K400" s="15"/>
      <c r="L400" s="15"/>
      <c r="M400" s="15"/>
      <c r="N400" s="15"/>
      <c r="O400" s="15"/>
      <c r="P400" s="15"/>
      <c r="Q400" s="21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</row>
    <row r="401" spans="1:48" x14ac:dyDescent="0.25">
      <c r="A401" s="15"/>
      <c r="B401" s="15"/>
      <c r="C401" s="15"/>
      <c r="D401" s="15"/>
      <c r="E401" s="15"/>
      <c r="F401" s="15"/>
      <c r="G401" s="6"/>
      <c r="H401" s="15"/>
      <c r="I401" s="15"/>
      <c r="J401" s="15"/>
      <c r="K401" s="15"/>
      <c r="L401" s="15"/>
      <c r="M401" s="15"/>
      <c r="N401" s="15"/>
      <c r="O401" s="15"/>
      <c r="P401" s="15"/>
      <c r="Q401" s="21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</row>
    <row r="402" spans="1:48" x14ac:dyDescent="0.25">
      <c r="A402" s="15"/>
      <c r="B402" s="15"/>
      <c r="C402" s="15"/>
      <c r="D402" s="15"/>
      <c r="E402" s="15"/>
      <c r="F402" s="15"/>
      <c r="G402" s="6"/>
      <c r="H402" s="15"/>
      <c r="I402" s="15"/>
      <c r="J402" s="15"/>
      <c r="K402" s="15"/>
      <c r="L402" s="15"/>
      <c r="M402" s="15"/>
      <c r="N402" s="15"/>
      <c r="O402" s="15"/>
      <c r="P402" s="15"/>
      <c r="Q402" s="21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</row>
    <row r="403" spans="1:48" x14ac:dyDescent="0.25">
      <c r="A403" s="15"/>
      <c r="B403" s="15"/>
      <c r="C403" s="15"/>
      <c r="D403" s="15"/>
      <c r="E403" s="15"/>
      <c r="F403" s="15"/>
      <c r="G403" s="6"/>
      <c r="H403" s="15"/>
      <c r="I403" s="15"/>
      <c r="J403" s="15"/>
      <c r="K403" s="15"/>
      <c r="L403" s="15"/>
      <c r="M403" s="15"/>
      <c r="N403" s="15"/>
      <c r="O403" s="15"/>
      <c r="P403" s="15"/>
      <c r="Q403" s="21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</row>
    <row r="404" spans="1:48" x14ac:dyDescent="0.25">
      <c r="A404" s="15"/>
      <c r="B404" s="15"/>
      <c r="C404" s="15"/>
      <c r="D404" s="15"/>
      <c r="E404" s="15"/>
      <c r="F404" s="15"/>
      <c r="G404" s="6"/>
      <c r="H404" s="15"/>
      <c r="I404" s="15"/>
      <c r="J404" s="15"/>
      <c r="K404" s="15"/>
      <c r="L404" s="15"/>
      <c r="M404" s="15"/>
      <c r="N404" s="15"/>
      <c r="O404" s="15"/>
      <c r="P404" s="15"/>
      <c r="Q404" s="21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</row>
    <row r="405" spans="1:48" x14ac:dyDescent="0.25">
      <c r="A405" s="15"/>
      <c r="B405" s="15"/>
      <c r="C405" s="15"/>
      <c r="D405" s="15"/>
      <c r="E405" s="15"/>
      <c r="F405" s="15"/>
      <c r="G405" s="6"/>
      <c r="H405" s="15"/>
      <c r="I405" s="15"/>
      <c r="J405" s="15"/>
      <c r="K405" s="15"/>
      <c r="L405" s="15"/>
      <c r="M405" s="15"/>
      <c r="N405" s="15"/>
      <c r="O405" s="15"/>
      <c r="P405" s="15"/>
      <c r="Q405" s="21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</row>
    <row r="406" spans="1:48" x14ac:dyDescent="0.25">
      <c r="A406" s="15"/>
      <c r="B406" s="15"/>
      <c r="C406" s="15"/>
      <c r="D406" s="15"/>
      <c r="E406" s="15"/>
      <c r="F406" s="15"/>
      <c r="G406" s="6"/>
      <c r="H406" s="15"/>
      <c r="I406" s="15"/>
      <c r="J406" s="15"/>
      <c r="K406" s="15"/>
      <c r="L406" s="15"/>
      <c r="M406" s="15"/>
      <c r="N406" s="15"/>
      <c r="O406" s="15"/>
      <c r="P406" s="15"/>
      <c r="Q406" s="21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</row>
    <row r="407" spans="1:48" x14ac:dyDescent="0.25">
      <c r="A407" s="15"/>
      <c r="B407" s="15"/>
      <c r="C407" s="15"/>
      <c r="D407" s="15"/>
      <c r="E407" s="15"/>
      <c r="F407" s="15"/>
      <c r="G407" s="6"/>
      <c r="H407" s="15"/>
      <c r="I407" s="15"/>
      <c r="J407" s="15"/>
      <c r="K407" s="15"/>
      <c r="L407" s="15"/>
      <c r="M407" s="15"/>
      <c r="N407" s="15"/>
      <c r="O407" s="15"/>
      <c r="P407" s="15"/>
      <c r="Q407" s="21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</row>
    <row r="408" spans="1:48" x14ac:dyDescent="0.25">
      <c r="A408" s="15"/>
      <c r="B408" s="15"/>
      <c r="C408" s="15"/>
      <c r="D408" s="15"/>
      <c r="E408" s="15"/>
      <c r="F408" s="15"/>
      <c r="G408" s="6"/>
      <c r="H408" s="15"/>
      <c r="I408" s="15"/>
      <c r="J408" s="15"/>
      <c r="K408" s="15"/>
      <c r="L408" s="15"/>
      <c r="M408" s="15"/>
      <c r="N408" s="15"/>
      <c r="O408" s="15"/>
      <c r="P408" s="15"/>
      <c r="Q408" s="21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</row>
    <row r="409" spans="1:48" x14ac:dyDescent="0.25">
      <c r="A409" s="15"/>
      <c r="B409" s="15"/>
      <c r="C409" s="15"/>
      <c r="D409" s="15"/>
      <c r="E409" s="15"/>
      <c r="F409" s="15"/>
      <c r="G409" s="6"/>
      <c r="H409" s="15"/>
      <c r="I409" s="15"/>
      <c r="J409" s="15"/>
      <c r="K409" s="15"/>
      <c r="L409" s="15"/>
      <c r="M409" s="15"/>
      <c r="N409" s="15"/>
      <c r="O409" s="15"/>
      <c r="P409" s="15"/>
      <c r="Q409" s="21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</row>
    <row r="410" spans="1:48" x14ac:dyDescent="0.25">
      <c r="A410" s="15"/>
      <c r="B410" s="15"/>
      <c r="C410" s="15"/>
      <c r="D410" s="15"/>
      <c r="E410" s="15"/>
      <c r="F410" s="15"/>
      <c r="G410" s="6"/>
      <c r="H410" s="15"/>
      <c r="I410" s="15"/>
      <c r="J410" s="15"/>
      <c r="K410" s="15"/>
      <c r="L410" s="15"/>
      <c r="M410" s="15"/>
      <c r="N410" s="15"/>
      <c r="O410" s="15"/>
      <c r="P410" s="15"/>
      <c r="Q410" s="21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</row>
    <row r="411" spans="1:48" x14ac:dyDescent="0.25">
      <c r="A411" s="15"/>
      <c r="B411" s="15"/>
      <c r="C411" s="15"/>
      <c r="D411" s="15"/>
      <c r="E411" s="15"/>
      <c r="F411" s="15"/>
      <c r="G411" s="6"/>
      <c r="H411" s="15"/>
      <c r="I411" s="15"/>
      <c r="J411" s="15"/>
      <c r="K411" s="15"/>
      <c r="L411" s="15"/>
      <c r="M411" s="15"/>
      <c r="N411" s="15"/>
      <c r="O411" s="15"/>
      <c r="P411" s="15"/>
      <c r="Q411" s="21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</row>
    <row r="412" spans="1:48" x14ac:dyDescent="0.25">
      <c r="A412" s="15"/>
      <c r="B412" s="15"/>
      <c r="C412" s="15"/>
      <c r="D412" s="15"/>
      <c r="E412" s="15"/>
      <c r="F412" s="15"/>
      <c r="G412" s="6"/>
      <c r="H412" s="15"/>
      <c r="I412" s="15"/>
      <c r="J412" s="15"/>
      <c r="K412" s="15"/>
      <c r="L412" s="15"/>
      <c r="M412" s="15"/>
      <c r="N412" s="15"/>
      <c r="O412" s="15"/>
      <c r="P412" s="15"/>
      <c r="Q412" s="21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</row>
    <row r="413" spans="1:48" x14ac:dyDescent="0.25">
      <c r="A413" s="15"/>
      <c r="B413" s="15"/>
      <c r="C413" s="15"/>
      <c r="D413" s="15"/>
      <c r="E413" s="15"/>
      <c r="F413" s="15"/>
      <c r="G413" s="6"/>
      <c r="H413" s="15"/>
      <c r="I413" s="15"/>
      <c r="J413" s="15"/>
      <c r="K413" s="15"/>
      <c r="L413" s="15"/>
      <c r="M413" s="15"/>
      <c r="N413" s="15"/>
      <c r="O413" s="15"/>
      <c r="P413" s="15"/>
      <c r="Q413" s="21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</row>
    <row r="414" spans="1:48" x14ac:dyDescent="0.25">
      <c r="A414" s="15"/>
      <c r="B414" s="15"/>
      <c r="C414" s="15"/>
      <c r="D414" s="15"/>
      <c r="E414" s="15"/>
      <c r="F414" s="15"/>
      <c r="G414" s="6"/>
      <c r="H414" s="15"/>
      <c r="I414" s="15"/>
      <c r="J414" s="15"/>
      <c r="K414" s="15"/>
      <c r="L414" s="15"/>
      <c r="M414" s="15"/>
      <c r="N414" s="15"/>
      <c r="O414" s="15"/>
      <c r="P414" s="15"/>
      <c r="Q414" s="21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</row>
    <row r="415" spans="1:48" x14ac:dyDescent="0.25">
      <c r="A415" s="15"/>
      <c r="B415" s="15"/>
      <c r="C415" s="15"/>
      <c r="D415" s="15"/>
      <c r="E415" s="15"/>
      <c r="F415" s="15"/>
      <c r="G415" s="6"/>
      <c r="H415" s="15"/>
      <c r="I415" s="15"/>
      <c r="J415" s="15"/>
      <c r="K415" s="15"/>
      <c r="L415" s="15"/>
      <c r="M415" s="15"/>
      <c r="N415" s="15"/>
      <c r="O415" s="15"/>
      <c r="P415" s="15"/>
      <c r="Q415" s="21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</row>
    <row r="416" spans="1:48" x14ac:dyDescent="0.25">
      <c r="A416" s="15"/>
      <c r="B416" s="15"/>
      <c r="C416" s="15"/>
      <c r="D416" s="15"/>
      <c r="E416" s="15"/>
      <c r="F416" s="15"/>
      <c r="G416" s="6"/>
      <c r="H416" s="15"/>
      <c r="I416" s="15"/>
      <c r="J416" s="15"/>
      <c r="K416" s="15"/>
      <c r="L416" s="15"/>
      <c r="M416" s="15"/>
      <c r="N416" s="15"/>
      <c r="O416" s="15"/>
      <c r="P416" s="15"/>
      <c r="Q416" s="21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</row>
    <row r="417" spans="1:48" x14ac:dyDescent="0.25">
      <c r="A417" s="15"/>
      <c r="B417" s="15"/>
      <c r="C417" s="15"/>
      <c r="D417" s="15"/>
      <c r="E417" s="15"/>
      <c r="F417" s="15"/>
      <c r="G417" s="6"/>
      <c r="H417" s="15"/>
      <c r="I417" s="15"/>
      <c r="J417" s="15"/>
      <c r="K417" s="15"/>
      <c r="L417" s="15"/>
      <c r="M417" s="15"/>
      <c r="N417" s="15"/>
      <c r="O417" s="15"/>
      <c r="P417" s="15"/>
      <c r="Q417" s="21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</row>
    <row r="418" spans="1:48" x14ac:dyDescent="0.25">
      <c r="A418" s="15"/>
      <c r="B418" s="15"/>
      <c r="C418" s="15"/>
      <c r="D418" s="15"/>
      <c r="E418" s="15"/>
      <c r="F418" s="15"/>
      <c r="G418" s="6"/>
      <c r="H418" s="15"/>
      <c r="I418" s="15"/>
      <c r="J418" s="15"/>
      <c r="K418" s="15"/>
      <c r="L418" s="15"/>
      <c r="M418" s="15"/>
      <c r="N418" s="15"/>
      <c r="O418" s="15"/>
      <c r="P418" s="15"/>
      <c r="Q418" s="21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</row>
    <row r="419" spans="1:48" x14ac:dyDescent="0.25">
      <c r="A419" s="15"/>
      <c r="B419" s="15"/>
      <c r="C419" s="15"/>
      <c r="D419" s="15"/>
      <c r="E419" s="15"/>
      <c r="F419" s="15"/>
      <c r="G419" s="6"/>
      <c r="H419" s="15"/>
      <c r="I419" s="15"/>
      <c r="J419" s="15"/>
      <c r="K419" s="15"/>
      <c r="L419" s="15"/>
      <c r="M419" s="15"/>
      <c r="N419" s="15"/>
      <c r="O419" s="15"/>
      <c r="P419" s="15"/>
      <c r="Q419" s="21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</row>
    <row r="420" spans="1:48" x14ac:dyDescent="0.25">
      <c r="A420" s="15"/>
      <c r="B420" s="15"/>
      <c r="C420" s="15"/>
      <c r="D420" s="15"/>
      <c r="E420" s="15"/>
      <c r="F420" s="15"/>
      <c r="G420" s="6"/>
      <c r="H420" s="15"/>
      <c r="I420" s="15"/>
      <c r="J420" s="15"/>
      <c r="K420" s="15"/>
      <c r="L420" s="15"/>
      <c r="M420" s="15"/>
      <c r="N420" s="15"/>
      <c r="O420" s="15"/>
      <c r="P420" s="15"/>
      <c r="Q420" s="21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</row>
    <row r="421" spans="1:48" x14ac:dyDescent="0.25">
      <c r="A421" s="15"/>
      <c r="B421" s="15"/>
      <c r="C421" s="15"/>
      <c r="D421" s="15"/>
      <c r="E421" s="15"/>
      <c r="F421" s="15"/>
      <c r="G421" s="6"/>
      <c r="H421" s="15"/>
      <c r="I421" s="15"/>
      <c r="J421" s="15"/>
      <c r="K421" s="15"/>
      <c r="L421" s="15"/>
      <c r="M421" s="15"/>
      <c r="N421" s="15"/>
      <c r="O421" s="15"/>
      <c r="P421" s="15"/>
      <c r="Q421" s="21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</row>
    <row r="422" spans="1:48" x14ac:dyDescent="0.25">
      <c r="A422" s="15"/>
      <c r="B422" s="15"/>
      <c r="C422" s="15"/>
      <c r="D422" s="15"/>
      <c r="E422" s="15"/>
      <c r="F422" s="15"/>
      <c r="G422" s="6"/>
      <c r="H422" s="15"/>
      <c r="I422" s="15"/>
      <c r="J422" s="15"/>
      <c r="K422" s="15"/>
      <c r="L422" s="15"/>
      <c r="M422" s="15"/>
      <c r="N422" s="15"/>
      <c r="O422" s="15"/>
      <c r="P422" s="15"/>
      <c r="Q422" s="21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</row>
    <row r="423" spans="1:48" x14ac:dyDescent="0.25">
      <c r="A423" s="15"/>
      <c r="B423" s="15"/>
      <c r="C423" s="15"/>
      <c r="D423" s="15"/>
      <c r="E423" s="15"/>
      <c r="F423" s="15"/>
      <c r="G423" s="6"/>
      <c r="H423" s="15"/>
      <c r="I423" s="15"/>
      <c r="J423" s="15"/>
      <c r="K423" s="15"/>
      <c r="L423" s="15"/>
      <c r="M423" s="15"/>
      <c r="N423" s="15"/>
      <c r="O423" s="15"/>
      <c r="P423" s="15"/>
      <c r="Q423" s="21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</row>
    <row r="424" spans="1:48" x14ac:dyDescent="0.25">
      <c r="A424" s="15"/>
      <c r="B424" s="15"/>
      <c r="C424" s="15"/>
      <c r="D424" s="15"/>
      <c r="E424" s="15"/>
      <c r="F424" s="15"/>
      <c r="G424" s="6"/>
      <c r="H424" s="15"/>
      <c r="I424" s="15"/>
      <c r="J424" s="15"/>
      <c r="K424" s="15"/>
      <c r="L424" s="15"/>
      <c r="M424" s="15"/>
      <c r="N424" s="15"/>
      <c r="O424" s="15"/>
      <c r="P424" s="15"/>
      <c r="Q424" s="21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</row>
    <row r="425" spans="1:48" x14ac:dyDescent="0.25">
      <c r="A425" s="15"/>
      <c r="B425" s="15"/>
      <c r="C425" s="15"/>
      <c r="D425" s="15"/>
      <c r="E425" s="15"/>
      <c r="F425" s="15"/>
      <c r="G425" s="6"/>
      <c r="H425" s="15"/>
      <c r="I425" s="15"/>
      <c r="J425" s="15"/>
      <c r="K425" s="15"/>
      <c r="L425" s="15"/>
      <c r="M425" s="15"/>
      <c r="N425" s="15"/>
      <c r="O425" s="15"/>
      <c r="P425" s="15"/>
      <c r="Q425" s="21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</row>
    <row r="426" spans="1:48" x14ac:dyDescent="0.25">
      <c r="A426" s="15"/>
      <c r="B426" s="15"/>
      <c r="C426" s="15"/>
      <c r="D426" s="15"/>
      <c r="E426" s="15"/>
      <c r="F426" s="15"/>
      <c r="G426" s="6"/>
      <c r="H426" s="15"/>
      <c r="I426" s="15"/>
      <c r="J426" s="15"/>
      <c r="K426" s="15"/>
      <c r="L426" s="15"/>
      <c r="M426" s="15"/>
      <c r="N426" s="15"/>
      <c r="O426" s="15"/>
      <c r="P426" s="15"/>
      <c r="Q426" s="21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</row>
    <row r="427" spans="1:48" x14ac:dyDescent="0.25">
      <c r="A427" s="15"/>
      <c r="B427" s="15"/>
      <c r="C427" s="15"/>
      <c r="D427" s="15"/>
      <c r="E427" s="15"/>
      <c r="F427" s="15"/>
      <c r="G427" s="6"/>
      <c r="H427" s="15"/>
      <c r="I427" s="15"/>
      <c r="J427" s="15"/>
      <c r="K427" s="15"/>
      <c r="L427" s="15"/>
      <c r="M427" s="15"/>
      <c r="N427" s="15"/>
      <c r="O427" s="15"/>
      <c r="P427" s="15"/>
      <c r="Q427" s="21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</row>
    <row r="428" spans="1:48" x14ac:dyDescent="0.25">
      <c r="A428" s="15"/>
      <c r="B428" s="15"/>
      <c r="C428" s="15"/>
      <c r="D428" s="15"/>
      <c r="E428" s="15"/>
      <c r="F428" s="15"/>
      <c r="G428" s="6"/>
      <c r="H428" s="15"/>
      <c r="I428" s="15"/>
      <c r="J428" s="15"/>
      <c r="K428" s="15"/>
      <c r="L428" s="15"/>
      <c r="M428" s="15"/>
      <c r="N428" s="15"/>
      <c r="O428" s="15"/>
      <c r="P428" s="15"/>
      <c r="Q428" s="21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</row>
    <row r="429" spans="1:48" x14ac:dyDescent="0.25">
      <c r="A429" s="15"/>
      <c r="B429" s="15"/>
      <c r="C429" s="15"/>
      <c r="D429" s="15"/>
      <c r="E429" s="15"/>
      <c r="F429" s="15"/>
      <c r="G429" s="6"/>
      <c r="H429" s="15"/>
      <c r="I429" s="15"/>
      <c r="J429" s="15"/>
      <c r="K429" s="15"/>
      <c r="L429" s="15"/>
      <c r="M429" s="15"/>
      <c r="N429" s="15"/>
      <c r="O429" s="15"/>
      <c r="P429" s="15"/>
      <c r="Q429" s="21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</row>
    <row r="430" spans="1:48" x14ac:dyDescent="0.25">
      <c r="A430" s="15"/>
      <c r="B430" s="15"/>
      <c r="C430" s="15"/>
      <c r="D430" s="15"/>
      <c r="E430" s="15"/>
      <c r="F430" s="15"/>
      <c r="G430" s="6"/>
      <c r="H430" s="15"/>
      <c r="I430" s="15"/>
      <c r="J430" s="15"/>
      <c r="K430" s="15"/>
      <c r="L430" s="15"/>
      <c r="M430" s="15"/>
      <c r="N430" s="15"/>
      <c r="O430" s="15"/>
      <c r="P430" s="15"/>
      <c r="Q430" s="21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</row>
    <row r="431" spans="1:48" x14ac:dyDescent="0.25">
      <c r="A431" s="15"/>
      <c r="B431" s="15"/>
      <c r="C431" s="15"/>
      <c r="D431" s="15"/>
      <c r="E431" s="15"/>
      <c r="F431" s="15"/>
      <c r="G431" s="6"/>
      <c r="H431" s="15"/>
      <c r="I431" s="15"/>
      <c r="J431" s="15"/>
      <c r="K431" s="15"/>
      <c r="L431" s="15"/>
      <c r="M431" s="15"/>
      <c r="N431" s="15"/>
      <c r="O431" s="15"/>
      <c r="P431" s="15"/>
      <c r="Q431" s="21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</row>
    <row r="432" spans="1:48" x14ac:dyDescent="0.25">
      <c r="A432" s="15"/>
      <c r="B432" s="15"/>
      <c r="C432" s="15"/>
      <c r="D432" s="15"/>
      <c r="E432" s="15"/>
      <c r="F432" s="15"/>
      <c r="G432" s="6"/>
      <c r="H432" s="15"/>
      <c r="I432" s="15"/>
      <c r="J432" s="15"/>
      <c r="K432" s="15"/>
      <c r="L432" s="15"/>
      <c r="M432" s="15"/>
      <c r="N432" s="15"/>
      <c r="O432" s="15"/>
      <c r="P432" s="15"/>
      <c r="Q432" s="21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</row>
    <row r="433" spans="1:48" x14ac:dyDescent="0.25">
      <c r="A433" s="15"/>
      <c r="B433" s="15"/>
      <c r="C433" s="15"/>
      <c r="D433" s="15"/>
      <c r="E433" s="15"/>
      <c r="F433" s="15"/>
      <c r="G433" s="6"/>
      <c r="H433" s="15"/>
      <c r="I433" s="15"/>
      <c r="J433" s="15"/>
      <c r="K433" s="15"/>
      <c r="L433" s="15"/>
      <c r="M433" s="15"/>
      <c r="N433" s="15"/>
      <c r="O433" s="15"/>
      <c r="P433" s="15"/>
      <c r="Q433" s="21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</row>
    <row r="434" spans="1:48" x14ac:dyDescent="0.25">
      <c r="A434" s="15"/>
      <c r="B434" s="15"/>
      <c r="C434" s="15"/>
      <c r="D434" s="15"/>
      <c r="E434" s="15"/>
      <c r="F434" s="15"/>
      <c r="G434" s="6"/>
      <c r="H434" s="15"/>
      <c r="I434" s="15"/>
      <c r="J434" s="15"/>
      <c r="K434" s="15"/>
      <c r="L434" s="15"/>
      <c r="M434" s="15"/>
      <c r="N434" s="15"/>
      <c r="O434" s="15"/>
      <c r="P434" s="15"/>
      <c r="Q434" s="21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</row>
    <row r="435" spans="1:48" x14ac:dyDescent="0.25">
      <c r="A435" s="15"/>
      <c r="B435" s="15"/>
      <c r="C435" s="15"/>
      <c r="D435" s="15"/>
      <c r="E435" s="15"/>
      <c r="F435" s="15"/>
      <c r="G435" s="6"/>
      <c r="H435" s="15"/>
      <c r="I435" s="15"/>
      <c r="J435" s="15"/>
      <c r="K435" s="15"/>
      <c r="L435" s="15"/>
      <c r="M435" s="15"/>
      <c r="N435" s="15"/>
      <c r="O435" s="15"/>
      <c r="P435" s="15"/>
      <c r="Q435" s="21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</row>
    <row r="436" spans="1:48" x14ac:dyDescent="0.25">
      <c r="A436" s="15"/>
      <c r="B436" s="15"/>
      <c r="C436" s="15"/>
      <c r="D436" s="15"/>
      <c r="E436" s="15"/>
      <c r="F436" s="15"/>
      <c r="G436" s="6"/>
      <c r="H436" s="15"/>
      <c r="I436" s="15"/>
      <c r="J436" s="15"/>
      <c r="K436" s="15"/>
      <c r="L436" s="15"/>
      <c r="M436" s="15"/>
      <c r="N436" s="15"/>
      <c r="O436" s="15"/>
      <c r="P436" s="15"/>
      <c r="Q436" s="21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</row>
    <row r="437" spans="1:48" x14ac:dyDescent="0.25">
      <c r="A437" s="15"/>
      <c r="B437" s="15"/>
      <c r="C437" s="15"/>
      <c r="D437" s="15"/>
      <c r="E437" s="15"/>
      <c r="F437" s="15"/>
      <c r="G437" s="6"/>
      <c r="H437" s="15"/>
      <c r="I437" s="15"/>
      <c r="J437" s="15"/>
      <c r="K437" s="15"/>
      <c r="L437" s="15"/>
      <c r="M437" s="15"/>
      <c r="N437" s="15"/>
      <c r="O437" s="15"/>
      <c r="P437" s="15"/>
      <c r="Q437" s="21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</row>
    <row r="438" spans="1:48" x14ac:dyDescent="0.25">
      <c r="A438" s="15"/>
      <c r="B438" s="15"/>
      <c r="C438" s="15"/>
      <c r="D438" s="15"/>
      <c r="E438" s="15"/>
      <c r="F438" s="15"/>
      <c r="G438" s="6"/>
      <c r="H438" s="15"/>
      <c r="I438" s="15"/>
      <c r="J438" s="15"/>
      <c r="K438" s="15"/>
      <c r="L438" s="15"/>
      <c r="M438" s="15"/>
      <c r="N438" s="15"/>
      <c r="O438" s="15"/>
      <c r="P438" s="15"/>
      <c r="Q438" s="21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</row>
    <row r="439" spans="1:48" x14ac:dyDescent="0.25">
      <c r="A439" s="15"/>
      <c r="B439" s="15"/>
      <c r="C439" s="15"/>
      <c r="D439" s="15"/>
      <c r="E439" s="15"/>
      <c r="F439" s="15"/>
      <c r="G439" s="6"/>
      <c r="H439" s="15"/>
      <c r="I439" s="15"/>
      <c r="J439" s="15"/>
      <c r="K439" s="15"/>
      <c r="L439" s="15"/>
      <c r="M439" s="15"/>
      <c r="N439" s="15"/>
      <c r="O439" s="15"/>
      <c r="P439" s="15"/>
      <c r="Q439" s="21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</row>
    <row r="440" spans="1:48" x14ac:dyDescent="0.25">
      <c r="A440" s="15"/>
      <c r="B440" s="15"/>
      <c r="C440" s="15"/>
      <c r="D440" s="15"/>
      <c r="E440" s="15"/>
      <c r="F440" s="15"/>
      <c r="G440" s="6"/>
      <c r="H440" s="15"/>
      <c r="I440" s="15"/>
      <c r="J440" s="15"/>
      <c r="K440" s="15"/>
      <c r="L440" s="15"/>
      <c r="M440" s="15"/>
      <c r="N440" s="15"/>
      <c r="O440" s="15"/>
      <c r="P440" s="15"/>
      <c r="Q440" s="21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</row>
    <row r="441" spans="1:48" x14ac:dyDescent="0.25">
      <c r="A441" s="15"/>
      <c r="B441" s="15"/>
      <c r="C441" s="15"/>
      <c r="D441" s="15"/>
      <c r="E441" s="15"/>
      <c r="F441" s="15"/>
      <c r="G441" s="6"/>
      <c r="H441" s="15"/>
      <c r="I441" s="15"/>
      <c r="J441" s="15"/>
      <c r="K441" s="15"/>
      <c r="L441" s="15"/>
      <c r="M441" s="15"/>
      <c r="N441" s="15"/>
      <c r="O441" s="15"/>
      <c r="P441" s="15"/>
      <c r="Q441" s="21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</row>
    <row r="442" spans="1:48" x14ac:dyDescent="0.25">
      <c r="A442" s="15"/>
      <c r="B442" s="15"/>
      <c r="C442" s="15"/>
      <c r="D442" s="15"/>
      <c r="E442" s="15"/>
      <c r="F442" s="15"/>
      <c r="G442" s="6"/>
      <c r="H442" s="15"/>
      <c r="I442" s="15"/>
      <c r="J442" s="15"/>
      <c r="K442" s="15"/>
      <c r="L442" s="15"/>
      <c r="M442" s="15"/>
      <c r="N442" s="15"/>
      <c r="O442" s="15"/>
      <c r="P442" s="15"/>
      <c r="Q442" s="21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</row>
    <row r="443" spans="1:48" x14ac:dyDescent="0.25">
      <c r="A443" s="15"/>
      <c r="B443" s="15"/>
      <c r="C443" s="15"/>
      <c r="D443" s="15"/>
      <c r="E443" s="15"/>
      <c r="F443" s="15"/>
      <c r="G443" s="6"/>
      <c r="H443" s="15"/>
      <c r="I443" s="15"/>
      <c r="J443" s="15"/>
      <c r="K443" s="15"/>
      <c r="L443" s="15"/>
      <c r="M443" s="15"/>
      <c r="N443" s="15"/>
      <c r="O443" s="15"/>
      <c r="P443" s="15"/>
      <c r="Q443" s="21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</row>
    <row r="444" spans="1:48" x14ac:dyDescent="0.25">
      <c r="A444" s="15"/>
      <c r="B444" s="15"/>
      <c r="C444" s="15"/>
      <c r="D444" s="15"/>
      <c r="E444" s="15"/>
      <c r="F444" s="15"/>
      <c r="G444" s="6"/>
      <c r="H444" s="15"/>
      <c r="I444" s="15"/>
      <c r="J444" s="15"/>
      <c r="K444" s="15"/>
      <c r="L444" s="15"/>
      <c r="M444" s="15"/>
      <c r="N444" s="15"/>
      <c r="O444" s="15"/>
      <c r="P444" s="15"/>
      <c r="Q444" s="21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</row>
    <row r="445" spans="1:48" x14ac:dyDescent="0.25">
      <c r="A445" s="15"/>
      <c r="B445" s="15"/>
      <c r="C445" s="15"/>
      <c r="D445" s="15"/>
      <c r="E445" s="15"/>
      <c r="F445" s="15"/>
      <c r="G445" s="6"/>
      <c r="H445" s="15"/>
      <c r="I445" s="15"/>
      <c r="J445" s="15"/>
      <c r="K445" s="15"/>
      <c r="L445" s="15"/>
      <c r="M445" s="15"/>
      <c r="N445" s="15"/>
      <c r="O445" s="15"/>
      <c r="P445" s="15"/>
      <c r="Q445" s="21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</row>
    <row r="446" spans="1:48" x14ac:dyDescent="0.25">
      <c r="A446" s="15"/>
      <c r="B446" s="15"/>
      <c r="C446" s="15"/>
      <c r="D446" s="15"/>
      <c r="E446" s="15"/>
      <c r="F446" s="15"/>
      <c r="G446" s="6"/>
      <c r="H446" s="15"/>
      <c r="I446" s="15"/>
      <c r="J446" s="15"/>
      <c r="K446" s="15"/>
      <c r="L446" s="15"/>
      <c r="M446" s="15"/>
      <c r="N446" s="15"/>
      <c r="O446" s="15"/>
      <c r="P446" s="15"/>
      <c r="Q446" s="21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</row>
    <row r="447" spans="1:48" x14ac:dyDescent="0.25">
      <c r="A447" s="15"/>
      <c r="B447" s="15"/>
      <c r="C447" s="15"/>
      <c r="D447" s="15"/>
      <c r="E447" s="15"/>
      <c r="F447" s="15"/>
      <c r="G447" s="6"/>
      <c r="H447" s="15"/>
      <c r="I447" s="15"/>
      <c r="J447" s="15"/>
      <c r="K447" s="15"/>
      <c r="L447" s="15"/>
      <c r="M447" s="15"/>
      <c r="N447" s="15"/>
      <c r="O447" s="15"/>
      <c r="P447" s="15"/>
      <c r="Q447" s="21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</row>
    <row r="448" spans="1:48" x14ac:dyDescent="0.25">
      <c r="A448" s="15"/>
      <c r="B448" s="15"/>
      <c r="C448" s="15"/>
      <c r="D448" s="15"/>
      <c r="E448" s="15"/>
      <c r="F448" s="15"/>
      <c r="G448" s="6"/>
      <c r="H448" s="15"/>
      <c r="I448" s="15"/>
      <c r="J448" s="15"/>
      <c r="K448" s="15"/>
      <c r="L448" s="15"/>
      <c r="M448" s="15"/>
      <c r="N448" s="15"/>
      <c r="O448" s="15"/>
      <c r="P448" s="15"/>
      <c r="Q448" s="21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</row>
    <row r="449" spans="1:48" x14ac:dyDescent="0.25">
      <c r="A449" s="15"/>
      <c r="B449" s="15"/>
      <c r="C449" s="15"/>
      <c r="D449" s="15"/>
      <c r="E449" s="15"/>
      <c r="F449" s="15"/>
      <c r="G449" s="6"/>
      <c r="H449" s="15"/>
      <c r="I449" s="15"/>
      <c r="J449" s="15"/>
      <c r="K449" s="15"/>
      <c r="L449" s="15"/>
      <c r="M449" s="15"/>
      <c r="N449" s="15"/>
      <c r="O449" s="15"/>
      <c r="P449" s="15"/>
      <c r="Q449" s="21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</row>
    <row r="450" spans="1:48" x14ac:dyDescent="0.25">
      <c r="A450" s="15"/>
      <c r="B450" s="15"/>
      <c r="C450" s="15"/>
      <c r="D450" s="15"/>
      <c r="E450" s="15"/>
      <c r="F450" s="15"/>
      <c r="G450" s="6"/>
      <c r="H450" s="15"/>
      <c r="I450" s="15"/>
      <c r="J450" s="15"/>
      <c r="K450" s="15"/>
      <c r="L450" s="15"/>
      <c r="M450" s="15"/>
      <c r="N450" s="15"/>
      <c r="O450" s="15"/>
      <c r="P450" s="15"/>
      <c r="Q450" s="21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</row>
    <row r="451" spans="1:48" x14ac:dyDescent="0.25">
      <c r="A451" s="15"/>
      <c r="B451" s="15"/>
      <c r="C451" s="15"/>
      <c r="D451" s="15"/>
      <c r="E451" s="15"/>
      <c r="F451" s="15"/>
      <c r="G451" s="6"/>
      <c r="H451" s="15"/>
      <c r="I451" s="15"/>
      <c r="J451" s="15"/>
      <c r="K451" s="15"/>
      <c r="L451" s="15"/>
      <c r="M451" s="15"/>
      <c r="N451" s="15"/>
      <c r="O451" s="15"/>
      <c r="P451" s="15"/>
      <c r="Q451" s="21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</row>
    <row r="452" spans="1:48" x14ac:dyDescent="0.25">
      <c r="A452" s="15"/>
      <c r="B452" s="15"/>
      <c r="C452" s="15"/>
      <c r="D452" s="15"/>
      <c r="E452" s="15"/>
      <c r="F452" s="15"/>
      <c r="G452" s="6"/>
      <c r="H452" s="15"/>
      <c r="I452" s="15"/>
      <c r="J452" s="15"/>
      <c r="K452" s="15"/>
      <c r="L452" s="15"/>
      <c r="M452" s="15"/>
      <c r="N452" s="15"/>
      <c r="O452" s="15"/>
      <c r="P452" s="15"/>
      <c r="Q452" s="21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</row>
    <row r="453" spans="1:48" x14ac:dyDescent="0.25">
      <c r="A453" s="15"/>
      <c r="B453" s="15"/>
      <c r="C453" s="15"/>
      <c r="D453" s="15"/>
      <c r="E453" s="15"/>
      <c r="F453" s="15"/>
      <c r="G453" s="6"/>
      <c r="H453" s="15"/>
      <c r="I453" s="15"/>
      <c r="J453" s="15"/>
      <c r="K453" s="15"/>
      <c r="L453" s="15"/>
      <c r="M453" s="15"/>
      <c r="N453" s="15"/>
      <c r="O453" s="15"/>
      <c r="P453" s="15"/>
      <c r="Q453" s="21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</row>
    <row r="454" spans="1:48" x14ac:dyDescent="0.25">
      <c r="A454" s="15"/>
      <c r="B454" s="15"/>
      <c r="C454" s="15"/>
      <c r="D454" s="15"/>
      <c r="E454" s="15"/>
      <c r="F454" s="15"/>
      <c r="G454" s="6"/>
      <c r="H454" s="15"/>
      <c r="I454" s="15"/>
      <c r="J454" s="15"/>
      <c r="K454" s="15"/>
      <c r="L454" s="15"/>
      <c r="M454" s="15"/>
      <c r="N454" s="15"/>
      <c r="O454" s="15"/>
      <c r="P454" s="15"/>
      <c r="Q454" s="21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</row>
    <row r="455" spans="1:48" x14ac:dyDescent="0.25">
      <c r="A455" s="15"/>
      <c r="B455" s="15"/>
      <c r="C455" s="15"/>
      <c r="D455" s="15"/>
      <c r="E455" s="15"/>
      <c r="F455" s="15"/>
      <c r="G455" s="6"/>
      <c r="H455" s="15"/>
      <c r="I455" s="15"/>
      <c r="J455" s="15"/>
      <c r="K455" s="15"/>
      <c r="L455" s="15"/>
      <c r="M455" s="15"/>
      <c r="N455" s="15"/>
      <c r="O455" s="15"/>
      <c r="P455" s="15"/>
      <c r="Q455" s="21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</row>
    <row r="456" spans="1:48" x14ac:dyDescent="0.25">
      <c r="A456" s="15"/>
      <c r="B456" s="15"/>
      <c r="C456" s="15"/>
      <c r="D456" s="15"/>
      <c r="E456" s="15"/>
      <c r="F456" s="15"/>
      <c r="G456" s="6"/>
      <c r="H456" s="15"/>
      <c r="I456" s="15"/>
      <c r="J456" s="15"/>
      <c r="K456" s="15"/>
      <c r="L456" s="15"/>
      <c r="M456" s="15"/>
      <c r="N456" s="15"/>
      <c r="O456" s="15"/>
      <c r="P456" s="15"/>
      <c r="Q456" s="21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</row>
    <row r="457" spans="1:48" x14ac:dyDescent="0.25">
      <c r="A457" s="15"/>
      <c r="B457" s="15"/>
      <c r="C457" s="15"/>
      <c r="D457" s="15"/>
      <c r="E457" s="15"/>
      <c r="F457" s="15"/>
      <c r="G457" s="6"/>
      <c r="H457" s="15"/>
      <c r="I457" s="15"/>
      <c r="J457" s="15"/>
      <c r="K457" s="15"/>
      <c r="L457" s="15"/>
      <c r="M457" s="15"/>
      <c r="N457" s="15"/>
      <c r="O457" s="15"/>
      <c r="P457" s="15"/>
      <c r="Q457" s="21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</row>
    <row r="458" spans="1:48" x14ac:dyDescent="0.25">
      <c r="A458" s="15"/>
      <c r="B458" s="15"/>
      <c r="C458" s="15"/>
      <c r="D458" s="15"/>
      <c r="E458" s="15"/>
      <c r="F458" s="15"/>
      <c r="G458" s="6"/>
      <c r="H458" s="15"/>
      <c r="I458" s="15"/>
      <c r="J458" s="15"/>
      <c r="K458" s="15"/>
      <c r="L458" s="15"/>
      <c r="M458" s="15"/>
      <c r="N458" s="15"/>
      <c r="O458" s="15"/>
      <c r="P458" s="15"/>
      <c r="Q458" s="21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</row>
    <row r="459" spans="1:48" x14ac:dyDescent="0.25">
      <c r="A459" s="15"/>
      <c r="B459" s="15"/>
      <c r="C459" s="15"/>
      <c r="D459" s="15"/>
      <c r="E459" s="15"/>
      <c r="F459" s="15"/>
      <c r="G459" s="6"/>
      <c r="H459" s="15"/>
      <c r="I459" s="15"/>
      <c r="J459" s="15"/>
      <c r="K459" s="15"/>
      <c r="L459" s="15"/>
      <c r="M459" s="15"/>
      <c r="N459" s="15"/>
      <c r="O459" s="15"/>
      <c r="P459" s="15"/>
      <c r="Q459" s="21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</row>
    <row r="460" spans="1:48" x14ac:dyDescent="0.25">
      <c r="A460" s="15"/>
      <c r="B460" s="15"/>
      <c r="C460" s="15"/>
      <c r="D460" s="15"/>
      <c r="E460" s="15"/>
      <c r="F460" s="15"/>
      <c r="G460" s="6"/>
      <c r="H460" s="15"/>
      <c r="I460" s="15"/>
      <c r="J460" s="15"/>
      <c r="K460" s="15"/>
      <c r="L460" s="15"/>
      <c r="M460" s="15"/>
      <c r="N460" s="15"/>
      <c r="O460" s="15"/>
      <c r="P460" s="15"/>
      <c r="Q460" s="21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</row>
    <row r="461" spans="1:48" x14ac:dyDescent="0.25">
      <c r="A461" s="15"/>
      <c r="B461" s="15"/>
      <c r="C461" s="15"/>
      <c r="D461" s="15"/>
      <c r="E461" s="15"/>
      <c r="F461" s="15"/>
      <c r="G461" s="6"/>
      <c r="H461" s="15"/>
      <c r="I461" s="15"/>
      <c r="J461" s="15"/>
      <c r="K461" s="15"/>
      <c r="L461" s="15"/>
      <c r="M461" s="15"/>
      <c r="N461" s="15"/>
      <c r="O461" s="15"/>
      <c r="P461" s="15"/>
      <c r="Q461" s="21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</row>
    <row r="462" spans="1:48" x14ac:dyDescent="0.25">
      <c r="A462" s="15"/>
      <c r="B462" s="15"/>
      <c r="C462" s="15"/>
      <c r="D462" s="15"/>
      <c r="E462" s="15"/>
      <c r="F462" s="15"/>
      <c r="G462" s="6"/>
      <c r="H462" s="15"/>
      <c r="I462" s="15"/>
      <c r="J462" s="15"/>
      <c r="K462" s="15"/>
      <c r="L462" s="15"/>
      <c r="M462" s="15"/>
      <c r="N462" s="15"/>
      <c r="O462" s="15"/>
      <c r="P462" s="15"/>
      <c r="Q462" s="21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</row>
    <row r="463" spans="1:48" x14ac:dyDescent="0.25">
      <c r="A463" s="15"/>
      <c r="B463" s="15"/>
      <c r="C463" s="15"/>
      <c r="D463" s="15"/>
      <c r="E463" s="15"/>
      <c r="F463" s="15"/>
      <c r="G463" s="6"/>
      <c r="H463" s="15"/>
      <c r="I463" s="15"/>
      <c r="J463" s="15"/>
      <c r="K463" s="15"/>
      <c r="L463" s="15"/>
      <c r="M463" s="15"/>
      <c r="N463" s="15"/>
      <c r="O463" s="15"/>
      <c r="P463" s="15"/>
      <c r="Q463" s="21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</row>
    <row r="464" spans="1:48" x14ac:dyDescent="0.25">
      <c r="A464" s="15"/>
      <c r="B464" s="15"/>
      <c r="C464" s="15"/>
      <c r="D464" s="15"/>
      <c r="E464" s="15"/>
      <c r="F464" s="15"/>
      <c r="G464" s="6"/>
      <c r="H464" s="15"/>
      <c r="I464" s="15"/>
      <c r="J464" s="15"/>
      <c r="K464" s="15"/>
      <c r="L464" s="15"/>
      <c r="M464" s="15"/>
      <c r="N464" s="15"/>
      <c r="O464" s="15"/>
      <c r="P464" s="15"/>
      <c r="Q464" s="21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</row>
    <row r="465" spans="1:48" x14ac:dyDescent="0.25">
      <c r="A465" s="15"/>
      <c r="B465" s="15"/>
      <c r="C465" s="15"/>
      <c r="D465" s="15"/>
      <c r="E465" s="15"/>
      <c r="F465" s="15"/>
      <c r="G465" s="6"/>
      <c r="H465" s="15"/>
      <c r="I465" s="15"/>
      <c r="J465" s="15"/>
      <c r="K465" s="15"/>
      <c r="L465" s="15"/>
      <c r="M465" s="15"/>
      <c r="N465" s="15"/>
      <c r="O465" s="15"/>
      <c r="P465" s="15"/>
      <c r="Q465" s="21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</row>
    <row r="466" spans="1:48" x14ac:dyDescent="0.25">
      <c r="A466" s="15"/>
      <c r="B466" s="15"/>
      <c r="C466" s="15"/>
      <c r="D466" s="15"/>
      <c r="E466" s="15"/>
      <c r="F466" s="15"/>
      <c r="G466" s="6"/>
      <c r="H466" s="15"/>
      <c r="I466" s="15"/>
      <c r="J466" s="15"/>
      <c r="K466" s="15"/>
      <c r="L466" s="15"/>
      <c r="M466" s="15"/>
      <c r="N466" s="15"/>
      <c r="O466" s="15"/>
      <c r="P466" s="15"/>
      <c r="Q466" s="21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</row>
    <row r="467" spans="1:48" x14ac:dyDescent="0.25">
      <c r="A467" s="15"/>
      <c r="B467" s="15"/>
      <c r="C467" s="15"/>
      <c r="D467" s="15"/>
      <c r="E467" s="15"/>
      <c r="F467" s="15"/>
      <c r="G467" s="6"/>
      <c r="H467" s="15"/>
      <c r="I467" s="15"/>
      <c r="J467" s="15"/>
      <c r="K467" s="15"/>
      <c r="L467" s="15"/>
      <c r="M467" s="15"/>
      <c r="N467" s="15"/>
      <c r="O467" s="15"/>
      <c r="P467" s="15"/>
      <c r="Q467" s="21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</row>
    <row r="468" spans="1:48" x14ac:dyDescent="0.25">
      <c r="A468" s="15"/>
      <c r="B468" s="15"/>
      <c r="C468" s="15"/>
      <c r="D468" s="15"/>
      <c r="E468" s="15"/>
      <c r="F468" s="15"/>
      <c r="G468" s="6"/>
      <c r="H468" s="15"/>
      <c r="I468" s="15"/>
      <c r="J468" s="15"/>
      <c r="K468" s="15"/>
      <c r="L468" s="15"/>
      <c r="M468" s="15"/>
      <c r="N468" s="15"/>
      <c r="O468" s="15"/>
      <c r="P468" s="15"/>
      <c r="Q468" s="21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</row>
    <row r="469" spans="1:48" x14ac:dyDescent="0.25">
      <c r="A469" s="15"/>
      <c r="B469" s="15"/>
      <c r="C469" s="15"/>
      <c r="D469" s="15"/>
      <c r="E469" s="15"/>
      <c r="F469" s="15"/>
      <c r="G469" s="6"/>
      <c r="H469" s="15"/>
      <c r="I469" s="15"/>
      <c r="J469" s="15"/>
      <c r="K469" s="15"/>
      <c r="L469" s="15"/>
      <c r="M469" s="15"/>
      <c r="N469" s="15"/>
      <c r="O469" s="15"/>
      <c r="P469" s="15"/>
      <c r="Q469" s="21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</row>
    <row r="470" spans="1:48" x14ac:dyDescent="0.25">
      <c r="A470" s="15"/>
      <c r="B470" s="15"/>
      <c r="C470" s="15"/>
      <c r="D470" s="15"/>
      <c r="E470" s="15"/>
      <c r="F470" s="15"/>
      <c r="G470" s="6"/>
      <c r="H470" s="15"/>
      <c r="I470" s="15"/>
      <c r="J470" s="15"/>
      <c r="K470" s="15"/>
      <c r="L470" s="15"/>
      <c r="M470" s="15"/>
      <c r="N470" s="15"/>
      <c r="O470" s="15"/>
      <c r="P470" s="15"/>
      <c r="Q470" s="21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</row>
    <row r="471" spans="1:48" x14ac:dyDescent="0.25">
      <c r="A471" s="15"/>
      <c r="B471" s="15"/>
      <c r="C471" s="15"/>
      <c r="D471" s="15"/>
      <c r="E471" s="15"/>
      <c r="F471" s="15"/>
      <c r="G471" s="6"/>
      <c r="H471" s="15"/>
      <c r="I471" s="15"/>
      <c r="J471" s="15"/>
      <c r="K471" s="15"/>
      <c r="L471" s="15"/>
      <c r="M471" s="15"/>
      <c r="N471" s="15"/>
      <c r="O471" s="15"/>
      <c r="P471" s="15"/>
      <c r="Q471" s="21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</row>
    <row r="472" spans="1:48" x14ac:dyDescent="0.25">
      <c r="A472" s="15"/>
      <c r="B472" s="15"/>
      <c r="C472" s="15"/>
      <c r="D472" s="15"/>
      <c r="E472" s="15"/>
      <c r="F472" s="15"/>
      <c r="G472" s="6"/>
      <c r="H472" s="15"/>
      <c r="I472" s="15"/>
      <c r="J472" s="15"/>
      <c r="K472" s="15"/>
      <c r="L472" s="15"/>
      <c r="M472" s="15"/>
      <c r="N472" s="15"/>
      <c r="O472" s="15"/>
      <c r="P472" s="15"/>
      <c r="Q472" s="21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</row>
    <row r="473" spans="1:48" x14ac:dyDescent="0.25">
      <c r="A473" s="15"/>
      <c r="B473" s="15"/>
      <c r="C473" s="15"/>
      <c r="D473" s="15"/>
      <c r="E473" s="15"/>
      <c r="F473" s="15"/>
      <c r="G473" s="6"/>
      <c r="H473" s="15"/>
      <c r="I473" s="15"/>
      <c r="J473" s="15"/>
      <c r="K473" s="15"/>
      <c r="L473" s="15"/>
      <c r="M473" s="15"/>
      <c r="N473" s="15"/>
      <c r="O473" s="15"/>
      <c r="P473" s="15"/>
      <c r="Q473" s="21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</row>
    <row r="474" spans="1:48" x14ac:dyDescent="0.25">
      <c r="A474" s="15"/>
      <c r="B474" s="15"/>
      <c r="C474" s="15"/>
      <c r="D474" s="15"/>
      <c r="E474" s="15"/>
      <c r="F474" s="15"/>
      <c r="G474" s="6"/>
      <c r="H474" s="15"/>
      <c r="I474" s="15"/>
      <c r="J474" s="15"/>
      <c r="K474" s="15"/>
      <c r="L474" s="15"/>
      <c r="M474" s="15"/>
      <c r="N474" s="15"/>
      <c r="O474" s="15"/>
      <c r="P474" s="15"/>
      <c r="Q474" s="21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</row>
    <row r="475" spans="1:48" x14ac:dyDescent="0.25">
      <c r="A475" s="15"/>
      <c r="B475" s="15"/>
      <c r="C475" s="15"/>
      <c r="D475" s="15"/>
      <c r="E475" s="15"/>
      <c r="F475" s="15"/>
      <c r="G475" s="6"/>
      <c r="H475" s="15"/>
      <c r="I475" s="15"/>
      <c r="J475" s="15"/>
      <c r="K475" s="15"/>
      <c r="L475" s="15"/>
      <c r="M475" s="15"/>
      <c r="N475" s="15"/>
      <c r="O475" s="15"/>
      <c r="P475" s="15"/>
      <c r="Q475" s="21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</row>
    <row r="476" spans="1:48" x14ac:dyDescent="0.25">
      <c r="A476" s="15"/>
      <c r="B476" s="15"/>
      <c r="C476" s="15"/>
      <c r="D476" s="15"/>
      <c r="E476" s="15"/>
      <c r="F476" s="15"/>
      <c r="G476" s="6"/>
      <c r="H476" s="15"/>
      <c r="I476" s="15"/>
      <c r="J476" s="15"/>
      <c r="K476" s="15"/>
      <c r="L476" s="15"/>
      <c r="M476" s="15"/>
      <c r="N476" s="15"/>
      <c r="O476" s="15"/>
      <c r="P476" s="15"/>
      <c r="Q476" s="21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</row>
    <row r="477" spans="1:48" x14ac:dyDescent="0.25">
      <c r="A477" s="15"/>
      <c r="B477" s="15"/>
      <c r="C477" s="15"/>
      <c r="D477" s="15"/>
      <c r="E477" s="15"/>
      <c r="F477" s="15"/>
      <c r="G477" s="6"/>
      <c r="H477" s="15"/>
      <c r="I477" s="15"/>
      <c r="J477" s="15"/>
      <c r="K477" s="15"/>
      <c r="L477" s="15"/>
      <c r="M477" s="15"/>
      <c r="N477" s="15"/>
      <c r="O477" s="15"/>
      <c r="P477" s="15"/>
      <c r="Q477" s="21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</row>
    <row r="478" spans="1:48" x14ac:dyDescent="0.25">
      <c r="A478" s="15"/>
      <c r="B478" s="15"/>
      <c r="C478" s="15"/>
      <c r="D478" s="15"/>
      <c r="E478" s="15"/>
      <c r="F478" s="15"/>
      <c r="G478" s="6"/>
      <c r="H478" s="15"/>
      <c r="I478" s="15"/>
      <c r="J478" s="15"/>
      <c r="K478" s="15"/>
      <c r="L478" s="15"/>
      <c r="M478" s="15"/>
      <c r="N478" s="15"/>
      <c r="O478" s="15"/>
      <c r="P478" s="15"/>
      <c r="Q478" s="21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</row>
    <row r="479" spans="1:48" x14ac:dyDescent="0.25">
      <c r="A479" s="15"/>
      <c r="B479" s="15"/>
      <c r="C479" s="15"/>
      <c r="D479" s="15"/>
      <c r="E479" s="15"/>
      <c r="F479" s="15"/>
      <c r="G479" s="6"/>
      <c r="H479" s="15"/>
      <c r="I479" s="15"/>
      <c r="J479" s="15"/>
      <c r="K479" s="15"/>
      <c r="L479" s="15"/>
      <c r="M479" s="15"/>
      <c r="N479" s="15"/>
      <c r="O479" s="15"/>
      <c r="P479" s="15"/>
      <c r="Q479" s="21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</row>
    <row r="480" spans="1:48" x14ac:dyDescent="0.25">
      <c r="A480" s="15"/>
      <c r="B480" s="15"/>
      <c r="C480" s="15"/>
      <c r="D480" s="15"/>
      <c r="E480" s="15"/>
      <c r="F480" s="15"/>
      <c r="G480" s="6"/>
      <c r="H480" s="15"/>
      <c r="I480" s="15"/>
      <c r="J480" s="15"/>
      <c r="K480" s="15"/>
      <c r="L480" s="15"/>
      <c r="M480" s="15"/>
      <c r="N480" s="15"/>
      <c r="O480" s="15"/>
      <c r="P480" s="15"/>
      <c r="Q480" s="21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</row>
    <row r="481" spans="1:48" x14ac:dyDescent="0.25">
      <c r="A481" s="15"/>
      <c r="B481" s="15"/>
      <c r="C481" s="15"/>
      <c r="D481" s="15"/>
      <c r="E481" s="15"/>
      <c r="F481" s="15"/>
      <c r="G481" s="6"/>
      <c r="H481" s="15"/>
      <c r="I481" s="15"/>
      <c r="J481" s="15"/>
      <c r="K481" s="15"/>
      <c r="L481" s="15"/>
      <c r="M481" s="15"/>
      <c r="N481" s="15"/>
      <c r="O481" s="15"/>
      <c r="P481" s="15"/>
      <c r="Q481" s="21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</row>
    <row r="482" spans="1:48" x14ac:dyDescent="0.25">
      <c r="A482" s="15"/>
      <c r="B482" s="15"/>
      <c r="C482" s="15"/>
      <c r="D482" s="15"/>
      <c r="E482" s="15"/>
      <c r="F482" s="15"/>
      <c r="G482" s="6"/>
      <c r="H482" s="15"/>
      <c r="I482" s="15"/>
      <c r="J482" s="15"/>
      <c r="K482" s="15"/>
      <c r="L482" s="15"/>
      <c r="M482" s="15"/>
      <c r="N482" s="15"/>
      <c r="O482" s="15"/>
      <c r="P482" s="15"/>
      <c r="Q482" s="21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</row>
    <row r="483" spans="1:48" x14ac:dyDescent="0.25">
      <c r="A483" s="15"/>
      <c r="B483" s="15"/>
      <c r="C483" s="15"/>
      <c r="D483" s="15"/>
      <c r="E483" s="15"/>
      <c r="F483" s="15"/>
      <c r="G483" s="6"/>
      <c r="H483" s="15"/>
      <c r="I483" s="15"/>
      <c r="J483" s="15"/>
      <c r="K483" s="15"/>
      <c r="L483" s="15"/>
      <c r="M483" s="15"/>
      <c r="N483" s="15"/>
      <c r="O483" s="15"/>
      <c r="P483" s="15"/>
      <c r="Q483" s="21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</row>
    <row r="484" spans="1:48" x14ac:dyDescent="0.25">
      <c r="A484" s="15"/>
      <c r="B484" s="15"/>
      <c r="C484" s="15"/>
      <c r="D484" s="15"/>
      <c r="E484" s="15"/>
      <c r="F484" s="15"/>
      <c r="G484" s="6"/>
      <c r="H484" s="15"/>
      <c r="I484" s="15"/>
      <c r="J484" s="15"/>
      <c r="K484" s="15"/>
      <c r="L484" s="15"/>
      <c r="M484" s="15"/>
      <c r="N484" s="15"/>
      <c r="O484" s="15"/>
      <c r="P484" s="15"/>
      <c r="Q484" s="21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</row>
    <row r="485" spans="1:48" x14ac:dyDescent="0.25">
      <c r="A485" s="15"/>
      <c r="B485" s="15"/>
      <c r="C485" s="15"/>
      <c r="D485" s="15"/>
      <c r="E485" s="15"/>
      <c r="F485" s="15"/>
      <c r="G485" s="6"/>
      <c r="H485" s="15"/>
      <c r="I485" s="15"/>
      <c r="J485" s="15"/>
      <c r="K485" s="15"/>
      <c r="L485" s="15"/>
      <c r="M485" s="15"/>
      <c r="N485" s="15"/>
      <c r="O485" s="15"/>
      <c r="P485" s="15"/>
      <c r="Q485" s="21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</row>
    <row r="486" spans="1:48" x14ac:dyDescent="0.25">
      <c r="A486" s="15"/>
      <c r="B486" s="15"/>
      <c r="C486" s="15"/>
      <c r="D486" s="15"/>
      <c r="E486" s="15"/>
      <c r="F486" s="15"/>
      <c r="G486" s="6"/>
      <c r="H486" s="15"/>
      <c r="I486" s="15"/>
      <c r="J486" s="15"/>
      <c r="K486" s="15"/>
      <c r="L486" s="15"/>
      <c r="M486" s="15"/>
      <c r="N486" s="15"/>
      <c r="O486" s="15"/>
      <c r="P486" s="15"/>
      <c r="Q486" s="21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</row>
    <row r="487" spans="1:48" x14ac:dyDescent="0.25">
      <c r="A487" s="15"/>
      <c r="B487" s="15"/>
      <c r="C487" s="15"/>
      <c r="D487" s="15"/>
      <c r="E487" s="15"/>
      <c r="F487" s="15"/>
      <c r="G487" s="6"/>
      <c r="H487" s="15"/>
      <c r="I487" s="15"/>
      <c r="J487" s="15"/>
      <c r="K487" s="15"/>
      <c r="L487" s="15"/>
      <c r="M487" s="15"/>
      <c r="N487" s="15"/>
      <c r="O487" s="15"/>
      <c r="P487" s="15"/>
      <c r="Q487" s="21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</row>
    <row r="488" spans="1:48" x14ac:dyDescent="0.25">
      <c r="A488" s="15"/>
      <c r="B488" s="15"/>
      <c r="C488" s="15"/>
      <c r="D488" s="15"/>
      <c r="E488" s="15"/>
      <c r="F488" s="15"/>
      <c r="G488" s="6"/>
      <c r="H488" s="15"/>
      <c r="I488" s="15"/>
      <c r="J488" s="15"/>
      <c r="K488" s="15"/>
      <c r="L488" s="15"/>
      <c r="M488" s="15"/>
      <c r="N488" s="15"/>
      <c r="O488" s="15"/>
      <c r="P488" s="15"/>
      <c r="Q488" s="21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</row>
    <row r="489" spans="1:48" x14ac:dyDescent="0.25">
      <c r="A489" s="15"/>
      <c r="B489" s="15"/>
      <c r="C489" s="15"/>
      <c r="D489" s="15"/>
      <c r="E489" s="15"/>
      <c r="F489" s="15"/>
      <c r="G489" s="6"/>
      <c r="H489" s="15"/>
      <c r="I489" s="15"/>
      <c r="J489" s="15"/>
      <c r="K489" s="15"/>
      <c r="L489" s="15"/>
      <c r="M489" s="15"/>
      <c r="N489" s="15"/>
      <c r="O489" s="15"/>
      <c r="P489" s="15"/>
      <c r="Q489" s="21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</row>
    <row r="490" spans="1:48" x14ac:dyDescent="0.25">
      <c r="A490" s="15"/>
      <c r="B490" s="15"/>
      <c r="C490" s="15"/>
      <c r="D490" s="15"/>
      <c r="E490" s="15"/>
      <c r="F490" s="15"/>
      <c r="G490" s="6"/>
      <c r="H490" s="15"/>
      <c r="I490" s="15"/>
      <c r="J490" s="15"/>
      <c r="K490" s="15"/>
      <c r="L490" s="15"/>
      <c r="M490" s="15"/>
      <c r="N490" s="15"/>
      <c r="O490" s="15"/>
      <c r="P490" s="15"/>
      <c r="Q490" s="21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</row>
    <row r="491" spans="1:48" x14ac:dyDescent="0.25">
      <c r="A491" s="15"/>
      <c r="B491" s="15"/>
      <c r="C491" s="15"/>
      <c r="D491" s="15"/>
      <c r="E491" s="15"/>
      <c r="F491" s="15"/>
      <c r="G491" s="6"/>
      <c r="H491" s="15"/>
      <c r="I491" s="15"/>
      <c r="J491" s="15"/>
      <c r="K491" s="15"/>
      <c r="L491" s="15"/>
      <c r="M491" s="15"/>
      <c r="N491" s="15"/>
      <c r="O491" s="15"/>
      <c r="P491" s="15"/>
      <c r="Q491" s="21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</row>
    <row r="492" spans="1:48" x14ac:dyDescent="0.25">
      <c r="A492" s="15"/>
      <c r="B492" s="15"/>
      <c r="C492" s="15"/>
      <c r="D492" s="15"/>
      <c r="E492" s="15"/>
      <c r="F492" s="15"/>
      <c r="G492" s="6"/>
      <c r="H492" s="15"/>
      <c r="I492" s="15"/>
      <c r="J492" s="15"/>
      <c r="K492" s="15"/>
      <c r="L492" s="15"/>
      <c r="M492" s="15"/>
      <c r="N492" s="15"/>
      <c r="O492" s="15"/>
      <c r="P492" s="15"/>
      <c r="Q492" s="21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</row>
    <row r="493" spans="1:48" x14ac:dyDescent="0.25">
      <c r="A493" s="15"/>
      <c r="B493" s="15"/>
      <c r="C493" s="15"/>
      <c r="D493" s="15"/>
      <c r="E493" s="15"/>
      <c r="F493" s="15"/>
      <c r="G493" s="6"/>
      <c r="H493" s="15"/>
      <c r="I493" s="15"/>
      <c r="J493" s="15"/>
      <c r="K493" s="15"/>
      <c r="L493" s="15"/>
      <c r="M493" s="15"/>
      <c r="N493" s="15"/>
      <c r="O493" s="15"/>
      <c r="P493" s="15"/>
      <c r="Q493" s="21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</row>
    <row r="494" spans="1:48" x14ac:dyDescent="0.25">
      <c r="A494" s="15"/>
      <c r="B494" s="15"/>
      <c r="C494" s="15"/>
      <c r="D494" s="15"/>
      <c r="E494" s="15"/>
      <c r="F494" s="15"/>
      <c r="G494" s="6"/>
      <c r="H494" s="15"/>
      <c r="I494" s="15"/>
      <c r="J494" s="15"/>
      <c r="K494" s="15"/>
      <c r="L494" s="15"/>
      <c r="M494" s="15"/>
      <c r="N494" s="15"/>
      <c r="O494" s="15"/>
      <c r="P494" s="15"/>
      <c r="Q494" s="21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</row>
    <row r="495" spans="1:48" x14ac:dyDescent="0.25">
      <c r="A495" s="15"/>
      <c r="B495" s="15"/>
      <c r="C495" s="15"/>
      <c r="D495" s="15"/>
      <c r="E495" s="15"/>
      <c r="F495" s="15"/>
      <c r="G495" s="6"/>
      <c r="H495" s="15"/>
      <c r="I495" s="15"/>
      <c r="J495" s="15"/>
      <c r="K495" s="15"/>
      <c r="L495" s="15"/>
      <c r="M495" s="15"/>
      <c r="N495" s="15"/>
      <c r="O495" s="15"/>
      <c r="P495" s="15"/>
      <c r="Q495" s="21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</row>
    <row r="496" spans="1:48" x14ac:dyDescent="0.25">
      <c r="A496" s="15"/>
      <c r="B496" s="15"/>
      <c r="C496" s="15"/>
      <c r="D496" s="15"/>
      <c r="E496" s="15"/>
      <c r="F496" s="15"/>
      <c r="G496" s="6"/>
      <c r="H496" s="15"/>
      <c r="I496" s="15"/>
      <c r="J496" s="15"/>
      <c r="K496" s="15"/>
      <c r="L496" s="15"/>
      <c r="M496" s="15"/>
      <c r="N496" s="15"/>
      <c r="O496" s="15"/>
      <c r="P496" s="15"/>
      <c r="Q496" s="21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</row>
    <row r="497" spans="1:48" x14ac:dyDescent="0.25">
      <c r="A497" s="15"/>
      <c r="B497" s="15"/>
      <c r="C497" s="15"/>
      <c r="D497" s="15"/>
      <c r="E497" s="15"/>
      <c r="F497" s="15"/>
      <c r="G497" s="6"/>
      <c r="H497" s="15"/>
      <c r="I497" s="15"/>
      <c r="J497" s="15"/>
      <c r="K497" s="15"/>
      <c r="L497" s="15"/>
      <c r="M497" s="15"/>
      <c r="N497" s="15"/>
      <c r="O497" s="15"/>
      <c r="P497" s="15"/>
      <c r="Q497" s="21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</row>
    <row r="498" spans="1:48" x14ac:dyDescent="0.25">
      <c r="A498" s="15"/>
      <c r="B498" s="15"/>
      <c r="C498" s="15"/>
      <c r="D498" s="15"/>
      <c r="E498" s="15"/>
      <c r="F498" s="15"/>
      <c r="G498" s="6"/>
      <c r="H498" s="15"/>
      <c r="I498" s="15"/>
      <c r="J498" s="15"/>
      <c r="K498" s="15"/>
      <c r="L498" s="15"/>
      <c r="M498" s="15"/>
      <c r="N498" s="15"/>
      <c r="O498" s="15"/>
      <c r="P498" s="15"/>
      <c r="Q498" s="21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</row>
    <row r="499" spans="1:48" x14ac:dyDescent="0.25">
      <c r="A499" s="15"/>
      <c r="B499" s="15"/>
      <c r="C499" s="15"/>
      <c r="D499" s="15"/>
      <c r="E499" s="15"/>
      <c r="F499" s="15"/>
      <c r="G499" s="6"/>
      <c r="H499" s="15"/>
      <c r="I499" s="15"/>
      <c r="J499" s="15"/>
      <c r="K499" s="15"/>
      <c r="L499" s="15"/>
      <c r="M499" s="15"/>
      <c r="N499" s="15"/>
      <c r="O499" s="15"/>
      <c r="P499" s="15"/>
      <c r="Q499" s="21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</row>
  </sheetData>
  <autoFilter ref="A3:AM132" xr:uid="{00000000-0009-0000-0000-000000000000}"/>
  <mergeCells count="1">
    <mergeCell ref="Q1:Q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2026-09-15T09:10:15Z</dcterms:created>
  <dcterms:modified xsi:type="dcterms:W3CDTF">2026-09-15T13:34:44Z</dcterms:modified>
</cp:coreProperties>
</file>